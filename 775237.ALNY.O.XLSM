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35" windowWidth="16920" windowHeight="5790"/>
  </bookViews>
  <sheets>
    <sheet name="ImportantDisclosures" sheetId="56" r:id="rId1"/>
    <sheet name="DCF" sheetId="31" r:id="rId2"/>
    <sheet name="IS" sheetId="1" r:id="rId3"/>
    <sheet name="BS" sheetId="2" r:id="rId4"/>
    <sheet name="CF" sheetId="11" r:id="rId5"/>
    <sheet name="hATTR-PN Mkt Model" sheetId="14" r:id="rId6"/>
    <sheet name="Givosiran" sheetId="39" r:id="rId7"/>
    <sheet name="Fitusiran" sheetId="16" r:id="rId8"/>
    <sheet name="ALN-PSCsc" sheetId="22" r:id="rId9"/>
    <sheet name="hATTR-CM Mkt Model" sheetId="28" r:id="rId10"/>
    <sheet name="IndexInformation" sheetId="57" r:id="rId11"/>
    <sheet name="ModPubIndex" sheetId="58" r:id="rId12"/>
    <sheet name="MW-Cache" sheetId="25" state="very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_FDS_HYPERLINK_TOGGLE_STATE__" hidden="1">"ON"</definedName>
    <definedName name="__FDS_UNIQUE_RANGE_ID_GENERATOR_COUNTER" hidden="1">1</definedName>
    <definedName name="_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1__FDSAUDITLINK__" localSheetId="5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_1__FDSAUDITLINK__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_2__FDSAUDITLINK__" localSheetId="5" hidden="1">{"fdsup://directions/FAT Viewer?action=UPDATE&amp;creator=factset&amp;DYN_ARGS=TRUE&amp;DOC_NAME=FAT:FQL_AUDITING_CLIENT_TEMPLATE.FAT&amp;display_string=Audit&amp;VAR:KEY=TKDCPCRGJO&amp;VAR:QUERY=RkZfRUJJVERBX0lCKCdBTk4nLDIwMDcp&amp;WINDOW=FIRST_POPUP&amp;HEIGHT=450&amp;WIDTH=450&amp;START_MAXIMI","ZED=FALSE&amp;VAR:CALENDAR=FIVEDAY&amp;VAR:SYMBOL=PFE&amp;VAR:INDEX=0"}</definedName>
    <definedName name="_2__FDSAUDITLINK__" hidden="1">{"fdsup://directions/FAT Viewer?action=UPDATE&amp;creator=factset&amp;DYN_ARGS=TRUE&amp;DOC_NAME=FAT:FQL_AUDITING_CLIENT_TEMPLATE.FAT&amp;display_string=Audit&amp;VAR:KEY=TKDCPCRGJO&amp;VAR:QUERY=RkZfRUJJVERBX0lCKCdBTk4nLDIwMDcp&amp;WINDOW=FIRST_POPUP&amp;HEIGHT=450&amp;WIDTH=450&amp;START_MAXIMI","ZED=FALSE&amp;VAR:CALENDAR=FIVEDAY&amp;VAR:SYMBOL=PFE&amp;VAR:INDEX=0"}</definedName>
    <definedName name="_3__FDSAUDITLINK__" localSheetId="5" hidden="1">{"fdsup://directions/FAT Viewer?action=UPDATE&amp;creator=factset&amp;DYN_ARGS=TRUE&amp;DOC_NAME=FAT:FQL_AUDITING_CLIENT_TEMPLATE.FAT&amp;display_string=Audit&amp;VAR:KEY=FAZYZAZOHS&amp;VAR:QUERY=RkZfRUJJVERBX0lCKCdBTk4nLDIwMDYp&amp;WINDOW=FIRST_POPUP&amp;HEIGHT=450&amp;WIDTH=450&amp;START_MAXIMI","ZED=FALSE&amp;VAR:CALENDAR=FIVEDAY&amp;VAR:SYMBOL=PFE&amp;VAR:INDEX=0"}</definedName>
    <definedName name="_3__FDSAUDITLINK__" hidden="1">{"fdsup://directions/FAT Viewer?action=UPDATE&amp;creator=factset&amp;DYN_ARGS=TRUE&amp;DOC_NAME=FAT:FQL_AUDITING_CLIENT_TEMPLATE.FAT&amp;display_string=Audit&amp;VAR:KEY=FAZYZAZOHS&amp;VAR:QUERY=RkZfRUJJVERBX0lCKCdBTk4nLDIwMDYp&amp;WINDOW=FIRST_POPUP&amp;HEIGHT=450&amp;WIDTH=450&amp;START_MAXIMI","ZED=FALSE&amp;VAR:CALENDAR=FIVEDAY&amp;VAR:SYMBOL=PFE&amp;VAR:INDEX=0"}</definedName>
    <definedName name="_bdm.02E29E7B1053433EA3CCCBE4E5141596.edm" hidden="1">[1]Sheet1!$A:$IV</definedName>
    <definedName name="_bdm.0465D0F8BD2C4E888AB9C11EA0CBE52C.edm" hidden="1">'[2]rev change analysis'!$A:$IV</definedName>
    <definedName name="_bdm.14200C51F23343DBA038D22B6303B8CC.edm" hidden="1">[3]Cashflow!$A:$IV</definedName>
    <definedName name="_bdm.22794A4B010A4A8692E496303EA793DB.edm" hidden="1">[4]Cashflow!$A:$IV</definedName>
    <definedName name="_bdm.324D53C82F8D478AA4269D3A520A6972.edm" hidden="1">[4]Figures!$A:$IV</definedName>
    <definedName name="_bdm.37E6BDDA51D64107AEC413E364833DAE.edm" hidden="1">'[3]Avastin-Patient Ramp'!$A:$IV</definedName>
    <definedName name="_bdm.3AE51B349CB64710914C57BF7EAD0F08.edm" hidden="1">[4]Marketing!$A:$IV</definedName>
    <definedName name="_bdm.5F1885707D3344F0A4139CF01D1D1F5E.edm" hidden="1">[3]Annual!$A:$IV</definedName>
    <definedName name="_bdm.65F9EB696FC746649BC61AD8D778200B.edm" hidden="1">[4]Annual!$A:$IV</definedName>
    <definedName name="_bdm.728F11F0AFCA412FB7ED10EC5A6B0D96.edm" hidden="1">'[3]Balance Sheet '!$A:$IV</definedName>
    <definedName name="_bdm.77453DAF91854373A25ACDB8F1877D47.edm" hidden="1">'[4]Balance Sheet '!$A:$IV</definedName>
    <definedName name="_bdm.7757076A173D4402BD533DE2F5EDA064.edm" hidden="1">[3]Manufacturing!$A:$IV</definedName>
    <definedName name="_bdm.9301DDFC67D846248C16E96B86458D94.edm" hidden="1">'[2]rev contribution analysis'!$A:$IV</definedName>
    <definedName name="_bdm.95B3BB646EED4CCE80790D8D8638B047.edm" hidden="1">'[4]MS Est. Vs Actual'!$A:$IV</definedName>
    <definedName name="_bdm.A14504C4685843CABFA70BDB420D1B49.edm" hidden="1">[4]ProcritAranesp!$A:$IV</definedName>
    <definedName name="_bdm.B21B9DDD275E448CBEA15C84DEF8CA9D.edm" hidden="1">'[3]MS Est vs. Rpt'!$A:$IV</definedName>
    <definedName name="_bdm.C143B498FEE343158C5059FD7AD9D747.edm" hidden="1">'[3]Changes to the Model'!$A:$IV</definedName>
    <definedName name="_bdm.CA0B0CAC6522419B8221BEA627D1C086.edm" hidden="1">'[3]Clinical data'!$A:$IV</definedName>
    <definedName name="_bdm.CA0B3AD6743A4F68B0D719ED6EBECAA8.edm" hidden="1">[3]Marketing!$A:$IV</definedName>
    <definedName name="_bdm.DA3D26E750D24936AEE5B87A52DD73E7.edm" hidden="1">[4]Quarterly!$A:$IV</definedName>
    <definedName name="_bdm.E21E382C69DA4447AFEB970D63072EC7.edm" hidden="1">[3]Quarterly!$A:$IV</definedName>
    <definedName name="_bdm.E740C0FDA4514EE4A13531D2644E24FE.edm" hidden="1">'[4]Changes to Model'!$A:$IV</definedName>
    <definedName name="_bdm.E93CF733CE1D4A5A94E3C95B0A7E783E.edm" hidden="1">[3]Model_Template!$A:$IV</definedName>
    <definedName name="_new1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new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_Order1" hidden="1">255</definedName>
    <definedName name="abc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abc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AdditionalInstructions">IndexInformation!$B$42</definedName>
    <definedName name="Address" localSheetId="0">ImportantDisclosures!$A$2:$A$2</definedName>
    <definedName name="ANA" localSheetId="11">ModPubIndex!$A$7</definedName>
    <definedName name="anscount" hidden="1">2</definedName>
    <definedName name="asd" localSheetId="5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sd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Authors" localSheetId="0">ImportantDisclosures!$A$7</definedName>
    <definedName name="Authors" localSheetId="10">IndexInformation!$B$18</definedName>
    <definedName name="BRO" localSheetId="11">ModPubIndex!$A$1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opyrightStamp">ImportantDisclosures!$A$27</definedName>
    <definedName name="COU" localSheetId="11">ModPubIndex!$A$5</definedName>
    <definedName name="CQEnd" localSheetId="10">IndexInformation!$B$31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71.ScalingFactor" hidden="1">1000000</definedName>
    <definedName name="cu71.ScalingFactor_1" hidden="1">1000</definedName>
    <definedName name="Currency" localSheetId="10">IndexInformation!$B$24</definedName>
    <definedName name="CurrentStockPrice" localSheetId="10">IndexInformation!$B$23</definedName>
    <definedName name="CurrQtrEPS" localSheetId="10">IndexInformation!$B$29</definedName>
    <definedName name="CurrYearEPS" localSheetId="10">IndexInformation!$B$11</definedName>
    <definedName name="CurrYearTotalRevenue" localSheetId="10">IndexInformation!$B$10</definedName>
    <definedName name="CurrYearTotalRevenueActual" localSheetId="10">IndexInformation!$B$32</definedName>
    <definedName name="CUSIP" localSheetId="10">IndexInformation!$B$20</definedName>
    <definedName name="CYEnd" localSheetId="10">IndexInformation!$B$30</definedName>
    <definedName name="Date" localSheetId="0">ImportantDisclosures!$A$8</definedName>
    <definedName name="Deleted" localSheetId="10">IndexInformation!$B$27</definedName>
    <definedName name="Description" localSheetId="10">IndexInformation!$B$7</definedName>
    <definedName name="Did" localSheetId="5" hidden="1">{"Salesass",#N/A,FALSE,"assumpt"}</definedName>
    <definedName name="Did" hidden="1">{"Salesass",#N/A,FALSE,"assumpt"}</definedName>
    <definedName name="Discipline" localSheetId="10">IndexInformation!$B$3</definedName>
    <definedName name="DISCIPLINE" localSheetId="11">ModPubIndex!$A$12</definedName>
    <definedName name="DisclosuresText">ImportantDisclosures!$A$22</definedName>
    <definedName name="Distribution" localSheetId="10">IndexInformation!$B$26</definedName>
    <definedName name="DistTable" localSheetId="0">ImportantDisclosures!#REF!</definedName>
    <definedName name="DistTablePreamble" localSheetId="0">ImportantDisclosures!#REF!</definedName>
    <definedName name="DOCDAT" localSheetId="11">ModPubIndex!$A$2</definedName>
    <definedName name="DOCTIME" localSheetId="11">ModPubIndex!$A$3</definedName>
    <definedName name="DocType" localSheetId="10">IndexInformation!$B$5</definedName>
    <definedName name="EMAIL_ALERT" localSheetId="11">ModPubIndex!$A$10</definedName>
    <definedName name="EmailAlert" localSheetId="10">IndexInformation!$B$28</definedName>
    <definedName name="ev.Calculation" hidden="1">-4135</definedName>
    <definedName name="ev.Initialized" hidden="1">FALSE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P_0_1_aSrv" hidden="1">[5]Comparison!$P$106</definedName>
    <definedName name="FDP_1_1_aDrv" hidden="1">[5]Comparison!$T$18</definedName>
    <definedName name="FDP_10_1_aUrv" hidden="1">[5]Comparison!$AA$21</definedName>
    <definedName name="FDP_100_1_aUrv" hidden="1">[5]Comparison!$E$96</definedName>
    <definedName name="FDP_101_1_aUrv" hidden="1">[5]Comparison!$E$97</definedName>
    <definedName name="FDP_102_1_aSrv" hidden="1">[5]Comparison!$E$98</definedName>
    <definedName name="FDP_103_1_aSrv" hidden="1">[5]Comparison!$E$100</definedName>
    <definedName name="FDP_104_1_aUrv" hidden="1">[5]Comparison!$E$101</definedName>
    <definedName name="FDP_105_1_aUrv" hidden="1">[5]Comparison!$E$102</definedName>
    <definedName name="FDP_106_1_aUrv" hidden="1">[5]Comparison!$E$103</definedName>
    <definedName name="FDP_107_1_aUrv" hidden="1">[5]Comparison!$E$104</definedName>
    <definedName name="FDP_108_1_aUrv" hidden="1">[5]Comparison!$E$105</definedName>
    <definedName name="FDP_109_1_aUrv" hidden="1">[5]Comparison!$E$106</definedName>
    <definedName name="FDP_11_1_aUrv" hidden="1">[5]Comparison!$AA$22</definedName>
    <definedName name="FDP_110_1_aUrv" hidden="1">[5]Comparison!$E$107</definedName>
    <definedName name="FDP_111_1_aUrv" hidden="1">[5]Comparison!$E$108</definedName>
    <definedName name="FDP_112_1_aUrv" hidden="1">[5]Comparison!$E$109</definedName>
    <definedName name="FDP_113_1_aUrv" hidden="1">[5]Comparison!$E$110</definedName>
    <definedName name="FDP_114_1_aUrv" hidden="1">[5]Comparison!$E$111</definedName>
    <definedName name="FDP_115_1_aSrv" hidden="1">[5]Comparison!$E$112</definedName>
    <definedName name="FDP_116_1_aSrv" hidden="1">[5]Comparison!$E$113</definedName>
    <definedName name="FDP_117_1_aUrv" hidden="1">[5]Comparison!$E$118</definedName>
    <definedName name="FDP_118_1_aUrv" hidden="1">[5]Comparison!$E$119</definedName>
    <definedName name="FDP_119_1_aUrv" hidden="1">[5]Comparison!$E$120</definedName>
    <definedName name="FDP_12_1_aUrv" hidden="1">[5]Comparison!$AA$23</definedName>
    <definedName name="FDP_120_1_aUrv" hidden="1">[5]Comparison!$E$121</definedName>
    <definedName name="FDP_121_1_aUrv" hidden="1">[5]Comparison!$E$122</definedName>
    <definedName name="FDP_122_1_aUrv" hidden="1">[5]Comparison!$E$123</definedName>
    <definedName name="FDP_123_1_aUrv" hidden="1">[5]Comparison!$E$124</definedName>
    <definedName name="FDP_124_1_aSrv" hidden="1">[5]Comparison!$E$125</definedName>
    <definedName name="FDP_125_1_aUrv" hidden="1">[5]Comparison!$E$127</definedName>
    <definedName name="FDP_126_1_aUrv" hidden="1">[5]Comparison!$E$128</definedName>
    <definedName name="FDP_127_1_aUrv" hidden="1">[5]Comparison!$E$129</definedName>
    <definedName name="FDP_128_1_aUrv" hidden="1">[5]Comparison!$E$130</definedName>
    <definedName name="FDP_129_1_aUrv" hidden="1">[5]Comparison!$E$131</definedName>
    <definedName name="FDP_13_1_aUrv" hidden="1">[5]Comparison!$AA$24</definedName>
    <definedName name="FDP_130_1_aUrv" hidden="1">[5]Comparison!$E$132</definedName>
    <definedName name="FDP_131_1_aUrv" hidden="1">[5]Comparison!$E$133</definedName>
    <definedName name="FDP_132_1_aSrv" hidden="1">[5]Comparison!$E$134</definedName>
    <definedName name="FDP_133_1_aSrv" hidden="1">[5]Comparison!$E$135</definedName>
    <definedName name="FDP_134_1_aUrv" hidden="1">[5]Comparison!$E$137</definedName>
    <definedName name="FDP_135_1_aUrv" hidden="1">[5]Comparison!$E$140</definedName>
    <definedName name="FDP_136_1_aUrv" hidden="1">[5]Comparison!$E$141</definedName>
    <definedName name="FDP_137_1_aSrv" hidden="1">[5]Comparison!$P$141</definedName>
    <definedName name="FDP_138_1_aSrv" hidden="1">[5]Comparison!$E$142</definedName>
    <definedName name="FDP_139_1_aSrv" hidden="1">[5]Comparison!$E$143</definedName>
    <definedName name="FDP_14_1_aUrv" hidden="1">[5]Comparison!$K$1</definedName>
    <definedName name="FDP_140_1_aSrv" hidden="1">[5]Comparison!$E$153</definedName>
    <definedName name="FDP_141_1_aUrv" hidden="1">[5]Comparison!$E$154</definedName>
    <definedName name="FDP_142_1_aUrv" hidden="1">[5]Comparison!$E$155</definedName>
    <definedName name="FDP_143_1_aUrv" hidden="1">[5]Comparison!$E$156</definedName>
    <definedName name="FDP_144_1_aUrv" hidden="1">[5]Comparison!$E$157</definedName>
    <definedName name="FDP_145_1_aUrv" hidden="1">[5]Comparison!$E$160</definedName>
    <definedName name="FDP_146_1_aUrv" hidden="1">[5]Comparison!$E$161</definedName>
    <definedName name="FDP_147_1_aUrv" hidden="1">[5]Comparison!$E$162</definedName>
    <definedName name="FDP_148_1_aUrv" hidden="1">[5]Comparison!$E$163</definedName>
    <definedName name="FDP_149_1_aUrv" hidden="1">[5]Comparison!$E$164</definedName>
    <definedName name="FDP_15_1_aUrv" hidden="1">[5]Comparison!$F$1</definedName>
    <definedName name="FDP_150_1_aUrv" hidden="1">[5]Comparison!$E$165</definedName>
    <definedName name="FDP_151_1_aUrv" hidden="1">[5]Comparison!$E$166</definedName>
    <definedName name="FDP_152_1_aUrv" hidden="1">[5]Comparison!$E$167</definedName>
    <definedName name="FDP_153_1_aUrv" hidden="1">[5]Comparison!$E$168</definedName>
    <definedName name="FDP_154_1_aUrv" hidden="1">[5]Comparison!$E$169</definedName>
    <definedName name="FDP_155_1_aUrv" hidden="1">[5]Comparison!$E$170</definedName>
    <definedName name="FDP_156_1_aUrv" hidden="1">[5]Comparison!$E$171</definedName>
    <definedName name="FDP_157_1_aUrv" hidden="1">[5]Comparison!$E$172</definedName>
    <definedName name="FDP_158_1_aUrv" hidden="1">[5]Comparison!$E$173</definedName>
    <definedName name="FDP_159_1_aSrv" hidden="1">[5]Comparison!$E$174</definedName>
    <definedName name="FDP_16_1_aUrv" hidden="1">[5]Comparison!$K$3</definedName>
    <definedName name="FDP_160_1_aUrv" hidden="1">[5]Comparison!$E$175</definedName>
    <definedName name="FDP_161_1_aSrv" hidden="1">[5]Comparison!$E$176</definedName>
    <definedName name="FDP_162_1_aUrv" hidden="1">[5]Comparison!$E$178</definedName>
    <definedName name="FDP_163_1_aUrv" hidden="1">[5]Comparison!$E$180</definedName>
    <definedName name="FDP_164_1_aUrv" hidden="1">[5]Comparison!$E$179</definedName>
    <definedName name="FDP_169_1_aSrv" hidden="1">[5]Comparison!$E$185</definedName>
    <definedName name="FDP_17_1_aUrv" hidden="1">[5]Comparison!$R$3</definedName>
    <definedName name="FDP_170_1_aUrv" hidden="1">[5]Comparison!$E$186</definedName>
    <definedName name="FDP_171_1_aSrv" hidden="1">[5]Comparison!$E$187</definedName>
    <definedName name="FDP_178_1_aUrv" hidden="1">[5]Comparison!$E$195</definedName>
    <definedName name="FDP_179_1_aUrv" hidden="1">[5]Comparison!$E$196</definedName>
    <definedName name="FDP_18_1_aUrv" hidden="1">[5]Comparison!$E$6</definedName>
    <definedName name="FDP_18_1_rUrv" hidden="1">[5]Comparison!$E$5</definedName>
    <definedName name="FDP_183_1_aUrv" hidden="1">[5]Comparison!$E$200</definedName>
    <definedName name="FDP_187_1_aUrv" hidden="1">[5]Comparison!$E$208</definedName>
    <definedName name="FDP_19_1_aUrv" hidden="1">[5]Comparison!$E$8</definedName>
    <definedName name="FDP_192_1_aUrv" hidden="1">[5]Comparison!$E$213</definedName>
    <definedName name="FDP_196_1_aUrv" hidden="1">[5]Comparison!$E$217</definedName>
    <definedName name="FDP_197_1_aSrv" hidden="1">[5]Comparison!$E$218</definedName>
    <definedName name="FDP_198_1_aUrv" hidden="1">[5]Comparison!$E$219</definedName>
    <definedName name="FDP_2_1_aUrv" hidden="1">[5]Comparison!$V$21</definedName>
    <definedName name="FDP_20_1_aUrv" hidden="1">[5]Comparison!$E$9</definedName>
    <definedName name="FDP_203_1_aUrv" hidden="1">[5]Comparison!$E$225</definedName>
    <definedName name="FDP_208_1_aUrv" hidden="1">[5]Comparison!$E$234</definedName>
    <definedName name="FDP_21_1_aUrv" hidden="1">[5]Comparison!$E$10</definedName>
    <definedName name="FDP_213_1_aUrv" hidden="1">[5]Comparison!$E$240</definedName>
    <definedName name="FDP_216_1_aSrv" hidden="1">[5]Comparison!$E$238</definedName>
    <definedName name="FDP_218_1_aUrv" hidden="1">[5]Comparison!$E$244</definedName>
    <definedName name="FDP_219_1_aUrv" hidden="1">[5]Comparison!$E$245</definedName>
    <definedName name="FDP_22_1_aUrv" hidden="1">[5]Comparison!$E$11</definedName>
    <definedName name="FDP_220_1_aUrv" hidden="1">[5]Comparison!$E$246</definedName>
    <definedName name="FDP_221_1_aUrv" hidden="1">[5]Comparison!$E$247</definedName>
    <definedName name="FDP_222_1_aUrv" hidden="1">[5]Comparison!$E$248</definedName>
    <definedName name="FDP_223_1_aUrv" hidden="1">[5]Comparison!$E$250</definedName>
    <definedName name="FDP_224_1_aSrv" hidden="1">[5]Comparison!$E$258</definedName>
    <definedName name="FDP_225_1_aSrv" hidden="1">[5]Comparison!$E$261</definedName>
    <definedName name="FDP_226_1_aSrv" hidden="1">[5]Comparison!$E$262</definedName>
    <definedName name="FDP_227_1_aSrv" hidden="1">[5]Comparison!$E$264</definedName>
    <definedName name="FDP_23_1_aUrv" hidden="1">[5]Comparison!$E$12</definedName>
    <definedName name="FDP_234_1_aSrv" hidden="1">[5]Comparison!$E$275</definedName>
    <definedName name="FDP_235_1_aSrv" hidden="1">[5]Comparison!$E$280</definedName>
    <definedName name="FDP_236_1_aSrv" hidden="1">[5]Comparison!$E$289</definedName>
    <definedName name="FDP_237_1_aSrv" hidden="1">[5]Comparison!$E$290</definedName>
    <definedName name="FDP_239_1_aSrv" hidden="1">[5]Comparison!$E$292</definedName>
    <definedName name="FDP_24_1_aSrv" hidden="1">[5]Comparison!$E$13</definedName>
    <definedName name="FDP_240_1_aSrv" hidden="1">[5]Comparison!$E$303</definedName>
    <definedName name="FDP_241_1_aSrv" hidden="1">[5]Comparison!$E$304</definedName>
    <definedName name="FDP_242_1_aSrv" hidden="1">[5]Comparison!$E$305</definedName>
    <definedName name="FDP_25_1_aUrv" hidden="1">[5]Comparison!$E$14</definedName>
    <definedName name="FDP_26_1_aUrv" hidden="1">[5]Comparison!$E$15</definedName>
    <definedName name="FDP_262_1_aSrv" hidden="1">[5]Comparison!$E$325</definedName>
    <definedName name="FDP_263_1_aSrv" hidden="1">[5]Comparison!$E$326</definedName>
    <definedName name="FDP_264_1_aSrv" hidden="1">[5]Comparison!$E$327</definedName>
    <definedName name="FDP_265_1_aSrv" hidden="1">[5]Comparison!$E$328</definedName>
    <definedName name="FDP_266_1_aSrv" hidden="1">[5]Comparison!$E$329</definedName>
    <definedName name="FDP_267_1_aSrv" hidden="1">[5]Comparison!$E$330</definedName>
    <definedName name="FDP_268_1_aSrv" hidden="1">[5]Comparison!$E$331</definedName>
    <definedName name="FDP_269_1_aSrv" hidden="1">[5]Comparison!$E$332</definedName>
    <definedName name="FDP_27_1_aUrv" hidden="1">[5]Comparison!$E$16</definedName>
    <definedName name="FDP_270_1_aSrv" hidden="1">[5]Comparison!$E$333</definedName>
    <definedName name="FDP_271_1_aSrv" hidden="1">[5]Comparison!$E$334</definedName>
    <definedName name="FDP_272_1_aSrv" hidden="1">[5]Comparison!$E$335</definedName>
    <definedName name="FDP_273_1_aSrv" hidden="1">[5]Comparison!$E$336</definedName>
    <definedName name="FDP_274_1_aSrv" hidden="1">[5]Comparison!$E$23</definedName>
    <definedName name="FDP_275_1_aSrv" hidden="1">[5]Comparison!$E$24</definedName>
    <definedName name="FDP_276_1_aSrv" hidden="1">[5]Comparison!$E$29</definedName>
    <definedName name="FDP_277_1_aSrv" hidden="1">[5]Comparison!$E$28</definedName>
    <definedName name="FDP_278_1_aSrv" hidden="1">[5]Comparison!$E$30</definedName>
    <definedName name="FDP_28_1_aUrv" hidden="1">[5]Comparison!$E$17</definedName>
    <definedName name="FDP_284_1_aSrv" hidden="1">[5]Comparison!$E$38</definedName>
    <definedName name="FDP_285_1_aSrv" hidden="1">[5]Comparison!$E$39</definedName>
    <definedName name="FDP_286_1_aSrv" hidden="1">[5]Comparison!$E$43</definedName>
    <definedName name="FDP_287_1_aSrv" hidden="1">[5]Comparison!$E$44</definedName>
    <definedName name="FDP_288_1_aSrv" hidden="1">[5]Comparison!$E$45</definedName>
    <definedName name="FDP_289_1_aSrv" hidden="1">[5]Comparison!$E$46</definedName>
    <definedName name="FDP_29_1_aUrv" hidden="1">[5]Comparison!$E$18</definedName>
    <definedName name="FDP_290_1_aSrv" hidden="1">[5]Comparison!$E$47</definedName>
    <definedName name="FDP_291_1_aSrv" hidden="1">[5]Comparison!$E$49</definedName>
    <definedName name="FDP_292_1_aSrv" hidden="1">[5]Comparison!$E$50</definedName>
    <definedName name="FDP_293_1_aSrv" hidden="1">[5]Comparison!$E$51</definedName>
    <definedName name="FDP_294_1_aSrv" hidden="1">[5]Comparison!$E$61</definedName>
    <definedName name="FDP_295_1_aSrv" hidden="1">[5]Comparison!$E$65</definedName>
    <definedName name="FDP_296_1_aSrv" hidden="1">[5]Comparison!$E$85</definedName>
    <definedName name="FDP_297_1_aSrv" hidden="1">[5]Comparison!$E$88</definedName>
    <definedName name="FDP_298_1_aSrv" hidden="1">[5]Comparison!$E$95</definedName>
    <definedName name="FDP_299_1_aSrv" hidden="1">[5]Comparison!$E$96</definedName>
    <definedName name="FDP_3_1_aUrv" hidden="1">[5]Comparison!$V$22</definedName>
    <definedName name="FDP_30_1_aSrv" hidden="1">[5]Comparison!$E$19</definedName>
    <definedName name="FDP_300_1_aSrv" hidden="1">[5]Comparison!$E$104</definedName>
    <definedName name="FDP_301_1_aSrv" hidden="1">[5]Comparison!$E$112</definedName>
    <definedName name="FDP_302_1_aSrv" hidden="1">[5]Comparison!$E$113</definedName>
    <definedName name="FDP_303_1_aSrv" hidden="1">[5]Comparison!$E$131</definedName>
    <definedName name="FDP_304_1_aSrv" hidden="1">[5]Comparison!$E$136</definedName>
    <definedName name="FDP_305_1_aSrv" hidden="1">[5]Comparison!$E$146</definedName>
    <definedName name="FDP_306_1_aSrv" hidden="1">[5]Comparison!$E$165</definedName>
    <definedName name="FDP_307_1_aSrv" hidden="1">[5]Comparison!$E$169</definedName>
    <definedName name="FDP_308_1_aSrv" hidden="1">[5]Comparison!$E$171</definedName>
    <definedName name="FDP_309_1_aSrv" hidden="1">[5]Comparison!$E$172</definedName>
    <definedName name="FDP_31_1_aSrv" hidden="1">[5]Comparison!$E$20</definedName>
    <definedName name="FDP_310_1_aSrv" hidden="1">[5]Comparison!$E$178</definedName>
    <definedName name="FDP_311_1_aSrv" hidden="1">[5]Comparison!$E$179</definedName>
    <definedName name="FDP_312_1_aSrv" hidden="1">[5]Comparison!$E$180</definedName>
    <definedName name="FDP_313_1_aSrv" hidden="1">[5]Comparison!$P$184</definedName>
    <definedName name="FDP_314_1_aSrv" hidden="1">[5]Comparison!$P$186</definedName>
    <definedName name="FDP_315_1_aSrv" hidden="1">[5]Comparison!$P$187</definedName>
    <definedName name="FDP_316_1_aSrv" hidden="1">[5]Comparison!$P$188</definedName>
    <definedName name="FDP_317_1_aSrv" hidden="1">[5]Comparison!$P$189</definedName>
    <definedName name="FDP_32_1_aUrv" hidden="1">[5]Comparison!$E$21</definedName>
    <definedName name="FDP_33_1_aUrv" hidden="1">[5]Comparison!$E$22</definedName>
    <definedName name="FDP_34_1_aUrv" hidden="1">[5]Comparison!$E$23</definedName>
    <definedName name="FDP_35_1_aUrv" hidden="1">[5]Comparison!$E$24</definedName>
    <definedName name="FDP_36_1_aUrv" hidden="1">[5]Comparison!$E$25</definedName>
    <definedName name="FDP_37_1_aSrv" hidden="1">[5]Comparison!$E$26</definedName>
    <definedName name="FDP_38_1_aUrv" hidden="1">[5]Comparison!$E$27</definedName>
    <definedName name="FDP_39_1_aUrv" hidden="1">[5]Comparison!$E$28</definedName>
    <definedName name="FDP_4_1_aUrv" hidden="1">[5]Comparison!$V$23</definedName>
    <definedName name="FDP_40_1_aUrv" hidden="1">[5]Comparison!$E$29</definedName>
    <definedName name="FDP_41_1_aUrv" hidden="1">[5]Comparison!$E$30</definedName>
    <definedName name="FDP_42_1_aUrv" hidden="1">[5]Comparison!$E$31</definedName>
    <definedName name="FDP_43_1_aUrv" hidden="1">[5]Comparison!$E$32</definedName>
    <definedName name="FDP_44_1_aUrv" hidden="1">[5]Comparison!$E$33</definedName>
    <definedName name="FDP_45_1_aUrv" hidden="1">[5]Comparison!$E$34</definedName>
    <definedName name="FDP_455_1_aSrv" hidden="1">[5]Comparison!$E$10</definedName>
    <definedName name="FDP_456_1_aSrv" hidden="1">[5]Comparison!$E$12</definedName>
    <definedName name="FDP_457_1_aSrv" hidden="1">[5]Comparison!$E$19</definedName>
    <definedName name="FDP_458_1_aSrv" hidden="1">[5]Comparison!$E$22</definedName>
    <definedName name="FDP_459_1_aSrv" hidden="1">[5]Comparison!$E$23</definedName>
    <definedName name="FDP_46_1_aUrv" hidden="1">[5]Comparison!$E$35</definedName>
    <definedName name="FDP_460_1_aSrv" hidden="1">[5]Comparison!$E$24</definedName>
    <definedName name="FDP_461_1_aSrv" hidden="1">[5]Comparison!$E$25</definedName>
    <definedName name="FDP_462_1_aSrv" hidden="1">[5]Comparison!$E$26</definedName>
    <definedName name="FDP_463_1_aSrv" hidden="1">[5]Comparison!$E$27</definedName>
    <definedName name="FDP_464_1_aSrv" hidden="1">[5]Comparison!$E$28</definedName>
    <definedName name="FDP_465_1_aSrv" hidden="1">[5]Comparison!$E$29</definedName>
    <definedName name="FDP_466_1_aSrv" hidden="1">[5]Comparison!$E$30</definedName>
    <definedName name="FDP_467_1_aSrv" hidden="1">[5]Comparison!$E$31</definedName>
    <definedName name="FDP_468_1_aSrv" hidden="1">[5]Comparison!$E$34</definedName>
    <definedName name="FDP_469_1_aSrv" hidden="1">[5]Comparison!$E$35</definedName>
    <definedName name="FDP_47_1_aUrv" hidden="1">[5]Comparison!$E$36</definedName>
    <definedName name="FDP_470_1_aSrv" hidden="1">[5]Comparison!$E$36</definedName>
    <definedName name="FDP_471_1_aSrv" hidden="1">[5]Comparison!$E$37</definedName>
    <definedName name="FDP_472_1_aSrv" hidden="1">[5]Comparison!$E$38</definedName>
    <definedName name="FDP_473_1_aSrv" hidden="1">[5]Comparison!$E$39</definedName>
    <definedName name="FDP_474_1_aSrv" hidden="1">[5]Comparison!$E$40</definedName>
    <definedName name="FDP_475_1_aSrv" hidden="1">[5]Comparison!$E$43</definedName>
    <definedName name="FDP_476_1_aSrv" hidden="1">[5]Comparison!$E$44</definedName>
    <definedName name="FDP_477_1_aSrv" hidden="1">[5]Comparison!$E$45</definedName>
    <definedName name="FDP_478_1_aSrv" hidden="1">[5]Comparison!$E$46</definedName>
    <definedName name="FDP_479_1_aSrv" hidden="1">[5]Comparison!$E$47</definedName>
    <definedName name="FDP_48_1_aUrv" hidden="1">[5]Comparison!$E$37</definedName>
    <definedName name="FDP_480_1_aSrv" hidden="1">[5]Comparison!$E$48</definedName>
    <definedName name="FDP_481_1_aSrv" hidden="1">[5]Comparison!$E$49</definedName>
    <definedName name="FDP_482_1_aSrv" hidden="1">[5]Comparison!$E$54</definedName>
    <definedName name="FDP_483_1_aSrv" hidden="1">[5]Comparison!$E$55</definedName>
    <definedName name="FDP_484_1_aSrv" hidden="1">[5]Comparison!$E$56</definedName>
    <definedName name="FDP_485_1_aSrv" hidden="1">[5]Comparison!$E$57</definedName>
    <definedName name="FDP_486_1_aSrv" hidden="1">[5]Comparison!$E$58</definedName>
    <definedName name="FDP_487_1_aSrv" hidden="1">[5]Comparison!$E$59</definedName>
    <definedName name="FDP_488_1_aSrv" hidden="1">[5]Comparison!$E$60</definedName>
    <definedName name="FDP_489_1_aSrv" hidden="1">[5]Comparison!$E$61</definedName>
    <definedName name="FDP_49_1_aUrv" hidden="1">[5]Comparison!$E$38</definedName>
    <definedName name="FDP_490_1_aSrv" hidden="1">[5]Comparison!$E$62</definedName>
    <definedName name="FDP_491_1_aSrv" hidden="1">[5]Comparison!$E$65</definedName>
    <definedName name="FDP_492_1_aSrv" hidden="1">[5]Comparison!$E$66</definedName>
    <definedName name="FDP_493_1_aSrv" hidden="1">[5]Comparison!$E$67</definedName>
    <definedName name="FDP_494_1_aSrv" hidden="1">[5]Comparison!$E$68</definedName>
    <definedName name="FDP_495_1_aSrv" hidden="1">[5]Comparison!$E$69</definedName>
    <definedName name="FDP_496_1_aSrv" hidden="1">[5]Comparison!$E$70</definedName>
    <definedName name="FDP_497_1_aSrv" hidden="1">[5]Comparison!$E$73</definedName>
    <definedName name="FDP_498_1_aSrv" hidden="1">[5]Comparison!$E$74</definedName>
    <definedName name="FDP_499_1_aSrv" hidden="1">[5]Comparison!$E$75</definedName>
    <definedName name="FDP_5_1_aUrv" hidden="1">[5]Comparison!$V$24</definedName>
    <definedName name="FDP_50_1_aSrv" hidden="1">[5]Comparison!$E$39</definedName>
    <definedName name="FDP_500_1_aSrv" hidden="1">[5]Comparison!$E$76</definedName>
    <definedName name="FDP_501_1_aSrv" hidden="1">[5]Comparison!$E$77</definedName>
    <definedName name="FDP_502_1_aSrv" hidden="1">[5]Comparison!$E$81</definedName>
    <definedName name="FDP_503_1_aSrv" hidden="1">[5]Comparison!$E$82</definedName>
    <definedName name="FDP_504_1_aSrv" hidden="1">[5]Comparison!$E$83</definedName>
    <definedName name="FDP_505_1_aSrv" hidden="1">[5]Comparison!$E$84</definedName>
    <definedName name="FDP_506_1_aSrv" hidden="1">[5]Comparison!$E$85</definedName>
    <definedName name="FDP_507_1_aSrv" hidden="1">[5]Comparison!$E$86</definedName>
    <definedName name="FDP_508_1_aSrv" hidden="1">[5]Comparison!$E$87</definedName>
    <definedName name="FDP_509_1_aSrv" hidden="1">[5]Comparison!$E$92</definedName>
    <definedName name="FDP_51_1_aSrv" hidden="1">[5]Comparison!$E$40</definedName>
    <definedName name="FDP_510_1_aSrv" hidden="1">[5]Comparison!$E$93</definedName>
    <definedName name="FDP_511_1_aSrv" hidden="1">[5]Comparison!$E$94</definedName>
    <definedName name="FDP_512_1_aSrv" hidden="1">[5]Comparison!$E$95</definedName>
    <definedName name="FDP_513_1_aSrv" hidden="1">[5]Comparison!$E$96</definedName>
    <definedName name="FDP_514_1_aSrv" hidden="1">[5]Comparison!$E$98</definedName>
    <definedName name="FDP_515_1_aSrv" hidden="1">[5]Comparison!$E$99</definedName>
    <definedName name="FDP_516_1_aSrv" hidden="1">[5]Comparison!$E$100</definedName>
    <definedName name="FDP_517_1_aSrv" hidden="1">[5]Comparison!$E$101</definedName>
    <definedName name="FDP_518_1_aSrv" hidden="1">[5]Comparison!$E$102</definedName>
    <definedName name="FDP_519_1_aSrv" hidden="1">[5]Comparison!$E$103</definedName>
    <definedName name="FDP_52_1_aUrv" hidden="1">[5]Comparison!$E$41</definedName>
    <definedName name="FDP_520_1_aSrv" hidden="1">[5]Comparison!$E$104</definedName>
    <definedName name="FDP_521_1_aSrv" hidden="1">[5]Comparison!$E$107</definedName>
    <definedName name="FDP_522_1_aSrv" hidden="1">[5]Comparison!$E$109</definedName>
    <definedName name="FDP_523_1_aSrv" hidden="1">[5]Comparison!$E$110</definedName>
    <definedName name="FDP_524_1_aSrv" hidden="1">[5]Comparison!$E$111</definedName>
    <definedName name="FDP_525_1_aSrv" hidden="1">[5]Comparison!$E$112</definedName>
    <definedName name="FDP_526_1_aSrv" hidden="1">[5]Comparison!$E$113</definedName>
    <definedName name="FDP_527_1_aSrv" hidden="1">[5]Comparison!$E$114</definedName>
    <definedName name="FDP_528_1_aSrv" hidden="1">[5]Comparison!$E$115</definedName>
    <definedName name="FDP_529_1_aSrv" hidden="1">[5]Comparison!$E$116</definedName>
    <definedName name="FDP_53_1_aUrv" hidden="1">[5]Comparison!$E$42</definedName>
    <definedName name="FDP_530_1_aSrv" hidden="1">[5]Comparison!$E$117</definedName>
    <definedName name="FDP_531_1_aSrv" hidden="1">[5]Comparison!$E$118</definedName>
    <definedName name="FDP_532_1_aSrv" hidden="1">[5]Comparison!$E$119</definedName>
    <definedName name="FDP_533_1_aSrv" hidden="1">[5]Comparison!$E$120</definedName>
    <definedName name="FDP_534_1_aSrv" hidden="1">[5]Comparison!$E$121</definedName>
    <definedName name="FDP_535_1_aSrv" hidden="1">[5]Comparison!$E$122</definedName>
    <definedName name="FDP_536_1_aSrv" hidden="1">[5]Comparison!$E$123</definedName>
    <definedName name="FDP_537_1_aSrv" hidden="1">[5]Comparison!$E$124</definedName>
    <definedName name="FDP_538_1_aSrv" hidden="1">[5]Comparison!$E$128</definedName>
    <definedName name="FDP_539_1_aSrv" hidden="1">[5]Comparison!$E$127</definedName>
    <definedName name="FDP_54_1_aUrv" hidden="1">[5]Comparison!$E$43</definedName>
    <definedName name="FDP_540_1_aSrv" hidden="1">[5]Comparison!$E$129</definedName>
    <definedName name="FDP_541_1_aSrv" hidden="1">[5]Comparison!$E$130</definedName>
    <definedName name="FDP_542_1_aSrv" hidden="1">[5]Comparison!$E$132</definedName>
    <definedName name="FDP_543_1_aSrv" hidden="1">[5]Comparison!$E$133</definedName>
    <definedName name="FDP_544_1_aSrv" hidden="1">[5]Comparison!$E$134</definedName>
    <definedName name="FDP_545_1_aSrv" hidden="1">[5]Comparison!$E$140</definedName>
    <definedName name="FDP_546_1_aSrv" hidden="1">[5]Comparison!$E$141</definedName>
    <definedName name="FDP_547_1_aSrv" hidden="1">[5]Comparison!$E$142</definedName>
    <definedName name="FDP_548_1_aSrv" hidden="1">[5]Comparison!$E$143</definedName>
    <definedName name="FDP_549_1_aUrv" hidden="1">[5]Comparison!$O$1</definedName>
    <definedName name="FDP_55_1_aUrv" hidden="1">[5]Comparison!$E$44</definedName>
    <definedName name="FDP_550_1_aUrv" hidden="1">[5]Comparison!$Q$62</definedName>
    <definedName name="FDP_551_1_aUrv" hidden="1">[5]Comparison!$Q$84</definedName>
    <definedName name="FDP_552_1_aUrv" hidden="1">[5]Comparison!$Q$1</definedName>
    <definedName name="FDP_553_1_aUrv" hidden="1">[5]Comparison!$S$1</definedName>
    <definedName name="FDP_554_1_aUrv" hidden="1">[5]Comparison!$E$249</definedName>
    <definedName name="FDP_56_1_aUrv" hidden="1">[5]Comparison!$E$45</definedName>
    <definedName name="FDP_57_1_aSrv" hidden="1">[5]Comparison!$E$46</definedName>
    <definedName name="FDP_58_1_aUrv" hidden="1">[5]Comparison!$E$47</definedName>
    <definedName name="FDP_59_1_aSrv" hidden="1">[5]Comparison!$E$48</definedName>
    <definedName name="FDP_6_1_aUrv" hidden="1">[5]Comparison!$Y$21</definedName>
    <definedName name="FDP_60_1_aUrv" hidden="1">[5]Comparison!$E$49</definedName>
    <definedName name="FDP_608_1_aUrv" hidden="1">[5]Comparison!$Z$10</definedName>
    <definedName name="FDP_609_1_aSrv" hidden="1">[5]Comparison!$E$48</definedName>
    <definedName name="FDP_61_1_aUrv" hidden="1">[5]Comparison!$E$50</definedName>
    <definedName name="FDP_610_1_aSrv" hidden="1">[5]Comparison!$E$70</definedName>
    <definedName name="FDP_612_1_aSrv" hidden="1">[5]Comparison!$E$339</definedName>
    <definedName name="FDP_613_1_aSrv" hidden="1">[5]Comparison!$E$340</definedName>
    <definedName name="FDP_614_1_aSrv" hidden="1">[5]Comparison!$E$341</definedName>
    <definedName name="FDP_615_1_aSrv" hidden="1">[5]Comparison!$E$342</definedName>
    <definedName name="FDP_616_1_aSrv" hidden="1">[5]Comparison!$E$343</definedName>
    <definedName name="FDP_617_1_aSrv" hidden="1">[5]Comparison!$E$344</definedName>
    <definedName name="FDP_618_1_aSrv" hidden="1">[5]Comparison!$E$345</definedName>
    <definedName name="FDP_619_1_aSrv" hidden="1">[5]Comparison!$E$346</definedName>
    <definedName name="FDP_62_1_aUrv" hidden="1">[5]Comparison!$E$51</definedName>
    <definedName name="FDP_620_1_aSrv" hidden="1">[5]Comparison!$E$347</definedName>
    <definedName name="FDP_63_1_aUrv" hidden="1">[5]Comparison!$E$52</definedName>
    <definedName name="FDP_64_1_aUrv" hidden="1">[5]Comparison!$E$53</definedName>
    <definedName name="FDP_65_1_aSrv" hidden="1">[5]Comparison!$E$54</definedName>
    <definedName name="FDP_66_1_aUrv" hidden="1">[5]Comparison!$E$55</definedName>
    <definedName name="FDP_67_1_aSrv" hidden="1">[5]Comparison!$E$56</definedName>
    <definedName name="FDP_68_1_aUrv" hidden="1">[5]Comparison!$E$57</definedName>
    <definedName name="FDP_69_1_aSrv" hidden="1">[5]Comparison!$E$58</definedName>
    <definedName name="FDP_7_1_aUrv" hidden="1">[5]Comparison!$Y$22</definedName>
    <definedName name="FDP_70_1_aSrv" hidden="1">[5]Comparison!$E$59</definedName>
    <definedName name="FDP_71_1_aUrv" hidden="1">[5]Comparison!$E$60</definedName>
    <definedName name="FDP_72_1_aUrv" hidden="1">[5]Comparison!$E$61</definedName>
    <definedName name="FDP_73_1_aSrv" hidden="1">[5]Comparison!$E$62</definedName>
    <definedName name="FDP_74_1_aSrv" hidden="1">[5]Comparison!$E$63</definedName>
    <definedName name="FDP_75_1_aUrv" hidden="1">[5]Comparison!$F$64</definedName>
    <definedName name="FDP_76_1_aSrv" hidden="1">[5]Comparison!$E$65</definedName>
    <definedName name="FDP_77_1_aSrv" hidden="1">[5]Comparison!$E$66</definedName>
    <definedName name="FDP_78_1_aUrv" hidden="1">[5]Comparison!$E$67</definedName>
    <definedName name="FDP_79_1_aUrv" hidden="1">[5]Comparison!$E$68</definedName>
    <definedName name="FDP_8_1_aUrv" hidden="1">[5]Comparison!$Y$23</definedName>
    <definedName name="FDP_80_1_aUrv" hidden="1">[5]Comparison!$E$69</definedName>
    <definedName name="FDP_81_1_aUrv" hidden="1">[5]Comparison!$E$70</definedName>
    <definedName name="FDP_82_1_aUrv" hidden="1">[5]Comparison!$E$71</definedName>
    <definedName name="FDP_83_1_aUrv" hidden="1">[5]Comparison!$E$72</definedName>
    <definedName name="FDP_84_1_aUrv" hidden="1">[5]Comparison!$E$73</definedName>
    <definedName name="FDP_85_1_aUrv" hidden="1">[5]Comparison!$E$74</definedName>
    <definedName name="FDP_86_1_aUrv" hidden="1">[5]Comparison!$E$75</definedName>
    <definedName name="FDP_87_1_aUrv" hidden="1">[5]Comparison!$E$76</definedName>
    <definedName name="FDP_88_1_aUrv" hidden="1">[5]Comparison!$E$77</definedName>
    <definedName name="FDP_89_1_aUrv" hidden="1">[5]Comparison!$E$78</definedName>
    <definedName name="FDP_9_1_aUrv" hidden="1">[5]Comparison!$Y$24</definedName>
    <definedName name="FDP_90_1_aUrv" hidden="1">[5]Comparison!$E$79</definedName>
    <definedName name="FDP_91_1_aUrv" hidden="1">[5]Comparison!$E$80</definedName>
    <definedName name="FDP_92_1_aUrv" hidden="1">[5]Comparison!$E$81</definedName>
    <definedName name="FDP_93_1_aUrv" hidden="1">[5]Comparison!$E$82</definedName>
    <definedName name="FDP_94_1_aUrv" hidden="1">[5]Comparison!$E$83</definedName>
    <definedName name="FDP_95_1_aUrv" hidden="1">[5]Comparison!$E$84</definedName>
    <definedName name="FDP_96_1_aUrv" hidden="1">[5]Comparison!$E$92</definedName>
    <definedName name="FDP_97_1_aUrv" hidden="1">[5]Comparison!$E$93</definedName>
    <definedName name="FDP_98_1_aUrv" hidden="1">[5]Comparison!$E$94</definedName>
    <definedName name="FDP_99_1_aUrv" hidden="1">[5]Comparison!$E$95</definedName>
    <definedName name="FiveYearGrowthRate" localSheetId="10">IndexInformation!$B$16</definedName>
    <definedName name="FollowingYearEPS" localSheetId="10">IndexInformation!$B$15</definedName>
    <definedName name="FollowingYearTotalRevenue" localSheetId="10">IndexInformation!$B$14</definedName>
    <definedName name="FollowingYearTotalRevenueActual" localSheetId="10">IndexInformation!$B$34</definedName>
    <definedName name="forecast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GGG" localSheetId="5" hidden="1">{"quartfin",#N/A,FALSE,"quartfin"}</definedName>
    <definedName name="GGG" hidden="1">{"quartfin",#N/A,FALSE,"quartfin"}</definedName>
    <definedName name="gggg" localSheetId="5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gggg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HHIhs" localSheetId="5" hidden="1">{"short1",#N/A,FALSE,"masmode";"short2",#N/A,FALSE,"masmode";"qtrres",#N/A,FALSE,"QTR. RES.";"sales",#N/A,FALSE,"Sales &amp; Market Share"}</definedName>
    <definedName name="HHIhs" hidden="1">{"short1",#N/A,FALSE,"masmode";"short2",#N/A,FALSE,"masmode";"qtrres",#N/A,FALSE,"QTR. RES.";"sales",#N/A,FALSE,"Sales &amp; Market Share"}</definedName>
    <definedName name="hi" localSheetId="5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hi" hidden="1">{"fdsup://directions/FAT Viewer?action=UPDATE&amp;creator=factset&amp;DYN_ARGS=TRUE&amp;DOC_NAME=FAT:FQL_AUDITING_CLIENT_TEMPLATE.FAT&amp;display_string=Audit&amp;VAR:KEY=LWNEPKPEBA&amp;VAR:QUERY=RkZfRUJJVERBX0lCKCdBTk4nLDIwMDgp&amp;WINDOW=FIRST_POPUP&amp;HEIGHT=450&amp;WIDTH=450&amp;START_MAXIMI","ZED=FALSE&amp;VAR:CALENDAR=FIVEDAY&amp;VAR:SYMBOL=PFE&amp;VAR:INDEX=0"}</definedName>
    <definedName name="HL" localSheetId="11">ModPubIndex!$A$8</definedName>
    <definedName name="hn.ModelVersion" hidden="1">1</definedName>
    <definedName name="hn.NoUpload" hidden="1">0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i" hidden="1">'[6]Qtr Income'!$A$1:$W$160</definedName>
    <definedName name="Img_ML_7g5e5e2b" hidden="1">"IMG_12"</definedName>
    <definedName name="IND" localSheetId="11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fgod" localSheetId="5" hidden="1">{"monthlyunits",#N/A,FALSE,"openings"}</definedName>
    <definedName name="Infgod" hidden="1">{"monthlyunits",#N/A,FALSE,"openings"}</definedName>
    <definedName name="Infosed" localSheetId="5" hidden="1">{"quartfin",#N/A,FALSE,"quartfin"}</definedName>
    <definedName name="Infosed" hidden="1">{"quartfin",#N/A,FALSE,"quartfin"}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40084.4202199074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39489.6256597222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"iQShowAll"</definedName>
    <definedName name="KeepVersions" localSheetId="10">IndexInformation!$B$8</definedName>
    <definedName name="LanguageCode">IndexInformation!$B$38</definedName>
    <definedName name="LastCell" localSheetId="0">ImportantDisclosures!$A$22</definedName>
    <definedName name="limcount" hidden="1">1</definedName>
    <definedName name="Linking_10">CF!$B$2:$P$44</definedName>
    <definedName name="Linking_11">"Source: Company Reports, Bloomberg, Morgan Stanley Research"</definedName>
    <definedName name="Linking_12">'hATTR-CM Mkt Model'!$B$15:$P$129</definedName>
    <definedName name="Linking_13" localSheetId="6">Givosiran!$B$15:$P$74</definedName>
    <definedName name="Linking_13">Fitusiran!$B$25:$P$147</definedName>
    <definedName name="Linking_14">IS!$B$4:$BT$48</definedName>
    <definedName name="Linking_19">IS!$B$4:$BT$61</definedName>
    <definedName name="Linking_22">IS!$B$4:$CS$45</definedName>
    <definedName name="Linking_23">BS!$C$2:$V$40</definedName>
    <definedName name="Linking_24">CF!$B$2:$U$44</definedName>
    <definedName name="Linking_26">IS!$B$4:$CS$48</definedName>
    <definedName name="Linking_3">DCF!$B$4:$U$28</definedName>
    <definedName name="Linking_4">'hATTR-PN Mkt Model'!$B$30:$P$117</definedName>
    <definedName name="Linking_5">'hATTR-PN Mkt Model'!$B$30:$P$159</definedName>
    <definedName name="Linking_6">'hATTR-CM Mkt Model'!$B$15:$P$130</definedName>
    <definedName name="Linking_7" localSheetId="6">Givosiran!$B$15:$P$74</definedName>
    <definedName name="Linking_7">Fitusiran!$B$25:$P$147</definedName>
    <definedName name="Linking_8">IS!$B$4:$BT$45</definedName>
    <definedName name="Linking_9">BS!$C$2:$Q$40</definedName>
    <definedName name="Linking_Range_54">IS!$B$4:$BJ$61</definedName>
    <definedName name="MacroVersion" localSheetId="10">IndexInformation!$B$1</definedName>
    <definedName name="ModelPrice" localSheetId="0">ImportantDisclosures!$A$14</definedName>
    <definedName name="Multiplier" localSheetId="10">IndexInformation!$B$35</definedName>
    <definedName name="new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xtYearEPS" localSheetId="10">IndexInformation!$B$13</definedName>
    <definedName name="NextYearTotalRevenue" localSheetId="10">IndexInformation!$B$12</definedName>
    <definedName name="NextYearTotalRevenueActual" localSheetId="10">IndexInformation!$B$33</definedName>
    <definedName name="ObjectType">IndexInformation!$B$37</definedName>
    <definedName name="PANA" localSheetId="11">ModPubIndex!$A$11</definedName>
    <definedName name="PathName" localSheetId="10">IndexInformation!$B$25</definedName>
    <definedName name="PRODUCT" localSheetId="11">ModPubIndex!$A$6</definedName>
    <definedName name="PSYM" localSheetId="11">ModPubIndex!$A$4</definedName>
    <definedName name="PublishDate" localSheetId="10">IndexInformation!$B$2</definedName>
    <definedName name="q" hidden="1">'[6]Qtr Sales'!$EM$2:$FJ$127</definedName>
    <definedName name="Rating" localSheetId="10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" localSheetId="5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epairedName0004" hidden="1">"iQShowAnnual"</definedName>
    <definedName name="RepairedName0035" hidden="1">"iQShowAnnual"</definedName>
    <definedName name="RepairedName0074" hidden="1">"iQShowAnnual"</definedName>
    <definedName name="RepairedName2249" hidden="1">"iQShowAnnual"</definedName>
    <definedName name="ResearchTopic" localSheetId="10">IndexInformation!$B$4</definedName>
    <definedName name="RIC" localSheetId="10">IndexInformation!$B$21</definedName>
    <definedName name="SECSettlement" localSheetId="0">ImportantDisclosures!#REF!</definedName>
    <definedName name="SEDOL" localSheetId="10">IndexInformation!$B$22</definedName>
    <definedName name="sencount" hidden="1">1</definedName>
    <definedName name="SourceDefined" localSheetId="0">ImportantDisclosures!$A$19</definedName>
    <definedName name="StockRating" localSheetId="0">ImportantDisclosures!$A$11</definedName>
    <definedName name="SubjectCode" localSheetId="10">IndexInformation!$B$6</definedName>
    <definedName name="SubmitterUserId">IndexInformation!$B$39</definedName>
    <definedName name="Summary_IS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mmary_IS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SUPPRESSED" localSheetId="11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10">IndexInformation!$B$19</definedName>
    <definedName name="UpdateReason" localSheetId="10">IndexInformation!$B$17</definedName>
    <definedName name="USRegDisclosures" localSheetId="0">ImportantDisclosures!#REF!</definedName>
    <definedName name="wrn.AGN._.MODELS." localSheetId="5" hidden="1">{"QTRINC1",#N/A,FALSE,"QTRINC";"QTRINC2",#N/A,FALSE,"QTRINC";"QTRSALES",#N/A,FALSE,"QTRSALES";"ANNSALES",#N/A,FALSE,"ANNSALES";"CASHFLOW",#N/A,FALSE,"CASHFLOW"}</definedName>
    <definedName name="wrn.AGN._.MODELS." hidden="1">{"QTRINC1",#N/A,FALSE,"QTRINC";"QTRINC2",#N/A,FALSE,"QTRINC";"QTRSALES",#N/A,FALSE,"QTRSALES";"ANNSALES",#N/A,FALSE,"ANNSALES";"CASHFLOW",#N/A,FALSE,"CASHFLOW"}</definedName>
    <definedName name="wrn.AHP._.MODELS." localSheetId="5" hidden="1">{"QTRINC",#N/A,FALSE,"QTRINC";"MARGIN",#N/A,FALSE,"MARGIN";"CASHFLOW",#N/A,FALSE,"CASHFLOW"}</definedName>
    <definedName name="wrn.AHP._.MODELS." hidden="1">{"QTRINC",#N/A,FALSE,"QTRINC";"MARGIN",#N/A,FALSE,"MARGIN";"CASHFLOW",#N/A,FALSE,"CASHFLOW"}</definedName>
    <definedName name="wrn.allpages." localSheetId="5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nnual._.Operating._.Earnings." localSheetId="5" hidden="1">{"Annual 1996",#N/A,FALSE,"Ann-Op (Mng)";"Annual 1996",#N/A,FALSE,"Ann-Op (Rep)";"Operating Vs. Reported Earnings",#N/A,FALSE,"Rpt-Op Inc"}</definedName>
    <definedName name="wrn.Annual._.Operating._.Earnings." hidden="1">{"Annual 1996",#N/A,FALSE,"Ann-Op (Mng)";"Annual 1996",#N/A,FALSE,"Ann-Op (Rep)";"Operating Vs. Reported Earnings",#N/A,FALSE,"Rpt-Op Inc"}</definedName>
    <definedName name="wrn.Annual._.Operating._.Earnings1." localSheetId="5" hidden="1">{"Annual 1996",#N/A,FALSE,"Ann-Op (Mng)";"Annual 1996",#N/A,FALSE,"Ann-Op (Rep)";"Operating Vs. Reported Earnings",#N/A,FALSE,"Rpt-Op Inc"}</definedName>
    <definedName name="wrn.Annual._.Operating._.Earnings1." hidden="1">{"Annual 1996",#N/A,FALSE,"Ann-Op (Mng)";"Annual 1996",#N/A,FALSE,"Ann-Op (Rep)";"Operating Vs. Reported Earnings",#N/A,FALSE,"Rpt-Op Inc"}</definedName>
    <definedName name="wrn.BasicModel." localSheetId="5" hidden="1">{"MacroCo",#N/A,FALSE,"masmode";"IncomeS",#N/A,FALSE,"masmode";"BalanceS",#N/A,FALSE,"masmode";"CashF",#N/A,FALSE,"masmode";"Ratios",#N/A,FALSE,"masmode";"DebtFC",#N/A,FALSE,"masmode"}</definedName>
    <definedName name="wrn.BasicModel." hidden="1">{"MacroCo",#N/A,FALSE,"masmode";"IncomeS",#N/A,FALSE,"masmode";"BalanceS",#N/A,FALSE,"masmode";"CashF",#N/A,FALSE,"masmode";"Ratios",#N/A,FALSE,"masmode";"DebtFC",#N/A,FALSE,"masmode"}</definedName>
    <definedName name="wrn.Earnings._.Model.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finstat." localSheetId="5" hidden="1">{"ass",#N/A,FALSE,"finstat";"inc",#N/A,FALSE,"finstat";"bs",#N/A,FALSE,"finstat";"cf",#N/A,FALSE,"finstat";"ratios",#N/A,FALSE,"finstat"}</definedName>
    <definedName name="wrn.finstat." hidden="1">{"ass",#N/A,FALSE,"finstat";"inc",#N/A,FALSE,"finstat";"bs",#N/A,FALSE,"finstat";"cf",#N/A,FALSE,"finstat";"ratios",#N/A,FALSE,"finstat"}</definedName>
    <definedName name="wrn.Forecast._.Q1.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5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ull._.Report." localSheetId="5" hidden="1">{#N/A,#N/A,FALSE,"COVER";#N/A,#N/A,FALSE,"VALUATION";#N/A,#N/A,FALSE,"FORECAST";#N/A,#N/A,FALSE,"FY ANALYSIS ";#N/A,#N/A,FALSE," HY ANALYSIS"}</definedName>
    <definedName name="wrn.Full._.Report." hidden="1">{#N/A,#N/A,FALSE,"COVER";#N/A,#N/A,FALSE,"VALUATION";#N/A,#N/A,FALSE,"FORECAST";#N/A,#N/A,FALSE,"FY ANALYSIS ";#N/A,#N/A,FALSE," HY ANALYSIS"}</definedName>
    <definedName name="wrn.inc." localSheetId="5" hidden="1">{"inc",#N/A,FALSE,"finstat"}</definedName>
    <definedName name="wrn.inc." hidden="1">{"inc",#N/A,FALSE,"finstat"}</definedName>
    <definedName name="wrn.MODELS." localSheetId="5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DELS." hidden="1">{"QTR1",#N/A,FALSE,"WLA";"QTR2",#N/A,FALSE,"WLA";"QTRSALES1",#N/A,FALSE,"QTRSALES";"QTRSALES2",#N/A,FALSE,"QTRSALES";"QTRSALES3",#N/A,FALSE,"QTRSALES";"ANNSALES1",#N/A,FALSE,"ANNSALES";"ANNSALES2",#N/A,FALSE,"ANNSALES";"ANNSALES3",#N/A,FALSE,"ANNSALES";"SEGSMARGIN",#N/A,FALSE,"SEGS-MARGIN";"CASHFLOW",#N/A,FALSE,"CASHFLOW";"NEWPRODS",#N/A,FALSE,"NEWPRODS"}</definedName>
    <definedName name="wrn.monthlyunits." localSheetId="5" hidden="1">{"monthlyunits",#N/A,FALSE,"openings"}</definedName>
    <definedName name="wrn.monthlyunits." hidden="1">{"monthlyunits",#N/A,FALSE,"openings"}</definedName>
    <definedName name="wrn.Qtr._.Op._.Q1." localSheetId="5" hidden="1">{"Qtr Op Mgd Q1",#N/A,FALSE,"Qtr-Op (Mng)";"Qtr Op Rpt Q1",#N/A,FALSE,"Qtr-Op (Rpt)";"Operating Vs Reported",#N/A,FALSE,"Rpt-Op Inc"}</definedName>
    <definedName name="wrn.Qtr._.Op._.Q1." hidden="1">{"Qtr Op Mgd Q1",#N/A,FALSE,"Qtr-Op (Mng)";"Qtr Op Rpt Q1",#N/A,FALSE,"Qtr-Op (Rpt)";"Operating Vs Reported",#N/A,FALSE,"Rpt-Op Inc"}</definedName>
    <definedName name="wrn.Qtr._.Op._.Q2." localSheetId="5" hidden="1">{"Qtr Op Mgd Q2",#N/A,FALSE,"Qtr-Op (Mng)";"Qtr Op Rpt Q2",#N/A,FALSE,"Qtr-Op (Rpt)";"Operating Vs Reported",#N/A,FALSE,"Rpt-Op Inc"}</definedName>
    <definedName name="wrn.Qtr._.Op._.Q2." hidden="1">{"Qtr Op Mgd Q2",#N/A,FALSE,"Qtr-Op (Mng)";"Qtr Op Rpt Q2",#N/A,FALSE,"Qtr-Op (Rpt)";"Operating Vs Reported",#N/A,FALSE,"Rpt-Op Inc"}</definedName>
    <definedName name="wrn.Qtr._.Op._.Q3." localSheetId="5" hidden="1">{"Qtr Op Mgd Q3",#N/A,FALSE,"Qtr-Op (Mng)";"Qtr Op Rpt Q3",#N/A,FALSE,"Qtr-Op (Rpt)";"Operating Vs Reported",#N/A,FALSE,"Rpt-Op Inc"}</definedName>
    <definedName name="wrn.Qtr._.Op._.Q3." hidden="1">{"Qtr Op Mgd Q3",#N/A,FALSE,"Qtr-Op (Mng)";"Qtr Op Rpt Q3",#N/A,FALSE,"Qtr-Op (Rpt)";"Operating Vs Reported",#N/A,FALSE,"Rpt-Op Inc"}</definedName>
    <definedName name="wrn.Qtr._.Op._.Q4." localSheetId="5" hidden="1">{"Qtr Op Mgd Q3",#N/A,FALSE,"Qtr-Op (Mng)";"Qtr Op Rpt Q4",#N/A,FALSE,"Qtr-Op (Rpt)";"Operating Vs Reported",#N/A,FALSE,"Rpt-Op Inc"}</definedName>
    <definedName name="wrn.Qtr._.Op._.Q4." hidden="1">{"Qtr Op Mgd Q3",#N/A,FALSE,"Qtr-Op (Mng)";"Qtr Op Rpt Q4",#N/A,FALSE,"Qtr-Op (Rpt)";"Operating Vs Reported",#N/A,FALSE,"Rpt-Op Inc"}</definedName>
    <definedName name="wrn.Qtr._.Op._Q2a." localSheetId="5" hidden="1">{"Qtr Op Mgd Q2",#N/A,FALSE,"Qtr-Op (Mng)";"Qtr Op Rpt Q2",#N/A,FALSE,"Qtr-Op (Rpt)";"Operating Vs Reported",#N/A,FALSE,"Rpt-Op Inc"}</definedName>
    <definedName name="wrn.Qtr._.Op._Q2a." hidden="1">{"Qtr Op Mgd Q2",#N/A,FALSE,"Qtr-Op (Mng)";"Qtr Op Rpt Q2",#N/A,FALSE,"Qtr-Op (Rpt)";"Operating Vs Reported",#N/A,FALSE,"Rpt-Op Inc"}</definedName>
    <definedName name="wrn.Qtr_.Op._.Q4." localSheetId="5" hidden="1">{"Qtr Op Mgd Q3",#N/A,FALSE,"Qtr-Op (Mng)";"Qtr Op Rpt Q4",#N/A,FALSE,"Qtr-Op (Rpt)";"Operating Vs Reported",#N/A,FALSE,"Rpt-Op Inc"}</definedName>
    <definedName name="wrn.Qtr_.Op._.Q4." hidden="1">{"Qtr Op Mgd Q3",#N/A,FALSE,"Qtr-Op (Mng)";"Qtr Op Rpt Q4",#N/A,FALSE,"Qtr-Op (Rpt)";"Operating Vs Reported",#N/A,FALSE,"Rpt-Op Inc"}</definedName>
    <definedName name="wrn.quart." localSheetId="5" hidden="1">{"quart",#N/A,FALSE,"quartfin"}</definedName>
    <definedName name="wrn.quart." hidden="1">{"quart",#N/A,FALSE,"quartfin"}</definedName>
    <definedName name="wrn.quartfin." localSheetId="5" hidden="1">{"quartfin",#N/A,FALSE,"quartfin"}</definedName>
    <definedName name="wrn.quartfin." hidden="1">{"quartfin",#N/A,FALSE,"quartfin"}</definedName>
    <definedName name="wrn.Report." localSheetId="5" hidden="1">{#N/A,#N/A,FALSE,"COVER";#N/A,#N/A,FALSE,"FORECAST";#N/A,#N/A,FALSE,"VALUATION";#N/A,#N/A,FALSE,"FY ANALYSIS ";#N/A,#N/A,FALSE," HY ANALYSIS"}</definedName>
    <definedName name="wrn.Report." hidden="1">{#N/A,#N/A,FALSE,"COVER";#N/A,#N/A,FALSE,"FORECAST";#N/A,#N/A,FALSE,"VALUATION";#N/A,#N/A,FALSE,"FY ANALYSIS ";#N/A,#N/A,FALSE," HY ANALYSIS"}</definedName>
    <definedName name="wrn.salesassum." localSheetId="5" hidden="1">{"Salesass",#N/A,FALSE,"assumpt"}</definedName>
    <definedName name="wrn.salesassum." hidden="1">{"Salesass",#N/A,FALSE,"assumpt"}</definedName>
    <definedName name="wrn.SGPMODELS." localSheetId="5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GPMODELS." hidden="1">{"QTRINC1",#N/A,FALSE,"SGPNEW";"QTRINC2",#N/A,FALSE,"SGPNEW";"USSALES1",#N/A,FALSE,"SGPNEW";"USSALES2",#N/A,FALSE,"SGPNEW";"INTLSALES1",#N/A,FALSE,"SGPNEW";"INTLSALES2",#N/A,FALSE,"SGPNEW";"WWSALES1",#N/A,FALSE,"SGPNEW";"WWSALES2",#N/A,FALSE,"SGPNEW";"NEWPRODS",#N/A,FALSE,"SGPNEW";"CASHFLOW",#N/A,FALSE,"SGPNEW"}</definedName>
    <definedName name="wrn.Short._.Report." localSheetId="5" hidden="1">{"short1",#N/A,FALSE,"masmode";"short2",#N/A,FALSE,"masmode";"qtrres",#N/A,FALSE,"QTR. RES.";"sales",#N/A,FALSE,"Sales &amp; Market Share"}</definedName>
    <definedName name="wrn.Short._.Report." hidden="1">{"short1",#N/A,FALSE,"masmode";"short2",#N/A,FALSE,"masmode";"qtrres",#N/A,FALSE,"QTR. RES.";"sales",#N/A,FALSE,"Sales &amp; Market Share"}</definedName>
    <definedName name="wrn.Variance._.3." localSheetId="5" hidden="1">{"Variance Q3",#N/A,FALSE,"Var"}</definedName>
    <definedName name="wrn.Variance._.3." hidden="1">{"Variance Q3",#N/A,FALSE,"Var"}</definedName>
    <definedName name="wrn.Variance._.Q1." localSheetId="5" hidden="1">{"Variance Q1",#N/A,FALSE,"Var"}</definedName>
    <definedName name="wrn.Variance._.Q1." hidden="1">{"Variance Q1",#N/A,FALSE,"Var"}</definedName>
    <definedName name="wrn.Variance._.Q2." localSheetId="5" hidden="1">{"Variance Q2",#N/A,FALSE,"Var"}</definedName>
    <definedName name="wrn.Variance._.Q2." hidden="1">{"Variance Q2",#N/A,FALSE,"Var"}</definedName>
    <definedName name="wrn.Variance._.Q3." localSheetId="5" hidden="1">{"Variance Q3",#N/A,FALSE,"Var"}</definedName>
    <definedName name="wrn.Variance._.Q3." hidden="1">{"Variance Q3",#N/A,FALSE,"Var"}</definedName>
    <definedName name="wrn.Variance._.Q4" localSheetId="5" hidden="1">{"Variance Q4",#N/A,FALSE,"Var"}</definedName>
    <definedName name="wrn.Variance._.Q4" hidden="1">{"Variance Q4",#N/A,FALSE,"Var"}</definedName>
    <definedName name="wrn.Variance._.Q4." localSheetId="5" hidden="1">{"Variance Q4",#N/A,FALSE,"Var"}</definedName>
    <definedName name="wrn.Variance._.Q4." hidden="1">{"Variance Q4",#N/A,FALSE,"Var"}</definedName>
    <definedName name="wrn.WLAVARIANCEANALYSIS." localSheetId="5" hidden="1">{"INCOME STATEMENT",#N/A,FALSE,"IS";"WWSALES",#N/A,FALSE,"WWSALES";"USSALES",#N/A,FALSE,"USSALES";"INTLSALES",#N/A,FALSE,"INTLSALES"}</definedName>
    <definedName name="wrn.WLAVARIANCEANALYSIS." hidden="1">{"INCOME STATEMENT",#N/A,FALSE,"IS";"WWSALES",#N/A,FALSE,"WWSALES";"USSALES",#N/A,FALSE,"USSALES";"INTLSALES",#N/A,FALSE,"INTLSALES"}</definedName>
  </definedNames>
  <calcPr calcId="145621" iterate="1"/>
</workbook>
</file>

<file path=xl/calcChain.xml><?xml version="1.0" encoding="utf-8"?>
<calcChain xmlns="http://schemas.openxmlformats.org/spreadsheetml/2006/main">
  <c r="H65" i="11" l="1"/>
  <c r="H59" i="11"/>
  <c r="H57" i="11"/>
  <c r="G54" i="11"/>
  <c r="G55" i="11"/>
  <c r="G56" i="11"/>
  <c r="G57" i="11"/>
  <c r="G58" i="11"/>
  <c r="G59" i="11"/>
  <c r="G60" i="11"/>
  <c r="G64" i="11"/>
  <c r="G65" i="11"/>
  <c r="I85" i="2" l="1"/>
  <c r="I82" i="2"/>
  <c r="I81" i="2"/>
  <c r="I76" i="2"/>
  <c r="I77" i="2" s="1"/>
  <c r="I74" i="2"/>
  <c r="I75" i="2" s="1"/>
  <c r="I72" i="2"/>
  <c r="I73" i="2" s="1"/>
  <c r="I70" i="2"/>
  <c r="I71" i="2" s="1"/>
  <c r="I66" i="2"/>
  <c r="I64" i="2"/>
  <c r="I65" i="2"/>
  <c r="I62" i="2"/>
  <c r="I63" i="2"/>
  <c r="H33" i="11"/>
  <c r="H36" i="11"/>
  <c r="H10" i="11"/>
  <c r="I29" i="2"/>
  <c r="I17" i="2"/>
  <c r="AF46" i="1" l="1"/>
  <c r="AE46" i="1"/>
  <c r="AD46" i="1"/>
  <c r="AC46" i="1"/>
  <c r="AB46" i="1"/>
  <c r="AA46" i="1"/>
  <c r="AU82" i="1" l="1"/>
  <c r="AZ82" i="1" s="1"/>
  <c r="BE82" i="1" s="1"/>
  <c r="BJ82" i="1" s="1"/>
  <c r="BO82" i="1" s="1"/>
  <c r="BT82" i="1" s="1"/>
  <c r="BY82" i="1" s="1"/>
  <c r="CD82" i="1" s="1"/>
  <c r="CI82" i="1" s="1"/>
  <c r="CN82" i="1" s="1"/>
  <c r="CS82" i="1" s="1"/>
  <c r="BE90" i="1"/>
  <c r="AZ90" i="1"/>
  <c r="AU90" i="1"/>
  <c r="BJ90" i="1" s="1"/>
  <c r="BO90" i="1" s="1"/>
  <c r="BT90" i="1" s="1"/>
  <c r="BY90" i="1" s="1"/>
  <c r="CD90" i="1" s="1"/>
  <c r="CI90" i="1" s="1"/>
  <c r="CN90" i="1" s="1"/>
  <c r="CS90" i="1" s="1"/>
  <c r="AH28" i="1"/>
  <c r="AI28" i="1"/>
  <c r="AJ28" i="1"/>
  <c r="AH29" i="1"/>
  <c r="AI29" i="1"/>
  <c r="AJ29" i="1"/>
  <c r="AH30" i="1"/>
  <c r="AI30" i="1"/>
  <c r="AG29" i="1"/>
  <c r="AG30" i="1"/>
  <c r="AG28" i="1"/>
  <c r="BJ83" i="1"/>
  <c r="BE83" i="1"/>
  <c r="BE91" i="1"/>
  <c r="AZ91" i="1"/>
  <c r="AU91" i="1"/>
  <c r="BO83" i="1"/>
  <c r="AP90" i="1"/>
  <c r="AI92" i="1"/>
  <c r="AH92" i="1"/>
  <c r="AG92" i="1"/>
  <c r="AJ90" i="1"/>
  <c r="AI90" i="1"/>
  <c r="AH90" i="1"/>
  <c r="AG90" i="1"/>
  <c r="AH84" i="1"/>
  <c r="AG84" i="1"/>
  <c r="AP82" i="1"/>
  <c r="AJ82" i="1"/>
  <c r="AI82" i="1"/>
  <c r="AH82" i="1"/>
  <c r="AG82" i="1"/>
  <c r="BT83" i="1" l="1"/>
  <c r="BY83" i="1" s="1"/>
  <c r="AE88" i="1"/>
  <c r="AE89" i="1" s="1"/>
  <c r="AE92" i="1" s="1"/>
  <c r="AE79" i="1"/>
  <c r="AE82" i="1" s="1"/>
  <c r="AE80" i="1"/>
  <c r="AE81" i="1" s="1"/>
  <c r="AE84" i="1" s="1"/>
  <c r="AE83" i="1"/>
  <c r="AE31" i="1"/>
  <c r="AD31" i="1"/>
  <c r="AC31" i="1"/>
  <c r="AB31" i="1"/>
  <c r="AE26" i="1"/>
  <c r="AD26" i="1"/>
  <c r="AC26" i="1"/>
  <c r="AB26" i="1"/>
  <c r="AE25" i="1"/>
  <c r="AE24" i="1" s="1"/>
  <c r="AE23" i="1" s="1"/>
  <c r="AE30" i="1"/>
  <c r="AE29" i="1" s="1"/>
  <c r="AE28" i="1" s="1"/>
  <c r="CR60" i="1"/>
  <c r="CQ60" i="1"/>
  <c r="CP60" i="1"/>
  <c r="CO60" i="1"/>
  <c r="CM60" i="1"/>
  <c r="CL60" i="1"/>
  <c r="CK60" i="1"/>
  <c r="CJ60" i="1"/>
  <c r="CH60" i="1"/>
  <c r="CG60" i="1"/>
  <c r="CF60" i="1"/>
  <c r="CE60" i="1"/>
  <c r="CC60" i="1"/>
  <c r="CB60" i="1"/>
  <c r="CA60" i="1"/>
  <c r="BZ60" i="1"/>
  <c r="BX60" i="1"/>
  <c r="BW60" i="1"/>
  <c r="BV60" i="1"/>
  <c r="BU60" i="1"/>
  <c r="BS60" i="1"/>
  <c r="BR60" i="1"/>
  <c r="BQ60" i="1"/>
  <c r="BP60" i="1"/>
  <c r="BN60" i="1"/>
  <c r="BM60" i="1"/>
  <c r="BL60" i="1"/>
  <c r="BK60" i="1"/>
  <c r="BI60" i="1"/>
  <c r="BH60" i="1"/>
  <c r="BG60" i="1"/>
  <c r="BF60" i="1"/>
  <c r="BD60" i="1"/>
  <c r="BC60" i="1"/>
  <c r="BB60" i="1"/>
  <c r="BA60" i="1"/>
  <c r="AY60" i="1"/>
  <c r="AX60" i="1"/>
  <c r="AW60" i="1"/>
  <c r="AV60" i="1"/>
  <c r="AT60" i="1"/>
  <c r="AS60" i="1"/>
  <c r="AR60" i="1"/>
  <c r="AQ60" i="1"/>
  <c r="AO60" i="1"/>
  <c r="AN60" i="1"/>
  <c r="AM60" i="1"/>
  <c r="AL60" i="1"/>
  <c r="AE57" i="1"/>
  <c r="AD57" i="1"/>
  <c r="AE48" i="1"/>
  <c r="CD83" i="1" l="1"/>
  <c r="CI83" i="1"/>
  <c r="BJ91" i="1"/>
  <c r="AE91" i="1"/>
  <c r="AE87" i="1"/>
  <c r="AE90" i="1" s="1"/>
  <c r="CN83" i="1" l="1"/>
  <c r="BO91" i="1"/>
  <c r="CS83" i="1" l="1"/>
  <c r="BT91" i="1"/>
  <c r="BY91" i="1" l="1"/>
  <c r="CD91" i="1" l="1"/>
  <c r="CI91" i="1" l="1"/>
  <c r="CN91" i="1" l="1"/>
  <c r="T147" i="16"/>
  <c r="S147" i="16"/>
  <c r="R147" i="16"/>
  <c r="Q147" i="16"/>
  <c r="P147" i="16"/>
  <c r="O147" i="16"/>
  <c r="N147" i="16"/>
  <c r="M147" i="16"/>
  <c r="L147" i="16"/>
  <c r="K147" i="16"/>
  <c r="J147" i="16"/>
  <c r="BG91" i="1"/>
  <c r="BL91" i="1" s="1"/>
  <c r="BQ91" i="1" s="1"/>
  <c r="BV91" i="1" s="1"/>
  <c r="CA91" i="1" s="1"/>
  <c r="CF91" i="1" s="1"/>
  <c r="CK91" i="1" s="1"/>
  <c r="CP91" i="1" s="1"/>
  <c r="BD91" i="1"/>
  <c r="BI91" i="1" s="1"/>
  <c r="BN91" i="1" s="1"/>
  <c r="BS91" i="1" s="1"/>
  <c r="BX91" i="1" s="1"/>
  <c r="CC91" i="1" s="1"/>
  <c r="CH91" i="1" s="1"/>
  <c r="CM91" i="1" s="1"/>
  <c r="CR91" i="1" s="1"/>
  <c r="BC91" i="1"/>
  <c r="BH91" i="1" s="1"/>
  <c r="BM91" i="1" s="1"/>
  <c r="BR91" i="1" s="1"/>
  <c r="BW91" i="1" s="1"/>
  <c r="CB91" i="1" s="1"/>
  <c r="CG91" i="1" s="1"/>
  <c r="CL91" i="1" s="1"/>
  <c r="CQ91" i="1" s="1"/>
  <c r="BB91" i="1"/>
  <c r="BA91" i="1"/>
  <c r="BF91" i="1" s="1"/>
  <c r="BK91" i="1" s="1"/>
  <c r="BP91" i="1" s="1"/>
  <c r="BU91" i="1" s="1"/>
  <c r="BZ91" i="1" s="1"/>
  <c r="CE91" i="1" s="1"/>
  <c r="CJ91" i="1" s="1"/>
  <c r="CO91" i="1" s="1"/>
  <c r="T12" i="39"/>
  <c r="S12" i="39"/>
  <c r="M12" i="39"/>
  <c r="N12" i="39" s="1"/>
  <c r="O12" i="39" s="1"/>
  <c r="P12" i="39" s="1"/>
  <c r="Q12" i="39" s="1"/>
  <c r="R12" i="39" s="1"/>
  <c r="L12" i="39"/>
  <c r="K12" i="39"/>
  <c r="J12" i="39"/>
  <c r="I12" i="39"/>
  <c r="S11" i="39"/>
  <c r="O11" i="39"/>
  <c r="K11" i="39"/>
  <c r="H11" i="39"/>
  <c r="T6" i="39"/>
  <c r="T11" i="39" s="1"/>
  <c r="S6" i="39"/>
  <c r="R6" i="39"/>
  <c r="R11" i="39" s="1"/>
  <c r="Q6" i="39"/>
  <c r="Q11" i="39" s="1"/>
  <c r="P6" i="39"/>
  <c r="P11" i="39" s="1"/>
  <c r="O6" i="39"/>
  <c r="N6" i="39"/>
  <c r="N11" i="39" s="1"/>
  <c r="M6" i="39"/>
  <c r="M11" i="39" s="1"/>
  <c r="L6" i="39"/>
  <c r="L11" i="39" s="1"/>
  <c r="K6" i="39"/>
  <c r="J6" i="39"/>
  <c r="J11" i="39" s="1"/>
  <c r="I6" i="39"/>
  <c r="I11" i="39" s="1"/>
  <c r="K27" i="14"/>
  <c r="K26" i="14" s="1"/>
  <c r="H27" i="14"/>
  <c r="H26" i="14"/>
  <c r="I23" i="14"/>
  <c r="K22" i="14"/>
  <c r="J22" i="14"/>
  <c r="J21" i="14" s="1"/>
  <c r="K21" i="14"/>
  <c r="I18" i="14"/>
  <c r="I28" i="14" s="1"/>
  <c r="H18" i="14"/>
  <c r="H28" i="14" s="1"/>
  <c r="K17" i="14"/>
  <c r="J17" i="14"/>
  <c r="J27" i="14" s="1"/>
  <c r="J26" i="14" s="1"/>
  <c r="I17" i="14"/>
  <c r="I27" i="14" s="1"/>
  <c r="I26" i="14" s="1"/>
  <c r="H17" i="14"/>
  <c r="H22" i="14" s="1"/>
  <c r="H21" i="14" s="1"/>
  <c r="K16" i="14"/>
  <c r="J16" i="14"/>
  <c r="H16" i="14"/>
  <c r="H13" i="14"/>
  <c r="J12" i="14"/>
  <c r="I12" i="14"/>
  <c r="H12" i="14"/>
  <c r="H11" i="14" s="1"/>
  <c r="J11" i="14"/>
  <c r="I11" i="14"/>
  <c r="J8" i="14"/>
  <c r="I8" i="14"/>
  <c r="I13" i="14" s="1"/>
  <c r="H8" i="14"/>
  <c r="K7" i="14"/>
  <c r="J6" i="14"/>
  <c r="I6" i="14"/>
  <c r="H6" i="14"/>
  <c r="CS91" i="1" l="1"/>
  <c r="J18" i="14"/>
  <c r="J13" i="14"/>
  <c r="L7" i="14"/>
  <c r="L17" i="14"/>
  <c r="K12" i="14"/>
  <c r="K11" i="14" s="1"/>
  <c r="K6" i="14"/>
  <c r="K8" i="14"/>
  <c r="I16" i="14"/>
  <c r="I22" i="14"/>
  <c r="I21" i="14" s="1"/>
  <c r="H23" i="14"/>
  <c r="K13" i="14" l="1"/>
  <c r="K18" i="14"/>
  <c r="L8" i="14"/>
  <c r="L6" i="14"/>
  <c r="M7" i="14"/>
  <c r="M17" i="14"/>
  <c r="L12" i="14"/>
  <c r="L11" i="14" s="1"/>
  <c r="J23" i="14"/>
  <c r="J28" i="14"/>
  <c r="L22" i="14"/>
  <c r="L21" i="14" s="1"/>
  <c r="L16" i="14"/>
  <c r="L27" i="14"/>
  <c r="L26" i="14" s="1"/>
  <c r="L18" i="14" l="1"/>
  <c r="L13" i="14"/>
  <c r="M27" i="14"/>
  <c r="M26" i="14" s="1"/>
  <c r="M22" i="14"/>
  <c r="M21" i="14" s="1"/>
  <c r="M16" i="14"/>
  <c r="K23" i="14"/>
  <c r="K28" i="14"/>
  <c r="M12" i="14"/>
  <c r="M11" i="14" s="1"/>
  <c r="M8" i="14"/>
  <c r="N7" i="14"/>
  <c r="N17" i="14"/>
  <c r="M6" i="14"/>
  <c r="N16" i="14" l="1"/>
  <c r="N27" i="14"/>
  <c r="N26" i="14" s="1"/>
  <c r="N22" i="14"/>
  <c r="N21" i="14" s="1"/>
  <c r="O17" i="14"/>
  <c r="N12" i="14"/>
  <c r="N11" i="14" s="1"/>
  <c r="N6" i="14"/>
  <c r="N8" i="14"/>
  <c r="O7" i="14"/>
  <c r="M13" i="14"/>
  <c r="M18" i="14"/>
  <c r="L28" i="14"/>
  <c r="L23" i="14"/>
  <c r="O8" i="14" l="1"/>
  <c r="P17" i="14"/>
  <c r="O12" i="14"/>
  <c r="O11" i="14" s="1"/>
  <c r="O6" i="14"/>
  <c r="P7" i="14"/>
  <c r="O16" i="14"/>
  <c r="O22" i="14"/>
  <c r="O21" i="14" s="1"/>
  <c r="O27" i="14"/>
  <c r="O26" i="14" s="1"/>
  <c r="N18" i="14"/>
  <c r="N13" i="14"/>
  <c r="M23" i="14"/>
  <c r="M28" i="14"/>
  <c r="N23" i="14" l="1"/>
  <c r="N28" i="14"/>
  <c r="P8" i="14"/>
  <c r="Q7" i="14"/>
  <c r="P12" i="14"/>
  <c r="P11" i="14" s="1"/>
  <c r="P6" i="14"/>
  <c r="Q17" i="14"/>
  <c r="O18" i="14"/>
  <c r="O13" i="14"/>
  <c r="P22" i="14"/>
  <c r="P21" i="14" s="1"/>
  <c r="P16" i="14"/>
  <c r="P27" i="14"/>
  <c r="P26" i="14" s="1"/>
  <c r="Q27" i="14" l="1"/>
  <c r="Q26" i="14" s="1"/>
  <c r="Q22" i="14"/>
  <c r="Q21" i="14" s="1"/>
  <c r="Q16" i="14"/>
  <c r="O23" i="14"/>
  <c r="O28" i="14"/>
  <c r="R17" i="14"/>
  <c r="Q8" i="14"/>
  <c r="R7" i="14"/>
  <c r="Q12" i="14"/>
  <c r="Q11" i="14" s="1"/>
  <c r="Q6" i="14"/>
  <c r="P13" i="14"/>
  <c r="P18" i="14"/>
  <c r="Q13" i="14" l="1"/>
  <c r="Q18" i="14"/>
  <c r="R22" i="14"/>
  <c r="R21" i="14" s="1"/>
  <c r="R27" i="14"/>
  <c r="R26" i="14" s="1"/>
  <c r="R16" i="14"/>
  <c r="P28" i="14"/>
  <c r="P23" i="14"/>
  <c r="S17" i="14"/>
  <c r="R12" i="14"/>
  <c r="R11" i="14" s="1"/>
  <c r="R6" i="14"/>
  <c r="R8" i="14"/>
  <c r="S7" i="14"/>
  <c r="R18" i="14" l="1"/>
  <c r="R13" i="14"/>
  <c r="Q28" i="14"/>
  <c r="Q23" i="14"/>
  <c r="S6" i="14"/>
  <c r="T7" i="14"/>
  <c r="T17" i="14"/>
  <c r="S12" i="14"/>
  <c r="S11" i="14" s="1"/>
  <c r="S8" i="14"/>
  <c r="S22" i="14"/>
  <c r="S21" i="14" s="1"/>
  <c r="S27" i="14"/>
  <c r="S26" i="14" s="1"/>
  <c r="S16" i="14"/>
  <c r="T22" i="14" l="1"/>
  <c r="T21" i="14" s="1"/>
  <c r="T16" i="14"/>
  <c r="T27" i="14"/>
  <c r="T26" i="14" s="1"/>
  <c r="T8" i="14"/>
  <c r="T6" i="14"/>
  <c r="T12" i="14"/>
  <c r="T11" i="14" s="1"/>
  <c r="S13" i="14"/>
  <c r="S18" i="14"/>
  <c r="R23" i="14"/>
  <c r="R28" i="14"/>
  <c r="S23" i="14" l="1"/>
  <c r="S28" i="14"/>
  <c r="T13" i="14"/>
  <c r="T18" i="14"/>
  <c r="T28" i="14" l="1"/>
  <c r="T23" i="14"/>
  <c r="Q117" i="14" l="1"/>
  <c r="P117" i="14"/>
  <c r="O117" i="14"/>
  <c r="T114" i="14"/>
  <c r="S114" i="14"/>
  <c r="R114" i="14"/>
  <c r="Q114" i="14"/>
  <c r="P114" i="14"/>
  <c r="O114" i="14"/>
  <c r="N114" i="14"/>
  <c r="M114" i="14"/>
  <c r="N117" i="14"/>
  <c r="M117" i="14"/>
  <c r="L117" i="14"/>
  <c r="K117" i="14"/>
  <c r="J117" i="14"/>
  <c r="E48" i="31"/>
  <c r="E47" i="31"/>
  <c r="E51" i="31"/>
  <c r="E50" i="31"/>
  <c r="BT19" i="1"/>
  <c r="BY19" i="1" s="1"/>
  <c r="CD19" i="1" s="1"/>
  <c r="CI19" i="1" s="1"/>
  <c r="CN19" i="1" s="1"/>
  <c r="CS19" i="1" s="1"/>
  <c r="AD34" i="1" l="1"/>
  <c r="AC34" i="1"/>
  <c r="AB34" i="1"/>
  <c r="Z34" i="1"/>
  <c r="Y34" i="1"/>
  <c r="X34" i="1"/>
  <c r="W34" i="1"/>
  <c r="U34" i="1"/>
  <c r="T34" i="1"/>
  <c r="S34" i="1"/>
  <c r="R34" i="1"/>
  <c r="P34" i="1"/>
  <c r="O34" i="1"/>
  <c r="N34" i="1"/>
  <c r="M34" i="1"/>
  <c r="K34" i="1"/>
  <c r="J34" i="1"/>
  <c r="I34" i="1"/>
  <c r="H34" i="1"/>
  <c r="F34" i="1"/>
  <c r="E34" i="1"/>
  <c r="D34" i="1"/>
  <c r="C34" i="1"/>
  <c r="AP14" i="1"/>
  <c r="I145" i="14"/>
  <c r="J145" i="14"/>
  <c r="L145" i="14" l="1"/>
  <c r="K145" i="14"/>
  <c r="AK40" i="1"/>
  <c r="AK38" i="1"/>
  <c r="AK37" i="1"/>
  <c r="H72" i="11"/>
  <c r="H74" i="11"/>
  <c r="H73" i="11"/>
  <c r="AD88" i="1"/>
  <c r="AD89" i="1" s="1"/>
  <c r="AD80" i="1"/>
  <c r="AD81" i="1" s="1"/>
  <c r="AJ14" i="1"/>
  <c r="AI14" i="1"/>
  <c r="AH14" i="1"/>
  <c r="AH15" i="1" s="1"/>
  <c r="AG14" i="1"/>
  <c r="AG15" i="1" s="1"/>
  <c r="AD79" i="1" l="1"/>
  <c r="AI79" i="1" s="1"/>
  <c r="AI23" i="1" s="1"/>
  <c r="M145" i="14"/>
  <c r="AG47" i="1"/>
  <c r="AG48" i="1" s="1"/>
  <c r="AD87" i="1"/>
  <c r="AI87" i="1" s="1"/>
  <c r="AI80" i="1"/>
  <c r="AI24" i="1" s="1"/>
  <c r="AI81" i="1"/>
  <c r="AI25" i="1" s="1"/>
  <c r="AH47" i="1"/>
  <c r="AI88" i="1"/>
  <c r="AI89" i="1"/>
  <c r="N145" i="14" l="1"/>
  <c r="AH48" i="1"/>
  <c r="AI47" i="1"/>
  <c r="O145" i="14" l="1"/>
  <c r="AJ47" i="1"/>
  <c r="AJ48" i="1" s="1"/>
  <c r="AI48" i="1"/>
  <c r="P145" i="14" l="1"/>
  <c r="AK47" i="1"/>
  <c r="AK48" i="1"/>
  <c r="R117" i="14" l="1"/>
  <c r="Q145" i="14"/>
  <c r="S117" i="14" l="1"/>
  <c r="R145" i="14"/>
  <c r="T117" i="14" l="1"/>
  <c r="T145" i="14" s="1"/>
  <c r="S145" i="14"/>
  <c r="F44" i="31"/>
  <c r="AF67" i="1"/>
  <c r="AF66" i="1"/>
  <c r="AD48" i="1"/>
  <c r="AD30" i="1"/>
  <c r="AD29" i="1" s="1"/>
  <c r="AD28" i="1" s="1"/>
  <c r="AD25" i="1"/>
  <c r="AD24" i="1" s="1"/>
  <c r="AD23" i="1" s="1"/>
  <c r="AF68" i="1" l="1"/>
  <c r="H85" i="2" l="1"/>
  <c r="J13" i="2"/>
  <c r="K13" i="2" s="1"/>
  <c r="H76" i="2"/>
  <c r="H74" i="2"/>
  <c r="H72" i="2"/>
  <c r="H70" i="2"/>
  <c r="H64" i="2"/>
  <c r="H62" i="2"/>
  <c r="G10" i="11"/>
  <c r="H29" i="2"/>
  <c r="H17" i="2"/>
  <c r="H38" i="39" l="1"/>
  <c r="AU19" i="1"/>
  <c r="AZ19" i="1" s="1"/>
  <c r="BE19" i="1" s="1"/>
  <c r="U80" i="11"/>
  <c r="T80" i="11"/>
  <c r="S80" i="11"/>
  <c r="R80" i="11"/>
  <c r="Q80" i="11"/>
  <c r="U61" i="11"/>
  <c r="T61" i="11"/>
  <c r="S61" i="11"/>
  <c r="Q61" i="11"/>
  <c r="P61" i="11"/>
  <c r="Q34" i="11"/>
  <c r="R34" i="11"/>
  <c r="S34" i="11"/>
  <c r="T34" i="11"/>
  <c r="U34" i="11"/>
  <c r="Q77" i="2"/>
  <c r="R77" i="2" s="1"/>
  <c r="Q51" i="14"/>
  <c r="R51" i="14" s="1"/>
  <c r="S51" i="14" s="1"/>
  <c r="T51" i="14" s="1"/>
  <c r="Q101" i="14"/>
  <c r="R101" i="14" s="1"/>
  <c r="S101" i="14" s="1"/>
  <c r="T101" i="14" s="1"/>
  <c r="H3" i="39"/>
  <c r="H3" i="16"/>
  <c r="Q21" i="16"/>
  <c r="R21" i="16"/>
  <c r="S21" i="16"/>
  <c r="T21" i="16"/>
  <c r="Q12" i="16"/>
  <c r="R12" i="16"/>
  <c r="S12" i="16"/>
  <c r="T12" i="16"/>
  <c r="S77" i="2" l="1"/>
  <c r="S73" i="2"/>
  <c r="K6" i="16"/>
  <c r="L6" i="16" s="1"/>
  <c r="M6" i="16" s="1"/>
  <c r="N6" i="16" s="1"/>
  <c r="O6" i="16" s="1"/>
  <c r="P6" i="16" s="1"/>
  <c r="Q6" i="16" s="1"/>
  <c r="R6" i="16" s="1"/>
  <c r="S6" i="16" s="1"/>
  <c r="T6" i="16" s="1"/>
  <c r="T37" i="16" s="1"/>
  <c r="S37" i="16" l="1"/>
  <c r="Q37" i="16"/>
  <c r="R37" i="16"/>
  <c r="T77" i="2"/>
  <c r="T73" i="2"/>
  <c r="R57" i="39"/>
  <c r="S57" i="39"/>
  <c r="T57" i="39"/>
  <c r="E51" i="39"/>
  <c r="F48" i="39"/>
  <c r="E47" i="39"/>
  <c r="R27" i="39"/>
  <c r="Q27" i="39"/>
  <c r="S27" i="39"/>
  <c r="T27" i="39"/>
  <c r="E17" i="39"/>
  <c r="Q57" i="39" l="1"/>
  <c r="U77" i="2"/>
  <c r="U73" i="2"/>
  <c r="I71" i="39"/>
  <c r="J71" i="39" s="1"/>
  <c r="J69" i="39"/>
  <c r="K69" i="39" s="1"/>
  <c r="H68" i="39"/>
  <c r="I66" i="39"/>
  <c r="J66" i="39" s="1"/>
  <c r="K66" i="39" s="1"/>
  <c r="L66" i="39" s="1"/>
  <c r="M66" i="39" s="1"/>
  <c r="N66" i="39" s="1"/>
  <c r="O66" i="39" s="1"/>
  <c r="P66" i="39" s="1"/>
  <c r="Q66" i="39" s="1"/>
  <c r="R66" i="39" s="1"/>
  <c r="S66" i="39" s="1"/>
  <c r="T66" i="39" s="1"/>
  <c r="I65" i="39"/>
  <c r="J65" i="39" s="1"/>
  <c r="K65" i="39" s="1"/>
  <c r="L65" i="39" s="1"/>
  <c r="M65" i="39" s="1"/>
  <c r="N65" i="39" s="1"/>
  <c r="O65" i="39" s="1"/>
  <c r="P65" i="39" s="1"/>
  <c r="Q65" i="39" s="1"/>
  <c r="R65" i="39" s="1"/>
  <c r="S65" i="39" s="1"/>
  <c r="T65" i="39" s="1"/>
  <c r="I60" i="39"/>
  <c r="J60" i="39" s="1"/>
  <c r="H53" i="39"/>
  <c r="F51" i="39"/>
  <c r="G51" i="39" s="1"/>
  <c r="H51" i="39" s="1"/>
  <c r="I51" i="39" s="1"/>
  <c r="J51" i="39" s="1"/>
  <c r="K51" i="39" s="1"/>
  <c r="L51" i="39" s="1"/>
  <c r="M51" i="39" s="1"/>
  <c r="N51" i="39" s="1"/>
  <c r="O51" i="39" s="1"/>
  <c r="P51" i="39" s="1"/>
  <c r="Q51" i="39" s="1"/>
  <c r="R51" i="39" s="1"/>
  <c r="S51" i="39" s="1"/>
  <c r="T51" i="39" s="1"/>
  <c r="G48" i="39"/>
  <c r="H48" i="39" s="1"/>
  <c r="I48" i="39" s="1"/>
  <c r="J48" i="39" s="1"/>
  <c r="K48" i="39" s="1"/>
  <c r="L48" i="39" s="1"/>
  <c r="M48" i="39" s="1"/>
  <c r="N48" i="39" s="1"/>
  <c r="O48" i="39" s="1"/>
  <c r="P48" i="39" s="1"/>
  <c r="Q48" i="39" s="1"/>
  <c r="I41" i="39"/>
  <c r="J39" i="39"/>
  <c r="H40" i="39"/>
  <c r="I36" i="39"/>
  <c r="J36" i="39" s="1"/>
  <c r="K36" i="39" s="1"/>
  <c r="L36" i="39" s="1"/>
  <c r="M36" i="39" s="1"/>
  <c r="N36" i="39" s="1"/>
  <c r="O36" i="39" s="1"/>
  <c r="P36" i="39" s="1"/>
  <c r="Q36" i="39" s="1"/>
  <c r="I35" i="39"/>
  <c r="J35" i="39" s="1"/>
  <c r="K35" i="39" s="1"/>
  <c r="L35" i="39" s="1"/>
  <c r="M35" i="39" s="1"/>
  <c r="N35" i="39" s="1"/>
  <c r="O35" i="39" s="1"/>
  <c r="P35" i="39" s="1"/>
  <c r="Q35" i="39" s="1"/>
  <c r="R35" i="39" s="1"/>
  <c r="S35" i="39" s="1"/>
  <c r="T35" i="39" s="1"/>
  <c r="I30" i="39"/>
  <c r="J30" i="39" s="1"/>
  <c r="H23" i="39"/>
  <c r="F21" i="39"/>
  <c r="G21" i="39" s="1"/>
  <c r="H21" i="39" s="1"/>
  <c r="I21" i="39" s="1"/>
  <c r="J21" i="39" s="1"/>
  <c r="K21" i="39" s="1"/>
  <c r="L21" i="39" s="1"/>
  <c r="M21" i="39" s="1"/>
  <c r="N21" i="39" s="1"/>
  <c r="O21" i="39" s="1"/>
  <c r="P21" i="39" s="1"/>
  <c r="Q21" i="39" s="1"/>
  <c r="R21" i="39" s="1"/>
  <c r="S21" i="39" s="1"/>
  <c r="T21" i="39" s="1"/>
  <c r="G18" i="39"/>
  <c r="H18" i="39" s="1"/>
  <c r="I18" i="39" s="1"/>
  <c r="J18" i="39" s="1"/>
  <c r="K18" i="39" s="1"/>
  <c r="L18" i="39" s="1"/>
  <c r="M18" i="39" s="1"/>
  <c r="N18" i="39" s="1"/>
  <c r="O18" i="39" s="1"/>
  <c r="P18" i="39" s="1"/>
  <c r="Q18" i="39" s="1"/>
  <c r="R18" i="39" s="1"/>
  <c r="S18" i="39" s="1"/>
  <c r="T18" i="39" s="1"/>
  <c r="R48" i="39" l="1"/>
  <c r="S48" i="39" s="1"/>
  <c r="T48" i="39" s="1"/>
  <c r="V77" i="2"/>
  <c r="V73" i="2"/>
  <c r="R36" i="39"/>
  <c r="I38" i="39"/>
  <c r="E20" i="39"/>
  <c r="F17" i="39"/>
  <c r="K30" i="39"/>
  <c r="H29" i="39"/>
  <c r="K27" i="39"/>
  <c r="H57" i="39"/>
  <c r="M57" i="39"/>
  <c r="L69" i="39"/>
  <c r="O57" i="39"/>
  <c r="K57" i="39"/>
  <c r="M27" i="39"/>
  <c r="O27" i="39"/>
  <c r="H27" i="39"/>
  <c r="L27" i="39"/>
  <c r="P27" i="39"/>
  <c r="I57" i="39"/>
  <c r="N57" i="39"/>
  <c r="K71" i="39"/>
  <c r="I27" i="39"/>
  <c r="J57" i="39"/>
  <c r="P57" i="39"/>
  <c r="I68" i="39"/>
  <c r="J27" i="39"/>
  <c r="N27" i="39"/>
  <c r="K39" i="39"/>
  <c r="J41" i="39"/>
  <c r="L57" i="39"/>
  <c r="H59" i="39"/>
  <c r="K60" i="39"/>
  <c r="H70" i="39"/>
  <c r="P12" i="16"/>
  <c r="O12" i="16"/>
  <c r="N12" i="16"/>
  <c r="M12" i="16"/>
  <c r="L12" i="16"/>
  <c r="K12" i="16"/>
  <c r="J12" i="16"/>
  <c r="I12" i="16"/>
  <c r="P11" i="16"/>
  <c r="Q11" i="16" s="1"/>
  <c r="O11" i="16"/>
  <c r="N11" i="16"/>
  <c r="M11" i="16"/>
  <c r="L11" i="16"/>
  <c r="K11" i="16"/>
  <c r="J11" i="16"/>
  <c r="R11" i="16" l="1"/>
  <c r="Q67" i="16"/>
  <c r="J38" i="39"/>
  <c r="K38" i="39" s="1"/>
  <c r="S36" i="39"/>
  <c r="J40" i="39"/>
  <c r="I40" i="39"/>
  <c r="I70" i="39"/>
  <c r="J68" i="39"/>
  <c r="L71" i="39"/>
  <c r="M69" i="39"/>
  <c r="L30" i="39"/>
  <c r="K41" i="39"/>
  <c r="F20" i="39"/>
  <c r="G17" i="39"/>
  <c r="L60" i="39"/>
  <c r="L39" i="39"/>
  <c r="S11" i="16" l="1"/>
  <c r="T11" i="16" s="1"/>
  <c r="R67" i="16"/>
  <c r="T36" i="39"/>
  <c r="M39" i="39"/>
  <c r="L41" i="39"/>
  <c r="G20" i="39"/>
  <c r="H17" i="39"/>
  <c r="M60" i="39"/>
  <c r="M30" i="39"/>
  <c r="N69" i="39"/>
  <c r="F47" i="39"/>
  <c r="E50" i="39"/>
  <c r="K40" i="39"/>
  <c r="K68" i="39"/>
  <c r="J70" i="39"/>
  <c r="L38" i="39"/>
  <c r="M71" i="39"/>
  <c r="T67" i="16" l="1"/>
  <c r="S67" i="16"/>
  <c r="I17" i="39"/>
  <c r="H20" i="39"/>
  <c r="N39" i="39"/>
  <c r="O39" i="39" s="1"/>
  <c r="P39" i="39" s="1"/>
  <c r="Q39" i="39" s="1"/>
  <c r="R39" i="39" s="1"/>
  <c r="S39" i="39" s="1"/>
  <c r="T39" i="39" s="1"/>
  <c r="M38" i="39"/>
  <c r="L40" i="39"/>
  <c r="G47" i="39"/>
  <c r="F50" i="39"/>
  <c r="N30" i="39"/>
  <c r="O69" i="39"/>
  <c r="N60" i="39"/>
  <c r="M41" i="39"/>
  <c r="N71" i="39"/>
  <c r="K70" i="39"/>
  <c r="L68" i="39"/>
  <c r="H26" i="39" l="1"/>
  <c r="H43" i="39" s="1"/>
  <c r="H24" i="39"/>
  <c r="M68" i="39"/>
  <c r="L70" i="39"/>
  <c r="N41" i="39"/>
  <c r="O41" i="39" s="1"/>
  <c r="P41" i="39" s="1"/>
  <c r="Q41" i="39" s="1"/>
  <c r="R41" i="39" s="1"/>
  <c r="S41" i="39" s="1"/>
  <c r="T41" i="39" s="1"/>
  <c r="P69" i="39"/>
  <c r="Q69" i="39" s="1"/>
  <c r="N38" i="39"/>
  <c r="O38" i="39" s="1"/>
  <c r="M40" i="39"/>
  <c r="G50" i="39"/>
  <c r="H47" i="39"/>
  <c r="O71" i="39"/>
  <c r="O60" i="39"/>
  <c r="O30" i="39"/>
  <c r="I20" i="39"/>
  <c r="I26" i="39" s="1"/>
  <c r="J17" i="39"/>
  <c r="R69" i="39" l="1"/>
  <c r="S69" i="39" s="1"/>
  <c r="T69" i="39" s="1"/>
  <c r="O40" i="39"/>
  <c r="P38" i="39"/>
  <c r="H32" i="39"/>
  <c r="H33" i="39" s="1"/>
  <c r="P71" i="39"/>
  <c r="Q71" i="39" s="1"/>
  <c r="R71" i="39" s="1"/>
  <c r="S71" i="39" s="1"/>
  <c r="T71" i="39" s="1"/>
  <c r="K17" i="39"/>
  <c r="J20" i="39"/>
  <c r="J26" i="39" s="1"/>
  <c r="P60" i="39"/>
  <c r="Q60" i="39" s="1"/>
  <c r="R60" i="39" s="1"/>
  <c r="S60" i="39" s="1"/>
  <c r="T60" i="39" s="1"/>
  <c r="H50" i="39"/>
  <c r="H54" i="39" s="1"/>
  <c r="I47" i="39"/>
  <c r="H56" i="39"/>
  <c r="N40" i="39"/>
  <c r="M70" i="39"/>
  <c r="N68" i="39"/>
  <c r="P30" i="39"/>
  <c r="Q30" i="39" s="1"/>
  <c r="R30" i="39" s="1"/>
  <c r="S30" i="39" s="1"/>
  <c r="T30" i="39" s="1"/>
  <c r="I23" i="39" l="1"/>
  <c r="I24" i="39" s="1"/>
  <c r="P40" i="39"/>
  <c r="Q38" i="39"/>
  <c r="H62" i="39"/>
  <c r="H63" i="39" s="1"/>
  <c r="H73" i="39"/>
  <c r="H75" i="39" s="1"/>
  <c r="K20" i="39"/>
  <c r="K26" i="39" s="1"/>
  <c r="L17" i="39"/>
  <c r="J47" i="39"/>
  <c r="I50" i="39"/>
  <c r="I56" i="39" s="1"/>
  <c r="O68" i="39"/>
  <c r="N70" i="39"/>
  <c r="AC88" i="1"/>
  <c r="AC80" i="1"/>
  <c r="AC68" i="1"/>
  <c r="AC57" i="1" s="1"/>
  <c r="AC15" i="1"/>
  <c r="AC24" i="1" l="1"/>
  <c r="AH80" i="1"/>
  <c r="AH24" i="1" s="1"/>
  <c r="AC87" i="1"/>
  <c r="AH87" i="1" s="1"/>
  <c r="AH88" i="1"/>
  <c r="AC81" i="1"/>
  <c r="AC89" i="1"/>
  <c r="AH89" i="1" s="1"/>
  <c r="AK9" i="1"/>
  <c r="I29" i="39"/>
  <c r="I32" i="39" s="1"/>
  <c r="I33" i="39" s="1"/>
  <c r="I43" i="39"/>
  <c r="Q40" i="39"/>
  <c r="R38" i="39"/>
  <c r="O70" i="39"/>
  <c r="P68" i="39"/>
  <c r="Q68" i="39" s="1"/>
  <c r="I53" i="39"/>
  <c r="I54" i="39" s="1"/>
  <c r="K47" i="39"/>
  <c r="J50" i="39"/>
  <c r="J56" i="39" s="1"/>
  <c r="M17" i="39"/>
  <c r="L20" i="39"/>
  <c r="L26" i="39" s="1"/>
  <c r="AC79" i="1"/>
  <c r="AH79" i="1" s="1"/>
  <c r="AH23" i="1" s="1"/>
  <c r="AC25" i="1" l="1"/>
  <c r="AH81" i="1"/>
  <c r="AH25" i="1" s="1"/>
  <c r="Q70" i="39"/>
  <c r="R68" i="39"/>
  <c r="J23" i="39"/>
  <c r="J43" i="39" s="1"/>
  <c r="R40" i="39"/>
  <c r="S38" i="39"/>
  <c r="M20" i="39"/>
  <c r="M26" i="39" s="1"/>
  <c r="N17" i="39"/>
  <c r="K50" i="39"/>
  <c r="K56" i="39" s="1"/>
  <c r="L47" i="39"/>
  <c r="P70" i="39"/>
  <c r="I73" i="39"/>
  <c r="I75" i="39" s="1"/>
  <c r="I59" i="39"/>
  <c r="I62" i="39" s="1"/>
  <c r="I63" i="39" s="1"/>
  <c r="AC23" i="1"/>
  <c r="R70" i="39" l="1"/>
  <c r="S68" i="39"/>
  <c r="AP9" i="1"/>
  <c r="J24" i="39"/>
  <c r="J29" i="39"/>
  <c r="J32" i="39" s="1"/>
  <c r="J33" i="39" s="1"/>
  <c r="S40" i="39"/>
  <c r="T38" i="39"/>
  <c r="T40" i="39" s="1"/>
  <c r="J53" i="39"/>
  <c r="J54" i="39" s="1"/>
  <c r="L50" i="39"/>
  <c r="L56" i="39" s="1"/>
  <c r="M47" i="39"/>
  <c r="O17" i="39"/>
  <c r="N20" i="39"/>
  <c r="N26" i="39" s="1"/>
  <c r="AC48" i="1"/>
  <c r="T68" i="39" l="1"/>
  <c r="T70" i="39" s="1"/>
  <c r="S70" i="39"/>
  <c r="K23" i="39"/>
  <c r="K24" i="39" s="1"/>
  <c r="O20" i="39"/>
  <c r="O26" i="39" s="1"/>
  <c r="P17" i="39"/>
  <c r="M50" i="39"/>
  <c r="M56" i="39" s="1"/>
  <c r="N47" i="39"/>
  <c r="J73" i="39"/>
  <c r="J75" i="39" s="1"/>
  <c r="J59" i="39"/>
  <c r="J62" i="39" s="1"/>
  <c r="J63" i="39" s="1"/>
  <c r="AU9" i="1" l="1"/>
  <c r="K43" i="39"/>
  <c r="K29" i="39"/>
  <c r="K32" i="39" s="1"/>
  <c r="K33" i="39" s="1"/>
  <c r="P20" i="39"/>
  <c r="P26" i="39" s="1"/>
  <c r="Q17" i="39"/>
  <c r="K53" i="39"/>
  <c r="K54" i="39" s="1"/>
  <c r="O47" i="39"/>
  <c r="N50" i="39"/>
  <c r="N56" i="39" s="1"/>
  <c r="L23" i="39" l="1"/>
  <c r="L24" i="39" s="1"/>
  <c r="Q20" i="39"/>
  <c r="Q26" i="39" s="1"/>
  <c r="R17" i="39"/>
  <c r="O50" i="39"/>
  <c r="O56" i="39" s="1"/>
  <c r="P47" i="39"/>
  <c r="Q47" i="39" s="1"/>
  <c r="K73" i="39"/>
  <c r="K75" i="39" s="1"/>
  <c r="K59" i="39"/>
  <c r="K62" i="39" s="1"/>
  <c r="K63" i="39" s="1"/>
  <c r="F41" i="31"/>
  <c r="Q50" i="39" l="1"/>
  <c r="Q56" i="39" s="1"/>
  <c r="R47" i="39"/>
  <c r="AZ9" i="1"/>
  <c r="L29" i="39"/>
  <c r="L32" i="39" s="1"/>
  <c r="L33" i="39" s="1"/>
  <c r="L43" i="39"/>
  <c r="S17" i="39"/>
  <c r="R20" i="39"/>
  <c r="R26" i="39" s="1"/>
  <c r="L53" i="39"/>
  <c r="L54" i="39" s="1"/>
  <c r="P50" i="39"/>
  <c r="P56" i="39" s="1"/>
  <c r="AB88" i="1"/>
  <c r="AB80" i="1"/>
  <c r="AG80" i="1" s="1"/>
  <c r="Z88" i="1"/>
  <c r="Z89" i="1" s="1"/>
  <c r="Z80" i="1"/>
  <c r="Z79" i="1" s="1"/>
  <c r="AB48" i="1"/>
  <c r="AG24" i="1" l="1"/>
  <c r="AB89" i="1"/>
  <c r="AG89" i="1" s="1"/>
  <c r="AG88" i="1"/>
  <c r="S47" i="39"/>
  <c r="R50" i="39"/>
  <c r="R56" i="39" s="1"/>
  <c r="Z81" i="1"/>
  <c r="M23" i="39"/>
  <c r="M29" i="39" s="1"/>
  <c r="M32" i="39" s="1"/>
  <c r="M33" i="39" s="1"/>
  <c r="T17" i="39"/>
  <c r="T20" i="39" s="1"/>
  <c r="T26" i="39" s="1"/>
  <c r="S20" i="39"/>
  <c r="S26" i="39" s="1"/>
  <c r="L73" i="39"/>
  <c r="L75" i="39" s="1"/>
  <c r="L59" i="39"/>
  <c r="L62" i="39" s="1"/>
  <c r="L63" i="39" s="1"/>
  <c r="AB87" i="1"/>
  <c r="AG87" i="1" s="1"/>
  <c r="AB81" i="1"/>
  <c r="AG81" i="1" s="1"/>
  <c r="AB79" i="1"/>
  <c r="AG79" i="1" s="1"/>
  <c r="Z87" i="1"/>
  <c r="AG25" i="1" l="1"/>
  <c r="AG23" i="1"/>
  <c r="S50" i="39"/>
  <c r="S56" i="39" s="1"/>
  <c r="T47" i="39"/>
  <c r="T50" i="39" s="1"/>
  <c r="T56" i="39" s="1"/>
  <c r="BE9" i="1"/>
  <c r="M43" i="39"/>
  <c r="M24" i="39"/>
  <c r="M53" i="39"/>
  <c r="M54" i="39" s="1"/>
  <c r="N23" i="39"/>
  <c r="E53" i="31"/>
  <c r="N24" i="39" l="1"/>
  <c r="M73" i="39"/>
  <c r="M75" i="39" s="1"/>
  <c r="M59" i="39"/>
  <c r="M62" i="39" s="1"/>
  <c r="M63" i="39" s="1"/>
  <c r="N43" i="39"/>
  <c r="N29" i="39"/>
  <c r="N32" i="39" s="1"/>
  <c r="N33" i="39" s="1"/>
  <c r="E54" i="31"/>
  <c r="F42" i="31" s="1"/>
  <c r="BJ9" i="1" l="1"/>
  <c r="O23" i="39"/>
  <c r="N53" i="39"/>
  <c r="N54" i="39" s="1"/>
  <c r="AA48" i="1"/>
  <c r="AA14" i="1"/>
  <c r="AA67" i="1"/>
  <c r="AA66" i="1"/>
  <c r="Z48" i="1"/>
  <c r="AA68" i="1" l="1"/>
  <c r="O24" i="39"/>
  <c r="O43" i="39"/>
  <c r="O29" i="39"/>
  <c r="O32" i="39" s="1"/>
  <c r="O33" i="39" s="1"/>
  <c r="N73" i="39"/>
  <c r="N75" i="39" s="1"/>
  <c r="N59" i="39"/>
  <c r="N62" i="39" s="1"/>
  <c r="N63" i="39" s="1"/>
  <c r="AP47" i="1"/>
  <c r="AU47" i="1" s="1"/>
  <c r="AZ47" i="1" s="1"/>
  <c r="BE47" i="1" s="1"/>
  <c r="BJ47" i="1" s="1"/>
  <c r="BO47" i="1" s="1"/>
  <c r="BT47" i="1" s="1"/>
  <c r="BY47" i="1" s="1"/>
  <c r="CD47" i="1" s="1"/>
  <c r="CI47" i="1" s="1"/>
  <c r="CN47" i="1" s="1"/>
  <c r="CS47" i="1" s="1"/>
  <c r="AF40" i="1"/>
  <c r="AF38" i="1"/>
  <c r="AC30" i="1"/>
  <c r="AB30" i="1"/>
  <c r="AC29" i="1"/>
  <c r="AC28" i="1"/>
  <c r="AB29" i="1"/>
  <c r="AB28" i="1"/>
  <c r="AB24" i="1"/>
  <c r="AB23" i="1"/>
  <c r="AB25" i="1"/>
  <c r="AF18" i="1"/>
  <c r="AF14" i="1"/>
  <c r="AE15" i="1"/>
  <c r="AD15" i="1"/>
  <c r="AB15" i="1"/>
  <c r="AJ81" i="1" l="1"/>
  <c r="AJ87" i="1"/>
  <c r="AJ88" i="1"/>
  <c r="AJ79" i="1"/>
  <c r="AJ89" i="1"/>
  <c r="AJ30" i="1" s="1"/>
  <c r="AJ80" i="1"/>
  <c r="BO9" i="1"/>
  <c r="P23" i="39"/>
  <c r="O53" i="39"/>
  <c r="O54" i="39" s="1"/>
  <c r="AF15" i="1"/>
  <c r="AF47" i="1"/>
  <c r="AJ24" i="1" l="1"/>
  <c r="AK80" i="1"/>
  <c r="AJ23" i="1"/>
  <c r="AK79" i="1"/>
  <c r="AK87" i="1"/>
  <c r="AK89" i="1"/>
  <c r="AK88" i="1"/>
  <c r="AJ25" i="1"/>
  <c r="AK81" i="1"/>
  <c r="AP48" i="1"/>
  <c r="AU48" i="1" s="1"/>
  <c r="AZ48" i="1" s="1"/>
  <c r="BE48" i="1" s="1"/>
  <c r="BJ48" i="1" s="1"/>
  <c r="BO48" i="1" s="1"/>
  <c r="BT48" i="1" s="1"/>
  <c r="BY48" i="1" s="1"/>
  <c r="CD48" i="1" s="1"/>
  <c r="CI48" i="1" s="1"/>
  <c r="CN48" i="1" s="1"/>
  <c r="CS48" i="1" s="1"/>
  <c r="C28" i="31"/>
  <c r="P24" i="39"/>
  <c r="P43" i="39"/>
  <c r="O73" i="39"/>
  <c r="O75" i="39" s="1"/>
  <c r="O59" i="39"/>
  <c r="O62" i="39" s="1"/>
  <c r="O63" i="39" s="1"/>
  <c r="P29" i="39"/>
  <c r="AF48" i="1"/>
  <c r="BT9" i="1" l="1"/>
  <c r="P32" i="39"/>
  <c r="P53" i="39"/>
  <c r="Y88" i="1"/>
  <c r="AD91" i="1" s="1"/>
  <c r="Y80" i="1"/>
  <c r="AD83" i="1" s="1"/>
  <c r="Y48" i="1"/>
  <c r="P73" i="39" l="1"/>
  <c r="P75" i="39" s="1"/>
  <c r="BY9" i="1" s="1"/>
  <c r="P54" i="39"/>
  <c r="Q23" i="39"/>
  <c r="Q24" i="39" s="1"/>
  <c r="P33" i="39"/>
  <c r="P59" i="39"/>
  <c r="P62" i="39" s="1"/>
  <c r="P63" i="39" s="1"/>
  <c r="Y79" i="1"/>
  <c r="AD82" i="1" s="1"/>
  <c r="Y87" i="1"/>
  <c r="AD90" i="1" s="1"/>
  <c r="Y89" i="1"/>
  <c r="AD92" i="1" s="1"/>
  <c r="Y81" i="1"/>
  <c r="AD84" i="1" s="1"/>
  <c r="Q53" i="39" l="1"/>
  <c r="Q54" i="39" s="1"/>
  <c r="Q29" i="39"/>
  <c r="Q32" i="39" s="1"/>
  <c r="Q33" i="39" s="1"/>
  <c r="Q43" i="39"/>
  <c r="AF29" i="1"/>
  <c r="AF88" i="1"/>
  <c r="AK91" i="1" s="1"/>
  <c r="AF24" i="1"/>
  <c r="AF80" i="1"/>
  <c r="AK83" i="1" s="1"/>
  <c r="Q59" i="39" l="1"/>
  <c r="Q62" i="39" s="1"/>
  <c r="Q63" i="39" s="1"/>
  <c r="Q73" i="39"/>
  <c r="Q75" i="39" s="1"/>
  <c r="CD9" i="1" s="1"/>
  <c r="R23" i="39"/>
  <c r="R29" i="39" s="1"/>
  <c r="R32" i="39" s="1"/>
  <c r="R33" i="39" s="1"/>
  <c r="AF23" i="1"/>
  <c r="AF79" i="1"/>
  <c r="AK82" i="1" s="1"/>
  <c r="AF25" i="1"/>
  <c r="AF81" i="1"/>
  <c r="AF30" i="1"/>
  <c r="AF89" i="1"/>
  <c r="AK92" i="1" s="1"/>
  <c r="AF28" i="1"/>
  <c r="AF87" i="1"/>
  <c r="AK90" i="1" s="1"/>
  <c r="R53" i="39" l="1"/>
  <c r="R54" i="39" s="1"/>
  <c r="R24" i="39"/>
  <c r="R43" i="39"/>
  <c r="S23" i="39"/>
  <c r="X97" i="1"/>
  <c r="W97" i="1"/>
  <c r="I35" i="11"/>
  <c r="J35" i="11"/>
  <c r="K35" i="11"/>
  <c r="L35" i="11"/>
  <c r="AZ108" i="1"/>
  <c r="AU108" i="1"/>
  <c r="AP108" i="1"/>
  <c r="AK108" i="1"/>
  <c r="AF108" i="1"/>
  <c r="AA108" i="1"/>
  <c r="AA106" i="1"/>
  <c r="AF104" i="1" s="1"/>
  <c r="AF106" i="1" s="1"/>
  <c r="AK104" i="1" s="1"/>
  <c r="R59" i="39" l="1"/>
  <c r="R62" i="39" s="1"/>
  <c r="R63" i="39" s="1"/>
  <c r="R73" i="39"/>
  <c r="R75" i="39" s="1"/>
  <c r="CI9" i="1" s="1"/>
  <c r="S24" i="39"/>
  <c r="S29" i="39"/>
  <c r="S32" i="39" s="1"/>
  <c r="S33" i="39" s="1"/>
  <c r="S43" i="39"/>
  <c r="AK106" i="1"/>
  <c r="AP104" i="1" s="1"/>
  <c r="G35" i="11"/>
  <c r="H28" i="2" s="1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AA109" i="1"/>
  <c r="AF109" i="1"/>
  <c r="AK109" i="1" l="1"/>
  <c r="S53" i="39"/>
  <c r="S54" i="39" s="1"/>
  <c r="T23" i="39"/>
  <c r="AD109" i="1"/>
  <c r="AC109" i="1"/>
  <c r="AB109" i="1"/>
  <c r="AE109" i="1"/>
  <c r="AP106" i="1"/>
  <c r="AP109" i="1" s="1"/>
  <c r="Y109" i="1"/>
  <c r="Z109" i="1"/>
  <c r="X48" i="1"/>
  <c r="X88" i="1"/>
  <c r="X80" i="1"/>
  <c r="AC83" i="1" s="1"/>
  <c r="X30" i="1"/>
  <c r="X29" i="1"/>
  <c r="X28" i="1"/>
  <c r="X25" i="1"/>
  <c r="X24" i="1"/>
  <c r="X23" i="1"/>
  <c r="S73" i="39" l="1"/>
  <c r="S75" i="39" s="1"/>
  <c r="CN9" i="1" s="1"/>
  <c r="S59" i="39"/>
  <c r="S62" i="39" s="1"/>
  <c r="S63" i="39" s="1"/>
  <c r="T24" i="39"/>
  <c r="T29" i="39"/>
  <c r="T32" i="39" s="1"/>
  <c r="T33" i="39" s="1"/>
  <c r="T43" i="39"/>
  <c r="X89" i="1"/>
  <c r="AC92" i="1" s="1"/>
  <c r="AC91" i="1"/>
  <c r="AU104" i="1"/>
  <c r="AU106" i="1" s="1"/>
  <c r="X87" i="1"/>
  <c r="AC90" i="1" s="1"/>
  <c r="X81" i="1"/>
  <c r="AC84" i="1" s="1"/>
  <c r="X79" i="1"/>
  <c r="AC82" i="1" s="1"/>
  <c r="E42" i="31"/>
  <c r="K67" i="2"/>
  <c r="L67" i="2" s="1"/>
  <c r="M67" i="2" s="1"/>
  <c r="N67" i="2" s="1"/>
  <c r="O67" i="2" s="1"/>
  <c r="P67" i="2" s="1"/>
  <c r="Q67" i="2" s="1"/>
  <c r="R67" i="2" s="1"/>
  <c r="S67" i="2" s="1"/>
  <c r="T67" i="2" s="1"/>
  <c r="U67" i="2" s="1"/>
  <c r="V67" i="2" s="1"/>
  <c r="K65" i="2"/>
  <c r="T53" i="39" l="1"/>
  <c r="T54" i="39" s="1"/>
  <c r="AU109" i="1"/>
  <c r="AZ104" i="1"/>
  <c r="AZ106" i="1" s="1"/>
  <c r="AZ109" i="1" s="1"/>
  <c r="O65" i="2"/>
  <c r="K63" i="2"/>
  <c r="L63" i="2" s="1"/>
  <c r="P63" i="2" s="1"/>
  <c r="Q63" i="2" s="1"/>
  <c r="T73" i="39" l="1"/>
  <c r="T75" i="39" s="1"/>
  <c r="CS9" i="1" s="1"/>
  <c r="T59" i="39"/>
  <c r="T62" i="39" s="1"/>
  <c r="T63" i="39" s="1"/>
  <c r="AZ14" i="1" l="1"/>
  <c r="E43" i="31"/>
  <c r="E56" i="31"/>
  <c r="E57" i="31"/>
  <c r="E58" i="31"/>
  <c r="D47" i="31"/>
  <c r="E55" i="31"/>
  <c r="E52" i="31"/>
  <c r="D48" i="31"/>
  <c r="E41" i="31"/>
  <c r="F40" i="31" l="1"/>
  <c r="F43" i="31"/>
  <c r="BE14" i="1"/>
  <c r="E40" i="31"/>
  <c r="E49" i="31"/>
  <c r="F45" i="31" l="1"/>
  <c r="C20" i="31" s="1"/>
  <c r="BJ14" i="1"/>
  <c r="BO14" i="1" l="1"/>
  <c r="C32" i="14"/>
  <c r="BT14" i="1" l="1"/>
  <c r="H78" i="16"/>
  <c r="BY14" i="1" l="1"/>
  <c r="J6" i="28"/>
  <c r="I6" i="28"/>
  <c r="AO82" i="1"/>
  <c r="AN82" i="1"/>
  <c r="AM82" i="1"/>
  <c r="AL82" i="1"/>
  <c r="AO90" i="1"/>
  <c r="AN90" i="1"/>
  <c r="AM90" i="1"/>
  <c r="AL90" i="1"/>
  <c r="C57" i="16"/>
  <c r="C60" i="16" s="1"/>
  <c r="D61" i="16"/>
  <c r="E61" i="16" s="1"/>
  <c r="D31" i="16"/>
  <c r="E31" i="16" s="1"/>
  <c r="F31" i="16" s="1"/>
  <c r="G31" i="16" s="1"/>
  <c r="H31" i="16" s="1"/>
  <c r="I31" i="16" s="1"/>
  <c r="J31" i="16" s="1"/>
  <c r="K31" i="16" s="1"/>
  <c r="L31" i="16" s="1"/>
  <c r="M31" i="16" s="1"/>
  <c r="N31" i="16" s="1"/>
  <c r="O31" i="16" s="1"/>
  <c r="P31" i="16" s="1"/>
  <c r="Q31" i="16" s="1"/>
  <c r="R31" i="16" s="1"/>
  <c r="S31" i="16" s="1"/>
  <c r="T31" i="16" s="1"/>
  <c r="C30" i="16"/>
  <c r="CD14" i="1" l="1"/>
  <c r="I11" i="16"/>
  <c r="F61" i="16"/>
  <c r="CI14" i="1" l="1"/>
  <c r="G61" i="16"/>
  <c r="CN14" i="1" l="1"/>
  <c r="H61" i="16"/>
  <c r="CS14" i="1" l="1"/>
  <c r="I61" i="16"/>
  <c r="K6" i="28" l="1"/>
  <c r="J61" i="16"/>
  <c r="G74" i="2"/>
  <c r="G72" i="2"/>
  <c r="G70" i="2"/>
  <c r="G64" i="2"/>
  <c r="G62" i="2"/>
  <c r="L6" i="28" l="1"/>
  <c r="K61" i="16"/>
  <c r="M6" i="28" l="1"/>
  <c r="L61" i="16"/>
  <c r="N6" i="28" l="1"/>
  <c r="M61" i="16"/>
  <c r="P6" i="28" l="1"/>
  <c r="O6" i="28"/>
  <c r="N61" i="16"/>
  <c r="AA129" i="1"/>
  <c r="AF129" i="1" s="1"/>
  <c r="AK129" i="1" s="1"/>
  <c r="AP129" i="1" s="1"/>
  <c r="AU129" i="1" s="1"/>
  <c r="AZ129" i="1" s="1"/>
  <c r="BE129" i="1" s="1"/>
  <c r="BJ129" i="1" s="1"/>
  <c r="BO129" i="1" s="1"/>
  <c r="BT129" i="1" s="1"/>
  <c r="BY129" i="1" s="1"/>
  <c r="CD129" i="1" s="1"/>
  <c r="CI129" i="1" s="1"/>
  <c r="CN129" i="1" s="1"/>
  <c r="CS129" i="1" s="1"/>
  <c r="O61" i="16" l="1"/>
  <c r="P61" i="16" l="1"/>
  <c r="Q61" i="16" s="1"/>
  <c r="R61" i="16" s="1"/>
  <c r="S61" i="16" s="1"/>
  <c r="T61" i="16" s="1"/>
  <c r="D43" i="11" l="1"/>
  <c r="C3" i="22" l="1"/>
  <c r="B76" i="1"/>
  <c r="AH31" i="1" l="1"/>
  <c r="AG31" i="1"/>
  <c r="AI26" i="1"/>
  <c r="AJ26" i="1"/>
  <c r="AH26" i="1"/>
  <c r="AG26" i="1"/>
  <c r="AJ31" i="1"/>
  <c r="G85" i="2"/>
  <c r="AE34" i="1" l="1"/>
  <c r="AG34" i="1"/>
  <c r="AG39" i="1" s="1"/>
  <c r="AG42" i="1" s="1"/>
  <c r="AH34" i="1"/>
  <c r="AH39" i="1" s="1"/>
  <c r="AH42" i="1" s="1"/>
  <c r="AF26" i="1"/>
  <c r="AF31" i="1"/>
  <c r="W88" i="1"/>
  <c r="W80" i="1"/>
  <c r="W48" i="1"/>
  <c r="W30" i="1"/>
  <c r="W29" i="1"/>
  <c r="W28" i="1"/>
  <c r="W25" i="1"/>
  <c r="W24" i="1"/>
  <c r="W23" i="1"/>
  <c r="AA50" i="1"/>
  <c r="V50" i="1"/>
  <c r="AA40" i="1"/>
  <c r="AA38" i="1"/>
  <c r="AA18" i="1"/>
  <c r="AA15" i="1"/>
  <c r="W15" i="1"/>
  <c r="U15" i="1"/>
  <c r="T15" i="1"/>
  <c r="S15" i="1"/>
  <c r="R15" i="1"/>
  <c r="F73" i="11"/>
  <c r="F74" i="11"/>
  <c r="F34" i="11"/>
  <c r="F8" i="11"/>
  <c r="G83" i="2" s="1"/>
  <c r="G29" i="2"/>
  <c r="G76" i="2" s="1"/>
  <c r="J17" i="2"/>
  <c r="K17" i="2" s="1"/>
  <c r="L17" i="2" s="1"/>
  <c r="M17" i="2" s="1"/>
  <c r="N17" i="2" s="1"/>
  <c r="O17" i="2" s="1"/>
  <c r="P17" i="2" s="1"/>
  <c r="Q17" i="2" s="1"/>
  <c r="R17" i="2" s="1"/>
  <c r="S17" i="2" s="1"/>
  <c r="T17" i="2" s="1"/>
  <c r="U17" i="2" s="1"/>
  <c r="V17" i="2" s="1"/>
  <c r="X15" i="1"/>
  <c r="V48" i="1"/>
  <c r="V38" i="1"/>
  <c r="V37" i="1"/>
  <c r="T88" i="1"/>
  <c r="U88" i="1"/>
  <c r="T80" i="1"/>
  <c r="U80" i="1"/>
  <c r="Z83" i="1" s="1"/>
  <c r="U68" i="1"/>
  <c r="V64" i="1"/>
  <c r="V65" i="1"/>
  <c r="V67" i="1"/>
  <c r="V66" i="1"/>
  <c r="U48" i="1"/>
  <c r="U30" i="1"/>
  <c r="U29" i="1"/>
  <c r="U28" i="1"/>
  <c r="U25" i="1"/>
  <c r="U24" i="1"/>
  <c r="U23" i="1"/>
  <c r="T68" i="1"/>
  <c r="T48" i="1"/>
  <c r="T30" i="1"/>
  <c r="T29" i="1"/>
  <c r="T28" i="1"/>
  <c r="T25" i="1"/>
  <c r="T24" i="1"/>
  <c r="T23" i="1"/>
  <c r="S23" i="1"/>
  <c r="O34" i="11"/>
  <c r="P34" i="11"/>
  <c r="O61" i="11"/>
  <c r="P21" i="16"/>
  <c r="O12" i="28"/>
  <c r="O11" i="28" s="1"/>
  <c r="AH44" i="1" l="1"/>
  <c r="AH45" i="1"/>
  <c r="AG45" i="1"/>
  <c r="AG44" i="1"/>
  <c r="AF34" i="1"/>
  <c r="AF69" i="1"/>
  <c r="T79" i="1"/>
  <c r="Y82" i="1" s="1"/>
  <c r="Y83" i="1"/>
  <c r="U89" i="1"/>
  <c r="Z91" i="1"/>
  <c r="W81" i="1"/>
  <c r="AB84" i="1" s="1"/>
  <c r="AB83" i="1"/>
  <c r="T87" i="1"/>
  <c r="Y90" i="1" s="1"/>
  <c r="Y91" i="1"/>
  <c r="W89" i="1"/>
  <c r="AB92" i="1" s="1"/>
  <c r="AB91" i="1"/>
  <c r="I72" i="11"/>
  <c r="J72" i="11" s="1"/>
  <c r="K72" i="11" s="1"/>
  <c r="L72" i="11" s="1"/>
  <c r="M72" i="11" s="1"/>
  <c r="N72" i="11" s="1"/>
  <c r="O72" i="11" s="1"/>
  <c r="P72" i="11" s="1"/>
  <c r="Q72" i="11" s="1"/>
  <c r="R72" i="11" s="1"/>
  <c r="S72" i="11" s="1"/>
  <c r="T72" i="11" s="1"/>
  <c r="U72" i="11" s="1"/>
  <c r="Z24" i="1"/>
  <c r="W79" i="1"/>
  <c r="AB82" i="1" s="1"/>
  <c r="U81" i="1"/>
  <c r="Z84" i="1" s="1"/>
  <c r="U79" i="1"/>
  <c r="Z82" i="1" s="1"/>
  <c r="U87" i="1"/>
  <c r="Z90" i="1" s="1"/>
  <c r="Y28" i="1"/>
  <c r="Z29" i="1"/>
  <c r="Y24" i="1"/>
  <c r="Y29" i="1"/>
  <c r="W87" i="1"/>
  <c r="AB90" i="1" s="1"/>
  <c r="W39" i="1"/>
  <c r="W41" i="1" s="1"/>
  <c r="T89" i="1"/>
  <c r="Y92" i="1" s="1"/>
  <c r="T81" i="1"/>
  <c r="Y84" i="1" s="1"/>
  <c r="I107" i="28"/>
  <c r="I101" i="28"/>
  <c r="E59" i="28"/>
  <c r="F59" i="28" s="1"/>
  <c r="G59" i="28" s="1"/>
  <c r="H59" i="28" s="1"/>
  <c r="I59" i="28" s="1"/>
  <c r="J59" i="28" s="1"/>
  <c r="K59" i="28" s="1"/>
  <c r="L59" i="28" s="1"/>
  <c r="M59" i="28" s="1"/>
  <c r="N59" i="28" s="1"/>
  <c r="O59" i="28" s="1"/>
  <c r="P59" i="28" s="1"/>
  <c r="D58" i="28"/>
  <c r="N12" i="28"/>
  <c r="N11" i="28" s="1"/>
  <c r="M12" i="28"/>
  <c r="M11" i="28" s="1"/>
  <c r="L12" i="28"/>
  <c r="L11" i="28" s="1"/>
  <c r="K12" i="28"/>
  <c r="K11" i="28" s="1"/>
  <c r="J12" i="28"/>
  <c r="J11" i="28" s="1"/>
  <c r="I12" i="28"/>
  <c r="I11" i="28" s="1"/>
  <c r="I32" i="28"/>
  <c r="J32" i="28" s="1"/>
  <c r="K32" i="28" s="1"/>
  <c r="L32" i="28" s="1"/>
  <c r="M32" i="28" s="1"/>
  <c r="N32" i="28" s="1"/>
  <c r="D31" i="28"/>
  <c r="E31" i="28" s="1"/>
  <c r="F31" i="28" s="1"/>
  <c r="G31" i="28" s="1"/>
  <c r="H31" i="28" s="1"/>
  <c r="I31" i="28" s="1"/>
  <c r="J31" i="28" s="1"/>
  <c r="K31" i="28" s="1"/>
  <c r="L31" i="28" s="1"/>
  <c r="M31" i="28" s="1"/>
  <c r="N31" i="28" s="1"/>
  <c r="H157" i="14"/>
  <c r="H150" i="14"/>
  <c r="H102" i="14"/>
  <c r="Z30" i="1" l="1"/>
  <c r="Z92" i="1"/>
  <c r="O31" i="28"/>
  <c r="O69" i="28"/>
  <c r="Z25" i="1"/>
  <c r="Y23" i="1"/>
  <c r="O70" i="28"/>
  <c r="O32" i="28"/>
  <c r="Y25" i="1"/>
  <c r="Y30" i="1"/>
  <c r="Z23" i="1"/>
  <c r="Z28" i="1"/>
  <c r="AA31" i="1" s="1"/>
  <c r="Z15" i="1"/>
  <c r="Y15" i="1"/>
  <c r="W42" i="1"/>
  <c r="P12" i="28"/>
  <c r="P11" i="28" s="1"/>
  <c r="E58" i="28"/>
  <c r="F58" i="28" s="1"/>
  <c r="G58" i="28" s="1"/>
  <c r="H58" i="28" s="1"/>
  <c r="I58" i="28" s="1"/>
  <c r="J58" i="28" s="1"/>
  <c r="K58" i="28" s="1"/>
  <c r="L58" i="28" s="1"/>
  <c r="M58" i="28" s="1"/>
  <c r="N58" i="28" s="1"/>
  <c r="O58" i="28" s="1"/>
  <c r="W45" i="1" l="1"/>
  <c r="P31" i="28"/>
  <c r="P69" i="28"/>
  <c r="P32" i="28"/>
  <c r="P70" i="28"/>
  <c r="W52" i="1"/>
  <c r="W55" i="1" s="1"/>
  <c r="W44" i="1"/>
  <c r="P58" i="28"/>
  <c r="F51" i="11"/>
  <c r="G51" i="11" s="1"/>
  <c r="W54" i="1" l="1"/>
  <c r="H51" i="11"/>
  <c r="G73" i="11"/>
  <c r="N34" i="11"/>
  <c r="M34" i="11"/>
  <c r="L34" i="11"/>
  <c r="K34" i="11"/>
  <c r="J34" i="11"/>
  <c r="I34" i="11"/>
  <c r="I51" i="11" l="1"/>
  <c r="J51" i="11" l="1"/>
  <c r="L71" i="1"/>
  <c r="Q71" i="1"/>
  <c r="K115" i="28"/>
  <c r="J115" i="28"/>
  <c r="I115" i="28"/>
  <c r="L115" i="28" l="1"/>
  <c r="K51" i="11"/>
  <c r="V14" i="1"/>
  <c r="V15" i="1" s="1"/>
  <c r="P15" i="1"/>
  <c r="O15" i="1"/>
  <c r="N15" i="1"/>
  <c r="M15" i="1"/>
  <c r="Q14" i="1"/>
  <c r="K15" i="1"/>
  <c r="J15" i="1"/>
  <c r="I15" i="1"/>
  <c r="H15" i="1"/>
  <c r="L14" i="1"/>
  <c r="G14" i="1"/>
  <c r="F15" i="1"/>
  <c r="E15" i="1"/>
  <c r="D15" i="1"/>
  <c r="C15" i="1"/>
  <c r="M115" i="28" l="1"/>
  <c r="L15" i="1"/>
  <c r="L51" i="11"/>
  <c r="Q15" i="1"/>
  <c r="N115" i="28" l="1"/>
  <c r="M51" i="11"/>
  <c r="H3" i="14"/>
  <c r="T57" i="1"/>
  <c r="V95" i="1"/>
  <c r="T74" i="14" l="1"/>
  <c r="Q78" i="14"/>
  <c r="Q128" i="14"/>
  <c r="Q39" i="14"/>
  <c r="Q76" i="14"/>
  <c r="R78" i="14"/>
  <c r="S128" i="14"/>
  <c r="T39" i="14"/>
  <c r="S76" i="14"/>
  <c r="S78" i="14"/>
  <c r="T128" i="14"/>
  <c r="S74" i="14"/>
  <c r="T76" i="14"/>
  <c r="T78" i="14"/>
  <c r="R76" i="14"/>
  <c r="S39" i="14"/>
  <c r="R74" i="14"/>
  <c r="Q74" i="14"/>
  <c r="R128" i="14"/>
  <c r="R39" i="14"/>
  <c r="O115" i="28"/>
  <c r="O38" i="28"/>
  <c r="P39" i="14"/>
  <c r="P74" i="14"/>
  <c r="O39" i="14"/>
  <c r="O76" i="14"/>
  <c r="O76" i="28"/>
  <c r="O74" i="14"/>
  <c r="P76" i="14"/>
  <c r="O128" i="14"/>
  <c r="O78" i="14"/>
  <c r="P38" i="28"/>
  <c r="P128" i="14"/>
  <c r="P78" i="14"/>
  <c r="P76" i="28"/>
  <c r="N51" i="11"/>
  <c r="O51" i="11" s="1"/>
  <c r="P51" i="11" s="1"/>
  <c r="Q51" i="11" s="1"/>
  <c r="R51" i="11" s="1"/>
  <c r="S51" i="11" s="1"/>
  <c r="T51" i="11" s="1"/>
  <c r="U51" i="11" s="1"/>
  <c r="G15" i="2"/>
  <c r="D37" i="11"/>
  <c r="D29" i="11"/>
  <c r="D10" i="11"/>
  <c r="D20" i="11" s="1"/>
  <c r="E34" i="11"/>
  <c r="E10" i="11"/>
  <c r="P115" i="28" l="1"/>
  <c r="O67" i="16"/>
  <c r="P127" i="16"/>
  <c r="O37" i="16"/>
  <c r="P67" i="16"/>
  <c r="O97" i="16"/>
  <c r="P37" i="16"/>
  <c r="P97" i="16"/>
  <c r="D39" i="11"/>
  <c r="D42" i="11" s="1"/>
  <c r="J36" i="2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D46" i="11" l="1"/>
  <c r="E40" i="11"/>
  <c r="D44" i="11"/>
  <c r="J34" i="2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G33" i="2"/>
  <c r="H33" i="2" s="1"/>
  <c r="J33" i="2" s="1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H15" i="2"/>
  <c r="J15" i="2" s="1"/>
  <c r="K15" i="2" s="1"/>
  <c r="L15" i="2" s="1"/>
  <c r="M15" i="2" s="1"/>
  <c r="N15" i="2" s="1"/>
  <c r="O15" i="2" s="1"/>
  <c r="P15" i="2" s="1"/>
  <c r="Q15" i="2" s="1"/>
  <c r="R15" i="2" s="1"/>
  <c r="S15" i="2" s="1"/>
  <c r="T15" i="2" s="1"/>
  <c r="U15" i="2" s="1"/>
  <c r="V15" i="2" s="1"/>
  <c r="J14" i="2"/>
  <c r="K14" i="2" s="1"/>
  <c r="L14" i="2" s="1"/>
  <c r="M14" i="2" s="1"/>
  <c r="N14" i="2" s="1"/>
  <c r="O14" i="2" s="1"/>
  <c r="P14" i="2" s="1"/>
  <c r="Q14" i="2" s="1"/>
  <c r="R14" i="2" s="1"/>
  <c r="S14" i="2" s="1"/>
  <c r="T14" i="2" s="1"/>
  <c r="U14" i="2" s="1"/>
  <c r="V14" i="2" s="1"/>
  <c r="E43" i="11" l="1"/>
  <c r="J7" i="2"/>
  <c r="K7" i="2" s="1"/>
  <c r="L7" i="2" s="1"/>
  <c r="M7" i="2" s="1"/>
  <c r="N7" i="2" s="1"/>
  <c r="O7" i="2" s="1"/>
  <c r="P7" i="2" s="1"/>
  <c r="Q7" i="2" s="1"/>
  <c r="R7" i="2" s="1"/>
  <c r="S7" i="2" s="1"/>
  <c r="T7" i="2" s="1"/>
  <c r="U7" i="2" s="1"/>
  <c r="V7" i="2" s="1"/>
  <c r="J23" i="2"/>
  <c r="K23" i="2" s="1"/>
  <c r="L23" i="2" s="1"/>
  <c r="M23" i="2" s="1"/>
  <c r="N23" i="2" s="1"/>
  <c r="O23" i="2" s="1"/>
  <c r="P23" i="2" s="1"/>
  <c r="Q23" i="2" s="1"/>
  <c r="R23" i="2" s="1"/>
  <c r="S23" i="2" s="1"/>
  <c r="T23" i="2" s="1"/>
  <c r="U23" i="2" s="1"/>
  <c r="V23" i="2" s="1"/>
  <c r="F24" i="2"/>
  <c r="F83" i="2"/>
  <c r="E74" i="11" l="1"/>
  <c r="D74" i="11"/>
  <c r="D62" i="11"/>
  <c r="D73" i="11"/>
  <c r="E73" i="11"/>
  <c r="I65" i="11"/>
  <c r="J65" i="11" s="1"/>
  <c r="K65" i="11" s="1"/>
  <c r="L65" i="11" s="1"/>
  <c r="M65" i="11" s="1"/>
  <c r="N65" i="11" s="1"/>
  <c r="O65" i="11" s="1"/>
  <c r="P65" i="11" s="1"/>
  <c r="Q65" i="11" s="1"/>
  <c r="R65" i="11" s="1"/>
  <c r="S65" i="11" s="1"/>
  <c r="T65" i="11" s="1"/>
  <c r="U65" i="11" s="1"/>
  <c r="F55" i="11"/>
  <c r="I55" i="11" s="1"/>
  <c r="J55" i="11" s="1"/>
  <c r="K55" i="11" s="1"/>
  <c r="L55" i="11" s="1"/>
  <c r="M55" i="11" s="1"/>
  <c r="N55" i="11" s="1"/>
  <c r="O55" i="11" s="1"/>
  <c r="P55" i="11" s="1"/>
  <c r="Q55" i="11" s="1"/>
  <c r="R55" i="11" s="1"/>
  <c r="S55" i="11" s="1"/>
  <c r="T55" i="11" s="1"/>
  <c r="U55" i="11" s="1"/>
  <c r="F60" i="11"/>
  <c r="D65" i="11"/>
  <c r="D59" i="11"/>
  <c r="D57" i="11"/>
  <c r="D53" i="11"/>
  <c r="D54" i="11" s="1"/>
  <c r="E53" i="11"/>
  <c r="E64" i="11"/>
  <c r="E58" i="11"/>
  <c r="E62" i="11" s="1"/>
  <c r="E56" i="11"/>
  <c r="E52" i="11"/>
  <c r="E59" i="11" l="1"/>
  <c r="E57" i="11"/>
  <c r="E54" i="11"/>
  <c r="F52" i="11"/>
  <c r="F53" i="11" s="1"/>
  <c r="E65" i="11"/>
  <c r="I57" i="11"/>
  <c r="I59" i="11"/>
  <c r="F56" i="11" l="1"/>
  <c r="F58" i="11"/>
  <c r="F62" i="11" s="1"/>
  <c r="F75" i="11" s="1"/>
  <c r="F64" i="11"/>
  <c r="J57" i="11"/>
  <c r="J59" i="11"/>
  <c r="I60" i="11"/>
  <c r="G52" i="11" l="1"/>
  <c r="K57" i="11"/>
  <c r="K59" i="11"/>
  <c r="J60" i="11"/>
  <c r="G62" i="11" l="1"/>
  <c r="G75" i="11" s="1"/>
  <c r="L57" i="11"/>
  <c r="M57" i="11" s="1"/>
  <c r="N57" i="11" s="1"/>
  <c r="O57" i="11" s="1"/>
  <c r="P57" i="11" s="1"/>
  <c r="Q57" i="11" s="1"/>
  <c r="R57" i="11" s="1"/>
  <c r="S57" i="11" s="1"/>
  <c r="T57" i="11" s="1"/>
  <c r="U57" i="11" s="1"/>
  <c r="L59" i="11"/>
  <c r="M59" i="11" s="1"/>
  <c r="N59" i="11" s="1"/>
  <c r="O59" i="11" s="1"/>
  <c r="P59" i="11" s="1"/>
  <c r="Q59" i="11" s="1"/>
  <c r="R59" i="11" s="1"/>
  <c r="S59" i="11" s="1"/>
  <c r="T59" i="11" s="1"/>
  <c r="U59" i="11" s="1"/>
  <c r="K60" i="11"/>
  <c r="L60" i="11" l="1"/>
  <c r="M60" i="11" s="1"/>
  <c r="N60" i="11" s="1"/>
  <c r="O60" i="11" s="1"/>
  <c r="P60" i="11" s="1"/>
  <c r="Q60" i="11" s="1"/>
  <c r="R60" i="11" s="1"/>
  <c r="S60" i="11" s="1"/>
  <c r="T60" i="11" s="1"/>
  <c r="U60" i="11" s="1"/>
  <c r="H62" i="11" l="1"/>
  <c r="H75" i="11" s="1"/>
  <c r="I52" i="11" l="1"/>
  <c r="F85" i="2"/>
  <c r="G80" i="2" s="1"/>
  <c r="F108" i="2"/>
  <c r="I56" i="11" l="1"/>
  <c r="I64" i="11"/>
  <c r="I58" i="11"/>
  <c r="I62" i="11" s="1"/>
  <c r="I75" i="11" s="1"/>
  <c r="F76" i="2"/>
  <c r="E76" i="2"/>
  <c r="D76" i="2"/>
  <c r="F74" i="2"/>
  <c r="E74" i="2"/>
  <c r="D74" i="2"/>
  <c r="F72" i="2"/>
  <c r="E72" i="2"/>
  <c r="D72" i="2"/>
  <c r="F70" i="2"/>
  <c r="E70" i="2"/>
  <c r="D70" i="2"/>
  <c r="F64" i="2"/>
  <c r="E64" i="2"/>
  <c r="D64" i="2"/>
  <c r="F68" i="2"/>
  <c r="E68" i="2"/>
  <c r="D68" i="2"/>
  <c r="F66" i="2"/>
  <c r="E66" i="2"/>
  <c r="D66" i="2"/>
  <c r="F62" i="2"/>
  <c r="E62" i="2"/>
  <c r="D62" i="2"/>
  <c r="F53" i="2"/>
  <c r="F81" i="2" s="1"/>
  <c r="D52" i="2"/>
  <c r="E52" i="2"/>
  <c r="I48" i="2"/>
  <c r="H48" i="2"/>
  <c r="I47" i="2"/>
  <c r="H47" i="2"/>
  <c r="G47" i="2"/>
  <c r="J52" i="11" l="1"/>
  <c r="J56" i="11" s="1"/>
  <c r="H73" i="2"/>
  <c r="H65" i="2"/>
  <c r="G63" i="2"/>
  <c r="G65" i="2"/>
  <c r="G73" i="2"/>
  <c r="F90" i="2"/>
  <c r="J58" i="11" l="1"/>
  <c r="J62" i="11" s="1"/>
  <c r="J75" i="11" s="1"/>
  <c r="J64" i="11"/>
  <c r="I56" i="2"/>
  <c r="I59" i="2" s="1"/>
  <c r="I57" i="2"/>
  <c r="I60" i="2" s="1"/>
  <c r="H56" i="2"/>
  <c r="H59" i="2" s="1"/>
  <c r="G56" i="2"/>
  <c r="G59" i="2" s="1"/>
  <c r="F89" i="2"/>
  <c r="G89" i="2" s="1"/>
  <c r="K52" i="11" l="1"/>
  <c r="K64" i="11" s="1"/>
  <c r="H89" i="2"/>
  <c r="K56" i="11" l="1"/>
  <c r="K58" i="11"/>
  <c r="K62" i="11" s="1"/>
  <c r="K75" i="11" s="1"/>
  <c r="I89" i="2"/>
  <c r="L52" i="11" l="1"/>
  <c r="L58" i="11" s="1"/>
  <c r="L62" i="11" s="1"/>
  <c r="L75" i="11" s="1"/>
  <c r="L64" i="11"/>
  <c r="J89" i="2"/>
  <c r="L56" i="11" l="1"/>
  <c r="M52" i="11" s="1"/>
  <c r="K89" i="2"/>
  <c r="M58" i="11" l="1"/>
  <c r="M56" i="11"/>
  <c r="M64" i="11"/>
  <c r="L89" i="2"/>
  <c r="N52" i="11" l="1"/>
  <c r="M62" i="11"/>
  <c r="M75" i="11" s="1"/>
  <c r="M89" i="2"/>
  <c r="N89" i="2" s="1"/>
  <c r="O89" i="2" s="1"/>
  <c r="P89" i="2" s="1"/>
  <c r="Q89" i="2" s="1"/>
  <c r="R89" i="2" s="1"/>
  <c r="S89" i="2" s="1"/>
  <c r="T89" i="2" s="1"/>
  <c r="U89" i="2" s="1"/>
  <c r="V89" i="2" s="1"/>
  <c r="N64" i="11" l="1"/>
  <c r="N58" i="11"/>
  <c r="N62" i="11" s="1"/>
  <c r="N75" i="11" s="1"/>
  <c r="N56" i="11"/>
  <c r="J6" i="2"/>
  <c r="F43" i="11"/>
  <c r="U40" i="1"/>
  <c r="T40" i="1"/>
  <c r="V18" i="1"/>
  <c r="L13" i="2" l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O52" i="11"/>
  <c r="V40" i="1"/>
  <c r="G48" i="2"/>
  <c r="G43" i="11"/>
  <c r="L112" i="1"/>
  <c r="Q112" i="1" s="1"/>
  <c r="V112" i="1" s="1"/>
  <c r="Q95" i="1"/>
  <c r="L95" i="1"/>
  <c r="AA96" i="1"/>
  <c r="P96" i="1"/>
  <c r="O96" i="1"/>
  <c r="N96" i="1"/>
  <c r="M96" i="1"/>
  <c r="K96" i="1"/>
  <c r="J96" i="1"/>
  <c r="I96" i="1"/>
  <c r="H96" i="1"/>
  <c r="G26" i="1"/>
  <c r="F25" i="1"/>
  <c r="E25" i="1"/>
  <c r="D25" i="1"/>
  <c r="C25" i="1"/>
  <c r="F24" i="1"/>
  <c r="F23" i="1" s="1"/>
  <c r="E24" i="1"/>
  <c r="E23" i="1" s="1"/>
  <c r="D24" i="1"/>
  <c r="D23" i="1" s="1"/>
  <c r="C24" i="1"/>
  <c r="C23" i="1" s="1"/>
  <c r="L26" i="1"/>
  <c r="K25" i="1"/>
  <c r="J25" i="1"/>
  <c r="I25" i="1"/>
  <c r="H25" i="1"/>
  <c r="K24" i="1"/>
  <c r="K23" i="1" s="1"/>
  <c r="J24" i="1"/>
  <c r="J23" i="1" s="1"/>
  <c r="I24" i="1"/>
  <c r="I23" i="1" s="1"/>
  <c r="H24" i="1"/>
  <c r="H23" i="1" s="1"/>
  <c r="S88" i="1"/>
  <c r="X91" i="1" s="1"/>
  <c r="R88" i="1"/>
  <c r="P88" i="1"/>
  <c r="O88" i="1"/>
  <c r="N88" i="1"/>
  <c r="N89" i="1" s="1"/>
  <c r="N30" i="1" s="1"/>
  <c r="M88" i="1"/>
  <c r="M87" i="1" s="1"/>
  <c r="M28" i="1" s="1"/>
  <c r="K88" i="1"/>
  <c r="K89" i="1" s="1"/>
  <c r="J88" i="1"/>
  <c r="J89" i="1" s="1"/>
  <c r="J30" i="1" s="1"/>
  <c r="I88" i="1"/>
  <c r="I89" i="1" s="1"/>
  <c r="I30" i="1" s="1"/>
  <c r="H88" i="1"/>
  <c r="H29" i="1" s="1"/>
  <c r="F88" i="1"/>
  <c r="F89" i="1" s="1"/>
  <c r="F30" i="1" s="1"/>
  <c r="E88" i="1"/>
  <c r="D88" i="1"/>
  <c r="D89" i="1" s="1"/>
  <c r="D30" i="1" s="1"/>
  <c r="C88" i="1"/>
  <c r="C89" i="1" s="1"/>
  <c r="C30" i="1" s="1"/>
  <c r="Q26" i="1"/>
  <c r="P25" i="1"/>
  <c r="O25" i="1"/>
  <c r="N25" i="1"/>
  <c r="M25" i="1"/>
  <c r="P24" i="1"/>
  <c r="O24" i="1"/>
  <c r="O23" i="1" s="1"/>
  <c r="N24" i="1"/>
  <c r="N23" i="1" s="1"/>
  <c r="M24" i="1"/>
  <c r="M23" i="1" s="1"/>
  <c r="P23" i="1"/>
  <c r="S24" i="1"/>
  <c r="S25" i="1"/>
  <c r="R25" i="1"/>
  <c r="R24" i="1"/>
  <c r="R23" i="1" s="1"/>
  <c r="S80" i="1"/>
  <c r="X83" i="1" s="1"/>
  <c r="R80" i="1"/>
  <c r="P80" i="1"/>
  <c r="O80" i="1"/>
  <c r="N80" i="1"/>
  <c r="N79" i="1" s="1"/>
  <c r="M80" i="1"/>
  <c r="K80" i="1"/>
  <c r="K79" i="1" s="1"/>
  <c r="J80" i="1"/>
  <c r="I80" i="1"/>
  <c r="I81" i="1" s="1"/>
  <c r="H80" i="1"/>
  <c r="H81" i="1" s="1"/>
  <c r="D80" i="1"/>
  <c r="D81" i="1" s="1"/>
  <c r="E80" i="1"/>
  <c r="E81" i="1" s="1"/>
  <c r="F80" i="1"/>
  <c r="F81" i="1" s="1"/>
  <c r="C80" i="1"/>
  <c r="C79" i="1" s="1"/>
  <c r="J91" i="1" l="1"/>
  <c r="O56" i="11"/>
  <c r="O64" i="11"/>
  <c r="O58" i="11"/>
  <c r="J87" i="1"/>
  <c r="J28" i="1" s="1"/>
  <c r="P81" i="1"/>
  <c r="U84" i="1" s="1"/>
  <c r="U83" i="1"/>
  <c r="O81" i="1"/>
  <c r="T84" i="1" s="1"/>
  <c r="T83" i="1"/>
  <c r="R79" i="1"/>
  <c r="W82" i="1" s="1"/>
  <c r="W83" i="1"/>
  <c r="O29" i="1"/>
  <c r="T91" i="1"/>
  <c r="R87" i="1"/>
  <c r="R90" i="1" s="1"/>
  <c r="W91" i="1"/>
  <c r="S81" i="1"/>
  <c r="X84" i="1" s="1"/>
  <c r="P29" i="1"/>
  <c r="U91" i="1"/>
  <c r="S29" i="1"/>
  <c r="S91" i="1"/>
  <c r="K6" i="2"/>
  <c r="H43" i="11"/>
  <c r="N87" i="1"/>
  <c r="N28" i="1" s="1"/>
  <c r="E87" i="1"/>
  <c r="E28" i="1" s="1"/>
  <c r="O89" i="1"/>
  <c r="O79" i="1"/>
  <c r="T82" i="1" s="1"/>
  <c r="E89" i="1"/>
  <c r="E30" i="1" s="1"/>
  <c r="G30" i="1" s="1"/>
  <c r="H91" i="1"/>
  <c r="E29" i="1"/>
  <c r="R89" i="1"/>
  <c r="N29" i="1"/>
  <c r="J29" i="1"/>
  <c r="C29" i="1"/>
  <c r="AA112" i="1"/>
  <c r="F61" i="11"/>
  <c r="F63" i="11" s="1"/>
  <c r="K92" i="1"/>
  <c r="K30" i="1"/>
  <c r="U39" i="1"/>
  <c r="U41" i="1" s="1"/>
  <c r="Q23" i="1"/>
  <c r="S89" i="1"/>
  <c r="X92" i="1" s="1"/>
  <c r="M91" i="1"/>
  <c r="K29" i="1"/>
  <c r="F29" i="1"/>
  <c r="L23" i="1"/>
  <c r="L24" i="1"/>
  <c r="G25" i="1"/>
  <c r="R29" i="1"/>
  <c r="L25" i="1"/>
  <c r="G23" i="1"/>
  <c r="P79" i="1"/>
  <c r="U82" i="1" s="1"/>
  <c r="C81" i="1"/>
  <c r="G81" i="1" s="1"/>
  <c r="Q24" i="1"/>
  <c r="Q25" i="1"/>
  <c r="F87" i="1"/>
  <c r="F28" i="1" s="1"/>
  <c r="M29" i="1"/>
  <c r="I29" i="1"/>
  <c r="D29" i="1"/>
  <c r="AF96" i="1"/>
  <c r="G24" i="1"/>
  <c r="J83" i="1"/>
  <c r="H83" i="1"/>
  <c r="M83" i="1"/>
  <c r="H84" i="1"/>
  <c r="H79" i="1"/>
  <c r="H82" i="1" s="1"/>
  <c r="R91" i="1"/>
  <c r="M89" i="1"/>
  <c r="I87" i="1"/>
  <c r="I28" i="1" s="1"/>
  <c r="N91" i="1"/>
  <c r="N92" i="1"/>
  <c r="I91" i="1"/>
  <c r="I92" i="1"/>
  <c r="G88" i="1"/>
  <c r="L88" i="1"/>
  <c r="D87" i="1"/>
  <c r="D28" i="1" s="1"/>
  <c r="H87" i="1"/>
  <c r="H28" i="1" s="1"/>
  <c r="P87" i="1"/>
  <c r="H89" i="1"/>
  <c r="P89" i="1"/>
  <c r="K91" i="1"/>
  <c r="O91" i="1"/>
  <c r="P91" i="1"/>
  <c r="C87" i="1"/>
  <c r="C28" i="1" s="1"/>
  <c r="K87" i="1"/>
  <c r="O87" i="1"/>
  <c r="S87" i="1"/>
  <c r="X90" i="1" s="1"/>
  <c r="Q88" i="1"/>
  <c r="G80" i="1"/>
  <c r="M79" i="1"/>
  <c r="R83" i="1"/>
  <c r="D79" i="1"/>
  <c r="I84" i="1"/>
  <c r="E79" i="1"/>
  <c r="J81" i="1"/>
  <c r="J84" i="1" s="1"/>
  <c r="Q80" i="1"/>
  <c r="M81" i="1"/>
  <c r="M84" i="1" s="1"/>
  <c r="R81" i="1"/>
  <c r="W84" i="1" s="1"/>
  <c r="K83" i="1"/>
  <c r="P83" i="1"/>
  <c r="S83" i="1"/>
  <c r="I79" i="1"/>
  <c r="N82" i="1" s="1"/>
  <c r="I83" i="1"/>
  <c r="N83" i="1"/>
  <c r="V25" i="1"/>
  <c r="F79" i="1"/>
  <c r="K82" i="1" s="1"/>
  <c r="J79" i="1"/>
  <c r="O83" i="1"/>
  <c r="S79" i="1"/>
  <c r="X82" i="1" s="1"/>
  <c r="N81" i="1"/>
  <c r="L80" i="1"/>
  <c r="K81" i="1"/>
  <c r="K84" i="1" s="1"/>
  <c r="P52" i="11" l="1"/>
  <c r="P64" i="11" s="1"/>
  <c r="O62" i="11"/>
  <c r="O75" i="11" s="1"/>
  <c r="O63" i="11"/>
  <c r="AA24" i="1"/>
  <c r="AA80" i="1"/>
  <c r="AF83" i="1" s="1"/>
  <c r="AA25" i="1"/>
  <c r="AA81" i="1"/>
  <c r="AF84" i="1" s="1"/>
  <c r="AA29" i="1"/>
  <c r="AA88" i="1"/>
  <c r="AF91" i="1" s="1"/>
  <c r="R92" i="1"/>
  <c r="S90" i="1"/>
  <c r="O30" i="1"/>
  <c r="T92" i="1"/>
  <c r="S82" i="1"/>
  <c r="O28" i="1"/>
  <c r="T90" i="1"/>
  <c r="P30" i="1"/>
  <c r="U92" i="1"/>
  <c r="P28" i="1"/>
  <c r="U90" i="1"/>
  <c r="S30" i="1"/>
  <c r="S92" i="1"/>
  <c r="R30" i="1"/>
  <c r="W92" i="1"/>
  <c r="R28" i="1"/>
  <c r="W90" i="1"/>
  <c r="J92" i="1"/>
  <c r="G89" i="1"/>
  <c r="J82" i="1"/>
  <c r="I43" i="11"/>
  <c r="Q29" i="1"/>
  <c r="J90" i="1"/>
  <c r="O92" i="1"/>
  <c r="P82" i="1"/>
  <c r="L29" i="1"/>
  <c r="G28" i="1"/>
  <c r="E61" i="11"/>
  <c r="E63" i="11" s="1"/>
  <c r="Q79" i="1"/>
  <c r="G29" i="1"/>
  <c r="AF112" i="1"/>
  <c r="G61" i="11"/>
  <c r="G63" i="11" s="1"/>
  <c r="U42" i="1"/>
  <c r="Q89" i="1"/>
  <c r="M30" i="1"/>
  <c r="K90" i="1"/>
  <c r="K28" i="1"/>
  <c r="L28" i="1" s="1"/>
  <c r="M92" i="1"/>
  <c r="H30" i="1"/>
  <c r="L30" i="1" s="1"/>
  <c r="M82" i="1"/>
  <c r="S28" i="1"/>
  <c r="N90" i="1"/>
  <c r="R82" i="1"/>
  <c r="AK96" i="1"/>
  <c r="V88" i="1"/>
  <c r="V91" i="1" s="1"/>
  <c r="L83" i="1"/>
  <c r="I90" i="1"/>
  <c r="O90" i="1"/>
  <c r="Q87" i="1"/>
  <c r="P90" i="1"/>
  <c r="L91" i="1"/>
  <c r="Q91" i="1"/>
  <c r="G87" i="1"/>
  <c r="P92" i="1"/>
  <c r="H90" i="1"/>
  <c r="L87" i="1"/>
  <c r="M90" i="1"/>
  <c r="H92" i="1"/>
  <c r="L89" i="1"/>
  <c r="L92" i="1" s="1"/>
  <c r="V80" i="1"/>
  <c r="G79" i="1"/>
  <c r="I82" i="1"/>
  <c r="V24" i="1"/>
  <c r="Q81" i="1"/>
  <c r="S84" i="1"/>
  <c r="N84" i="1"/>
  <c r="P84" i="1"/>
  <c r="L81" i="1"/>
  <c r="L84" i="1" s="1"/>
  <c r="V79" i="1"/>
  <c r="V23" i="1"/>
  <c r="Q83" i="1"/>
  <c r="O84" i="1"/>
  <c r="V81" i="1"/>
  <c r="R84" i="1"/>
  <c r="O82" i="1"/>
  <c r="L79" i="1"/>
  <c r="P58" i="11" l="1"/>
  <c r="P56" i="11"/>
  <c r="Q52" i="11" s="1"/>
  <c r="P62" i="11"/>
  <c r="P63" i="11"/>
  <c r="AA91" i="1"/>
  <c r="AA84" i="1"/>
  <c r="AA79" i="1"/>
  <c r="AA83" i="1"/>
  <c r="AA30" i="1"/>
  <c r="AA89" i="1"/>
  <c r="AF92" i="1" s="1"/>
  <c r="AA28" i="1"/>
  <c r="AA87" i="1"/>
  <c r="AF90" i="1" s="1"/>
  <c r="Q30" i="1"/>
  <c r="Q28" i="1"/>
  <c r="L90" i="1"/>
  <c r="AA23" i="1"/>
  <c r="L6" i="2"/>
  <c r="J43" i="11"/>
  <c r="D61" i="11"/>
  <c r="D63" i="11" s="1"/>
  <c r="AK112" i="1"/>
  <c r="H61" i="11"/>
  <c r="H63" i="11" s="1"/>
  <c r="U52" i="1"/>
  <c r="U44" i="1"/>
  <c r="V87" i="1"/>
  <c r="V90" i="1" s="1"/>
  <c r="V28" i="1"/>
  <c r="AP96" i="1"/>
  <c r="V89" i="1"/>
  <c r="V92" i="1" s="1"/>
  <c r="V30" i="1"/>
  <c r="V29" i="1"/>
  <c r="V26" i="1"/>
  <c r="V83" i="1"/>
  <c r="Q92" i="1"/>
  <c r="Q90" i="1"/>
  <c r="V84" i="1"/>
  <c r="V82" i="1"/>
  <c r="L82" i="1"/>
  <c r="Q82" i="1"/>
  <c r="Q84" i="1"/>
  <c r="Q64" i="11" l="1"/>
  <c r="Q58" i="11"/>
  <c r="Q56" i="11"/>
  <c r="AA82" i="1"/>
  <c r="AF82" i="1"/>
  <c r="P75" i="11"/>
  <c r="AA90" i="1"/>
  <c r="AA92" i="1"/>
  <c r="AA26" i="1"/>
  <c r="AA34" i="1" s="1"/>
  <c r="V31" i="1"/>
  <c r="T69" i="1"/>
  <c r="T58" i="1"/>
  <c r="M6" i="2"/>
  <c r="K43" i="11"/>
  <c r="AP112" i="1"/>
  <c r="I61" i="11"/>
  <c r="I63" i="11" s="1"/>
  <c r="U54" i="1"/>
  <c r="AU96" i="1"/>
  <c r="AZ96" i="1" s="1"/>
  <c r="BE96" i="1" s="1"/>
  <c r="BJ96" i="1" s="1"/>
  <c r="BO96" i="1" s="1"/>
  <c r="BT96" i="1" s="1"/>
  <c r="BY96" i="1" s="1"/>
  <c r="T39" i="1"/>
  <c r="T41" i="1" s="1"/>
  <c r="AP79" i="1"/>
  <c r="AU79" i="1" s="1"/>
  <c r="AZ79" i="1" s="1"/>
  <c r="BE79" i="1" s="1"/>
  <c r="BJ79" i="1" s="1"/>
  <c r="BO79" i="1" s="1"/>
  <c r="BT79" i="1" s="1"/>
  <c r="BY79" i="1" s="1"/>
  <c r="V34" i="1" l="1"/>
  <c r="V39" i="1" s="1"/>
  <c r="R52" i="11"/>
  <c r="R58" i="11" s="1"/>
  <c r="Q62" i="11"/>
  <c r="Q75" i="11" s="1"/>
  <c r="Q33" i="11" s="1"/>
  <c r="Q37" i="11" s="1"/>
  <c r="Q63" i="11"/>
  <c r="CD96" i="1"/>
  <c r="BY23" i="1"/>
  <c r="CD79" i="1"/>
  <c r="AA69" i="1"/>
  <c r="L43" i="11"/>
  <c r="N6" i="2"/>
  <c r="G49" i="2"/>
  <c r="AU112" i="1"/>
  <c r="J61" i="11"/>
  <c r="J63" i="11" s="1"/>
  <c r="T42" i="1"/>
  <c r="AP80" i="1"/>
  <c r="AK24" i="1"/>
  <c r="R64" i="11" l="1"/>
  <c r="R56" i="11"/>
  <c r="R62" i="11"/>
  <c r="R75" i="11" s="1"/>
  <c r="R33" i="11" s="1"/>
  <c r="R37" i="11" s="1"/>
  <c r="CI96" i="1"/>
  <c r="CI79" i="1"/>
  <c r="CD23" i="1"/>
  <c r="G77" i="2"/>
  <c r="G75" i="2"/>
  <c r="G71" i="2"/>
  <c r="M43" i="11"/>
  <c r="O6" i="2"/>
  <c r="P6" i="2" s="1"/>
  <c r="AZ112" i="1"/>
  <c r="K61" i="11"/>
  <c r="K63" i="11" s="1"/>
  <c r="T44" i="1"/>
  <c r="T52" i="1"/>
  <c r="AU80" i="1"/>
  <c r="AP24" i="1"/>
  <c r="AK23" i="1"/>
  <c r="S52" i="11" l="1"/>
  <c r="S56" i="11" s="1"/>
  <c r="CN96" i="1"/>
  <c r="CI23" i="1"/>
  <c r="CN79" i="1"/>
  <c r="AK26" i="1"/>
  <c r="O43" i="11"/>
  <c r="Q6" i="2"/>
  <c r="P43" i="11" s="1"/>
  <c r="L61" i="11"/>
  <c r="L63" i="11" s="1"/>
  <c r="BE112" i="1"/>
  <c r="N43" i="11"/>
  <c r="G58" i="2"/>
  <c r="G61" i="2" s="1"/>
  <c r="T54" i="1"/>
  <c r="AP23" i="1"/>
  <c r="AZ80" i="1"/>
  <c r="AU24" i="1"/>
  <c r="S58" i="11" l="1"/>
  <c r="S62" i="11" s="1"/>
  <c r="S75" i="11" s="1"/>
  <c r="S33" i="11" s="1"/>
  <c r="S37" i="11" s="1"/>
  <c r="S64" i="11"/>
  <c r="R6" i="2"/>
  <c r="Q43" i="11" s="1"/>
  <c r="CS96" i="1"/>
  <c r="CN23" i="1"/>
  <c r="CS79" i="1"/>
  <c r="CS23" i="1" s="1"/>
  <c r="AP26" i="1"/>
  <c r="M61" i="11"/>
  <c r="M63" i="11" s="1"/>
  <c r="BJ112" i="1"/>
  <c r="R61" i="11" s="1"/>
  <c r="R63" i="11" s="1"/>
  <c r="AZ24" i="1"/>
  <c r="BE80" i="1"/>
  <c r="AU23" i="1"/>
  <c r="S63" i="11" l="1"/>
  <c r="T52" i="11"/>
  <c r="T58" i="11" s="1"/>
  <c r="S6" i="2"/>
  <c r="R43" i="11" s="1"/>
  <c r="AU26" i="1"/>
  <c r="N61" i="11"/>
  <c r="N63" i="11" s="1"/>
  <c r="BO112" i="1"/>
  <c r="BT112" i="1" s="1"/>
  <c r="BY112" i="1" s="1"/>
  <c r="CD112" i="1" s="1"/>
  <c r="CI112" i="1" s="1"/>
  <c r="CN112" i="1" s="1"/>
  <c r="CS112" i="1" s="1"/>
  <c r="BE24" i="1"/>
  <c r="BJ80" i="1"/>
  <c r="AZ23" i="1"/>
  <c r="E37" i="11"/>
  <c r="E29" i="11"/>
  <c r="D38" i="2"/>
  <c r="D25" i="2"/>
  <c r="D30" i="2" s="1"/>
  <c r="D11" i="2"/>
  <c r="D18" i="2" s="1"/>
  <c r="E38" i="2"/>
  <c r="E25" i="2"/>
  <c r="E30" i="2" s="1"/>
  <c r="E11" i="2"/>
  <c r="E18" i="2" s="1"/>
  <c r="F38" i="2"/>
  <c r="T64" i="11" l="1"/>
  <c r="T56" i="11"/>
  <c r="T62" i="11"/>
  <c r="T75" i="11" s="1"/>
  <c r="T33" i="11" s="1"/>
  <c r="T37" i="11" s="1"/>
  <c r="T63" i="11"/>
  <c r="U52" i="11"/>
  <c r="T6" i="2"/>
  <c r="S43" i="11" s="1"/>
  <c r="AZ26" i="1"/>
  <c r="BJ24" i="1"/>
  <c r="BO80" i="1"/>
  <c r="BE23" i="1"/>
  <c r="D40" i="2"/>
  <c r="D42" i="2" s="1"/>
  <c r="E40" i="2"/>
  <c r="E42" i="2" s="1"/>
  <c r="U58" i="11" l="1"/>
  <c r="U56" i="11"/>
  <c r="U64" i="11"/>
  <c r="U6" i="2"/>
  <c r="T43" i="11" s="1"/>
  <c r="BE26" i="1"/>
  <c r="BT80" i="1"/>
  <c r="BO24" i="1"/>
  <c r="BJ23" i="1"/>
  <c r="F50" i="1"/>
  <c r="F68" i="1"/>
  <c r="F69" i="1" s="1"/>
  <c r="G67" i="1"/>
  <c r="G66" i="1"/>
  <c r="G65" i="1"/>
  <c r="G64" i="1"/>
  <c r="G40" i="1"/>
  <c r="D50" i="2" s="1"/>
  <c r="G38" i="1"/>
  <c r="G37" i="1"/>
  <c r="F39" i="1"/>
  <c r="G31" i="1"/>
  <c r="G34" i="1" s="1"/>
  <c r="G18" i="1"/>
  <c r="D48" i="2" s="1"/>
  <c r="K68" i="1"/>
  <c r="K39" i="1"/>
  <c r="L67" i="1"/>
  <c r="L66" i="1"/>
  <c r="L65" i="1"/>
  <c r="L64" i="1"/>
  <c r="L50" i="1"/>
  <c r="L40" i="1"/>
  <c r="E50" i="2" s="1"/>
  <c r="L38" i="1"/>
  <c r="L37" i="1"/>
  <c r="L97" i="1" s="1"/>
  <c r="L96" i="1" s="1"/>
  <c r="L31" i="1"/>
  <c r="L34" i="1" s="1"/>
  <c r="L18" i="1"/>
  <c r="E48" i="2" s="1"/>
  <c r="Q67" i="1"/>
  <c r="Q66" i="1"/>
  <c r="Q65" i="1"/>
  <c r="Q64" i="1"/>
  <c r="Q50" i="1"/>
  <c r="Q40" i="1"/>
  <c r="F50" i="2" s="1"/>
  <c r="Q38" i="1"/>
  <c r="Q37" i="1"/>
  <c r="Q97" i="1" s="1"/>
  <c r="Q96" i="1" s="1"/>
  <c r="Q31" i="1"/>
  <c r="Q34" i="1" s="1"/>
  <c r="Q18" i="1"/>
  <c r="C68" i="1"/>
  <c r="C69" i="1" s="1"/>
  <c r="D68" i="1"/>
  <c r="D69" i="1" s="1"/>
  <c r="E50" i="1"/>
  <c r="E68" i="1"/>
  <c r="E69" i="1" s="1"/>
  <c r="D39" i="1"/>
  <c r="D41" i="1" s="1"/>
  <c r="C39" i="1"/>
  <c r="C41" i="1" s="1"/>
  <c r="H68" i="1"/>
  <c r="H39" i="1"/>
  <c r="H41" i="1" s="1"/>
  <c r="I68" i="1"/>
  <c r="I39" i="1"/>
  <c r="I41" i="1" s="1"/>
  <c r="J68" i="1"/>
  <c r="J39" i="1"/>
  <c r="J41" i="1" s="1"/>
  <c r="U62" i="11" l="1"/>
  <c r="U75" i="11" s="1"/>
  <c r="U33" i="11" s="1"/>
  <c r="U37" i="11" s="1"/>
  <c r="U63" i="11"/>
  <c r="V6" i="2"/>
  <c r="U43" i="11" s="1"/>
  <c r="BT24" i="1"/>
  <c r="BY80" i="1"/>
  <c r="BJ26" i="1"/>
  <c r="BT23" i="1"/>
  <c r="BO23" i="1"/>
  <c r="G50" i="1"/>
  <c r="D49" i="2"/>
  <c r="D77" i="2" s="1"/>
  <c r="F48" i="2"/>
  <c r="D58" i="2"/>
  <c r="D61" i="2" s="1"/>
  <c r="D57" i="2"/>
  <c r="D60" i="2" s="1"/>
  <c r="I69" i="1"/>
  <c r="I57" i="1"/>
  <c r="I58" i="1" s="1"/>
  <c r="E47" i="2"/>
  <c r="K69" i="1"/>
  <c r="K57" i="1"/>
  <c r="K58" i="1" s="1"/>
  <c r="J69" i="1"/>
  <c r="J57" i="1"/>
  <c r="J58" i="1" s="1"/>
  <c r="H69" i="1"/>
  <c r="H57" i="1"/>
  <c r="H58" i="1" s="1"/>
  <c r="F47" i="2"/>
  <c r="E58" i="2"/>
  <c r="E61" i="2" s="1"/>
  <c r="E57" i="2"/>
  <c r="E60" i="2" s="1"/>
  <c r="E49" i="2"/>
  <c r="F49" i="2"/>
  <c r="G68" i="1"/>
  <c r="G69" i="1" s="1"/>
  <c r="F42" i="1"/>
  <c r="F41" i="1"/>
  <c r="L68" i="1"/>
  <c r="K41" i="1"/>
  <c r="K42" i="1"/>
  <c r="L69" i="1"/>
  <c r="E39" i="1"/>
  <c r="E41" i="1" s="1"/>
  <c r="C42" i="1"/>
  <c r="D42" i="1"/>
  <c r="H42" i="1"/>
  <c r="I42" i="1"/>
  <c r="J42" i="1"/>
  <c r="O39" i="1"/>
  <c r="P39" i="1"/>
  <c r="P41" i="1" s="1"/>
  <c r="BY24" i="1" l="1"/>
  <c r="BY26" i="1" s="1"/>
  <c r="CD80" i="1"/>
  <c r="BO26" i="1"/>
  <c r="BT26" i="1"/>
  <c r="L39" i="1"/>
  <c r="L41" i="1" s="1"/>
  <c r="L73" i="1"/>
  <c r="L72" i="1"/>
  <c r="Q39" i="1"/>
  <c r="Q41" i="1" s="1"/>
  <c r="Q73" i="1"/>
  <c r="Q72" i="1"/>
  <c r="D75" i="2"/>
  <c r="D71" i="2"/>
  <c r="E69" i="2"/>
  <c r="E73" i="2"/>
  <c r="E63" i="2"/>
  <c r="E67" i="2"/>
  <c r="E65" i="2"/>
  <c r="E56" i="2"/>
  <c r="E59" i="2" s="1"/>
  <c r="L57" i="1"/>
  <c r="L58" i="1" s="1"/>
  <c r="D79" i="11"/>
  <c r="D82" i="11" s="1"/>
  <c r="F67" i="2"/>
  <c r="F69" i="2"/>
  <c r="F82" i="2"/>
  <c r="F56" i="2"/>
  <c r="F59" i="2" s="1"/>
  <c r="F65" i="2"/>
  <c r="F73" i="2"/>
  <c r="F63" i="2"/>
  <c r="F58" i="2"/>
  <c r="F61" i="2" s="1"/>
  <c r="F57" i="2"/>
  <c r="F60" i="2" s="1"/>
  <c r="F75" i="2"/>
  <c r="F77" i="2"/>
  <c r="F71" i="2"/>
  <c r="E75" i="2"/>
  <c r="E77" i="2"/>
  <c r="E71" i="2"/>
  <c r="Q114" i="1"/>
  <c r="Q115" i="1" s="1"/>
  <c r="V113" i="1" s="1"/>
  <c r="L114" i="1"/>
  <c r="L115" i="1" s="1"/>
  <c r="L117" i="1" s="1"/>
  <c r="L119" i="1" s="1"/>
  <c r="E42" i="1"/>
  <c r="E45" i="1" s="1"/>
  <c r="O41" i="1"/>
  <c r="O42" i="1"/>
  <c r="L42" i="1"/>
  <c r="F45" i="1"/>
  <c r="F44" i="1"/>
  <c r="F52" i="1"/>
  <c r="K52" i="1"/>
  <c r="K45" i="1"/>
  <c r="K44" i="1"/>
  <c r="Q42" i="1"/>
  <c r="P42" i="1"/>
  <c r="D45" i="1"/>
  <c r="D52" i="1"/>
  <c r="D44" i="1"/>
  <c r="C52" i="1"/>
  <c r="C44" i="1"/>
  <c r="C45" i="1"/>
  <c r="H45" i="1"/>
  <c r="H52" i="1"/>
  <c r="H44" i="1"/>
  <c r="I45" i="1"/>
  <c r="I52" i="1"/>
  <c r="I44" i="1"/>
  <c r="J45" i="1"/>
  <c r="J52" i="1"/>
  <c r="J44" i="1"/>
  <c r="M68" i="1"/>
  <c r="M57" i="1" s="1"/>
  <c r="M58" i="1" s="1"/>
  <c r="M39" i="1"/>
  <c r="M41" i="1" s="1"/>
  <c r="Q68" i="1"/>
  <c r="P68" i="1"/>
  <c r="O68" i="1"/>
  <c r="N68" i="1"/>
  <c r="R68" i="1"/>
  <c r="N48" i="1"/>
  <c r="N39" i="1"/>
  <c r="S68" i="1"/>
  <c r="S48" i="1"/>
  <c r="S39" i="1"/>
  <c r="S41" i="1" s="1"/>
  <c r="CD24" i="1" l="1"/>
  <c r="CD26" i="1" s="1"/>
  <c r="CI80" i="1"/>
  <c r="V68" i="1"/>
  <c r="V69" i="1" s="1"/>
  <c r="S69" i="1"/>
  <c r="S57" i="1"/>
  <c r="S58" i="1" s="1"/>
  <c r="R57" i="1"/>
  <c r="R58" i="1" s="1"/>
  <c r="E52" i="1"/>
  <c r="E54" i="1" s="1"/>
  <c r="L60" i="1"/>
  <c r="L61" i="1" s="1"/>
  <c r="F51" i="2"/>
  <c r="O69" i="1"/>
  <c r="O57" i="1"/>
  <c r="O58" i="1" s="1"/>
  <c r="P69" i="1"/>
  <c r="P57" i="1"/>
  <c r="P58" i="1" s="1"/>
  <c r="N69" i="1"/>
  <c r="N57" i="1"/>
  <c r="N58" i="1" s="1"/>
  <c r="Q69" i="1"/>
  <c r="E79" i="11"/>
  <c r="E82" i="11" s="1"/>
  <c r="Q57" i="1"/>
  <c r="Q58" i="1" s="1"/>
  <c r="Q117" i="1"/>
  <c r="Q119" i="1" s="1"/>
  <c r="L44" i="1"/>
  <c r="E51" i="2"/>
  <c r="L118" i="1"/>
  <c r="Q118" i="1"/>
  <c r="R39" i="1"/>
  <c r="R41" i="1" s="1"/>
  <c r="E44" i="1"/>
  <c r="L45" i="1"/>
  <c r="N42" i="1"/>
  <c r="N44" i="1" s="1"/>
  <c r="N41" i="1"/>
  <c r="S42" i="1"/>
  <c r="S44" i="1" s="1"/>
  <c r="O52" i="1"/>
  <c r="O44" i="1"/>
  <c r="O45" i="1"/>
  <c r="L52" i="1"/>
  <c r="F55" i="1"/>
  <c r="F54" i="1"/>
  <c r="K55" i="1"/>
  <c r="K54" i="1"/>
  <c r="K60" i="1" s="1"/>
  <c r="K61" i="1" s="1"/>
  <c r="Q52" i="1"/>
  <c r="E6" i="11" s="1"/>
  <c r="E20" i="11" s="1"/>
  <c r="F52" i="2" s="1"/>
  <c r="Q45" i="1"/>
  <c r="Q44" i="1"/>
  <c r="P52" i="1"/>
  <c r="P44" i="1"/>
  <c r="P45" i="1"/>
  <c r="D54" i="1"/>
  <c r="D55" i="1"/>
  <c r="C55" i="1"/>
  <c r="C54" i="1"/>
  <c r="H55" i="1"/>
  <c r="H54" i="1"/>
  <c r="H60" i="1" s="1"/>
  <c r="H61" i="1" s="1"/>
  <c r="I55" i="1"/>
  <c r="I54" i="1"/>
  <c r="I60" i="1" s="1"/>
  <c r="I61" i="1" s="1"/>
  <c r="J54" i="1"/>
  <c r="J60" i="1" s="1"/>
  <c r="J61" i="1" s="1"/>
  <c r="J55" i="1"/>
  <c r="M69" i="1"/>
  <c r="M42" i="1"/>
  <c r="R69" i="1"/>
  <c r="CI24" i="1" l="1"/>
  <c r="CI26" i="1" s="1"/>
  <c r="CN80" i="1"/>
  <c r="E55" i="1"/>
  <c r="Q60" i="1"/>
  <c r="Q61" i="1" s="1"/>
  <c r="N52" i="1"/>
  <c r="N55" i="1" s="1"/>
  <c r="T45" i="1"/>
  <c r="T55" i="1"/>
  <c r="R42" i="1"/>
  <c r="R45" i="1" s="1"/>
  <c r="S52" i="1"/>
  <c r="S54" i="1" s="1"/>
  <c r="S45" i="1"/>
  <c r="N45" i="1"/>
  <c r="L54" i="1"/>
  <c r="L55" i="1"/>
  <c r="O55" i="1"/>
  <c r="O54" i="1"/>
  <c r="O60" i="1" s="1"/>
  <c r="O61" i="1" s="1"/>
  <c r="Q55" i="1"/>
  <c r="Q54" i="1"/>
  <c r="P55" i="1"/>
  <c r="P54" i="1"/>
  <c r="P60" i="1" s="1"/>
  <c r="P61" i="1" s="1"/>
  <c r="M45" i="1"/>
  <c r="M52" i="1"/>
  <c r="M44" i="1"/>
  <c r="CS80" i="1" l="1"/>
  <c r="CS24" i="1" s="1"/>
  <c r="CS26" i="1" s="1"/>
  <c r="CN24" i="1"/>
  <c r="CN26" i="1" s="1"/>
  <c r="N54" i="1"/>
  <c r="N60" i="1" s="1"/>
  <c r="N61" i="1" s="1"/>
  <c r="R44" i="1"/>
  <c r="R52" i="1"/>
  <c r="R55" i="1" s="1"/>
  <c r="U45" i="1"/>
  <c r="U55" i="1"/>
  <c r="S55" i="1"/>
  <c r="M54" i="1"/>
  <c r="M60" i="1" s="1"/>
  <c r="M61" i="1" s="1"/>
  <c r="M55" i="1"/>
  <c r="F5" i="31"/>
  <c r="G5" i="31" s="1"/>
  <c r="H5" i="31" s="1"/>
  <c r="I5" i="31" s="1"/>
  <c r="J5" i="31" s="1"/>
  <c r="K5" i="31" s="1"/>
  <c r="L5" i="31" s="1"/>
  <c r="M5" i="31" s="1"/>
  <c r="N5" i="31" s="1"/>
  <c r="O5" i="31" s="1"/>
  <c r="P5" i="31" l="1"/>
  <c r="Q5" i="31" s="1"/>
  <c r="R5" i="31" s="1"/>
  <c r="S5" i="31" s="1"/>
  <c r="T5" i="31" s="1"/>
  <c r="R54" i="1"/>
  <c r="I38" i="28" l="1"/>
  <c r="H96" i="14"/>
  <c r="H95" i="14"/>
  <c r="H99" i="14"/>
  <c r="H103" i="14" s="1"/>
  <c r="H52" i="14"/>
  <c r="H51" i="28" s="1"/>
  <c r="I53" i="14"/>
  <c r="J53" i="14" s="1"/>
  <c r="E128" i="28"/>
  <c r="F128" i="28"/>
  <c r="G128" i="28"/>
  <c r="I129" i="28"/>
  <c r="J129" i="28" s="1"/>
  <c r="K129" i="28" s="1"/>
  <c r="L129" i="28" s="1"/>
  <c r="M129" i="28" s="1"/>
  <c r="N129" i="28" s="1"/>
  <c r="O129" i="28" s="1"/>
  <c r="P129" i="28" s="1"/>
  <c r="I47" i="28"/>
  <c r="J47" i="28" s="1"/>
  <c r="K47" i="28" s="1"/>
  <c r="L47" i="28" s="1"/>
  <c r="M47" i="28" s="1"/>
  <c r="N47" i="28" s="1"/>
  <c r="O47" i="28" s="1"/>
  <c r="P47" i="28" s="1"/>
  <c r="J46" i="28"/>
  <c r="K46" i="28" s="1"/>
  <c r="L46" i="28" s="1"/>
  <c r="M46" i="28" s="1"/>
  <c r="N46" i="28" s="1"/>
  <c r="O46" i="28" s="1"/>
  <c r="P46" i="28" s="1"/>
  <c r="I41" i="28"/>
  <c r="J41" i="28" s="1"/>
  <c r="H38" i="28"/>
  <c r="H34" i="28"/>
  <c r="H40" i="28" s="1"/>
  <c r="D28" i="28"/>
  <c r="E28" i="28" s="1"/>
  <c r="F28" i="28" s="1"/>
  <c r="G28" i="28" s="1"/>
  <c r="H28" i="28" s="1"/>
  <c r="I28" i="28" s="1"/>
  <c r="J28" i="28" s="1"/>
  <c r="K28" i="28" s="1"/>
  <c r="L28" i="28" s="1"/>
  <c r="M28" i="28" s="1"/>
  <c r="N28" i="28" s="1"/>
  <c r="O28" i="28" s="1"/>
  <c r="P28" i="28" s="1"/>
  <c r="D24" i="28"/>
  <c r="E24" i="28" s="1"/>
  <c r="F24" i="28" s="1"/>
  <c r="D21" i="28"/>
  <c r="E21" i="28" s="1"/>
  <c r="C20" i="28"/>
  <c r="C23" i="28" s="1"/>
  <c r="E18" i="28"/>
  <c r="F18" i="28" s="1"/>
  <c r="G18" i="28" s="1"/>
  <c r="H18" i="28" s="1"/>
  <c r="I18" i="28" s="1"/>
  <c r="J18" i="28" s="1"/>
  <c r="K18" i="28" s="1"/>
  <c r="L18" i="28" s="1"/>
  <c r="M18" i="28" s="1"/>
  <c r="N18" i="28" s="1"/>
  <c r="O18" i="28" s="1"/>
  <c r="P18" i="28" s="1"/>
  <c r="D17" i="28"/>
  <c r="D20" i="28" s="1"/>
  <c r="D23" i="28" s="1"/>
  <c r="I3" i="28"/>
  <c r="I76" i="28"/>
  <c r="I8" i="28"/>
  <c r="I13" i="28" s="1"/>
  <c r="J85" i="28"/>
  <c r="K85" i="28" s="1"/>
  <c r="L85" i="28" s="1"/>
  <c r="M85" i="28" s="1"/>
  <c r="N85" i="28" s="1"/>
  <c r="O85" i="28" s="1"/>
  <c r="P85" i="28" s="1"/>
  <c r="J84" i="28"/>
  <c r="K84" i="28" s="1"/>
  <c r="L84" i="28" s="1"/>
  <c r="M84" i="28" s="1"/>
  <c r="N84" i="28" s="1"/>
  <c r="O84" i="28" s="1"/>
  <c r="P84" i="28" s="1"/>
  <c r="I72" i="28"/>
  <c r="N70" i="28"/>
  <c r="M70" i="28"/>
  <c r="L70" i="28"/>
  <c r="K70" i="28"/>
  <c r="J70" i="28"/>
  <c r="I70" i="28"/>
  <c r="H70" i="28"/>
  <c r="G70" i="28"/>
  <c r="F70" i="28"/>
  <c r="E70" i="28"/>
  <c r="D70" i="28"/>
  <c r="M69" i="28"/>
  <c r="L69" i="28"/>
  <c r="K69" i="28"/>
  <c r="J69" i="28"/>
  <c r="D66" i="28"/>
  <c r="E66" i="28" s="1"/>
  <c r="F66" i="28" s="1"/>
  <c r="D62" i="28"/>
  <c r="E62" i="28" s="1"/>
  <c r="F62" i="28" s="1"/>
  <c r="C61" i="28"/>
  <c r="D60" i="14"/>
  <c r="D63" i="14" s="1"/>
  <c r="E33" i="14"/>
  <c r="E60" i="14" s="1"/>
  <c r="H60" i="14"/>
  <c r="H81" i="14"/>
  <c r="I81" i="14"/>
  <c r="I33" i="14"/>
  <c r="J33" i="14" s="1"/>
  <c r="K33" i="14" s="1"/>
  <c r="J81" i="14"/>
  <c r="K81" i="14"/>
  <c r="L42" i="14"/>
  <c r="L81" i="14" s="1"/>
  <c r="D32" i="14"/>
  <c r="H39" i="14"/>
  <c r="I39" i="14"/>
  <c r="J39" i="14"/>
  <c r="K39" i="14"/>
  <c r="L39" i="14"/>
  <c r="M39" i="14"/>
  <c r="I48" i="14"/>
  <c r="I137" i="14" s="1"/>
  <c r="N39" i="14"/>
  <c r="I47" i="14"/>
  <c r="I95" i="14" s="1"/>
  <c r="D122" i="14"/>
  <c r="D121" i="14" s="1"/>
  <c r="H122" i="14"/>
  <c r="I131" i="14"/>
  <c r="J131" i="14"/>
  <c r="K131" i="14"/>
  <c r="I140" i="14"/>
  <c r="J140" i="14" s="1"/>
  <c r="K140" i="14" s="1"/>
  <c r="L140" i="14" s="1"/>
  <c r="M140" i="14" s="1"/>
  <c r="N140" i="14" s="1"/>
  <c r="O140" i="14" s="1"/>
  <c r="P140" i="14" s="1"/>
  <c r="Q140" i="14" s="1"/>
  <c r="R140" i="14" s="1"/>
  <c r="S140" i="14" s="1"/>
  <c r="T140" i="14" s="1"/>
  <c r="I41" i="22"/>
  <c r="I136" i="16"/>
  <c r="J136" i="16" s="1"/>
  <c r="K136" i="16" s="1"/>
  <c r="L136" i="16" s="1"/>
  <c r="M136" i="16" s="1"/>
  <c r="N136" i="16" s="1"/>
  <c r="O136" i="16" s="1"/>
  <c r="P136" i="16" s="1"/>
  <c r="I135" i="16"/>
  <c r="J135" i="16" s="1"/>
  <c r="K135" i="16" s="1"/>
  <c r="L135" i="16" s="1"/>
  <c r="M135" i="16" s="1"/>
  <c r="N135" i="16" s="1"/>
  <c r="O135" i="16" s="1"/>
  <c r="P135" i="16" s="1"/>
  <c r="I106" i="16"/>
  <c r="J106" i="16" s="1"/>
  <c r="K106" i="16" s="1"/>
  <c r="L106" i="16" s="1"/>
  <c r="M106" i="16" s="1"/>
  <c r="N106" i="16" s="1"/>
  <c r="O106" i="16" s="1"/>
  <c r="P106" i="16" s="1"/>
  <c r="I105" i="16"/>
  <c r="J105" i="16" s="1"/>
  <c r="K105" i="16" s="1"/>
  <c r="L105" i="16" s="1"/>
  <c r="M105" i="16" s="1"/>
  <c r="N105" i="16" s="1"/>
  <c r="O105" i="16" s="1"/>
  <c r="P105" i="16" s="1"/>
  <c r="J11" i="22"/>
  <c r="H21" i="16"/>
  <c r="J21" i="16"/>
  <c r="J127" i="16" s="1"/>
  <c r="K21" i="16"/>
  <c r="L21" i="16"/>
  <c r="M21" i="16"/>
  <c r="N21" i="16"/>
  <c r="O21" i="16"/>
  <c r="O127" i="16" s="1"/>
  <c r="I21" i="16"/>
  <c r="H11" i="16"/>
  <c r="N57" i="22"/>
  <c r="J80" i="22"/>
  <c r="K80" i="22" s="1"/>
  <c r="L80" i="22" s="1"/>
  <c r="M80" i="22" s="1"/>
  <c r="N80" i="22" s="1"/>
  <c r="I13" i="22"/>
  <c r="J13" i="22" s="1"/>
  <c r="K13" i="22" s="1"/>
  <c r="L13" i="22" s="1"/>
  <c r="M13" i="22" s="1"/>
  <c r="N13" i="22" s="1"/>
  <c r="I11" i="22"/>
  <c r="I8" i="22"/>
  <c r="J8" i="22"/>
  <c r="K8" i="22" s="1"/>
  <c r="L8" i="22" s="1"/>
  <c r="M8" i="22" s="1"/>
  <c r="N8" i="22" s="1"/>
  <c r="J6" i="22"/>
  <c r="I6" i="22"/>
  <c r="H111" i="16"/>
  <c r="K44" i="22"/>
  <c r="L44" i="22" s="1"/>
  <c r="J43" i="22"/>
  <c r="J46" i="22" s="1"/>
  <c r="J70" i="22" s="1"/>
  <c r="M57" i="22"/>
  <c r="L57" i="22"/>
  <c r="D53" i="22"/>
  <c r="E53" i="22" s="1"/>
  <c r="D17" i="22"/>
  <c r="D20" i="22" s="1"/>
  <c r="D23" i="22" s="1"/>
  <c r="D26" i="22" s="1"/>
  <c r="D29" i="22" s="1"/>
  <c r="D32" i="22"/>
  <c r="D35" i="22" s="1"/>
  <c r="K57" i="22"/>
  <c r="J57" i="22"/>
  <c r="I57" i="22"/>
  <c r="I46" i="22"/>
  <c r="I70" i="22" s="1"/>
  <c r="J79" i="16"/>
  <c r="K79" i="16" s="1"/>
  <c r="I76" i="16"/>
  <c r="J76" i="16" s="1"/>
  <c r="K76" i="16" s="1"/>
  <c r="L76" i="16" s="1"/>
  <c r="M76" i="16" s="1"/>
  <c r="N76" i="16" s="1"/>
  <c r="O76" i="16" s="1"/>
  <c r="P76" i="16" s="1"/>
  <c r="Q76" i="16" s="1"/>
  <c r="R76" i="16" s="1"/>
  <c r="S76" i="16" s="1"/>
  <c r="T76" i="16" s="1"/>
  <c r="I46" i="16"/>
  <c r="J46" i="16" s="1"/>
  <c r="K46" i="16" s="1"/>
  <c r="L46" i="16" s="1"/>
  <c r="M46" i="16" s="1"/>
  <c r="N46" i="16" s="1"/>
  <c r="O46" i="16" s="1"/>
  <c r="P46" i="16" s="1"/>
  <c r="Q46" i="16" s="1"/>
  <c r="R46" i="16" s="1"/>
  <c r="S46" i="16" s="1"/>
  <c r="T46" i="16" s="1"/>
  <c r="C59" i="14"/>
  <c r="E57" i="22"/>
  <c r="E50" i="22"/>
  <c r="F57" i="22"/>
  <c r="F50" i="22"/>
  <c r="G57" i="22"/>
  <c r="G50" i="22"/>
  <c r="H57" i="22"/>
  <c r="H50" i="22"/>
  <c r="D57" i="22"/>
  <c r="D56" i="22" s="1"/>
  <c r="D59" i="22" s="1"/>
  <c r="D62" i="22" s="1"/>
  <c r="D65" i="22" s="1"/>
  <c r="D67" i="22" s="1"/>
  <c r="D50" i="22"/>
  <c r="C20" i="22"/>
  <c r="C23" i="22" s="1"/>
  <c r="C26" i="22" s="1"/>
  <c r="C29" i="22" s="1"/>
  <c r="C35" i="22"/>
  <c r="C50" i="22"/>
  <c r="C57" i="22"/>
  <c r="C56" i="22"/>
  <c r="C59" i="22" s="1"/>
  <c r="C62" i="22" s="1"/>
  <c r="C65" i="22" s="1"/>
  <c r="C67" i="22" s="1"/>
  <c r="D91" i="16"/>
  <c r="E91" i="16" s="1"/>
  <c r="F91" i="16" s="1"/>
  <c r="G91" i="16" s="1"/>
  <c r="H91" i="16" s="1"/>
  <c r="I91" i="16" s="1"/>
  <c r="J91" i="16" s="1"/>
  <c r="K91" i="16" s="1"/>
  <c r="D87" i="16"/>
  <c r="E88" i="16"/>
  <c r="F88" i="16" s="1"/>
  <c r="H93" i="16"/>
  <c r="H99" i="16" s="1"/>
  <c r="H48" i="16"/>
  <c r="H108" i="16" s="1"/>
  <c r="D27" i="16"/>
  <c r="E28" i="16"/>
  <c r="F28" i="16" s="1"/>
  <c r="G28" i="16" s="1"/>
  <c r="H28" i="16" s="1"/>
  <c r="I28" i="16" s="1"/>
  <c r="J28" i="16" s="1"/>
  <c r="K28" i="16" s="1"/>
  <c r="L28" i="16" s="1"/>
  <c r="M28" i="16" s="1"/>
  <c r="N28" i="16" s="1"/>
  <c r="O28" i="16" s="1"/>
  <c r="P28" i="16" s="1"/>
  <c r="Q28" i="16" s="1"/>
  <c r="H33" i="16"/>
  <c r="H39" i="16" s="1"/>
  <c r="I109" i="16"/>
  <c r="I51" i="16"/>
  <c r="I45" i="16"/>
  <c r="J45" i="16" s="1"/>
  <c r="K45" i="16" s="1"/>
  <c r="L45" i="16" s="1"/>
  <c r="M45" i="16" s="1"/>
  <c r="N45" i="16" s="1"/>
  <c r="O45" i="16" s="1"/>
  <c r="P45" i="16" s="1"/>
  <c r="Q45" i="16" s="1"/>
  <c r="R45" i="16" s="1"/>
  <c r="S45" i="16" s="1"/>
  <c r="T45" i="16" s="1"/>
  <c r="I48" i="16"/>
  <c r="I100" i="16"/>
  <c r="J100" i="16" s="1"/>
  <c r="K100" i="16" s="1"/>
  <c r="L100" i="16" s="1"/>
  <c r="M100" i="16" s="1"/>
  <c r="N100" i="16" s="1"/>
  <c r="O100" i="16" s="1"/>
  <c r="P100" i="16" s="1"/>
  <c r="J49" i="16"/>
  <c r="K49" i="16" s="1"/>
  <c r="I40" i="16"/>
  <c r="J40" i="16" s="1"/>
  <c r="K40" i="16" s="1"/>
  <c r="L40" i="16" s="1"/>
  <c r="M40" i="16" s="1"/>
  <c r="N40" i="16" s="1"/>
  <c r="O40" i="16" s="1"/>
  <c r="P40" i="16" s="1"/>
  <c r="Q40" i="16" s="1"/>
  <c r="R40" i="16" s="1"/>
  <c r="S40" i="16" s="1"/>
  <c r="T40" i="16" s="1"/>
  <c r="C121" i="16"/>
  <c r="D121" i="16" s="1"/>
  <c r="D117" i="16"/>
  <c r="E118" i="16"/>
  <c r="F118" i="16" s="1"/>
  <c r="H123" i="16"/>
  <c r="H129" i="16" s="1"/>
  <c r="H80" i="16"/>
  <c r="H140" i="16" s="1"/>
  <c r="D57" i="16"/>
  <c r="D60" i="16" s="1"/>
  <c r="E58" i="16"/>
  <c r="F58" i="16" s="1"/>
  <c r="G58" i="16" s="1"/>
  <c r="H58" i="16" s="1"/>
  <c r="I58" i="16" s="1"/>
  <c r="J58" i="16" s="1"/>
  <c r="K58" i="16" s="1"/>
  <c r="L58" i="16" s="1"/>
  <c r="M58" i="16" s="1"/>
  <c r="N58" i="16" s="1"/>
  <c r="O58" i="16" s="1"/>
  <c r="P58" i="16" s="1"/>
  <c r="Q58" i="16" s="1"/>
  <c r="H63" i="16"/>
  <c r="H69" i="16" s="1"/>
  <c r="I81" i="16"/>
  <c r="J81" i="16" s="1"/>
  <c r="I75" i="16"/>
  <c r="J75" i="16" s="1"/>
  <c r="K75" i="16" s="1"/>
  <c r="L75" i="16" s="1"/>
  <c r="M75" i="16" s="1"/>
  <c r="N75" i="16" s="1"/>
  <c r="O75" i="16" s="1"/>
  <c r="P75" i="16" s="1"/>
  <c r="Q75" i="16" s="1"/>
  <c r="R75" i="16" s="1"/>
  <c r="S75" i="16" s="1"/>
  <c r="T75" i="16" s="1"/>
  <c r="I130" i="16"/>
  <c r="J130" i="16" s="1"/>
  <c r="K130" i="16" s="1"/>
  <c r="L130" i="16" s="1"/>
  <c r="M130" i="16" s="1"/>
  <c r="N130" i="16" s="1"/>
  <c r="O130" i="16" s="1"/>
  <c r="P130" i="16" s="1"/>
  <c r="I70" i="16"/>
  <c r="J70" i="16" s="1"/>
  <c r="K70" i="16" s="1"/>
  <c r="L70" i="16" s="1"/>
  <c r="M70" i="16" s="1"/>
  <c r="N70" i="16" s="1"/>
  <c r="O70" i="16" s="1"/>
  <c r="P70" i="16" s="1"/>
  <c r="Q70" i="16" s="1"/>
  <c r="R70" i="16" s="1"/>
  <c r="S70" i="16" s="1"/>
  <c r="T70" i="16" s="1"/>
  <c r="I141" i="16"/>
  <c r="H141" i="16"/>
  <c r="I139" i="16"/>
  <c r="H138" i="16"/>
  <c r="D90" i="16"/>
  <c r="C90" i="16"/>
  <c r="E69" i="28"/>
  <c r="N69" i="28"/>
  <c r="I50" i="14"/>
  <c r="I49" i="28" s="1"/>
  <c r="F33" i="14"/>
  <c r="G33" i="14" s="1"/>
  <c r="J76" i="28"/>
  <c r="I68" i="22"/>
  <c r="J41" i="22"/>
  <c r="I111" i="16"/>
  <c r="J51" i="16"/>
  <c r="J111" i="16" s="1"/>
  <c r="K6" i="22"/>
  <c r="J109" i="16"/>
  <c r="F60" i="14"/>
  <c r="H49" i="28"/>
  <c r="H52" i="28"/>
  <c r="F69" i="28"/>
  <c r="J68" i="22"/>
  <c r="I78" i="16"/>
  <c r="I80" i="16" s="1"/>
  <c r="I140" i="16" s="1"/>
  <c r="K11" i="22"/>
  <c r="K68" i="22"/>
  <c r="K41" i="22"/>
  <c r="I67" i="16"/>
  <c r="K127" i="16"/>
  <c r="H37" i="16"/>
  <c r="I37" i="16"/>
  <c r="M127" i="16"/>
  <c r="L91" i="16"/>
  <c r="M91" i="16" s="1"/>
  <c r="N91" i="16" s="1"/>
  <c r="O91" i="16" s="1"/>
  <c r="P91" i="16" s="1"/>
  <c r="F53" i="22"/>
  <c r="E56" i="22"/>
  <c r="E59" i="22" s="1"/>
  <c r="E62" i="22" s="1"/>
  <c r="E65" i="22" s="1"/>
  <c r="E67" i="22" s="1"/>
  <c r="G62" i="28"/>
  <c r="H62" i="28" s="1"/>
  <c r="I62" i="28" s="1"/>
  <c r="J62" i="28" s="1"/>
  <c r="J48" i="16"/>
  <c r="G90" i="14"/>
  <c r="H68" i="14" s="1"/>
  <c r="G53" i="22"/>
  <c r="H53" i="22" s="1"/>
  <c r="F56" i="22"/>
  <c r="F59" i="22" s="1"/>
  <c r="F62" i="22" s="1"/>
  <c r="F65" i="22" s="1"/>
  <c r="F67" i="22" s="1"/>
  <c r="G92" i="14"/>
  <c r="H69" i="14" s="1"/>
  <c r="I53" i="22"/>
  <c r="G56" i="22"/>
  <c r="G59" i="22" s="1"/>
  <c r="G62" i="22" s="1"/>
  <c r="G65" i="22" s="1"/>
  <c r="G67" i="22" s="1"/>
  <c r="G88" i="14"/>
  <c r="H67" i="14" s="1"/>
  <c r="H35" i="14"/>
  <c r="H41" i="14" s="1"/>
  <c r="I124" i="14"/>
  <c r="I130" i="14" s="1"/>
  <c r="I98" i="14"/>
  <c r="H100" i="14"/>
  <c r="H104" i="14" s="1"/>
  <c r="I127" i="16"/>
  <c r="J37" i="16"/>
  <c r="M97" i="16"/>
  <c r="K67" i="16"/>
  <c r="N37" i="16"/>
  <c r="N67" i="16"/>
  <c r="H97" i="16"/>
  <c r="J97" i="16"/>
  <c r="K97" i="16"/>
  <c r="L97" i="16"/>
  <c r="N127" i="16"/>
  <c r="L127" i="16"/>
  <c r="L67" i="16"/>
  <c r="M37" i="16"/>
  <c r="N97" i="16"/>
  <c r="I97" i="16"/>
  <c r="K37" i="16"/>
  <c r="J67" i="16"/>
  <c r="M67" i="16"/>
  <c r="H127" i="16"/>
  <c r="L37" i="16"/>
  <c r="H67" i="16"/>
  <c r="J53" i="22"/>
  <c r="I56" i="22"/>
  <c r="I59" i="22" s="1"/>
  <c r="I62" i="22" s="1"/>
  <c r="I65" i="22" s="1"/>
  <c r="G24" i="28"/>
  <c r="H24" i="28" s="1"/>
  <c r="I24" i="28" s="1"/>
  <c r="J24" i="28" s="1"/>
  <c r="K24" i="28" s="1"/>
  <c r="L24" i="28" s="1"/>
  <c r="E61" i="28"/>
  <c r="M44" i="22"/>
  <c r="N44" i="22" s="1"/>
  <c r="L68" i="22"/>
  <c r="L11" i="22"/>
  <c r="C64" i="28"/>
  <c r="C65" i="28" s="1"/>
  <c r="D61" i="28"/>
  <c r="D64" i="28" s="1"/>
  <c r="J56" i="22"/>
  <c r="J59" i="22" s="1"/>
  <c r="J62" i="22" s="1"/>
  <c r="J65" i="22" s="1"/>
  <c r="K53" i="22"/>
  <c r="F61" i="28"/>
  <c r="G61" i="28"/>
  <c r="M11" i="22"/>
  <c r="M68" i="22"/>
  <c r="L53" i="22"/>
  <c r="L56" i="22" s="1"/>
  <c r="L59" i="22" s="1"/>
  <c r="L62" i="22" s="1"/>
  <c r="L65" i="22" s="1"/>
  <c r="K56" i="22"/>
  <c r="K59" i="22" s="1"/>
  <c r="K62" i="22" s="1"/>
  <c r="K65" i="22" s="1"/>
  <c r="N11" i="22"/>
  <c r="N68" i="22"/>
  <c r="M53" i="22"/>
  <c r="J50" i="16" l="1"/>
  <c r="E117" i="16"/>
  <c r="F117" i="16" s="1"/>
  <c r="L76" i="14"/>
  <c r="M74" i="14"/>
  <c r="H50" i="16"/>
  <c r="H110" i="16" s="1"/>
  <c r="R28" i="16"/>
  <c r="S28" i="16" s="1"/>
  <c r="T28" i="16" s="1"/>
  <c r="H56" i="22"/>
  <c r="H59" i="22" s="1"/>
  <c r="H62" i="22" s="1"/>
  <c r="H65" i="22" s="1"/>
  <c r="H67" i="22" s="1"/>
  <c r="E17" i="22"/>
  <c r="E17" i="28"/>
  <c r="R58" i="16"/>
  <c r="S58" i="16" s="1"/>
  <c r="T58" i="16" s="1"/>
  <c r="I76" i="14"/>
  <c r="E87" i="16"/>
  <c r="E90" i="16" s="1"/>
  <c r="I99" i="14"/>
  <c r="I103" i="14" s="1"/>
  <c r="L131" i="14"/>
  <c r="I100" i="14"/>
  <c r="J100" i="14" s="1"/>
  <c r="I60" i="14"/>
  <c r="D61" i="14"/>
  <c r="E61" i="14" s="1"/>
  <c r="F61" i="14" s="1"/>
  <c r="I67" i="22"/>
  <c r="I74" i="22" s="1"/>
  <c r="L78" i="14"/>
  <c r="J74" i="14"/>
  <c r="J76" i="14"/>
  <c r="L49" i="16"/>
  <c r="K109" i="16"/>
  <c r="I138" i="16"/>
  <c r="J139" i="16"/>
  <c r="I50" i="16"/>
  <c r="C120" i="16"/>
  <c r="I79" i="28"/>
  <c r="F122" i="14"/>
  <c r="E32" i="14"/>
  <c r="E122" i="14"/>
  <c r="E121" i="14" s="1"/>
  <c r="F121" i="14" s="1"/>
  <c r="L33" i="14"/>
  <c r="M33" i="14" s="1"/>
  <c r="N33" i="14" s="1"/>
  <c r="K122" i="14"/>
  <c r="I122" i="14"/>
  <c r="I96" i="14"/>
  <c r="J122" i="14"/>
  <c r="J48" i="14"/>
  <c r="J96" i="14" s="1"/>
  <c r="J60" i="14"/>
  <c r="H74" i="14"/>
  <c r="E63" i="14"/>
  <c r="F63" i="14" s="1"/>
  <c r="H76" i="14"/>
  <c r="L128" i="14"/>
  <c r="M78" i="14"/>
  <c r="K81" i="16"/>
  <c r="K141" i="16" s="1"/>
  <c r="J141" i="16"/>
  <c r="L79" i="16"/>
  <c r="K139" i="16"/>
  <c r="J78" i="16"/>
  <c r="K51" i="16"/>
  <c r="K48" i="16"/>
  <c r="I108" i="16"/>
  <c r="E27" i="16"/>
  <c r="D30" i="16"/>
  <c r="E57" i="16"/>
  <c r="G118" i="16"/>
  <c r="H118" i="16" s="1"/>
  <c r="I118" i="16" s="1"/>
  <c r="J118" i="16" s="1"/>
  <c r="K118" i="16" s="1"/>
  <c r="L118" i="16" s="1"/>
  <c r="M118" i="16" s="1"/>
  <c r="N118" i="16" s="1"/>
  <c r="O118" i="16" s="1"/>
  <c r="P118" i="16" s="1"/>
  <c r="E121" i="16"/>
  <c r="D120" i="16"/>
  <c r="G88" i="16"/>
  <c r="H88" i="16" s="1"/>
  <c r="I88" i="16" s="1"/>
  <c r="J88" i="16" s="1"/>
  <c r="K88" i="16" s="1"/>
  <c r="L88" i="16" s="1"/>
  <c r="M88" i="16" s="1"/>
  <c r="N88" i="16" s="1"/>
  <c r="O88" i="16" s="1"/>
  <c r="P88" i="16" s="1"/>
  <c r="I74" i="14"/>
  <c r="K74" i="14"/>
  <c r="M76" i="14"/>
  <c r="H83" i="14"/>
  <c r="L74" i="14"/>
  <c r="K67" i="22"/>
  <c r="N74" i="14"/>
  <c r="N76" i="14"/>
  <c r="K76" i="14"/>
  <c r="J79" i="28"/>
  <c r="K41" i="28"/>
  <c r="J8" i="28"/>
  <c r="J13" i="28" s="1"/>
  <c r="D26" i="28"/>
  <c r="D27" i="28" s="1"/>
  <c r="D30" i="28" s="1"/>
  <c r="C26" i="28"/>
  <c r="G66" i="28"/>
  <c r="H66" i="28" s="1"/>
  <c r="I66" i="28" s="1"/>
  <c r="F64" i="28"/>
  <c r="F65" i="28" s="1"/>
  <c r="F21" i="28"/>
  <c r="G21" i="28" s="1"/>
  <c r="E20" i="28"/>
  <c r="E23" i="28" s="1"/>
  <c r="E26" i="28" s="1"/>
  <c r="F17" i="28"/>
  <c r="G17" i="28" s="1"/>
  <c r="H17" i="28" s="1"/>
  <c r="I17" i="28" s="1"/>
  <c r="J17" i="28" s="1"/>
  <c r="K17" i="28" s="1"/>
  <c r="L17" i="28" s="1"/>
  <c r="M17" i="28" s="1"/>
  <c r="N17" i="28" s="1"/>
  <c r="O17" i="28" s="1"/>
  <c r="I78" i="28"/>
  <c r="E64" i="28"/>
  <c r="E65" i="28" s="1"/>
  <c r="E68" i="28" s="1"/>
  <c r="D65" i="28"/>
  <c r="D68" i="28" s="1"/>
  <c r="K53" i="14"/>
  <c r="J52" i="28"/>
  <c r="J88" i="28" s="1"/>
  <c r="G60" i="14"/>
  <c r="G63" i="14" s="1"/>
  <c r="G122" i="14"/>
  <c r="D62" i="14"/>
  <c r="E62" i="14" s="1"/>
  <c r="F62" i="14" s="1"/>
  <c r="J98" i="14"/>
  <c r="I102" i="14"/>
  <c r="J99" i="14"/>
  <c r="I52" i="28"/>
  <c r="I88" i="28" s="1"/>
  <c r="J137" i="14"/>
  <c r="H84" i="14"/>
  <c r="K60" i="14"/>
  <c r="M42" i="14"/>
  <c r="I136" i="14"/>
  <c r="J47" i="14"/>
  <c r="I52" i="14"/>
  <c r="I51" i="28" s="1"/>
  <c r="I87" i="28"/>
  <c r="H82" i="14"/>
  <c r="H65" i="14"/>
  <c r="J67" i="22"/>
  <c r="J74" i="22" s="1"/>
  <c r="L67" i="22"/>
  <c r="L41" i="22"/>
  <c r="L6" i="22"/>
  <c r="K43" i="22"/>
  <c r="C38" i="22"/>
  <c r="E32" i="22"/>
  <c r="D38" i="22"/>
  <c r="M24" i="28"/>
  <c r="K62" i="28"/>
  <c r="M56" i="22"/>
  <c r="M59" i="22" s="1"/>
  <c r="M62" i="22" s="1"/>
  <c r="M65" i="22" s="1"/>
  <c r="M67" i="22" s="1"/>
  <c r="N53" i="22"/>
  <c r="N56" i="22" s="1"/>
  <c r="N59" i="22" s="1"/>
  <c r="N62" i="22" s="1"/>
  <c r="N65" i="22" s="1"/>
  <c r="N67" i="22" s="1"/>
  <c r="G61" i="14"/>
  <c r="H21" i="28"/>
  <c r="H61" i="28"/>
  <c r="K48" i="14"/>
  <c r="G69" i="28"/>
  <c r="J50" i="14"/>
  <c r="F32" i="14"/>
  <c r="G32" i="14" s="1"/>
  <c r="H32" i="14" s="1"/>
  <c r="H78" i="14" l="1"/>
  <c r="M128" i="14"/>
  <c r="I128" i="14"/>
  <c r="I127" i="14" s="1"/>
  <c r="I133" i="14" s="1"/>
  <c r="I134" i="14" s="1"/>
  <c r="I78" i="14"/>
  <c r="F87" i="16"/>
  <c r="G87" i="16" s="1"/>
  <c r="L81" i="16"/>
  <c r="F17" i="22"/>
  <c r="E20" i="22"/>
  <c r="E23" i="22" s="1"/>
  <c r="E26" i="22" s="1"/>
  <c r="E29" i="22" s="1"/>
  <c r="I139" i="14"/>
  <c r="J139" i="14" s="1"/>
  <c r="K139" i="14" s="1"/>
  <c r="L139" i="14" s="1"/>
  <c r="M139" i="14" s="1"/>
  <c r="N139" i="14" s="1"/>
  <c r="O139" i="14" s="1"/>
  <c r="P139" i="14" s="1"/>
  <c r="Q139" i="14" s="1"/>
  <c r="R139" i="14" s="1"/>
  <c r="S139" i="14" s="1"/>
  <c r="T139" i="14" s="1"/>
  <c r="I104" i="14"/>
  <c r="G121" i="14"/>
  <c r="H121" i="14" s="1"/>
  <c r="I121" i="14" s="1"/>
  <c r="I125" i="14" s="1"/>
  <c r="J128" i="14"/>
  <c r="G20" i="28"/>
  <c r="G23" i="28" s="1"/>
  <c r="F20" i="28"/>
  <c r="F23" i="28" s="1"/>
  <c r="F26" i="28" s="1"/>
  <c r="F27" i="28" s="1"/>
  <c r="H64" i="28"/>
  <c r="L109" i="16"/>
  <c r="M49" i="16"/>
  <c r="L122" i="14"/>
  <c r="L60" i="14"/>
  <c r="J121" i="14"/>
  <c r="N122" i="14"/>
  <c r="O33" i="14"/>
  <c r="N60" i="14"/>
  <c r="E59" i="14"/>
  <c r="K78" i="14"/>
  <c r="N78" i="14"/>
  <c r="K8" i="28"/>
  <c r="K13" i="28" s="1"/>
  <c r="L51" i="16"/>
  <c r="K111" i="16"/>
  <c r="K50" i="16"/>
  <c r="L48" i="16"/>
  <c r="J138" i="16"/>
  <c r="K78" i="16"/>
  <c r="J80" i="16"/>
  <c r="J140" i="16" s="1"/>
  <c r="F27" i="16"/>
  <c r="E30" i="16"/>
  <c r="J108" i="16"/>
  <c r="I110" i="16"/>
  <c r="M79" i="16"/>
  <c r="L139" i="16"/>
  <c r="E60" i="16"/>
  <c r="F57" i="16"/>
  <c r="G117" i="16"/>
  <c r="H117" i="16" s="1"/>
  <c r="I117" i="16" s="1"/>
  <c r="J117" i="16" s="1"/>
  <c r="K117" i="16" s="1"/>
  <c r="L117" i="16" s="1"/>
  <c r="M117" i="16" s="1"/>
  <c r="N117" i="16" s="1"/>
  <c r="O117" i="16" s="1"/>
  <c r="P117" i="16" s="1"/>
  <c r="E120" i="16"/>
  <c r="F121" i="16"/>
  <c r="P17" i="28"/>
  <c r="N128" i="14"/>
  <c r="K128" i="14"/>
  <c r="J78" i="14"/>
  <c r="L41" i="28"/>
  <c r="K79" i="28"/>
  <c r="L8" i="28"/>
  <c r="E27" i="28"/>
  <c r="E30" i="28" s="1"/>
  <c r="F68" i="28"/>
  <c r="G64" i="28"/>
  <c r="G65" i="28" s="1"/>
  <c r="C27" i="28"/>
  <c r="C30" i="28" s="1"/>
  <c r="J38" i="28"/>
  <c r="K76" i="28"/>
  <c r="H63" i="14"/>
  <c r="I63" i="14" s="1"/>
  <c r="G93" i="14"/>
  <c r="K99" i="14"/>
  <c r="J103" i="14"/>
  <c r="K98" i="14"/>
  <c r="J102" i="14"/>
  <c r="M60" i="14"/>
  <c r="M122" i="14"/>
  <c r="H80" i="14"/>
  <c r="J87" i="28"/>
  <c r="K100" i="14"/>
  <c r="J104" i="14"/>
  <c r="L53" i="14"/>
  <c r="K52" i="28"/>
  <c r="K88" i="28" s="1"/>
  <c r="G62" i="14"/>
  <c r="G59" i="14" s="1"/>
  <c r="D59" i="14"/>
  <c r="M81" i="14"/>
  <c r="N42" i="14"/>
  <c r="O42" i="14" s="1"/>
  <c r="M131" i="14"/>
  <c r="F59" i="14"/>
  <c r="J136" i="14"/>
  <c r="K47" i="14"/>
  <c r="J95" i="14"/>
  <c r="M41" i="22"/>
  <c r="M6" i="22"/>
  <c r="N6" i="22"/>
  <c r="N41" i="22"/>
  <c r="K46" i="22"/>
  <c r="K70" i="22" s="1"/>
  <c r="K74" i="22" s="1"/>
  <c r="L43" i="22"/>
  <c r="E35" i="22"/>
  <c r="E38" i="22" s="1"/>
  <c r="F32" i="22"/>
  <c r="J49" i="28"/>
  <c r="K50" i="14"/>
  <c r="J52" i="14"/>
  <c r="J51" i="28" s="1"/>
  <c r="G26" i="28"/>
  <c r="G27" i="28" s="1"/>
  <c r="G30" i="28" s="1"/>
  <c r="K121" i="14"/>
  <c r="L62" i="28"/>
  <c r="H38" i="14"/>
  <c r="I32" i="14"/>
  <c r="H36" i="14"/>
  <c r="H69" i="28"/>
  <c r="M81" i="16"/>
  <c r="L141" i="16"/>
  <c r="I21" i="28"/>
  <c r="H20" i="28"/>
  <c r="H23" i="28" s="1"/>
  <c r="J66" i="28"/>
  <c r="H65" i="28"/>
  <c r="N24" i="28"/>
  <c r="O24" i="28" s="1"/>
  <c r="P24" i="28" s="1"/>
  <c r="K96" i="14"/>
  <c r="K137" i="14"/>
  <c r="L48" i="14"/>
  <c r="I61" i="28"/>
  <c r="H61" i="14"/>
  <c r="G89" i="14"/>
  <c r="F90" i="16" l="1"/>
  <c r="H77" i="14"/>
  <c r="H109" i="14" s="1"/>
  <c r="F20" i="22"/>
  <c r="F23" i="22" s="1"/>
  <c r="F26" i="22" s="1"/>
  <c r="F29" i="22" s="1"/>
  <c r="G17" i="22"/>
  <c r="J127" i="14"/>
  <c r="J124" i="14"/>
  <c r="J125" i="14" s="1"/>
  <c r="N49" i="16"/>
  <c r="M109" i="16"/>
  <c r="I142" i="14"/>
  <c r="I150" i="14" s="1"/>
  <c r="O131" i="14"/>
  <c r="P42" i="14"/>
  <c r="Q42" i="14" s="1"/>
  <c r="O81" i="14"/>
  <c r="O122" i="14"/>
  <c r="P33" i="14"/>
  <c r="Q33" i="14" s="1"/>
  <c r="O60" i="14"/>
  <c r="K108" i="16"/>
  <c r="J110" i="16"/>
  <c r="K80" i="16"/>
  <c r="K140" i="16" s="1"/>
  <c r="K138" i="16"/>
  <c r="L78" i="16"/>
  <c r="M139" i="16"/>
  <c r="N79" i="16"/>
  <c r="G27" i="16"/>
  <c r="F30" i="16"/>
  <c r="M48" i="16"/>
  <c r="L50" i="16"/>
  <c r="L111" i="16"/>
  <c r="M51" i="16"/>
  <c r="G57" i="16"/>
  <c r="F60" i="16"/>
  <c r="H87" i="16"/>
  <c r="G90" i="16"/>
  <c r="G121" i="16"/>
  <c r="F120" i="16"/>
  <c r="M41" i="28"/>
  <c r="L79" i="28"/>
  <c r="L13" i="28"/>
  <c r="M8" i="28"/>
  <c r="G68" i="28"/>
  <c r="L76" i="28"/>
  <c r="K38" i="28"/>
  <c r="G91" i="14"/>
  <c r="H62" i="14"/>
  <c r="H59" i="14" s="1"/>
  <c r="H66" i="14" s="1"/>
  <c r="L100" i="14"/>
  <c r="K104" i="14"/>
  <c r="L99" i="14"/>
  <c r="K103" i="14"/>
  <c r="M53" i="14"/>
  <c r="L52" i="28"/>
  <c r="L88" i="28" s="1"/>
  <c r="K102" i="14"/>
  <c r="K87" i="28"/>
  <c r="L98" i="14"/>
  <c r="N131" i="14"/>
  <c r="N81" i="14"/>
  <c r="K95" i="14"/>
  <c r="K136" i="14"/>
  <c r="L47" i="14"/>
  <c r="L46" i="22"/>
  <c r="L70" i="22" s="1"/>
  <c r="L74" i="22" s="1"/>
  <c r="M43" i="22"/>
  <c r="F35" i="22"/>
  <c r="G32" i="22"/>
  <c r="I64" i="28"/>
  <c r="I65" i="28" s="1"/>
  <c r="I20" i="28"/>
  <c r="I23" i="28" s="1"/>
  <c r="J21" i="28"/>
  <c r="F30" i="28"/>
  <c r="I69" i="28"/>
  <c r="J32" i="14"/>
  <c r="I38" i="14"/>
  <c r="M62" i="28"/>
  <c r="L121" i="14"/>
  <c r="K127" i="14"/>
  <c r="K52" i="14"/>
  <c r="K51" i="28" s="1"/>
  <c r="L50" i="14"/>
  <c r="K49" i="28"/>
  <c r="J63" i="14"/>
  <c r="I77" i="14"/>
  <c r="L137" i="14"/>
  <c r="M48" i="14"/>
  <c r="L96" i="14"/>
  <c r="K66" i="28"/>
  <c r="H55" i="14"/>
  <c r="H148" i="14" s="1"/>
  <c r="H44" i="14"/>
  <c r="H73" i="14"/>
  <c r="H107" i="14" s="1"/>
  <c r="I61" i="14"/>
  <c r="M141" i="16"/>
  <c r="N81" i="16"/>
  <c r="O81" i="16" s="1"/>
  <c r="J61" i="28"/>
  <c r="H26" i="28"/>
  <c r="H68" i="28"/>
  <c r="F25" i="2"/>
  <c r="H92" i="14" l="1"/>
  <c r="H93" i="14" s="1"/>
  <c r="F38" i="22"/>
  <c r="R42" i="14"/>
  <c r="Q131" i="14"/>
  <c r="Q81" i="14"/>
  <c r="Q60" i="14"/>
  <c r="R33" i="14"/>
  <c r="Q122" i="14"/>
  <c r="G20" i="22"/>
  <c r="G23" i="22" s="1"/>
  <c r="G26" i="22" s="1"/>
  <c r="G29" i="22" s="1"/>
  <c r="H17" i="22"/>
  <c r="J130" i="14"/>
  <c r="J133" i="14" s="1"/>
  <c r="K124" i="14" s="1"/>
  <c r="J142" i="14"/>
  <c r="J150" i="14" s="1"/>
  <c r="N109" i="16"/>
  <c r="O49" i="16"/>
  <c r="I144" i="14"/>
  <c r="P81" i="14"/>
  <c r="P131" i="14"/>
  <c r="P60" i="14"/>
  <c r="P122" i="14"/>
  <c r="H27" i="16"/>
  <c r="G30" i="16"/>
  <c r="N139" i="16"/>
  <c r="O79" i="16"/>
  <c r="P81" i="16"/>
  <c r="O141" i="16"/>
  <c r="N48" i="16"/>
  <c r="M50" i="16"/>
  <c r="M111" i="16"/>
  <c r="N51" i="16"/>
  <c r="L138" i="16"/>
  <c r="M78" i="16"/>
  <c r="L80" i="16"/>
  <c r="L140" i="16" s="1"/>
  <c r="L108" i="16"/>
  <c r="K110" i="16"/>
  <c r="H57" i="16"/>
  <c r="G60" i="16"/>
  <c r="I87" i="16"/>
  <c r="H90" i="16"/>
  <c r="H121" i="16"/>
  <c r="G120" i="16"/>
  <c r="N41" i="28"/>
  <c r="M79" i="28"/>
  <c r="N8" i="28"/>
  <c r="M13" i="28"/>
  <c r="L38" i="28"/>
  <c r="M76" i="28"/>
  <c r="H155" i="14"/>
  <c r="M100" i="14"/>
  <c r="L104" i="14"/>
  <c r="M52" i="28"/>
  <c r="M88" i="28" s="1"/>
  <c r="N53" i="14"/>
  <c r="M98" i="14"/>
  <c r="L102" i="14"/>
  <c r="L87" i="28"/>
  <c r="M99" i="14"/>
  <c r="L103" i="14"/>
  <c r="H75" i="14"/>
  <c r="H71" i="14" s="1"/>
  <c r="H72" i="14" s="1"/>
  <c r="I62" i="14"/>
  <c r="L95" i="14"/>
  <c r="L136" i="14"/>
  <c r="M47" i="14"/>
  <c r="M46" i="22"/>
  <c r="M70" i="22" s="1"/>
  <c r="M74" i="22" s="1"/>
  <c r="N43" i="22"/>
  <c r="N46" i="22" s="1"/>
  <c r="N70" i="22" s="1"/>
  <c r="N74" i="22" s="1"/>
  <c r="H32" i="22"/>
  <c r="G35" i="22"/>
  <c r="G38" i="22" s="1"/>
  <c r="I35" i="14"/>
  <c r="H45" i="14"/>
  <c r="L66" i="28"/>
  <c r="N48" i="14"/>
  <c r="O48" i="14" s="1"/>
  <c r="M96" i="14"/>
  <c r="M137" i="14"/>
  <c r="J20" i="28"/>
  <c r="J23" i="28" s="1"/>
  <c r="K21" i="28"/>
  <c r="H27" i="28"/>
  <c r="H30" i="28" s="1"/>
  <c r="K61" i="28"/>
  <c r="K64" i="28" s="1"/>
  <c r="N141" i="16"/>
  <c r="I73" i="14"/>
  <c r="J61" i="14"/>
  <c r="H113" i="14"/>
  <c r="M50" i="14"/>
  <c r="L52" i="14"/>
  <c r="L51" i="28" s="1"/>
  <c r="L49" i="28"/>
  <c r="N62" i="28"/>
  <c r="O62" i="28" s="1"/>
  <c r="I26" i="28"/>
  <c r="I27" i="28" s="1"/>
  <c r="H88" i="14"/>
  <c r="J64" i="28"/>
  <c r="J77" i="14"/>
  <c r="K63" i="14"/>
  <c r="M121" i="14"/>
  <c r="L127" i="14"/>
  <c r="K32" i="14"/>
  <c r="J38" i="14"/>
  <c r="I68" i="28"/>
  <c r="G25" i="2"/>
  <c r="I69" i="14" l="1"/>
  <c r="I109" i="14" s="1"/>
  <c r="I157" i="14"/>
  <c r="S33" i="14"/>
  <c r="R122" i="14"/>
  <c r="R60" i="14"/>
  <c r="P141" i="16"/>
  <c r="Q81" i="16"/>
  <c r="R81" i="16" s="1"/>
  <c r="S81" i="16" s="1"/>
  <c r="T81" i="16" s="1"/>
  <c r="I17" i="22"/>
  <c r="H20" i="22"/>
  <c r="H23" i="22" s="1"/>
  <c r="H26" i="22" s="1"/>
  <c r="H29" i="22" s="1"/>
  <c r="S42" i="14"/>
  <c r="R81" i="14"/>
  <c r="R131" i="14"/>
  <c r="J134" i="14"/>
  <c r="J144" i="14"/>
  <c r="O109" i="16"/>
  <c r="P49" i="16"/>
  <c r="P62" i="28"/>
  <c r="P61" i="28" s="1"/>
  <c r="O61" i="28"/>
  <c r="N79" i="28"/>
  <c r="O41" i="28"/>
  <c r="P48" i="14"/>
  <c r="Q48" i="14" s="1"/>
  <c r="O96" i="14"/>
  <c r="O137" i="14"/>
  <c r="N52" i="28"/>
  <c r="N88" i="28" s="1"/>
  <c r="O53" i="14"/>
  <c r="N78" i="16"/>
  <c r="M138" i="16"/>
  <c r="M80" i="16"/>
  <c r="M140" i="16" s="1"/>
  <c r="O139" i="16"/>
  <c r="P79" i="16"/>
  <c r="O48" i="16"/>
  <c r="N50" i="16"/>
  <c r="L110" i="16"/>
  <c r="M108" i="16"/>
  <c r="N108" i="16" s="1"/>
  <c r="O51" i="16"/>
  <c r="N111" i="16"/>
  <c r="I27" i="16"/>
  <c r="H30" i="16"/>
  <c r="H36" i="16" s="1"/>
  <c r="H34" i="16"/>
  <c r="H60" i="16"/>
  <c r="I57" i="16"/>
  <c r="H66" i="16"/>
  <c r="H64" i="16"/>
  <c r="J87" i="16"/>
  <c r="I90" i="16"/>
  <c r="I96" i="16" s="1"/>
  <c r="H120" i="16"/>
  <c r="I121" i="16"/>
  <c r="H94" i="16"/>
  <c r="H96" i="16"/>
  <c r="N13" i="28"/>
  <c r="O8" i="28"/>
  <c r="M38" i="28"/>
  <c r="N76" i="28"/>
  <c r="J62" i="14"/>
  <c r="I75" i="14"/>
  <c r="I71" i="14" s="1"/>
  <c r="N99" i="14"/>
  <c r="M103" i="14"/>
  <c r="H108" i="14"/>
  <c r="H111" i="14" s="1"/>
  <c r="H149" i="14" s="1"/>
  <c r="AK8" i="1" s="1"/>
  <c r="AK7" i="1" s="1"/>
  <c r="H90" i="14"/>
  <c r="I59" i="14"/>
  <c r="N98" i="14"/>
  <c r="O98" i="14" s="1"/>
  <c r="O87" i="28" s="1"/>
  <c r="M102" i="14"/>
  <c r="M87" i="28"/>
  <c r="N100" i="14"/>
  <c r="M104" i="14"/>
  <c r="M95" i="14"/>
  <c r="N47" i="14"/>
  <c r="O47" i="14" s="1"/>
  <c r="M136" i="14"/>
  <c r="I32" i="22"/>
  <c r="H35" i="22"/>
  <c r="H38" i="22" s="1"/>
  <c r="H35" i="28"/>
  <c r="H37" i="28"/>
  <c r="H89" i="14"/>
  <c r="I67" i="14"/>
  <c r="I107" i="14" s="1"/>
  <c r="L61" i="28"/>
  <c r="L64" i="28" s="1"/>
  <c r="K142" i="14"/>
  <c r="K150" i="14" s="1"/>
  <c r="K130" i="14"/>
  <c r="K133" i="14" s="1"/>
  <c r="K125" i="14"/>
  <c r="I73" i="28"/>
  <c r="I75" i="28"/>
  <c r="N121" i="14"/>
  <c r="M127" i="14"/>
  <c r="M66" i="28"/>
  <c r="I36" i="14"/>
  <c r="I41" i="14"/>
  <c r="I44" i="14" s="1"/>
  <c r="I55" i="14"/>
  <c r="I148" i="14" s="1"/>
  <c r="K77" i="14"/>
  <c r="L63" i="14"/>
  <c r="I30" i="28"/>
  <c r="I37" i="28" s="1"/>
  <c r="L21" i="28"/>
  <c r="K20" i="28"/>
  <c r="K23" i="28" s="1"/>
  <c r="L32" i="14"/>
  <c r="K38" i="14"/>
  <c r="I84" i="14"/>
  <c r="I92" i="14" s="1"/>
  <c r="M49" i="28"/>
  <c r="N50" i="14"/>
  <c r="O50" i="14" s="1"/>
  <c r="O49" i="28" s="1"/>
  <c r="M52" i="14"/>
  <c r="M51" i="28" s="1"/>
  <c r="J73" i="14"/>
  <c r="J59" i="14"/>
  <c r="K61" i="14"/>
  <c r="K65" i="28"/>
  <c r="K68" i="28" s="1"/>
  <c r="K75" i="28" s="1"/>
  <c r="J26" i="28"/>
  <c r="N137" i="14"/>
  <c r="N96" i="14"/>
  <c r="J65" i="28"/>
  <c r="J68" i="28" s="1"/>
  <c r="J75" i="28" s="1"/>
  <c r="E39" i="11"/>
  <c r="E42" i="11" s="1"/>
  <c r="J157" i="14" l="1"/>
  <c r="O108" i="16"/>
  <c r="R48" i="14"/>
  <c r="Q96" i="14"/>
  <c r="Q137" i="14"/>
  <c r="I20" i="22"/>
  <c r="I23" i="22" s="1"/>
  <c r="I26" i="22" s="1"/>
  <c r="I29" i="22" s="1"/>
  <c r="J17" i="22"/>
  <c r="P139" i="16"/>
  <c r="Q79" i="16"/>
  <c r="P109" i="16"/>
  <c r="P108" i="16" s="1"/>
  <c r="Q49" i="16"/>
  <c r="S81" i="14"/>
  <c r="T42" i="14"/>
  <c r="S131" i="14"/>
  <c r="S122" i="14"/>
  <c r="T33" i="14"/>
  <c r="S60" i="14"/>
  <c r="M110" i="16"/>
  <c r="N110" i="16"/>
  <c r="O79" i="28"/>
  <c r="P41" i="28"/>
  <c r="P79" i="28" s="1"/>
  <c r="O95" i="14"/>
  <c r="P47" i="14"/>
  <c r="Q47" i="14" s="1"/>
  <c r="O136" i="14"/>
  <c r="I72" i="14"/>
  <c r="P53" i="14"/>
  <c r="O52" i="28"/>
  <c r="O88" i="28" s="1"/>
  <c r="P137" i="14"/>
  <c r="P96" i="14"/>
  <c r="H42" i="16"/>
  <c r="H53" i="16"/>
  <c r="P51" i="16"/>
  <c r="O111" i="16"/>
  <c r="O110" i="16" s="1"/>
  <c r="O50" i="16"/>
  <c r="P48" i="16"/>
  <c r="I30" i="16"/>
  <c r="I36" i="16" s="1"/>
  <c r="J27" i="16"/>
  <c r="O78" i="16"/>
  <c r="N138" i="16"/>
  <c r="N80" i="16"/>
  <c r="N140" i="16" s="1"/>
  <c r="H83" i="16"/>
  <c r="H72" i="16"/>
  <c r="I60" i="16"/>
  <c r="J57" i="16"/>
  <c r="I66" i="16"/>
  <c r="J90" i="16"/>
  <c r="J96" i="16" s="1"/>
  <c r="K87" i="16"/>
  <c r="J121" i="16"/>
  <c r="I120" i="16"/>
  <c r="I126" i="16" s="1"/>
  <c r="H102" i="16"/>
  <c r="H113" i="16"/>
  <c r="H124" i="16"/>
  <c r="H126" i="16"/>
  <c r="P8" i="28"/>
  <c r="P13" i="28" s="1"/>
  <c r="O13" i="28"/>
  <c r="N127" i="14"/>
  <c r="O121" i="14"/>
  <c r="P50" i="14"/>
  <c r="Q50" i="14" s="1"/>
  <c r="O52" i="14"/>
  <c r="O51" i="28" s="1"/>
  <c r="O102" i="14"/>
  <c r="P98" i="14"/>
  <c r="Q98" i="14" s="1"/>
  <c r="N104" i="14"/>
  <c r="O100" i="14"/>
  <c r="N103" i="14"/>
  <c r="O99" i="14"/>
  <c r="N38" i="28"/>
  <c r="I155" i="14"/>
  <c r="H156" i="14"/>
  <c r="I68" i="14"/>
  <c r="I83" i="14" s="1"/>
  <c r="I90" i="14" s="1"/>
  <c r="J68" i="14" s="1"/>
  <c r="H91" i="14"/>
  <c r="H86" i="14"/>
  <c r="H87" i="14" s="1"/>
  <c r="N87" i="28"/>
  <c r="N102" i="14"/>
  <c r="J75" i="14"/>
  <c r="K62" i="14"/>
  <c r="K59" i="14" s="1"/>
  <c r="N95" i="14"/>
  <c r="N136" i="14"/>
  <c r="J32" i="22"/>
  <c r="I35" i="22"/>
  <c r="I38" i="22" s="1"/>
  <c r="I40" i="22" s="1"/>
  <c r="I50" i="22" s="1"/>
  <c r="I76" i="22" s="1"/>
  <c r="I79" i="22" s="1"/>
  <c r="K144" i="14"/>
  <c r="K26" i="28"/>
  <c r="K27" i="28" s="1"/>
  <c r="L77" i="14"/>
  <c r="M63" i="14"/>
  <c r="I113" i="14"/>
  <c r="L61" i="14"/>
  <c r="K73" i="14"/>
  <c r="I45" i="14"/>
  <c r="J35" i="14"/>
  <c r="N66" i="28"/>
  <c r="O66" i="28" s="1"/>
  <c r="K134" i="14"/>
  <c r="L124" i="14"/>
  <c r="L65" i="28"/>
  <c r="L68" i="28" s="1"/>
  <c r="L75" i="28" s="1"/>
  <c r="I82" i="14"/>
  <c r="H43" i="28"/>
  <c r="H54" i="28"/>
  <c r="J69" i="14"/>
  <c r="J109" i="14" s="1"/>
  <c r="I93" i="14"/>
  <c r="L20" i="28"/>
  <c r="L23" i="28" s="1"/>
  <c r="M21" i="28"/>
  <c r="J27" i="28"/>
  <c r="J30" i="28" s="1"/>
  <c r="J37" i="28" s="1"/>
  <c r="N49" i="28"/>
  <c r="N52" i="14"/>
  <c r="N51" i="28" s="1"/>
  <c r="M32" i="14"/>
  <c r="L38" i="14"/>
  <c r="I81" i="28"/>
  <c r="I90" i="28"/>
  <c r="N61" i="28"/>
  <c r="M61" i="28"/>
  <c r="H145" i="16" l="1"/>
  <c r="H149" i="16" s="1"/>
  <c r="K157" i="14"/>
  <c r="AI8" i="1"/>
  <c r="AI7" i="1" s="1"/>
  <c r="Q95" i="14"/>
  <c r="Q136" i="14"/>
  <c r="R47" i="14"/>
  <c r="Q48" i="16"/>
  <c r="R49" i="16"/>
  <c r="S49" i="16" s="1"/>
  <c r="T49" i="16" s="1"/>
  <c r="K17" i="22"/>
  <c r="J20" i="22"/>
  <c r="J23" i="22" s="1"/>
  <c r="J26" i="22" s="1"/>
  <c r="J29" i="22" s="1"/>
  <c r="T60" i="14"/>
  <c r="T122" i="14"/>
  <c r="T81" i="14"/>
  <c r="T131" i="14"/>
  <c r="R79" i="16"/>
  <c r="S79" i="16" s="1"/>
  <c r="T79" i="16" s="1"/>
  <c r="P111" i="16"/>
  <c r="P110" i="16" s="1"/>
  <c r="Q51" i="16"/>
  <c r="R51" i="16" s="1"/>
  <c r="S51" i="16" s="1"/>
  <c r="T51" i="16" s="1"/>
  <c r="S48" i="14"/>
  <c r="R96" i="14"/>
  <c r="R137" i="14"/>
  <c r="P52" i="28"/>
  <c r="P88" i="28" s="1"/>
  <c r="Q53" i="14"/>
  <c r="R53" i="14" s="1"/>
  <c r="S53" i="14" s="1"/>
  <c r="T53" i="14" s="1"/>
  <c r="R50" i="14"/>
  <c r="Q102" i="14"/>
  <c r="R98" i="14"/>
  <c r="P50" i="16"/>
  <c r="P95" i="14"/>
  <c r="P136" i="14"/>
  <c r="P52" i="14"/>
  <c r="P51" i="28" s="1"/>
  <c r="P49" i="28"/>
  <c r="P102" i="14"/>
  <c r="P87" i="28"/>
  <c r="J30" i="16"/>
  <c r="J36" i="16" s="1"/>
  <c r="K27" i="16"/>
  <c r="O80" i="16"/>
  <c r="O140" i="16" s="1"/>
  <c r="O138" i="16"/>
  <c r="P78" i="16"/>
  <c r="Q78" i="16" s="1"/>
  <c r="H43" i="16"/>
  <c r="I33" i="16"/>
  <c r="J60" i="16"/>
  <c r="J66" i="16"/>
  <c r="K57" i="16"/>
  <c r="I63" i="16"/>
  <c r="H73" i="16"/>
  <c r="H143" i="16"/>
  <c r="H132" i="16"/>
  <c r="K121" i="16"/>
  <c r="J120" i="16"/>
  <c r="J126" i="16" s="1"/>
  <c r="I93" i="16"/>
  <c r="H103" i="16"/>
  <c r="L87" i="16"/>
  <c r="K90" i="16"/>
  <c r="K96" i="16" s="1"/>
  <c r="P66" i="28"/>
  <c r="P64" i="28" s="1"/>
  <c r="P65" i="28" s="1"/>
  <c r="P68" i="28" s="1"/>
  <c r="P75" i="28" s="1"/>
  <c r="O64" i="28"/>
  <c r="I91" i="14"/>
  <c r="I65" i="14"/>
  <c r="I66" i="14" s="1"/>
  <c r="I80" i="14"/>
  <c r="I108" i="14"/>
  <c r="I111" i="14" s="1"/>
  <c r="I149" i="14" s="1"/>
  <c r="O104" i="14"/>
  <c r="P100" i="14"/>
  <c r="P99" i="14"/>
  <c r="O103" i="14"/>
  <c r="P121" i="14"/>
  <c r="O127" i="14"/>
  <c r="K75" i="14"/>
  <c r="L62" i="14"/>
  <c r="L59" i="14" s="1"/>
  <c r="J108" i="14"/>
  <c r="J71" i="14"/>
  <c r="J72" i="14" s="1"/>
  <c r="K32" i="22"/>
  <c r="J35" i="22"/>
  <c r="J38" i="22" s="1"/>
  <c r="J40" i="22" s="1"/>
  <c r="J50" i="22" s="1"/>
  <c r="J76" i="22" s="1"/>
  <c r="J79" i="22" s="1"/>
  <c r="I88" i="14"/>
  <c r="I86" i="14" s="1"/>
  <c r="I87" i="14" s="1"/>
  <c r="M38" i="14"/>
  <c r="N32" i="14"/>
  <c r="J84" i="14"/>
  <c r="J92" i="14" s="1"/>
  <c r="N64" i="28"/>
  <c r="I100" i="28"/>
  <c r="I106" i="28" s="1"/>
  <c r="M20" i="28"/>
  <c r="M23" i="28" s="1"/>
  <c r="N21" i="28"/>
  <c r="J83" i="14"/>
  <c r="J90" i="14" s="1"/>
  <c r="J36" i="14"/>
  <c r="J55" i="14"/>
  <c r="J148" i="14" s="1"/>
  <c r="J41" i="14"/>
  <c r="J44" i="14" s="1"/>
  <c r="L73" i="14"/>
  <c r="M61" i="14"/>
  <c r="N63" i="14"/>
  <c r="M77" i="14"/>
  <c r="J72" i="28"/>
  <c r="I82" i="28"/>
  <c r="L26" i="28"/>
  <c r="L27" i="28" s="1"/>
  <c r="H112" i="28"/>
  <c r="H44" i="28"/>
  <c r="I34" i="28"/>
  <c r="L125" i="14"/>
  <c r="L130" i="14"/>
  <c r="L133" i="14" s="1"/>
  <c r="L142" i="14"/>
  <c r="L150" i="14" s="1"/>
  <c r="M64" i="28"/>
  <c r="M65" i="28" s="1"/>
  <c r="K30" i="28"/>
  <c r="K37" i="28" s="1"/>
  <c r="I156" i="14" l="1"/>
  <c r="AP8" i="1"/>
  <c r="AP7" i="1" s="1"/>
  <c r="Q52" i="14"/>
  <c r="AI15" i="1"/>
  <c r="AI18" i="1"/>
  <c r="AI21" i="1" s="1"/>
  <c r="AJ8" i="1"/>
  <c r="AJ7" i="1" s="1"/>
  <c r="Q80" i="16"/>
  <c r="R78" i="16"/>
  <c r="P127" i="14"/>
  <c r="Q121" i="14"/>
  <c r="Q50" i="16"/>
  <c r="R48" i="16"/>
  <c r="S47" i="14"/>
  <c r="R95" i="14"/>
  <c r="R136" i="14"/>
  <c r="K20" i="22"/>
  <c r="K23" i="22" s="1"/>
  <c r="K26" i="22" s="1"/>
  <c r="K29" i="22" s="1"/>
  <c r="L17" i="22"/>
  <c r="T48" i="14"/>
  <c r="S96" i="14"/>
  <c r="S137" i="14"/>
  <c r="P104" i="14"/>
  <c r="Q100" i="14"/>
  <c r="R102" i="14"/>
  <c r="S98" i="14"/>
  <c r="P103" i="14"/>
  <c r="Q99" i="14"/>
  <c r="R52" i="14"/>
  <c r="S50" i="14"/>
  <c r="N20" i="28"/>
  <c r="N23" i="28" s="1"/>
  <c r="N26" i="28" s="1"/>
  <c r="N27" i="28" s="1"/>
  <c r="O21" i="28"/>
  <c r="K30" i="16"/>
  <c r="K36" i="16" s="1"/>
  <c r="L27" i="16"/>
  <c r="P138" i="16"/>
  <c r="P80" i="16"/>
  <c r="P140" i="16" s="1"/>
  <c r="I34" i="16"/>
  <c r="I53" i="16"/>
  <c r="I39" i="16"/>
  <c r="I42" i="16" s="1"/>
  <c r="I83" i="16"/>
  <c r="I64" i="16"/>
  <c r="I69" i="16"/>
  <c r="I72" i="16" s="1"/>
  <c r="K60" i="16"/>
  <c r="K66" i="16"/>
  <c r="L57" i="16"/>
  <c r="I99" i="16"/>
  <c r="I102" i="16" s="1"/>
  <c r="I94" i="16"/>
  <c r="I113" i="16"/>
  <c r="H133" i="16"/>
  <c r="I123" i="16"/>
  <c r="L90" i="16"/>
  <c r="L96" i="16" s="1"/>
  <c r="M87" i="16"/>
  <c r="L121" i="16"/>
  <c r="K120" i="16"/>
  <c r="K126" i="16" s="1"/>
  <c r="O65" i="28"/>
  <c r="O68" i="28" s="1"/>
  <c r="O75" i="28" s="1"/>
  <c r="N38" i="14"/>
  <c r="O32" i="14"/>
  <c r="N77" i="14"/>
  <c r="O63" i="14"/>
  <c r="J155" i="14"/>
  <c r="K71" i="14"/>
  <c r="K72" i="14" s="1"/>
  <c r="J67" i="14"/>
  <c r="J107" i="14" s="1"/>
  <c r="J111" i="14" s="1"/>
  <c r="J149" i="14" s="1"/>
  <c r="AU8" i="1" s="1"/>
  <c r="AU7" i="1" s="1"/>
  <c r="L75" i="14"/>
  <c r="L71" i="14" s="1"/>
  <c r="L72" i="14" s="1"/>
  <c r="M62" i="14"/>
  <c r="M59" i="14" s="1"/>
  <c r="I116" i="14"/>
  <c r="AP20" i="1" s="1"/>
  <c r="H116" i="14"/>
  <c r="AK20" i="1" s="1"/>
  <c r="I89" i="14"/>
  <c r="L32" i="22"/>
  <c r="K35" i="22"/>
  <c r="M124" i="14"/>
  <c r="L134" i="14"/>
  <c r="K68" i="14"/>
  <c r="K108" i="14" s="1"/>
  <c r="J91" i="14"/>
  <c r="J113" i="14"/>
  <c r="K69" i="14"/>
  <c r="K109" i="14" s="1"/>
  <c r="J93" i="14"/>
  <c r="N65" i="28"/>
  <c r="N68" i="28" s="1"/>
  <c r="N75" i="28" s="1"/>
  <c r="M68" i="28"/>
  <c r="M75" i="28" s="1"/>
  <c r="L30" i="28"/>
  <c r="L37" i="28" s="1"/>
  <c r="N61" i="14"/>
  <c r="O61" i="14" s="1"/>
  <c r="M73" i="14"/>
  <c r="M26" i="28"/>
  <c r="M27" i="28" s="1"/>
  <c r="J45" i="14"/>
  <c r="K35" i="14"/>
  <c r="L144" i="14"/>
  <c r="I35" i="28"/>
  <c r="I54" i="28"/>
  <c r="I40" i="28"/>
  <c r="I43" i="28" s="1"/>
  <c r="J78" i="28"/>
  <c r="J81" i="28" s="1"/>
  <c r="J73" i="28"/>
  <c r="J90" i="28"/>
  <c r="E46" i="11"/>
  <c r="I145" i="16" l="1"/>
  <c r="I149" i="16" s="1"/>
  <c r="AP12" i="1" s="1"/>
  <c r="L157" i="14"/>
  <c r="AJ15" i="1"/>
  <c r="AJ18" i="1"/>
  <c r="T137" i="14"/>
  <c r="T96" i="14"/>
  <c r="T47" i="14"/>
  <c r="S95" i="14"/>
  <c r="S136" i="14"/>
  <c r="R121" i="14"/>
  <c r="Q127" i="14"/>
  <c r="L20" i="22"/>
  <c r="L23" i="22" s="1"/>
  <c r="L26" i="22" s="1"/>
  <c r="L29" i="22" s="1"/>
  <c r="M17" i="22"/>
  <c r="R50" i="16"/>
  <c r="S48" i="16"/>
  <c r="S78" i="16"/>
  <c r="R80" i="16"/>
  <c r="K38" i="22"/>
  <c r="K40" i="22" s="1"/>
  <c r="K50" i="22" s="1"/>
  <c r="K76" i="22" s="1"/>
  <c r="K79" i="22" s="1"/>
  <c r="S52" i="14"/>
  <c r="T50" i="14"/>
  <c r="T52" i="14" s="1"/>
  <c r="S102" i="14"/>
  <c r="T98" i="14"/>
  <c r="T102" i="14" s="1"/>
  <c r="R99" i="14"/>
  <c r="Q103" i="14"/>
  <c r="R100" i="14"/>
  <c r="Q104" i="14"/>
  <c r="J65" i="14"/>
  <c r="J66" i="14" s="1"/>
  <c r="P21" i="28"/>
  <c r="P20" i="28" s="1"/>
  <c r="P23" i="28" s="1"/>
  <c r="O20" i="28"/>
  <c r="O23" i="28" s="1"/>
  <c r="J33" i="16"/>
  <c r="I43" i="16"/>
  <c r="L30" i="16"/>
  <c r="L36" i="16" s="1"/>
  <c r="M27" i="16"/>
  <c r="I73" i="16"/>
  <c r="J63" i="16"/>
  <c r="L60" i="16"/>
  <c r="M57" i="16"/>
  <c r="L66" i="16"/>
  <c r="I143" i="16"/>
  <c r="I124" i="16"/>
  <c r="I129" i="16"/>
  <c r="I132" i="16" s="1"/>
  <c r="I103" i="16"/>
  <c r="J93" i="16"/>
  <c r="AK15" i="1"/>
  <c r="M90" i="16"/>
  <c r="M96" i="16" s="1"/>
  <c r="N87" i="16"/>
  <c r="M121" i="16"/>
  <c r="L120" i="16"/>
  <c r="L126" i="16" s="1"/>
  <c r="J82" i="14"/>
  <c r="J80" i="14" s="1"/>
  <c r="O77" i="14"/>
  <c r="P63" i="14"/>
  <c r="O73" i="14"/>
  <c r="P61" i="14"/>
  <c r="Q61" i="14" s="1"/>
  <c r="O38" i="14"/>
  <c r="P32" i="14"/>
  <c r="J156" i="14"/>
  <c r="H158" i="14"/>
  <c r="H151" i="14"/>
  <c r="H152" i="14" s="1"/>
  <c r="I151" i="14"/>
  <c r="I152" i="14" s="1"/>
  <c r="I158" i="14"/>
  <c r="N62" i="14"/>
  <c r="N59" i="14" s="1"/>
  <c r="M75" i="14"/>
  <c r="M32" i="22"/>
  <c r="L35" i="22"/>
  <c r="L38" i="22" s="1"/>
  <c r="L40" i="22" s="1"/>
  <c r="L50" i="22" s="1"/>
  <c r="L76" i="22" s="1"/>
  <c r="L79" i="22" s="1"/>
  <c r="F40" i="11"/>
  <c r="E44" i="11"/>
  <c r="J82" i="28"/>
  <c r="K72" i="28"/>
  <c r="M30" i="28"/>
  <c r="M37" i="28" s="1"/>
  <c r="N30" i="28"/>
  <c r="N37" i="28" s="1"/>
  <c r="K84" i="14"/>
  <c r="K92" i="14" s="1"/>
  <c r="K83" i="14"/>
  <c r="K90" i="14" s="1"/>
  <c r="J100" i="28"/>
  <c r="J106" i="28" s="1"/>
  <c r="J116" i="14"/>
  <c r="AU20" i="1" s="1"/>
  <c r="J34" i="28"/>
  <c r="I44" i="28"/>
  <c r="I99" i="28"/>
  <c r="K55" i="14"/>
  <c r="K148" i="14" s="1"/>
  <c r="K41" i="14"/>
  <c r="K44" i="14" s="1"/>
  <c r="K36" i="14"/>
  <c r="N73" i="14"/>
  <c r="F30" i="2"/>
  <c r="F40" i="2" s="1"/>
  <c r="M125" i="14"/>
  <c r="M130" i="14"/>
  <c r="M133" i="14" s="1"/>
  <c r="M142" i="14"/>
  <c r="M150" i="14" s="1"/>
  <c r="AJ21" i="1" l="1"/>
  <c r="AJ34" i="1" s="1"/>
  <c r="AK18" i="1"/>
  <c r="R61" i="14"/>
  <c r="Q73" i="14"/>
  <c r="S121" i="14"/>
  <c r="R127" i="14"/>
  <c r="T48" i="16"/>
  <c r="T50" i="16" s="1"/>
  <c r="S50" i="16"/>
  <c r="T136" i="14"/>
  <c r="T95" i="14"/>
  <c r="N17" i="22"/>
  <c r="N20" i="22" s="1"/>
  <c r="N23" i="22" s="1"/>
  <c r="N26" i="22" s="1"/>
  <c r="N29" i="22" s="1"/>
  <c r="M20" i="22"/>
  <c r="M23" i="22" s="1"/>
  <c r="M26" i="22" s="1"/>
  <c r="M29" i="22" s="1"/>
  <c r="P38" i="14"/>
  <c r="Q32" i="14"/>
  <c r="P77" i="14"/>
  <c r="Q63" i="14"/>
  <c r="T78" i="16"/>
  <c r="T80" i="16" s="1"/>
  <c r="S80" i="16"/>
  <c r="R103" i="14"/>
  <c r="S99" i="14"/>
  <c r="S100" i="14"/>
  <c r="R104" i="14"/>
  <c r="O26" i="28"/>
  <c r="O27" i="28" s="1"/>
  <c r="O30" i="28" s="1"/>
  <c r="O37" i="28" s="1"/>
  <c r="P26" i="28"/>
  <c r="J88" i="14"/>
  <c r="J86" i="14" s="1"/>
  <c r="J87" i="14" s="1"/>
  <c r="J53" i="16"/>
  <c r="J39" i="16"/>
  <c r="J42" i="16" s="1"/>
  <c r="J34" i="16"/>
  <c r="M30" i="16"/>
  <c r="M36" i="16" s="1"/>
  <c r="N27" i="16"/>
  <c r="M60" i="16"/>
  <c r="N57" i="16"/>
  <c r="M66" i="16"/>
  <c r="J69" i="16"/>
  <c r="J72" i="16" s="1"/>
  <c r="J64" i="16"/>
  <c r="J83" i="16"/>
  <c r="N121" i="16"/>
  <c r="M120" i="16"/>
  <c r="M126" i="16" s="1"/>
  <c r="O87" i="16"/>
  <c r="N90" i="16"/>
  <c r="N96" i="16" s="1"/>
  <c r="J94" i="16"/>
  <c r="J113" i="16"/>
  <c r="J99" i="16"/>
  <c r="J102" i="16" s="1"/>
  <c r="I133" i="16"/>
  <c r="J123" i="16"/>
  <c r="N75" i="14"/>
  <c r="N71" i="14" s="1"/>
  <c r="N72" i="14" s="1"/>
  <c r="O62" i="14"/>
  <c r="P73" i="14"/>
  <c r="I102" i="28"/>
  <c r="I112" i="28"/>
  <c r="I114" i="28" s="1"/>
  <c r="I126" i="28" s="1"/>
  <c r="I128" i="28" s="1"/>
  <c r="I105" i="28"/>
  <c r="I108" i="28" s="1"/>
  <c r="I159" i="14"/>
  <c r="K155" i="14"/>
  <c r="J158" i="14"/>
  <c r="J151" i="14"/>
  <c r="J152" i="14" s="1"/>
  <c r="H159" i="14"/>
  <c r="M71" i="14"/>
  <c r="M72" i="14" s="1"/>
  <c r="N32" i="22"/>
  <c r="N35" i="22" s="1"/>
  <c r="N38" i="22" s="1"/>
  <c r="N40" i="22" s="1"/>
  <c r="N50" i="22" s="1"/>
  <c r="N76" i="22" s="1"/>
  <c r="N79" i="22" s="1"/>
  <c r="M35" i="22"/>
  <c r="L68" i="14"/>
  <c r="L108" i="14" s="1"/>
  <c r="K91" i="14"/>
  <c r="M144" i="14"/>
  <c r="K113" i="14"/>
  <c r="L69" i="14"/>
  <c r="L109" i="14" s="1"/>
  <c r="K93" i="14"/>
  <c r="K45" i="14"/>
  <c r="L35" i="14"/>
  <c r="J35" i="28"/>
  <c r="J40" i="28"/>
  <c r="J43" i="28" s="1"/>
  <c r="J54" i="28"/>
  <c r="G30" i="2"/>
  <c r="K78" i="28"/>
  <c r="K81" i="28" s="1"/>
  <c r="K73" i="28"/>
  <c r="K90" i="28"/>
  <c r="N124" i="14"/>
  <c r="M134" i="14"/>
  <c r="F11" i="2"/>
  <c r="F18" i="2" s="1"/>
  <c r="F42" i="2" s="1"/>
  <c r="J145" i="16" l="1"/>
  <c r="J149" i="16" s="1"/>
  <c r="AU12" i="1" s="1"/>
  <c r="M157" i="14"/>
  <c r="AJ39" i="1"/>
  <c r="AP11" i="1"/>
  <c r="M38" i="22"/>
  <c r="M40" i="22" s="1"/>
  <c r="M50" i="22" s="1"/>
  <c r="M76" i="22" s="1"/>
  <c r="M79" i="22" s="1"/>
  <c r="S127" i="14"/>
  <c r="T121" i="14"/>
  <c r="T127" i="14" s="1"/>
  <c r="R32" i="14"/>
  <c r="Q38" i="14"/>
  <c r="S61" i="14"/>
  <c r="R73" i="14"/>
  <c r="R63" i="14"/>
  <c r="Q77" i="14"/>
  <c r="S104" i="14"/>
  <c r="T100" i="14"/>
  <c r="T104" i="14" s="1"/>
  <c r="S103" i="14"/>
  <c r="T99" i="14"/>
  <c r="T103" i="14" s="1"/>
  <c r="J47" i="2"/>
  <c r="J62" i="2" s="1"/>
  <c r="J8" i="2" s="1"/>
  <c r="I13" i="11" s="1"/>
  <c r="P27" i="28"/>
  <c r="P30" i="28" s="1"/>
  <c r="P37" i="28" s="1"/>
  <c r="J89" i="14"/>
  <c r="K67" i="14"/>
  <c r="K107" i="14" s="1"/>
  <c r="K111" i="14" s="1"/>
  <c r="K149" i="14" s="1"/>
  <c r="K33" i="16"/>
  <c r="J43" i="16"/>
  <c r="N30" i="16"/>
  <c r="N36" i="16" s="1"/>
  <c r="O27" i="16"/>
  <c r="J73" i="16"/>
  <c r="K63" i="16"/>
  <c r="N60" i="16"/>
  <c r="N66" i="16"/>
  <c r="O57" i="16"/>
  <c r="K93" i="16"/>
  <c r="J103" i="16"/>
  <c r="O90" i="16"/>
  <c r="O96" i="16" s="1"/>
  <c r="P87" i="16"/>
  <c r="P90" i="16" s="1"/>
  <c r="P96" i="16" s="1"/>
  <c r="J124" i="16"/>
  <c r="J129" i="16"/>
  <c r="J132" i="16" s="1"/>
  <c r="J143" i="16"/>
  <c r="N120" i="16"/>
  <c r="N126" i="16" s="1"/>
  <c r="O121" i="16"/>
  <c r="O75" i="14"/>
  <c r="P62" i="14"/>
  <c r="Q62" i="14" s="1"/>
  <c r="O59" i="14"/>
  <c r="J92" i="28"/>
  <c r="J101" i="28" s="1"/>
  <c r="J159" i="14"/>
  <c r="J44" i="28"/>
  <c r="K34" i="28"/>
  <c r="L72" i="28"/>
  <c r="K82" i="28"/>
  <c r="N130" i="14"/>
  <c r="N133" i="14" s="1"/>
  <c r="N125" i="14"/>
  <c r="N142" i="14"/>
  <c r="N150" i="14" s="1"/>
  <c r="L84" i="14"/>
  <c r="L92" i="14" s="1"/>
  <c r="K100" i="28"/>
  <c r="K106" i="28" s="1"/>
  <c r="J99" i="28"/>
  <c r="L55" i="14"/>
  <c r="L148" i="14" s="1"/>
  <c r="L41" i="14"/>
  <c r="L44" i="14" s="1"/>
  <c r="L36" i="14"/>
  <c r="K116" i="14"/>
  <c r="AZ20" i="1" s="1"/>
  <c r="L83" i="14"/>
  <c r="L90" i="14" s="1"/>
  <c r="K156" i="14" l="1"/>
  <c r="AZ8" i="1"/>
  <c r="AZ7" i="1" s="1"/>
  <c r="AJ42" i="1"/>
  <c r="S32" i="14"/>
  <c r="R38" i="14"/>
  <c r="R62" i="14"/>
  <c r="Q75" i="14"/>
  <c r="Q71" i="14" s="1"/>
  <c r="Q59" i="14"/>
  <c r="T61" i="14"/>
  <c r="S73" i="14"/>
  <c r="S63" i="14"/>
  <c r="R77" i="14"/>
  <c r="J81" i="2"/>
  <c r="I24" i="11" s="1"/>
  <c r="E14" i="31" s="1"/>
  <c r="J72" i="2"/>
  <c r="J24" i="2" s="1"/>
  <c r="J27" i="2" s="1"/>
  <c r="J64" i="2"/>
  <c r="J9" i="2" s="1"/>
  <c r="J56" i="2" s="1"/>
  <c r="J59" i="2" s="1"/>
  <c r="J68" i="2"/>
  <c r="J66" i="2"/>
  <c r="J10" i="2" s="1"/>
  <c r="I14" i="11" s="1"/>
  <c r="AP18" i="1"/>
  <c r="K82" i="14"/>
  <c r="K80" i="14" s="1"/>
  <c r="K65" i="14"/>
  <c r="K66" i="14" s="1"/>
  <c r="O30" i="16"/>
  <c r="O36" i="16" s="1"/>
  <c r="P27" i="16"/>
  <c r="K34" i="16"/>
  <c r="K39" i="16"/>
  <c r="K42" i="16" s="1"/>
  <c r="K53" i="16"/>
  <c r="K69" i="16"/>
  <c r="K72" i="16" s="1"/>
  <c r="K64" i="16"/>
  <c r="K83" i="16"/>
  <c r="O60" i="16"/>
  <c r="O66" i="16"/>
  <c r="P57" i="16"/>
  <c r="Q57" i="16" s="1"/>
  <c r="AP15" i="1"/>
  <c r="K94" i="16"/>
  <c r="K99" i="16"/>
  <c r="K102" i="16" s="1"/>
  <c r="K113" i="16"/>
  <c r="K123" i="16"/>
  <c r="J133" i="16"/>
  <c r="P121" i="16"/>
  <c r="P120" i="16" s="1"/>
  <c r="P126" i="16" s="1"/>
  <c r="O120" i="16"/>
  <c r="O126" i="16" s="1"/>
  <c r="P75" i="14"/>
  <c r="P59" i="14"/>
  <c r="N134" i="14"/>
  <c r="O124" i="14"/>
  <c r="O71" i="14"/>
  <c r="O72" i="14" s="1"/>
  <c r="J102" i="28"/>
  <c r="J112" i="28"/>
  <c r="J114" i="28" s="1"/>
  <c r="J126" i="28" s="1"/>
  <c r="J128" i="28" s="1"/>
  <c r="J105" i="28"/>
  <c r="J96" i="28"/>
  <c r="J95" i="28" s="1"/>
  <c r="L155" i="14"/>
  <c r="K158" i="14"/>
  <c r="K151" i="14"/>
  <c r="K152" i="14" s="1"/>
  <c r="M35" i="14"/>
  <c r="L45" i="14"/>
  <c r="N144" i="14"/>
  <c r="M68" i="14"/>
  <c r="M108" i="14" s="1"/>
  <c r="L91" i="14"/>
  <c r="L93" i="14"/>
  <c r="M69" i="14"/>
  <c r="M109" i="14" s="1"/>
  <c r="L113" i="14"/>
  <c r="K40" i="28"/>
  <c r="K43" i="28" s="1"/>
  <c r="K35" i="28"/>
  <c r="K54" i="28"/>
  <c r="L73" i="28"/>
  <c r="L90" i="28"/>
  <c r="L78" i="28"/>
  <c r="L81" i="28" s="1"/>
  <c r="K145" i="16" l="1"/>
  <c r="K149" i="16" s="1"/>
  <c r="AZ12" i="1" s="1"/>
  <c r="N157" i="14"/>
  <c r="K48" i="2"/>
  <c r="AP21" i="1"/>
  <c r="AJ44" i="1"/>
  <c r="AJ45" i="1"/>
  <c r="Q60" i="16"/>
  <c r="R57" i="16"/>
  <c r="Q66" i="16"/>
  <c r="T73" i="14"/>
  <c r="S62" i="14"/>
  <c r="R75" i="14"/>
  <c r="R71" i="14" s="1"/>
  <c r="R59" i="14"/>
  <c r="P30" i="16"/>
  <c r="P36" i="16" s="1"/>
  <c r="Q27" i="16"/>
  <c r="T63" i="14"/>
  <c r="T77" i="14" s="1"/>
  <c r="S77" i="14"/>
  <c r="T32" i="14"/>
  <c r="T38" i="14" s="1"/>
  <c r="S38" i="14"/>
  <c r="Q72" i="14"/>
  <c r="J94" i="2"/>
  <c r="I15" i="11"/>
  <c r="I18" i="11"/>
  <c r="K47" i="2"/>
  <c r="K68" i="2" s="1"/>
  <c r="K88" i="14"/>
  <c r="K89" i="14" s="1"/>
  <c r="L33" i="16"/>
  <c r="K43" i="16"/>
  <c r="P66" i="16"/>
  <c r="P60" i="16"/>
  <c r="L63" i="16"/>
  <c r="K73" i="16"/>
  <c r="K124" i="16"/>
  <c r="K143" i="16"/>
  <c r="K129" i="16"/>
  <c r="K132" i="16" s="1"/>
  <c r="K103" i="16"/>
  <c r="L93" i="16"/>
  <c r="O130" i="14"/>
  <c r="O133" i="14" s="1"/>
  <c r="O125" i="14"/>
  <c r="O142" i="14"/>
  <c r="P71" i="14"/>
  <c r="P72" i="14" s="1"/>
  <c r="J107" i="28"/>
  <c r="J108" i="28" s="1"/>
  <c r="K92" i="28"/>
  <c r="K101" i="28" s="1"/>
  <c r="K159" i="14"/>
  <c r="L100" i="28"/>
  <c r="L106" i="28" s="1"/>
  <c r="M72" i="28"/>
  <c r="L82" i="28"/>
  <c r="K99" i="28"/>
  <c r="M83" i="14"/>
  <c r="M90" i="14" s="1"/>
  <c r="L34" i="28"/>
  <c r="K44" i="28"/>
  <c r="L116" i="14"/>
  <c r="BE20" i="1" s="1"/>
  <c r="M84" i="14"/>
  <c r="M92" i="14" s="1"/>
  <c r="M55" i="14"/>
  <c r="M148" i="14" s="1"/>
  <c r="M36" i="14"/>
  <c r="M41" i="14"/>
  <c r="M44" i="14" s="1"/>
  <c r="AU11" i="1" l="1"/>
  <c r="R72" i="14"/>
  <c r="Q30" i="16"/>
  <c r="Q36" i="16" s="1"/>
  <c r="R27" i="16"/>
  <c r="S75" i="14"/>
  <c r="S71" i="14" s="1"/>
  <c r="S72" i="14" s="1"/>
  <c r="T62" i="14"/>
  <c r="S59" i="14"/>
  <c r="R60" i="16"/>
  <c r="R66" i="16"/>
  <c r="S57" i="16"/>
  <c r="AU18" i="1"/>
  <c r="K72" i="2"/>
  <c r="K24" i="2" s="1"/>
  <c r="K66" i="2"/>
  <c r="K10" i="2" s="1"/>
  <c r="K57" i="2" s="1"/>
  <c r="K60" i="2" s="1"/>
  <c r="K64" i="2"/>
  <c r="K9" i="2" s="1"/>
  <c r="K56" i="2" s="1"/>
  <c r="K59" i="2" s="1"/>
  <c r="K81" i="2"/>
  <c r="K95" i="2" s="1"/>
  <c r="K62" i="2"/>
  <c r="K8" i="2" s="1"/>
  <c r="J13" i="11" s="1"/>
  <c r="K86" i="14"/>
  <c r="K87" i="14" s="1"/>
  <c r="L67" i="14"/>
  <c r="L107" i="14" s="1"/>
  <c r="L111" i="14" s="1"/>
  <c r="L149" i="14" s="1"/>
  <c r="L34" i="16"/>
  <c r="L39" i="16"/>
  <c r="L42" i="16" s="1"/>
  <c r="L53" i="16"/>
  <c r="L64" i="16"/>
  <c r="L83" i="16"/>
  <c r="L69" i="16"/>
  <c r="L72" i="16" s="1"/>
  <c r="L99" i="16"/>
  <c r="L102" i="16" s="1"/>
  <c r="L94" i="16"/>
  <c r="L113" i="16"/>
  <c r="L123" i="16"/>
  <c r="K133" i="16"/>
  <c r="P124" i="14"/>
  <c r="P142" i="14" s="1"/>
  <c r="O134" i="14"/>
  <c r="O144" i="14"/>
  <c r="O150" i="14"/>
  <c r="K96" i="28"/>
  <c r="K95" i="28" s="1"/>
  <c r="K112" i="28"/>
  <c r="K114" i="28" s="1"/>
  <c r="K126" i="28" s="1"/>
  <c r="K128" i="28" s="1"/>
  <c r="K105" i="28"/>
  <c r="K102" i="28"/>
  <c r="L158" i="14"/>
  <c r="L151" i="14"/>
  <c r="M155" i="14"/>
  <c r="N68" i="14"/>
  <c r="N108" i="14" s="1"/>
  <c r="M91" i="14"/>
  <c r="M93" i="14"/>
  <c r="N69" i="14"/>
  <c r="N109" i="14" s="1"/>
  <c r="M113" i="14"/>
  <c r="M90" i="28"/>
  <c r="M73" i="28"/>
  <c r="M78" i="28"/>
  <c r="M81" i="28" s="1"/>
  <c r="M45" i="14"/>
  <c r="N35" i="14"/>
  <c r="L54" i="28"/>
  <c r="L40" i="28"/>
  <c r="L43" i="28" s="1"/>
  <c r="L35" i="28"/>
  <c r="L145" i="16" l="1"/>
  <c r="L149" i="16" s="1"/>
  <c r="BE12" i="1" s="1"/>
  <c r="O157" i="14"/>
  <c r="L156" i="14"/>
  <c r="L159" i="14" s="1"/>
  <c r="BE8" i="1"/>
  <c r="BE7" i="1" s="1"/>
  <c r="L48" i="2"/>
  <c r="AU21" i="1"/>
  <c r="S27" i="16"/>
  <c r="R30" i="16"/>
  <c r="R36" i="16" s="1"/>
  <c r="S66" i="16"/>
  <c r="S60" i="16"/>
  <c r="T57" i="16"/>
  <c r="T75" i="14"/>
  <c r="T71" i="14" s="1"/>
  <c r="T59" i="14"/>
  <c r="P150" i="14"/>
  <c r="P144" i="14"/>
  <c r="AU15" i="1"/>
  <c r="L47" i="2" s="1"/>
  <c r="L62" i="2" s="1"/>
  <c r="L8" i="2" s="1"/>
  <c r="K13" i="11" s="1"/>
  <c r="J14" i="11"/>
  <c r="J24" i="11"/>
  <c r="F14" i="31" s="1"/>
  <c r="K94" i="2"/>
  <c r="J15" i="11"/>
  <c r="K27" i="2"/>
  <c r="L152" i="14"/>
  <c r="L82" i="14"/>
  <c r="L80" i="14" s="1"/>
  <c r="L65" i="14"/>
  <c r="L66" i="14" s="1"/>
  <c r="M33" i="16"/>
  <c r="L43" i="16"/>
  <c r="L73" i="16"/>
  <c r="M63" i="16"/>
  <c r="L124" i="16"/>
  <c r="L143" i="16"/>
  <c r="L129" i="16"/>
  <c r="L132" i="16" s="1"/>
  <c r="M93" i="16"/>
  <c r="L103" i="16"/>
  <c r="K107" i="28"/>
  <c r="K108" i="28" s="1"/>
  <c r="P125" i="14"/>
  <c r="P130" i="14"/>
  <c r="P133" i="14" s="1"/>
  <c r="L92" i="28"/>
  <c r="L101" i="28" s="1"/>
  <c r="L44" i="28"/>
  <c r="M34" i="28"/>
  <c r="N72" i="28"/>
  <c r="M82" i="28"/>
  <c r="M100" i="28"/>
  <c r="M106" i="28" s="1"/>
  <c r="N84" i="14"/>
  <c r="N92" i="14" s="1"/>
  <c r="M116" i="14"/>
  <c r="BJ20" i="1" s="1"/>
  <c r="L99" i="28"/>
  <c r="N36" i="14"/>
  <c r="N41" i="14"/>
  <c r="N44" i="14" s="1"/>
  <c r="N55" i="14"/>
  <c r="N148" i="14" s="1"/>
  <c r="N83" i="14"/>
  <c r="N90" i="14" s="1"/>
  <c r="AZ11" i="1" l="1"/>
  <c r="P157" i="14"/>
  <c r="T72" i="14"/>
  <c r="T66" i="16"/>
  <c r="T60" i="16"/>
  <c r="S30" i="16"/>
  <c r="S36" i="16" s="1"/>
  <c r="T27" i="16"/>
  <c r="T30" i="16" s="1"/>
  <c r="T36" i="16" s="1"/>
  <c r="P134" i="14"/>
  <c r="Q124" i="14"/>
  <c r="L72" i="2"/>
  <c r="L24" i="2" s="1"/>
  <c r="L27" i="2" s="1"/>
  <c r="AZ18" i="1"/>
  <c r="J18" i="11"/>
  <c r="L68" i="2"/>
  <c r="L81" i="2"/>
  <c r="K24" i="11" s="1"/>
  <c r="G14" i="31" s="1"/>
  <c r="L66" i="2"/>
  <c r="L10" i="2" s="1"/>
  <c r="L57" i="2" s="1"/>
  <c r="L60" i="2" s="1"/>
  <c r="L64" i="2"/>
  <c r="L9" i="2" s="1"/>
  <c r="L56" i="2" s="1"/>
  <c r="L59" i="2" s="1"/>
  <c r="L88" i="14"/>
  <c r="L89" i="14" s="1"/>
  <c r="M39" i="16"/>
  <c r="M42" i="16" s="1"/>
  <c r="M34" i="16"/>
  <c r="M53" i="16"/>
  <c r="M64" i="16"/>
  <c r="M83" i="16"/>
  <c r="M69" i="16"/>
  <c r="M72" i="16" s="1"/>
  <c r="M123" i="16"/>
  <c r="L133" i="16"/>
  <c r="M99" i="16"/>
  <c r="M102" i="16" s="1"/>
  <c r="M113" i="16"/>
  <c r="M94" i="16"/>
  <c r="N93" i="14"/>
  <c r="O69" i="14"/>
  <c r="N45" i="14"/>
  <c r="O35" i="14"/>
  <c r="N91" i="14"/>
  <c r="O68" i="14"/>
  <c r="L96" i="28"/>
  <c r="L95" i="28" s="1"/>
  <c r="L107" i="28" s="1"/>
  <c r="L112" i="28"/>
  <c r="L114" i="28" s="1"/>
  <c r="L126" i="28" s="1"/>
  <c r="L128" i="28" s="1"/>
  <c r="L105" i="28"/>
  <c r="L102" i="28"/>
  <c r="M151" i="14"/>
  <c r="M158" i="14"/>
  <c r="N155" i="14"/>
  <c r="N113" i="14"/>
  <c r="N90" i="28"/>
  <c r="N78" i="28"/>
  <c r="N81" i="28" s="1"/>
  <c r="N73" i="28"/>
  <c r="M40" i="28"/>
  <c r="M43" i="28" s="1"/>
  <c r="M35" i="28"/>
  <c r="M54" i="28"/>
  <c r="M145" i="16" l="1"/>
  <c r="M149" i="16" s="1"/>
  <c r="BJ12" i="1" s="1"/>
  <c r="AZ15" i="1"/>
  <c r="M48" i="2"/>
  <c r="AZ21" i="1"/>
  <c r="Q130" i="14"/>
  <c r="Q133" i="14" s="1"/>
  <c r="Q142" i="14"/>
  <c r="Q125" i="14"/>
  <c r="K18" i="11"/>
  <c r="L96" i="2"/>
  <c r="L94" i="2"/>
  <c r="K15" i="11"/>
  <c r="L95" i="2"/>
  <c r="K14" i="11"/>
  <c r="L86" i="14"/>
  <c r="L87" i="14" s="1"/>
  <c r="M67" i="14"/>
  <c r="M107" i="14" s="1"/>
  <c r="M111" i="14" s="1"/>
  <c r="M149" i="14" s="1"/>
  <c r="N33" i="16"/>
  <c r="M43" i="16"/>
  <c r="N63" i="16"/>
  <c r="M73" i="16"/>
  <c r="M103" i="16"/>
  <c r="N93" i="16"/>
  <c r="M124" i="16"/>
  <c r="M143" i="16"/>
  <c r="M129" i="16"/>
  <c r="M132" i="16" s="1"/>
  <c r="N82" i="28"/>
  <c r="O72" i="28"/>
  <c r="O55" i="14"/>
  <c r="O36" i="14"/>
  <c r="O41" i="14"/>
  <c r="O44" i="14" s="1"/>
  <c r="O83" i="14"/>
  <c r="O90" i="14" s="1"/>
  <c r="O108" i="14"/>
  <c r="O84" i="14"/>
  <c r="O92" i="14" s="1"/>
  <c r="O109" i="14"/>
  <c r="L108" i="28"/>
  <c r="M92" i="28"/>
  <c r="M101" i="28" s="1"/>
  <c r="N34" i="28"/>
  <c r="M44" i="28"/>
  <c r="N116" i="14"/>
  <c r="BO20" i="1" s="1"/>
  <c r="N100" i="28"/>
  <c r="N106" i="28" s="1"/>
  <c r="M99" i="28"/>
  <c r="M47" i="2" l="1"/>
  <c r="M68" i="2" s="1"/>
  <c r="BE11" i="1"/>
  <c r="M156" i="14"/>
  <c r="M159" i="14" s="1"/>
  <c r="BJ8" i="1"/>
  <c r="BJ7" i="1" s="1"/>
  <c r="R124" i="14"/>
  <c r="Q134" i="14"/>
  <c r="Q150" i="14"/>
  <c r="Q144" i="14"/>
  <c r="BE18" i="1"/>
  <c r="M82" i="14"/>
  <c r="M80" i="14" s="1"/>
  <c r="M152" i="14"/>
  <c r="M65" i="14"/>
  <c r="M66" i="14" s="1"/>
  <c r="N53" i="16"/>
  <c r="N39" i="16"/>
  <c r="N42" i="16" s="1"/>
  <c r="N34" i="16"/>
  <c r="N83" i="16"/>
  <c r="N64" i="16"/>
  <c r="N69" i="16"/>
  <c r="N72" i="16" s="1"/>
  <c r="M133" i="16"/>
  <c r="N123" i="16"/>
  <c r="N99" i="16"/>
  <c r="N102" i="16" s="1"/>
  <c r="N113" i="16"/>
  <c r="N94" i="16"/>
  <c r="O78" i="28"/>
  <c r="O81" i="28" s="1"/>
  <c r="O73" i="28"/>
  <c r="O90" i="28"/>
  <c r="O100" i="28" s="1"/>
  <c r="P69" i="14"/>
  <c r="O93" i="14"/>
  <c r="P35" i="14"/>
  <c r="P55" i="14" s="1"/>
  <c r="O45" i="14"/>
  <c r="P68" i="14"/>
  <c r="O91" i="14"/>
  <c r="O113" i="14"/>
  <c r="O116" i="14" s="1"/>
  <c r="BT20" i="1" s="1"/>
  <c r="O148" i="14"/>
  <c r="M96" i="28"/>
  <c r="M95" i="28" s="1"/>
  <c r="M112" i="28"/>
  <c r="M114" i="28" s="1"/>
  <c r="M126" i="28" s="1"/>
  <c r="M128" i="28" s="1"/>
  <c r="M105" i="28"/>
  <c r="M102" i="28"/>
  <c r="N158" i="14"/>
  <c r="N151" i="14"/>
  <c r="N40" i="28"/>
  <c r="N43" i="28" s="1"/>
  <c r="N54" i="28"/>
  <c r="N35" i="28"/>
  <c r="N145" i="16" l="1"/>
  <c r="N149" i="16" s="1"/>
  <c r="BO12" i="1" s="1"/>
  <c r="M66" i="2"/>
  <c r="M10" i="2" s="1"/>
  <c r="M57" i="2" s="1"/>
  <c r="M60" i="2" s="1"/>
  <c r="M62" i="2"/>
  <c r="M8" i="2" s="1"/>
  <c r="L13" i="11" s="1"/>
  <c r="M64" i="2"/>
  <c r="M9" i="2" s="1"/>
  <c r="L15" i="11" s="1"/>
  <c r="M72" i="2"/>
  <c r="M24" i="2" s="1"/>
  <c r="M27" i="2" s="1"/>
  <c r="L18" i="11" s="1"/>
  <c r="M81" i="2"/>
  <c r="M97" i="2" s="1"/>
  <c r="Q157" i="14"/>
  <c r="N48" i="2"/>
  <c r="BE21" i="1"/>
  <c r="P113" i="14"/>
  <c r="P148" i="14"/>
  <c r="R130" i="14"/>
  <c r="R133" i="14" s="1"/>
  <c r="R125" i="14"/>
  <c r="R142" i="14"/>
  <c r="BE15" i="1"/>
  <c r="N47" i="2" s="1"/>
  <c r="N68" i="2" s="1"/>
  <c r="M88" i="14"/>
  <c r="M89" i="14" s="1"/>
  <c r="O33" i="16"/>
  <c r="N43" i="16"/>
  <c r="N73" i="16"/>
  <c r="O63" i="16"/>
  <c r="N103" i="16"/>
  <c r="O93" i="16"/>
  <c r="N129" i="16"/>
  <c r="N132" i="16" s="1"/>
  <c r="N143" i="16"/>
  <c r="N124" i="16"/>
  <c r="P72" i="28"/>
  <c r="O82" i="28"/>
  <c r="N44" i="28"/>
  <c r="O34" i="28"/>
  <c r="O106" i="28"/>
  <c r="O158" i="14"/>
  <c r="O151" i="14"/>
  <c r="P41" i="14"/>
  <c r="P44" i="14" s="1"/>
  <c r="P36" i="14"/>
  <c r="P83" i="14"/>
  <c r="P90" i="14" s="1"/>
  <c r="P108" i="14"/>
  <c r="O155" i="14"/>
  <c r="P84" i="14"/>
  <c r="P109" i="14"/>
  <c r="M107" i="28"/>
  <c r="M108" i="28" s="1"/>
  <c r="N92" i="28"/>
  <c r="N101" i="28" s="1"/>
  <c r="N99" i="28"/>
  <c r="L14" i="11" l="1"/>
  <c r="M96" i="2"/>
  <c r="L24" i="11"/>
  <c r="H14" i="31" s="1"/>
  <c r="M95" i="2"/>
  <c r="M94" i="2"/>
  <c r="M56" i="2"/>
  <c r="M59" i="2" s="1"/>
  <c r="BJ11" i="1"/>
  <c r="R134" i="14"/>
  <c r="S124" i="14"/>
  <c r="P155" i="14"/>
  <c r="P45" i="14"/>
  <c r="Q35" i="14"/>
  <c r="P91" i="14"/>
  <c r="Q68" i="14"/>
  <c r="R150" i="14"/>
  <c r="R144" i="14"/>
  <c r="P116" i="14"/>
  <c r="BY20" i="1" s="1"/>
  <c r="N62" i="2"/>
  <c r="N8" i="2" s="1"/>
  <c r="M13" i="11" s="1"/>
  <c r="N66" i="2"/>
  <c r="N10" i="2" s="1"/>
  <c r="N57" i="2" s="1"/>
  <c r="N60" i="2" s="1"/>
  <c r="BJ18" i="1"/>
  <c r="N81" i="2"/>
  <c r="N72" i="2"/>
  <c r="N24" i="2" s="1"/>
  <c r="N27" i="2" s="1"/>
  <c r="M18" i="11" s="1"/>
  <c r="N64" i="2"/>
  <c r="N9" i="2" s="1"/>
  <c r="M15" i="11" s="1"/>
  <c r="M86" i="14"/>
  <c r="M87" i="14" s="1"/>
  <c r="N67" i="14"/>
  <c r="N107" i="14" s="1"/>
  <c r="N111" i="14" s="1"/>
  <c r="N149" i="14" s="1"/>
  <c r="O34" i="16"/>
  <c r="O39" i="16"/>
  <c r="O42" i="16" s="1"/>
  <c r="O53" i="16"/>
  <c r="O64" i="16"/>
  <c r="O69" i="16"/>
  <c r="O72" i="16" s="1"/>
  <c r="O83" i="16"/>
  <c r="O99" i="16"/>
  <c r="O102" i="16" s="1"/>
  <c r="O94" i="16"/>
  <c r="O113" i="16"/>
  <c r="N133" i="16"/>
  <c r="O123" i="16"/>
  <c r="P90" i="28"/>
  <c r="P100" i="28" s="1"/>
  <c r="P106" i="28" s="1"/>
  <c r="P78" i="28"/>
  <c r="P81" i="28" s="1"/>
  <c r="P82" i="28" s="1"/>
  <c r="P73" i="28"/>
  <c r="O40" i="28"/>
  <c r="O43" i="28" s="1"/>
  <c r="O35" i="28"/>
  <c r="O54" i="28"/>
  <c r="P92" i="14"/>
  <c r="N96" i="28"/>
  <c r="N95" i="28" s="1"/>
  <c r="N105" i="28"/>
  <c r="N112" i="28"/>
  <c r="N114" i="28" s="1"/>
  <c r="N126" i="28" s="1"/>
  <c r="N128" i="28" s="1"/>
  <c r="N102" i="28"/>
  <c r="O145" i="16" l="1"/>
  <c r="O149" i="16" s="1"/>
  <c r="BT12" i="1" s="1"/>
  <c r="BJ15" i="1"/>
  <c r="O47" i="2" s="1"/>
  <c r="O81" i="2" s="1"/>
  <c r="R157" i="14"/>
  <c r="BO8" i="1"/>
  <c r="BO7" i="1" s="1"/>
  <c r="O48" i="2"/>
  <c r="BJ21" i="1"/>
  <c r="P151" i="14"/>
  <c r="P158" i="14"/>
  <c r="N95" i="2"/>
  <c r="N97" i="2"/>
  <c r="Q41" i="14"/>
  <c r="Q44" i="14" s="1"/>
  <c r="Q55" i="14"/>
  <c r="Q36" i="14"/>
  <c r="S125" i="14"/>
  <c r="S142" i="14"/>
  <c r="S130" i="14"/>
  <c r="S133" i="14" s="1"/>
  <c r="Q83" i="14"/>
  <c r="Q90" i="14" s="1"/>
  <c r="Q108" i="14"/>
  <c r="P93" i="14"/>
  <c r="Q69" i="14"/>
  <c r="M24" i="11"/>
  <c r="I14" i="31" s="1"/>
  <c r="M14" i="11"/>
  <c r="N94" i="2"/>
  <c r="N56" i="2"/>
  <c r="N59" i="2" s="1"/>
  <c r="N96" i="2"/>
  <c r="N98" i="2"/>
  <c r="N156" i="14"/>
  <c r="N159" i="14" s="1"/>
  <c r="N82" i="14"/>
  <c r="N80" i="14" s="1"/>
  <c r="N152" i="14"/>
  <c r="N65" i="14"/>
  <c r="N66" i="14" s="1"/>
  <c r="P33" i="16"/>
  <c r="P53" i="16" s="1"/>
  <c r="O43" i="16"/>
  <c r="O73" i="16"/>
  <c r="P63" i="16"/>
  <c r="P83" i="16" s="1"/>
  <c r="O124" i="16"/>
  <c r="O129" i="16"/>
  <c r="O132" i="16" s="1"/>
  <c r="O143" i="16"/>
  <c r="P93" i="16"/>
  <c r="O103" i="16"/>
  <c r="N107" i="28"/>
  <c r="N108" i="28" s="1"/>
  <c r="P34" i="28"/>
  <c r="O44" i="28"/>
  <c r="O92" i="28"/>
  <c r="O99" i="28"/>
  <c r="P145" i="16" l="1"/>
  <c r="P149" i="16" s="1"/>
  <c r="BY12" i="1" s="1"/>
  <c r="BO11" i="1"/>
  <c r="O97" i="2"/>
  <c r="O98" i="2"/>
  <c r="S134" i="14"/>
  <c r="T124" i="14"/>
  <c r="S150" i="14"/>
  <c r="S144" i="14"/>
  <c r="Q113" i="14"/>
  <c r="Q116" i="14" s="1"/>
  <c r="CD20" i="1" s="1"/>
  <c r="Q148" i="14"/>
  <c r="Q84" i="14"/>
  <c r="Q92" i="14" s="1"/>
  <c r="Q109" i="14"/>
  <c r="Q91" i="14"/>
  <c r="R68" i="14"/>
  <c r="Q45" i="14"/>
  <c r="R35" i="14"/>
  <c r="M29" i="11"/>
  <c r="N53" i="2"/>
  <c r="O66" i="2"/>
  <c r="O10" i="2" s="1"/>
  <c r="N14" i="11" s="1"/>
  <c r="O95" i="2"/>
  <c r="O64" i="2"/>
  <c r="O9" i="2" s="1"/>
  <c r="O56" i="2" s="1"/>
  <c r="O59" i="2" s="1"/>
  <c r="BO18" i="1"/>
  <c r="O72" i="2"/>
  <c r="O24" i="2" s="1"/>
  <c r="O27" i="2" s="1"/>
  <c r="N18" i="11" s="1"/>
  <c r="O96" i="2"/>
  <c r="O68" i="2"/>
  <c r="O99" i="2"/>
  <c r="O62" i="2"/>
  <c r="O8" i="2" s="1"/>
  <c r="N13" i="11" s="1"/>
  <c r="N24" i="11"/>
  <c r="J14" i="31" s="1"/>
  <c r="O94" i="2"/>
  <c r="N88" i="14"/>
  <c r="O67" i="14" s="1"/>
  <c r="O65" i="14" s="1"/>
  <c r="O66" i="14" s="1"/>
  <c r="P39" i="16"/>
  <c r="P42" i="16" s="1"/>
  <c r="P34" i="16"/>
  <c r="P69" i="16"/>
  <c r="P72" i="16" s="1"/>
  <c r="P64" i="16"/>
  <c r="O133" i="16"/>
  <c r="P123" i="16"/>
  <c r="P99" i="16"/>
  <c r="P102" i="16" s="1"/>
  <c r="P103" i="16" s="1"/>
  <c r="P113" i="16"/>
  <c r="P94" i="16"/>
  <c r="O105" i="28"/>
  <c r="O112" i="28"/>
  <c r="O114" i="28" s="1"/>
  <c r="O126" i="28" s="1"/>
  <c r="O128" i="28" s="1"/>
  <c r="O101" i="28"/>
  <c r="O102" i="28" s="1"/>
  <c r="O96" i="28"/>
  <c r="O95" i="28" s="1"/>
  <c r="P54" i="28"/>
  <c r="P35" i="28"/>
  <c r="P40" i="28"/>
  <c r="P43" i="28" s="1"/>
  <c r="P44" i="28" s="1"/>
  <c r="S157" i="14" l="1"/>
  <c r="P48" i="2"/>
  <c r="BO21" i="1"/>
  <c r="R108" i="14"/>
  <c r="R83" i="14"/>
  <c r="R90" i="14" s="1"/>
  <c r="R55" i="14"/>
  <c r="R41" i="14"/>
  <c r="R44" i="14" s="1"/>
  <c r="R36" i="14"/>
  <c r="Q155" i="14"/>
  <c r="T142" i="14"/>
  <c r="T130" i="14"/>
  <c r="T133" i="14" s="1"/>
  <c r="T134" i="14" s="1"/>
  <c r="T125" i="14"/>
  <c r="R69" i="14"/>
  <c r="Q93" i="14"/>
  <c r="Q158" i="14"/>
  <c r="Q151" i="14"/>
  <c r="P73" i="16"/>
  <c r="Q63" i="16"/>
  <c r="P43" i="16"/>
  <c r="Q33" i="16"/>
  <c r="N29" i="11"/>
  <c r="BO15" i="1"/>
  <c r="O57" i="2"/>
  <c r="O60" i="2" s="1"/>
  <c r="N15" i="11"/>
  <c r="O53" i="2"/>
  <c r="O82" i="14"/>
  <c r="O80" i="14" s="1"/>
  <c r="O107" i="14"/>
  <c r="O111" i="14" s="1"/>
  <c r="O149" i="14" s="1"/>
  <c r="N86" i="14"/>
  <c r="N87" i="14" s="1"/>
  <c r="N89" i="14"/>
  <c r="P129" i="16"/>
  <c r="P132" i="16" s="1"/>
  <c r="P133" i="16" s="1"/>
  <c r="P124" i="16"/>
  <c r="P143" i="16"/>
  <c r="O107" i="28"/>
  <c r="O108" i="28" s="1"/>
  <c r="P92" i="28"/>
  <c r="P99" i="28"/>
  <c r="BT11" i="1" l="1"/>
  <c r="BT8" i="1"/>
  <c r="BT7" i="1" s="1"/>
  <c r="R84" i="14"/>
  <c r="R92" i="14" s="1"/>
  <c r="R109" i="14"/>
  <c r="T150" i="14"/>
  <c r="T144" i="14"/>
  <c r="S35" i="14"/>
  <c r="R45" i="14"/>
  <c r="R113" i="14"/>
  <c r="R116" i="14" s="1"/>
  <c r="CI20" i="1" s="1"/>
  <c r="R148" i="14"/>
  <c r="R91" i="14"/>
  <c r="S68" i="14"/>
  <c r="Q69" i="16"/>
  <c r="Q72" i="16" s="1"/>
  <c r="Q64" i="16"/>
  <c r="Q83" i="16"/>
  <c r="Q34" i="16"/>
  <c r="Q39" i="16"/>
  <c r="Q42" i="16" s="1"/>
  <c r="Q53" i="16"/>
  <c r="P47" i="2"/>
  <c r="P64" i="2" s="1"/>
  <c r="P9" i="2" s="1"/>
  <c r="O15" i="11" s="1"/>
  <c r="O88" i="14"/>
  <c r="P67" i="14" s="1"/>
  <c r="P82" i="14" s="1"/>
  <c r="P80" i="14" s="1"/>
  <c r="O152" i="14"/>
  <c r="O156" i="14"/>
  <c r="O159" i="14" s="1"/>
  <c r="P105" i="28"/>
  <c r="P112" i="28"/>
  <c r="P114" i="28" s="1"/>
  <c r="P126" i="28" s="1"/>
  <c r="P128" i="28" s="1"/>
  <c r="P96" i="28"/>
  <c r="P95" i="28" s="1"/>
  <c r="P107" i="28" s="1"/>
  <c r="P101" i="28"/>
  <c r="P102" i="28" s="1"/>
  <c r="Q145" i="16" l="1"/>
  <c r="Q149" i="16" s="1"/>
  <c r="CD12" i="1" s="1"/>
  <c r="T157" i="14"/>
  <c r="R151" i="14"/>
  <c r="R158" i="14"/>
  <c r="S83" i="14"/>
  <c r="S90" i="14" s="1"/>
  <c r="S108" i="14"/>
  <c r="R155" i="14"/>
  <c r="S55" i="14"/>
  <c r="S36" i="14"/>
  <c r="S41" i="14"/>
  <c r="S44" i="14" s="1"/>
  <c r="S69" i="14"/>
  <c r="R93" i="14"/>
  <c r="Q43" i="16"/>
  <c r="R33" i="16"/>
  <c r="Q73" i="16"/>
  <c r="R63" i="16"/>
  <c r="P62" i="2"/>
  <c r="P8" i="2" s="1"/>
  <c r="O13" i="11" s="1"/>
  <c r="P56" i="2"/>
  <c r="P59" i="2" s="1"/>
  <c r="P81" i="2"/>
  <c r="P72" i="2"/>
  <c r="P24" i="2" s="1"/>
  <c r="P68" i="2"/>
  <c r="P66" i="2"/>
  <c r="P10" i="2" s="1"/>
  <c r="P57" i="2" s="1"/>
  <c r="P60" i="2" s="1"/>
  <c r="BT18" i="1"/>
  <c r="BT21" i="1" s="1"/>
  <c r="P65" i="14"/>
  <c r="P66" i="14" s="1"/>
  <c r="P88" i="14"/>
  <c r="O86" i="14"/>
  <c r="O87" i="14" s="1"/>
  <c r="O89" i="14"/>
  <c r="P107" i="14"/>
  <c r="P111" i="14" s="1"/>
  <c r="P149" i="14" s="1"/>
  <c r="BY8" i="1" s="1"/>
  <c r="BY7" i="1" s="1"/>
  <c r="BT15" i="1"/>
  <c r="Q47" i="2" s="1"/>
  <c r="P108" i="28"/>
  <c r="I49" i="2"/>
  <c r="H49" i="2"/>
  <c r="AP88" i="1"/>
  <c r="AP89" i="1"/>
  <c r="D6" i="31"/>
  <c r="CD11" i="1" l="1"/>
  <c r="H71" i="2"/>
  <c r="H77" i="2"/>
  <c r="H75" i="2"/>
  <c r="S84" i="14"/>
  <c r="S92" i="14" s="1"/>
  <c r="S109" i="14"/>
  <c r="S45" i="14"/>
  <c r="T35" i="14"/>
  <c r="T68" i="14"/>
  <c r="S91" i="14"/>
  <c r="Q64" i="2"/>
  <c r="Q9" i="2" s="1"/>
  <c r="Q66" i="2"/>
  <c r="Q62" i="2"/>
  <c r="Q81" i="2"/>
  <c r="Q101" i="2" s="1"/>
  <c r="Q72" i="2"/>
  <c r="Q68" i="2"/>
  <c r="P156" i="14"/>
  <c r="P159" i="14" s="1"/>
  <c r="P152" i="14"/>
  <c r="Q48" i="2"/>
  <c r="P86" i="14"/>
  <c r="P87" i="14" s="1"/>
  <c r="Q67" i="14"/>
  <c r="S148" i="14"/>
  <c r="S113" i="14"/>
  <c r="S116" i="14" s="1"/>
  <c r="CN20" i="1" s="1"/>
  <c r="P95" i="2"/>
  <c r="P99" i="2"/>
  <c r="P96" i="2"/>
  <c r="P94" i="2"/>
  <c r="P100" i="2"/>
  <c r="P97" i="2"/>
  <c r="P98" i="2"/>
  <c r="R64" i="16"/>
  <c r="R83" i="16"/>
  <c r="R69" i="16"/>
  <c r="R72" i="16" s="1"/>
  <c r="R53" i="16"/>
  <c r="R39" i="16"/>
  <c r="R42" i="16" s="1"/>
  <c r="R34" i="16"/>
  <c r="P27" i="2"/>
  <c r="O18" i="11" s="1"/>
  <c r="O14" i="11"/>
  <c r="O24" i="11"/>
  <c r="P53" i="2" s="1"/>
  <c r="P89" i="14"/>
  <c r="D11" i="31"/>
  <c r="I58" i="2"/>
  <c r="I61" i="2" s="1"/>
  <c r="AP87" i="1"/>
  <c r="AU89" i="1"/>
  <c r="AP30" i="1"/>
  <c r="AU88" i="1"/>
  <c r="AP29" i="1"/>
  <c r="R145" i="16" l="1"/>
  <c r="R149" i="16" s="1"/>
  <c r="CI12" i="1" s="1"/>
  <c r="Q65" i="14"/>
  <c r="Q66" i="14" s="1"/>
  <c r="Q82" i="14"/>
  <c r="Q80" i="14" s="1"/>
  <c r="Q107" i="14"/>
  <c r="Q111" i="14" s="1"/>
  <c r="Q149" i="14" s="1"/>
  <c r="CD8" i="1" s="1"/>
  <c r="CD7" i="1" s="1"/>
  <c r="T41" i="14"/>
  <c r="T44" i="14" s="1"/>
  <c r="T45" i="14" s="1"/>
  <c r="T55" i="14"/>
  <c r="T113" i="14" s="1"/>
  <c r="T36" i="14"/>
  <c r="Q56" i="2"/>
  <c r="Q59" i="2" s="1"/>
  <c r="S151" i="14"/>
  <c r="S158" i="14"/>
  <c r="S155" i="14"/>
  <c r="T83" i="14"/>
  <c r="T90" i="14" s="1"/>
  <c r="T91" i="14" s="1"/>
  <c r="T108" i="14"/>
  <c r="S93" i="14"/>
  <c r="T69" i="14"/>
  <c r="Q98" i="2"/>
  <c r="Q94" i="2"/>
  <c r="Q95" i="2"/>
  <c r="Q97" i="2"/>
  <c r="Q96" i="2"/>
  <c r="Q100" i="2"/>
  <c r="Q99" i="2"/>
  <c r="S33" i="16"/>
  <c r="R43" i="16"/>
  <c r="R73" i="16"/>
  <c r="S63" i="16"/>
  <c r="K14" i="31"/>
  <c r="O29" i="11"/>
  <c r="Q8" i="2"/>
  <c r="P15" i="11"/>
  <c r="Q10" i="2"/>
  <c r="Q24" i="2"/>
  <c r="I25" i="2"/>
  <c r="I30" i="2" s="1"/>
  <c r="H58" i="2"/>
  <c r="H61" i="2" s="1"/>
  <c r="H25" i="2"/>
  <c r="H30" i="2" s="1"/>
  <c r="AU87" i="1"/>
  <c r="AP28" i="1"/>
  <c r="AP31" i="1" s="1"/>
  <c r="AP34" i="1" s="1"/>
  <c r="AZ89" i="1"/>
  <c r="AU30" i="1"/>
  <c r="AZ88" i="1"/>
  <c r="AU29" i="1"/>
  <c r="K53" i="2"/>
  <c r="J53" i="2"/>
  <c r="CI11" i="1" l="1"/>
  <c r="Q88" i="14"/>
  <c r="R67" i="14" s="1"/>
  <c r="Q156" i="14"/>
  <c r="Q159" i="14" s="1"/>
  <c r="Q152" i="14"/>
  <c r="P13" i="11"/>
  <c r="T116" i="14"/>
  <c r="CS20" i="1" s="1"/>
  <c r="T148" i="14"/>
  <c r="T84" i="14"/>
  <c r="T92" i="14" s="1"/>
  <c r="T93" i="14" s="1"/>
  <c r="T109" i="14"/>
  <c r="Q27" i="2"/>
  <c r="P18" i="11" s="1"/>
  <c r="P14" i="11"/>
  <c r="Q57" i="2"/>
  <c r="Q60" i="2" s="1"/>
  <c r="S69" i="16"/>
  <c r="S72" i="16" s="1"/>
  <c r="S83" i="16"/>
  <c r="S64" i="16"/>
  <c r="S53" i="16"/>
  <c r="S39" i="16"/>
  <c r="S42" i="16" s="1"/>
  <c r="S34" i="16"/>
  <c r="P24" i="11"/>
  <c r="P29" i="11" s="1"/>
  <c r="K49" i="2"/>
  <c r="K76" i="2" s="1"/>
  <c r="K29" i="2" s="1"/>
  <c r="F6" i="31"/>
  <c r="AZ29" i="1"/>
  <c r="BE88" i="1"/>
  <c r="AZ30" i="1"/>
  <c r="BE89" i="1"/>
  <c r="I29" i="11"/>
  <c r="L53" i="2"/>
  <c r="J29" i="11"/>
  <c r="AZ87" i="1"/>
  <c r="AU28" i="1"/>
  <c r="AU31" i="1" s="1"/>
  <c r="S145" i="16" l="1"/>
  <c r="S149" i="16" s="1"/>
  <c r="CN12" i="1" s="1"/>
  <c r="AU34" i="1"/>
  <c r="G6" i="31" s="1"/>
  <c r="Q89" i="14"/>
  <c r="Q86" i="14"/>
  <c r="Q87" i="14" s="1"/>
  <c r="T158" i="14"/>
  <c r="T151" i="14"/>
  <c r="T155" i="14"/>
  <c r="R65" i="14"/>
  <c r="R66" i="14" s="1"/>
  <c r="R82" i="14"/>
  <c r="R80" i="14" s="1"/>
  <c r="R107" i="14"/>
  <c r="R111" i="14" s="1"/>
  <c r="R149" i="14" s="1"/>
  <c r="CI8" i="1" s="1"/>
  <c r="CI7" i="1" s="1"/>
  <c r="CD18" i="1"/>
  <c r="CD21" i="1" s="1"/>
  <c r="CD15" i="1"/>
  <c r="S47" i="2" s="1"/>
  <c r="Q53" i="2"/>
  <c r="S43" i="16"/>
  <c r="T33" i="16"/>
  <c r="S73" i="16"/>
  <c r="T63" i="16"/>
  <c r="K70" i="2"/>
  <c r="K21" i="2" s="1"/>
  <c r="L14" i="31"/>
  <c r="M14" i="31" s="1"/>
  <c r="N14" i="31" s="1"/>
  <c r="O14" i="31" s="1"/>
  <c r="P14" i="31" s="1"/>
  <c r="Q14" i="31" s="1"/>
  <c r="R14" i="31" s="1"/>
  <c r="S14" i="31" s="1"/>
  <c r="T14" i="31" s="1"/>
  <c r="K74" i="2"/>
  <c r="K22" i="2" s="1"/>
  <c r="L49" i="2"/>
  <c r="L76" i="2" s="1"/>
  <c r="L29" i="2" s="1"/>
  <c r="K19" i="11" s="1"/>
  <c r="BE29" i="1"/>
  <c r="BJ88" i="1"/>
  <c r="BE30" i="1"/>
  <c r="BJ89" i="1"/>
  <c r="AZ28" i="1"/>
  <c r="AZ31" i="1" s="1"/>
  <c r="BE87" i="1"/>
  <c r="G7" i="31"/>
  <c r="K29" i="11"/>
  <c r="M53" i="2"/>
  <c r="M49" i="2" l="1"/>
  <c r="M74" i="2" s="1"/>
  <c r="M22" i="2" s="1"/>
  <c r="AZ34" i="1"/>
  <c r="H6" i="31" s="1"/>
  <c r="H7" i="31" s="1"/>
  <c r="CN11" i="1"/>
  <c r="S81" i="2"/>
  <c r="S62" i="2"/>
  <c r="S8" i="2" s="1"/>
  <c r="S66" i="2"/>
  <c r="S10" i="2" s="1"/>
  <c r="S64" i="2"/>
  <c r="S9" i="2" s="1"/>
  <c r="S68" i="2"/>
  <c r="S72" i="2"/>
  <c r="S48" i="2"/>
  <c r="R88" i="14"/>
  <c r="R156" i="14"/>
  <c r="R159" i="14" s="1"/>
  <c r="R152" i="14"/>
  <c r="BY11" i="1"/>
  <c r="T83" i="16"/>
  <c r="T64" i="16"/>
  <c r="T69" i="16"/>
  <c r="T72" i="16" s="1"/>
  <c r="T73" i="16" s="1"/>
  <c r="T53" i="16"/>
  <c r="T39" i="16"/>
  <c r="T42" i="16" s="1"/>
  <c r="T43" i="16" s="1"/>
  <c r="T34" i="16"/>
  <c r="K58" i="2"/>
  <c r="K61" i="2" s="1"/>
  <c r="K25" i="2"/>
  <c r="K30" i="2" s="1"/>
  <c r="L74" i="2"/>
  <c r="L22" i="2" s="1"/>
  <c r="K17" i="11" s="1"/>
  <c r="L70" i="2"/>
  <c r="L21" i="2" s="1"/>
  <c r="K16" i="11" s="1"/>
  <c r="BJ29" i="1"/>
  <c r="BO88" i="1"/>
  <c r="BJ30" i="1"/>
  <c r="BO89" i="1"/>
  <c r="BE28" i="1"/>
  <c r="BE31" i="1" s="1"/>
  <c r="BE34" i="1" s="1"/>
  <c r="BJ87" i="1"/>
  <c r="L29" i="11"/>
  <c r="T145" i="16" l="1"/>
  <c r="T149" i="16" s="1"/>
  <c r="CS12" i="1" s="1"/>
  <c r="M76" i="2"/>
  <c r="M29" i="2" s="1"/>
  <c r="L19" i="11" s="1"/>
  <c r="M70" i="2"/>
  <c r="M21" i="2" s="1"/>
  <c r="L16" i="11" s="1"/>
  <c r="CI18" i="1"/>
  <c r="CI21" i="1" s="1"/>
  <c r="CI15" i="1"/>
  <c r="T47" i="2" s="1"/>
  <c r="S56" i="2"/>
  <c r="S59" i="2" s="1"/>
  <c r="S57" i="2"/>
  <c r="S60" i="2" s="1"/>
  <c r="R89" i="14"/>
  <c r="S67" i="14"/>
  <c r="R86" i="14"/>
  <c r="R87" i="14" s="1"/>
  <c r="R24" i="11"/>
  <c r="S103" i="2"/>
  <c r="L17" i="11"/>
  <c r="L25" i="2"/>
  <c r="L30" i="2" s="1"/>
  <c r="L58" i="2"/>
  <c r="L61" i="2" s="1"/>
  <c r="N49" i="2"/>
  <c r="I6" i="31"/>
  <c r="BJ28" i="1"/>
  <c r="BJ31" i="1" s="1"/>
  <c r="BO87" i="1"/>
  <c r="BT89" i="1"/>
  <c r="BO30" i="1"/>
  <c r="BT88" i="1"/>
  <c r="BO29" i="1"/>
  <c r="M58" i="2" l="1"/>
  <c r="M61" i="2" s="1"/>
  <c r="M25" i="2"/>
  <c r="M30" i="2" s="1"/>
  <c r="O49" i="2"/>
  <c r="O70" i="2" s="1"/>
  <c r="O21" i="2" s="1"/>
  <c r="BJ34" i="1"/>
  <c r="J6" i="31" s="1"/>
  <c r="CS11" i="1"/>
  <c r="S82" i="14"/>
  <c r="S80" i="14" s="1"/>
  <c r="S65" i="14"/>
  <c r="S66" i="14" s="1"/>
  <c r="S107" i="14"/>
  <c r="S111" i="14" s="1"/>
  <c r="S149" i="14" s="1"/>
  <c r="CN8" i="1" s="1"/>
  <c r="CN7" i="1" s="1"/>
  <c r="T81" i="2"/>
  <c r="T103" i="2" s="1"/>
  <c r="T66" i="2"/>
  <c r="T10" i="2" s="1"/>
  <c r="T62" i="2"/>
  <c r="T8" i="2" s="1"/>
  <c r="T64" i="2"/>
  <c r="T9" i="2" s="1"/>
  <c r="T68" i="2"/>
  <c r="T72" i="2"/>
  <c r="S53" i="2"/>
  <c r="R29" i="11"/>
  <c r="T48" i="2"/>
  <c r="BT29" i="1"/>
  <c r="BY88" i="1"/>
  <c r="BT30" i="1"/>
  <c r="BY89" i="1"/>
  <c r="N74" i="2"/>
  <c r="N22" i="2" s="1"/>
  <c r="M17" i="11" s="1"/>
  <c r="N76" i="2"/>
  <c r="N29" i="2" s="1"/>
  <c r="M19" i="11" s="1"/>
  <c r="N70" i="2"/>
  <c r="N21" i="2" s="1"/>
  <c r="BT87" i="1"/>
  <c r="BO28" i="1"/>
  <c r="BO31" i="1" s="1"/>
  <c r="N16" i="11" l="1"/>
  <c r="O76" i="2"/>
  <c r="O29" i="2" s="1"/>
  <c r="N19" i="11" s="1"/>
  <c r="O74" i="2"/>
  <c r="O22" i="2" s="1"/>
  <c r="O58" i="2" s="1"/>
  <c r="O61" i="2" s="1"/>
  <c r="P49" i="2"/>
  <c r="P70" i="2" s="1"/>
  <c r="P21" i="2" s="1"/>
  <c r="BO34" i="1"/>
  <c r="S88" i="14"/>
  <c r="S89" i="14" s="1"/>
  <c r="S13" i="11"/>
  <c r="S156" i="14"/>
  <c r="S159" i="14" s="1"/>
  <c r="S152" i="14"/>
  <c r="T57" i="2"/>
  <c r="T60" i="2" s="1"/>
  <c r="S14" i="11"/>
  <c r="T56" i="2"/>
  <c r="T59" i="2" s="1"/>
  <c r="S15" i="11"/>
  <c r="S24" i="11"/>
  <c r="T104" i="2"/>
  <c r="BY18" i="1"/>
  <c r="BY21" i="1" s="1"/>
  <c r="BY15" i="1"/>
  <c r="R47" i="2" s="1"/>
  <c r="BY30" i="1"/>
  <c r="CD89" i="1"/>
  <c r="BT28" i="1"/>
  <c r="BT31" i="1" s="1"/>
  <c r="BT34" i="1" s="1"/>
  <c r="BY87" i="1"/>
  <c r="BY29" i="1"/>
  <c r="BY31" i="1" s="1"/>
  <c r="CD88" i="1"/>
  <c r="N58" i="2"/>
  <c r="N61" i="2" s="1"/>
  <c r="M16" i="11"/>
  <c r="N25" i="2"/>
  <c r="N30" i="2" s="1"/>
  <c r="N17" i="11" l="1"/>
  <c r="P76" i="2"/>
  <c r="P29" i="2" s="1"/>
  <c r="O19" i="11" s="1"/>
  <c r="P74" i="2"/>
  <c r="P22" i="2" s="1"/>
  <c r="O17" i="11" s="1"/>
  <c r="O25" i="2"/>
  <c r="O30" i="2" s="1"/>
  <c r="BY34" i="1"/>
  <c r="M6" i="31" s="1"/>
  <c r="S86" i="14"/>
  <c r="S87" i="14" s="1"/>
  <c r="T67" i="14"/>
  <c r="T65" i="14" s="1"/>
  <c r="T66" i="14" s="1"/>
  <c r="R81" i="2"/>
  <c r="R62" i="2"/>
  <c r="R8" i="2" s="1"/>
  <c r="R68" i="2"/>
  <c r="R66" i="2"/>
  <c r="R10" i="2" s="1"/>
  <c r="R64" i="2"/>
  <c r="R9" i="2" s="1"/>
  <c r="R72" i="2"/>
  <c r="L6" i="31"/>
  <c r="Q49" i="2"/>
  <c r="R49" i="2"/>
  <c r="R48" i="2"/>
  <c r="CN18" i="1"/>
  <c r="CN21" i="1" s="1"/>
  <c r="CN15" i="1"/>
  <c r="U47" i="2" s="1"/>
  <c r="S29" i="11"/>
  <c r="T53" i="2"/>
  <c r="BY28" i="1"/>
  <c r="CD87" i="1"/>
  <c r="CD29" i="1"/>
  <c r="CD31" i="1" s="1"/>
  <c r="CI88" i="1"/>
  <c r="CI89" i="1"/>
  <c r="CD30" i="1"/>
  <c r="K6" i="31"/>
  <c r="K7" i="31" s="1"/>
  <c r="O16" i="11"/>
  <c r="G53" i="2"/>
  <c r="G81" i="2" s="1"/>
  <c r="F29" i="11"/>
  <c r="P58" i="2" l="1"/>
  <c r="P61" i="2" s="1"/>
  <c r="P25" i="2"/>
  <c r="P30" i="2" s="1"/>
  <c r="S49" i="2"/>
  <c r="S76" i="2" s="1"/>
  <c r="S29" i="2" s="1"/>
  <c r="CD34" i="1"/>
  <c r="N6" i="31" s="1"/>
  <c r="N7" i="31" s="1"/>
  <c r="T107" i="14"/>
  <c r="T111" i="14" s="1"/>
  <c r="T149" i="14" s="1"/>
  <c r="CS8" i="1" s="1"/>
  <c r="CS7" i="1" s="1"/>
  <c r="T82" i="14"/>
  <c r="T80" i="14" s="1"/>
  <c r="U48" i="2"/>
  <c r="Q70" i="2"/>
  <c r="Q21" i="2" s="1"/>
  <c r="P16" i="11" s="1"/>
  <c r="Q76" i="2"/>
  <c r="Q29" i="2" s="1"/>
  <c r="P19" i="11" s="1"/>
  <c r="Q74" i="2"/>
  <c r="Q22" i="2" s="1"/>
  <c r="P17" i="11" s="1"/>
  <c r="R57" i="2"/>
  <c r="R60" i="2" s="1"/>
  <c r="R14" i="11"/>
  <c r="Q14" i="11"/>
  <c r="R24" i="2"/>
  <c r="R27" i="2" s="1"/>
  <c r="R13" i="11"/>
  <c r="Q13" i="11"/>
  <c r="M7" i="31"/>
  <c r="U81" i="2"/>
  <c r="U62" i="2"/>
  <c r="U8" i="2" s="1"/>
  <c r="U64" i="2"/>
  <c r="U9" i="2" s="1"/>
  <c r="U66" i="2"/>
  <c r="U10" i="2" s="1"/>
  <c r="U68" i="2"/>
  <c r="U72" i="2"/>
  <c r="R70" i="2"/>
  <c r="R21" i="2" s="1"/>
  <c r="R76" i="2"/>
  <c r="R29" i="2" s="1"/>
  <c r="R74" i="2"/>
  <c r="R22" i="2" s="1"/>
  <c r="R56" i="2"/>
  <c r="R59" i="2" s="1"/>
  <c r="R15" i="11"/>
  <c r="Q15" i="11"/>
  <c r="Q24" i="11"/>
  <c r="R102" i="2"/>
  <c r="R97" i="2"/>
  <c r="R101" i="2"/>
  <c r="R99" i="2"/>
  <c r="R94" i="2"/>
  <c r="R96" i="2"/>
  <c r="R98" i="2"/>
  <c r="R100" i="2"/>
  <c r="R95" i="2"/>
  <c r="S95" i="2" s="1"/>
  <c r="T95" i="2" s="1"/>
  <c r="CD28" i="1"/>
  <c r="CI87" i="1"/>
  <c r="CI29" i="1"/>
  <c r="CI31" i="1" s="1"/>
  <c r="CN88" i="1"/>
  <c r="CI30" i="1"/>
  <c r="CN89" i="1"/>
  <c r="G82" i="2"/>
  <c r="G90" i="2"/>
  <c r="G91" i="2"/>
  <c r="L7" i="31"/>
  <c r="V71" i="1"/>
  <c r="S74" i="2" l="1"/>
  <c r="S22" i="2" s="1"/>
  <c r="R17" i="11" s="1"/>
  <c r="S70" i="2"/>
  <c r="S21" i="2" s="1"/>
  <c r="R16" i="11" s="1"/>
  <c r="T49" i="2"/>
  <c r="T70" i="2" s="1"/>
  <c r="T21" i="2" s="1"/>
  <c r="CI34" i="1"/>
  <c r="O6" i="31" s="1"/>
  <c r="O7" i="31" s="1"/>
  <c r="G108" i="2"/>
  <c r="Q17" i="11"/>
  <c r="Q25" i="2"/>
  <c r="Q30" i="2" s="1"/>
  <c r="Q58" i="2"/>
  <c r="Q61" i="2" s="1"/>
  <c r="T156" i="14"/>
  <c r="T159" i="14" s="1"/>
  <c r="T152" i="14"/>
  <c r="T88" i="14"/>
  <c r="R19" i="11"/>
  <c r="R58" i="2"/>
  <c r="R61" i="2" s="1"/>
  <c r="S100" i="2"/>
  <c r="T100" i="2" s="1"/>
  <c r="U100" i="2" s="1"/>
  <c r="S99" i="2"/>
  <c r="T99" i="2" s="1"/>
  <c r="U99" i="2" s="1"/>
  <c r="Q29" i="11"/>
  <c r="R53" i="2"/>
  <c r="U105" i="2"/>
  <c r="T24" i="11"/>
  <c r="U95" i="2"/>
  <c r="U103" i="2"/>
  <c r="U104" i="2"/>
  <c r="Q18" i="11"/>
  <c r="S24" i="2"/>
  <c r="S98" i="2"/>
  <c r="T98" i="2" s="1"/>
  <c r="U98" i="2" s="1"/>
  <c r="S101" i="2"/>
  <c r="T101" i="2" s="1"/>
  <c r="U101" i="2" s="1"/>
  <c r="Q19" i="11"/>
  <c r="U57" i="2"/>
  <c r="U60" i="2" s="1"/>
  <c r="T14" i="11"/>
  <c r="S94" i="2"/>
  <c r="T94" i="2" s="1"/>
  <c r="U94" i="2" s="1"/>
  <c r="S102" i="2"/>
  <c r="T102" i="2" s="1"/>
  <c r="U102" i="2" s="1"/>
  <c r="T13" i="11"/>
  <c r="CS18" i="1"/>
  <c r="CS21" i="1" s="1"/>
  <c r="CS15" i="1"/>
  <c r="V47" i="2" s="1"/>
  <c r="S96" i="2"/>
  <c r="T96" i="2" s="1"/>
  <c r="U96" i="2" s="1"/>
  <c r="S97" i="2"/>
  <c r="T97" i="2" s="1"/>
  <c r="Q16" i="11"/>
  <c r="R25" i="2"/>
  <c r="R30" i="2" s="1"/>
  <c r="U56" i="2"/>
  <c r="U59" i="2" s="1"/>
  <c r="T15" i="11"/>
  <c r="CI28" i="1"/>
  <c r="CN87" i="1"/>
  <c r="CN29" i="1"/>
  <c r="CN31" i="1" s="1"/>
  <c r="CS88" i="1"/>
  <c r="CS29" i="1" s="1"/>
  <c r="CS31" i="1" s="1"/>
  <c r="CS89" i="1"/>
  <c r="CS30" i="1" s="1"/>
  <c r="CN30" i="1"/>
  <c r="V72" i="1"/>
  <c r="U97" i="2" l="1"/>
  <c r="T76" i="2"/>
  <c r="T29" i="2" s="1"/>
  <c r="S19" i="11" s="1"/>
  <c r="T74" i="2"/>
  <c r="T22" i="2" s="1"/>
  <c r="S17" i="11" s="1"/>
  <c r="U49" i="2"/>
  <c r="U76" i="2" s="1"/>
  <c r="U29" i="2" s="1"/>
  <c r="CN34" i="1"/>
  <c r="P6" i="31" s="1"/>
  <c r="P7" i="31" s="1"/>
  <c r="S58" i="2"/>
  <c r="S61" i="2" s="1"/>
  <c r="CS34" i="1"/>
  <c r="Q6" i="31" s="1"/>
  <c r="T89" i="14"/>
  <c r="T86" i="14"/>
  <c r="T87" i="14" s="1"/>
  <c r="S27" i="2"/>
  <c r="T24" i="2" s="1"/>
  <c r="S25" i="2"/>
  <c r="V81" i="2"/>
  <c r="V98" i="2" s="1"/>
  <c r="V62" i="2"/>
  <c r="V8" i="2" s="1"/>
  <c r="U13" i="11" s="1"/>
  <c r="V64" i="2"/>
  <c r="V9" i="2" s="1"/>
  <c r="V56" i="2" s="1"/>
  <c r="V66" i="2"/>
  <c r="V10" i="2" s="1"/>
  <c r="V72" i="2"/>
  <c r="V68" i="2"/>
  <c r="U53" i="2"/>
  <c r="T29" i="11"/>
  <c r="S16" i="11"/>
  <c r="V49" i="2"/>
  <c r="V48" i="2"/>
  <c r="CN28" i="1"/>
  <c r="CS87" i="1"/>
  <c r="CS28" i="1" s="1"/>
  <c r="I93" i="2"/>
  <c r="H80" i="2"/>
  <c r="U74" i="2" l="1"/>
  <c r="U22" i="2" s="1"/>
  <c r="T17" i="11" s="1"/>
  <c r="T58" i="2"/>
  <c r="T61" i="2" s="1"/>
  <c r="T19" i="11"/>
  <c r="T25" i="2"/>
  <c r="U70" i="2"/>
  <c r="U21" i="2" s="1"/>
  <c r="T16" i="11" s="1"/>
  <c r="V103" i="2"/>
  <c r="V104" i="2"/>
  <c r="V105" i="2"/>
  <c r="V97" i="2"/>
  <c r="V95" i="2"/>
  <c r="V74" i="2"/>
  <c r="V22" i="2" s="1"/>
  <c r="V76" i="2"/>
  <c r="V29" i="2" s="1"/>
  <c r="U19" i="11" s="1"/>
  <c r="V70" i="2"/>
  <c r="V21" i="2" s="1"/>
  <c r="R18" i="11"/>
  <c r="V59" i="2"/>
  <c r="U15" i="11"/>
  <c r="Q7" i="31"/>
  <c r="R7" i="31" s="1"/>
  <c r="S7" i="31" s="1"/>
  <c r="T7" i="31" s="1"/>
  <c r="U24" i="11"/>
  <c r="V106" i="2"/>
  <c r="V94" i="2"/>
  <c r="V99" i="2"/>
  <c r="V100" i="2"/>
  <c r="V102" i="2"/>
  <c r="V96" i="2"/>
  <c r="T27" i="2"/>
  <c r="U24" i="2" s="1"/>
  <c r="V57" i="2"/>
  <c r="V60" i="2" s="1"/>
  <c r="U14" i="11"/>
  <c r="S30" i="2"/>
  <c r="V101" i="2"/>
  <c r="H29" i="11"/>
  <c r="I53" i="2"/>
  <c r="J93" i="2"/>
  <c r="K93" i="2" s="1"/>
  <c r="D14" i="31"/>
  <c r="H53" i="2"/>
  <c r="H81" i="2" s="1"/>
  <c r="G29" i="11"/>
  <c r="R6" i="31" l="1"/>
  <c r="S6" i="31" s="1"/>
  <c r="T6" i="31" s="1"/>
  <c r="U17" i="11"/>
  <c r="U58" i="2"/>
  <c r="U61" i="2" s="1"/>
  <c r="H82" i="2"/>
  <c r="H90" i="2"/>
  <c r="H92" i="2"/>
  <c r="I92" i="2" s="1"/>
  <c r="J92" i="2" s="1"/>
  <c r="K92" i="2" s="1"/>
  <c r="H91" i="2"/>
  <c r="I91" i="2" s="1"/>
  <c r="J91" i="2" s="1"/>
  <c r="K91" i="2" s="1"/>
  <c r="V53" i="2"/>
  <c r="U29" i="11"/>
  <c r="U16" i="11"/>
  <c r="S18" i="11"/>
  <c r="U27" i="2"/>
  <c r="V24" i="2" s="1"/>
  <c r="V25" i="2" s="1"/>
  <c r="T30" i="2"/>
  <c r="U25" i="2"/>
  <c r="V58" i="2"/>
  <c r="V61" i="2" s="1"/>
  <c r="L93" i="2"/>
  <c r="M93" i="2" s="1"/>
  <c r="N93" i="2" s="1"/>
  <c r="H83" i="2"/>
  <c r="AA71" i="1"/>
  <c r="D12" i="31"/>
  <c r="L91" i="2" l="1"/>
  <c r="M91" i="2" s="1"/>
  <c r="N91" i="2" s="1"/>
  <c r="O91" i="2" s="1"/>
  <c r="P91" i="2" s="1"/>
  <c r="L92" i="2"/>
  <c r="M92" i="2" s="1"/>
  <c r="N92" i="2" s="1"/>
  <c r="O92" i="2" s="1"/>
  <c r="P92" i="2" s="1"/>
  <c r="H108" i="2"/>
  <c r="I90" i="2"/>
  <c r="V27" i="2"/>
  <c r="V30" i="2" s="1"/>
  <c r="T18" i="11"/>
  <c r="U30" i="2"/>
  <c r="O93" i="2"/>
  <c r="P93" i="2" s="1"/>
  <c r="AA73" i="1"/>
  <c r="AA72" i="1"/>
  <c r="I80" i="2"/>
  <c r="J90" i="2" l="1"/>
  <c r="I108" i="2"/>
  <c r="U18" i="11"/>
  <c r="Q92" i="2"/>
  <c r="R92" i="2" s="1"/>
  <c r="Q93" i="2"/>
  <c r="R93" i="2" s="1"/>
  <c r="Q91" i="2"/>
  <c r="J108" i="2" l="1"/>
  <c r="I8" i="11" s="1"/>
  <c r="K90" i="2"/>
  <c r="S92" i="2"/>
  <c r="T92" i="2" s="1"/>
  <c r="U92" i="2" s="1"/>
  <c r="R91" i="2"/>
  <c r="S93" i="2"/>
  <c r="V97" i="1"/>
  <c r="K108" i="2" l="1"/>
  <c r="J8" i="11" s="1"/>
  <c r="L90" i="2"/>
  <c r="E12" i="31"/>
  <c r="J83" i="2"/>
  <c r="AK71" i="1"/>
  <c r="S91" i="2"/>
  <c r="V92" i="2"/>
  <c r="T93" i="2"/>
  <c r="U93" i="2" s="1"/>
  <c r="V114" i="1"/>
  <c r="V115" i="1" s="1"/>
  <c r="AA113" i="1" s="1"/>
  <c r="AJ71" i="1" l="1"/>
  <c r="AI71" i="1"/>
  <c r="AG71" i="1"/>
  <c r="AH71" i="1"/>
  <c r="L108" i="2"/>
  <c r="K8" i="11" s="1"/>
  <c r="M90" i="2"/>
  <c r="AP71" i="1"/>
  <c r="F12" i="31"/>
  <c r="K83" i="2"/>
  <c r="T91" i="2"/>
  <c r="V93" i="2"/>
  <c r="V118" i="1"/>
  <c r="V117" i="1"/>
  <c r="AH72" i="1" l="1"/>
  <c r="AH73" i="1"/>
  <c r="AG73" i="1"/>
  <c r="AG72" i="1"/>
  <c r="AJ73" i="1"/>
  <c r="AJ72" i="1"/>
  <c r="N90" i="2"/>
  <c r="M108" i="2"/>
  <c r="L8" i="11" s="1"/>
  <c r="AP72" i="1"/>
  <c r="AP73" i="1"/>
  <c r="AU71" i="1"/>
  <c r="G12" i="31"/>
  <c r="L83" i="2"/>
  <c r="U91" i="2"/>
  <c r="V73" i="1"/>
  <c r="V119" i="1"/>
  <c r="V41" i="1" s="1"/>
  <c r="H12" i="31" l="1"/>
  <c r="AZ71" i="1"/>
  <c r="M83" i="2"/>
  <c r="AU72" i="1"/>
  <c r="AU73" i="1"/>
  <c r="N108" i="2"/>
  <c r="M8" i="11" s="1"/>
  <c r="O90" i="2"/>
  <c r="V91" i="2"/>
  <c r="G50" i="2"/>
  <c r="V42" i="1"/>
  <c r="I12" i="31" l="1"/>
  <c r="BE71" i="1"/>
  <c r="N83" i="2"/>
  <c r="AZ72" i="1"/>
  <c r="AZ73" i="1"/>
  <c r="O108" i="2"/>
  <c r="N8" i="11" s="1"/>
  <c r="P90" i="2"/>
  <c r="V45" i="1"/>
  <c r="V52" i="1"/>
  <c r="V44" i="1"/>
  <c r="G51" i="2"/>
  <c r="J12" i="31" l="1"/>
  <c r="O83" i="2"/>
  <c r="BJ71" i="1"/>
  <c r="BE72" i="1"/>
  <c r="BE73" i="1"/>
  <c r="P108" i="2"/>
  <c r="O8" i="11" s="1"/>
  <c r="Q90" i="2"/>
  <c r="Q108" i="2" s="1"/>
  <c r="P8" i="11" s="1"/>
  <c r="Q83" i="2" s="1"/>
  <c r="V54" i="1"/>
  <c r="V55" i="1"/>
  <c r="BJ73" i="1" l="1"/>
  <c r="BJ72" i="1"/>
  <c r="K12" i="31"/>
  <c r="BO71" i="1"/>
  <c r="P83" i="2"/>
  <c r="L12" i="31"/>
  <c r="M12" i="31" s="1"/>
  <c r="N12" i="31" s="1"/>
  <c r="O12" i="31" s="1"/>
  <c r="P12" i="31" s="1"/>
  <c r="Q12" i="31" s="1"/>
  <c r="R12" i="31" s="1"/>
  <c r="S12" i="31" s="1"/>
  <c r="T12" i="31" s="1"/>
  <c r="BT71" i="1"/>
  <c r="BT73" i="1" s="1"/>
  <c r="R90" i="2"/>
  <c r="G15" i="1"/>
  <c r="G39" i="1" s="1"/>
  <c r="BT72" i="1" l="1"/>
  <c r="R108" i="2"/>
  <c r="Q8" i="11" s="1"/>
  <c r="S90" i="2"/>
  <c r="S108" i="2" s="1"/>
  <c r="R8" i="11" s="1"/>
  <c r="CD71" i="1" s="1"/>
  <c r="BO72" i="1"/>
  <c r="BO73" i="1"/>
  <c r="G41" i="1"/>
  <c r="G114" i="1"/>
  <c r="G115" i="1" s="1"/>
  <c r="G42" i="1"/>
  <c r="D47" i="2"/>
  <c r="S83" i="2" l="1"/>
  <c r="T90" i="2"/>
  <c r="BY71" i="1"/>
  <c r="R83" i="2"/>
  <c r="CD72" i="1"/>
  <c r="CD73" i="1"/>
  <c r="G117" i="1"/>
  <c r="G119" i="1" s="1"/>
  <c r="G118" i="1"/>
  <c r="D65" i="2"/>
  <c r="D56" i="2"/>
  <c r="D59" i="2" s="1"/>
  <c r="D73" i="2"/>
  <c r="D67" i="2"/>
  <c r="D69" i="2"/>
  <c r="D63" i="2"/>
  <c r="D51" i="2"/>
  <c r="G44" i="1"/>
  <c r="G45" i="1"/>
  <c r="G52" i="1"/>
  <c r="U90" i="2" l="1"/>
  <c r="T108" i="2"/>
  <c r="S8" i="11" s="1"/>
  <c r="G55" i="1"/>
  <c r="G54" i="1"/>
  <c r="T83" i="2" l="1"/>
  <c r="CI71" i="1"/>
  <c r="V90" i="2"/>
  <c r="V108" i="2" s="1"/>
  <c r="U8" i="11" s="1"/>
  <c r="U108" i="2"/>
  <c r="T8" i="11" s="1"/>
  <c r="BY72" i="1"/>
  <c r="BY73" i="1"/>
  <c r="I7" i="31"/>
  <c r="U83" i="2" l="1"/>
  <c r="CN71" i="1"/>
  <c r="CI72" i="1"/>
  <c r="CI73" i="1"/>
  <c r="CS71" i="1"/>
  <c r="V83" i="2"/>
  <c r="J7" i="31"/>
  <c r="CN73" i="1" l="1"/>
  <c r="CN72" i="1"/>
  <c r="CS72" i="1"/>
  <c r="CS73" i="1"/>
  <c r="F80" i="11"/>
  <c r="F37" i="11" s="1"/>
  <c r="F20" i="11"/>
  <c r="G52" i="2" s="1"/>
  <c r="G38" i="2" l="1"/>
  <c r="G40" i="2" s="1"/>
  <c r="F39" i="11"/>
  <c r="F42" i="11" s="1"/>
  <c r="U69" i="1"/>
  <c r="U57" i="1"/>
  <c r="U58" i="1" s="1"/>
  <c r="G40" i="11" l="1"/>
  <c r="F44" i="11"/>
  <c r="AA95" i="1" l="1"/>
  <c r="AA97" i="1" s="1"/>
  <c r="Y97" i="1" s="1"/>
  <c r="F46" i="11"/>
  <c r="Z97" i="1" l="1"/>
  <c r="AA37" i="1" l="1"/>
  <c r="AA39" i="1" s="1"/>
  <c r="AA42" i="1" s="1"/>
  <c r="AA52" i="1" s="1"/>
  <c r="X39" i="1"/>
  <c r="AA41" i="1" l="1"/>
  <c r="AA114" i="1"/>
  <c r="AA115" i="1" s="1"/>
  <c r="AA118" i="1" s="1"/>
  <c r="AA44" i="1"/>
  <c r="AA45" i="1"/>
  <c r="X41" i="1"/>
  <c r="X42" i="1"/>
  <c r="Y39" i="1"/>
  <c r="Z39" i="1"/>
  <c r="AA55" i="1"/>
  <c r="AA54" i="1"/>
  <c r="H50" i="2"/>
  <c r="AA117" i="1" l="1"/>
  <c r="AA119" i="1" s="1"/>
  <c r="AF113" i="1"/>
  <c r="Y42" i="1"/>
  <c r="Y41" i="1"/>
  <c r="Z41" i="1"/>
  <c r="Z42" i="1"/>
  <c r="X44" i="1"/>
  <c r="X52" i="1"/>
  <c r="X45" i="1"/>
  <c r="H51" i="2"/>
  <c r="Y52" i="1" l="1"/>
  <c r="Y44" i="1"/>
  <c r="Y45" i="1"/>
  <c r="X55" i="1"/>
  <c r="X54" i="1"/>
  <c r="Z45" i="1"/>
  <c r="Z52" i="1"/>
  <c r="Z44" i="1"/>
  <c r="Z54" i="1" l="1"/>
  <c r="Z55" i="1"/>
  <c r="Y55" i="1"/>
  <c r="Y54" i="1"/>
  <c r="F79" i="11"/>
  <c r="F82" i="11" s="1"/>
  <c r="V57" i="1"/>
  <c r="V60" i="1" s="1"/>
  <c r="V61" i="1" s="1"/>
  <c r="V58" i="1" l="1"/>
  <c r="G79" i="11" l="1"/>
  <c r="AA57" i="1"/>
  <c r="G80" i="11" s="1"/>
  <c r="G37" i="11" s="1"/>
  <c r="H79" i="11"/>
  <c r="AF57" i="1"/>
  <c r="W68" i="1"/>
  <c r="AP69" i="1"/>
  <c r="G82" i="11" l="1"/>
  <c r="H38" i="2" s="1"/>
  <c r="H40" i="2" s="1"/>
  <c r="W57" i="1"/>
  <c r="W60" i="1" s="1"/>
  <c r="W61" i="1" s="1"/>
  <c r="W69" i="1"/>
  <c r="AU69" i="1"/>
  <c r="AP68" i="1"/>
  <c r="AA60" i="1"/>
  <c r="AA61" i="1" s="1"/>
  <c r="H80" i="11" l="1"/>
  <c r="H37" i="11" s="1"/>
  <c r="AD68" i="1"/>
  <c r="AD69" i="1" s="1"/>
  <c r="AE68" i="1"/>
  <c r="AE69" i="1" s="1"/>
  <c r="AB68" i="1"/>
  <c r="AC69" i="1"/>
  <c r="J79" i="11"/>
  <c r="J9" i="11"/>
  <c r="AP57" i="1"/>
  <c r="X68" i="1"/>
  <c r="AZ69" i="1"/>
  <c r="AU68" i="1"/>
  <c r="I80" i="11"/>
  <c r="I33" i="11" s="1"/>
  <c r="I37" i="11" s="1"/>
  <c r="AB69" i="1" l="1"/>
  <c r="AB57" i="1"/>
  <c r="H82" i="11"/>
  <c r="X57" i="1"/>
  <c r="X60" i="1" s="1"/>
  <c r="X61" i="1" s="1"/>
  <c r="X69" i="1"/>
  <c r="Y68" i="1"/>
  <c r="Z68" i="1"/>
  <c r="J80" i="11"/>
  <c r="J33" i="11" s="1"/>
  <c r="J37" i="11" s="1"/>
  <c r="AU57" i="1"/>
  <c r="K9" i="11"/>
  <c r="K79" i="11"/>
  <c r="AZ68" i="1"/>
  <c r="BE69" i="1"/>
  <c r="J82" i="11" l="1"/>
  <c r="Y57" i="1"/>
  <c r="Y60" i="1" s="1"/>
  <c r="Y61" i="1" s="1"/>
  <c r="Y69" i="1"/>
  <c r="Z57" i="1"/>
  <c r="Z60" i="1" s="1"/>
  <c r="Z61" i="1" s="1"/>
  <c r="Z69" i="1"/>
  <c r="L79" i="11"/>
  <c r="AZ57" i="1"/>
  <c r="L9" i="11"/>
  <c r="K80" i="11"/>
  <c r="K33" i="11" s="1"/>
  <c r="K37" i="11" s="1"/>
  <c r="BE68" i="1"/>
  <c r="BJ69" i="1"/>
  <c r="K82" i="11" l="1"/>
  <c r="M9" i="11"/>
  <c r="M79" i="11"/>
  <c r="BE57" i="1"/>
  <c r="L80" i="11"/>
  <c r="L33" i="11" s="1"/>
  <c r="L37" i="11" s="1"/>
  <c r="BO69" i="1"/>
  <c r="BJ68" i="1"/>
  <c r="L82" i="11" l="1"/>
  <c r="N79" i="11"/>
  <c r="BJ57" i="1"/>
  <c r="N9" i="11"/>
  <c r="M80" i="11"/>
  <c r="M33" i="11" s="1"/>
  <c r="M37" i="11" s="1"/>
  <c r="BT69" i="1"/>
  <c r="BO68" i="1"/>
  <c r="O9" i="11" s="1"/>
  <c r="BT68" i="1" l="1"/>
  <c r="P9" i="11" s="1"/>
  <c r="BY69" i="1"/>
  <c r="M82" i="11"/>
  <c r="O79" i="11"/>
  <c r="BO57" i="1"/>
  <c r="N80" i="11"/>
  <c r="N33" i="11" s="1"/>
  <c r="N37" i="11" s="1"/>
  <c r="P79" i="11" l="1"/>
  <c r="BT57" i="1"/>
  <c r="CD69" i="1"/>
  <c r="BY68" i="1"/>
  <c r="N82" i="11"/>
  <c r="O80" i="11"/>
  <c r="O33" i="11" s="1"/>
  <c r="O37" i="11" s="1"/>
  <c r="P80" i="11"/>
  <c r="P33" i="11" s="1"/>
  <c r="P37" i="11" s="1"/>
  <c r="BY57" i="1" l="1"/>
  <c r="Q79" i="11"/>
  <c r="Q82" i="11" s="1"/>
  <c r="Q9" i="11"/>
  <c r="CI69" i="1"/>
  <c r="CD68" i="1"/>
  <c r="O82" i="11"/>
  <c r="P82" i="11"/>
  <c r="CD57" i="1" l="1"/>
  <c r="R9" i="11"/>
  <c r="R79" i="11"/>
  <c r="R82" i="11" s="1"/>
  <c r="CN69" i="1"/>
  <c r="CI68" i="1"/>
  <c r="CI57" i="1" l="1"/>
  <c r="S9" i="11"/>
  <c r="S79" i="11"/>
  <c r="S82" i="11" s="1"/>
  <c r="CS69" i="1"/>
  <c r="CS68" i="1" s="1"/>
  <c r="CN68" i="1"/>
  <c r="CN57" i="1" l="1"/>
  <c r="T79" i="11"/>
  <c r="T82" i="11" s="1"/>
  <c r="T9" i="11"/>
  <c r="CS57" i="1"/>
  <c r="U79" i="11"/>
  <c r="U82" i="11" s="1"/>
  <c r="U9" i="11"/>
  <c r="G11" i="2" l="1"/>
  <c r="G18" i="2" s="1"/>
  <c r="G42" i="2" s="1"/>
  <c r="G57" i="2"/>
  <c r="G60" i="2" s="1"/>
  <c r="G66" i="2"/>
  <c r="G20" i="11"/>
  <c r="G39" i="11" l="1"/>
  <c r="G42" i="11" s="1"/>
  <c r="H52" i="2"/>
  <c r="G44" i="11" l="1"/>
  <c r="G46" i="11"/>
  <c r="H40" i="11"/>
  <c r="AF95" i="1" l="1"/>
  <c r="AF97" i="1" s="1"/>
  <c r="AD97" i="1" l="1"/>
  <c r="AD39" i="1" s="1"/>
  <c r="AD42" i="1" s="1"/>
  <c r="AD60" i="1" s="1"/>
  <c r="AB97" i="1"/>
  <c r="AB39" i="1" s="1"/>
  <c r="AB42" i="1" s="1"/>
  <c r="AB60" i="1" s="1"/>
  <c r="AC97" i="1"/>
  <c r="AC39" i="1" s="1"/>
  <c r="AC42" i="1" s="1"/>
  <c r="AC60" i="1" s="1"/>
  <c r="AE97" i="1"/>
  <c r="AC61" i="1" l="1"/>
  <c r="AC44" i="1"/>
  <c r="AC45" i="1"/>
  <c r="AB61" i="1"/>
  <c r="AB45" i="1"/>
  <c r="AB44" i="1"/>
  <c r="AF37" i="1"/>
  <c r="AF39" i="1" s="1"/>
  <c r="AF114" i="1" s="1"/>
  <c r="AF115" i="1" s="1"/>
  <c r="AF118" i="1" s="1"/>
  <c r="AE39" i="1"/>
  <c r="AE42" i="1" s="1"/>
  <c r="AE60" i="1" s="1"/>
  <c r="AD44" i="1"/>
  <c r="AD61" i="1"/>
  <c r="AD45" i="1"/>
  <c r="AE61" i="1" l="1"/>
  <c r="AE44" i="1"/>
  <c r="AE45" i="1"/>
  <c r="AF41" i="1"/>
  <c r="AK113" i="1"/>
  <c r="AF117" i="1"/>
  <c r="AF119" i="1" s="1"/>
  <c r="I50" i="2" s="1"/>
  <c r="AF42" i="1" l="1"/>
  <c r="AF52" i="1" l="1"/>
  <c r="AF60" i="1"/>
  <c r="AF61" i="1" s="1"/>
  <c r="I51" i="2"/>
  <c r="AF45" i="1"/>
  <c r="AF44" i="1"/>
  <c r="AF54" i="1" l="1"/>
  <c r="AF55" i="1"/>
  <c r="I38" i="2" l="1"/>
  <c r="I40" i="2" s="1"/>
  <c r="F11" i="31" l="1"/>
  <c r="G11" i="31" l="1"/>
  <c r="H11" i="31" l="1"/>
  <c r="H63" i="2" l="1"/>
  <c r="H57" i="2"/>
  <c r="H60" i="2" s="1"/>
  <c r="H11" i="2"/>
  <c r="D13" i="31" s="1"/>
  <c r="D15" i="31" s="1"/>
  <c r="D17" i="31" s="1"/>
  <c r="H66" i="2"/>
  <c r="H18" i="2" l="1"/>
  <c r="H42" i="2" s="1"/>
  <c r="AF71" i="1"/>
  <c r="AD71" i="1" s="1"/>
  <c r="I83" i="2"/>
  <c r="H20" i="11"/>
  <c r="I52" i="2" s="1"/>
  <c r="J80" i="2" l="1"/>
  <c r="J85" i="2" s="1"/>
  <c r="AD72" i="1"/>
  <c r="AD73" i="1"/>
  <c r="H39" i="11"/>
  <c r="H42" i="11" s="1"/>
  <c r="AE71" i="1"/>
  <c r="AC71" i="1"/>
  <c r="AF72" i="1"/>
  <c r="AF73" i="1"/>
  <c r="AB71" i="1"/>
  <c r="I40" i="11" l="1"/>
  <c r="H44" i="11"/>
  <c r="AC73" i="1"/>
  <c r="AC72" i="1"/>
  <c r="AB72" i="1"/>
  <c r="AB73" i="1"/>
  <c r="AE72" i="1"/>
  <c r="AE73" i="1"/>
  <c r="J16" i="2"/>
  <c r="K80" i="2"/>
  <c r="K85" i="2" s="1"/>
  <c r="H46" i="11" l="1"/>
  <c r="C21" i="31"/>
  <c r="L80" i="2"/>
  <c r="L85" i="2" s="1"/>
  <c r="K16" i="2"/>
  <c r="I11" i="2"/>
  <c r="AK95" i="1"/>
  <c r="AK97" i="1" s="1"/>
  <c r="I18" i="2" l="1"/>
  <c r="I42" i="2" s="1"/>
  <c r="L16" i="2"/>
  <c r="M80" i="2"/>
  <c r="M85" i="2" s="1"/>
  <c r="N80" i="2" l="1"/>
  <c r="N85" i="2" s="1"/>
  <c r="M16" i="2"/>
  <c r="N16" i="2" l="1"/>
  <c r="O80" i="2"/>
  <c r="O85" i="2" s="1"/>
  <c r="J50" i="2"/>
  <c r="P80" i="2" l="1"/>
  <c r="P85" i="2" s="1"/>
  <c r="O16" i="2"/>
  <c r="P16" i="2" l="1"/>
  <c r="Q80" i="2"/>
  <c r="Q85" i="2" s="1"/>
  <c r="R80" i="2" l="1"/>
  <c r="R85" i="2" s="1"/>
  <c r="Q16" i="2"/>
  <c r="R16" i="2" l="1"/>
  <c r="S80" i="2"/>
  <c r="S85" i="2" s="1"/>
  <c r="T80" i="2" l="1"/>
  <c r="T85" i="2" s="1"/>
  <c r="S16" i="2"/>
  <c r="U80" i="2" l="1"/>
  <c r="U85" i="2" s="1"/>
  <c r="T16" i="2"/>
  <c r="U16" i="2" l="1"/>
  <c r="V80" i="2"/>
  <c r="V85" i="2" s="1"/>
  <c r="V16" i="2" s="1"/>
  <c r="AK25" i="1" l="1"/>
  <c r="AP81" i="1"/>
  <c r="AP25" i="1" s="1"/>
  <c r="AK84" i="1"/>
  <c r="AU81" i="1" l="1"/>
  <c r="AZ81" i="1" s="1"/>
  <c r="AZ25" i="1" s="1"/>
  <c r="AU25" i="1" l="1"/>
  <c r="BE81" i="1"/>
  <c r="BE25" i="1" s="1"/>
  <c r="BJ81" i="1" l="1"/>
  <c r="BJ25" i="1" s="1"/>
  <c r="BO81" i="1" l="1"/>
  <c r="BT81" i="1" s="1"/>
  <c r="BO25" i="1" l="1"/>
  <c r="BT25" i="1"/>
  <c r="BY81" i="1"/>
  <c r="CD81" i="1" l="1"/>
  <c r="BY25" i="1"/>
  <c r="CI81" i="1" l="1"/>
  <c r="CD25" i="1"/>
  <c r="CN81" i="1" l="1"/>
  <c r="CI25" i="1"/>
  <c r="CN25" i="1" l="1"/>
  <c r="CS81" i="1"/>
  <c r="CS25" i="1" s="1"/>
  <c r="AU39" i="1" l="1"/>
  <c r="AU114" i="1" s="1"/>
  <c r="J48" i="2"/>
  <c r="J57" i="2" s="1"/>
  <c r="J60" i="2" s="1"/>
  <c r="AK19" i="1"/>
  <c r="H115" i="28" s="1"/>
  <c r="H114" i="28" s="1"/>
  <c r="H126" i="28" s="1"/>
  <c r="H128" i="28" s="1"/>
  <c r="AK21" i="1"/>
  <c r="AK29" i="1" l="1"/>
  <c r="AK30" i="1"/>
  <c r="AK28" i="1"/>
  <c r="AI31" i="1"/>
  <c r="AI34" i="1" s="1"/>
  <c r="AI73" i="1" l="1"/>
  <c r="AI39" i="1"/>
  <c r="AI72" i="1"/>
  <c r="AK34" i="1"/>
  <c r="AK31" i="1"/>
  <c r="AK72" i="1" l="1"/>
  <c r="AK73" i="1"/>
  <c r="E6" i="31"/>
  <c r="AI42" i="1"/>
  <c r="AK39" i="1"/>
  <c r="J49" i="2"/>
  <c r="AK68" i="1"/>
  <c r="AI44" i="1" l="1"/>
  <c r="AI45" i="1"/>
  <c r="AK42" i="1"/>
  <c r="AK57" i="1"/>
  <c r="I9" i="11"/>
  <c r="I79" i="11"/>
  <c r="I82" i="11" s="1"/>
  <c r="J35" i="2" s="1"/>
  <c r="AK66" i="1"/>
  <c r="AK67" i="1" s="1"/>
  <c r="E11" i="31"/>
  <c r="F7" i="31"/>
  <c r="J74" i="2"/>
  <c r="J22" i="2" s="1"/>
  <c r="J76" i="2"/>
  <c r="J29" i="2" s="1"/>
  <c r="J70" i="2"/>
  <c r="J21" i="2" s="1"/>
  <c r="AK41" i="1"/>
  <c r="AK114" i="1"/>
  <c r="AK115" i="1" s="1"/>
  <c r="AK117" i="1" l="1"/>
  <c r="AK119" i="1" s="1"/>
  <c r="AK118" i="1"/>
  <c r="AP113" i="1"/>
  <c r="J17" i="11"/>
  <c r="I17" i="11"/>
  <c r="K35" i="2"/>
  <c r="J51" i="2"/>
  <c r="AK44" i="1"/>
  <c r="AK45" i="1"/>
  <c r="AK52" i="1"/>
  <c r="AK60" i="1"/>
  <c r="AK61" i="1" s="1"/>
  <c r="AK46" i="1" s="1"/>
  <c r="I16" i="11"/>
  <c r="J16" i="11"/>
  <c r="J58" i="2"/>
  <c r="J61" i="2" s="1"/>
  <c r="J25" i="2"/>
  <c r="J30" i="2" s="1"/>
  <c r="AH67" i="1"/>
  <c r="AJ67" i="1"/>
  <c r="AI67" i="1"/>
  <c r="AG67" i="1"/>
  <c r="J19" i="11"/>
  <c r="I19" i="11"/>
  <c r="AG66" i="1"/>
  <c r="AJ66" i="1"/>
  <c r="AH66" i="1"/>
  <c r="AH68" i="1" s="1"/>
  <c r="AI66" i="1"/>
  <c r="AP66" i="1"/>
  <c r="AG68" i="1" l="1"/>
  <c r="AG57" i="1" s="1"/>
  <c r="AG60" i="1" s="1"/>
  <c r="AG61" i="1" s="1"/>
  <c r="AG46" i="1" s="1"/>
  <c r="AP67" i="1"/>
  <c r="AU66" i="1"/>
  <c r="AI68" i="1"/>
  <c r="AK55" i="1"/>
  <c r="AK54" i="1"/>
  <c r="I6" i="11"/>
  <c r="L35" i="2"/>
  <c r="AH69" i="1"/>
  <c r="AH57" i="1"/>
  <c r="AH60" i="1" s="1"/>
  <c r="AH61" i="1" s="1"/>
  <c r="AH46" i="1" s="1"/>
  <c r="AJ68" i="1"/>
  <c r="AG69" i="1" l="1"/>
  <c r="AJ69" i="1"/>
  <c r="AJ57" i="1"/>
  <c r="AJ60" i="1" s="1"/>
  <c r="AJ61" i="1" s="1"/>
  <c r="AJ46" i="1" s="1"/>
  <c r="M35" i="2"/>
  <c r="AI57" i="1"/>
  <c r="AI60" i="1" s="1"/>
  <c r="AI61" i="1" s="1"/>
  <c r="AI46" i="1" s="1"/>
  <c r="AI69" i="1"/>
  <c r="AU67" i="1"/>
  <c r="AZ66" i="1"/>
  <c r="I20" i="11"/>
  <c r="J37" i="2"/>
  <c r="AZ67" i="1" l="1"/>
  <c r="BE66" i="1"/>
  <c r="N35" i="2"/>
  <c r="J38" i="2"/>
  <c r="J40" i="2" s="1"/>
  <c r="J52" i="2"/>
  <c r="I39" i="11"/>
  <c r="I42" i="11" s="1"/>
  <c r="J40" i="11" l="1"/>
  <c r="I44" i="11"/>
  <c r="J5" i="2"/>
  <c r="O35" i="2"/>
  <c r="BJ66" i="1"/>
  <c r="BE67" i="1"/>
  <c r="J11" i="2" l="1"/>
  <c r="AP95" i="1"/>
  <c r="AP97" i="1" s="1"/>
  <c r="AP37" i="1" s="1"/>
  <c r="AP39" i="1" s="1"/>
  <c r="BJ67" i="1"/>
  <c r="BO66" i="1"/>
  <c r="P35" i="2"/>
  <c r="I46" i="11"/>
  <c r="BO67" i="1" l="1"/>
  <c r="BT66" i="1"/>
  <c r="AP41" i="1"/>
  <c r="AP114" i="1"/>
  <c r="AP115" i="1" s="1"/>
  <c r="Q35" i="2"/>
  <c r="E13" i="31"/>
  <c r="E15" i="31" s="1"/>
  <c r="E17" i="31" s="1"/>
  <c r="J18" i="2"/>
  <c r="J42" i="2" s="1"/>
  <c r="AP118" i="1" l="1"/>
  <c r="AP117" i="1"/>
  <c r="AP119" i="1" s="1"/>
  <c r="AP40" i="1" s="1"/>
  <c r="AU113" i="1"/>
  <c r="AU115" i="1" s="1"/>
  <c r="R35" i="2"/>
  <c r="BY66" i="1"/>
  <c r="BT67" i="1"/>
  <c r="AU118" i="1" l="1"/>
  <c r="AZ113" i="1"/>
  <c r="AU117" i="1"/>
  <c r="AU119" i="1" s="1"/>
  <c r="AU40" i="1" s="1"/>
  <c r="AU41" i="1" s="1"/>
  <c r="BY67" i="1"/>
  <c r="CD66" i="1"/>
  <c r="K50" i="2"/>
  <c r="AP42" i="1"/>
  <c r="S35" i="2"/>
  <c r="T35" i="2" l="1"/>
  <c r="K51" i="2"/>
  <c r="AP60" i="1"/>
  <c r="AP61" i="1" s="1"/>
  <c r="AP46" i="1" s="1"/>
  <c r="AP44" i="1"/>
  <c r="AP52" i="1"/>
  <c r="AP45" i="1"/>
  <c r="L50" i="2"/>
  <c r="AU42" i="1"/>
  <c r="CD67" i="1"/>
  <c r="CI66" i="1"/>
  <c r="CN66" i="1" l="1"/>
  <c r="CI67" i="1"/>
  <c r="AP55" i="1"/>
  <c r="J6" i="11"/>
  <c r="AP54" i="1"/>
  <c r="U35" i="2"/>
  <c r="AU44" i="1"/>
  <c r="L51" i="2"/>
  <c r="AU45" i="1"/>
  <c r="AU52" i="1"/>
  <c r="AU60" i="1"/>
  <c r="AU61" i="1" s="1"/>
  <c r="AU46" i="1" s="1"/>
  <c r="J20" i="11" l="1"/>
  <c r="K37" i="2"/>
  <c r="AU54" i="1"/>
  <c r="AU55" i="1"/>
  <c r="K6" i="11"/>
  <c r="K20" i="11" s="1"/>
  <c r="V35" i="2"/>
  <c r="CN67" i="1"/>
  <c r="CS66" i="1"/>
  <c r="CS67" i="1" s="1"/>
  <c r="L37" i="2" l="1"/>
  <c r="K38" i="2"/>
  <c r="K40" i="2" s="1"/>
  <c r="L52" i="2"/>
  <c r="K39" i="11"/>
  <c r="K52" i="2"/>
  <c r="J39" i="11"/>
  <c r="J42" i="11" s="1"/>
  <c r="K40" i="11" l="1"/>
  <c r="K42" i="11" s="1"/>
  <c r="J44" i="11"/>
  <c r="K5" i="2"/>
  <c r="L38" i="2"/>
  <c r="L40" i="2" s="1"/>
  <c r="K11" i="2" l="1"/>
  <c r="AU95" i="1"/>
  <c r="AU97" i="1" s="1"/>
  <c r="K44" i="11"/>
  <c r="L40" i="11"/>
  <c r="L5" i="2"/>
  <c r="J46" i="11"/>
  <c r="L11" i="2" l="1"/>
  <c r="AZ95" i="1"/>
  <c r="AZ97" i="1" s="1"/>
  <c r="AZ37" i="1" s="1"/>
  <c r="AZ39" i="1" s="1"/>
  <c r="K46" i="11"/>
  <c r="K18" i="2"/>
  <c r="K42" i="2" s="1"/>
  <c r="F13" i="31"/>
  <c r="F15" i="31" s="1"/>
  <c r="AZ114" i="1" l="1"/>
  <c r="AZ115" i="1" s="1"/>
  <c r="F17" i="31"/>
  <c r="F16" i="31"/>
  <c r="L18" i="2"/>
  <c r="L42" i="2" s="1"/>
  <c r="G13" i="31"/>
  <c r="G15" i="31" s="1"/>
  <c r="G17" i="31" l="1"/>
  <c r="G16" i="31"/>
  <c r="AZ118" i="1"/>
  <c r="AZ117" i="1"/>
  <c r="AZ119" i="1" s="1"/>
  <c r="AZ40" i="1" s="1"/>
  <c r="BE113" i="1"/>
  <c r="M50" i="2" l="1"/>
  <c r="AZ41" i="1"/>
  <c r="AZ42" i="1"/>
  <c r="M51" i="2" l="1"/>
  <c r="AZ60" i="1"/>
  <c r="AZ61" i="1" s="1"/>
  <c r="AZ46" i="1" s="1"/>
  <c r="AZ44" i="1"/>
  <c r="AZ45" i="1"/>
  <c r="AZ52" i="1"/>
  <c r="AZ55" i="1" l="1"/>
  <c r="L6" i="11"/>
  <c r="AZ54" i="1"/>
  <c r="L20" i="11" l="1"/>
  <c r="M37" i="2"/>
  <c r="L39" i="11" l="1"/>
  <c r="L42" i="11" s="1"/>
  <c r="M52" i="2"/>
  <c r="M38" i="2"/>
  <c r="M40" i="2" s="1"/>
  <c r="M40" i="11" l="1"/>
  <c r="M5" i="2"/>
  <c r="L46" i="11" s="1"/>
  <c r="L44" i="11"/>
  <c r="M11" i="2" l="1"/>
  <c r="BE95" i="1"/>
  <c r="BE97" i="1" s="1"/>
  <c r="BE37" i="1" s="1"/>
  <c r="BE39" i="1" s="1"/>
  <c r="M18" i="2" l="1"/>
  <c r="M42" i="2" s="1"/>
  <c r="H13" i="31"/>
  <c r="H15" i="31" s="1"/>
  <c r="BE114" i="1"/>
  <c r="BE115" i="1" s="1"/>
  <c r="H16" i="31" l="1"/>
  <c r="H17" i="31"/>
  <c r="BJ113" i="1"/>
  <c r="BE118" i="1"/>
  <c r="BE117" i="1"/>
  <c r="BE119" i="1" s="1"/>
  <c r="BE40" i="1" s="1"/>
  <c r="N50" i="2" l="1"/>
  <c r="I9" i="31"/>
  <c r="I11" i="31" s="1"/>
  <c r="BE42" i="1"/>
  <c r="BE41" i="1"/>
  <c r="I10" i="31" s="1"/>
  <c r="N51" i="2" l="1"/>
  <c r="BE44" i="1"/>
  <c r="BE60" i="1"/>
  <c r="BE61" i="1" s="1"/>
  <c r="BE46" i="1" s="1"/>
  <c r="BE45" i="1"/>
  <c r="BE52" i="1"/>
  <c r="BE55" i="1" l="1"/>
  <c r="BE54" i="1"/>
  <c r="M6" i="11"/>
  <c r="M20" i="11" l="1"/>
  <c r="N37" i="2"/>
  <c r="N52" i="2" l="1"/>
  <c r="M39" i="11"/>
  <c r="M42" i="11" s="1"/>
  <c r="N38" i="2"/>
  <c r="N40" i="2" s="1"/>
  <c r="N40" i="11" l="1"/>
  <c r="M44" i="11"/>
  <c r="N5" i="2"/>
  <c r="M46" i="11" s="1"/>
  <c r="N11" i="2" l="1"/>
  <c r="BJ95" i="1"/>
  <c r="BJ97" i="1" s="1"/>
  <c r="BJ37" i="1" s="1"/>
  <c r="BJ39" i="1" s="1"/>
  <c r="I13" i="31" l="1"/>
  <c r="I15" i="31" s="1"/>
  <c r="N18" i="2"/>
  <c r="N42" i="2" s="1"/>
  <c r="BJ114" i="1"/>
  <c r="BJ115" i="1" s="1"/>
  <c r="I16" i="31" l="1"/>
  <c r="I17" i="31"/>
  <c r="BJ118" i="1"/>
  <c r="BJ117" i="1"/>
  <c r="BJ119" i="1" s="1"/>
  <c r="BJ40" i="1" s="1"/>
  <c r="BO113" i="1"/>
  <c r="O50" i="2" l="1"/>
  <c r="J9" i="31"/>
  <c r="J11" i="31" s="1"/>
  <c r="BJ41" i="1"/>
  <c r="J10" i="31" s="1"/>
  <c r="BJ42" i="1"/>
  <c r="O51" i="2" l="1"/>
  <c r="BJ45" i="1"/>
  <c r="BJ44" i="1"/>
  <c r="BJ60" i="1"/>
  <c r="BJ61" i="1" s="1"/>
  <c r="BJ46" i="1" s="1"/>
  <c r="BJ52" i="1"/>
  <c r="BJ55" i="1" l="1"/>
  <c r="BJ54" i="1"/>
  <c r="N6" i="11"/>
  <c r="N20" i="11" l="1"/>
  <c r="O37" i="2"/>
  <c r="N39" i="11" l="1"/>
  <c r="N42" i="11" s="1"/>
  <c r="O52" i="2"/>
  <c r="O38" i="2"/>
  <c r="O40" i="2" s="1"/>
  <c r="N44" i="11" l="1"/>
  <c r="O40" i="11"/>
  <c r="O5" i="2"/>
  <c r="N46" i="11" s="1"/>
  <c r="O11" i="2" l="1"/>
  <c r="BO95" i="1"/>
  <c r="BO97" i="1" s="1"/>
  <c r="BO37" i="1" s="1"/>
  <c r="BO39" i="1" s="1"/>
  <c r="O18" i="2" l="1"/>
  <c r="O42" i="2" s="1"/>
  <c r="J13" i="31"/>
  <c r="J15" i="31" s="1"/>
  <c r="BO114" i="1"/>
  <c r="BO115" i="1" s="1"/>
  <c r="J17" i="31" l="1"/>
  <c r="J16" i="31"/>
  <c r="BT113" i="1"/>
  <c r="BO118" i="1"/>
  <c r="BO117" i="1"/>
  <c r="BO119" i="1" s="1"/>
  <c r="BO40" i="1" s="1"/>
  <c r="P50" i="2" l="1"/>
  <c r="K9" i="31"/>
  <c r="K11" i="31" s="1"/>
  <c r="BO41" i="1"/>
  <c r="K10" i="31" s="1"/>
  <c r="BO42" i="1"/>
  <c r="BO45" i="1" l="1"/>
  <c r="P51" i="2"/>
  <c r="BO60" i="1"/>
  <c r="BO61" i="1" s="1"/>
  <c r="BO46" i="1" s="1"/>
  <c r="BO52" i="1"/>
  <c r="BO44" i="1"/>
  <c r="BO54" i="1" l="1"/>
  <c r="BO55" i="1"/>
  <c r="O6" i="11"/>
  <c r="O20" i="11" l="1"/>
  <c r="P37" i="2"/>
  <c r="P38" i="2" l="1"/>
  <c r="P40" i="2" s="1"/>
  <c r="P52" i="2"/>
  <c r="O39" i="11"/>
  <c r="O42" i="11" s="1"/>
  <c r="P40" i="11" l="1"/>
  <c r="O44" i="11"/>
  <c r="P5" i="2"/>
  <c r="BT95" i="1" l="1"/>
  <c r="BT97" i="1" s="1"/>
  <c r="BT37" i="1" s="1"/>
  <c r="BT39" i="1" s="1"/>
  <c r="P11" i="2"/>
  <c r="O46" i="11"/>
  <c r="BT114" i="1" l="1"/>
  <c r="BT115" i="1" s="1"/>
  <c r="P18" i="2"/>
  <c r="P42" i="2" s="1"/>
  <c r="K13" i="31"/>
  <c r="K15" i="31" s="1"/>
  <c r="K17" i="31" l="1"/>
  <c r="K16" i="31"/>
  <c r="BT117" i="1"/>
  <c r="BT119" i="1" s="1"/>
  <c r="BT40" i="1" s="1"/>
  <c r="BY113" i="1"/>
  <c r="BT118" i="1"/>
  <c r="L9" i="31" l="1"/>
  <c r="L11" i="31" s="1"/>
  <c r="Q50" i="2"/>
  <c r="BT41" i="1"/>
  <c r="L10" i="31" s="1"/>
  <c r="BT42" i="1"/>
  <c r="BT45" i="1" l="1"/>
  <c r="Q51" i="2"/>
  <c r="BT60" i="1"/>
  <c r="BT61" i="1" s="1"/>
  <c r="BT46" i="1" s="1"/>
  <c r="BT44" i="1"/>
  <c r="BT52" i="1"/>
  <c r="BT54" i="1" l="1"/>
  <c r="BT55" i="1"/>
  <c r="P6" i="11"/>
  <c r="P20" i="11" l="1"/>
  <c r="Q37" i="2"/>
  <c r="Q38" i="2" l="1"/>
  <c r="Q40" i="2" s="1"/>
  <c r="Q52" i="2"/>
  <c r="P39" i="11"/>
  <c r="P42" i="11" s="1"/>
  <c r="Q40" i="11" l="1"/>
  <c r="P44" i="11"/>
  <c r="Q5" i="2"/>
  <c r="Q11" i="2" l="1"/>
  <c r="BY95" i="1"/>
  <c r="BY97" i="1" s="1"/>
  <c r="BY37" i="1" s="1"/>
  <c r="BY39" i="1" s="1"/>
  <c r="P46" i="11"/>
  <c r="BY114" i="1" l="1"/>
  <c r="BY115" i="1" s="1"/>
  <c r="Q18" i="2"/>
  <c r="Q42" i="2" s="1"/>
  <c r="L13" i="31"/>
  <c r="M13" i="31" l="1"/>
  <c r="N13" i="31" s="1"/>
  <c r="O13" i="31" s="1"/>
  <c r="P13" i="31" s="1"/>
  <c r="Q13" i="31" s="1"/>
  <c r="R13" i="31" s="1"/>
  <c r="S13" i="31" s="1"/>
  <c r="T13" i="31" s="1"/>
  <c r="L15" i="31"/>
  <c r="BY117" i="1"/>
  <c r="BY119" i="1" s="1"/>
  <c r="BY40" i="1" s="1"/>
  <c r="CD113" i="1"/>
  <c r="BY118" i="1"/>
  <c r="L16" i="31" l="1"/>
  <c r="L17" i="31"/>
  <c r="R50" i="2"/>
  <c r="M9" i="31"/>
  <c r="M11" i="31" s="1"/>
  <c r="M15" i="31" s="1"/>
  <c r="BY41" i="1"/>
  <c r="M10" i="31" s="1"/>
  <c r="BY42" i="1"/>
  <c r="M17" i="31" l="1"/>
  <c r="M16" i="31"/>
  <c r="BY45" i="1"/>
  <c r="BY44" i="1"/>
  <c r="BY52" i="1"/>
  <c r="BY60" i="1"/>
  <c r="BY61" i="1" s="1"/>
  <c r="BY46" i="1" s="1"/>
  <c r="R51" i="2"/>
  <c r="BY54" i="1" l="1"/>
  <c r="Q6" i="11"/>
  <c r="BY55" i="1"/>
  <c r="Q20" i="11" l="1"/>
  <c r="R37" i="2"/>
  <c r="R38" i="2" l="1"/>
  <c r="R40" i="2" s="1"/>
  <c r="R52" i="2"/>
  <c r="Q39" i="11"/>
  <c r="Q42" i="11" s="1"/>
  <c r="Q44" i="11" l="1"/>
  <c r="R40" i="11"/>
  <c r="R5" i="2"/>
  <c r="R11" i="2" l="1"/>
  <c r="R18" i="2" s="1"/>
  <c r="R42" i="2" s="1"/>
  <c r="CD95" i="1"/>
  <c r="CD97" i="1" s="1"/>
  <c r="CD37" i="1" s="1"/>
  <c r="CD39" i="1" s="1"/>
  <c r="Q46" i="11"/>
  <c r="CD114" i="1" l="1"/>
  <c r="CD115" i="1" s="1"/>
  <c r="CD118" i="1" l="1"/>
  <c r="CI113" i="1"/>
  <c r="CD117" i="1"/>
  <c r="CD119" i="1" s="1"/>
  <c r="CD40" i="1" s="1"/>
  <c r="S50" i="2" l="1"/>
  <c r="N9" i="31"/>
  <c r="N11" i="31" s="1"/>
  <c r="N15" i="31" s="1"/>
  <c r="CD41" i="1"/>
  <c r="N10" i="31" s="1"/>
  <c r="CD42" i="1"/>
  <c r="CD45" i="1" l="1"/>
  <c r="S51" i="2"/>
  <c r="CD44" i="1"/>
  <c r="CD60" i="1"/>
  <c r="CD61" i="1" s="1"/>
  <c r="CD46" i="1" s="1"/>
  <c r="CD52" i="1"/>
  <c r="N16" i="31"/>
  <c r="N17" i="31"/>
  <c r="CD54" i="1" l="1"/>
  <c r="CD55" i="1"/>
  <c r="R6" i="11"/>
  <c r="R20" i="11" l="1"/>
  <c r="S37" i="2"/>
  <c r="R39" i="11" l="1"/>
  <c r="R42" i="11" s="1"/>
  <c r="S52" i="2"/>
  <c r="S38" i="2"/>
  <c r="S40" i="2" s="1"/>
  <c r="R44" i="11" l="1"/>
  <c r="S40" i="11"/>
  <c r="S5" i="2"/>
  <c r="R46" i="11" s="1"/>
  <c r="S11" i="2" l="1"/>
  <c r="S18" i="2" s="1"/>
  <c r="S42" i="2" s="1"/>
  <c r="CI95" i="1"/>
  <c r="CI97" i="1" s="1"/>
  <c r="CI37" i="1" s="1"/>
  <c r="CI39" i="1" s="1"/>
  <c r="CI114" i="1" l="1"/>
  <c r="CI115" i="1" s="1"/>
  <c r="CI117" i="1" l="1"/>
  <c r="CI119" i="1" s="1"/>
  <c r="CI40" i="1" s="1"/>
  <c r="CI118" i="1"/>
  <c r="CN113" i="1"/>
  <c r="T50" i="2" l="1"/>
  <c r="O9" i="31"/>
  <c r="O11" i="31" s="1"/>
  <c r="O15" i="31" s="1"/>
  <c r="CI42" i="1"/>
  <c r="CI41" i="1"/>
  <c r="O10" i="31" s="1"/>
  <c r="O16" i="31" l="1"/>
  <c r="O17" i="31"/>
  <c r="T51" i="2"/>
  <c r="CI45" i="1"/>
  <c r="CI52" i="1"/>
  <c r="CI44" i="1"/>
  <c r="CI60" i="1"/>
  <c r="CI61" i="1" s="1"/>
  <c r="CI46" i="1" s="1"/>
  <c r="CI55" i="1" l="1"/>
  <c r="CI54" i="1"/>
  <c r="S6" i="11"/>
  <c r="S20" i="11" l="1"/>
  <c r="T37" i="2"/>
  <c r="T52" i="2" l="1"/>
  <c r="S39" i="11"/>
  <c r="S42" i="11" s="1"/>
  <c r="T38" i="2"/>
  <c r="T40" i="2" s="1"/>
  <c r="T40" i="11" l="1"/>
  <c r="S44" i="11"/>
  <c r="T5" i="2"/>
  <c r="S46" i="11" s="1"/>
  <c r="T11" i="2" l="1"/>
  <c r="T18" i="2" s="1"/>
  <c r="T42" i="2" s="1"/>
  <c r="CN95" i="1"/>
  <c r="CN97" i="1" l="1"/>
  <c r="CN37" i="1" s="1"/>
  <c r="CN39" i="1" s="1"/>
  <c r="CS95" i="1"/>
  <c r="CS97" i="1" s="1"/>
  <c r="CS37" i="1" s="1"/>
  <c r="CS39" i="1" s="1"/>
  <c r="CN114" i="1" l="1"/>
  <c r="CN115" i="1" s="1"/>
  <c r="CS114" i="1"/>
  <c r="CN118" i="1" l="1"/>
  <c r="CS113" i="1"/>
  <c r="CS115" i="1" s="1"/>
  <c r="CN117" i="1"/>
  <c r="CN119" i="1" s="1"/>
  <c r="CN40" i="1" s="1"/>
  <c r="CS118" i="1" l="1"/>
  <c r="CS117" i="1"/>
  <c r="CS119" i="1" s="1"/>
  <c r="CS40" i="1" s="1"/>
  <c r="P9" i="31"/>
  <c r="P11" i="31" s="1"/>
  <c r="P15" i="31" s="1"/>
  <c r="U50" i="2"/>
  <c r="CN42" i="1"/>
  <c r="CN41" i="1"/>
  <c r="P10" i="31" s="1"/>
  <c r="P16" i="31" l="1"/>
  <c r="P17" i="31"/>
  <c r="Q9" i="31"/>
  <c r="Q11" i="31" s="1"/>
  <c r="Q15" i="31" s="1"/>
  <c r="V50" i="2"/>
  <c r="CS41" i="1"/>
  <c r="Q10" i="31" s="1"/>
  <c r="R10" i="31" s="1"/>
  <c r="CS42" i="1"/>
  <c r="CN45" i="1"/>
  <c r="CN60" i="1"/>
  <c r="CN61" i="1" s="1"/>
  <c r="CN46" i="1" s="1"/>
  <c r="CN44" i="1"/>
  <c r="U51" i="2"/>
  <c r="CN52" i="1"/>
  <c r="R9" i="31" l="1"/>
  <c r="R11" i="31" s="1"/>
  <c r="R15" i="31" s="1"/>
  <c r="S10" i="31"/>
  <c r="CN54" i="1"/>
  <c r="T6" i="11"/>
  <c r="CN55" i="1"/>
  <c r="Q16" i="31"/>
  <c r="Q17" i="31"/>
  <c r="V51" i="2"/>
  <c r="CS45" i="1"/>
  <c r="CS52" i="1"/>
  <c r="CS44" i="1"/>
  <c r="CS60" i="1"/>
  <c r="CS61" i="1" s="1"/>
  <c r="CS46" i="1" s="1"/>
  <c r="CS54" i="1" l="1"/>
  <c r="CS55" i="1"/>
  <c r="U6" i="11"/>
  <c r="U20" i="11" s="1"/>
  <c r="R16" i="31"/>
  <c r="U16" i="31"/>
  <c r="R17" i="31"/>
  <c r="T20" i="11"/>
  <c r="U37" i="2"/>
  <c r="S9" i="31"/>
  <c r="S11" i="31" s="1"/>
  <c r="S15" i="31" s="1"/>
  <c r="T10" i="31"/>
  <c r="T9" i="31" s="1"/>
  <c r="T11" i="31" s="1"/>
  <c r="T15" i="31" s="1"/>
  <c r="U52" i="2" l="1"/>
  <c r="T39" i="11"/>
  <c r="T42" i="11" s="1"/>
  <c r="T17" i="31"/>
  <c r="T16" i="31"/>
  <c r="U15" i="31"/>
  <c r="U17" i="31" s="1"/>
  <c r="V37" i="2"/>
  <c r="V38" i="2" s="1"/>
  <c r="V40" i="2" s="1"/>
  <c r="U38" i="2"/>
  <c r="U40" i="2" s="1"/>
  <c r="V52" i="2"/>
  <c r="U39" i="11"/>
  <c r="S17" i="31"/>
  <c r="S16" i="31"/>
  <c r="U40" i="11" l="1"/>
  <c r="U42" i="11" s="1"/>
  <c r="U5" i="2"/>
  <c r="U11" i="2" s="1"/>
  <c r="U18" i="2" s="1"/>
  <c r="U42" i="2" s="1"/>
  <c r="T44" i="11"/>
  <c r="C19" i="31"/>
  <c r="C22" i="31" s="1"/>
  <c r="C23" i="31" s="1"/>
  <c r="U44" i="11" l="1"/>
  <c r="V5" i="2"/>
  <c r="V11" i="2" s="1"/>
  <c r="V18" i="2" s="1"/>
  <c r="V42" i="2" s="1"/>
  <c r="T46" i="11"/>
  <c r="K3" i="16"/>
  <c r="K3" i="39"/>
  <c r="F3" i="22"/>
  <c r="K3" i="14"/>
  <c r="L3" i="28"/>
  <c r="U46" i="11" l="1"/>
  <c r="G53" i="11" l="1"/>
  <c r="H54" i="11"/>
  <c r="I54" i="11" s="1"/>
  <c r="J54" i="11" l="1"/>
  <c r="I53" i="11"/>
  <c r="J53" i="11" l="1"/>
  <c r="K54" i="11"/>
  <c r="K53" i="11" l="1"/>
  <c r="L54" i="11"/>
  <c r="M54" i="11" l="1"/>
  <c r="L53" i="11"/>
  <c r="N54" i="11" l="1"/>
  <c r="M53" i="11"/>
  <c r="N53" i="11" l="1"/>
  <c r="O54" i="11"/>
  <c r="O53" i="11" l="1"/>
  <c r="P54" i="11"/>
  <c r="Q54" i="11" l="1"/>
  <c r="P53" i="11"/>
  <c r="R54" i="11" l="1"/>
  <c r="Q53" i="11"/>
  <c r="R53" i="11" l="1"/>
  <c r="S54" i="11"/>
  <c r="S53" i="11" l="1"/>
  <c r="T54" i="11"/>
  <c r="U54" i="11" l="1"/>
  <c r="U53" i="11" s="1"/>
  <c r="T53" i="11"/>
</calcChain>
</file>

<file path=xl/comments1.xml><?xml version="1.0" encoding="utf-8"?>
<comments xmlns="http://schemas.openxmlformats.org/spreadsheetml/2006/main">
  <authors>
    <author>Lebowitz, David (Research)</author>
  </authors>
  <commentList>
    <comment ref="C42" authorId="0">
      <text>
        <r>
          <rPr>
            <b/>
            <sz val="9"/>
            <color indexed="81"/>
            <rFont val="Tahoma"/>
            <family val="2"/>
          </rPr>
          <t>Includes PNH, aHUS</t>
        </r>
      </text>
    </comment>
    <comment ref="C54" authorId="0">
      <text>
        <r>
          <rPr>
            <b/>
            <sz val="9"/>
            <color indexed="81"/>
            <rFont val="Tahoma"/>
            <family val="2"/>
          </rPr>
          <t>Includes PNH, aHUS</t>
        </r>
      </text>
    </comment>
  </commentList>
</comments>
</file>

<file path=xl/comments2.xml><?xml version="1.0" encoding="utf-8"?>
<comments xmlns="http://schemas.openxmlformats.org/spreadsheetml/2006/main">
  <authors>
    <author>Agarwal, Sadhika (Research)</author>
    <author>Lebowitz, David (Research)</author>
  </authors>
  <commentList>
    <comment ref="C50" authorId="0">
      <text>
        <r>
          <rPr>
            <sz val="9"/>
            <color indexed="81"/>
            <rFont val="Tahoma"/>
            <family val="2"/>
          </rPr>
          <t>Equity in loss of joint venture (Regulus Therapeutics Inc.</t>
        </r>
      </text>
    </comment>
    <comment ref="D50" authorId="0">
      <text>
        <r>
          <rPr>
            <sz val="9"/>
            <color indexed="81"/>
            <rFont val="Tahoma"/>
            <family val="2"/>
          </rPr>
          <t>Equity in loss of joint venture (Regulus Therapeutics Inc.</t>
        </r>
      </text>
    </comment>
    <comment ref="E50" authorId="0">
      <text>
        <r>
          <rPr>
            <sz val="9"/>
            <color indexed="81"/>
            <rFont val="Tahoma"/>
            <family val="2"/>
          </rPr>
          <t>Equity in loss of joint venture (Regulus Therapeutics Inc.</t>
        </r>
      </text>
    </comment>
    <comment ref="F50" authorId="0">
      <text>
        <r>
          <rPr>
            <sz val="9"/>
            <color indexed="81"/>
            <rFont val="Tahoma"/>
            <family val="2"/>
          </rPr>
          <t>Includes:
Restructuring of Tekmira license agreement: $65.0mm
Equity in loss of joint venture (Regulus Therapeutics Inc.): $0.881mm 
Gain on issuance of stock by Regulus Therapeutics Inc.: $16.084mm</t>
        </r>
      </text>
    </comment>
    <comment ref="M50" authorId="0">
      <text>
        <r>
          <rPr>
            <sz val="9"/>
            <color indexed="81"/>
            <rFont val="Tahoma"/>
            <family val="2"/>
          </rPr>
          <t xml:space="preserve">In-process research and development
</t>
        </r>
      </text>
    </comment>
    <comment ref="N50" authorId="0">
      <text>
        <r>
          <rPr>
            <sz val="9"/>
            <color indexed="81"/>
            <rFont val="Tahoma"/>
            <family val="2"/>
          </rPr>
          <t xml:space="preserve">In-process research and development
</t>
        </r>
      </text>
    </comment>
    <comment ref="AA108" authorId="1">
      <text>
        <r>
          <rPr>
            <b/>
            <sz val="9"/>
            <color indexed="81"/>
            <rFont val="Tahoma"/>
            <family val="2"/>
          </rPr>
          <t xml:space="preserve">LIBOR +0.45
</t>
        </r>
      </text>
    </comment>
    <comment ref="AF108" authorId="1">
      <text>
        <r>
          <rPr>
            <b/>
            <sz val="9"/>
            <color indexed="81"/>
            <rFont val="Tahoma"/>
            <family val="2"/>
          </rPr>
          <t xml:space="preserve">LIBOR +0.45
</t>
        </r>
      </text>
    </comment>
    <comment ref="AK108" authorId="1">
      <text>
        <r>
          <rPr>
            <b/>
            <sz val="9"/>
            <color indexed="81"/>
            <rFont val="Tahoma"/>
            <family val="2"/>
          </rPr>
          <t xml:space="preserve">LIBOR +0.45
</t>
        </r>
      </text>
    </comment>
    <comment ref="AP108" authorId="1">
      <text>
        <r>
          <rPr>
            <b/>
            <sz val="9"/>
            <color indexed="81"/>
            <rFont val="Tahoma"/>
            <family val="2"/>
          </rPr>
          <t xml:space="preserve">LIBOR +0.45
</t>
        </r>
      </text>
    </comment>
    <comment ref="AU108" authorId="1">
      <text>
        <r>
          <rPr>
            <b/>
            <sz val="9"/>
            <color indexed="81"/>
            <rFont val="Tahoma"/>
            <family val="2"/>
          </rPr>
          <t xml:space="preserve">LIBOR +0.45
</t>
        </r>
      </text>
    </comment>
    <comment ref="AZ108" authorId="1">
      <text>
        <r>
          <rPr>
            <b/>
            <sz val="9"/>
            <color indexed="81"/>
            <rFont val="Tahoma"/>
            <family val="2"/>
          </rPr>
          <t xml:space="preserve">LIBOR +0.45
</t>
        </r>
      </text>
    </comment>
  </commentList>
</comments>
</file>

<file path=xl/comments3.xml><?xml version="1.0" encoding="utf-8"?>
<comments xmlns="http://schemas.openxmlformats.org/spreadsheetml/2006/main">
  <authors>
    <author>Lebowitz, David (Research)</author>
  </authors>
  <commentList>
    <comment ref="K13" authorId="0">
      <text>
        <r>
          <rPr>
            <sz val="9"/>
            <color indexed="81"/>
            <rFont val="Tahoma"/>
            <family val="2"/>
          </rPr>
          <t xml:space="preserve">
moved to current assets</t>
        </r>
      </text>
    </comment>
  </commentList>
</comments>
</file>

<file path=xl/comments4.xml><?xml version="1.0" encoding="utf-8"?>
<comments xmlns="http://schemas.openxmlformats.org/spreadsheetml/2006/main">
  <authors>
    <author>Brienne Kugler</author>
  </authors>
  <commentList>
    <comment ref="H7" authorId="0">
      <text>
        <r>
          <rPr>
            <sz val="8"/>
            <color indexed="81"/>
            <rFont val="Tahoma"/>
            <family val="2"/>
          </rPr>
          <t xml:space="preserve">
Expect to file NDA late 2017</t>
        </r>
      </text>
    </comment>
    <comment ref="C32" authorId="0">
      <text>
        <r>
          <rPr>
            <sz val="8"/>
            <color indexed="81"/>
            <rFont val="Tahoma"/>
            <family val="2"/>
          </rPr>
          <t xml:space="preserve">
1/100,000 in US
Orphanet Journal of Rare Diseases20138:31
DOI: 10.1186/1750-1172-8-31©  Ando et al; licensee BioMed Central Ltd. 2013
Received: 11 October 2012Accepted: 1 January 2013Published: 20 February 2013</t>
        </r>
      </text>
    </comment>
    <comment ref="C61" authorId="0">
      <text>
        <r>
          <rPr>
            <sz val="8"/>
            <color indexed="81"/>
            <rFont val="Tahoma"/>
            <family val="2"/>
          </rPr>
          <t xml:space="preserve">
Vyndaqel CHMP docs, FDA briefing docs: 2.7-3.5k FAP pts in EU
</t>
        </r>
        <r>
          <rPr>
            <i/>
            <sz val="8"/>
            <color indexed="81"/>
            <rFont val="Tahoma"/>
            <family val="2"/>
          </rPr>
          <t>ALNY</t>
        </r>
        <r>
          <rPr>
            <sz val="8"/>
            <color indexed="81"/>
            <rFont val="Tahoma"/>
            <family val="2"/>
          </rPr>
          <t>: 4,500 FAP pts in EU ex-Sweden, Portugal</t>
        </r>
      </text>
    </comment>
    <comment ref="C62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Proc. Jpn. Acad 2010 Araki</t>
        </r>
        <r>
          <rPr>
            <sz val="8"/>
            <color indexed="81"/>
            <rFont val="Tahoma"/>
            <family val="2"/>
          </rPr>
          <t xml:space="preserve">: &gt;3k pts registered at CEP by 2007
</t>
        </r>
        <r>
          <rPr>
            <i/>
            <sz val="8"/>
            <color indexed="81"/>
            <rFont val="Tahoma"/>
            <family val="2"/>
          </rPr>
          <t>Neur Review 2005 Ando</t>
        </r>
        <r>
          <rPr>
            <sz val="8"/>
            <color indexed="81"/>
            <rFont val="Tahoma"/>
            <family val="2"/>
          </rPr>
          <t xml:space="preserve">: &gt;1.5k FAP pts registered in Portugal by 2003
</t>
        </r>
        <r>
          <rPr>
            <i/>
            <sz val="8"/>
            <color indexed="81"/>
            <rFont val="Tahoma"/>
            <family val="2"/>
          </rPr>
          <t>J Med Genet 1994 Coelho</t>
        </r>
        <r>
          <rPr>
            <sz val="8"/>
            <color indexed="81"/>
            <rFont val="Tahoma"/>
            <family val="2"/>
          </rPr>
          <t xml:space="preserve">: 1,233 FAP pts registered at CEP from 1939-1992
</t>
        </r>
        <r>
          <rPr>
            <i/>
            <sz val="8"/>
            <color indexed="81"/>
            <rFont val="Tahoma"/>
            <family val="2"/>
          </rPr>
          <t>Am J Med Genet 1995 Sousa</t>
        </r>
        <r>
          <rPr>
            <sz val="8"/>
            <color indexed="81"/>
            <rFont val="Tahoma"/>
            <family val="2"/>
          </rPr>
          <t xml:space="preserve">: 108 alive pts/330 total pts registered at CEP  from 1939-1992 living in Povoa/Vila do Conde area at time of Dx -&gt; if extrapolate to 1,233 FAP pts registered at CEP from 1939, number of alive pts in 1992 registered at CEP = 404 pts
</t>
        </r>
        <r>
          <rPr>
            <i/>
            <sz val="8"/>
            <color indexed="81"/>
            <rFont val="Tahoma"/>
            <family val="2"/>
          </rPr>
          <t>GAPPAF:</t>
        </r>
        <r>
          <rPr>
            <sz val="8"/>
            <color indexed="81"/>
            <rFont val="Tahoma"/>
            <family val="2"/>
          </rPr>
          <t xml:space="preserve"> 1,213 pts in Portugal (740 transplanted)
Using 3k FAP pts in EU assumption:
Vyndaqel Ph 3: Portugal enrolled ~74% of EU pts -&gt; 2,229 FAP pts in Portugal
FAPTWR Liver Tx: ~57% of FAP transplants occur in Portugal -&gt; 1,707 pts in Portugal
CEP: Centro de Estudos de Paramiloidose in Porto, Portugal
</t>
        </r>
        <r>
          <rPr>
            <i/>
            <sz val="8"/>
            <color indexed="81"/>
            <rFont val="Tahoma"/>
            <family val="2"/>
          </rPr>
          <t>ALNY</t>
        </r>
        <r>
          <rPr>
            <sz val="8"/>
            <color indexed="81"/>
            <rFont val="Tahoma"/>
            <family val="2"/>
          </rPr>
          <t>: 2,000 FAP pts in Portuga</t>
        </r>
      </text>
    </comment>
    <comment ref="C63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J Med Genet 1994 Holmgre</t>
        </r>
        <r>
          <rPr>
            <sz val="8"/>
            <color indexed="81"/>
            <rFont val="Tahoma"/>
            <family val="2"/>
          </rPr>
          <t xml:space="preserve">n: 152 living FAP pts in northern Sweden in 1994
</t>
        </r>
        <r>
          <rPr>
            <i/>
            <sz val="8"/>
            <color indexed="81"/>
            <rFont val="Tahoma"/>
            <family val="2"/>
          </rPr>
          <t>Amyloid 2008 Hellman</t>
        </r>
        <r>
          <rPr>
            <sz val="8"/>
            <color indexed="81"/>
            <rFont val="Tahoma"/>
            <family val="2"/>
          </rPr>
          <t xml:space="preserve">: 401 pts treated at Uma University Hospital since 1986
</t>
        </r>
        <r>
          <rPr>
            <i/>
            <sz val="8"/>
            <color indexed="81"/>
            <rFont val="Tahoma"/>
            <family val="2"/>
          </rPr>
          <t>Hum Hered 1993 Sousa</t>
        </r>
        <r>
          <rPr>
            <sz val="8"/>
            <color indexed="81"/>
            <rFont val="Tahoma"/>
            <family val="2"/>
          </rPr>
          <t xml:space="preserve">: 239 FAP pts in Northern Sweden identified by medical dept registers from 1976-1990 (90 FAP pts still alive in 1990) 
Using 3k FAP pts in EU assumption:
Vyndaqel Ph 3: Sweden enrolled ~9.5% of EU pts -&gt; 286 FAP pts in Sweden
FAPTWR Liver Tx: ~8.6% of FAP transplants occur in Sweden -&gt;257 FAP pts in Sweden
</t>
        </r>
        <r>
          <rPr>
            <i/>
            <sz val="8"/>
            <color indexed="81"/>
            <rFont val="Tahoma"/>
            <family val="2"/>
          </rPr>
          <t>ALNY</t>
        </r>
        <r>
          <rPr>
            <sz val="8"/>
            <color indexed="81"/>
            <rFont val="Tahoma"/>
            <family val="2"/>
          </rPr>
          <t>: 300 FAP pts in Sweden</t>
        </r>
      </text>
    </comment>
    <comment ref="B99" authorId="0">
      <text>
        <r>
          <rPr>
            <sz val="8"/>
            <color indexed="81"/>
            <rFont val="Tahoma"/>
            <family val="2"/>
          </rPr>
          <t xml:space="preserve">
Portugal price may be 135k euros/yr</t>
        </r>
      </text>
    </comment>
    <comment ref="B117" authorId="0">
      <text>
        <r>
          <rPr>
            <sz val="8"/>
            <color indexed="81"/>
            <rFont val="Tahoma"/>
            <family val="2"/>
          </rPr>
          <t xml:space="preserve">
Tiered royalties randing from mid-teens to mid-twenties annual net sales</t>
        </r>
      </text>
    </comment>
    <comment ref="C121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ALNY comments 3Q12 transcript: 500-1k pts
ALNY FAP epidemiology slides: 1,000</t>
        </r>
        <r>
          <rPr>
            <sz val="8"/>
            <color indexed="81"/>
            <rFont val="Tahoma"/>
            <family val="2"/>
          </rPr>
          <t xml:space="preserve">
ALNY/GENZ call (Jan 2014): 1k-2k pts in Japan</t>
        </r>
      </text>
    </comment>
    <comment ref="B145" authorId="0">
      <text>
        <r>
          <rPr>
            <sz val="8"/>
            <color indexed="81"/>
            <rFont val="Tahoma"/>
            <family val="2"/>
          </rPr>
          <t xml:space="preserve">
Tiered royalties randing from mid-teens to mid-twenties annual net sales</t>
        </r>
      </text>
    </comment>
  </commentList>
</comments>
</file>

<file path=xl/comments5.xml><?xml version="1.0" encoding="utf-8"?>
<comments xmlns="http://schemas.openxmlformats.org/spreadsheetml/2006/main">
  <authors>
    <author>Lebowitz, David (Research)</author>
  </authors>
  <commentList>
    <comment ref="E17" authorId="0">
      <text>
        <r>
          <rPr>
            <sz val="9"/>
            <color indexed="81"/>
            <rFont val="Tahoma"/>
            <family val="2"/>
          </rPr>
          <t xml:space="preserve">2-5/100,000
Anderson KE, Metabolic &amp; Molecular Bases of Inherited Disease, 2001 </t>
        </r>
      </text>
    </comment>
    <comment ref="E21" authorId="0">
      <text>
        <r>
          <rPr>
            <b/>
            <sz val="9"/>
            <color indexed="81"/>
            <rFont val="Tahoma"/>
            <family val="2"/>
          </rPr>
          <t>ALNY assumption per 9/17 roundtable</t>
        </r>
      </text>
    </comment>
  </commentList>
</comments>
</file>

<file path=xl/comments6.xml><?xml version="1.0" encoding="utf-8"?>
<comments xmlns="http://schemas.openxmlformats.org/spreadsheetml/2006/main">
  <authors>
    <author>Brienne Kugler</author>
  </authors>
  <commentList>
    <comment ref="H7" authorId="0">
      <text>
        <r>
          <rPr>
            <sz val="8"/>
            <color indexed="81"/>
            <rFont val="Tahoma"/>
            <family val="2"/>
          </rPr>
          <t xml:space="preserve">
Ph 1 data - 2014
Ph 2/3 study  - assume start 2H14, 1 yr to enrolll, 1 yr to dose
File 1H17
Mkt 1H18
</t>
        </r>
      </text>
    </comment>
    <comment ref="C27" authorId="0">
      <text>
        <r>
          <rPr>
            <sz val="8"/>
            <color indexed="81"/>
            <rFont val="Tahoma"/>
            <family val="2"/>
          </rPr>
          <t xml:space="preserve">
        Impact Factor for 2014 is 1.396   Click here to view optimized website for mobile devices       Journal is indexed with MEDLINE/Index Medicus, PubMed and Science Citation Index Expanded
   Table of Contents      
REVIEW ARTICLE
Year : 2014  |  Volume : 140  |  Issue : 1  |  Page : 19-31
Epidemiology &amp; social costs of haemophilia in India
Anita Kar, Supriya Phadnis, Sumedha Dharmarajan, Juhi Nakade
Interdisciplinary School of Health Sciences, University of Pune, Pune, India</t>
        </r>
      </text>
    </comment>
    <comment ref="C57" authorId="0">
      <text>
        <r>
          <rPr>
            <sz val="8"/>
            <color indexed="81"/>
            <rFont val="Tahoma"/>
            <family val="2"/>
          </rPr>
          <t>Extrapolated from this report. Estimates that 6/100000 will get Hemo A or B
        Impact Factor for 2014 is 1.396   Click here to view optimized website for mobile devices       Journal is indexed with MEDLINE/Index Medicus, PubMed and Science Citation Index Expanded
   Table of Contents      
REVIEW ARTICLE
Year : 2014  |  Volume : 140  |  Issue : 1  |  Page : 19-31
Epidemiology &amp; social costs of haemophilia in India
Anita Kar, Supriya Phadnis, Sumedha Dharmarajan, Juhi Nakade
Interdisciplinary School of Health Sciences, University of Pune, Pune, India</t>
        </r>
      </text>
    </comment>
    <comment ref="C87" authorId="0">
      <text>
        <r>
          <rPr>
            <sz val="8"/>
            <color indexed="81"/>
            <rFont val="Tahoma"/>
            <family val="2"/>
          </rPr>
          <t>most recent data (reported in 2010)
Pop'n includes (per ALNY):
FII, FV, FVII, FX, and FXI</t>
        </r>
      </text>
    </comment>
    <comment ref="C91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J Thrombos Haemostas 2012 Peyvandi</t>
        </r>
        <r>
          <rPr>
            <sz val="8"/>
            <color indexed="81"/>
            <rFont val="Tahoma"/>
            <family val="2"/>
          </rPr>
          <t xml:space="preserve">
% with spontaneous minor bleeding (bruising, ecchymosis, minor wounds, oral cavity bleeding,
epistaxis and menorrhagia) 
AND
% with spontaneous major bleeding (hematomas, hemarthrosis, CNS, GI and umbilical cord bleeding)
Weighted based on WFH pop'n</t>
        </r>
      </text>
    </comment>
    <comment ref="C117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Data is from most recent yr, when available. Some data is extrapolated from hemophilia A pts using EU estimates for RBD pts as a % of hemophilia A
Countries include:
Austria
Belgium
Denmark
Finland
France
Germany
Ireland
Italy
Netherlands
Norway
Portugal
Spain
Sweden
Switzerland
UK
Pop'n includes (per ALNY):
FII, FV, FVII, FX, and FXI</t>
        </r>
      </text>
    </comment>
    <comment ref="C121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J Thrombos Haemostas 2012 Peyvandi</t>
        </r>
        <r>
          <rPr>
            <sz val="8"/>
            <color indexed="81"/>
            <rFont val="Tahoma"/>
            <family val="2"/>
          </rPr>
          <t xml:space="preserve">
% with spontaneous minor bleeding (bruising, ecchymosis, minor wounds, oral cavity bleeding,
epistaxis and menorrhagia) 
AND
% with spontaneous major bleeding (hematomas, hemarthrosis, CNS, GI and umbilical cord bleeding)
Weighted based on WFH pop'n</t>
        </r>
      </text>
    </comment>
  </commentList>
</comments>
</file>

<file path=xl/comments7.xml><?xml version="1.0" encoding="utf-8"?>
<comments xmlns="http://schemas.openxmlformats.org/spreadsheetml/2006/main">
  <authors>
    <author>slifsara</author>
  </authors>
  <commentList>
    <comment ref="B20" authorId="0">
      <text>
        <r>
          <rPr>
            <sz val="8"/>
            <color indexed="81"/>
            <rFont val="Tahoma"/>
            <family val="2"/>
          </rPr>
          <t xml:space="preserve">
CDC vital signs 2011. 
Int J Cardiol 2010
Ann Epidemiol 2007 - Trends in ATP III defined high blood cholesterol….
JAMA 2009. 
Ann Intern Med 2009. </t>
        </r>
      </text>
    </comment>
    <comment ref="B23" authorId="0">
      <text>
        <r>
          <rPr>
            <sz val="8"/>
            <color indexed="81"/>
            <rFont val="Tahoma"/>
            <family val="2"/>
          </rPr>
          <t xml:space="preserve">
According to ATP III guidelines, these are patients with history of CHD, angina, MI, stroke and/or diabetes or participants with fasting blood glucose level of ≥126mg/dL or fasting hemoglobin A1c≥ 6.5
Ann Epidemiol 2007 trends in ATP III defined high blood cholesterol. 
Ann Intern Med 2009. </t>
        </r>
      </text>
    </comment>
    <comment ref="B32" authorId="0">
      <text>
        <r>
          <rPr>
            <sz val="8"/>
            <color indexed="81"/>
            <rFont val="Tahoma"/>
            <family val="2"/>
          </rPr>
          <t xml:space="preserve">
10-20% of statin treated patients.
JAMA 2012 AMG145 in statin intolerant pts
Cardiovascular Drugs and Therapy - mild to moderate muscular symptoms in…
Diab Metabolic Obesity 2011- treating statin intolerant pts. </t>
        </r>
      </text>
    </comment>
    <comment ref="B35" authorId="0">
      <text>
        <r>
          <rPr>
            <sz val="8"/>
            <color indexed="81"/>
            <rFont val="Tahoma"/>
            <family val="2"/>
          </rPr>
          <t xml:space="preserve">
AMG145 in Statin intolerant patients GAUSS trial. </t>
        </r>
      </text>
    </comment>
    <comment ref="I80" authorId="0">
      <text>
        <r>
          <rPr>
            <sz val="8"/>
            <color indexed="81"/>
            <rFont val="Tahoma"/>
            <family val="2"/>
          </rPr>
          <t xml:space="preserve">
Eligible to receive scaled double digit royalties on global product sales</t>
        </r>
      </text>
    </comment>
  </commentList>
</comments>
</file>

<file path=xl/comments8.xml><?xml version="1.0" encoding="utf-8"?>
<comments xmlns="http://schemas.openxmlformats.org/spreadsheetml/2006/main">
  <authors>
    <author>Brienne Kugler</author>
  </authors>
  <commentList>
    <comment ref="C17" authorId="0">
      <text>
        <r>
          <rPr>
            <sz val="8"/>
            <color indexed="81"/>
            <rFont val="Tahoma"/>
            <family val="2"/>
          </rPr>
          <t xml:space="preserve">
http://quickfacts.census.gov/qfd/states/00000.html</t>
        </r>
      </text>
    </comment>
    <comment ref="C21" authorId="0">
      <text>
        <r>
          <rPr>
            <sz val="8"/>
            <color indexed="81"/>
            <rFont val="Tahoma"/>
            <family val="2"/>
          </rPr>
          <t xml:space="preserve">
http://quickfacts.census.gov/qfd/states/00000.html</t>
        </r>
      </text>
    </comment>
    <comment ref="C24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NEJM 1997 Val122II Epi</t>
        </r>
      </text>
    </comment>
    <comment ref="C28" authorId="0">
      <text>
        <r>
          <rPr>
            <sz val="8"/>
            <color indexed="81"/>
            <rFont val="Tahoma"/>
            <family val="2"/>
          </rPr>
          <t xml:space="preserve">
http://quickfacts.census.gov/qfd/states/00000.html</t>
        </r>
      </text>
    </comment>
    <comment ref="C31" authorId="0">
      <text>
        <r>
          <rPr>
            <sz val="8"/>
            <color indexed="81"/>
            <rFont val="Tahoma"/>
            <family val="2"/>
          </rPr>
          <t xml:space="preserve">
Am J Card 2011 Jacobson - 11% have LV thickness greater than 1.2cm</t>
        </r>
      </text>
    </comment>
    <comment ref="H41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AHJ 2012 WT V1221 TTR Amyloid Cardiomyopathy TRACs</t>
        </r>
        <r>
          <rPr>
            <sz val="8"/>
            <color indexed="81"/>
            <rFont val="Tahoma"/>
            <family val="2"/>
          </rPr>
          <t>:</t>
        </r>
        <r>
          <rPr>
            <sz val="8"/>
            <color indexed="81"/>
            <rFont val="Tahoma"/>
            <family val="2"/>
          </rPr>
          <t xml:space="preserve">
~2 year median survival from diagnosis</t>
        </r>
      </text>
    </comment>
    <comment ref="H49" authorId="0">
      <text>
        <r>
          <rPr>
            <sz val="8"/>
            <color indexed="81"/>
            <rFont val="Tahoma"/>
            <family val="2"/>
          </rPr>
          <t xml:space="preserve">
Same price as FAP</t>
        </r>
      </text>
    </comment>
    <comment ref="C58" authorId="0">
      <text>
        <r>
          <rPr>
            <sz val="8"/>
            <color indexed="81"/>
            <rFont val="Tahoma"/>
            <family val="2"/>
          </rPr>
          <t>Wikipedia
~14mn</t>
        </r>
      </text>
    </comment>
    <comment ref="C62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NEJM 1997 Val122II Epi</t>
        </r>
      </text>
    </comment>
    <comment ref="C66" authorId="0">
      <text>
        <r>
          <rPr>
            <sz val="8"/>
            <color indexed="81"/>
            <rFont val="Tahoma"/>
            <family val="2"/>
          </rPr>
          <t xml:space="preserve">
Assume same as US - http://quickfacts.census.gov/qfd/states/00000.html</t>
        </r>
      </text>
    </comment>
    <comment ref="D69" authorId="0">
      <text>
        <r>
          <rPr>
            <sz val="8"/>
            <color indexed="81"/>
            <rFont val="Tahoma"/>
            <family val="2"/>
          </rPr>
          <t xml:space="preserve">
Am J Card 2011 Jacobson - 11% have LV thickness greater than 1.2cm</t>
        </r>
      </text>
    </comment>
    <comment ref="I79" authorId="0">
      <text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AHJ 2012 WT V1221 TTR Amyloid Cardiomyopathy TRACs</t>
        </r>
        <r>
          <rPr>
            <sz val="8"/>
            <color indexed="81"/>
            <rFont val="Tahoma"/>
            <family val="2"/>
          </rPr>
          <t>:</t>
        </r>
        <r>
          <rPr>
            <sz val="8"/>
            <color indexed="81"/>
            <rFont val="Tahoma"/>
            <family val="2"/>
          </rPr>
          <t xml:space="preserve">
~2 year median survival from diagnosis</t>
        </r>
      </text>
    </comment>
    <comment ref="I87" authorId="0">
      <text>
        <r>
          <rPr>
            <sz val="8"/>
            <color indexed="81"/>
            <rFont val="Tahoma"/>
            <family val="2"/>
          </rPr>
          <t xml:space="preserve">
Same price as FAP</t>
        </r>
      </text>
    </comment>
    <comment ref="B120" authorId="0">
      <text>
        <r>
          <rPr>
            <sz val="8"/>
            <color indexed="81"/>
            <rFont val="Tahoma"/>
            <family val="2"/>
          </rPr>
          <t xml:space="preserve">
Assumes ALNY records all expense on their I/S</t>
        </r>
      </text>
    </comment>
    <comment ref="B124" authorId="0">
      <text>
        <r>
          <rPr>
            <sz val="8"/>
            <color indexed="81"/>
            <rFont val="Tahoma"/>
            <family val="2"/>
          </rPr>
          <t xml:space="preserve">
Assumes ALNY records all expense on their I/S
50% R&amp;D funding for ALN-TTRsc</t>
        </r>
      </text>
    </comment>
  </commentList>
</comments>
</file>

<file path=xl/sharedStrings.xml><?xml version="1.0" encoding="utf-8"?>
<sst xmlns="http://schemas.openxmlformats.org/spreadsheetml/2006/main" count="1372" uniqueCount="930">
  <si>
    <t>2012-FY</t>
  </si>
  <si>
    <t>2013-FY</t>
  </si>
  <si>
    <t>2014-FY</t>
  </si>
  <si>
    <t>2015-FY</t>
  </si>
  <si>
    <t>2016-FY</t>
  </si>
  <si>
    <t>2017-FY</t>
  </si>
  <si>
    <t>2018-FY</t>
  </si>
  <si>
    <t>2019-FY</t>
  </si>
  <si>
    <t>2020-FY</t>
  </si>
  <si>
    <t>2018E</t>
  </si>
  <si>
    <t>2019E</t>
  </si>
  <si>
    <t>2020E</t>
  </si>
  <si>
    <t>Revenues:</t>
  </si>
  <si>
    <t>Total Revenues</t>
  </si>
  <si>
    <t>COGS</t>
  </si>
  <si>
    <t>R&amp;D</t>
  </si>
  <si>
    <t>YoY Growth</t>
  </si>
  <si>
    <t>SG&amp;A</t>
  </si>
  <si>
    <t>Operating Income (Loss)</t>
  </si>
  <si>
    <t>Pretax Income (Loss)</t>
  </si>
  <si>
    <t>Effective Tax Rate</t>
  </si>
  <si>
    <t>Stock Compensation Expense</t>
  </si>
  <si>
    <t>% of Operating Expenses</t>
  </si>
  <si>
    <t>Shares Outstanding - Basic</t>
  </si>
  <si>
    <t>Shares Outstanding - Diluted</t>
  </si>
  <si>
    <t>GAAP Net Income</t>
  </si>
  <si>
    <t>Taxable Income</t>
  </si>
  <si>
    <t>Income taxes owed</t>
  </si>
  <si>
    <t>Income taxes paid</t>
  </si>
  <si>
    <t>Interest Income</t>
  </si>
  <si>
    <t>($ in millions)</t>
  </si>
  <si>
    <t>Assets</t>
  </si>
  <si>
    <t xml:space="preserve">Cash and Cash Equivalents </t>
  </si>
  <si>
    <t>Prepaid Expenses and Other Current Assets</t>
  </si>
  <si>
    <t>Total current assets</t>
  </si>
  <si>
    <t>Property and Equipment, Net</t>
  </si>
  <si>
    <t>Total assets</t>
  </si>
  <si>
    <t>Liabilities</t>
  </si>
  <si>
    <t>Accounts Payable</t>
  </si>
  <si>
    <t>Total current liabilities</t>
  </si>
  <si>
    <t>Other Long-Term Liabilities</t>
  </si>
  <si>
    <t>Shareholder's Equity</t>
  </si>
  <si>
    <t>Source: Company data and Morgan Stanley Research</t>
  </si>
  <si>
    <t>Total Revenue</t>
  </si>
  <si>
    <t>Depreciation and Amortization</t>
  </si>
  <si>
    <t>Existing PP&amp;E</t>
  </si>
  <si>
    <t xml:space="preserve">Stock Price (average) </t>
  </si>
  <si>
    <t>Option Balance (Beginning Year)</t>
  </si>
  <si>
    <t xml:space="preserve">   % Exercisable</t>
  </si>
  <si>
    <t>Options Cancelled</t>
  </si>
  <si>
    <t xml:space="preserve">   % Cancelled </t>
  </si>
  <si>
    <t>Options Exercised</t>
  </si>
  <si>
    <t>Weighted Average Exercise Price</t>
  </si>
  <si>
    <t>Proceeds from option</t>
  </si>
  <si>
    <t>Tax Benefit from Options</t>
  </si>
  <si>
    <t>Options Granted</t>
  </si>
  <si>
    <t xml:space="preserve">     % of Outstanding Options</t>
  </si>
  <si>
    <t>Shares Issued</t>
  </si>
  <si>
    <t>Proceeds from share issuance</t>
  </si>
  <si>
    <t>Shares Repurchased (mm)</t>
  </si>
  <si>
    <t>Share Repurchase Cost</t>
  </si>
  <si>
    <t>Total Change in APIC</t>
  </si>
  <si>
    <t>Beginning Period Shares</t>
  </si>
  <si>
    <t>End of Period Shares</t>
  </si>
  <si>
    <t xml:space="preserve">Average Shares Outstanding-basic </t>
  </si>
  <si>
    <t>Average Shares Outstanding-diluted</t>
  </si>
  <si>
    <t>Net cash provided by (used in) operating activities</t>
  </si>
  <si>
    <t>Net cash used in investing activities</t>
  </si>
  <si>
    <t>Net cash provided by financing activities</t>
  </si>
  <si>
    <t>Marketable Securities</t>
  </si>
  <si>
    <t>2021E</t>
  </si>
  <si>
    <t>Discount Rate</t>
  </si>
  <si>
    <t>Terminal Growth Rate</t>
  </si>
  <si>
    <t>Net Cash</t>
  </si>
  <si>
    <t>Equity Value</t>
  </si>
  <si>
    <t>4Q12</t>
  </si>
  <si>
    <t>Alnylam Annual Income Statement</t>
  </si>
  <si>
    <t>Billed &amp; Unbilled Collaboration Receivables</t>
  </si>
  <si>
    <t>Deferred Rent</t>
  </si>
  <si>
    <t>Deferred Revenue</t>
  </si>
  <si>
    <t>Deferred Revenue, Net of Current Portion</t>
  </si>
  <si>
    <t>Deferred Tax Assets</t>
  </si>
  <si>
    <t>Bull</t>
  </si>
  <si>
    <t>Base</t>
  </si>
  <si>
    <t>Bear</t>
  </si>
  <si>
    <t>US/EU Market Penetration Scenarios</t>
  </si>
  <si>
    <t xml:space="preserve">Select Scenario (1-3) </t>
  </si>
  <si>
    <t>PT Output</t>
  </si>
  <si>
    <t>Prevalence</t>
  </si>
  <si>
    <t>Prevalence YoY Growth</t>
  </si>
  <si>
    <t>Beginning Yr Market Share</t>
  </si>
  <si>
    <t>Deaths/Discontinuations</t>
  </si>
  <si>
    <t>% Death/Disc. Rate</t>
  </si>
  <si>
    <t>End of Yr Market Share</t>
  </si>
  <si>
    <t>Duration of Use - New Pt</t>
  </si>
  <si>
    <t>Duration of Use - Existing Pt</t>
  </si>
  <si>
    <t>Price Change %</t>
  </si>
  <si>
    <t>US Revenue</t>
  </si>
  <si>
    <t>Sweden</t>
  </si>
  <si>
    <t>Portugal</t>
  </si>
  <si>
    <t>EU ex-Portugal and Sweden</t>
  </si>
  <si>
    <t>New Adds</t>
  </si>
  <si>
    <t>% Addressable Mkt</t>
  </si>
  <si>
    <t>Gross to Net Discount</t>
  </si>
  <si>
    <t>Gross Price Per Mo ($)</t>
  </si>
  <si>
    <t>Net Realized Price Per Mo ($)</t>
  </si>
  <si>
    <t>Beginning Yr Market Share of Addressable</t>
  </si>
  <si>
    <t>End of Yr Market Share of Addressable</t>
  </si>
  <si>
    <t>Revenue - EU ex-Portugal and Sweden ($mn)</t>
  </si>
  <si>
    <t>Revenue - Portugal ($mn)</t>
  </si>
  <si>
    <t>Revenue - Sweden ($mn)</t>
  </si>
  <si>
    <t>EU ex Portugal, Sweden FAP - % of Addressable Mkt</t>
  </si>
  <si>
    <t>US FAP  - % of Addressable Mkt</t>
  </si>
  <si>
    <t>Portugal FAP  - % of Addressable Mkt</t>
  </si>
  <si>
    <t>Sweden FAP  - % of Addressable Mkt</t>
  </si>
  <si>
    <t>Population</t>
  </si>
  <si>
    <t>US Inhibitors  - % of Addressable Mkt</t>
  </si>
  <si>
    <t>Beginning Yr Pts on ALN-AT3</t>
  </si>
  <si>
    <t>End of Yr Pts on ALN-AT3</t>
  </si>
  <si>
    <t>% of Prevalence</t>
  </si>
  <si>
    <t>RBD US Market</t>
  </si>
  <si>
    <t>Addressable Market - Severe Pts</t>
  </si>
  <si>
    <t>EU Revenue</t>
  </si>
  <si>
    <t>EU Inhibitors  - % of Addressable Mkt</t>
  </si>
  <si>
    <t>US RBD  - % of Addressable Mkt</t>
  </si>
  <si>
    <t>EU RBD  - % of Addressable Mkt</t>
  </si>
  <si>
    <t>RBD EU Market</t>
  </si>
  <si>
    <t>2012A</t>
  </si>
  <si>
    <t>USD</t>
  </si>
  <si>
    <t>ALNY.O</t>
  </si>
  <si>
    <t>Inventories</t>
  </si>
  <si>
    <t>Japan FAP  - % of Addressable Mkt</t>
  </si>
  <si>
    <t>Beginning Yr Pts on TTRsc</t>
  </si>
  <si>
    <t>End of Yr Pts on TTRsc</t>
  </si>
  <si>
    <t>African Americans</t>
  </si>
  <si>
    <t>% of US Pop'n</t>
  </si>
  <si>
    <t>% of African Americans</t>
  </si>
  <si>
    <t>US FAC  - % of Addressable Mkt</t>
  </si>
  <si>
    <t>Population YoY Growth</t>
  </si>
  <si>
    <t>% over 65 yrs old</t>
  </si>
  <si>
    <t>US Popln ≥20 yo</t>
  </si>
  <si>
    <t xml:space="preserve">   YoY Popln growth</t>
  </si>
  <si>
    <t xml:space="preserve">  % of US adults</t>
  </si>
  <si>
    <t xml:space="preserve">   % of prevalent pts</t>
  </si>
  <si>
    <t>Pts Inadequately Controlled</t>
  </si>
  <si>
    <t xml:space="preserve">   % of pts treated</t>
  </si>
  <si>
    <t>ALN PCS Pts</t>
  </si>
  <si>
    <t>PCSK-9 Eligible Pts</t>
  </si>
  <si>
    <t xml:space="preserve">   % PCSK-9 Eligible</t>
  </si>
  <si>
    <t>Non-Familial Hypercholesterolemia</t>
  </si>
  <si>
    <t>Hypercholesterolemia Prevalence</t>
  </si>
  <si>
    <t>ALN PCS Hypercholesterolemia Sales</t>
  </si>
  <si>
    <t>Statin Intolerant Pts</t>
  </si>
  <si>
    <t xml:space="preserve">  YoY growth</t>
  </si>
  <si>
    <t>HeFH</t>
  </si>
  <si>
    <t>HeFH Prevalence Pts</t>
  </si>
  <si>
    <t xml:space="preserve">  Prevalence</t>
  </si>
  <si>
    <t>US Popln</t>
  </si>
  <si>
    <t>Diagnosed Pts</t>
  </si>
  <si>
    <t xml:space="preserve">    % of prevalent pool</t>
  </si>
  <si>
    <t>ALN PCS HeFH Sales</t>
  </si>
  <si>
    <t xml:space="preserve">  % of diagnosed</t>
  </si>
  <si>
    <t>Duration (months)</t>
  </si>
  <si>
    <t xml:space="preserve">   Annual price increases</t>
  </si>
  <si>
    <t>Gross price/month</t>
  </si>
  <si>
    <t xml:space="preserve">   Gross to Net Adj. </t>
  </si>
  <si>
    <t>Net price/month</t>
  </si>
  <si>
    <t>Royalties paid to ALNY</t>
  </si>
  <si>
    <t xml:space="preserve">  Royalty Rate</t>
  </si>
  <si>
    <t>High risk pts</t>
  </si>
  <si>
    <t>High risk pts treated with Lipid Lowering Med</t>
  </si>
  <si>
    <t xml:space="preserve">   % of high risk pts</t>
  </si>
  <si>
    <t>Total ALN-PCS Sales</t>
  </si>
  <si>
    <t>High risk statin intolerant patients</t>
  </si>
  <si>
    <t xml:space="preserve">   % of total statin intolerant patients</t>
  </si>
  <si>
    <t>2021-FY</t>
  </si>
  <si>
    <t xml:space="preserve"> </t>
  </si>
  <si>
    <t>US Non-familial hypercholesterolemia  - % of Addressable Mkt</t>
  </si>
  <si>
    <t>US HeFH  - % of Addressable Mkt</t>
  </si>
  <si>
    <t>% FAC Population &lt;65</t>
  </si>
  <si>
    <t>ALNY.O,mscalc:closePriceCurrencyCalc</t>
  </si>
  <si>
    <t>ALNY.O,mscalc:sedolCodeCalc</t>
  </si>
  <si>
    <t>ALNY.O,mscalc:targetPrice,,,,USD</t>
  </si>
  <si>
    <t>$F$2</t>
  </si>
  <si>
    <t>Val122Ile Population &gt;65</t>
  </si>
  <si>
    <t>Val122Ile Prevalence</t>
  </si>
  <si>
    <t>Val122Ile Population &lt;65</t>
  </si>
  <si>
    <t>2Q13</t>
  </si>
  <si>
    <t>EU FAC  - % of Addressable Mkt</t>
  </si>
  <si>
    <t>Black Population</t>
  </si>
  <si>
    <t>% of Black Population</t>
  </si>
  <si>
    <t>Price per mo - Portugal</t>
  </si>
  <si>
    <t>Price per mo - Sweden</t>
  </si>
  <si>
    <t>3Q13</t>
  </si>
  <si>
    <t>% of US</t>
  </si>
  <si>
    <t>Payment to Genzyme for co-promote</t>
  </si>
  <si>
    <t>Total US and EU Sales</t>
  </si>
  <si>
    <t>Total Drug Profit</t>
  </si>
  <si>
    <t>50% of profit</t>
  </si>
  <si>
    <t>% of Revenue</t>
  </si>
  <si>
    <t>Total Sales</t>
  </si>
  <si>
    <t>US/EU Genzyme Profit Split</t>
  </si>
  <si>
    <t>ROW as a % of US</t>
  </si>
  <si>
    <t>4Q13</t>
  </si>
  <si>
    <t>1Q13</t>
  </si>
  <si>
    <t>1Q14</t>
  </si>
  <si>
    <t>Terminal</t>
  </si>
  <si>
    <t>Non-GAAP EBIT</t>
  </si>
  <si>
    <t>Growth</t>
  </si>
  <si>
    <t>Taxes</t>
  </si>
  <si>
    <t>Tax rate</t>
  </si>
  <si>
    <t>Non-GAAP EBIT, after tax</t>
  </si>
  <si>
    <t>Plus: D&amp;A</t>
  </si>
  <si>
    <t>Plus/Less: Change in non-Cash WC</t>
  </si>
  <si>
    <t>Less: Capital expenditures</t>
  </si>
  <si>
    <t>Free Cash Flow to Firm (FCFF)</t>
  </si>
  <si>
    <t>Present Value of FCFF</t>
  </si>
  <si>
    <t>Sum of Discounted CF</t>
  </si>
  <si>
    <t>Equity Value Per Share</t>
  </si>
  <si>
    <t>Time of Valuation</t>
  </si>
  <si>
    <t>Shares Outstanding</t>
  </si>
  <si>
    <t>Scenarios</t>
  </si>
  <si>
    <t>Selector ---&gt;</t>
  </si>
  <si>
    <t>1 = Bull</t>
  </si>
  <si>
    <t>2 = Base</t>
  </si>
  <si>
    <t>3 = Bear</t>
  </si>
  <si>
    <t>1Q12</t>
  </si>
  <si>
    <t>2Q12</t>
  </si>
  <si>
    <t>3Q12</t>
  </si>
  <si>
    <t>2Q14</t>
  </si>
  <si>
    <t>3Q14</t>
  </si>
  <si>
    <t>4Q14</t>
  </si>
  <si>
    <t>1Q15</t>
  </si>
  <si>
    <t>2Q15</t>
  </si>
  <si>
    <t>1Q18E</t>
  </si>
  <si>
    <t>2Q18E</t>
  </si>
  <si>
    <t>3Q18E</t>
  </si>
  <si>
    <t>4Q18E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</si>
  <si>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</si>
  <si>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</si>
  <si>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</si>
  <si>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</si>
  <si>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</si>
  <si>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</si>
  <si>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</si>
  <si>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</si>
  <si>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ALNYLAM PHARMACEUTICALS INC. (NSDQ:ALNY)</t>
  </si>
  <si>
    <t>Costs and expenses</t>
  </si>
  <si>
    <t>Operating income (loss)</t>
  </si>
  <si>
    <t>G&amp;A</t>
  </si>
  <si>
    <t>Unrealized gain (loss) on marketable securities net of tax</t>
  </si>
  <si>
    <t>Other</t>
  </si>
  <si>
    <t>GAAP EPS (basic)</t>
  </si>
  <si>
    <t>GAAP EPS (diluted)</t>
  </si>
  <si>
    <t>One-time expense</t>
  </si>
  <si>
    <t>Check</t>
  </si>
  <si>
    <t>Provision (Benefit) For Income Taxes</t>
  </si>
  <si>
    <t>Reclassification adjustment for realized gain on marketable securities included in net loss</t>
  </si>
  <si>
    <t>Accrued expenses</t>
  </si>
  <si>
    <t>Payment of asset acquisition</t>
  </si>
  <si>
    <t>1Q21E</t>
  </si>
  <si>
    <t>2Q21E</t>
  </si>
  <si>
    <t>3Q21E</t>
  </si>
  <si>
    <t>4Q21E</t>
  </si>
  <si>
    <t>Others</t>
  </si>
  <si>
    <t>Non-GAAP R&amp;D (bull)</t>
  </si>
  <si>
    <t>Non-GAAP R&amp;D (base)</t>
  </si>
  <si>
    <t>Non-GAAP R&amp;D (bear)</t>
  </si>
  <si>
    <t xml:space="preserve">    YoY Growth (bull case)</t>
  </si>
  <si>
    <t xml:space="preserve">    YoY Growth (base case)</t>
  </si>
  <si>
    <t xml:space="preserve">    YoY Growth (bear case)</t>
  </si>
  <si>
    <t>Scenario</t>
  </si>
  <si>
    <t>Non-GAAP SG&amp;A (bull)</t>
  </si>
  <si>
    <t>Non-GAAP SG&amp;A (base)</t>
  </si>
  <si>
    <t>Non-GAAP (bear)</t>
  </si>
  <si>
    <t>Average cash &amp; investments</t>
  </si>
  <si>
    <t xml:space="preserve">  Interest rate</t>
  </si>
  <si>
    <t>Income Taxes</t>
  </si>
  <si>
    <t>Statutory tax rate</t>
  </si>
  <si>
    <t>NOL carryforwards</t>
  </si>
  <si>
    <t>Pretax Income</t>
  </si>
  <si>
    <t>Ending NOL</t>
  </si>
  <si>
    <t>Depreciation &amp; Amortization</t>
  </si>
  <si>
    <t>EBITDA (GAAP)</t>
  </si>
  <si>
    <t>EBITDA (Non-GAAP)</t>
  </si>
  <si>
    <t>Revenues</t>
  </si>
  <si>
    <t>Operating expenses</t>
  </si>
  <si>
    <t>NI</t>
  </si>
  <si>
    <t>Operating CF</t>
  </si>
  <si>
    <t>Capex</t>
  </si>
  <si>
    <t>Operating Activity</t>
  </si>
  <si>
    <t>AR Turnover (Total Sales / AR)</t>
  </si>
  <si>
    <t>Inventory Turnover (COGS / Inv)</t>
  </si>
  <si>
    <t>AP &amp; Accrued Liabilities Turnover (COGS / AP &amp; Accrued Liabilities)</t>
  </si>
  <si>
    <t>Days Sales Outstanding</t>
  </si>
  <si>
    <t>Days inventory outstanding</t>
  </si>
  <si>
    <t>Days payable outstanding</t>
  </si>
  <si>
    <t>Accounts receivable</t>
  </si>
  <si>
    <t xml:space="preserve">      % of revenue</t>
  </si>
  <si>
    <t>Prepaid expenses and other current assets</t>
  </si>
  <si>
    <t xml:space="preserve">     % of revenue</t>
  </si>
  <si>
    <t>Other non-current assets</t>
  </si>
  <si>
    <t>Accounts payable</t>
  </si>
  <si>
    <t xml:space="preserve">    % operating expenses</t>
  </si>
  <si>
    <t>Deferred revenue</t>
  </si>
  <si>
    <t>Other liabilities</t>
  </si>
  <si>
    <t xml:space="preserve">  Capital expenditures, net</t>
  </si>
  <si>
    <t xml:space="preserve">  Depreciation</t>
  </si>
  <si>
    <t xml:space="preserve">  Others</t>
  </si>
  <si>
    <t>Ending Balance</t>
  </si>
  <si>
    <t xml:space="preserve">  2014 capital expenditures</t>
  </si>
  <si>
    <t xml:space="preserve">  2015 capital expenditures</t>
  </si>
  <si>
    <t xml:space="preserve">  2016 capital expenditures</t>
  </si>
  <si>
    <t xml:space="preserve">  2017 capital expenditures</t>
  </si>
  <si>
    <t xml:space="preserve">  2018 capital expenditures</t>
  </si>
  <si>
    <t xml:space="preserve">  2019 capital expenditures</t>
  </si>
  <si>
    <t xml:space="preserve">  2020 capital expenditures</t>
  </si>
  <si>
    <t xml:space="preserve"> Total depreciation</t>
  </si>
  <si>
    <t xml:space="preserve">  2021 capital expenditures</t>
  </si>
  <si>
    <t>Stock-based compensation expense</t>
  </si>
  <si>
    <t>Other non-cash items, net</t>
  </si>
  <si>
    <t>Net loss</t>
  </si>
  <si>
    <t>Adjustments to reconcile net loss to net cash used in operating activities:</t>
  </si>
  <si>
    <t>Changes in operating assets and liabilities:</t>
  </si>
  <si>
    <t>Cash Flows From Operating Activities</t>
  </si>
  <si>
    <t>Cash Flows From Investing Activities</t>
  </si>
  <si>
    <t>Cash Flows From Financing Activities</t>
  </si>
  <si>
    <t>Purchases of property, plant and equipment</t>
  </si>
  <si>
    <t>Purchases of marketable securities</t>
  </si>
  <si>
    <t>Sale and maturities of marketable securities</t>
  </si>
  <si>
    <t>Billed and unbilled collaboration receivables</t>
  </si>
  <si>
    <t>Pre-paid expenses and other assets</t>
  </si>
  <si>
    <t>Accrued expenses and other</t>
  </si>
  <si>
    <t>Proceeds from exercise of stock options + other equity</t>
  </si>
  <si>
    <t>Proceeds from issuance of common stock</t>
  </si>
  <si>
    <t>Change in cash and cash equivalents</t>
  </si>
  <si>
    <t>Cash and cash equivalents at beginning of Year</t>
  </si>
  <si>
    <t>Cash and cash equivalents at end of year</t>
  </si>
  <si>
    <t>Marketable securities</t>
  </si>
  <si>
    <t>Cash and marketable securities at end of year</t>
  </si>
  <si>
    <t>Stock Options and Share Count</t>
  </si>
  <si>
    <t>Average Options Exercisable</t>
  </si>
  <si>
    <t>Weighted Average Exercise Price of exercisable</t>
  </si>
  <si>
    <t xml:space="preserve">   Statutory Tax rate</t>
  </si>
  <si>
    <t>Closing Balance</t>
  </si>
  <si>
    <t>Keyed</t>
  </si>
  <si>
    <t>Stock option exercises</t>
  </si>
  <si>
    <t>Warrant exercise</t>
  </si>
  <si>
    <t>Stock options expense</t>
  </si>
  <si>
    <t>Tax benefit from equity compensation</t>
  </si>
  <si>
    <t>Options Expense</t>
  </si>
  <si>
    <t xml:space="preserve">  % of operating expense</t>
  </si>
  <si>
    <t>Tax impact</t>
  </si>
  <si>
    <t>Total liabilities</t>
  </si>
  <si>
    <t>Key Numbers</t>
  </si>
  <si>
    <t>Beginning Yr Pts on Patisiran</t>
  </si>
  <si>
    <t>End of Yr Pts on Patisiran</t>
  </si>
  <si>
    <t>Patisiran Sales Summary</t>
  </si>
  <si>
    <t>Patisiran</t>
  </si>
  <si>
    <t>Net revenues from collaborators</t>
  </si>
  <si>
    <t>Beginning Yr Pts on Revusiran</t>
  </si>
  <si>
    <t>End of Yr Pts on Revusiran</t>
  </si>
  <si>
    <t>Revusiran Sales Summary</t>
  </si>
  <si>
    <t>% of revenue</t>
  </si>
  <si>
    <t>Beginning balance</t>
  </si>
  <si>
    <t>1Q22E</t>
  </si>
  <si>
    <t>2Q22E</t>
  </si>
  <si>
    <t>3Q22E</t>
  </si>
  <si>
    <t>4Q22E</t>
  </si>
  <si>
    <t>2022E</t>
  </si>
  <si>
    <t>2023E</t>
  </si>
  <si>
    <t xml:space="preserve">  2022 capital expenditures</t>
  </si>
  <si>
    <t xml:space="preserve">  2023 capital expenditures</t>
  </si>
  <si>
    <t>Stock Price</t>
  </si>
  <si>
    <t>Patisiran Sales, Japan</t>
  </si>
  <si>
    <t>Royalties, ROW ($mn)</t>
  </si>
  <si>
    <t>Patisiran Sales, EU ($mn)</t>
  </si>
  <si>
    <t>End of Yr Pts on patisiran</t>
  </si>
  <si>
    <t>Beginning Yr Pts on patisiran</t>
  </si>
  <si>
    <t>Patisiran Sales, ROW ($mn)</t>
  </si>
  <si>
    <t>Net Realized Price Per Mo - Portugal ($)</t>
  </si>
  <si>
    <t>Net Realized Price Per Mo - Sweden ($)</t>
  </si>
  <si>
    <t>US Sales</t>
  </si>
  <si>
    <t>EU Sales</t>
  </si>
  <si>
    <t>Japan Sales</t>
  </si>
  <si>
    <t>ROW Sales</t>
  </si>
  <si>
    <t>Patisiran Revenues To Alnylam Summary</t>
  </si>
  <si>
    <t>Japan Revenue</t>
  </si>
  <si>
    <t>ROW Revenue</t>
  </si>
  <si>
    <t>Patisiran Sales, US ($mn)</t>
  </si>
  <si>
    <t>Patisiran Royalties to Alynlam, Japan</t>
  </si>
  <si>
    <t>Product sales</t>
  </si>
  <si>
    <t>Product royalties</t>
  </si>
  <si>
    <t>Revusiran Sales, US ($mn)</t>
  </si>
  <si>
    <t>Revusiran Sales, EU ($mn)</t>
  </si>
  <si>
    <t>Revusiran Sales, ROW ($mn)</t>
  </si>
  <si>
    <t>Revusiran Royalties, ROW ($mn)</t>
  </si>
  <si>
    <t>Revusiran Revenue Summary</t>
  </si>
  <si>
    <t>1Q24E</t>
  </si>
  <si>
    <t>2Q24E</t>
  </si>
  <si>
    <t>3Q24E</t>
  </si>
  <si>
    <t>4Q24E</t>
  </si>
  <si>
    <t>2024E</t>
  </si>
  <si>
    <t>2025E</t>
  </si>
  <si>
    <t>1Q25E</t>
  </si>
  <si>
    <t>2Q25E</t>
  </si>
  <si>
    <t>3Q25E</t>
  </si>
  <si>
    <t>4Q25E</t>
  </si>
  <si>
    <t>3Q15</t>
  </si>
  <si>
    <t>4Q15</t>
  </si>
  <si>
    <t>Increase (reduction) in restricted cash</t>
  </si>
  <si>
    <t>1Q16</t>
  </si>
  <si>
    <t>ALN-CC5</t>
  </si>
  <si>
    <t>ALN-PCSsc</t>
  </si>
  <si>
    <t>ALN-AAT</t>
  </si>
  <si>
    <t>Fitusiran</t>
  </si>
  <si>
    <t>Alpha-1 Antitrypsin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</si>
  <si>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</si>
  <si>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</si>
  <si>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</si>
  <si>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</si>
  <si>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</si>
  <si>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</si>
  <si>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</si>
  <si>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</si>
  <si>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2022-FY</t>
  </si>
  <si>
    <t>2023-FY</t>
  </si>
  <si>
    <t>2024-FY</t>
  </si>
  <si>
    <t>2025-FY</t>
  </si>
  <si>
    <t>Alnylam Pharmaceuticals Inc</t>
  </si>
  <si>
    <t>MW Tags</t>
  </si>
  <si>
    <t>EOP shares</t>
  </si>
  <si>
    <t>Unrecorded goodwill from poolings, write-offs, and cumulative amortization</t>
  </si>
  <si>
    <t>ND</t>
  </si>
  <si>
    <t>Currency</t>
  </si>
  <si>
    <t>Current Stock Price</t>
  </si>
  <si>
    <t>Count</t>
  </si>
  <si>
    <t>Price per mo</t>
  </si>
  <si>
    <t>Net Realized Price Per Mo</t>
  </si>
  <si>
    <t>% Royalty Rate</t>
  </si>
  <si>
    <t>Net Income</t>
  </si>
  <si>
    <t>Hemophilia A/B US Market</t>
  </si>
  <si>
    <t>Hemophilia A/B EU Market</t>
  </si>
  <si>
    <t>Inhibitor Population</t>
  </si>
  <si>
    <t>% or Prevalence</t>
  </si>
  <si>
    <t>hATTR-PN US Market</t>
  </si>
  <si>
    <t>hATTR-PN EU Market</t>
  </si>
  <si>
    <t>hATTR-PN Japan Market</t>
  </si>
  <si>
    <t>hATTR-CM US Market</t>
  </si>
  <si>
    <t>Addressable hATTR-CM Population</t>
  </si>
  <si>
    <t>hATTR-CM EU Market</t>
  </si>
  <si>
    <t>% hATTR-CM Population &gt;65</t>
  </si>
  <si>
    <t>Potential</t>
  </si>
  <si>
    <t>Est.</t>
  </si>
  <si>
    <t>Pipeline Value</t>
  </si>
  <si>
    <t># Patients</t>
  </si>
  <si>
    <t>Peak Rev</t>
  </si>
  <si>
    <t>Value</t>
  </si>
  <si>
    <t>&lt;10000</t>
  </si>
  <si>
    <t>Hypercholesteromemia</t>
  </si>
  <si>
    <t>Hemophilia</t>
  </si>
  <si>
    <t>Compliment Mediated Diseases</t>
  </si>
  <si>
    <t>Fitusiran - base</t>
  </si>
  <si>
    <t>Fitusiran - bull</t>
  </si>
  <si>
    <t>Fitusiran - bear</t>
  </si>
  <si>
    <t>ALN-PCSsc - bull</t>
  </si>
  <si>
    <t>ALN-PCSsc - base</t>
  </si>
  <si>
    <t>ALN-PCSsc - bear</t>
  </si>
  <si>
    <t>ALN-CC5 - bull</t>
  </si>
  <si>
    <t>ALN-CC5 - base</t>
  </si>
  <si>
    <t>ALN-CC5 - bear</t>
  </si>
  <si>
    <t>ALN-AAT - bull</t>
  </si>
  <si>
    <t>ALN-AAT - base</t>
  </si>
  <si>
    <t>ALN-AAT - bear</t>
  </si>
  <si>
    <t>2Q16</t>
  </si>
  <si>
    <t>Debt</t>
  </si>
  <si>
    <t>Available principal</t>
  </si>
  <si>
    <t>Beginning of year debt</t>
  </si>
  <si>
    <t>Repyaments</t>
  </si>
  <si>
    <t>End of year debt</t>
  </si>
  <si>
    <t>Interest rate</t>
  </si>
  <si>
    <t>Interest payments</t>
  </si>
  <si>
    <t>2021 Secured Loan</t>
  </si>
  <si>
    <t>Other Assets</t>
  </si>
  <si>
    <t>Accrued Expenses</t>
  </si>
  <si>
    <t>Long-Term Debt</t>
  </si>
  <si>
    <t>Preferred Stock</t>
  </si>
  <si>
    <t xml:space="preserve">Common Stock </t>
  </si>
  <si>
    <t>Additional Paid-In Capital</t>
  </si>
  <si>
    <t>Accumulated Other Comprehensive Income</t>
  </si>
  <si>
    <t>Retained Earnings (Acumulated Deficit)</t>
  </si>
  <si>
    <t>Total Shareholder's Equity</t>
  </si>
  <si>
    <t>Total Liabilities and Shareholder's Equity</t>
  </si>
  <si>
    <t>Investment in Equity Securities of Regulus Therapeutics Inc.</t>
  </si>
  <si>
    <t>Investment In Equity Securities of Regulus Therapeutics Inc</t>
  </si>
  <si>
    <t>Other (expense) Income</t>
  </si>
  <si>
    <t>Interest income (expense)</t>
  </si>
  <si>
    <t>B00FWN1</t>
  </si>
  <si>
    <t>(in $ millions or per share basis when indicated)</t>
  </si>
  <si>
    <t>3Q16</t>
  </si>
  <si>
    <t>Givosiran</t>
  </si>
  <si>
    <t>NM</t>
  </si>
  <si>
    <t>4Q16</t>
  </si>
  <si>
    <t>1Q17</t>
  </si>
  <si>
    <t>2Q17</t>
  </si>
  <si>
    <t>AIP prevalence</t>
  </si>
  <si>
    <t xml:space="preserve"> YoY growth</t>
  </si>
  <si>
    <t>Recurrent AIP</t>
  </si>
  <si>
    <t>Discontinuations</t>
  </si>
  <si>
    <t>% Disc. Rate</t>
  </si>
  <si>
    <t>Recurrent AIP US Market</t>
  </si>
  <si>
    <t>Recurrent AIP EU Market</t>
  </si>
  <si>
    <t>EU Recurrent AIP  - % of Addressable Mkt</t>
  </si>
  <si>
    <t>US Recurrent AIP- % of Addressable Mkt</t>
  </si>
  <si>
    <t>WW Revenue</t>
  </si>
  <si>
    <t>1Q26E</t>
  </si>
  <si>
    <t>2Q26E</t>
  </si>
  <si>
    <t>3Q26E</t>
  </si>
  <si>
    <t>4Q26E</t>
  </si>
  <si>
    <t>2026E</t>
  </si>
  <si>
    <t>1Q27E</t>
  </si>
  <si>
    <t>2Q27E</t>
  </si>
  <si>
    <t>3Q27E</t>
  </si>
  <si>
    <t>4Q27E</t>
  </si>
  <si>
    <t>2027E</t>
  </si>
  <si>
    <t>1Q28E</t>
  </si>
  <si>
    <t>2Q28E</t>
  </si>
  <si>
    <t>3Q28E</t>
  </si>
  <si>
    <t>4Q28E</t>
  </si>
  <si>
    <t>2028E</t>
  </si>
  <si>
    <t>1Q29E</t>
  </si>
  <si>
    <t>2Q29E</t>
  </si>
  <si>
    <t>3Q29E</t>
  </si>
  <si>
    <t>4Q29E</t>
  </si>
  <si>
    <t>2029E</t>
  </si>
  <si>
    <t>1Q30E</t>
  </si>
  <si>
    <t>2Q30E</t>
  </si>
  <si>
    <t>3Q30E</t>
  </si>
  <si>
    <t>4Q30E</t>
  </si>
  <si>
    <t>2030E</t>
  </si>
  <si>
    <t>2026-FY</t>
  </si>
  <si>
    <t>2027-FY</t>
  </si>
  <si>
    <t>2028-FY</t>
  </si>
  <si>
    <t>2029-FY</t>
  </si>
  <si>
    <t>2030-FY</t>
  </si>
  <si>
    <t xml:space="preserve">  2024 capital expenditures</t>
  </si>
  <si>
    <t xml:space="preserve">  2025 capital expenditures</t>
  </si>
  <si>
    <t xml:space="preserve">  2026 capital expenditures</t>
  </si>
  <si>
    <t xml:space="preserve">  2027 capital expenditures</t>
  </si>
  <si>
    <t xml:space="preserve">  2028 capital expenditures</t>
  </si>
  <si>
    <t xml:space="preserve">  2029 capital expenditures</t>
  </si>
  <si>
    <t xml:space="preserve">  2030 capital expenditures</t>
  </si>
  <si>
    <t>3Q17</t>
  </si>
  <si>
    <t>Royalties to Alnylam</t>
  </si>
  <si>
    <t>Cost of product revenues</t>
  </si>
  <si>
    <t>Cost of royalties</t>
  </si>
  <si>
    <t>Cost of product revenues and royalties</t>
  </si>
  <si>
    <t>4Q17</t>
  </si>
  <si>
    <t>Non-GAAP EPS (basic)</t>
  </si>
  <si>
    <t>Non-GAAP EPS (diluted)</t>
  </si>
  <si>
    <t>GAAP EPS, diluted</t>
  </si>
  <si>
    <t>Co. Guidance</t>
  </si>
  <si>
    <t>$400 to 440M</t>
  </si>
  <si>
    <t>$280 to 320M</t>
  </si>
  <si>
    <t>118</t>
  </si>
  <si>
    <t>Proceeds from the issuance of debt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</si>
  <si>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</si>
  <si>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</si>
  <si>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</si>
  <si>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</si>
  <si>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</si>
  <si>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</si>
  <si>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</si>
  <si>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</si>
  <si>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David Lebowitz, Matthew Harrison</t>
  </si>
  <si>
    <t>Date: 13 Apr 2018</t>
  </si>
  <si>
    <t>Ticker: ALNY.O</t>
  </si>
  <si>
    <t>Stock Rating: Equal-Weight</t>
  </si>
  <si>
    <t>Industry: Biotechnology</t>
  </si>
  <si>
    <t>Industry View: In-Line</t>
  </si>
  <si>
    <t>Price as of 13 Apr 2018: 99.61</t>
  </si>
  <si>
    <t>Target Price: 118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</si>
  <si>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</si>
  <si>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</si>
  <si>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</si>
  <si>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</si>
  <si>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Alnylam Pharmaceuticals Inc.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</si>
  <si>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</si>
  <si>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</si>
  <si>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</si>
  <si>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</si>
  <si>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</si>
  <si>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</si>
  <si>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</si>
  <si>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</si>
  <si>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</si>
  <si>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</si>
  <si>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</si>
  <si>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</si>
  <si>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</si>
  <si>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</si>
  <si>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</si>
  <si>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</si>
  <si>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</si>
  <si>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</si>
  <si>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</si>
  <si>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</si>
  <si>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</si>
  <si>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</si>
  <si>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</si>
  <si>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</si>
  <si>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</si>
  <si>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</si>
  <si>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</si>
  <si>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</si>
  <si>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</si>
  <si>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</si>
  <si>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</si>
  <si>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</si>
  <si>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</si>
  <si>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</si>
  <si>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</si>
  <si>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</si>
  <si>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</si>
  <si>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</si>
  <si>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</si>
  <si>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</si>
  <si>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</si>
  <si>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</si>
  <si>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</si>
  <si>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</si>
  <si>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</si>
  <si>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</si>
  <si>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</si>
  <si>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</si>
  <si>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</si>
  <si>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</si>
  <si>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</si>
  <si>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</si>
  <si>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</si>
  <si>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</si>
  <si>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</si>
  <si>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</si>
  <si>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</si>
  <si>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</si>
  <si>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</si>
  <si>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</si>
  <si>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</si>
  <si>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</si>
  <si>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</si>
  <si>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</si>
  <si>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</si>
  <si>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</si>
  <si>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</si>
  <si>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</si>
  <si>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</si>
  <si>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</si>
  <si>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</si>
  <si>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</si>
  <si>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</si>
  <si>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</si>
  <si>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</si>
  <si>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</si>
  <si>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</si>
  <si>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</si>
  <si>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</si>
  <si>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</si>
  <si>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</si>
  <si>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</si>
  <si>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</si>
  <si>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</si>
  <si>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</si>
  <si>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</si>
  <si>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</si>
  <si>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</si>
  <si>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</si>
  <si>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</si>
  <si>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</si>
  <si>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</si>
  <si>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</si>
  <si>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</si>
  <si>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</si>
  <si>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</si>
  <si>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</si>
  <si>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</si>
  <si>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</si>
  <si>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</si>
  <si>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</si>
  <si>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</si>
  <si>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</si>
  <si>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</si>
  <si>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</si>
  <si>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</si>
  <si>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</si>
  <si>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</si>
  <si>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</si>
  <si>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</si>
  <si>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</si>
  <si>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</si>
  <si>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</si>
  <si>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</si>
  <si>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</si>
  <si>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</si>
  <si>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</si>
  <si>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</si>
  <si>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</si>
  <si>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</si>
  <si>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</si>
  <si>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</si>
  <si>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</si>
  <si>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</si>
  <si>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</si>
  <si>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</si>
  <si>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</si>
  <si>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</si>
  <si>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</si>
  <si>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</si>
  <si>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</si>
  <si>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</si>
  <si>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</si>
  <si>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</si>
  <si>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</si>
  <si>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</si>
  <si>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</si>
  <si>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</si>
  <si>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</si>
  <si>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</si>
  <si>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</si>
  <si>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</si>
  <si>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</si>
  <si>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</si>
  <si>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</si>
  <si>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</si>
  <si>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</si>
  <si>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</si>
  <si>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</si>
  <si>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</si>
  <si>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</si>
  <si>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</si>
  <si>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</si>
  <si>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</si>
  <si>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</si>
  <si>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</si>
  <si>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</si>
  <si>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</si>
  <si>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</si>
  <si>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</si>
  <si>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</si>
  <si>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</si>
  <si>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</si>
  <si>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</si>
  <si>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</si>
  <si>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</si>
  <si>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</si>
  <si>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</si>
  <si>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</si>
  <si>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</si>
  <si>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</si>
  <si>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</si>
  <si>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</si>
  <si>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</si>
  <si>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</si>
  <si>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</si>
  <si>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</si>
  <si>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</si>
  <si>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</si>
  <si>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</si>
  <si>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</si>
  <si>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</si>
  <si>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</si>
  <si>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</si>
  <si>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</si>
  <si>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</si>
  <si>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</si>
  <si>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</si>
  <si>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</si>
  <si>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</si>
  <si>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</si>
  <si>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</si>
  <si>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</si>
  <si>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</si>
  <si>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</si>
  <si>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</si>
  <si>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</si>
  <si>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</si>
  <si>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</si>
  <si>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</si>
  <si>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</si>
  <si>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</si>
  <si>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</si>
  <si>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</si>
  <si>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</si>
  <si>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</si>
  <si>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</si>
  <si>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</si>
  <si>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</si>
  <si>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</si>
  <si>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</si>
  <si>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</si>
  <si>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</si>
  <si>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</si>
  <si>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</si>
  <si>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</si>
  <si>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</si>
  <si>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</si>
  <si>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</si>
  <si>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</si>
  <si>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</si>
  <si>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</si>
  <si>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</si>
  <si>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</si>
  <si>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</si>
  <si>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</si>
  <si>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</si>
  <si>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</si>
  <si>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</si>
  <si>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</si>
  <si>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</si>
  <si>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</si>
  <si>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</si>
  <si>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</si>
  <si>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</si>
  <si>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</si>
  <si>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</si>
  <si>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</si>
  <si>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</si>
  <si>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</si>
  <si>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</si>
  <si>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</si>
  <si>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</si>
  <si>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Alnylam Pharmaceuticals</t>
  </si>
  <si>
    <t>Inc.</t>
  </si>
  <si>
    <t>In the next 3 months, Morgan Stanley expects to receive or intends to seek compensation for investment</t>
  </si>
  <si>
    <t>banking services from Alnylam Pharmaceuticals Inc.</t>
  </si>
  <si>
    <t>As of March 29, 2018, Morgan Stanley beneficially owned 1% or more of a class of common equity</t>
  </si>
  <si>
    <t>securities of the following companies covered in Morgan Stanley Research: Alnylam Pharmaceuticals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</si>
  <si>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</si>
  <si>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</si>
  <si>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</si>
  <si>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</si>
  <si>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</si>
  <si>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David N Lebowitz, MPH,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</si>
  <si>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</si>
  <si>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</si>
  <si>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</si>
  <si>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</si>
  <si>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</si>
  <si>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</si>
  <si>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</si>
  <si>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</si>
  <si>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</si>
  <si>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</si>
  <si>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</si>
  <si>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</si>
  <si>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</si>
  <si>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</si>
  <si>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</si>
  <si>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</si>
  <si>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</si>
  <si>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</si>
  <si>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</si>
  <si>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</si>
  <si>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</si>
  <si>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</si>
  <si>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</si>
  <si>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</si>
  <si>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</si>
  <si>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</si>
  <si>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</si>
  <si>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</si>
  <si>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</si>
  <si>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</si>
  <si>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</si>
  <si>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</si>
  <si>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</si>
  <si>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</si>
  <si>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</si>
  <si>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</si>
  <si>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</si>
  <si>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</si>
  <si>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</si>
  <si>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</si>
  <si>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</si>
  <si>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</si>
  <si>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</si>
  <si>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</si>
  <si>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</si>
  <si>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</si>
  <si>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</si>
  <si>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</si>
  <si>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</si>
  <si>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</si>
  <si>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</si>
  <si>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</si>
  <si>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</si>
  <si>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</si>
  <si>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</si>
  <si>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</si>
  <si>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</si>
  <si>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</si>
  <si>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</si>
  <si>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</si>
  <si>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</si>
  <si>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</si>
  <si>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</si>
  <si>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</si>
  <si>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</si>
  <si>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</si>
  <si>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</si>
  <si>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</si>
  <si>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</si>
  <si>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</si>
  <si>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</si>
  <si>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lebowdav</t>
  </si>
  <si>
    <t>MSA23MLF, MSA72HLP</t>
  </si>
  <si>
    <t>02043Q107</t>
  </si>
  <si>
    <t>L:\HEALTH\Biotech\Lebowitz\Models\ALNY_DL.xlsm</t>
  </si>
  <si>
    <t>[BRO MSA]</t>
  </si>
  <si>
    <t>[PRODUCT MODEL]</t>
  </si>
  <si>
    <t>[EMAIL_ALERT YES]</t>
  </si>
  <si>
    <t>[DISCIPLINE Company]</t>
  </si>
  <si>
    <t>[SUPPRESSED NO]</t>
  </si>
  <si>
    <t>[DOCDAT 2018-04-13]</t>
  </si>
  <si>
    <t>[DOCTIME 11:39]</t>
  </si>
  <si>
    <t>[PSYM ALNY.O(S&amp;P) (None)]</t>
  </si>
  <si>
    <t>[COU 1]</t>
  </si>
  <si>
    <t>[ANA MSA72HLP]</t>
  </si>
  <si>
    <t>[HL ALNY.O Model]</t>
  </si>
  <si>
    <t>[IND BIOTEC]</t>
  </si>
  <si>
    <t>[PANA MSA23MLF]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</si>
</sst>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_);\(0.0%\)"/>
    <numFmt numFmtId="165" formatCode="0%_);\(0%\)"/>
    <numFmt numFmtId="166" formatCode="_(&quot;$&quot;* #,##0_);_(&quot;$&quot;* \(#,##0\);_(&quot;$&quot;* &quot;-&quot;??_);_(@_)"/>
    <numFmt numFmtId="167" formatCode="0_);[Red]\(0\)"/>
    <numFmt numFmtId="168" formatCode="#,##0.0_);\(#,##0.0\)"/>
    <numFmt numFmtId="169" formatCode="_(* #,##0_);_(* \(#,##0\);_(* &quot;-&quot;??_);_(@_)"/>
    <numFmt numFmtId="170" formatCode="0.0%"/>
    <numFmt numFmtId="171" formatCode="#,##0.000_);\(#,##0.000\)"/>
    <numFmt numFmtId="172" formatCode="&quot;$&quot;#,##0.0_);\(&quot;$&quot;#,##0.0\)"/>
    <numFmt numFmtId="173" formatCode="0.0"/>
    <numFmt numFmtId="175" formatCode="0_);\(0\)"/>
    <numFmt numFmtId="176" formatCode="_(* #,##0.0_);_(* \(#,##0.0\);_(* &quot;-&quot;??_);_(@_)"/>
    <numFmt numFmtId="177" formatCode="&quot;$&quot;#,##0"/>
    <numFmt numFmtId="178" formatCode="#,##0.0"/>
    <numFmt numFmtId="179" formatCode="0.00_);[Red]\(0.00\)"/>
    <numFmt numFmtId="180" formatCode="_(* #,##0.000_);_(* \(#,##0.000\);_(* &quot;-&quot;??_);_(@_)"/>
    <numFmt numFmtId="181" formatCode="#,##0.000"/>
    <numFmt numFmtId="182" formatCode="0.0_);\(0.0\)"/>
    <numFmt numFmtId="184" formatCode="#,##0.0_);[Red]\(#,##0.0\)"/>
    <numFmt numFmtId="185" formatCode="0.0_);[Red]\(0.0\)"/>
    <numFmt numFmtId="194" formatCode="General_)"/>
    <numFmt numFmtId="195" formatCode="0.000_)"/>
    <numFmt numFmtId="196" formatCode="0.00_)"/>
    <numFmt numFmtId="197" formatCode="&quot;$&quot;#\-?/?"/>
    <numFmt numFmtId="203" formatCode="mm/dd/yy\ hh:mm"/>
  </numFmts>
  <fonts count="10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9"/>
      <name val="Arial"/>
      <family val="2"/>
    </font>
    <font>
      <sz val="9"/>
      <color indexed="12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sz val="9"/>
      <color indexed="10"/>
      <name val="Arial"/>
      <family val="2"/>
    </font>
    <font>
      <i/>
      <sz val="8"/>
      <color indexed="81"/>
      <name val="Tahoma"/>
      <family val="2"/>
    </font>
    <font>
      <sz val="11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0"/>
      <color indexed="23"/>
      <name val="Arial"/>
      <family val="2"/>
    </font>
    <font>
      <b/>
      <sz val="10"/>
      <color theme="0"/>
      <name val="Arial"/>
      <family val="2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00FF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sz val="9"/>
      <color indexed="81"/>
      <name val="Tahoma"/>
      <family val="2"/>
    </font>
    <font>
      <i/>
      <sz val="10"/>
      <color indexed="10"/>
      <name val="Arial"/>
      <family val="2"/>
    </font>
    <font>
      <sz val="8"/>
      <color indexed="22"/>
      <name val="Arial"/>
      <family val="2"/>
    </font>
    <font>
      <sz val="12"/>
      <color theme="1"/>
      <name val="Calibri"/>
      <family val="2"/>
      <scheme val="minor"/>
    </font>
    <font>
      <sz val="12"/>
      <name val="바탕체"/>
      <family val="3"/>
      <charset val="129"/>
    </font>
    <font>
      <sz val="12"/>
      <name val="바탕체"/>
      <family val="3"/>
    </font>
    <font>
      <sz val="10"/>
      <name val="Helv"/>
    </font>
    <font>
      <i/>
      <sz val="10"/>
      <color rgb="FF0070C0"/>
      <name val="Arial"/>
      <family val="2"/>
    </font>
    <font>
      <sz val="10"/>
      <color rgb="FF0070C0"/>
      <name val="Arial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i/>
      <sz val="10"/>
      <color indexed="53"/>
      <name val="Arial"/>
      <family val="2"/>
    </font>
    <font>
      <sz val="10"/>
      <color theme="1"/>
      <name val="Arial"/>
      <family val="2"/>
    </font>
    <font>
      <sz val="9"/>
      <color rgb="FF0070C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b/>
      <i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indexed="81"/>
      <name val="Tahoma"/>
      <family val="2"/>
    </font>
    <font>
      <sz val="10"/>
      <name val="Times New Roman"/>
      <family val="1"/>
    </font>
    <font>
      <b/>
      <sz val="10"/>
      <name val="Helv"/>
    </font>
    <font>
      <sz val="12"/>
      <name val="Arial MT"/>
    </font>
    <font>
      <sz val="8"/>
      <name val="Arial MT"/>
    </font>
    <font>
      <sz val="8"/>
      <color indexed="12"/>
      <name val="Times"/>
      <family val="1"/>
    </font>
    <font>
      <sz val="10"/>
      <color indexed="18"/>
      <name val="Times New Roman"/>
      <family val="1"/>
    </font>
    <font>
      <b/>
      <sz val="8"/>
      <name val="GillSans"/>
      <family val="2"/>
    </font>
    <font>
      <b/>
      <sz val="7"/>
      <name val="GillSans"/>
      <family val="2"/>
    </font>
    <font>
      <sz val="11"/>
      <name val="Times"/>
      <family val="1"/>
    </font>
    <font>
      <sz val="9"/>
      <name val="GillSans Light"/>
      <family val="2"/>
    </font>
    <font>
      <b/>
      <sz val="10"/>
      <color indexed="9"/>
      <name val="GillSans"/>
      <family val="2"/>
    </font>
    <font>
      <b/>
      <sz val="10"/>
      <color indexed="8"/>
      <name val="GillSans"/>
      <family val="2"/>
    </font>
    <font>
      <sz val="10"/>
      <name val="GillSans Light"/>
      <family val="2"/>
    </font>
    <font>
      <b/>
      <i/>
      <sz val="16"/>
      <name val="Helv"/>
    </font>
    <font>
      <b/>
      <sz val="13.5"/>
      <name val="MS Sans Serif"/>
      <family val="2"/>
    </font>
    <font>
      <sz val="10"/>
      <name val="GillSans"/>
      <family val="2"/>
    </font>
    <font>
      <b/>
      <sz val="10"/>
      <name val="GillSans"/>
      <family val="2"/>
    </font>
    <font>
      <b/>
      <sz val="11"/>
      <color indexed="9"/>
      <name val="GillSans"/>
      <family val="2"/>
    </font>
    <font>
      <b/>
      <sz val="11"/>
      <name val="GillSans"/>
      <family val="2"/>
    </font>
    <font>
      <sz val="8"/>
      <color indexed="16"/>
      <name val="Helv"/>
    </font>
    <font>
      <sz val="8"/>
      <color indexed="12"/>
      <name val="Times"/>
      <family val="1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i/>
      <sz val="10"/>
      <color theme="1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EBFF"/>
        <bgColor indexed="64"/>
      </patternFill>
    </fill>
    <fill>
      <patternFill patternType="solid">
        <fgColor rgb="FF0063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mediumGray"/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FF"/>
        <bgColor indexed="64"/>
      </patternFill>
    </fill>
  </fills>
  <borders count="4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86">
    <xf numFmtId="0" fontId="0" fillId="0" borderId="0"/>
    <xf numFmtId="0" fontId="7" fillId="0" borderId="0"/>
    <xf numFmtId="0" fontId="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2" borderId="0" applyNumberFormat="0" applyBorder="0" applyAlignment="0" applyProtection="0"/>
    <xf numFmtId="0" fontId="12" fillId="5" borderId="0" applyNumberFormat="0" applyBorder="0" applyAlignment="0" applyProtection="0"/>
    <xf numFmtId="0" fontId="12" fillId="4" borderId="0" applyNumberFormat="0" applyBorder="0" applyAlignment="0" applyProtection="0"/>
    <xf numFmtId="0" fontId="12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4" borderId="0" applyNumberFormat="0" applyBorder="0" applyAlignment="0" applyProtection="0"/>
    <xf numFmtId="0" fontId="13" fillId="8" borderId="0" applyNumberFormat="0" applyBorder="0" applyAlignment="0" applyProtection="0"/>
    <xf numFmtId="0" fontId="13" fillId="3" borderId="0" applyNumberFormat="0" applyBorder="0" applyAlignment="0" applyProtection="0"/>
    <xf numFmtId="0" fontId="13" fillId="9" borderId="0" applyNumberFormat="0" applyBorder="0" applyAlignment="0" applyProtection="0"/>
    <xf numFmtId="0" fontId="13" fillId="6" borderId="0" applyNumberFormat="0" applyBorder="0" applyAlignment="0" applyProtection="0"/>
    <xf numFmtId="0" fontId="13" fillId="8" borderId="0" applyNumberFormat="0" applyBorder="0" applyAlignment="0" applyProtection="0"/>
    <xf numFmtId="0" fontId="13" fillId="4" borderId="0" applyNumberFormat="0" applyBorder="0" applyAlignment="0" applyProtection="0"/>
    <xf numFmtId="0" fontId="13" fillId="8" borderId="0" applyNumberFormat="0" applyBorder="0" applyAlignment="0" applyProtection="0"/>
    <xf numFmtId="0" fontId="13" fillId="3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8" borderId="0" applyNumberFormat="0" applyBorder="0" applyAlignment="0" applyProtection="0"/>
    <xf numFmtId="0" fontId="13" fillId="3" borderId="0" applyNumberFormat="0" applyBorder="0" applyAlignment="0" applyProtection="0"/>
    <xf numFmtId="0" fontId="14" fillId="11" borderId="0" applyNumberFormat="0" applyBorder="0" applyAlignment="0" applyProtection="0"/>
    <xf numFmtId="0" fontId="15" fillId="0" borderId="0"/>
    <xf numFmtId="0" fontId="16" fillId="12" borderId="1" applyNumberFormat="0" applyAlignment="0" applyProtection="0"/>
    <xf numFmtId="0" fontId="17" fillId="13" borderId="2" applyNumberFormat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1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4" borderId="1" applyNumberFormat="0" applyAlignment="0" applyProtection="0"/>
    <xf numFmtId="0" fontId="24" fillId="0" borderId="6" applyNumberFormat="0" applyFill="0" applyAlignment="0" applyProtection="0"/>
    <xf numFmtId="0" fontId="25" fillId="4" borderId="0" applyNumberFormat="0" applyBorder="0" applyAlignment="0" applyProtection="0"/>
    <xf numFmtId="0" fontId="3" fillId="0" borderId="0"/>
    <xf numFmtId="0" fontId="3" fillId="0" borderId="0"/>
    <xf numFmtId="38" fontId="3" fillId="0" borderId="0" applyFont="0" applyFill="0" applyBorder="0" applyAlignment="0" applyProtection="0"/>
    <xf numFmtId="0" fontId="3" fillId="0" borderId="0"/>
    <xf numFmtId="0" fontId="3" fillId="4" borderId="7" applyNumberFormat="0" applyFont="0" applyAlignment="0" applyProtection="0"/>
    <xf numFmtId="0" fontId="26" fillId="12" borderId="8" applyNumberFormat="0" applyAlignment="0" applyProtection="0"/>
    <xf numFmtId="0" fontId="27" fillId="0" borderId="0">
      <alignment vertical="center"/>
    </xf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8" fillId="0" borderId="0"/>
    <xf numFmtId="0" fontId="28" fillId="0" borderId="9">
      <alignment horizontal="centerContinuous"/>
    </xf>
    <xf numFmtId="0" fontId="29" fillId="0" borderId="9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0" borderId="0" applyNumberFormat="0" applyFill="0" applyBorder="0" applyAlignment="0" applyProtection="0"/>
    <xf numFmtId="0" fontId="46" fillId="0" borderId="0"/>
    <xf numFmtId="0" fontId="7" fillId="0" borderId="0"/>
    <xf numFmtId="9" fontId="12" fillId="0" borderId="0" applyFont="0" applyFill="0" applyBorder="0" applyAlignment="0" applyProtection="0"/>
    <xf numFmtId="0" fontId="7" fillId="0" borderId="0"/>
    <xf numFmtId="0" fontId="56" fillId="0" borderId="0"/>
    <xf numFmtId="43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3" fillId="0" borderId="0"/>
    <xf numFmtId="0" fontId="57" fillId="0" borderId="0"/>
    <xf numFmtId="0" fontId="57" fillId="0" borderId="0"/>
    <xf numFmtId="0" fontId="57" fillId="0" borderId="0"/>
    <xf numFmtId="0" fontId="3" fillId="0" borderId="0"/>
    <xf numFmtId="0" fontId="3" fillId="0" borderId="0"/>
    <xf numFmtId="0" fontId="3" fillId="0" borderId="0">
      <alignment vertical="top"/>
    </xf>
    <xf numFmtId="0" fontId="3" fillId="0" borderId="0">
      <alignment vertical="top"/>
    </xf>
    <xf numFmtId="0" fontId="3" fillId="0" borderId="0" applyNumberFormat="0" applyFill="0" applyBorder="0" applyAlignment="0" applyProtection="0"/>
    <xf numFmtId="0" fontId="60" fillId="0" borderId="0"/>
    <xf numFmtId="0" fontId="11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9" fillId="0" borderId="0"/>
    <xf numFmtId="0" fontId="3" fillId="0" borderId="0"/>
    <xf numFmtId="0" fontId="3" fillId="0" borderId="0"/>
    <xf numFmtId="0" fontId="3" fillId="15" borderId="0" applyNumberFormat="0" applyFont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1" fillId="0" borderId="0"/>
    <xf numFmtId="9" fontId="3" fillId="0" borderId="0"/>
    <xf numFmtId="0" fontId="11" fillId="0" borderId="0"/>
    <xf numFmtId="0" fontId="11" fillId="0" borderId="0"/>
    <xf numFmtId="2" fontId="11" fillId="0" borderId="0"/>
    <xf numFmtId="10" fontId="11" fillId="0" borderId="0"/>
    <xf numFmtId="178" fontId="79" fillId="0" borderId="0" applyFont="0" applyAlignment="0"/>
    <xf numFmtId="0" fontId="85" fillId="0" borderId="18" applyNumberFormat="0" applyFill="0" applyBorder="0" applyProtection="0">
      <alignment horizontal="right" vertical="center"/>
    </xf>
    <xf numFmtId="0" fontId="85" fillId="0" borderId="18" applyNumberFormat="0" applyFill="0" applyBorder="0" applyProtection="0">
      <alignment horizontal="left" vertical="center"/>
    </xf>
    <xf numFmtId="37" fontId="80" fillId="0" borderId="0">
      <alignment horizontal="center"/>
    </xf>
    <xf numFmtId="0" fontId="3" fillId="0" borderId="0"/>
    <xf numFmtId="194" fontId="81" fillId="0" borderId="0">
      <alignment horizontal="left"/>
    </xf>
    <xf numFmtId="0" fontId="82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" fontId="83" fillId="0" borderId="0"/>
    <xf numFmtId="0" fontId="84" fillId="0" borderId="33" applyNumberFormat="0" applyFill="0" applyProtection="0">
      <alignment horizontal="left" vertical="center"/>
    </xf>
    <xf numFmtId="0" fontId="85" fillId="0" borderId="33" applyNumberFormat="0" applyFill="0" applyBorder="0" applyProtection="0">
      <alignment horizontal="left" vertical="center"/>
    </xf>
    <xf numFmtId="0" fontId="85" fillId="0" borderId="33" applyNumberFormat="0" applyFill="0" applyBorder="0" applyProtection="0">
      <alignment horizontal="right" vertical="center"/>
    </xf>
    <xf numFmtId="195" fontId="86" fillId="0" borderId="0"/>
    <xf numFmtId="195" fontId="86" fillId="0" borderId="0"/>
    <xf numFmtId="195" fontId="86" fillId="0" borderId="0"/>
    <xf numFmtId="195" fontId="86" fillId="0" borderId="0"/>
    <xf numFmtId="195" fontId="86" fillId="0" borderId="0"/>
    <xf numFmtId="195" fontId="86" fillId="0" borderId="0"/>
    <xf numFmtId="195" fontId="86" fillId="0" borderId="0"/>
    <xf numFmtId="195" fontId="86" fillId="0" borderId="0"/>
    <xf numFmtId="38" fontId="78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4" fontId="8" fillId="0" borderId="12" applyFont="0">
      <alignment horizontal="right"/>
    </xf>
    <xf numFmtId="0" fontId="78" fillId="0" borderId="0"/>
    <xf numFmtId="5" fontId="41" fillId="0" borderId="0" applyFont="0" applyFill="0" applyBorder="0" applyAlignment="0" applyProtection="0">
      <protection locked="0"/>
    </xf>
    <xf numFmtId="0" fontId="87" fillId="0" borderId="0" applyNumberFormat="0" applyFill="0" applyBorder="0" applyProtection="0">
      <alignment horizontal="left" vertical="center"/>
    </xf>
    <xf numFmtId="0" fontId="88" fillId="28" borderId="0" applyNumberFormat="0" applyBorder="0" applyProtection="0">
      <alignment horizontal="left" vertical="center"/>
    </xf>
    <xf numFmtId="0" fontId="89" fillId="1" borderId="0" applyNumberFormat="0" applyBorder="0" applyProtection="0">
      <alignment horizontal="left" vertical="center"/>
    </xf>
    <xf numFmtId="0" fontId="35" fillId="0" borderId="37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90" fillId="0" borderId="0" applyNumberFormat="0" applyFill="0" applyBorder="0" applyProtection="0">
      <alignment horizontal="left" vertical="center"/>
    </xf>
    <xf numFmtId="196" fontId="91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43" fontId="78" fillId="0" borderId="0" applyFont="0" applyFill="0" applyBorder="0" applyAlignment="0" applyProtection="0"/>
    <xf numFmtId="41" fontId="78" fillId="0" borderId="0" applyFont="0" applyFill="0" applyBorder="0" applyAlignment="0" applyProtection="0"/>
    <xf numFmtId="0" fontId="92" fillId="0" borderId="0">
      <alignment horizontal="left"/>
    </xf>
    <xf numFmtId="170" fontId="3" fillId="0" borderId="0" applyBorder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97" fontId="93" fillId="0" borderId="0">
      <alignment horizontal="right"/>
    </xf>
    <xf numFmtId="0" fontId="90" fillId="0" borderId="0" applyNumberFormat="0" applyFill="0" applyBorder="0" applyProtection="0">
      <alignment horizontal="right" vertical="center"/>
    </xf>
    <xf numFmtId="0" fontId="3" fillId="0" borderId="0"/>
    <xf numFmtId="0" fontId="3" fillId="0" borderId="0">
      <alignment vertical="top"/>
    </xf>
    <xf numFmtId="0" fontId="3" fillId="0" borderId="0">
      <alignment vertical="top"/>
    </xf>
    <xf numFmtId="0" fontId="94" fillId="0" borderId="0" applyNumberFormat="0" applyFill="0" applyBorder="0" applyProtection="0">
      <alignment horizontal="left" vertical="center"/>
    </xf>
    <xf numFmtId="0" fontId="94" fillId="0" borderId="12" applyNumberFormat="0" applyFill="0" applyProtection="0">
      <alignment horizontal="left" vertical="center"/>
    </xf>
    <xf numFmtId="0" fontId="95" fillId="28" borderId="0" applyNumberFormat="0" applyBorder="0" applyProtection="0">
      <alignment horizontal="left" vertical="center"/>
    </xf>
    <xf numFmtId="0" fontId="96" fillId="1" borderId="0" applyNumberFormat="0" applyBorder="0" applyProtection="0">
      <alignment horizontal="left" vertical="center"/>
    </xf>
    <xf numFmtId="38" fontId="5" fillId="0" borderId="36" applyNumberFormat="0" applyFont="0" applyFill="0" applyAlignment="0" applyProtection="0"/>
    <xf numFmtId="0" fontId="3" fillId="0" borderId="0"/>
    <xf numFmtId="0" fontId="97" fillId="0" borderId="0" applyNumberFormat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4" borderId="7" applyNumberFormat="0" applyFont="0" applyAlignment="0" applyProtection="0"/>
    <xf numFmtId="0" fontId="3" fillId="0" borderId="0"/>
    <xf numFmtId="0" fontId="56" fillId="0" borderId="0"/>
    <xf numFmtId="43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4" fontId="99" fillId="0" borderId="0" applyFont="0" applyFill="0" applyBorder="0" applyAlignment="0" applyProtection="0"/>
    <xf numFmtId="0" fontId="100" fillId="0" borderId="0" applyNumberFormat="0" applyFill="0" applyBorder="0" applyAlignment="0" applyProtection="0">
      <alignment vertical="top"/>
      <protection locked="0"/>
    </xf>
    <xf numFmtId="0" fontId="1" fillId="0" borderId="0"/>
    <xf numFmtId="44" fontId="101" fillId="0" borderId="0" applyFont="0" applyFill="0" applyBorder="0" applyAlignment="0" applyProtection="0"/>
    <xf numFmtId="0" fontId="103" fillId="0" borderId="0"/>
  </cellStyleXfs>
  <cellXfs count="691">
    <xf numFmtId="0" fontId="0" fillId="0" borderId="0" xfId="0"/>
    <xf numFmtId="0" fontId="5" fillId="16" borderId="0" xfId="0" applyFont="1" applyFill="1" applyBorder="1" applyAlignment="1">
      <alignment horizontal="left" indent="1"/>
    </xf>
    <xf numFmtId="0" fontId="7" fillId="0" borderId="0" xfId="0" applyFont="1"/>
    <xf numFmtId="0" fontId="0" fillId="0" borderId="0" xfId="0" applyBorder="1"/>
    <xf numFmtId="0" fontId="33" fillId="17" borderId="11" xfId="0" applyFont="1" applyFill="1" applyBorder="1" applyAlignment="1" applyProtection="1">
      <alignment horizontal="center"/>
      <protection locked="0"/>
    </xf>
    <xf numFmtId="0" fontId="33" fillId="17" borderId="12" xfId="0" applyFont="1" applyFill="1" applyBorder="1" applyAlignment="1" applyProtection="1">
      <alignment horizontal="center"/>
      <protection locked="0"/>
    </xf>
    <xf numFmtId="0" fontId="9" fillId="16" borderId="0" xfId="0" applyFont="1" applyFill="1" applyBorder="1" applyAlignment="1">
      <alignment horizontal="center"/>
    </xf>
    <xf numFmtId="170" fontId="34" fillId="16" borderId="0" xfId="55" applyNumberFormat="1" applyFont="1" applyFill="1" applyBorder="1" applyAlignment="1">
      <alignment horizontal="center"/>
    </xf>
    <xf numFmtId="0" fontId="9" fillId="16" borderId="0" xfId="0" applyFont="1" applyFill="1" applyAlignment="1">
      <alignment horizontal="center"/>
    </xf>
    <xf numFmtId="170" fontId="34" fillId="16" borderId="0" xfId="0" applyNumberFormat="1" applyFont="1" applyFill="1" applyAlignment="1">
      <alignment horizontal="center"/>
    </xf>
    <xf numFmtId="0" fontId="8" fillId="16" borderId="0" xfId="0" applyFont="1" applyFill="1" applyAlignment="1">
      <alignment horizontal="center"/>
    </xf>
    <xf numFmtId="0" fontId="0" fillId="15" borderId="11" xfId="0" applyFill="1" applyBorder="1" applyAlignment="1">
      <alignment horizontal="center"/>
    </xf>
    <xf numFmtId="0" fontId="8" fillId="15" borderId="13" xfId="0" applyFont="1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177" fontId="0" fillId="18" borderId="13" xfId="0" applyNumberFormat="1" applyFill="1" applyBorder="1" applyAlignment="1">
      <alignment horizontal="center"/>
    </xf>
    <xf numFmtId="0" fontId="5" fillId="0" borderId="0" xfId="0" applyFont="1" applyBorder="1" applyAlignment="1">
      <alignment horizontal="left" indent="1"/>
    </xf>
    <xf numFmtId="0" fontId="0" fillId="17" borderId="12" xfId="0" applyFill="1" applyBorder="1" applyAlignment="1">
      <alignment horizontal="center"/>
    </xf>
    <xf numFmtId="177" fontId="3" fillId="17" borderId="12" xfId="0" applyNumberFormat="1" applyFont="1" applyFill="1" applyBorder="1" applyAlignment="1">
      <alignment horizontal="center"/>
    </xf>
    <xf numFmtId="0" fontId="8" fillId="17" borderId="12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177" fontId="3" fillId="0" borderId="12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7" fillId="16" borderId="14" xfId="0" applyFont="1" applyFill="1" applyBorder="1" applyAlignment="1">
      <alignment horizontal="left"/>
    </xf>
    <xf numFmtId="0" fontId="7" fillId="16" borderId="0" xfId="0" applyFont="1" applyFill="1" applyBorder="1" applyAlignment="1">
      <alignment horizontal="left"/>
    </xf>
    <xf numFmtId="0" fontId="3" fillId="16" borderId="0" xfId="0" applyFont="1" applyFill="1" applyAlignment="1">
      <alignment horizontal="left"/>
    </xf>
    <xf numFmtId="0" fontId="5" fillId="16" borderId="18" xfId="0" applyFont="1" applyFill="1" applyBorder="1" applyAlignment="1">
      <alignment horizontal="left" indent="1"/>
    </xf>
    <xf numFmtId="3" fontId="0" fillId="0" borderId="0" xfId="0" applyNumberForma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8" fillId="16" borderId="0" xfId="0" applyFont="1" applyFill="1" applyBorder="1" applyAlignment="1">
      <alignment horizontal="left"/>
    </xf>
    <xf numFmtId="0" fontId="8" fillId="16" borderId="14" xfId="0" applyFont="1" applyFill="1" applyBorder="1" applyAlignment="1">
      <alignment horizontal="left"/>
    </xf>
    <xf numFmtId="9" fontId="9" fillId="0" borderId="0" xfId="55" applyFont="1" applyAlignment="1">
      <alignment horizontal="center"/>
    </xf>
    <xf numFmtId="9" fontId="37" fillId="0" borderId="0" xfId="55" applyFont="1" applyBorder="1" applyAlignment="1">
      <alignment horizontal="center"/>
    </xf>
    <xf numFmtId="9" fontId="9" fillId="0" borderId="18" xfId="55" applyFont="1" applyBorder="1" applyAlignment="1">
      <alignment horizontal="center"/>
    </xf>
    <xf numFmtId="9" fontId="34" fillId="0" borderId="0" xfId="55" applyFont="1" applyAlignment="1">
      <alignment horizontal="center"/>
    </xf>
    <xf numFmtId="9" fontId="34" fillId="0" borderId="0" xfId="0" applyNumberFormat="1" applyFont="1" applyFill="1" applyBorder="1" applyAlignment="1">
      <alignment horizontal="center"/>
    </xf>
    <xf numFmtId="9" fontId="34" fillId="0" borderId="0" xfId="0" applyNumberFormat="1" applyFon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36" fillId="0" borderId="0" xfId="0" applyFont="1" applyAlignment="1">
      <alignment horizontal="center"/>
    </xf>
    <xf numFmtId="3" fontId="36" fillId="0" borderId="0" xfId="0" applyNumberFormat="1" applyFont="1" applyBorder="1" applyAlignment="1">
      <alignment horizontal="center"/>
    </xf>
    <xf numFmtId="170" fontId="34" fillId="0" borderId="0" xfId="55" applyNumberFormat="1" applyFont="1" applyAlignment="1">
      <alignment horizontal="center"/>
    </xf>
    <xf numFmtId="0" fontId="8" fillId="0" borderId="0" xfId="0" applyFont="1"/>
    <xf numFmtId="3" fontId="3" fillId="0" borderId="0" xfId="0" applyNumberFormat="1" applyFont="1" applyBorder="1" applyAlignment="1">
      <alignment horizontal="center"/>
    </xf>
    <xf numFmtId="0" fontId="0" fillId="0" borderId="14" xfId="0" applyBorder="1"/>
    <xf numFmtId="177" fontId="0" fillId="0" borderId="14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0" fontId="0" fillId="0" borderId="18" xfId="0" applyBorder="1"/>
    <xf numFmtId="177" fontId="0" fillId="0" borderId="18" xfId="0" applyNumberFormat="1" applyBorder="1" applyAlignment="1">
      <alignment horizontal="center"/>
    </xf>
    <xf numFmtId="0" fontId="7" fillId="0" borderId="0" xfId="0" applyFont="1" applyFill="1" applyBorder="1"/>
    <xf numFmtId="9" fontId="36" fillId="0" borderId="0" xfId="55" applyFont="1" applyAlignment="1">
      <alignment horizontal="center"/>
    </xf>
    <xf numFmtId="0" fontId="8" fillId="0" borderId="15" xfId="0" applyFont="1" applyBorder="1"/>
    <xf numFmtId="0" fontId="8" fillId="0" borderId="20" xfId="0" applyFont="1" applyBorder="1"/>
    <xf numFmtId="0" fontId="8" fillId="0" borderId="17" xfId="0" applyFont="1" applyFill="1" applyBorder="1"/>
    <xf numFmtId="3" fontId="36" fillId="0" borderId="0" xfId="0" applyNumberFormat="1" applyFont="1" applyFill="1" applyBorder="1" applyAlignment="1">
      <alignment horizontal="center"/>
    </xf>
    <xf numFmtId="170" fontId="34" fillId="0" borderId="0" xfId="0" applyNumberFormat="1" applyFont="1" applyFill="1" applyBorder="1" applyAlignment="1">
      <alignment horizontal="center"/>
    </xf>
    <xf numFmtId="177" fontId="8" fillId="0" borderId="0" xfId="0" applyNumberFormat="1" applyFont="1" applyFill="1" applyBorder="1" applyAlignment="1">
      <alignment horizontal="center"/>
    </xf>
    <xf numFmtId="0" fontId="9" fillId="16" borderId="0" xfId="0" applyFont="1" applyFill="1" applyAlignment="1">
      <alignment horizontal="left"/>
    </xf>
    <xf numFmtId="0" fontId="9" fillId="16" borderId="0" xfId="0" applyFont="1" applyFill="1" applyBorder="1" applyAlignment="1">
      <alignment horizontal="left"/>
    </xf>
    <xf numFmtId="0" fontId="33" fillId="17" borderId="11" xfId="0" applyFont="1" applyFill="1" applyBorder="1" applyAlignment="1" applyProtection="1">
      <alignment horizontal="left"/>
      <protection locked="0"/>
    </xf>
    <xf numFmtId="181" fontId="0" fillId="0" borderId="0" xfId="0" applyNumberFormat="1" applyBorder="1" applyAlignment="1">
      <alignment horizontal="center"/>
    </xf>
    <xf numFmtId="3" fontId="36" fillId="16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0" xfId="0" applyFill="1" applyBorder="1" applyAlignment="1">
      <alignment horizontal="center"/>
    </xf>
    <xf numFmtId="177" fontId="3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177" fontId="44" fillId="0" borderId="0" xfId="0" applyNumberFormat="1" applyFont="1" applyBorder="1" applyAlignment="1">
      <alignment horizontal="center"/>
    </xf>
    <xf numFmtId="9" fontId="36" fillId="0" borderId="0" xfId="55" applyFont="1" applyFill="1" applyBorder="1" applyAlignment="1">
      <alignment horizontal="center"/>
    </xf>
    <xf numFmtId="0" fontId="0" fillId="19" borderId="0" xfId="0" applyFill="1"/>
    <xf numFmtId="0" fontId="47" fillId="20" borderId="0" xfId="63" applyFont="1" applyFill="1"/>
    <xf numFmtId="0" fontId="7" fillId="20" borderId="0" xfId="64" applyFill="1"/>
    <xf numFmtId="0" fontId="41" fillId="20" borderId="0" xfId="63" applyFont="1" applyFill="1"/>
    <xf numFmtId="0" fontId="49" fillId="20" borderId="0" xfId="63" applyFont="1" applyFill="1"/>
    <xf numFmtId="0" fontId="43" fillId="20" borderId="0" xfId="64" applyFont="1" applyFill="1"/>
    <xf numFmtId="9" fontId="43" fillId="21" borderId="0" xfId="55" applyFont="1" applyFill="1"/>
    <xf numFmtId="0" fontId="50" fillId="20" borderId="0" xfId="63" applyFont="1" applyFill="1"/>
    <xf numFmtId="0" fontId="40" fillId="20" borderId="0" xfId="63" applyFont="1" applyFill="1"/>
    <xf numFmtId="0" fontId="50" fillId="16" borderId="28" xfId="63" applyFont="1" applyFill="1" applyBorder="1"/>
    <xf numFmtId="0" fontId="41" fillId="16" borderId="29" xfId="63" applyFont="1" applyFill="1" applyBorder="1"/>
    <xf numFmtId="0" fontId="41" fillId="16" borderId="0" xfId="63" applyFont="1" applyFill="1" applyBorder="1"/>
    <xf numFmtId="0" fontId="41" fillId="16" borderId="31" xfId="63" applyFont="1" applyFill="1" applyBorder="1"/>
    <xf numFmtId="0" fontId="41" fillId="16" borderId="22" xfId="63" applyFont="1" applyFill="1" applyBorder="1"/>
    <xf numFmtId="9" fontId="3" fillId="0" borderId="0" xfId="55" applyFont="1" applyFill="1" applyBorder="1" applyAlignment="1">
      <alignment horizontal="center"/>
    </xf>
    <xf numFmtId="0" fontId="3" fillId="0" borderId="0" xfId="0" applyFont="1"/>
    <xf numFmtId="0" fontId="3" fillId="16" borderId="0" xfId="51" applyFont="1" applyFill="1"/>
    <xf numFmtId="0" fontId="3" fillId="16" borderId="0" xfId="51" applyFont="1" applyFill="1" applyBorder="1"/>
    <xf numFmtId="0" fontId="8" fillId="0" borderId="18" xfId="51" applyFont="1" applyFill="1" applyBorder="1"/>
    <xf numFmtId="0" fontId="3" fillId="0" borderId="18" xfId="0" applyFont="1" applyFill="1" applyBorder="1"/>
    <xf numFmtId="0" fontId="8" fillId="16" borderId="0" xfId="51" applyFont="1" applyFill="1"/>
    <xf numFmtId="0" fontId="8" fillId="16" borderId="0" xfId="51" applyFont="1" applyFill="1" applyBorder="1"/>
    <xf numFmtId="170" fontId="3" fillId="16" borderId="0" xfId="0" applyNumberFormat="1" applyFont="1" applyFill="1"/>
    <xf numFmtId="170" fontId="3" fillId="16" borderId="0" xfId="0" applyNumberFormat="1" applyFont="1" applyFill="1" applyBorder="1"/>
    <xf numFmtId="167" fontId="8" fillId="0" borderId="0" xfId="51" applyNumberFormat="1" applyFont="1" applyFill="1" applyBorder="1" applyAlignment="1">
      <alignment horizontal="left" wrapText="1"/>
    </xf>
    <xf numFmtId="0" fontId="3" fillId="0" borderId="0" xfId="0" applyFont="1" applyBorder="1"/>
    <xf numFmtId="169" fontId="3" fillId="16" borderId="0" xfId="51" applyNumberFormat="1" applyFont="1" applyFill="1" applyBorder="1" applyAlignment="1"/>
    <xf numFmtId="0" fontId="3" fillId="16" borderId="0" xfId="51" applyFont="1" applyFill="1" applyBorder="1" applyAlignment="1"/>
    <xf numFmtId="176" fontId="8" fillId="0" borderId="0" xfId="37" applyNumberFormat="1" applyFont="1" applyFill="1" applyBorder="1" applyAlignment="1"/>
    <xf numFmtId="167" fontId="3" fillId="16" borderId="0" xfId="51" applyNumberFormat="1" applyFont="1" applyFill="1" applyBorder="1"/>
    <xf numFmtId="167" fontId="3" fillId="16" borderId="0" xfId="51" applyNumberFormat="1" applyFont="1" applyFill="1"/>
    <xf numFmtId="167" fontId="3" fillId="16" borderId="0" xfId="51" applyNumberFormat="1" applyFont="1" applyFill="1" applyBorder="1" applyAlignment="1">
      <alignment horizontal="center"/>
    </xf>
    <xf numFmtId="179" fontId="3" fillId="16" borderId="0" xfId="51" applyNumberFormat="1" applyFont="1" applyFill="1" applyBorder="1" applyAlignment="1">
      <alignment horizontal="center"/>
    </xf>
    <xf numFmtId="168" fontId="3" fillId="16" borderId="0" xfId="51" applyNumberFormat="1" applyFont="1" applyFill="1" applyBorder="1"/>
    <xf numFmtId="168" fontId="3" fillId="16" borderId="0" xfId="51" applyNumberFormat="1" applyFont="1" applyFill="1"/>
    <xf numFmtId="168" fontId="3" fillId="16" borderId="23" xfId="51" applyNumberFormat="1" applyFont="1" applyFill="1" applyBorder="1"/>
    <xf numFmtId="179" fontId="3" fillId="16" borderId="0" xfId="37" applyNumberFormat="1" applyFont="1" applyFill="1" applyBorder="1" applyAlignment="1">
      <alignment horizontal="center"/>
    </xf>
    <xf numFmtId="175" fontId="3" fillId="16" borderId="0" xfId="37" applyNumberFormat="1" applyFont="1" applyFill="1" applyBorder="1" applyAlignment="1">
      <alignment horizontal="center"/>
    </xf>
    <xf numFmtId="182" fontId="3" fillId="16" borderId="0" xfId="37" applyNumberFormat="1" applyFont="1" applyFill="1" applyBorder="1" applyAlignment="1">
      <alignment horizontal="center"/>
    </xf>
    <xf numFmtId="167" fontId="3" fillId="16" borderId="0" xfId="37" applyNumberFormat="1" applyFont="1" applyFill="1" applyBorder="1" applyAlignment="1">
      <alignment horizontal="center"/>
    </xf>
    <xf numFmtId="168" fontId="8" fillId="0" borderId="0" xfId="37" applyNumberFormat="1" applyFont="1" applyFill="1" applyBorder="1" applyAlignment="1">
      <alignment horizontal="right"/>
    </xf>
    <xf numFmtId="169" fontId="3" fillId="16" borderId="0" xfId="37" applyNumberFormat="1" applyFont="1" applyFill="1" applyAlignment="1"/>
    <xf numFmtId="0" fontId="3" fillId="0" borderId="0" xfId="51" applyFont="1" applyFill="1" applyBorder="1" applyAlignment="1"/>
    <xf numFmtId="176" fontId="3" fillId="0" borderId="0" xfId="37" applyNumberFormat="1" applyFont="1" applyFill="1" applyBorder="1" applyAlignment="1"/>
    <xf numFmtId="176" fontId="8" fillId="0" borderId="12" xfId="37" applyNumberFormat="1" applyFont="1" applyFill="1" applyBorder="1" applyAlignment="1"/>
    <xf numFmtId="176" fontId="3" fillId="0" borderId="0" xfId="0" applyNumberFormat="1" applyFont="1" applyFill="1" applyBorder="1" applyAlignment="1"/>
    <xf numFmtId="180" fontId="3" fillId="16" borderId="0" xfId="51" applyNumberFormat="1" applyFont="1" applyFill="1" applyBorder="1" applyAlignment="1"/>
    <xf numFmtId="167" fontId="8" fillId="16" borderId="0" xfId="51" applyNumberFormat="1" applyFont="1" applyFill="1" applyBorder="1" applyAlignment="1"/>
    <xf numFmtId="43" fontId="3" fillId="16" borderId="0" xfId="51" applyNumberFormat="1" applyFont="1" applyFill="1" applyBorder="1" applyAlignment="1"/>
    <xf numFmtId="0" fontId="8" fillId="0" borderId="33" xfId="51" applyFont="1" applyFill="1" applyBorder="1"/>
    <xf numFmtId="176" fontId="8" fillId="0" borderId="27" xfId="37" applyNumberFormat="1" applyFont="1" applyFill="1" applyBorder="1" applyAlignment="1"/>
    <xf numFmtId="176" fontId="3" fillId="0" borderId="33" xfId="37" applyNumberFormat="1" applyFont="1" applyFill="1" applyBorder="1" applyAlignment="1"/>
    <xf numFmtId="0" fontId="8" fillId="19" borderId="12" xfId="0" applyFont="1" applyFill="1" applyBorder="1" applyAlignment="1">
      <alignment horizontal="right"/>
    </xf>
    <xf numFmtId="176" fontId="3" fillId="19" borderId="21" xfId="68" applyNumberFormat="1" applyFont="1" applyFill="1" applyBorder="1"/>
    <xf numFmtId="176" fontId="3" fillId="19" borderId="0" xfId="68" applyNumberFormat="1" applyFont="1" applyFill="1" applyBorder="1"/>
    <xf numFmtId="169" fontId="64" fillId="23" borderId="0" xfId="68" applyNumberFormat="1" applyFont="1" applyFill="1"/>
    <xf numFmtId="173" fontId="3" fillId="19" borderId="0" xfId="0" applyNumberFormat="1" applyFont="1" applyFill="1" applyBorder="1" applyAlignment="1">
      <alignment horizontal="right"/>
    </xf>
    <xf numFmtId="170" fontId="3" fillId="19" borderId="0" xfId="0" applyNumberFormat="1" applyFont="1" applyFill="1" applyBorder="1" applyAlignment="1">
      <alignment horizontal="right"/>
    </xf>
    <xf numFmtId="170" fontId="3" fillId="19" borderId="0" xfId="0" applyNumberFormat="1" applyFont="1" applyFill="1" applyBorder="1"/>
    <xf numFmtId="167" fontId="8" fillId="16" borderId="36" xfId="51" applyNumberFormat="1" applyFont="1" applyFill="1" applyBorder="1" applyAlignment="1"/>
    <xf numFmtId="167" fontId="8" fillId="16" borderId="33" xfId="51" applyNumberFormat="1" applyFont="1" applyFill="1" applyBorder="1" applyAlignment="1"/>
    <xf numFmtId="170" fontId="62" fillId="19" borderId="0" xfId="0" applyNumberFormat="1" applyFont="1" applyFill="1" applyBorder="1" applyAlignment="1">
      <alignment horizontal="right"/>
    </xf>
    <xf numFmtId="173" fontId="62" fillId="19" borderId="0" xfId="0" applyNumberFormat="1" applyFont="1" applyFill="1" applyBorder="1" applyAlignment="1">
      <alignment horizontal="right"/>
    </xf>
    <xf numFmtId="173" fontId="8" fillId="19" borderId="36" xfId="0" applyNumberFormat="1" applyFont="1" applyFill="1" applyBorder="1" applyAlignment="1">
      <alignment horizontal="right"/>
    </xf>
    <xf numFmtId="173" fontId="8" fillId="19" borderId="34" xfId="0" applyNumberFormat="1" applyFont="1" applyFill="1" applyBorder="1" applyAlignment="1">
      <alignment horizontal="right"/>
    </xf>
    <xf numFmtId="173" fontId="3" fillId="19" borderId="21" xfId="0" applyNumberFormat="1" applyFont="1" applyFill="1" applyBorder="1" applyAlignment="1">
      <alignment horizontal="right"/>
    </xf>
    <xf numFmtId="170" fontId="62" fillId="19" borderId="21" xfId="0" applyNumberFormat="1" applyFont="1" applyFill="1" applyBorder="1" applyAlignment="1">
      <alignment horizontal="right"/>
    </xf>
    <xf numFmtId="173" fontId="62" fillId="19" borderId="21" xfId="0" applyNumberFormat="1" applyFont="1" applyFill="1" applyBorder="1" applyAlignment="1">
      <alignment horizontal="right"/>
    </xf>
    <xf numFmtId="173" fontId="8" fillId="19" borderId="33" xfId="0" applyNumberFormat="1" applyFont="1" applyFill="1" applyBorder="1" applyAlignment="1">
      <alignment horizontal="right"/>
    </xf>
    <xf numFmtId="173" fontId="8" fillId="19" borderId="19" xfId="0" applyNumberFormat="1" applyFont="1" applyFill="1" applyBorder="1" applyAlignment="1">
      <alignment horizontal="right"/>
    </xf>
    <xf numFmtId="185" fontId="8" fillId="16" borderId="33" xfId="51" applyNumberFormat="1" applyFont="1" applyFill="1" applyBorder="1" applyAlignment="1"/>
    <xf numFmtId="185" fontId="65" fillId="16" borderId="33" xfId="51" applyNumberFormat="1" applyFont="1" applyFill="1" applyBorder="1" applyAlignment="1"/>
    <xf numFmtId="185" fontId="8" fillId="16" borderId="0" xfId="51" applyNumberFormat="1" applyFont="1" applyFill="1" applyBorder="1" applyAlignment="1"/>
    <xf numFmtId="167" fontId="62" fillId="16" borderId="0" xfId="51" applyNumberFormat="1" applyFont="1" applyFill="1" applyBorder="1" applyAlignment="1"/>
    <xf numFmtId="169" fontId="3" fillId="19" borderId="0" xfId="68" applyNumberFormat="1" applyFont="1" applyFill="1" applyBorder="1"/>
    <xf numFmtId="0" fontId="8" fillId="19" borderId="0" xfId="48" applyFont="1" applyFill="1" applyBorder="1" applyAlignment="1">
      <alignment horizontal="left"/>
    </xf>
    <xf numFmtId="170" fontId="3" fillId="19" borderId="0" xfId="69" applyNumberFormat="1" applyFont="1" applyFill="1" applyBorder="1" applyAlignment="1">
      <alignment horizontal="right"/>
    </xf>
    <xf numFmtId="170" fontId="3" fillId="19" borderId="0" xfId="0" applyNumberFormat="1" applyFont="1" applyFill="1" applyBorder="1" applyAlignment="1"/>
    <xf numFmtId="176" fontId="43" fillId="19" borderId="0" xfId="68" applyNumberFormat="1" applyFont="1" applyFill="1"/>
    <xf numFmtId="176" fontId="64" fillId="23" borderId="0" xfId="0" applyNumberFormat="1" applyFont="1" applyFill="1"/>
    <xf numFmtId="176" fontId="8" fillId="19" borderId="0" xfId="0" applyNumberFormat="1" applyFont="1" applyFill="1"/>
    <xf numFmtId="176" fontId="66" fillId="23" borderId="0" xfId="0" applyNumberFormat="1" applyFont="1" applyFill="1"/>
    <xf numFmtId="176" fontId="55" fillId="19" borderId="0" xfId="0" applyNumberFormat="1" applyFont="1" applyFill="1"/>
    <xf numFmtId="168" fontId="36" fillId="19" borderId="0" xfId="68" applyNumberFormat="1" applyFont="1" applyFill="1" applyBorder="1"/>
    <xf numFmtId="173" fontId="3" fillId="19" borderId="0" xfId="0" applyNumberFormat="1" applyFont="1" applyFill="1"/>
    <xf numFmtId="168" fontId="3" fillId="19" borderId="0" xfId="68" applyNumberFormat="1" applyFont="1" applyFill="1" applyBorder="1"/>
    <xf numFmtId="173" fontId="0" fillId="19" borderId="0" xfId="0" applyNumberFormat="1" applyFill="1"/>
    <xf numFmtId="168" fontId="3" fillId="19" borderId="0" xfId="48" applyNumberFormat="1" applyFont="1" applyFill="1" applyBorder="1"/>
    <xf numFmtId="169" fontId="36" fillId="19" borderId="0" xfId="0" applyNumberFormat="1" applyFont="1" applyFill="1" applyBorder="1" applyAlignment="1"/>
    <xf numFmtId="169" fontId="3" fillId="19" borderId="0" xfId="0" applyNumberFormat="1" applyFont="1" applyFill="1" applyBorder="1" applyAlignment="1">
      <alignment horizontal="right"/>
    </xf>
    <xf numFmtId="169" fontId="36" fillId="19" borderId="0" xfId="68" applyNumberFormat="1" applyFont="1" applyFill="1" applyBorder="1" applyAlignment="1"/>
    <xf numFmtId="169" fontId="36" fillId="19" borderId="0" xfId="70" applyNumberFormat="1" applyFont="1" applyFill="1" applyBorder="1" applyAlignment="1"/>
    <xf numFmtId="37" fontId="3" fillId="0" borderId="0" xfId="37" applyNumberFormat="1" applyFont="1" applyFill="1" applyBorder="1" applyAlignment="1">
      <alignment horizontal="right"/>
    </xf>
    <xf numFmtId="170" fontId="62" fillId="19" borderId="0" xfId="55" applyNumberFormat="1" applyFont="1" applyFill="1" applyBorder="1" applyAlignment="1"/>
    <xf numFmtId="43" fontId="3" fillId="0" borderId="0" xfId="37" applyNumberFormat="1" applyFont="1" applyFill="1" applyBorder="1" applyAlignment="1"/>
    <xf numFmtId="173" fontId="3" fillId="19" borderId="36" xfId="0" applyNumberFormat="1" applyFont="1" applyFill="1" applyBorder="1" applyAlignment="1">
      <alignment horizontal="right"/>
    </xf>
    <xf numFmtId="173" fontId="3" fillId="19" borderId="34" xfId="0" applyNumberFormat="1" applyFont="1" applyFill="1" applyBorder="1" applyAlignment="1">
      <alignment horizontal="right"/>
    </xf>
    <xf numFmtId="170" fontId="3" fillId="19" borderId="33" xfId="0" applyNumberFormat="1" applyFont="1" applyFill="1" applyBorder="1" applyAlignment="1">
      <alignment horizontal="right"/>
    </xf>
    <xf numFmtId="7" fontId="8" fillId="19" borderId="36" xfId="48" applyNumberFormat="1" applyFont="1" applyFill="1" applyBorder="1"/>
    <xf numFmtId="170" fontId="62" fillId="19" borderId="36" xfId="55" applyNumberFormat="1" applyFont="1" applyFill="1" applyBorder="1"/>
    <xf numFmtId="169" fontId="62" fillId="19" borderId="0" xfId="0" applyNumberFormat="1" applyFont="1" applyFill="1" applyBorder="1"/>
    <xf numFmtId="169" fontId="36" fillId="19" borderId="0" xfId="68" applyNumberFormat="1" applyFont="1" applyFill="1" applyBorder="1"/>
    <xf numFmtId="7" fontId="62" fillId="19" borderId="0" xfId="70" applyNumberFormat="1" applyFont="1" applyFill="1" applyBorder="1"/>
    <xf numFmtId="7" fontId="3" fillId="19" borderId="0" xfId="70" applyNumberFormat="1" applyFont="1" applyFill="1" applyBorder="1"/>
    <xf numFmtId="169" fontId="3" fillId="19" borderId="0" xfId="0" applyNumberFormat="1" applyFont="1" applyFill="1" applyBorder="1"/>
    <xf numFmtId="169" fontId="62" fillId="19" borderId="0" xfId="68" applyNumberFormat="1" applyFont="1" applyFill="1" applyBorder="1"/>
    <xf numFmtId="169" fontId="0" fillId="19" borderId="0" xfId="0" applyNumberFormat="1" applyFill="1" applyBorder="1"/>
    <xf numFmtId="169" fontId="3" fillId="19" borderId="33" xfId="0" applyNumberFormat="1" applyFont="1" applyFill="1" applyBorder="1" applyAlignment="1">
      <alignment horizontal="right"/>
    </xf>
    <xf numFmtId="170" fontId="3" fillId="19" borderId="33" xfId="0" applyNumberFormat="1" applyFont="1" applyFill="1" applyBorder="1" applyAlignment="1"/>
    <xf numFmtId="170" fontId="62" fillId="19" borderId="33" xfId="55" applyNumberFormat="1" applyFont="1" applyFill="1" applyBorder="1" applyAlignment="1"/>
    <xf numFmtId="3" fontId="62" fillId="16" borderId="0" xfId="0" applyNumberFormat="1" applyFont="1" applyFill="1" applyBorder="1" applyAlignment="1">
      <alignment horizontal="center"/>
    </xf>
    <xf numFmtId="3" fontId="62" fillId="0" borderId="0" xfId="0" applyNumberFormat="1" applyFont="1" applyBorder="1" applyAlignment="1">
      <alignment horizontal="center"/>
    </xf>
    <xf numFmtId="0" fontId="3" fillId="16" borderId="14" xfId="0" applyFont="1" applyFill="1" applyBorder="1" applyAlignment="1">
      <alignment horizontal="left"/>
    </xf>
    <xf numFmtId="0" fontId="3" fillId="16" borderId="0" xfId="0" applyFont="1" applyFill="1" applyBorder="1" applyAlignment="1">
      <alignment horizontal="left"/>
    </xf>
    <xf numFmtId="0" fontId="3" fillId="16" borderId="0" xfId="0" applyFont="1" applyFill="1" applyAlignment="1">
      <alignment horizontal="center"/>
    </xf>
    <xf numFmtId="0" fontId="3" fillId="15" borderId="11" xfId="0" applyFont="1" applyFill="1" applyBorder="1" applyAlignment="1">
      <alignment horizontal="center"/>
    </xf>
    <xf numFmtId="0" fontId="3" fillId="18" borderId="11" xfId="0" applyFont="1" applyFill="1" applyBorder="1" applyAlignment="1">
      <alignment horizontal="center"/>
    </xf>
    <xf numFmtId="177" fontId="3" fillId="18" borderId="13" xfId="0" applyNumberFormat="1" applyFont="1" applyFill="1" applyBorder="1" applyAlignment="1">
      <alignment horizontal="center"/>
    </xf>
    <xf numFmtId="0" fontId="8" fillId="17" borderId="11" xfId="0" applyFont="1" applyFill="1" applyBorder="1" applyAlignment="1" applyProtection="1">
      <alignment horizontal="left"/>
      <protection locked="0"/>
    </xf>
    <xf numFmtId="0" fontId="8" fillId="17" borderId="12" xfId="0" applyFont="1" applyFill="1" applyBorder="1" applyAlignment="1" applyProtection="1">
      <alignment horizontal="center"/>
      <protection locked="0"/>
    </xf>
    <xf numFmtId="170" fontId="36" fillId="16" borderId="0" xfId="55" applyNumberFormat="1" applyFont="1" applyFill="1" applyBorder="1" applyAlignment="1">
      <alignment horizontal="center"/>
    </xf>
    <xf numFmtId="170" fontId="36" fillId="16" borderId="0" xfId="0" applyNumberFormat="1" applyFont="1" applyFill="1" applyAlignment="1">
      <alignment horizontal="center"/>
    </xf>
    <xf numFmtId="170" fontId="62" fillId="16" borderId="0" xfId="0" applyNumberFormat="1" applyFont="1" applyFill="1" applyAlignment="1">
      <alignment horizontal="center"/>
    </xf>
    <xf numFmtId="0" fontId="8" fillId="17" borderId="11" xfId="0" applyFont="1" applyFill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9" fontId="36" fillId="0" borderId="0" xfId="0" applyNumberFormat="1" applyFont="1" applyFill="1" applyBorder="1" applyAlignment="1">
      <alignment horizontal="center"/>
    </xf>
    <xf numFmtId="9" fontId="62" fillId="0" borderId="0" xfId="0" applyNumberFormat="1" applyFont="1" applyFill="1" applyBorder="1" applyAlignment="1">
      <alignment horizontal="center"/>
    </xf>
    <xf numFmtId="9" fontId="62" fillId="0" borderId="0" xfId="0" applyNumberFormat="1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0" fontId="3" fillId="16" borderId="0" xfId="0" applyFont="1" applyFill="1" applyBorder="1" applyAlignment="1">
      <alignment horizontal="left" indent="1"/>
    </xf>
    <xf numFmtId="9" fontId="3" fillId="0" borderId="0" xfId="55" applyFont="1" applyAlignment="1">
      <alignment horizontal="center"/>
    </xf>
    <xf numFmtId="3" fontId="3" fillId="0" borderId="0" xfId="0" applyNumberFormat="1" applyFont="1" applyBorder="1"/>
    <xf numFmtId="0" fontId="3" fillId="0" borderId="0" xfId="0" applyFont="1" applyAlignment="1">
      <alignment horizontal="center"/>
    </xf>
    <xf numFmtId="9" fontId="42" fillId="0" borderId="0" xfId="55" applyFont="1" applyBorder="1" applyAlignment="1">
      <alignment horizontal="center"/>
    </xf>
    <xf numFmtId="170" fontId="36" fillId="0" borderId="0" xfId="55" applyNumberFormat="1" applyFont="1" applyAlignment="1">
      <alignment horizontal="center"/>
    </xf>
    <xf numFmtId="0" fontId="3" fillId="16" borderId="18" xfId="0" applyFont="1" applyFill="1" applyBorder="1" applyAlignment="1">
      <alignment horizontal="left" indent="1"/>
    </xf>
    <xf numFmtId="9" fontId="3" fillId="0" borderId="18" xfId="55" applyFont="1" applyBorder="1" applyAlignment="1">
      <alignment horizontal="center"/>
    </xf>
    <xf numFmtId="0" fontId="3" fillId="0" borderId="0" xfId="0" applyFont="1" applyAlignment="1">
      <alignment horizontal="left"/>
    </xf>
    <xf numFmtId="9" fontId="36" fillId="0" borderId="0" xfId="0" applyNumberFormat="1" applyFont="1" applyBorder="1" applyAlignment="1">
      <alignment horizontal="center"/>
    </xf>
    <xf numFmtId="0" fontId="3" fillId="0" borderId="0" xfId="0" applyFont="1" applyFill="1"/>
    <xf numFmtId="0" fontId="3" fillId="0" borderId="12" xfId="0" applyFont="1" applyFill="1" applyBorder="1" applyAlignment="1">
      <alignment horizontal="center"/>
    </xf>
    <xf numFmtId="0" fontId="43" fillId="0" borderId="0" xfId="0" applyFont="1" applyBorder="1" applyAlignment="1">
      <alignment horizontal="left" indent="1"/>
    </xf>
    <xf numFmtId="9" fontId="3" fillId="0" borderId="0" xfId="55" applyFont="1" applyBorder="1" applyAlignment="1">
      <alignment horizontal="center"/>
    </xf>
    <xf numFmtId="9" fontId="36" fillId="0" borderId="0" xfId="55" applyFont="1" applyBorder="1" applyAlignment="1">
      <alignment horizontal="center"/>
    </xf>
    <xf numFmtId="170" fontId="36" fillId="0" borderId="0" xfId="55" applyNumberFormat="1" applyFont="1" applyBorder="1" applyAlignment="1">
      <alignment horizontal="center"/>
    </xf>
    <xf numFmtId="9" fontId="41" fillId="0" borderId="0" xfId="55" applyFont="1" applyBorder="1" applyAlignment="1">
      <alignment horizontal="center"/>
    </xf>
    <xf numFmtId="9" fontId="41" fillId="0" borderId="18" xfId="55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8" fillId="17" borderId="13" xfId="0" applyFont="1" applyFill="1" applyBorder="1" applyAlignment="1" applyProtection="1">
      <alignment horizontal="center"/>
      <protection locked="0"/>
    </xf>
    <xf numFmtId="177" fontId="3" fillId="0" borderId="14" xfId="0" applyNumberFormat="1" applyFont="1" applyBorder="1" applyAlignment="1">
      <alignment horizontal="center"/>
    </xf>
    <xf numFmtId="177" fontId="3" fillId="0" borderId="16" xfId="0" applyNumberFormat="1" applyFont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177" fontId="3" fillId="0" borderId="21" xfId="0" applyNumberFormat="1" applyFont="1" applyBorder="1" applyAlignment="1">
      <alignment horizontal="center"/>
    </xf>
    <xf numFmtId="177" fontId="3" fillId="0" borderId="18" xfId="0" applyNumberFormat="1" applyFont="1" applyBorder="1" applyAlignment="1">
      <alignment horizontal="center"/>
    </xf>
    <xf numFmtId="177" fontId="3" fillId="0" borderId="19" xfId="0" applyNumberFormat="1" applyFont="1" applyBorder="1" applyAlignment="1">
      <alignment horizontal="center"/>
    </xf>
    <xf numFmtId="170" fontId="69" fillId="16" borderId="0" xfId="0" applyNumberFormat="1" applyFont="1" applyFill="1" applyAlignment="1">
      <alignment horizontal="center"/>
    </xf>
    <xf numFmtId="9" fontId="69" fillId="0" borderId="0" xfId="0" applyNumberFormat="1" applyFont="1" applyFill="1" applyBorder="1" applyAlignment="1">
      <alignment horizontal="center"/>
    </xf>
    <xf numFmtId="170" fontId="69" fillId="0" borderId="0" xfId="0" applyNumberFormat="1" applyFont="1" applyFill="1" applyBorder="1" applyAlignment="1">
      <alignment horizontal="center"/>
    </xf>
    <xf numFmtId="0" fontId="62" fillId="0" borderId="0" xfId="0" applyFont="1"/>
    <xf numFmtId="9" fontId="69" fillId="0" borderId="0" xfId="0" applyNumberFormat="1" applyFont="1" applyBorder="1" applyAlignment="1">
      <alignment horizontal="center"/>
    </xf>
    <xf numFmtId="177" fontId="62" fillId="0" borderId="0" xfId="0" applyNumberFormat="1" applyFont="1" applyBorder="1" applyAlignment="1">
      <alignment horizontal="center"/>
    </xf>
    <xf numFmtId="43" fontId="64" fillId="23" borderId="0" xfId="68" applyNumberFormat="1" applyFont="1" applyFill="1"/>
    <xf numFmtId="3" fontId="3" fillId="20" borderId="0" xfId="63" applyNumberFormat="1" applyFont="1" applyFill="1"/>
    <xf numFmtId="168" fontId="3" fillId="16" borderId="36" xfId="51" applyNumberFormat="1" applyFont="1" applyFill="1" applyBorder="1" applyAlignment="1"/>
    <xf numFmtId="168" fontId="3" fillId="16" borderId="34" xfId="51" applyNumberFormat="1" applyFont="1" applyFill="1" applyBorder="1" applyAlignment="1"/>
    <xf numFmtId="168" fontId="3" fillId="16" borderId="0" xfId="51" applyNumberFormat="1" applyFont="1" applyFill="1" applyBorder="1" applyAlignment="1"/>
    <xf numFmtId="168" fontId="3" fillId="16" borderId="21" xfId="51" applyNumberFormat="1" applyFont="1" applyFill="1" applyBorder="1" applyAlignment="1"/>
    <xf numFmtId="168" fontId="3" fillId="16" borderId="33" xfId="51" applyNumberFormat="1" applyFont="1" applyFill="1" applyBorder="1" applyAlignment="1"/>
    <xf numFmtId="168" fontId="3" fillId="16" borderId="19" xfId="51" applyNumberFormat="1" applyFont="1" applyFill="1" applyBorder="1" applyAlignment="1"/>
    <xf numFmtId="9" fontId="43" fillId="19" borderId="0" xfId="65" applyFont="1" applyFill="1" applyAlignment="1">
      <alignment horizontal="right"/>
    </xf>
    <xf numFmtId="0" fontId="43" fillId="19" borderId="0" xfId="64" applyFont="1" applyFill="1"/>
    <xf numFmtId="9" fontId="43" fillId="19" borderId="0" xfId="55" applyFont="1" applyFill="1"/>
    <xf numFmtId="176" fontId="0" fillId="19" borderId="36" xfId="68" applyNumberFormat="1" applyFont="1" applyFill="1" applyBorder="1"/>
    <xf numFmtId="176" fontId="62" fillId="19" borderId="36" xfId="68" applyNumberFormat="1" applyFont="1" applyFill="1" applyBorder="1"/>
    <xf numFmtId="176" fontId="0" fillId="19" borderId="34" xfId="68" applyNumberFormat="1" applyFont="1" applyFill="1" applyBorder="1"/>
    <xf numFmtId="176" fontId="36" fillId="19" borderId="0" xfId="68" applyNumberFormat="1" applyFont="1" applyFill="1" applyBorder="1"/>
    <xf numFmtId="169" fontId="62" fillId="19" borderId="21" xfId="68" applyNumberFormat="1" applyFont="1" applyFill="1" applyBorder="1"/>
    <xf numFmtId="176" fontId="62" fillId="19" borderId="0" xfId="68" applyNumberFormat="1" applyFont="1" applyFill="1" applyBorder="1"/>
    <xf numFmtId="176" fontId="68" fillId="19" borderId="0" xfId="68" applyNumberFormat="1" applyFont="1" applyFill="1" applyBorder="1"/>
    <xf numFmtId="176" fontId="68" fillId="19" borderId="21" xfId="68" applyNumberFormat="1" applyFont="1" applyFill="1" applyBorder="1"/>
    <xf numFmtId="176" fontId="62" fillId="19" borderId="21" xfId="68" applyNumberFormat="1" applyFont="1" applyFill="1" applyBorder="1"/>
    <xf numFmtId="176" fontId="8" fillId="19" borderId="33" xfId="0" applyNumberFormat="1" applyFont="1" applyFill="1" applyBorder="1"/>
    <xf numFmtId="169" fontId="8" fillId="22" borderId="33" xfId="0" applyNumberFormat="1" applyFont="1" applyFill="1" applyBorder="1"/>
    <xf numFmtId="169" fontId="8" fillId="22" borderId="19" xfId="0" applyNumberFormat="1" applyFont="1" applyFill="1" applyBorder="1"/>
    <xf numFmtId="170" fontId="62" fillId="19" borderId="33" xfId="0" applyNumberFormat="1" applyFont="1" applyFill="1" applyBorder="1" applyAlignment="1">
      <alignment horizontal="right"/>
    </xf>
    <xf numFmtId="170" fontId="62" fillId="19" borderId="19" xfId="0" applyNumberFormat="1" applyFont="1" applyFill="1" applyBorder="1" applyAlignment="1">
      <alignment horizontal="right"/>
    </xf>
    <xf numFmtId="170" fontId="62" fillId="19" borderId="0" xfId="55" applyNumberFormat="1" applyFont="1" applyFill="1" applyBorder="1"/>
    <xf numFmtId="0" fontId="0" fillId="19" borderId="0" xfId="0" applyFill="1" applyBorder="1"/>
    <xf numFmtId="7" fontId="62" fillId="19" borderId="36" xfId="70" applyNumberFormat="1" applyFont="1" applyFill="1" applyBorder="1"/>
    <xf numFmtId="7" fontId="3" fillId="19" borderId="36" xfId="70" applyNumberFormat="1" applyFont="1" applyFill="1" applyBorder="1"/>
    <xf numFmtId="177" fontId="8" fillId="17" borderId="12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3" fillId="0" borderId="36" xfId="0" applyFont="1" applyBorder="1"/>
    <xf numFmtId="9" fontId="5" fillId="0" borderId="0" xfId="0" applyNumberFormat="1" applyFont="1" applyFill="1" applyBorder="1" applyAlignment="1">
      <alignment horizontal="center"/>
    </xf>
    <xf numFmtId="170" fontId="5" fillId="0" borderId="0" xfId="55" applyNumberFormat="1" applyFont="1" applyBorder="1" applyAlignment="1">
      <alignment horizontal="center"/>
    </xf>
    <xf numFmtId="170" fontId="5" fillId="0" borderId="0" xfId="55" applyNumberFormat="1" applyFont="1" applyAlignment="1">
      <alignment horizontal="center"/>
    </xf>
    <xf numFmtId="9" fontId="5" fillId="0" borderId="18" xfId="55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170" fontId="3" fillId="0" borderId="0" xfId="55" applyNumberFormat="1" applyFont="1" applyBorder="1" applyAlignment="1">
      <alignment horizontal="center"/>
    </xf>
    <xf numFmtId="3" fontId="3" fillId="16" borderId="0" xfId="0" applyNumberFormat="1" applyFont="1" applyFill="1" applyBorder="1" applyAlignment="1">
      <alignment horizontal="center"/>
    </xf>
    <xf numFmtId="9" fontId="8" fillId="0" borderId="0" xfId="55" applyFont="1" applyFill="1" applyBorder="1" applyAlignment="1">
      <alignment horizontal="center"/>
    </xf>
    <xf numFmtId="0" fontId="3" fillId="16" borderId="0" xfId="71" applyFont="1" applyFill="1" applyAlignment="1">
      <alignment horizontal="left"/>
    </xf>
    <xf numFmtId="0" fontId="3" fillId="16" borderId="0" xfId="71" applyFont="1" applyFill="1" applyBorder="1" applyAlignment="1">
      <alignment horizontal="left" indent="1"/>
    </xf>
    <xf numFmtId="9" fontId="3" fillId="0" borderId="18" xfId="55" applyFont="1" applyBorder="1" applyAlignment="1">
      <alignment horizontal="center"/>
    </xf>
    <xf numFmtId="9" fontId="3" fillId="0" borderId="0" xfId="0" applyNumberFormat="1" applyFont="1" applyBorder="1" applyAlignment="1">
      <alignment horizontal="center"/>
    </xf>
    <xf numFmtId="170" fontId="3" fillId="0" borderId="0" xfId="55" applyNumberFormat="1" applyFont="1" applyAlignment="1">
      <alignment horizontal="center"/>
    </xf>
    <xf numFmtId="9" fontId="3" fillId="0" borderId="0" xfId="0" applyNumberFormat="1" applyFont="1" applyFill="1" applyBorder="1" applyAlignment="1">
      <alignment horizontal="center"/>
    </xf>
    <xf numFmtId="177" fontId="6" fillId="17" borderId="13" xfId="0" applyNumberFormat="1" applyFont="1" applyFill="1" applyBorder="1" applyAlignment="1" applyProtection="1">
      <alignment horizontal="center"/>
      <protection locked="0"/>
    </xf>
    <xf numFmtId="177" fontId="6" fillId="17" borderId="12" xfId="0" applyNumberFormat="1" applyFont="1" applyFill="1" applyBorder="1" applyAlignment="1" applyProtection="1">
      <alignment horizontal="center"/>
      <protection locked="0"/>
    </xf>
    <xf numFmtId="9" fontId="5" fillId="0" borderId="0" xfId="55" applyFont="1" applyAlignment="1">
      <alignment horizontal="center"/>
    </xf>
    <xf numFmtId="170" fontId="5" fillId="0" borderId="0" xfId="0" applyNumberFormat="1" applyFont="1" applyFill="1" applyBorder="1" applyAlignment="1">
      <alignment horizontal="center"/>
    </xf>
    <xf numFmtId="177" fontId="33" fillId="17" borderId="13" xfId="0" applyNumberFormat="1" applyFont="1" applyFill="1" applyBorder="1" applyAlignment="1" applyProtection="1">
      <alignment horizontal="center"/>
      <protection locked="0"/>
    </xf>
    <xf numFmtId="177" fontId="33" fillId="17" borderId="12" xfId="0" applyNumberFormat="1" applyFont="1" applyFill="1" applyBorder="1" applyAlignment="1" applyProtection="1">
      <alignment horizontal="center"/>
      <protection locked="0"/>
    </xf>
    <xf numFmtId="0" fontId="6" fillId="17" borderId="11" xfId="0" applyFont="1" applyFill="1" applyBorder="1" applyAlignment="1" applyProtection="1">
      <alignment horizontal="left"/>
      <protection locked="0"/>
    </xf>
    <xf numFmtId="0" fontId="33" fillId="17" borderId="13" xfId="0" applyFont="1" applyFill="1" applyBorder="1" applyAlignment="1" applyProtection="1">
      <alignment horizontal="center"/>
      <protection locked="0"/>
    </xf>
    <xf numFmtId="177" fontId="3" fillId="0" borderId="33" xfId="0" applyNumberFormat="1" applyFont="1" applyBorder="1" applyAlignment="1">
      <alignment horizontal="center"/>
    </xf>
    <xf numFmtId="0" fontId="3" fillId="0" borderId="33" xfId="0" applyFont="1" applyBorder="1"/>
    <xf numFmtId="177" fontId="3" fillId="0" borderId="34" xfId="0" applyNumberFormat="1" applyFont="1" applyBorder="1" applyAlignment="1">
      <alignment horizontal="center"/>
    </xf>
    <xf numFmtId="177" fontId="3" fillId="0" borderId="36" xfId="0" applyNumberFormat="1" applyFont="1" applyBorder="1" applyAlignment="1">
      <alignment horizontal="center"/>
    </xf>
    <xf numFmtId="0" fontId="8" fillId="0" borderId="35" xfId="0" applyFont="1" applyBorder="1"/>
    <xf numFmtId="9" fontId="3" fillId="0" borderId="0" xfId="55" applyFont="1" applyBorder="1" applyAlignment="1">
      <alignment horizontal="center"/>
    </xf>
    <xf numFmtId="9" fontId="3" fillId="0" borderId="0" xfId="91" applyNumberFormat="1" applyFont="1" applyBorder="1" applyAlignment="1">
      <alignment horizontal="center"/>
    </xf>
    <xf numFmtId="3" fontId="3" fillId="0" borderId="0" xfId="92" applyNumberFormat="1" applyFont="1" applyBorder="1" applyAlignment="1">
      <alignment horizontal="center"/>
    </xf>
    <xf numFmtId="0" fontId="8" fillId="17" borderId="11" xfId="0" applyFont="1" applyFill="1" applyBorder="1" applyAlignment="1">
      <alignment horizontal="left"/>
    </xf>
    <xf numFmtId="177" fontId="8" fillId="17" borderId="13" xfId="0" applyNumberFormat="1" applyFont="1" applyFill="1" applyBorder="1" applyAlignment="1">
      <alignment horizontal="center"/>
    </xf>
    <xf numFmtId="38" fontId="52" fillId="16" borderId="0" xfId="50" applyFont="1" applyFill="1" applyBorder="1" applyAlignment="1">
      <alignment horizontal="left" vertical="center"/>
    </xf>
    <xf numFmtId="38" fontId="3" fillId="16" borderId="0" xfId="50" applyFont="1" applyFill="1" applyBorder="1" applyAlignment="1">
      <alignment horizontal="center" vertical="center"/>
    </xf>
    <xf numFmtId="38" fontId="3" fillId="16" borderId="0" xfId="50" applyFont="1" applyFill="1" applyBorder="1" applyAlignment="1">
      <alignment vertical="center"/>
    </xf>
    <xf numFmtId="38" fontId="43" fillId="16" borderId="0" xfId="50" quotePrefix="1" applyFont="1" applyFill="1" applyBorder="1" applyAlignment="1">
      <alignment horizontal="left" vertical="center"/>
    </xf>
    <xf numFmtId="37" fontId="53" fillId="0" borderId="0" xfId="50" applyNumberFormat="1" applyFont="1" applyFill="1" applyBorder="1" applyAlignment="1">
      <alignment horizontal="center" vertical="center"/>
    </xf>
    <xf numFmtId="166" fontId="3" fillId="16" borderId="0" xfId="38" applyNumberFormat="1" applyFont="1" applyFill="1" applyBorder="1" applyAlignment="1">
      <alignment vertical="center"/>
    </xf>
    <xf numFmtId="43" fontId="3" fillId="18" borderId="0" xfId="37" applyFont="1" applyFill="1" applyBorder="1" applyAlignment="1">
      <alignment vertical="center"/>
    </xf>
    <xf numFmtId="172" fontId="8" fillId="24" borderId="32" xfId="0" applyNumberFormat="1" applyFont="1" applyFill="1" applyBorder="1" applyAlignment="1">
      <alignment horizontal="center" vertical="center"/>
    </xf>
    <xf numFmtId="0" fontId="8" fillId="24" borderId="32" xfId="0" applyNumberFormat="1" applyFont="1" applyFill="1" applyBorder="1" applyAlignment="1">
      <alignment horizontal="center" vertical="center"/>
    </xf>
    <xf numFmtId="172" fontId="8" fillId="19" borderId="32" xfId="0" applyNumberFormat="1" applyFont="1" applyFill="1" applyBorder="1" applyAlignment="1">
      <alignment horizontal="center" vertical="center"/>
    </xf>
    <xf numFmtId="0" fontId="8" fillId="24" borderId="32" xfId="0" applyNumberFormat="1" applyFont="1" applyFill="1" applyBorder="1" applyAlignment="1">
      <alignment horizontal="right" vertical="center"/>
    </xf>
    <xf numFmtId="172" fontId="8" fillId="24" borderId="0" xfId="0" applyNumberFormat="1" applyFont="1" applyFill="1" applyBorder="1" applyAlignment="1">
      <alignment horizontal="center" vertical="center"/>
    </xf>
    <xf numFmtId="0" fontId="8" fillId="24" borderId="0" xfId="0" applyNumberFormat="1" applyFont="1" applyFill="1" applyBorder="1" applyAlignment="1">
      <alignment horizontal="center" vertical="center"/>
    </xf>
    <xf numFmtId="172" fontId="8" fillId="19" borderId="0" xfId="0" applyNumberFormat="1" applyFont="1" applyFill="1" applyBorder="1" applyAlignment="1">
      <alignment horizontal="center" vertical="center"/>
    </xf>
    <xf numFmtId="0" fontId="8" fillId="24" borderId="0" xfId="0" applyNumberFormat="1" applyFont="1" applyFill="1" applyBorder="1" applyAlignment="1">
      <alignment horizontal="right" vertical="center"/>
    </xf>
    <xf numFmtId="37" fontId="3" fillId="0" borderId="0" xfId="50" applyNumberFormat="1" applyFont="1" applyFill="1" applyBorder="1" applyAlignment="1">
      <alignment horizontal="center" vertical="center"/>
    </xf>
    <xf numFmtId="168" fontId="3" fillId="25" borderId="0" xfId="37" applyNumberFormat="1" applyFont="1" applyFill="1" applyBorder="1" applyAlignment="1">
      <alignment horizontal="right" vertical="center"/>
    </xf>
    <xf numFmtId="168" fontId="3" fillId="19" borderId="0" xfId="37" applyNumberFormat="1" applyFont="1" applyFill="1" applyBorder="1" applyAlignment="1">
      <alignment horizontal="right" vertical="center"/>
    </xf>
    <xf numFmtId="168" fontId="8" fillId="25" borderId="12" xfId="37" applyNumberFormat="1" applyFont="1" applyFill="1" applyBorder="1" applyAlignment="1">
      <alignment horizontal="right" vertical="center"/>
    </xf>
    <xf numFmtId="172" fontId="8" fillId="19" borderId="12" xfId="37" applyNumberFormat="1" applyFont="1" applyFill="1" applyBorder="1" applyAlignment="1">
      <alignment horizontal="right" vertical="center"/>
    </xf>
    <xf numFmtId="172" fontId="8" fillId="25" borderId="12" xfId="37" applyNumberFormat="1" applyFont="1" applyFill="1" applyBorder="1" applyAlignment="1">
      <alignment horizontal="right" vertical="center"/>
    </xf>
    <xf numFmtId="38" fontId="8" fillId="16" borderId="0" xfId="50" applyFont="1" applyFill="1" applyBorder="1" applyAlignment="1">
      <alignment vertical="center"/>
    </xf>
    <xf numFmtId="168" fontId="3" fillId="25" borderId="14" xfId="37" applyNumberFormat="1" applyFont="1" applyFill="1" applyBorder="1" applyAlignment="1">
      <alignment horizontal="right" vertical="center"/>
    </xf>
    <xf numFmtId="168" fontId="3" fillId="19" borderId="14" xfId="37" applyNumberFormat="1" applyFont="1" applyFill="1" applyBorder="1" applyAlignment="1">
      <alignment horizontal="right" vertical="center"/>
    </xf>
    <xf numFmtId="38" fontId="3" fillId="16" borderId="0" xfId="49" applyNumberFormat="1" applyFont="1" applyFill="1" applyBorder="1" applyAlignment="1">
      <alignment horizontal="left" vertical="center" wrapText="1"/>
    </xf>
    <xf numFmtId="168" fontId="3" fillId="25" borderId="0" xfId="49" applyNumberFormat="1" applyFont="1" applyFill="1" applyBorder="1" applyAlignment="1">
      <alignment vertical="center" wrapText="1"/>
    </xf>
    <xf numFmtId="168" fontId="3" fillId="19" borderId="0" xfId="49" applyNumberFormat="1" applyFont="1" applyFill="1" applyBorder="1" applyAlignment="1">
      <alignment horizontal="center" vertical="center" wrapText="1"/>
    </xf>
    <xf numFmtId="168" fontId="3" fillId="25" borderId="0" xfId="49" applyNumberFormat="1" applyFont="1" applyFill="1" applyBorder="1" applyAlignment="1">
      <alignment horizontal="center" vertical="center" wrapText="1"/>
    </xf>
    <xf numFmtId="170" fontId="3" fillId="19" borderId="0" xfId="55" applyNumberFormat="1" applyFont="1" applyFill="1" applyBorder="1" applyAlignment="1">
      <alignment horizontal="center" vertical="center" wrapText="1"/>
    </xf>
    <xf numFmtId="170" fontId="3" fillId="25" borderId="0" xfId="55" applyNumberFormat="1" applyFont="1" applyFill="1" applyBorder="1" applyAlignment="1">
      <alignment horizontal="center" vertical="center" wrapText="1"/>
    </xf>
    <xf numFmtId="170" fontId="62" fillId="19" borderId="0" xfId="55" applyNumberFormat="1" applyFont="1" applyFill="1" applyBorder="1" applyAlignment="1">
      <alignment horizontal="center" vertical="center" wrapText="1"/>
    </xf>
    <xf numFmtId="168" fontId="3" fillId="19" borderId="0" xfId="49" applyNumberFormat="1" applyFont="1" applyFill="1" applyBorder="1" applyAlignment="1">
      <alignment vertical="center" wrapText="1"/>
    </xf>
    <xf numFmtId="170" fontId="3" fillId="19" borderId="0" xfId="55" applyNumberFormat="1" applyFont="1" applyFill="1" applyBorder="1" applyAlignment="1">
      <alignment vertical="center" wrapText="1"/>
    </xf>
    <xf numFmtId="170" fontId="3" fillId="25" borderId="0" xfId="55" applyNumberFormat="1" applyFont="1" applyFill="1" applyBorder="1" applyAlignment="1">
      <alignment vertical="center" wrapText="1"/>
    </xf>
    <xf numFmtId="170" fontId="62" fillId="19" borderId="0" xfId="55" applyNumberFormat="1" applyFont="1" applyFill="1" applyBorder="1" applyAlignment="1">
      <alignment vertical="center" wrapText="1"/>
    </xf>
    <xf numFmtId="0" fontId="3" fillId="24" borderId="0" xfId="0" applyFont="1" applyFill="1" applyBorder="1" applyAlignment="1">
      <alignment vertical="center"/>
    </xf>
    <xf numFmtId="168" fontId="3" fillId="25" borderId="18" xfId="37" applyNumberFormat="1" applyFont="1" applyFill="1" applyBorder="1" applyAlignment="1">
      <alignment horizontal="right" vertical="center"/>
    </xf>
    <xf numFmtId="168" fontId="3" fillId="19" borderId="18" xfId="37" applyNumberFormat="1" applyFont="1" applyFill="1" applyBorder="1" applyAlignment="1">
      <alignment horizontal="right" vertical="center"/>
    </xf>
    <xf numFmtId="168" fontId="8" fillId="25" borderId="0" xfId="50" applyNumberFormat="1" applyFont="1" applyFill="1" applyBorder="1" applyAlignment="1">
      <alignment vertical="center" wrapText="1"/>
    </xf>
    <xf numFmtId="168" fontId="8" fillId="19" borderId="0" xfId="50" applyNumberFormat="1" applyFont="1" applyFill="1" applyBorder="1" applyAlignment="1">
      <alignment vertical="center" wrapText="1"/>
    </xf>
    <xf numFmtId="38" fontId="3" fillId="16" borderId="0" xfId="49" applyNumberFormat="1" applyFont="1" applyFill="1" applyBorder="1" applyAlignment="1">
      <alignment horizontal="left" vertical="center"/>
    </xf>
    <xf numFmtId="168" fontId="3" fillId="25" borderId="0" xfId="49" applyNumberFormat="1" applyFont="1" applyFill="1" applyBorder="1" applyAlignment="1">
      <alignment horizontal="right" vertical="center"/>
    </xf>
    <xf numFmtId="168" fontId="3" fillId="25" borderId="0" xfId="49" applyNumberFormat="1" applyFont="1" applyFill="1" applyBorder="1" applyAlignment="1">
      <alignment vertical="center"/>
    </xf>
    <xf numFmtId="168" fontId="3" fillId="19" borderId="0" xfId="49" applyNumberFormat="1" applyFont="1" applyFill="1" applyBorder="1" applyAlignment="1">
      <alignment vertical="center"/>
    </xf>
    <xf numFmtId="170" fontId="43" fillId="25" borderId="0" xfId="55" applyNumberFormat="1" applyFont="1" applyFill="1" applyBorder="1" applyAlignment="1">
      <alignment vertical="center"/>
    </xf>
    <xf numFmtId="170" fontId="43" fillId="19" borderId="0" xfId="55" applyNumberFormat="1" applyFont="1" applyFill="1" applyBorder="1" applyAlignment="1">
      <alignment horizontal="right" vertical="center"/>
    </xf>
    <xf numFmtId="170" fontId="43" fillId="25" borderId="0" xfId="55" applyNumberFormat="1" applyFont="1" applyFill="1" applyBorder="1" applyAlignment="1">
      <alignment horizontal="right" vertical="center"/>
    </xf>
    <xf numFmtId="170" fontId="43" fillId="25" borderId="0" xfId="56" applyNumberFormat="1" applyFont="1" applyFill="1" applyBorder="1" applyAlignment="1">
      <alignment vertical="center"/>
    </xf>
    <xf numFmtId="171" fontId="3" fillId="25" borderId="0" xfId="37" applyNumberFormat="1" applyFont="1" applyFill="1" applyBorder="1" applyAlignment="1">
      <alignment horizontal="right" vertical="center"/>
    </xf>
    <xf numFmtId="39" fontId="8" fillId="25" borderId="12" xfId="49" applyNumberFormat="1" applyFont="1" applyFill="1" applyBorder="1" applyAlignment="1">
      <alignment horizontal="right" vertical="center" wrapText="1"/>
    </xf>
    <xf numFmtId="7" fontId="8" fillId="19" borderId="12" xfId="37" applyNumberFormat="1" applyFont="1" applyFill="1" applyBorder="1" applyAlignment="1">
      <alignment vertical="center" wrapText="1"/>
    </xf>
    <xf numFmtId="7" fontId="8" fillId="25" borderId="12" xfId="49" applyNumberFormat="1" applyFont="1" applyFill="1" applyBorder="1" applyAlignment="1">
      <alignment horizontal="right" vertical="center" wrapText="1"/>
    </xf>
    <xf numFmtId="7" fontId="8" fillId="25" borderId="12" xfId="49" applyNumberFormat="1" applyFont="1" applyFill="1" applyBorder="1" applyAlignment="1">
      <alignment vertical="center" wrapText="1"/>
    </xf>
    <xf numFmtId="38" fontId="43" fillId="16" borderId="0" xfId="49" applyNumberFormat="1" applyFont="1" applyFill="1" applyBorder="1" applyAlignment="1">
      <alignment horizontal="left" vertical="center"/>
    </xf>
    <xf numFmtId="171" fontId="43" fillId="25" borderId="0" xfId="55" applyNumberFormat="1" applyFont="1" applyFill="1" applyBorder="1" applyAlignment="1">
      <alignment vertical="center"/>
    </xf>
    <xf numFmtId="9" fontId="43" fillId="19" borderId="0" xfId="55" applyFont="1" applyFill="1" applyBorder="1" applyAlignment="1">
      <alignment vertical="center"/>
    </xf>
    <xf numFmtId="9" fontId="43" fillId="25" borderId="0" xfId="55" applyFont="1" applyFill="1" applyBorder="1" applyAlignment="1">
      <alignment vertical="center"/>
    </xf>
    <xf numFmtId="38" fontId="3" fillId="16" borderId="0" xfId="50" applyFont="1" applyFill="1" applyBorder="1" applyAlignment="1">
      <alignment horizontal="left" vertical="center" wrapText="1"/>
    </xf>
    <xf numFmtId="7" fontId="3" fillId="25" borderId="0" xfId="49" applyNumberFormat="1" applyFont="1" applyFill="1" applyBorder="1" applyAlignment="1">
      <alignment vertical="center"/>
    </xf>
    <xf numFmtId="7" fontId="3" fillId="19" borderId="0" xfId="49" applyNumberFormat="1" applyFont="1" applyFill="1" applyBorder="1" applyAlignment="1">
      <alignment vertical="center"/>
    </xf>
    <xf numFmtId="171" fontId="3" fillId="25" borderId="0" xfId="49" applyNumberFormat="1" applyFont="1" applyFill="1" applyBorder="1" applyAlignment="1">
      <alignment vertical="center"/>
    </xf>
    <xf numFmtId="40" fontId="3" fillId="16" borderId="0" xfId="49" applyNumberFormat="1" applyFont="1" applyFill="1" applyBorder="1" applyAlignment="1">
      <alignment horizontal="left" vertical="center"/>
    </xf>
    <xf numFmtId="170" fontId="61" fillId="19" borderId="0" xfId="55" applyNumberFormat="1" applyFont="1" applyFill="1" applyBorder="1" applyAlignment="1">
      <alignment vertical="center"/>
    </xf>
    <xf numFmtId="168" fontId="3" fillId="25" borderId="36" xfId="37" applyNumberFormat="1" applyFont="1" applyFill="1" applyBorder="1" applyAlignment="1">
      <alignment horizontal="right" vertical="center"/>
    </xf>
    <xf numFmtId="168" fontId="3" fillId="19" borderId="36" xfId="49" applyNumberFormat="1" applyFont="1" applyFill="1" applyBorder="1" applyAlignment="1">
      <alignment vertical="center"/>
    </xf>
    <xf numFmtId="170" fontId="43" fillId="19" borderId="0" xfId="55" applyNumberFormat="1" applyFont="1" applyFill="1" applyBorder="1" applyAlignment="1">
      <alignment horizontal="center" vertical="center"/>
    </xf>
    <xf numFmtId="9" fontId="43" fillId="25" borderId="0" xfId="55" applyFont="1" applyFill="1" applyBorder="1" applyAlignment="1">
      <alignment horizontal="center" vertical="center"/>
    </xf>
    <xf numFmtId="170" fontId="61" fillId="25" borderId="0" xfId="55" applyNumberFormat="1" applyFont="1" applyFill="1" applyBorder="1" applyAlignment="1">
      <alignment horizontal="center" vertical="center"/>
    </xf>
    <xf numFmtId="170" fontId="62" fillId="24" borderId="0" xfId="69" applyNumberFormat="1" applyFont="1" applyFill="1" applyBorder="1" applyAlignment="1">
      <alignment horizontal="center" vertical="center"/>
    </xf>
    <xf numFmtId="9" fontId="43" fillId="25" borderId="33" xfId="55" applyFont="1" applyFill="1" applyBorder="1" applyAlignment="1">
      <alignment vertical="center"/>
    </xf>
    <xf numFmtId="170" fontId="43" fillId="19" borderId="33" xfId="55" applyNumberFormat="1" applyFont="1" applyFill="1" applyBorder="1" applyAlignment="1">
      <alignment horizontal="center" vertical="center"/>
    </xf>
    <xf numFmtId="9" fontId="43" fillId="25" borderId="33" xfId="55" applyFont="1" applyFill="1" applyBorder="1" applyAlignment="1">
      <alignment horizontal="center" vertical="center"/>
    </xf>
    <xf numFmtId="170" fontId="61" fillId="25" borderId="33" xfId="55" applyNumberFormat="1" applyFont="1" applyFill="1" applyBorder="1" applyAlignment="1">
      <alignment horizontal="center" vertical="center"/>
    </xf>
    <xf numFmtId="170" fontId="62" fillId="24" borderId="33" xfId="69" applyNumberFormat="1" applyFont="1" applyFill="1" applyBorder="1" applyAlignment="1">
      <alignment horizontal="center" vertical="center"/>
    </xf>
    <xf numFmtId="9" fontId="43" fillId="25" borderId="36" xfId="55" applyFont="1" applyFill="1" applyBorder="1" applyAlignment="1">
      <alignment vertical="center"/>
    </xf>
    <xf numFmtId="184" fontId="3" fillId="16" borderId="36" xfId="50" applyNumberFormat="1" applyFont="1" applyFill="1" applyBorder="1" applyAlignment="1">
      <alignment horizontal="center" vertical="center"/>
    </xf>
    <xf numFmtId="184" fontId="43" fillId="25" borderId="36" xfId="55" applyNumberFormat="1" applyFont="1" applyFill="1" applyBorder="1" applyAlignment="1">
      <alignment vertical="center"/>
    </xf>
    <xf numFmtId="170" fontId="3" fillId="16" borderId="0" xfId="55" applyNumberFormat="1" applyFont="1" applyFill="1" applyBorder="1" applyAlignment="1">
      <alignment horizontal="center" vertical="center"/>
    </xf>
    <xf numFmtId="184" fontId="3" fillId="16" borderId="33" xfId="50" applyNumberFormat="1" applyFont="1" applyFill="1" applyBorder="1" applyAlignment="1">
      <alignment horizontal="center" vertical="center"/>
    </xf>
    <xf numFmtId="184" fontId="43" fillId="25" borderId="33" xfId="55" applyNumberFormat="1" applyFont="1" applyFill="1" applyBorder="1" applyAlignment="1">
      <alignment vertical="center"/>
    </xf>
    <xf numFmtId="0" fontId="3" fillId="24" borderId="0" xfId="67" applyFont="1" applyFill="1" applyBorder="1" applyAlignment="1">
      <alignment vertical="center"/>
    </xf>
    <xf numFmtId="0" fontId="3" fillId="24" borderId="36" xfId="67" applyFont="1" applyFill="1" applyBorder="1" applyAlignment="1">
      <alignment vertical="center"/>
    </xf>
    <xf numFmtId="9" fontId="62" fillId="24" borderId="36" xfId="69" applyFont="1" applyFill="1" applyBorder="1" applyAlignment="1">
      <alignment horizontal="center" vertical="center"/>
    </xf>
    <xf numFmtId="0" fontId="62" fillId="24" borderId="36" xfId="67" applyFont="1" applyFill="1" applyBorder="1" applyAlignment="1">
      <alignment horizontal="center" vertical="center"/>
    </xf>
    <xf numFmtId="9" fontId="61" fillId="25" borderId="36" xfId="55" applyFont="1" applyFill="1" applyBorder="1" applyAlignment="1">
      <alignment horizontal="center" vertical="center"/>
    </xf>
    <xf numFmtId="0" fontId="56" fillId="0" borderId="0" xfId="67" applyBorder="1" applyAlignment="1">
      <alignment vertical="center"/>
    </xf>
    <xf numFmtId="5" fontId="51" fillId="22" borderId="0" xfId="67" applyNumberFormat="1" applyFont="1" applyFill="1" applyBorder="1" applyAlignment="1">
      <alignment horizontal="center" vertical="center"/>
    </xf>
    <xf numFmtId="5" fontId="51" fillId="0" borderId="0" xfId="67" applyNumberFormat="1" applyFont="1" applyFill="1" applyBorder="1" applyAlignment="1">
      <alignment horizontal="center" vertical="center"/>
    </xf>
    <xf numFmtId="175" fontId="51" fillId="16" borderId="0" xfId="50" applyNumberFormat="1" applyFont="1" applyFill="1" applyBorder="1" applyAlignment="1">
      <alignment horizontal="center" vertical="center"/>
    </xf>
    <xf numFmtId="175" fontId="3" fillId="16" borderId="0" xfId="50" applyNumberFormat="1" applyFont="1" applyFill="1" applyBorder="1" applyAlignment="1">
      <alignment horizontal="center" vertical="center"/>
    </xf>
    <xf numFmtId="175" fontId="43" fillId="25" borderId="0" xfId="55" applyNumberFormat="1" applyFont="1" applyFill="1" applyBorder="1" applyAlignment="1">
      <alignment vertical="center"/>
    </xf>
    <xf numFmtId="5" fontId="3" fillId="19" borderId="0" xfId="67" applyNumberFormat="1" applyFont="1" applyFill="1" applyBorder="1" applyAlignment="1">
      <alignment horizontal="center" vertical="center"/>
    </xf>
    <xf numFmtId="0" fontId="3" fillId="24" borderId="0" xfId="67" applyFont="1" applyFill="1" applyBorder="1" applyAlignment="1">
      <alignment horizontal="center" vertical="center"/>
    </xf>
    <xf numFmtId="0" fontId="3" fillId="24" borderId="33" xfId="67" applyFont="1" applyFill="1" applyBorder="1" applyAlignment="1">
      <alignment vertical="center"/>
    </xf>
    <xf numFmtId="5" fontId="3" fillId="19" borderId="33" xfId="67" applyNumberFormat="1" applyFont="1" applyFill="1" applyBorder="1" applyAlignment="1">
      <alignment horizontal="center" vertical="center"/>
    </xf>
    <xf numFmtId="168" fontId="8" fillId="16" borderId="0" xfId="0" applyNumberFormat="1" applyFont="1" applyFill="1" applyBorder="1" applyAlignment="1">
      <alignment horizontal="left" vertical="center"/>
    </xf>
    <xf numFmtId="7" fontId="8" fillId="0" borderId="0" xfId="0" applyNumberFormat="1" applyFont="1" applyFill="1" applyBorder="1" applyAlignment="1">
      <alignment horizontal="center" vertical="center"/>
    </xf>
    <xf numFmtId="7" fontId="8" fillId="16" borderId="0" xfId="0" applyNumberFormat="1" applyFont="1" applyFill="1" applyBorder="1" applyAlignment="1">
      <alignment horizontal="center" vertical="center"/>
    </xf>
    <xf numFmtId="0" fontId="3" fillId="16" borderId="0" xfId="0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vertical="center"/>
    </xf>
    <xf numFmtId="0" fontId="3" fillId="16" borderId="0" xfId="0" applyFont="1" applyFill="1" applyBorder="1" applyAlignment="1">
      <alignment vertical="center"/>
    </xf>
    <xf numFmtId="38" fontId="43" fillId="16" borderId="0" xfId="50" applyFont="1" applyFill="1" applyBorder="1" applyAlignment="1">
      <alignment horizontal="left" vertical="center"/>
    </xf>
    <xf numFmtId="9" fontId="3" fillId="0" borderId="0" xfId="55" applyFont="1" applyFill="1" applyBorder="1" applyAlignment="1">
      <alignment horizontal="center" vertical="center"/>
    </xf>
    <xf numFmtId="38" fontId="3" fillId="0" borderId="0" xfId="5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/>
    </xf>
    <xf numFmtId="9" fontId="62" fillId="24" borderId="34" xfId="69" applyFont="1" applyFill="1" applyBorder="1" applyAlignment="1">
      <alignment horizontal="center" vertical="center"/>
    </xf>
    <xf numFmtId="175" fontId="3" fillId="16" borderId="21" xfId="50" applyNumberFormat="1" applyFont="1" applyFill="1" applyBorder="1" applyAlignment="1">
      <alignment horizontal="center" vertical="center"/>
    </xf>
    <xf numFmtId="5" fontId="3" fillId="19" borderId="21" xfId="67" applyNumberFormat="1" applyFont="1" applyFill="1" applyBorder="1" applyAlignment="1">
      <alignment horizontal="center" vertical="center"/>
    </xf>
    <xf numFmtId="38" fontId="3" fillId="16" borderId="21" xfId="50" applyFont="1" applyFill="1" applyBorder="1" applyAlignment="1">
      <alignment horizontal="center" vertical="center"/>
    </xf>
    <xf numFmtId="168" fontId="3" fillId="19" borderId="36" xfId="49" applyNumberFormat="1" applyFont="1" applyFill="1" applyBorder="1" applyAlignment="1">
      <alignment horizontal="center" vertical="center"/>
    </xf>
    <xf numFmtId="168" fontId="3" fillId="25" borderId="36" xfId="37" applyNumberFormat="1" applyFont="1" applyFill="1" applyBorder="1" applyAlignment="1">
      <alignment horizontal="center" vertical="center"/>
    </xf>
    <xf numFmtId="168" fontId="3" fillId="19" borderId="34" xfId="49" applyNumberFormat="1" applyFont="1" applyFill="1" applyBorder="1" applyAlignment="1">
      <alignment horizontal="center" vertical="center"/>
    </xf>
    <xf numFmtId="168" fontId="3" fillId="19" borderId="0" xfId="49" applyNumberFormat="1" applyFont="1" applyFill="1" applyBorder="1" applyAlignment="1">
      <alignment horizontal="center" vertical="center"/>
    </xf>
    <xf numFmtId="168" fontId="3" fillId="25" borderId="0" xfId="37" applyNumberFormat="1" applyFont="1" applyFill="1" applyBorder="1" applyAlignment="1">
      <alignment horizontal="center" vertical="center"/>
    </xf>
    <xf numFmtId="168" fontId="3" fillId="19" borderId="21" xfId="49" applyNumberFormat="1" applyFont="1" applyFill="1" applyBorder="1" applyAlignment="1">
      <alignment horizontal="center" vertical="center"/>
    </xf>
    <xf numFmtId="184" fontId="43" fillId="25" borderId="36" xfId="55" applyNumberFormat="1" applyFont="1" applyFill="1" applyBorder="1" applyAlignment="1">
      <alignment horizontal="center" vertical="center"/>
    </xf>
    <xf numFmtId="170" fontId="43" fillId="19" borderId="0" xfId="55" applyNumberFormat="1" applyFont="1" applyFill="1" applyBorder="1" applyAlignment="1">
      <alignment vertical="center"/>
    </xf>
    <xf numFmtId="169" fontId="71" fillId="27" borderId="0" xfId="68" applyNumberFormat="1" applyFont="1" applyFill="1" applyBorder="1" applyAlignment="1" applyProtection="1">
      <alignment vertical="center"/>
      <protection hidden="1"/>
    </xf>
    <xf numFmtId="0" fontId="8" fillId="16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15" borderId="11" xfId="0" applyFill="1" applyBorder="1" applyAlignment="1">
      <alignment horizontal="center" vertical="center"/>
    </xf>
    <xf numFmtId="0" fontId="8" fillId="15" borderId="13" xfId="0" applyFont="1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7" fontId="0" fillId="18" borderId="13" xfId="0" applyNumberFormat="1" applyFill="1" applyBorder="1" applyAlignment="1">
      <alignment horizontal="center" vertical="center"/>
    </xf>
    <xf numFmtId="0" fontId="33" fillId="17" borderId="11" xfId="0" applyFont="1" applyFill="1" applyBorder="1" applyAlignment="1" applyProtection="1">
      <alignment horizontal="left" vertical="center"/>
      <protection locked="0"/>
    </xf>
    <xf numFmtId="0" fontId="33" fillId="17" borderId="12" xfId="0" applyFont="1" applyFill="1" applyBorder="1" applyAlignment="1" applyProtection="1">
      <alignment horizontal="center" vertical="center"/>
      <protection locked="0"/>
    </xf>
    <xf numFmtId="0" fontId="9" fillId="16" borderId="0" xfId="0" applyFont="1" applyFill="1" applyAlignment="1">
      <alignment horizontal="left" vertical="center"/>
    </xf>
    <xf numFmtId="170" fontId="34" fillId="16" borderId="0" xfId="55" applyNumberFormat="1" applyFont="1" applyFill="1" applyBorder="1" applyAlignment="1">
      <alignment horizontal="center" vertical="center"/>
    </xf>
    <xf numFmtId="170" fontId="34" fillId="16" borderId="0" xfId="0" applyNumberFormat="1" applyFont="1" applyFill="1" applyAlignment="1">
      <alignment horizontal="center" vertical="center"/>
    </xf>
    <xf numFmtId="170" fontId="69" fillId="16" borderId="0" xfId="0" applyNumberFormat="1" applyFont="1" applyFill="1" applyAlignment="1">
      <alignment horizontal="center" vertical="center"/>
    </xf>
    <xf numFmtId="0" fontId="9" fillId="16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35" fillId="0" borderId="0" xfId="0" applyFont="1" applyFill="1" applyBorder="1" applyAlignment="1" applyProtection="1">
      <alignment horizontal="center" vertical="center"/>
      <protection locked="0"/>
    </xf>
    <xf numFmtId="3" fontId="0" fillId="0" borderId="0" xfId="0" applyNumberFormat="1" applyAlignment="1">
      <alignment horizontal="center" vertical="center"/>
    </xf>
    <xf numFmtId="0" fontId="62" fillId="0" borderId="0" xfId="0" applyFont="1" applyAlignment="1">
      <alignment vertical="center"/>
    </xf>
    <xf numFmtId="9" fontId="62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9" fontId="36" fillId="0" borderId="0" xfId="0" applyNumberFormat="1" applyFont="1" applyAlignment="1">
      <alignment horizontal="center" vertical="center"/>
    </xf>
    <xf numFmtId="0" fontId="0" fillId="0" borderId="12" xfId="0" applyBorder="1" applyAlignment="1">
      <alignment vertical="center"/>
    </xf>
    <xf numFmtId="3" fontId="0" fillId="0" borderId="12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/>
    </xf>
    <xf numFmtId="9" fontId="62" fillId="22" borderId="0" xfId="0" applyNumberFormat="1" applyFont="1" applyFill="1" applyAlignment="1">
      <alignment horizontal="center" vertical="center"/>
    </xf>
    <xf numFmtId="177" fontId="33" fillId="17" borderId="12" xfId="0" applyNumberFormat="1" applyFont="1" applyFill="1" applyBorder="1" applyAlignment="1" applyProtection="1">
      <alignment horizontal="center" vertical="center"/>
      <protection locked="0"/>
    </xf>
    <xf numFmtId="177" fontId="33" fillId="17" borderId="13" xfId="0" applyNumberFormat="1" applyFont="1" applyFill="1" applyBorder="1" applyAlignment="1" applyProtection="1">
      <alignment horizontal="center" vertical="center"/>
      <protection locked="0"/>
    </xf>
    <xf numFmtId="0" fontId="33" fillId="17" borderId="13" xfId="0" applyFont="1" applyFill="1" applyBorder="1" applyAlignment="1" applyProtection="1">
      <alignment horizontal="center" vertical="center"/>
      <protection locked="0"/>
    </xf>
    <xf numFmtId="0" fontId="3" fillId="26" borderId="0" xfId="63" applyFont="1" applyFill="1"/>
    <xf numFmtId="0" fontId="3" fillId="26" borderId="0" xfId="63" applyFont="1" applyFill="1" applyBorder="1" applyAlignment="1">
      <alignment horizontal="center"/>
    </xf>
    <xf numFmtId="0" fontId="3" fillId="26" borderId="0" xfId="63" applyFont="1" applyFill="1" applyAlignment="1">
      <alignment horizontal="center"/>
    </xf>
    <xf numFmtId="0" fontId="8" fillId="26" borderId="0" xfId="63" applyFont="1" applyFill="1" applyAlignment="1">
      <alignment horizontal="center"/>
    </xf>
    <xf numFmtId="0" fontId="3" fillId="26" borderId="18" xfId="63" applyFont="1" applyFill="1" applyBorder="1"/>
    <xf numFmtId="0" fontId="8" fillId="26" borderId="18" xfId="63" applyFont="1" applyFill="1" applyBorder="1" applyAlignment="1">
      <alignment horizontal="center"/>
    </xf>
    <xf numFmtId="0" fontId="3" fillId="20" borderId="0" xfId="63" applyFont="1" applyFill="1" applyAlignment="1">
      <alignment horizontal="left"/>
    </xf>
    <xf numFmtId="0" fontId="3" fillId="20" borderId="0" xfId="64" applyFont="1" applyFill="1"/>
    <xf numFmtId="37" fontId="3" fillId="19" borderId="0" xfId="64" applyNumberFormat="1" applyFont="1" applyFill="1"/>
    <xf numFmtId="37" fontId="3" fillId="21" borderId="0" xfId="64" applyNumberFormat="1" applyFont="1" applyFill="1"/>
    <xf numFmtId="0" fontId="43" fillId="20" borderId="0" xfId="63" applyFont="1" applyFill="1" applyAlignment="1">
      <alignment horizontal="left" indent="1"/>
    </xf>
    <xf numFmtId="0" fontId="3" fillId="21" borderId="0" xfId="64" applyFont="1" applyFill="1"/>
    <xf numFmtId="9" fontId="8" fillId="20" borderId="0" xfId="63" applyNumberFormat="1" applyFont="1" applyFill="1" applyBorder="1"/>
    <xf numFmtId="3" fontId="3" fillId="19" borderId="0" xfId="64" applyNumberFormat="1" applyFont="1" applyFill="1"/>
    <xf numFmtId="0" fontId="3" fillId="20" borderId="27" xfId="63" applyFont="1" applyFill="1" applyBorder="1"/>
    <xf numFmtId="0" fontId="3" fillId="20" borderId="27" xfId="64" applyFont="1" applyFill="1" applyBorder="1"/>
    <xf numFmtId="5" fontId="3" fillId="19" borderId="27" xfId="63" applyNumberFormat="1" applyFont="1" applyFill="1" applyBorder="1"/>
    <xf numFmtId="5" fontId="3" fillId="20" borderId="27" xfId="63" applyNumberFormat="1" applyFont="1" applyFill="1" applyBorder="1"/>
    <xf numFmtId="0" fontId="3" fillId="20" borderId="0" xfId="63" applyFont="1" applyFill="1"/>
    <xf numFmtId="0" fontId="8" fillId="20" borderId="0" xfId="63" applyFont="1" applyFill="1"/>
    <xf numFmtId="177" fontId="8" fillId="20" borderId="0" xfId="63" applyNumberFormat="1" applyFont="1" applyFill="1"/>
    <xf numFmtId="178" fontId="3" fillId="20" borderId="0" xfId="64" applyNumberFormat="1" applyFont="1" applyFill="1"/>
    <xf numFmtId="0" fontId="8" fillId="20" borderId="12" xfId="63" applyFont="1" applyFill="1" applyBorder="1"/>
    <xf numFmtId="177" fontId="8" fillId="20" borderId="12" xfId="63" applyNumberFormat="1" applyFont="1" applyFill="1" applyBorder="1"/>
    <xf numFmtId="170" fontId="3" fillId="20" borderId="0" xfId="64" applyNumberFormat="1" applyFont="1" applyFill="1"/>
    <xf numFmtId="9" fontId="3" fillId="20" borderId="0" xfId="64" applyNumberFormat="1" applyFont="1" applyFill="1"/>
    <xf numFmtId="172" fontId="8" fillId="25" borderId="32" xfId="0" applyNumberFormat="1" applyFont="1" applyFill="1" applyBorder="1" applyAlignment="1">
      <alignment horizontal="right" vertical="center"/>
    </xf>
    <xf numFmtId="172" fontId="8" fillId="25" borderId="0" xfId="0" applyNumberFormat="1" applyFont="1" applyFill="1" applyBorder="1" applyAlignment="1">
      <alignment horizontal="right" vertical="center"/>
    </xf>
    <xf numFmtId="0" fontId="8" fillId="25" borderId="0" xfId="0" applyFont="1" applyFill="1" applyAlignment="1">
      <alignment horizontal="left" vertical="center"/>
    </xf>
    <xf numFmtId="37" fontId="3" fillId="19" borderId="0" xfId="50" applyNumberFormat="1" applyFont="1" applyFill="1" applyBorder="1" applyAlignment="1">
      <alignment horizontal="center" vertical="center"/>
    </xf>
    <xf numFmtId="168" fontId="3" fillId="25" borderId="33" xfId="37" applyNumberFormat="1" applyFont="1" applyFill="1" applyBorder="1" applyAlignment="1">
      <alignment horizontal="right" vertical="center"/>
    </xf>
    <xf numFmtId="167" fontId="3" fillId="18" borderId="0" xfId="51" applyNumberFormat="1" applyFont="1" applyFill="1" applyBorder="1" applyAlignment="1">
      <alignment horizontal="left" vertical="center" wrapText="1"/>
    </xf>
    <xf numFmtId="176" fontId="3" fillId="19" borderId="0" xfId="68" applyNumberFormat="1" applyFont="1" applyFill="1" applyBorder="1" applyAlignment="1">
      <alignment vertical="center"/>
    </xf>
    <xf numFmtId="170" fontId="3" fillId="19" borderId="0" xfId="0" applyNumberFormat="1" applyFont="1" applyFill="1" applyBorder="1" applyAlignment="1">
      <alignment horizontal="left" vertical="center"/>
    </xf>
    <xf numFmtId="172" fontId="8" fillId="19" borderId="0" xfId="67" applyNumberFormat="1" applyFont="1" applyFill="1" applyBorder="1" applyAlignment="1">
      <alignment vertical="center"/>
    </xf>
    <xf numFmtId="0" fontId="8" fillId="19" borderId="0" xfId="67" applyFont="1" applyFill="1" applyBorder="1" applyAlignment="1">
      <alignment vertical="center"/>
    </xf>
    <xf numFmtId="0" fontId="8" fillId="0" borderId="0" xfId="67" applyFont="1" applyBorder="1" applyAlignment="1">
      <alignment vertical="center"/>
    </xf>
    <xf numFmtId="0" fontId="70" fillId="27" borderId="0" xfId="94" applyFont="1" applyFill="1" applyBorder="1"/>
    <xf numFmtId="0" fontId="8" fillId="24" borderId="12" xfId="0" applyFont="1" applyFill="1" applyBorder="1" applyAlignment="1">
      <alignment horizontal="left"/>
    </xf>
    <xf numFmtId="0" fontId="8" fillId="16" borderId="0" xfId="51" applyFont="1" applyFill="1" applyBorder="1" applyAlignment="1">
      <alignment horizontal="left" wrapText="1"/>
    </xf>
    <xf numFmtId="0" fontId="3" fillId="0" borderId="0" xfId="51" applyFont="1" applyFill="1" applyBorder="1" applyAlignment="1">
      <alignment horizontal="left" wrapText="1" indent="1"/>
    </xf>
    <xf numFmtId="0" fontId="8" fillId="24" borderId="0" xfId="0" applyFont="1" applyFill="1" applyBorder="1"/>
    <xf numFmtId="0" fontId="8" fillId="0" borderId="0" xfId="51" applyFont="1" applyFill="1" applyBorder="1" applyAlignment="1">
      <alignment wrapText="1"/>
    </xf>
    <xf numFmtId="0" fontId="8" fillId="0" borderId="0" xfId="51" applyFont="1" applyFill="1" applyBorder="1" applyAlignment="1">
      <alignment horizontal="left" wrapText="1"/>
    </xf>
    <xf numFmtId="0" fontId="8" fillId="16" borderId="0" xfId="51" applyFont="1" applyFill="1" applyBorder="1" applyAlignment="1">
      <alignment wrapText="1"/>
    </xf>
    <xf numFmtId="0" fontId="3" fillId="16" borderId="0" xfId="51" applyFont="1" applyFill="1" applyBorder="1" applyAlignment="1">
      <alignment wrapText="1"/>
    </xf>
    <xf numFmtId="0" fontId="63" fillId="23" borderId="0" xfId="0" applyFont="1" applyFill="1" applyBorder="1"/>
    <xf numFmtId="0" fontId="43" fillId="16" borderId="0" xfId="51" applyFont="1" applyFill="1" applyBorder="1"/>
    <xf numFmtId="0" fontId="8" fillId="19" borderId="0" xfId="0" applyNumberFormat="1" applyFont="1" applyFill="1" applyBorder="1"/>
    <xf numFmtId="172" fontId="3" fillId="19" borderId="35" xfId="0" applyNumberFormat="1" applyFont="1" applyFill="1" applyBorder="1"/>
    <xf numFmtId="172" fontId="3" fillId="19" borderId="20" xfId="0" applyNumberFormat="1" applyFont="1" applyFill="1" applyBorder="1"/>
    <xf numFmtId="168" fontId="3" fillId="19" borderId="20" xfId="0" applyNumberFormat="1" applyFont="1" applyFill="1" applyBorder="1"/>
    <xf numFmtId="168" fontId="3" fillId="19" borderId="17" xfId="0" applyNumberFormat="1" applyFont="1" applyFill="1" applyBorder="1"/>
    <xf numFmtId="0" fontId="8" fillId="19" borderId="0" xfId="0" applyFont="1" applyFill="1" applyBorder="1"/>
    <xf numFmtId="168" fontId="3" fillId="19" borderId="35" xfId="0" applyNumberFormat="1" applyFont="1" applyFill="1" applyBorder="1"/>
    <xf numFmtId="37" fontId="3" fillId="19" borderId="20" xfId="0" applyNumberFormat="1" applyFont="1" applyFill="1" applyBorder="1" applyAlignment="1"/>
    <xf numFmtId="0" fontId="3" fillId="19" borderId="20" xfId="0" applyFont="1" applyFill="1" applyBorder="1" applyAlignment="1">
      <alignment horizontal="left"/>
    </xf>
    <xf numFmtId="170" fontId="3" fillId="19" borderId="20" xfId="0" applyNumberFormat="1" applyFont="1" applyFill="1" applyBorder="1"/>
    <xf numFmtId="170" fontId="3" fillId="19" borderId="17" xfId="0" applyNumberFormat="1" applyFont="1" applyFill="1" applyBorder="1"/>
    <xf numFmtId="172" fontId="8" fillId="19" borderId="35" xfId="0" applyNumberFormat="1" applyFont="1" applyFill="1" applyBorder="1"/>
    <xf numFmtId="172" fontId="8" fillId="19" borderId="17" xfId="0" applyNumberFormat="1" applyFont="1" applyFill="1" applyBorder="1"/>
    <xf numFmtId="0" fontId="8" fillId="19" borderId="35" xfId="0" applyFont="1" applyFill="1" applyBorder="1"/>
    <xf numFmtId="168" fontId="8" fillId="19" borderId="17" xfId="0" applyNumberFormat="1" applyFont="1" applyFill="1" applyBorder="1"/>
    <xf numFmtId="176" fontId="68" fillId="0" borderId="0" xfId="37" applyNumberFormat="1" applyFont="1" applyFill="1" applyBorder="1" applyAlignment="1"/>
    <xf numFmtId="176" fontId="68" fillId="0" borderId="33" xfId="37" applyNumberFormat="1" applyFont="1" applyFill="1" applyBorder="1" applyAlignment="1"/>
    <xf numFmtId="176" fontId="74" fillId="0" borderId="0" xfId="37" applyNumberFormat="1" applyFont="1" applyFill="1" applyBorder="1" applyAlignment="1"/>
    <xf numFmtId="176" fontId="68" fillId="0" borderId="0" xfId="0" applyNumberFormat="1" applyFont="1" applyFill="1" applyBorder="1" applyAlignment="1"/>
    <xf numFmtId="167" fontId="8" fillId="16" borderId="0" xfId="51" applyNumberFormat="1" applyFont="1" applyFill="1" applyBorder="1" applyAlignment="1">
      <alignment wrapText="1"/>
    </xf>
    <xf numFmtId="167" fontId="3" fillId="16" borderId="0" xfId="51" applyNumberFormat="1" applyFont="1" applyFill="1" applyBorder="1" applyAlignment="1">
      <alignment wrapText="1"/>
    </xf>
    <xf numFmtId="167" fontId="43" fillId="16" borderId="0" xfId="51" applyNumberFormat="1" applyFont="1" applyFill="1" applyBorder="1"/>
    <xf numFmtId="168" fontId="3" fillId="19" borderId="35" xfId="68" applyNumberFormat="1" applyFont="1" applyFill="1" applyBorder="1"/>
    <xf numFmtId="168" fontId="3" fillId="19" borderId="20" xfId="68" applyNumberFormat="1" applyFont="1" applyFill="1" applyBorder="1"/>
    <xf numFmtId="170" fontId="3" fillId="19" borderId="20" xfId="48" applyNumberFormat="1" applyFont="1" applyFill="1" applyBorder="1"/>
    <xf numFmtId="7" fontId="3" fillId="19" borderId="20" xfId="48" applyNumberFormat="1" applyFont="1" applyFill="1" applyBorder="1"/>
    <xf numFmtId="168" fontId="3" fillId="19" borderId="20" xfId="48" applyNumberFormat="1" applyFont="1" applyFill="1" applyBorder="1"/>
    <xf numFmtId="170" fontId="3" fillId="19" borderId="17" xfId="48" applyNumberFormat="1" applyFont="1" applyFill="1" applyBorder="1"/>
    <xf numFmtId="170" fontId="3" fillId="19" borderId="0" xfId="48" applyNumberFormat="1" applyFont="1" applyFill="1" applyBorder="1"/>
    <xf numFmtId="168" fontId="43" fillId="19" borderId="0" xfId="48" applyNumberFormat="1" applyFont="1" applyFill="1" applyBorder="1"/>
    <xf numFmtId="172" fontId="8" fillId="19" borderId="17" xfId="48" applyNumberFormat="1" applyFont="1" applyFill="1" applyBorder="1"/>
    <xf numFmtId="172" fontId="8" fillId="19" borderId="0" xfId="48" applyNumberFormat="1" applyFont="1" applyFill="1" applyBorder="1"/>
    <xf numFmtId="0" fontId="67" fillId="19" borderId="0" xfId="0" applyFont="1" applyFill="1" applyBorder="1"/>
    <xf numFmtId="0" fontId="74" fillId="24" borderId="12" xfId="0" applyFont="1" applyFill="1" applyBorder="1" applyAlignment="1">
      <alignment horizontal="left"/>
    </xf>
    <xf numFmtId="0" fontId="74" fillId="19" borderId="12" xfId="0" applyFont="1" applyFill="1" applyBorder="1" applyAlignment="1">
      <alignment horizontal="right"/>
    </xf>
    <xf numFmtId="0" fontId="74" fillId="19" borderId="0" xfId="0" applyNumberFormat="1" applyFont="1" applyFill="1" applyBorder="1"/>
    <xf numFmtId="179" fontId="68" fillId="0" borderId="0" xfId="51" applyNumberFormat="1" applyFont="1" applyFill="1" applyAlignment="1">
      <alignment horizontal="right"/>
    </xf>
    <xf numFmtId="167" fontId="68" fillId="0" borderId="0" xfId="51" applyNumberFormat="1" applyFont="1" applyFill="1" applyAlignment="1">
      <alignment horizontal="right"/>
    </xf>
    <xf numFmtId="167" fontId="68" fillId="16" borderId="0" xfId="51" applyNumberFormat="1" applyFont="1" applyFill="1" applyAlignment="1">
      <alignment horizontal="right"/>
    </xf>
    <xf numFmtId="0" fontId="74" fillId="19" borderId="0" xfId="0" applyFont="1" applyFill="1" applyBorder="1"/>
    <xf numFmtId="168" fontId="68" fillId="0" borderId="0" xfId="37" applyNumberFormat="1" applyFont="1" applyFill="1" applyAlignment="1">
      <alignment horizontal="right"/>
    </xf>
    <xf numFmtId="168" fontId="68" fillId="16" borderId="0" xfId="51" applyNumberFormat="1" applyFont="1" applyFill="1"/>
    <xf numFmtId="0" fontId="68" fillId="19" borderId="0" xfId="0" applyFont="1" applyFill="1" applyBorder="1" applyAlignment="1">
      <alignment horizontal="left" indent="1"/>
    </xf>
    <xf numFmtId="168" fontId="68" fillId="16" borderId="0" xfId="51" applyNumberFormat="1" applyFont="1" applyFill="1" applyBorder="1" applyAlignment="1">
      <alignment horizontal="left" wrapText="1" indent="2"/>
    </xf>
    <xf numFmtId="168" fontId="68" fillId="19" borderId="0" xfId="37" applyNumberFormat="1" applyFont="1" applyFill="1" applyAlignment="1">
      <alignment horizontal="right"/>
    </xf>
    <xf numFmtId="171" fontId="74" fillId="0" borderId="12" xfId="37" applyNumberFormat="1" applyFont="1" applyFill="1" applyBorder="1" applyAlignment="1">
      <alignment horizontal="right"/>
    </xf>
    <xf numFmtId="168" fontId="74" fillId="0" borderId="12" xfId="37" applyNumberFormat="1" applyFont="1" applyFill="1" applyBorder="1" applyAlignment="1">
      <alignment horizontal="right"/>
    </xf>
    <xf numFmtId="168" fontId="74" fillId="16" borderId="0" xfId="51" applyNumberFormat="1" applyFont="1" applyFill="1" applyBorder="1" applyAlignment="1">
      <alignment wrapText="1"/>
    </xf>
    <xf numFmtId="171" fontId="68" fillId="0" borderId="0" xfId="37" applyNumberFormat="1" applyFont="1" applyFill="1" applyAlignment="1">
      <alignment horizontal="right"/>
    </xf>
    <xf numFmtId="168" fontId="68" fillId="16" borderId="0" xfId="51" applyNumberFormat="1" applyFont="1" applyFill="1" applyBorder="1" applyAlignment="1">
      <alignment horizontal="left" wrapText="1" indent="1"/>
    </xf>
    <xf numFmtId="37" fontId="68" fillId="0" borderId="0" xfId="37" applyNumberFormat="1" applyFont="1" applyFill="1" applyAlignment="1">
      <alignment horizontal="right"/>
    </xf>
    <xf numFmtId="168" fontId="68" fillId="0" borderId="0" xfId="37" applyNumberFormat="1" applyFont="1" applyFill="1" applyBorder="1" applyAlignment="1">
      <alignment horizontal="right"/>
    </xf>
    <xf numFmtId="168" fontId="68" fillId="0" borderId="0" xfId="51" applyNumberFormat="1" applyFont="1" applyFill="1" applyAlignment="1">
      <alignment horizontal="right"/>
    </xf>
    <xf numFmtId="171" fontId="74" fillId="0" borderId="0" xfId="37" applyNumberFormat="1" applyFont="1" applyFill="1" applyBorder="1" applyAlignment="1">
      <alignment horizontal="right"/>
    </xf>
    <xf numFmtId="168" fontId="74" fillId="0" borderId="0" xfId="37" applyNumberFormat="1" applyFont="1" applyFill="1" applyBorder="1" applyAlignment="1">
      <alignment horizontal="right"/>
    </xf>
    <xf numFmtId="168" fontId="68" fillId="16" borderId="0" xfId="51" applyNumberFormat="1" applyFont="1" applyFill="1" applyBorder="1" applyAlignment="1">
      <alignment wrapText="1"/>
    </xf>
    <xf numFmtId="171" fontId="68" fillId="0" borderId="0" xfId="37" applyNumberFormat="1" applyFont="1" applyFill="1" applyBorder="1" applyAlignment="1">
      <alignment horizontal="right"/>
    </xf>
    <xf numFmtId="171" fontId="74" fillId="0" borderId="36" xfId="37" applyNumberFormat="1" applyFont="1" applyFill="1" applyBorder="1" applyAlignment="1">
      <alignment horizontal="right"/>
    </xf>
    <xf numFmtId="168" fontId="74" fillId="0" borderId="36" xfId="37" applyNumberFormat="1" applyFont="1" applyFill="1" applyBorder="1" applyAlignment="1">
      <alignment horizontal="right"/>
    </xf>
    <xf numFmtId="3" fontId="68" fillId="0" borderId="0" xfId="0" applyNumberFormat="1" applyFont="1" applyBorder="1" applyAlignment="1">
      <alignment horizontal="center"/>
    </xf>
    <xf numFmtId="9" fontId="75" fillId="0" borderId="0" xfId="0" applyNumberFormat="1" applyFont="1" applyBorder="1" applyAlignment="1">
      <alignment horizontal="center"/>
    </xf>
    <xf numFmtId="3" fontId="68" fillId="0" borderId="14" xfId="0" applyNumberFormat="1" applyFont="1" applyBorder="1" applyAlignment="1">
      <alignment horizontal="center"/>
    </xf>
    <xf numFmtId="9" fontId="75" fillId="0" borderId="0" xfId="55" applyFont="1" applyAlignment="1">
      <alignment horizontal="center"/>
    </xf>
    <xf numFmtId="0" fontId="68" fillId="0" borderId="0" xfId="0" applyFont="1" applyBorder="1"/>
    <xf numFmtId="9" fontId="75" fillId="0" borderId="0" xfId="55" applyFont="1" applyBorder="1" applyAlignment="1">
      <alignment horizontal="center"/>
    </xf>
    <xf numFmtId="170" fontId="75" fillId="0" borderId="0" xfId="55" applyNumberFormat="1" applyFont="1" applyAlignment="1">
      <alignment horizontal="center"/>
    </xf>
    <xf numFmtId="9" fontId="75" fillId="0" borderId="18" xfId="55" applyFont="1" applyBorder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center"/>
    </xf>
    <xf numFmtId="177" fontId="74" fillId="17" borderId="12" xfId="0" applyNumberFormat="1" applyFont="1" applyFill="1" applyBorder="1" applyAlignment="1">
      <alignment horizontal="center"/>
    </xf>
    <xf numFmtId="177" fontId="74" fillId="17" borderId="13" xfId="0" applyNumberFormat="1" applyFont="1" applyFill="1" applyBorder="1" applyAlignment="1">
      <alignment horizontal="center"/>
    </xf>
    <xf numFmtId="0" fontId="76" fillId="17" borderId="12" xfId="0" applyFont="1" applyFill="1" applyBorder="1" applyAlignment="1" applyProtection="1">
      <alignment horizontal="center"/>
      <protection locked="0"/>
    </xf>
    <xf numFmtId="0" fontId="76" fillId="17" borderId="13" xfId="0" applyFont="1" applyFill="1" applyBorder="1" applyAlignment="1" applyProtection="1">
      <alignment horizontal="center"/>
      <protection locked="0"/>
    </xf>
    <xf numFmtId="9" fontId="75" fillId="0" borderId="0" xfId="0" applyNumberFormat="1" applyFont="1" applyFill="1" applyBorder="1" applyAlignment="1">
      <alignment horizontal="center"/>
    </xf>
    <xf numFmtId="177" fontId="3" fillId="17" borderId="13" xfId="0" applyNumberFormat="1" applyFont="1" applyFill="1" applyBorder="1" applyAlignment="1">
      <alignment horizontal="center"/>
    </xf>
    <xf numFmtId="0" fontId="6" fillId="17" borderId="11" xfId="0" applyFont="1" applyFill="1" applyBorder="1" applyAlignment="1" applyProtection="1">
      <alignment horizontal="center"/>
      <protection locked="0"/>
    </xf>
    <xf numFmtId="0" fontId="7" fillId="19" borderId="0" xfId="64" applyFill="1"/>
    <xf numFmtId="0" fontId="8" fillId="20" borderId="0" xfId="64" applyFont="1" applyFill="1" applyAlignment="1">
      <alignment horizontal="center"/>
    </xf>
    <xf numFmtId="0" fontId="8" fillId="20" borderId="0" xfId="64" applyFont="1" applyFill="1"/>
    <xf numFmtId="0" fontId="8" fillId="19" borderId="0" xfId="64" applyFont="1" applyFill="1"/>
    <xf numFmtId="3" fontId="7" fillId="19" borderId="0" xfId="64" applyNumberFormat="1" applyFill="1"/>
    <xf numFmtId="3" fontId="7" fillId="20" borderId="0" xfId="64" applyNumberFormat="1" applyFill="1" applyAlignment="1">
      <alignment horizontal="center"/>
    </xf>
    <xf numFmtId="177" fontId="3" fillId="20" borderId="0" xfId="63" applyNumberFormat="1" applyFont="1" applyFill="1"/>
    <xf numFmtId="0" fontId="3" fillId="19" borderId="0" xfId="0" applyFont="1" applyFill="1"/>
    <xf numFmtId="0" fontId="3" fillId="20" borderId="0" xfId="64" quotePrefix="1" applyFont="1" applyFill="1" applyAlignment="1">
      <alignment horizontal="right"/>
    </xf>
    <xf numFmtId="3" fontId="3" fillId="20" borderId="0" xfId="64" applyNumberFormat="1" applyFont="1" applyFill="1" applyAlignment="1">
      <alignment horizontal="center"/>
    </xf>
    <xf numFmtId="5" fontId="3" fillId="19" borderId="19" xfId="67" applyNumberFormat="1" applyFont="1" applyFill="1" applyBorder="1" applyAlignment="1">
      <alignment horizontal="center" vertical="center"/>
    </xf>
    <xf numFmtId="38" fontId="3" fillId="16" borderId="36" xfId="50" applyFont="1" applyFill="1" applyBorder="1" applyAlignment="1">
      <alignment horizontal="left" vertical="center" wrapText="1"/>
    </xf>
    <xf numFmtId="38" fontId="3" fillId="0" borderId="36" xfId="50" applyFont="1" applyFill="1" applyBorder="1" applyAlignment="1">
      <alignment horizontal="center" vertical="center"/>
    </xf>
    <xf numFmtId="38" fontId="3" fillId="16" borderId="36" xfId="50" applyFont="1" applyFill="1" applyBorder="1" applyAlignment="1">
      <alignment horizontal="center" vertical="center"/>
    </xf>
    <xf numFmtId="38" fontId="3" fillId="16" borderId="33" xfId="50" applyFont="1" applyFill="1" applyBorder="1" applyAlignment="1">
      <alignment horizontal="left" vertical="center" wrapText="1"/>
    </xf>
    <xf numFmtId="38" fontId="3" fillId="16" borderId="33" xfId="50" applyFont="1" applyFill="1" applyBorder="1" applyAlignment="1">
      <alignment horizontal="center" vertical="center"/>
    </xf>
    <xf numFmtId="168" fontId="3" fillId="25" borderId="33" xfId="37" applyNumberFormat="1" applyFont="1" applyFill="1" applyBorder="1" applyAlignment="1">
      <alignment horizontal="center" vertical="center"/>
    </xf>
    <xf numFmtId="168" fontId="3" fillId="19" borderId="33" xfId="49" applyNumberFormat="1" applyFont="1" applyFill="1" applyBorder="1" applyAlignment="1">
      <alignment horizontal="center" vertical="center"/>
    </xf>
    <xf numFmtId="168" fontId="3" fillId="19" borderId="19" xfId="49" applyNumberFormat="1" applyFont="1" applyFill="1" applyBorder="1" applyAlignment="1">
      <alignment horizontal="center" vertical="center"/>
    </xf>
    <xf numFmtId="168" fontId="62" fillId="19" borderId="0" xfId="49" applyNumberFormat="1" applyFont="1" applyFill="1" applyBorder="1" applyAlignment="1">
      <alignment horizontal="center" vertical="center"/>
    </xf>
    <xf numFmtId="10" fontId="3" fillId="19" borderId="0" xfId="55" applyNumberFormat="1" applyFont="1" applyFill="1" applyBorder="1" applyAlignment="1">
      <alignment horizontal="center" vertical="center"/>
    </xf>
    <xf numFmtId="172" fontId="74" fillId="0" borderId="27" xfId="37" applyNumberFormat="1" applyFont="1" applyFill="1" applyBorder="1" applyAlignment="1"/>
    <xf numFmtId="172" fontId="74" fillId="0" borderId="0" xfId="37" applyNumberFormat="1" applyFont="1" applyFill="1" applyBorder="1" applyAlignment="1"/>
    <xf numFmtId="168" fontId="3" fillId="19" borderId="33" xfId="37" applyNumberFormat="1" applyFont="1" applyFill="1" applyBorder="1" applyAlignment="1">
      <alignment horizontal="right" vertical="center"/>
    </xf>
    <xf numFmtId="0" fontId="8" fillId="24" borderId="0" xfId="0" applyFont="1" applyFill="1" applyBorder="1" applyAlignment="1">
      <alignment vertical="center"/>
    </xf>
    <xf numFmtId="0" fontId="8" fillId="25" borderId="0" xfId="0" applyFont="1" applyFill="1" applyBorder="1" applyAlignment="1">
      <alignment horizontal="left" vertical="center"/>
    </xf>
    <xf numFmtId="0" fontId="3" fillId="0" borderId="0" xfId="0" applyFont="1" applyFill="1" applyBorder="1"/>
    <xf numFmtId="38" fontId="8" fillId="16" borderId="0" xfId="50" applyFont="1" applyFill="1" applyBorder="1" applyAlignment="1">
      <alignment horizontal="left" vertical="center" wrapText="1"/>
    </xf>
    <xf numFmtId="0" fontId="3" fillId="19" borderId="0" xfId="0" applyFont="1" applyFill="1" applyBorder="1"/>
    <xf numFmtId="0" fontId="8" fillId="0" borderId="0" xfId="0" applyFont="1" applyBorder="1"/>
    <xf numFmtId="0" fontId="8" fillId="0" borderId="33" xfId="67" applyFont="1" applyBorder="1" applyAlignment="1">
      <alignment vertical="center"/>
    </xf>
    <xf numFmtId="164" fontId="43" fillId="0" borderId="0" xfId="56" applyNumberFormat="1" applyFont="1" applyFill="1" applyBorder="1" applyAlignment="1">
      <alignment horizontal="left" vertical="center"/>
    </xf>
    <xf numFmtId="168" fontId="3" fillId="19" borderId="36" xfId="37" applyNumberFormat="1" applyFont="1" applyFill="1" applyBorder="1" applyAlignment="1">
      <alignment horizontal="right" vertical="center"/>
    </xf>
    <xf numFmtId="0" fontId="3" fillId="24" borderId="0" xfId="0" applyFont="1" applyFill="1" applyBorder="1" applyAlignment="1">
      <alignment horizontal="left" vertical="center"/>
    </xf>
    <xf numFmtId="0" fontId="8" fillId="19" borderId="0" xfId="0" applyFont="1" applyFill="1" applyBorder="1" applyAlignment="1">
      <alignment horizontal="right"/>
    </xf>
    <xf numFmtId="0" fontId="8" fillId="0" borderId="0" xfId="51" applyFont="1" applyFill="1" applyBorder="1"/>
    <xf numFmtId="172" fontId="74" fillId="0" borderId="12" xfId="37" applyNumberFormat="1" applyFont="1" applyFill="1" applyBorder="1" applyAlignment="1"/>
    <xf numFmtId="0" fontId="8" fillId="24" borderId="32" xfId="0" applyFont="1" applyFill="1" applyBorder="1" applyAlignment="1">
      <alignment horizontal="left" vertical="center"/>
    </xf>
    <xf numFmtId="0" fontId="8" fillId="16" borderId="0" xfId="0" applyFont="1" applyFill="1" applyBorder="1" applyAlignment="1">
      <alignment horizontal="left" vertical="center"/>
    </xf>
    <xf numFmtId="0" fontId="8" fillId="19" borderId="0" xfId="0" applyFont="1" applyFill="1" applyBorder="1" applyAlignment="1">
      <alignment horizontal="left" vertical="center"/>
    </xf>
    <xf numFmtId="172" fontId="74" fillId="0" borderId="12" xfId="37" applyNumberFormat="1" applyFont="1" applyFill="1" applyBorder="1" applyAlignment="1">
      <alignment horizontal="right"/>
    </xf>
    <xf numFmtId="0" fontId="74" fillId="19" borderId="0" xfId="0" applyFont="1" applyFill="1" applyBorder="1" applyAlignment="1">
      <alignment horizontal="right"/>
    </xf>
    <xf numFmtId="0" fontId="72" fillId="24" borderId="0" xfId="170" applyFont="1" applyFill="1" applyBorder="1" applyAlignment="1">
      <alignment horizontal="left" vertical="center"/>
    </xf>
    <xf numFmtId="168" fontId="68" fillId="0" borderId="0" xfId="37" applyNumberFormat="1" applyFont="1" applyFill="1" applyBorder="1" applyAlignment="1"/>
    <xf numFmtId="168" fontId="68" fillId="0" borderId="33" xfId="37" applyNumberFormat="1" applyFont="1" applyFill="1" applyBorder="1" applyAlignment="1"/>
    <xf numFmtId="170" fontId="43" fillId="25" borderId="0" xfId="56" quotePrefix="1" applyNumberFormat="1" applyFont="1" applyFill="1" applyBorder="1" applyAlignment="1">
      <alignment horizontal="right" vertical="center"/>
    </xf>
    <xf numFmtId="0" fontId="7" fillId="16" borderId="25" xfId="66" applyFill="1" applyBorder="1" applyAlignment="1">
      <alignment horizontal="centerContinuous"/>
    </xf>
    <xf numFmtId="0" fontId="41" fillId="16" borderId="0" xfId="63" applyFont="1" applyFill="1" applyBorder="1" applyAlignment="1">
      <alignment horizontal="centerContinuous"/>
    </xf>
    <xf numFmtId="0" fontId="41" fillId="16" borderId="30" xfId="63" applyFont="1" applyFill="1" applyBorder="1" applyAlignment="1">
      <alignment horizontal="centerContinuous"/>
    </xf>
    <xf numFmtId="0" fontId="41" fillId="16" borderId="22" xfId="63" applyFont="1" applyFill="1" applyBorder="1" applyAlignment="1">
      <alignment horizontal="centerContinuous"/>
    </xf>
    <xf numFmtId="0" fontId="41" fillId="16" borderId="26" xfId="63" applyFont="1" applyFill="1" applyBorder="1" applyAlignment="1">
      <alignment horizontal="centerContinuous"/>
    </xf>
    <xf numFmtId="0" fontId="7" fillId="16" borderId="24" xfId="66" applyFill="1" applyBorder="1" applyAlignment="1">
      <alignment horizontal="centerContinuous"/>
    </xf>
    <xf numFmtId="0" fontId="7" fillId="20" borderId="0" xfId="64" applyFill="1" applyBorder="1"/>
    <xf numFmtId="0" fontId="8" fillId="29" borderId="39" xfId="64" applyFont="1" applyFill="1" applyBorder="1" applyAlignment="1">
      <alignment horizontal="center"/>
    </xf>
    <xf numFmtId="170" fontId="3" fillId="19" borderId="0" xfId="55" applyNumberFormat="1" applyFont="1" applyFill="1" applyBorder="1" applyAlignment="1">
      <alignment horizontal="right" vertical="center" wrapText="1"/>
    </xf>
    <xf numFmtId="170" fontId="3" fillId="25" borderId="0" xfId="55" applyNumberFormat="1" applyFont="1" applyFill="1" applyBorder="1" applyAlignment="1">
      <alignment horizontal="right" vertical="center" wrapText="1"/>
    </xf>
    <xf numFmtId="168" fontId="62" fillId="19" borderId="21" xfId="49" applyNumberFormat="1" applyFont="1" applyFill="1" applyBorder="1" applyAlignment="1">
      <alignment horizontal="center" vertical="center"/>
    </xf>
    <xf numFmtId="10" fontId="3" fillId="19" borderId="21" xfId="55" applyNumberFormat="1" applyFont="1" applyFill="1" applyBorder="1" applyAlignment="1">
      <alignment horizontal="center" vertical="center"/>
    </xf>
    <xf numFmtId="168" fontId="74" fillId="0" borderId="33" xfId="37" applyNumberFormat="1" applyFont="1" applyFill="1" applyBorder="1" applyAlignment="1">
      <alignment horizontal="right"/>
    </xf>
    <xf numFmtId="0" fontId="3" fillId="0" borderId="33" xfId="51" applyFont="1" applyFill="1" applyBorder="1" applyAlignment="1">
      <alignment horizontal="left" wrapText="1" indent="1"/>
    </xf>
    <xf numFmtId="0" fontId="8" fillId="0" borderId="12" xfId="51" applyFont="1" applyFill="1" applyBorder="1" applyAlignment="1">
      <alignment horizontal="left" vertical="center" wrapText="1"/>
    </xf>
    <xf numFmtId="0" fontId="8" fillId="16" borderId="27" xfId="51" applyFont="1" applyFill="1" applyBorder="1" applyAlignment="1">
      <alignment horizontal="left" vertical="center" wrapText="1"/>
    </xf>
    <xf numFmtId="168" fontId="74" fillId="16" borderId="36" xfId="51" applyNumberFormat="1" applyFont="1" applyFill="1" applyBorder="1" applyAlignment="1">
      <alignment horizontal="left" wrapText="1"/>
    </xf>
    <xf numFmtId="167" fontId="74" fillId="16" borderId="0" xfId="51" applyNumberFormat="1" applyFont="1" applyFill="1" applyBorder="1" applyAlignment="1">
      <alignment horizontal="left" wrapText="1"/>
    </xf>
    <xf numFmtId="167" fontId="74" fillId="16" borderId="33" xfId="51" applyNumberFormat="1" applyFont="1" applyFill="1" applyBorder="1" applyAlignment="1">
      <alignment wrapText="1"/>
    </xf>
    <xf numFmtId="168" fontId="74" fillId="16" borderId="12" xfId="51" applyNumberFormat="1" applyFont="1" applyFill="1" applyBorder="1" applyAlignment="1">
      <alignment wrapText="1"/>
    </xf>
    <xf numFmtId="168" fontId="62" fillId="25" borderId="0" xfId="37" applyNumberFormat="1" applyFont="1" applyFill="1" applyBorder="1" applyAlignment="1">
      <alignment horizontal="right" vertical="center"/>
    </xf>
    <xf numFmtId="0" fontId="8" fillId="24" borderId="12" xfId="0" applyFont="1" applyFill="1" applyBorder="1" applyAlignment="1">
      <alignment vertical="center"/>
    </xf>
    <xf numFmtId="0" fontId="8" fillId="16" borderId="12" xfId="49" applyFont="1" applyFill="1" applyBorder="1" applyAlignment="1">
      <alignment horizontal="left" vertical="center" wrapText="1"/>
    </xf>
    <xf numFmtId="0" fontId="8" fillId="23" borderId="37" xfId="67" applyFont="1" applyFill="1" applyBorder="1" applyAlignment="1">
      <alignment horizontal="center" vertical="center"/>
    </xf>
    <xf numFmtId="0" fontId="3" fillId="0" borderId="36" xfId="67" applyFont="1" applyBorder="1" applyAlignment="1">
      <alignment vertical="center"/>
    </xf>
    <xf numFmtId="0" fontId="3" fillId="0" borderId="0" xfId="67" applyFont="1" applyBorder="1" applyAlignment="1">
      <alignment vertical="center"/>
    </xf>
    <xf numFmtId="0" fontId="3" fillId="0" borderId="33" xfId="67" applyFont="1" applyBorder="1" applyAlignment="1">
      <alignment vertical="center"/>
    </xf>
    <xf numFmtId="0" fontId="3" fillId="30" borderId="36" xfId="67" applyFont="1" applyFill="1" applyBorder="1" applyAlignment="1">
      <alignment vertical="center"/>
    </xf>
    <xf numFmtId="0" fontId="3" fillId="30" borderId="0" xfId="67" applyFont="1" applyFill="1" applyBorder="1" applyAlignment="1">
      <alignment vertical="center"/>
    </xf>
    <xf numFmtId="0" fontId="3" fillId="30" borderId="33" xfId="67" applyFont="1" applyFill="1" applyBorder="1" applyAlignment="1">
      <alignment vertical="center"/>
    </xf>
    <xf numFmtId="0" fontId="3" fillId="0" borderId="0" xfId="92"/>
    <xf numFmtId="38" fontId="3" fillId="16" borderId="0" xfId="49" applyNumberFormat="1" applyFont="1" applyFill="1" applyBorder="1" applyAlignment="1">
      <alignment horizontal="left" vertical="center" wrapText="1" indent="1"/>
    </xf>
    <xf numFmtId="0" fontId="43" fillId="0" borderId="0" xfId="0" applyFont="1" applyAlignment="1">
      <alignment horizontal="center"/>
    </xf>
    <xf numFmtId="9" fontId="102" fillId="0" borderId="0" xfId="55" applyFont="1"/>
    <xf numFmtId="9" fontId="102" fillId="0" borderId="0" xfId="55" applyFont="1" applyAlignment="1">
      <alignment horizontal="center"/>
    </xf>
    <xf numFmtId="3" fontId="48" fillId="31" borderId="38" xfId="0" applyNumberFormat="1" applyFont="1" applyFill="1" applyBorder="1"/>
    <xf numFmtId="3" fontId="48" fillId="31" borderId="40" xfId="0" applyNumberFormat="1" applyFont="1" applyFill="1" applyBorder="1" applyAlignment="1">
      <alignment horizontal="right"/>
    </xf>
    <xf numFmtId="7" fontId="3" fillId="29" borderId="36" xfId="70" applyNumberFormat="1" applyFont="1" applyFill="1" applyBorder="1"/>
    <xf numFmtId="169" fontId="3" fillId="29" borderId="0" xfId="0" applyNumberFormat="1" applyFont="1" applyFill="1" applyBorder="1"/>
    <xf numFmtId="170" fontId="62" fillId="29" borderId="0" xfId="55" applyNumberFormat="1" applyFont="1" applyFill="1" applyBorder="1" applyAlignment="1"/>
    <xf numFmtId="7" fontId="3" fillId="29" borderId="0" xfId="70" applyNumberFormat="1" applyFont="1" applyFill="1" applyBorder="1"/>
    <xf numFmtId="169" fontId="3" fillId="29" borderId="0" xfId="68" applyNumberFormat="1" applyFont="1" applyFill="1" applyBorder="1"/>
    <xf numFmtId="170" fontId="3" fillId="29" borderId="0" xfId="0" applyNumberFormat="1" applyFont="1" applyFill="1" applyBorder="1" applyAlignment="1">
      <alignment horizontal="right"/>
    </xf>
    <xf numFmtId="37" fontId="3" fillId="29" borderId="0" xfId="37" applyNumberFormat="1" applyFont="1" applyFill="1" applyBorder="1" applyAlignment="1">
      <alignment horizontal="right"/>
    </xf>
    <xf numFmtId="170" fontId="62" fillId="29" borderId="33" xfId="55" applyNumberFormat="1" applyFont="1" applyFill="1" applyBorder="1" applyAlignment="1"/>
    <xf numFmtId="0" fontId="73" fillId="26" borderId="0" xfId="0" applyFont="1" applyFill="1" applyBorder="1" applyAlignment="1">
      <alignment horizontal="left" vertical="center"/>
    </xf>
    <xf numFmtId="0" fontId="73" fillId="26" borderId="18" xfId="0" applyFont="1" applyFill="1" applyBorder="1" applyAlignment="1">
      <alignment horizontal="left" vertical="center"/>
    </xf>
    <xf numFmtId="0" fontId="3" fillId="20" borderId="0" xfId="185" applyFont="1" applyFill="1" applyAlignment="1">
      <alignment vertical="top"/>
    </xf>
    <xf numFmtId="0" fontId="3" fillId="20" borderId="0" xfId="92" applyFill="1" applyAlignment="1">
      <alignment vertical="top"/>
    </xf>
    <xf numFmtId="0" fontId="3" fillId="20" borderId="0" xfId="92" applyFill="1"/>
    <xf numFmtId="0" fontId="39" fillId="20" borderId="0" xfId="185" applyFont="1" applyFill="1" applyAlignment="1">
      <alignment horizontal="left" vertical="top"/>
    </xf>
    <xf numFmtId="0" fontId="3" fillId="20" borderId="0" xfId="92" applyFont="1" applyFill="1" applyAlignment="1">
      <alignment vertical="top"/>
    </xf>
    <xf numFmtId="0" fontId="43" fillId="20" borderId="0" xfId="185" applyFont="1" applyFill="1" applyAlignment="1">
      <alignment vertical="top"/>
    </xf>
    <xf numFmtId="0" fontId="0" fillId="20" borderId="0" xfId="0" applyFill="1" applyAlignment="1">
      <alignment vertical="top"/>
    </xf>
    <xf numFmtId="0" fontId="104" fillId="20" borderId="0" xfId="0" applyFont="1" applyFill="1" applyAlignment="1">
      <alignment vertical="top"/>
    </xf>
    <xf numFmtId="0" fontId="105" fillId="20" borderId="0" xfId="0" applyFont="1" applyFill="1" applyAlignment="1">
      <alignment vertical="top"/>
    </xf>
    <xf numFmtId="0" fontId="105" fillId="20" borderId="0" xfId="0" applyFont="1" applyFill="1" applyAlignment="1">
      <alignment vertical="top"/>
    </xf>
    <xf numFmtId="0" fontId="104" fillId="20" borderId="0" xfId="0" applyFont="1" applyFill="1" applyAlignment="1">
      <alignment vertical="top"/>
    </xf>
    <xf numFmtId="0" fontId="0" fillId="20" borderId="0" xfId="0" applyFill="1" applyAlignment="1">
      <alignment vertical="top"/>
    </xf>
    <xf numFmtId="0" fontId="0" fillId="20" borderId="45" xfId="0" applyFill="1" applyBorder="1" applyAlignment="1">
      <alignment vertical="top"/>
    </xf>
    <xf numFmtId="0" fontId="104" fillId="20" borderId="41" xfId="0" applyFont="1" applyFill="1" applyBorder="1" applyAlignment="1">
      <alignment vertical="top"/>
    </xf>
    <xf numFmtId="0" fontId="104" fillId="20" borderId="42" xfId="0" applyFont="1" applyFill="1" applyBorder="1" applyAlignment="1">
      <alignment vertical="top"/>
    </xf>
    <xf numFmtId="0" fontId="104" fillId="20" borderId="43" xfId="0" applyFont="1" applyFill="1" applyBorder="1" applyAlignment="1">
      <alignment vertical="top"/>
    </xf>
    <xf numFmtId="0" fontId="104" fillId="20" borderId="44" xfId="0" applyFont="1" applyFill="1" applyBorder="1" applyAlignment="1">
      <alignment vertical="top"/>
    </xf>
    <xf numFmtId="9" fontId="104" fillId="20" borderId="41" xfId="0" applyNumberFormat="1" applyFont="1" applyFill="1" applyBorder="1" applyAlignment="1">
      <alignment vertical="top"/>
    </xf>
    <xf numFmtId="3" fontId="104" fillId="20" borderId="41" xfId="0" applyNumberFormat="1" applyFont="1" applyFill="1" applyBorder="1" applyAlignment="1">
      <alignment vertical="top"/>
    </xf>
    <xf numFmtId="0" fontId="0" fillId="20" borderId="46" xfId="0" applyFill="1" applyBorder="1" applyAlignment="1">
      <alignment vertical="top"/>
    </xf>
    <xf numFmtId="2" fontId="3" fillId="0" borderId="0" xfId="92" applyNumberFormat="1" applyAlignment="1">
      <alignment horizontal="left"/>
    </xf>
    <xf numFmtId="0" fontId="3" fillId="0" borderId="0" xfId="92" applyNumberFormat="1" applyAlignment="1">
      <alignment horizontal="left"/>
    </xf>
    <xf numFmtId="1" fontId="3" fillId="0" borderId="0" xfId="92" applyNumberFormat="1" applyAlignment="1">
      <alignment horizontal="left"/>
    </xf>
    <xf numFmtId="0" fontId="3" fillId="0" borderId="0" xfId="92" applyFont="1"/>
    <xf numFmtId="203" fontId="3" fillId="0" borderId="0" xfId="92" applyNumberFormat="1" applyAlignment="1">
      <alignment horizontal="left"/>
    </xf>
    <xf numFmtId="49" fontId="3" fillId="0" borderId="0" xfId="92" applyNumberFormat="1"/>
  </cellXfs>
  <cellStyles count="186">
    <cellStyle name=" 1" xfId="1"/>
    <cellStyle name=" 1 2" xfId="76"/>
    <cellStyle name=" 1 3" xfId="75"/>
    <cellStyle name=" 2" xfId="77"/>
    <cellStyle name=" 2 2" xfId="78"/>
    <cellStyle name="_x000a_386grabber=M" xfId="94"/>
    <cellStyle name="%" xfId="95"/>
    <cellStyle name="_BS " xfId="79"/>
    <cellStyle name="_DCF " xfId="80"/>
    <cellStyle name="_RRS1" xfId="96"/>
    <cellStyle name="_SUMMARY " xfId="2"/>
    <cellStyle name="_SUMMARY  2" xfId="171"/>
    <cellStyle name="=C:\WINNT35\SYSTEM32\COMMAND.COM" xfId="97"/>
    <cellStyle name="0" xfId="98"/>
    <cellStyle name="0%" xfId="99"/>
    <cellStyle name="0.0" xfId="100"/>
    <cellStyle name="0.0%" xfId="101"/>
    <cellStyle name="0.00" xfId="102"/>
    <cellStyle name="0.00%" xfId="103"/>
    <cellStyle name="0_Annual-VRTX " xfId="3"/>
    <cellStyle name="0_Capex &amp; Depreciation " xfId="4"/>
    <cellStyle name="0_OMV EP 2000-2015 Consolidated " xfId="81"/>
    <cellStyle name="0_P&amp;L-adj " xfId="5"/>
    <cellStyle name="0_Quarterly " xfId="6"/>
    <cellStyle name="0_Quarterly-ITMN " xfId="7"/>
    <cellStyle name="0_Valuing BP " xfId="8"/>
    <cellStyle name="1dec" xfId="104"/>
    <cellStyle name="20% - Accent1" xfId="9" builtinId="30" customBuiltin="1"/>
    <cellStyle name="20% - Accent2" xfId="10" builtinId="34" customBuiltin="1"/>
    <cellStyle name="20% - Accent3" xfId="11" builtinId="38" customBuiltin="1"/>
    <cellStyle name="20% - Accent4" xfId="12" builtinId="42" customBuiltin="1"/>
    <cellStyle name="20% - Accent5" xfId="13" builtinId="46" customBuiltin="1"/>
    <cellStyle name="20% - Accent6" xfId="14" builtinId="50" customBuiltin="1"/>
    <cellStyle name="40% - Accent1" xfId="15" builtinId="31" customBuiltin="1"/>
    <cellStyle name="40% - Accent2" xfId="16" builtinId="35" customBuiltin="1"/>
    <cellStyle name="40% - Accent3" xfId="17" builtinId="39" customBuiltin="1"/>
    <cellStyle name="40% - Accent4" xfId="18" builtinId="43" customBuiltin="1"/>
    <cellStyle name="40% - Accent5" xfId="19" builtinId="47" customBuiltin="1"/>
    <cellStyle name="40% - Accent6" xfId="20" builtinId="51" customBuiltin="1"/>
    <cellStyle name="60% - Accent1" xfId="21" builtinId="32" customBuiltin="1"/>
    <cellStyle name="60% - Accent2" xfId="22" builtinId="36" customBuiltin="1"/>
    <cellStyle name="60% - Accent3" xfId="23" builtinId="40" customBuiltin="1"/>
    <cellStyle name="60% - Accent4" xfId="24" builtinId="44" customBuiltin="1"/>
    <cellStyle name="60% - Accent5" xfId="25" builtinId="48" customBuiltin="1"/>
    <cellStyle name="60% - Accent6" xfId="26" builtinId="52" customBuiltin="1"/>
    <cellStyle name="752131" xfId="107"/>
    <cellStyle name="Accent1" xfId="27" builtinId="29" customBuiltin="1"/>
    <cellStyle name="Accent2" xfId="28" builtinId="33" customBuiltin="1"/>
    <cellStyle name="Accent3" xfId="29" builtinId="37" customBuiltin="1"/>
    <cellStyle name="Accent4" xfId="30" builtinId="41" customBuiltin="1"/>
    <cellStyle name="Accent5" xfId="31" builtinId="45" customBuiltin="1"/>
    <cellStyle name="Accent6" xfId="32" builtinId="49" customBuiltin="1"/>
    <cellStyle name="ÅëÈ­ [0]_cover " xfId="82"/>
    <cellStyle name="ÅëÈ­_cover " xfId="83"/>
    <cellStyle name="AFE" xfId="108"/>
    <cellStyle name="ales" xfId="109"/>
    <cellStyle name="ÄÞ¸¶ [0]_cover " xfId="84"/>
    <cellStyle name="ÄÞ¸¶_cover " xfId="85"/>
    <cellStyle name="Bad" xfId="33" builtinId="27" customBuiltin="1"/>
    <cellStyle name="Blue" xfId="110"/>
    <cellStyle name="Blue 2" xfId="111"/>
    <cellStyle name="c_HardInc " xfId="34"/>
    <cellStyle name="C￥AØ_¿μ¾÷CoE² " xfId="86"/>
    <cellStyle name="Ç¥ÁØ_cover " xfId="87"/>
    <cellStyle name="Calculation" xfId="35" builtinId="22" customBuiltin="1"/>
    <cellStyle name="Changeable" xfId="112"/>
    <cellStyle name="Check Cell" xfId="36" builtinId="23" customBuiltin="1"/>
    <cellStyle name="Colhead_left" xfId="113"/>
    <cellStyle name="colheadleft" xfId="114"/>
    <cellStyle name="colheadleft 2" xfId="106"/>
    <cellStyle name="colheadright" xfId="115"/>
    <cellStyle name="colheadright 2" xfId="105"/>
    <cellStyle name="Comma" xfId="37" builtinId="3"/>
    <cellStyle name="Comma  - Style1" xfId="116"/>
    <cellStyle name="Comma  - Style2" xfId="117"/>
    <cellStyle name="Comma  - Style3" xfId="118"/>
    <cellStyle name="Comma  - Style4" xfId="119"/>
    <cellStyle name="Comma  - Style5" xfId="120"/>
    <cellStyle name="Comma  - Style6" xfId="121"/>
    <cellStyle name="Comma  - Style7" xfId="122"/>
    <cellStyle name="Comma  - Style8" xfId="123"/>
    <cellStyle name="Comma [1]" xfId="124"/>
    <cellStyle name="Comma 2" xfId="68"/>
    <cellStyle name="Comma 2 2" xfId="176"/>
    <cellStyle name="Comma 2 3" xfId="125"/>
    <cellStyle name="Comma 3" xfId="126"/>
    <cellStyle name="Comma 4" xfId="127"/>
    <cellStyle name="Comma 5" xfId="128"/>
    <cellStyle name="Comma 6" xfId="129"/>
    <cellStyle name="Comma 7" xfId="172"/>
    <cellStyle name="Currency" xfId="38" builtinId="4"/>
    <cellStyle name="Currency 2" xfId="130"/>
    <cellStyle name="Currency 3" xfId="131"/>
    <cellStyle name="Currency 4" xfId="70"/>
    <cellStyle name="Currency 4 2" xfId="177"/>
    <cellStyle name="Currency 4 3" xfId="132"/>
    <cellStyle name="Currency 5" xfId="133"/>
    <cellStyle name="Currency 6" xfId="181"/>
    <cellStyle name="Currency 7" xfId="184"/>
    <cellStyle name="Date" xfId="134"/>
    <cellStyle name="Date2" xfId="135"/>
    <cellStyle name="Dollars" xfId="136"/>
    <cellStyle name="Explanatory Text" xfId="39" builtinId="53" customBuiltin="1"/>
    <cellStyle name="Footnote" xfId="137"/>
    <cellStyle name="Good" xfId="40" builtinId="26" customBuiltin="1"/>
    <cellStyle name="head1" xfId="138"/>
    <cellStyle name="head2" xfId="139"/>
    <cellStyle name="Header1" xfId="140"/>
    <cellStyle name="Header2" xfId="141"/>
    <cellStyle name="Heading 1" xfId="41" builtinId="16" customBuiltin="1"/>
    <cellStyle name="Heading 2" xfId="42" builtinId="17" customBuiltin="1"/>
    <cellStyle name="Heading 3" xfId="43" builtinId="18" customBuiltin="1"/>
    <cellStyle name="Heading 4" xfId="44" builtinId="19" customBuiltin="1"/>
    <cellStyle name="Hyperlink 2" xfId="182"/>
    <cellStyle name="Input" xfId="45" builtinId="20" customBuiltin="1"/>
    <cellStyle name="KP_Normal" xfId="142"/>
    <cellStyle name="Linked Cell" xfId="46" builtinId="24" customBuiltin="1"/>
    <cellStyle name="Neutral" xfId="47" builtinId="28" customBuiltin="1"/>
    <cellStyle name="Normal" xfId="0" builtinId="0"/>
    <cellStyle name="Normal - Style1" xfId="143"/>
    <cellStyle name="Normal 10" xfId="144"/>
    <cellStyle name="Normal 11" xfId="92"/>
    <cellStyle name="Normal 12" xfId="170"/>
    <cellStyle name="Normal 13" xfId="168"/>
    <cellStyle name="Normal 14" xfId="179"/>
    <cellStyle name="Normal 15" xfId="180"/>
    <cellStyle name="Normal 16" xfId="160"/>
    <cellStyle name="Normal 2" xfId="145"/>
    <cellStyle name="Normal 2 2" xfId="71"/>
    <cellStyle name="Normal 2 3" xfId="146"/>
    <cellStyle name="Normal 3" xfId="67"/>
    <cellStyle name="Normal 3 2" xfId="66"/>
    <cellStyle name="Normal 3 2 2" xfId="148"/>
    <cellStyle name="Normal 3 2 3" xfId="183"/>
    <cellStyle name="Normal 3 3" xfId="63"/>
    <cellStyle name="Normal 3 4" xfId="175"/>
    <cellStyle name="Normal 3 5" xfId="147"/>
    <cellStyle name="Normal 4" xfId="72"/>
    <cellStyle name="Normal 5" xfId="73"/>
    <cellStyle name="Normal 6" xfId="64"/>
    <cellStyle name="Normal 6 2" xfId="174"/>
    <cellStyle name="Normal 6 3" xfId="149"/>
    <cellStyle name="Normal 7" xfId="150"/>
    <cellStyle name="Normal 8" xfId="91"/>
    <cellStyle name="Normal 8 2" xfId="178"/>
    <cellStyle name="Normal 8 3" xfId="151"/>
    <cellStyle name="Normal 9" xfId="74"/>
    <cellStyle name="Normal_AMGN" xfId="48"/>
    <cellStyle name="Normal_DisclaimerSheet Samples" xfId="185"/>
    <cellStyle name="Normal_Gilead_MW" xfId="49"/>
    <cellStyle name="Normal_MICU110404" xfId="50"/>
    <cellStyle name="Normal_NBIX" xfId="51"/>
    <cellStyle name="Note" xfId="52" builtinId="10" customBuiltin="1"/>
    <cellStyle name="Note 2" xfId="173"/>
    <cellStyle name="Œ…‹æØ‚è [0.00]_GE 3 MINIMUM" xfId="152"/>
    <cellStyle name="Œ…‹æØ‚è_GE 3 MINIMUM" xfId="153"/>
    <cellStyle name="outh America" xfId="154"/>
    <cellStyle name="Output" xfId="53" builtinId="21" customBuiltin="1"/>
    <cellStyle name="p " xfId="54"/>
    <cellStyle name="Percent" xfId="55" builtinId="5"/>
    <cellStyle name="Percent 1" xfId="155"/>
    <cellStyle name="Percent 2" xfId="156"/>
    <cellStyle name="Percent 2 2" xfId="65"/>
    <cellStyle name="Percent 3" xfId="157"/>
    <cellStyle name="Percent 5" xfId="69"/>
    <cellStyle name="Percent_MICU110404" xfId="56"/>
    <cellStyle name="price_New Header" xfId="158"/>
    <cellStyle name="Right" xfId="159"/>
    <cellStyle name="RRSInstruction" xfId="93"/>
    <cellStyle name="s_HardInc " xfId="57"/>
    <cellStyle name="s_Valuation " xfId="58"/>
    <cellStyle name="ssp " xfId="59"/>
    <cellStyle name="Style 1" xfId="161"/>
    <cellStyle name="Style 2" xfId="162"/>
    <cellStyle name="Subhead" xfId="163"/>
    <cellStyle name="Subtotal_left" xfId="164"/>
    <cellStyle name="Title" xfId="60" builtinId="15" customBuiltin="1"/>
    <cellStyle name="title1" xfId="165"/>
    <cellStyle name="title2" xfId="166"/>
    <cellStyle name="Top Line" xfId="167"/>
    <cellStyle name="Total" xfId="61" builtinId="25" customBuiltin="1"/>
    <cellStyle name="Upload Only" xfId="169"/>
    <cellStyle name="Warning Text" xfId="62" builtinId="11" customBuiltin="1"/>
    <cellStyle name="콤마 [0]_ 2팀층별 " xfId="88"/>
    <cellStyle name="콤마_ 2팀층별 " xfId="89"/>
    <cellStyle name="표준_0N-HANDLING " xfId="90"/>
  </cellStyles>
  <dxfs count="0"/>
  <tableStyles count="0" defaultTableStyle="TableStyleMedium2" defaultPivotStyle="PivotStyleLight16"/>
  <colors>
    <mruColors>
      <color rgb="FFFFFFCC"/>
      <color rgb="FF00FF99"/>
      <color rgb="FFBFEBFF"/>
      <color rgb="FF66FFCC"/>
      <color rgb="FF0000FF"/>
      <color rgb="FF65D6A0"/>
      <color rgb="FF77DAE8"/>
      <color rgb="FF006393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externalLinks/externalLink1.xml" Type="http://schemas.openxmlformats.org/officeDocument/2006/relationships/externalLink"/>
<Relationship Id="rId15" Target="externalLinks/externalLink2.xml" Type="http://schemas.openxmlformats.org/officeDocument/2006/relationships/externalLink"/>
<Relationship Id="rId16" Target="externalLinks/externalLink3.xml" Type="http://schemas.openxmlformats.org/officeDocument/2006/relationships/externalLink"/>
<Relationship Id="rId17" Target="externalLinks/externalLink4.xml" Type="http://schemas.openxmlformats.org/officeDocument/2006/relationships/externalLink"/>
<Relationship Id="rId18" Target="externalLinks/externalLink5.xml" Type="http://schemas.openxmlformats.org/officeDocument/2006/relationships/externalLink"/>
<Relationship Id="rId19" Target="externalLinks/externalLink6.xml" Type="http://schemas.openxmlformats.org/officeDocument/2006/relationships/externalLink"/>
<Relationship Id="rId2" Target="worksheets/sheet2.xml" Type="http://schemas.openxmlformats.org/officeDocument/2006/relationships/worksheet"/>
<Relationship Id="rId20" Target="theme/theme1.xml" Type="http://schemas.openxmlformats.org/officeDocument/2006/relationships/theme"/>
<Relationship Id="rId21" Target="styles.xml" Type="http://schemas.openxmlformats.org/officeDocument/2006/relationships/styles"/>
<Relationship Id="rId22" Target="sharedStrings.xml" Type="http://schemas.openxmlformats.org/officeDocument/2006/relationships/sharedStrings"/>
<Relationship Id="rId23" Target="calcChain.xml" Type="http://schemas.openxmlformats.org/officeDocument/2006/relationships/calcChain"/>
<Relationship Id="rId24" Target="../customXml/item1.xml" Type="http://schemas.openxmlformats.org/officeDocument/2006/relationships/customXml"/>
<Relationship Id="rId25" Target="../customXml/item2.xml" Type="http://schemas.openxmlformats.org/officeDocument/2006/relationships/customXml"/>
<Relationship Id="rId26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7</xdr:col>
      <xdr:colOff>390525</xdr:colOff>
      <xdr:row>194</xdr:row>
      <xdr:rowOff>104775</xdr:rowOff>
    </xdr:to>
    <xdr:pic>
      <xdr:nvPicPr>
        <xdr:cNvPr id="129025" name="Picture 1" descr="C:\Users\lebowdav\AppData\Local\Temp\MercuryPriceRatingHistoryChart\ALNY.O_2018_04_12_18_49_1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556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HEALTH/Pharma/Risinger/models/LLY/LLYwk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HEALTH/HarrS/Companies/GENZ/Models/DNA_041206.XLS" TargetMode="External" Type="http://schemas.microsoft.com/office/2006/relationships/xlExternalLinkPath/xlStartup"/>
</Relationships>

</file>

<file path=xl/externalLinks/_rels/externalLink4.xml.rels><?xml version="1.0" encoding="UTF-8" standalone="yes"?>
<Relationships xmlns="http://schemas.openxmlformats.org/package/2006/relationships">
<Relationship Id="rId1" Target="HEALTH/HarrS/Companies/AMGN/Models/AMGN_051506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file://///server/DB/US%20infra%20SW/akshay/WEBM/Documents%20and%20Settings/akshayn/Local%20Settings/Temporary%20Internet%20Files/OLKC5/traker1/Industry%20Comps/Security_Comparable_Large.xls" TargetMode="External" Type="http://schemas.openxmlformats.org/officeDocument/2006/relationships/externalLinkPath"/>
</Relationships>

</file>

<file path=xl/externalLinks/_rels/externalLink6.xml.rels><?xml version="1.0" encoding="UTF-8" standalone="yes"?>
<Relationships xmlns="http://schemas.openxmlformats.org/package/2006/relationships">
<Relationship Id="rId1" Target="health/RubinJ/Company/WLA/WLAwork1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puts"/>
      <sheetName val="FX"/>
      <sheetName val="Interims"/>
      <sheetName val="Financial Statements"/>
      <sheetName val="Good 12-00 (2)"/>
      <sheetName val="Good 11-36"/>
      <sheetName val="Good 11-50"/>
      <sheetName val="Sheet3 (5)"/>
      <sheetName val="Summary"/>
      <sheetName val="Floater Demand"/>
      <sheetName val="CPB"/>
      <sheetName val="Total_Food_Promo"/>
      <sheetName val="CPB_2yr"/>
      <sheetName val="Quero_Sales"/>
      <sheetName val="L2005"/>
      <sheetName val="C2000"/>
      <sheetName val="B11_BarSingle_AverageLine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 Detail "/>
      <sheetName val="Model"/>
      <sheetName val="Sheet4"/>
      <sheetName val="ForeignStake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  <sheetName val="Chart 6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summary"/>
      <sheetName val="consensus"/>
      <sheetName val="Gaap Adj"/>
      <sheetName val="COVER SHEET"/>
      <sheetName val="MW-Cache"/>
      <sheetName val="__FDSCACHE__"/>
      <sheetName val="IS-ANNUAL"/>
      <sheetName val="IS-QTRLY"/>
      <sheetName val="REV-ANNUAL"/>
      <sheetName val="REV-QTRLY"/>
      <sheetName val="SEL_FRANCHISES"/>
      <sheetName val="CFBS"/>
      <sheetName val="FOOTNOTES"/>
      <sheetName val="AGREEMENTS"/>
      <sheetName val="MGMT PROJECTIONS"/>
      <sheetName val="PIPELINE"/>
      <sheetName val="PIPELINE_UNADJ"/>
      <sheetName val="DCF"/>
      <sheetName val="DEBT"/>
      <sheetName val="patent expirations"/>
      <sheetName val="Var-YOY"/>
      <sheetName val="Var-Seq"/>
      <sheetName val="revenue snapshot"/>
      <sheetName val="rev contribution analysis"/>
      <sheetName val="rev change analysis"/>
      <sheetName val="2015 rev change"/>
      <sheetName val="MWA RR"/>
      <sheetName val="mwareDates"/>
      <sheetName val="MW Valuation"/>
      <sheetName val="mwareSettings"/>
      <sheetName val="ANOMALIES"/>
      <sheetName val="ASSUMPTIONS"/>
      <sheetName val="2008 pro forma EPS (wIMCL)"/>
      <sheetName val="prasugrel sales potential"/>
      <sheetName val="prasugrel npv"/>
      <sheetName val="Cialis JV"/>
      <sheetName val="tabs"/>
      <sheetName val="pipeline_summary"/>
      <sheetName val="C38001"/>
      <sheetName val="C3800"/>
      <sheetName val="Product Mix"/>
      <sheetName val="calendar"/>
      <sheetName val="patents"/>
      <sheetName val="launches"/>
      <sheetName val="pipeline handout"/>
      <sheetName val="FCF vs Guidance"/>
      <sheetName val="#REF"/>
      <sheetName val="diabetes_multiple"/>
      <sheetName val="TR Convert"/>
      <sheetName val="Annual"/>
      <sheetName val="Becker"/>
      <sheetName val="HGSI"/>
      <sheetName val="Partnerships"/>
    </sheetNames>
    <sheetDataSet>
      <sheetData sheetId="0" refreshError="1"/>
      <sheetData sheetId="1">
        <row r="1">
          <cell r="B1" t="str">
            <v>Eli Lilly &amp; Co.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/>
      <sheetData sheetId="12"/>
      <sheetData sheetId="13" refreshError="1"/>
      <sheetData sheetId="14" refreshError="1"/>
      <sheetData sheetId="15"/>
      <sheetData sheetId="16"/>
      <sheetData sheetId="17"/>
      <sheetData sheetId="18" refreshError="1"/>
      <sheetData sheetId="19"/>
      <sheetData sheetId="20"/>
      <sheetData sheetId="21"/>
      <sheetData sheetId="22"/>
      <sheetData sheetId="23"/>
      <sheetData sheetId="24" refreshError="1">
        <row r="1">
          <cell r="U1" t="str">
            <v>SmartCharts</v>
          </cell>
          <cell r="BD1" t="str">
            <v>.</v>
          </cell>
        </row>
        <row r="2">
          <cell r="BD2" t="str">
            <v>.</v>
          </cell>
        </row>
        <row r="3">
          <cell r="BD3" t="str">
            <v>.</v>
          </cell>
        </row>
        <row r="4">
          <cell r="BD4" t="str">
            <v>.</v>
          </cell>
        </row>
        <row r="5">
          <cell r="C5" t="str">
            <v>Define value axis here:</v>
          </cell>
        </row>
        <row r="6">
          <cell r="C6" t="str">
            <v>Eli Lilly revenue contributions 2010E-2015E</v>
          </cell>
        </row>
        <row r="10">
          <cell r="C10" t="str">
            <v>Input your data here:</v>
          </cell>
          <cell r="BD10" t="str">
            <v>.</v>
          </cell>
        </row>
        <row r="11">
          <cell r="C11" t="str">
            <v>Sales ($M)</v>
          </cell>
          <cell r="D11" t="str">
            <v>2010E</v>
          </cell>
          <cell r="E11" t="str">
            <v>2011E</v>
          </cell>
          <cell r="F11" t="str">
            <v>2012E</v>
          </cell>
          <cell r="G11" t="str">
            <v>2013E</v>
          </cell>
          <cell r="H11" t="str">
            <v>2014E</v>
          </cell>
          <cell r="I11" t="str">
            <v>2015E</v>
          </cell>
          <cell r="BD11" t="str">
            <v>.</v>
          </cell>
        </row>
        <row r="12">
          <cell r="C12" t="str">
            <v>In-line products</v>
          </cell>
          <cell r="D12">
            <v>8741.7301775000014</v>
          </cell>
          <cell r="E12">
            <v>9422.206420550001</v>
          </cell>
          <cell r="F12">
            <v>9908.4720542889991</v>
          </cell>
          <cell r="G12">
            <v>10300.675416810274</v>
          </cell>
          <cell r="H12">
            <v>10709.128179281421</v>
          </cell>
          <cell r="I12">
            <v>10990.829805762725</v>
          </cell>
          <cell r="BD12" t="str">
            <v>.</v>
          </cell>
        </row>
        <row r="13">
          <cell r="C13" t="str">
            <v>Pipeline products launching 2010–2015</v>
          </cell>
          <cell r="D13">
            <v>141.25</v>
          </cell>
          <cell r="E13">
            <v>332.1875</v>
          </cell>
          <cell r="F13">
            <v>643.02499999999986</v>
          </cell>
          <cell r="G13">
            <v>1188.9100000000001</v>
          </cell>
          <cell r="H13">
            <v>2060.8072999999999</v>
          </cell>
          <cell r="I13">
            <v>3252.5061575</v>
          </cell>
          <cell r="BD13" t="str">
            <v>.</v>
          </cell>
        </row>
        <row r="14">
          <cell r="C14" t="str">
            <v>Products expiring 2010–2015</v>
          </cell>
          <cell r="D14">
            <v>13516.758760000001</v>
          </cell>
          <cell r="E14">
            <v>13145.262609800002</v>
          </cell>
          <cell r="F14">
            <v>10919.249930854003</v>
          </cell>
          <cell r="G14">
            <v>10206.164042898221</v>
          </cell>
          <cell r="H14">
            <v>7639.4611699592915</v>
          </cell>
          <cell r="I14">
            <v>5257.1242554678174</v>
          </cell>
          <cell r="BD14" t="str">
            <v>.</v>
          </cell>
        </row>
        <row r="15">
          <cell r="C15" t="str">
            <v>Δ in expiring products off 2010 base</v>
          </cell>
          <cell r="D15">
            <v>0</v>
          </cell>
          <cell r="E15">
            <v>-371.49615019999874</v>
          </cell>
          <cell r="F15">
            <v>-2597.5088291459979</v>
          </cell>
          <cell r="G15">
            <v>-3310.5947171017797</v>
          </cell>
          <cell r="H15">
            <v>-5877.2975900407091</v>
          </cell>
          <cell r="I15">
            <v>-8259.6345045321832</v>
          </cell>
          <cell r="BD15" t="str">
            <v>.</v>
          </cell>
        </row>
        <row r="16">
          <cell r="C16" t="str">
            <v>Net product sales</v>
          </cell>
          <cell r="D16">
            <v>22399.738937500002</v>
          </cell>
          <cell r="E16">
            <v>22899.656530350003</v>
          </cell>
          <cell r="F16">
            <v>21470.746985143003</v>
          </cell>
          <cell r="G16">
            <v>21695.749459708495</v>
          </cell>
          <cell r="H16">
            <v>20409.396649240713</v>
          </cell>
          <cell r="I16">
            <v>19500.460218730543</v>
          </cell>
          <cell r="BD16" t="str">
            <v>.</v>
          </cell>
        </row>
        <row r="17">
          <cell r="BD17" t="str">
            <v>.</v>
          </cell>
        </row>
        <row r="18">
          <cell r="BD18" t="str">
            <v>.</v>
          </cell>
        </row>
        <row r="20">
          <cell r="BD20" t="str">
            <v>.</v>
          </cell>
        </row>
        <row r="21">
          <cell r="BD21" t="str">
            <v>.</v>
          </cell>
        </row>
        <row r="22">
          <cell r="BD22" t="str">
            <v>.</v>
          </cell>
        </row>
        <row r="23">
          <cell r="BD23" t="str">
            <v>.</v>
          </cell>
        </row>
        <row r="24">
          <cell r="BD24" t="str">
            <v>.</v>
          </cell>
        </row>
        <row r="25">
          <cell r="BD25" t="str">
            <v>.</v>
          </cell>
        </row>
        <row r="26">
          <cell r="BD26" t="str">
            <v>.</v>
          </cell>
        </row>
        <row r="27">
          <cell r="BD27" t="str">
            <v>.</v>
          </cell>
        </row>
        <row r="28">
          <cell r="BD28" t="str">
            <v>.</v>
          </cell>
        </row>
        <row r="29">
          <cell r="BD29" t="str">
            <v>.</v>
          </cell>
        </row>
        <row r="30">
          <cell r="BD30" t="str">
            <v>.</v>
          </cell>
        </row>
        <row r="31">
          <cell r="BD31" t="str">
            <v>.</v>
          </cell>
        </row>
        <row r="32">
          <cell r="BD32" t="str">
            <v>.</v>
          </cell>
        </row>
        <row r="33">
          <cell r="BD33" t="str">
            <v>.</v>
          </cell>
        </row>
        <row r="34">
          <cell r="BD34" t="str">
            <v>.</v>
          </cell>
        </row>
        <row r="35">
          <cell r="BD35" t="str">
            <v>.</v>
          </cell>
        </row>
        <row r="36">
          <cell r="BD36" t="str">
            <v>.</v>
          </cell>
        </row>
        <row r="37">
          <cell r="M37" t="str">
            <v>Do not change the width of the exhibit or font sizes (they are optimized for export to Word).</v>
          </cell>
          <cell r="BD37" t="str">
            <v>.</v>
          </cell>
        </row>
        <row r="38">
          <cell r="BD38" t="str">
            <v>.</v>
          </cell>
        </row>
        <row r="39">
          <cell r="M39" t="str">
            <v>Do not delete any rows or columns (some gray cells are used for calculations).</v>
          </cell>
          <cell r="BD39" t="str">
            <v>.</v>
          </cell>
        </row>
        <row r="40">
          <cell r="BD40" t="str">
            <v>.</v>
          </cell>
        </row>
        <row r="41">
          <cell r="BD41" t="str">
            <v>.</v>
          </cell>
        </row>
        <row r="42">
          <cell r="BD42" t="str">
            <v>.</v>
          </cell>
        </row>
        <row r="43">
          <cell r="BD43" t="str">
            <v>.</v>
          </cell>
        </row>
        <row r="44">
          <cell r="BD44" t="str">
            <v>.</v>
          </cell>
        </row>
        <row r="45">
          <cell r="BD45" t="str">
            <v>.</v>
          </cell>
        </row>
        <row r="46">
          <cell r="BD46" t="str">
            <v>.</v>
          </cell>
        </row>
        <row r="47">
          <cell r="BD47" t="str">
            <v>.</v>
          </cell>
        </row>
        <row r="48">
          <cell r="BD48" t="str">
            <v>.</v>
          </cell>
        </row>
        <row r="49">
          <cell r="BD49" t="str">
            <v>.</v>
          </cell>
        </row>
        <row r="50">
          <cell r="BD50" t="str">
            <v>.</v>
          </cell>
        </row>
        <row r="51">
          <cell r="BD51" t="str">
            <v>.</v>
          </cell>
        </row>
        <row r="52">
          <cell r="BD52" t="str">
            <v>.</v>
          </cell>
        </row>
        <row r="53">
          <cell r="BD53" t="str">
            <v>.</v>
          </cell>
        </row>
        <row r="54">
          <cell r="BD54" t="str">
            <v>.</v>
          </cell>
        </row>
        <row r="55">
          <cell r="BD55" t="str">
            <v>.</v>
          </cell>
        </row>
        <row r="56">
          <cell r="BD56" t="str">
            <v>.</v>
          </cell>
        </row>
        <row r="57">
          <cell r="BD57" t="str">
            <v>.</v>
          </cell>
        </row>
        <row r="58">
          <cell r="BD58" t="str">
            <v>.</v>
          </cell>
        </row>
        <row r="59">
          <cell r="BD59" t="str">
            <v>.</v>
          </cell>
        </row>
        <row r="60">
          <cell r="BD60" t="str">
            <v>.</v>
          </cell>
        </row>
        <row r="61">
          <cell r="BD61" t="str">
            <v>.</v>
          </cell>
        </row>
        <row r="62">
          <cell r="BD62" t="str">
            <v>.</v>
          </cell>
        </row>
        <row r="63">
          <cell r="BD63" t="str">
            <v>.</v>
          </cell>
        </row>
        <row r="64">
          <cell r="BD64" t="str">
            <v>.</v>
          </cell>
        </row>
        <row r="65">
          <cell r="BD65" t="str">
            <v>.</v>
          </cell>
        </row>
        <row r="66">
          <cell r="BD66" t="str">
            <v>.</v>
          </cell>
        </row>
        <row r="67">
          <cell r="BD67" t="str">
            <v>.</v>
          </cell>
        </row>
        <row r="68">
          <cell r="BD68" t="str">
            <v>.</v>
          </cell>
        </row>
        <row r="69">
          <cell r="BD69" t="str">
            <v>.</v>
          </cell>
        </row>
        <row r="70">
          <cell r="BD70" t="str">
            <v>.</v>
          </cell>
        </row>
        <row r="71">
          <cell r="BD71" t="str">
            <v>.</v>
          </cell>
        </row>
        <row r="72">
          <cell r="BD72" t="str">
            <v>.</v>
          </cell>
        </row>
        <row r="73">
          <cell r="BD73" t="str">
            <v>.</v>
          </cell>
        </row>
        <row r="74">
          <cell r="BD74" t="str">
            <v>.</v>
          </cell>
        </row>
        <row r="75">
          <cell r="BD75" t="str">
            <v>.</v>
          </cell>
        </row>
        <row r="76">
          <cell r="BD76" t="str">
            <v>.</v>
          </cell>
        </row>
        <row r="77">
          <cell r="BD77" t="str">
            <v>.</v>
          </cell>
        </row>
        <row r="78">
          <cell r="BD78" t="str">
            <v>.</v>
          </cell>
        </row>
        <row r="79">
          <cell r="BD79" t="str">
            <v>.</v>
          </cell>
        </row>
        <row r="80">
          <cell r="BD80" t="str">
            <v>.</v>
          </cell>
        </row>
        <row r="81">
          <cell r="BD81" t="str">
            <v>.</v>
          </cell>
        </row>
        <row r="82">
          <cell r="BD82" t="str">
            <v>.</v>
          </cell>
        </row>
        <row r="83">
          <cell r="BD83" t="str">
            <v>.</v>
          </cell>
        </row>
        <row r="84">
          <cell r="BD84" t="str">
            <v>.</v>
          </cell>
        </row>
        <row r="85">
          <cell r="BD85" t="str">
            <v>.</v>
          </cell>
        </row>
        <row r="86">
          <cell r="BD86" t="str">
            <v>.</v>
          </cell>
        </row>
        <row r="87">
          <cell r="BD87" t="str">
            <v>.</v>
          </cell>
        </row>
        <row r="88">
          <cell r="BD88" t="str">
            <v>.</v>
          </cell>
        </row>
        <row r="89">
          <cell r="BD89" t="str">
            <v>.</v>
          </cell>
        </row>
        <row r="90">
          <cell r="BD90" t="str">
            <v>.</v>
          </cell>
        </row>
        <row r="91">
          <cell r="BD91" t="str">
            <v>.</v>
          </cell>
        </row>
        <row r="92">
          <cell r="BD92" t="str">
            <v>.</v>
          </cell>
        </row>
        <row r="93">
          <cell r="BD93" t="str">
            <v>.</v>
          </cell>
        </row>
        <row r="94">
          <cell r="BD94" t="str">
            <v>.</v>
          </cell>
        </row>
        <row r="95">
          <cell r="BD95" t="str">
            <v>.</v>
          </cell>
        </row>
        <row r="96">
          <cell r="BD96" t="str">
            <v>.</v>
          </cell>
        </row>
        <row r="97">
          <cell r="BD97" t="str">
            <v>.</v>
          </cell>
        </row>
        <row r="98">
          <cell r="BD98" t="str">
            <v>.</v>
          </cell>
        </row>
        <row r="99">
          <cell r="BD99" t="str">
            <v>.</v>
          </cell>
        </row>
        <row r="100">
          <cell r="BD100" t="str">
            <v>.</v>
          </cell>
        </row>
        <row r="101">
          <cell r="BD101" t="str">
            <v>.</v>
          </cell>
        </row>
        <row r="102">
          <cell r="BD102" t="str">
            <v>.</v>
          </cell>
        </row>
        <row r="103">
          <cell r="BD103" t="str">
            <v>.</v>
          </cell>
        </row>
        <row r="104">
          <cell r="BD104" t="str">
            <v>.</v>
          </cell>
        </row>
        <row r="105">
          <cell r="BD105" t="str">
            <v>.</v>
          </cell>
        </row>
        <row r="106">
          <cell r="BD106" t="str">
            <v>.</v>
          </cell>
        </row>
        <row r="107">
          <cell r="BD107" t="str">
            <v>.</v>
          </cell>
        </row>
        <row r="108">
          <cell r="BD108" t="str">
            <v>.</v>
          </cell>
        </row>
        <row r="109">
          <cell r="BD109" t="str">
            <v>.</v>
          </cell>
        </row>
        <row r="110">
          <cell r="BD110" t="str">
            <v>.</v>
          </cell>
        </row>
        <row r="111">
          <cell r="BD111" t="str">
            <v>.</v>
          </cell>
        </row>
        <row r="112">
          <cell r="BD112" t="str">
            <v>.</v>
          </cell>
        </row>
        <row r="113">
          <cell r="BD113" t="str">
            <v>.</v>
          </cell>
        </row>
        <row r="114">
          <cell r="BD114" t="str">
            <v>.</v>
          </cell>
        </row>
        <row r="115">
          <cell r="BD115" t="str">
            <v>.</v>
          </cell>
        </row>
        <row r="116">
          <cell r="BD116" t="str">
            <v>.</v>
          </cell>
        </row>
        <row r="117">
          <cell r="BD117" t="str">
            <v>.</v>
          </cell>
        </row>
        <row r="118">
          <cell r="BD118" t="str">
            <v>.</v>
          </cell>
        </row>
        <row r="119">
          <cell r="BD119" t="str">
            <v>.</v>
          </cell>
        </row>
        <row r="120">
          <cell r="BD120" t="str">
            <v>.</v>
          </cell>
        </row>
        <row r="121">
          <cell r="BD121" t="str">
            <v>.</v>
          </cell>
        </row>
        <row r="122">
          <cell r="BD122" t="str">
            <v>.</v>
          </cell>
        </row>
        <row r="123">
          <cell r="BD123" t="str">
            <v>.</v>
          </cell>
        </row>
        <row r="124">
          <cell r="BD124" t="str">
            <v>.</v>
          </cell>
        </row>
        <row r="125">
          <cell r="BD125" t="str">
            <v>.</v>
          </cell>
        </row>
        <row r="126">
          <cell r="BD126" t="str">
            <v>.</v>
          </cell>
        </row>
        <row r="127">
          <cell r="BD127" t="str">
            <v>.</v>
          </cell>
        </row>
        <row r="128">
          <cell r="BD128" t="str">
            <v>.</v>
          </cell>
        </row>
        <row r="129">
          <cell r="BD129" t="str">
            <v>.</v>
          </cell>
        </row>
        <row r="130">
          <cell r="BD130" t="str">
            <v>.</v>
          </cell>
        </row>
        <row r="131">
          <cell r="BD131" t="str">
            <v>.</v>
          </cell>
        </row>
        <row r="132">
          <cell r="BD132" t="str">
            <v>.</v>
          </cell>
        </row>
        <row r="133">
          <cell r="BD133" t="str">
            <v>.</v>
          </cell>
        </row>
        <row r="134">
          <cell r="BD134" t="str">
            <v>.</v>
          </cell>
        </row>
        <row r="135">
          <cell r="BD135" t="str">
            <v>.</v>
          </cell>
        </row>
        <row r="136">
          <cell r="BD136" t="str">
            <v>.</v>
          </cell>
        </row>
        <row r="137">
          <cell r="BD137" t="str">
            <v>.</v>
          </cell>
        </row>
        <row r="138">
          <cell r="BD138" t="str">
            <v>.</v>
          </cell>
        </row>
        <row r="139">
          <cell r="BD139" t="str">
            <v>.</v>
          </cell>
        </row>
        <row r="140">
          <cell r="BD140" t="str">
            <v>.</v>
          </cell>
        </row>
        <row r="141">
          <cell r="BD141" t="str">
            <v>.</v>
          </cell>
        </row>
        <row r="142">
          <cell r="BD142" t="str">
            <v>.</v>
          </cell>
        </row>
        <row r="143">
          <cell r="BD143" t="str">
            <v>.</v>
          </cell>
        </row>
        <row r="144">
          <cell r="BD144" t="str">
            <v>.</v>
          </cell>
        </row>
        <row r="145">
          <cell r="BD145" t="str">
            <v>.</v>
          </cell>
        </row>
        <row r="146">
          <cell r="BD146" t="str">
            <v>.</v>
          </cell>
        </row>
        <row r="147">
          <cell r="BD147" t="str">
            <v>.</v>
          </cell>
        </row>
        <row r="148">
          <cell r="BD148" t="str">
            <v>.</v>
          </cell>
        </row>
        <row r="149">
          <cell r="BD149" t="str">
            <v>.</v>
          </cell>
        </row>
        <row r="150">
          <cell r="BD150" t="str">
            <v>.</v>
          </cell>
        </row>
        <row r="151">
          <cell r="BD151" t="str">
            <v>.</v>
          </cell>
        </row>
        <row r="152">
          <cell r="BD152" t="str">
            <v>.</v>
          </cell>
        </row>
        <row r="153">
          <cell r="BD153" t="str">
            <v>.</v>
          </cell>
        </row>
        <row r="154">
          <cell r="BD154" t="str">
            <v>.</v>
          </cell>
        </row>
        <row r="155">
          <cell r="BD155" t="str">
            <v>.</v>
          </cell>
        </row>
        <row r="156">
          <cell r="BD156" t="str">
            <v>.</v>
          </cell>
        </row>
        <row r="157">
          <cell r="BD157" t="str">
            <v>.</v>
          </cell>
        </row>
        <row r="158">
          <cell r="BD158" t="str">
            <v>.</v>
          </cell>
        </row>
        <row r="159">
          <cell r="BD159" t="str">
            <v>.</v>
          </cell>
        </row>
        <row r="160">
          <cell r="BD160" t="str">
            <v>.</v>
          </cell>
        </row>
        <row r="161">
          <cell r="BD161" t="str">
            <v>.</v>
          </cell>
        </row>
        <row r="162">
          <cell r="BD162" t="str">
            <v>.</v>
          </cell>
        </row>
        <row r="163">
          <cell r="BD163" t="str">
            <v>.</v>
          </cell>
        </row>
        <row r="164">
          <cell r="BD164" t="str">
            <v>.</v>
          </cell>
        </row>
        <row r="165">
          <cell r="BD165" t="str">
            <v>.</v>
          </cell>
        </row>
        <row r="166">
          <cell r="BD166" t="str">
            <v>.</v>
          </cell>
        </row>
        <row r="167">
          <cell r="BD167" t="str">
            <v>.</v>
          </cell>
        </row>
        <row r="168">
          <cell r="BD168" t="str">
            <v>.</v>
          </cell>
        </row>
        <row r="169">
          <cell r="BD169" t="str">
            <v>.</v>
          </cell>
        </row>
        <row r="170">
          <cell r="BD170" t="str">
            <v>.</v>
          </cell>
        </row>
        <row r="171">
          <cell r="BD171" t="str">
            <v>.</v>
          </cell>
        </row>
        <row r="172">
          <cell r="BD172" t="str">
            <v>.</v>
          </cell>
        </row>
        <row r="173">
          <cell r="BD173" t="str">
            <v>.</v>
          </cell>
        </row>
        <row r="174">
          <cell r="BD174" t="str">
            <v>.</v>
          </cell>
        </row>
        <row r="175">
          <cell r="BD175" t="str">
            <v>.</v>
          </cell>
        </row>
        <row r="176">
          <cell r="BD176" t="str">
            <v>.</v>
          </cell>
        </row>
        <row r="177">
          <cell r="BD177" t="str">
            <v>.</v>
          </cell>
        </row>
        <row r="178">
          <cell r="BD178" t="str">
            <v>.</v>
          </cell>
        </row>
        <row r="179">
          <cell r="BD179" t="str">
            <v>.</v>
          </cell>
        </row>
        <row r="180">
          <cell r="BD180" t="str">
            <v>.</v>
          </cell>
        </row>
        <row r="181">
          <cell r="BD181" t="str">
            <v>.</v>
          </cell>
        </row>
        <row r="182">
          <cell r="BD182" t="str">
            <v>.</v>
          </cell>
        </row>
        <row r="183">
          <cell r="BD183" t="str">
            <v>.</v>
          </cell>
        </row>
        <row r="184">
          <cell r="BD184" t="str">
            <v>.</v>
          </cell>
        </row>
        <row r="185">
          <cell r="BD185" t="str">
            <v>.</v>
          </cell>
        </row>
        <row r="186">
          <cell r="BD186" t="str">
            <v>.</v>
          </cell>
        </row>
        <row r="187">
          <cell r="BD187" t="str">
            <v>.</v>
          </cell>
        </row>
        <row r="188">
          <cell r="BD188" t="str">
            <v>.</v>
          </cell>
        </row>
        <row r="189">
          <cell r="BD189" t="str">
            <v>.</v>
          </cell>
        </row>
        <row r="190">
          <cell r="BD190" t="str">
            <v>.</v>
          </cell>
        </row>
        <row r="191">
          <cell r="BD191" t="str">
            <v>.</v>
          </cell>
        </row>
        <row r="192">
          <cell r="BD192" t="str">
            <v>.</v>
          </cell>
        </row>
        <row r="193">
          <cell r="BD193" t="str">
            <v>.</v>
          </cell>
        </row>
        <row r="194">
          <cell r="BD194" t="str">
            <v>.</v>
          </cell>
        </row>
        <row r="195">
          <cell r="BD195" t="str">
            <v>.</v>
          </cell>
        </row>
        <row r="196">
          <cell r="BD196" t="str">
            <v>.</v>
          </cell>
        </row>
        <row r="197">
          <cell r="BD197" t="str">
            <v>.</v>
          </cell>
        </row>
        <row r="198">
          <cell r="BD198" t="str">
            <v>.</v>
          </cell>
        </row>
        <row r="199">
          <cell r="BD199" t="str">
            <v>.</v>
          </cell>
        </row>
        <row r="200">
          <cell r="BD200" t="str">
            <v>.</v>
          </cell>
        </row>
        <row r="201">
          <cell r="BD201" t="str">
            <v>.</v>
          </cell>
        </row>
        <row r="202">
          <cell r="BD202" t="str">
            <v>.</v>
          </cell>
        </row>
        <row r="203">
          <cell r="BD203" t="str">
            <v>.</v>
          </cell>
        </row>
        <row r="204">
          <cell r="BD204" t="str">
            <v>.</v>
          </cell>
        </row>
        <row r="205">
          <cell r="BD205" t="str">
            <v>.</v>
          </cell>
        </row>
        <row r="206">
          <cell r="BD206" t="str">
            <v>.</v>
          </cell>
        </row>
        <row r="207">
          <cell r="BD207" t="str">
            <v>.</v>
          </cell>
        </row>
        <row r="208">
          <cell r="BD208" t="str">
            <v>.</v>
          </cell>
        </row>
        <row r="209">
          <cell r="BD209" t="str">
            <v>.</v>
          </cell>
        </row>
        <row r="210">
          <cell r="BD210" t="str">
            <v>.</v>
          </cell>
        </row>
        <row r="211">
          <cell r="BD211" t="str">
            <v>.</v>
          </cell>
        </row>
        <row r="212">
          <cell r="BD212" t="str">
            <v>.</v>
          </cell>
        </row>
        <row r="213">
          <cell r="BD213" t="str">
            <v>.</v>
          </cell>
        </row>
        <row r="214">
          <cell r="BD214" t="str">
            <v>.</v>
          </cell>
        </row>
        <row r="215">
          <cell r="BD215" t="str">
            <v>.</v>
          </cell>
        </row>
        <row r="216">
          <cell r="BD216" t="str">
            <v>.</v>
          </cell>
        </row>
        <row r="217">
          <cell r="BD217" t="str">
            <v>.</v>
          </cell>
        </row>
        <row r="218">
          <cell r="BD218" t="str">
            <v>.</v>
          </cell>
        </row>
        <row r="219">
          <cell r="BD219" t="str">
            <v>.</v>
          </cell>
        </row>
        <row r="220">
          <cell r="BD220" t="str">
            <v>.</v>
          </cell>
        </row>
        <row r="221">
          <cell r="BD221" t="str">
            <v>.</v>
          </cell>
        </row>
        <row r="222">
          <cell r="BD222" t="str">
            <v>.</v>
          </cell>
        </row>
        <row r="223">
          <cell r="BD223" t="str">
            <v>.</v>
          </cell>
        </row>
        <row r="224">
          <cell r="BD224" t="str">
            <v>.</v>
          </cell>
        </row>
        <row r="225">
          <cell r="BD225" t="str">
            <v>.</v>
          </cell>
        </row>
        <row r="226">
          <cell r="BD226" t="str">
            <v>.</v>
          </cell>
        </row>
        <row r="227">
          <cell r="BD227" t="str">
            <v>.</v>
          </cell>
        </row>
        <row r="228">
          <cell r="BD228" t="str">
            <v>.</v>
          </cell>
        </row>
        <row r="229">
          <cell r="BD229" t="str">
            <v>.</v>
          </cell>
        </row>
        <row r="230">
          <cell r="BD230" t="str">
            <v>.</v>
          </cell>
        </row>
        <row r="231">
          <cell r="BD231" t="str">
            <v>.</v>
          </cell>
        </row>
        <row r="232">
          <cell r="BD232" t="str">
            <v>.</v>
          </cell>
        </row>
        <row r="233">
          <cell r="BD233" t="str">
            <v>.</v>
          </cell>
        </row>
        <row r="234">
          <cell r="BD234" t="str">
            <v>.</v>
          </cell>
        </row>
        <row r="235">
          <cell r="BD235" t="str">
            <v>.</v>
          </cell>
        </row>
        <row r="236">
          <cell r="BD236" t="str">
            <v>.</v>
          </cell>
        </row>
        <row r="237">
          <cell r="BD237" t="str">
            <v>.</v>
          </cell>
        </row>
        <row r="238">
          <cell r="BD238" t="str">
            <v>.</v>
          </cell>
        </row>
        <row r="239">
          <cell r="BD239" t="str">
            <v>.</v>
          </cell>
        </row>
        <row r="240">
          <cell r="BD240" t="str">
            <v>.</v>
          </cell>
        </row>
        <row r="241">
          <cell r="BD241" t="str">
            <v>.</v>
          </cell>
        </row>
        <row r="242">
          <cell r="BD242" t="str">
            <v>.</v>
          </cell>
        </row>
        <row r="243">
          <cell r="BD243" t="str">
            <v>.</v>
          </cell>
        </row>
        <row r="244">
          <cell r="BD244" t="str">
            <v>.</v>
          </cell>
        </row>
        <row r="245">
          <cell r="BD245" t="str">
            <v>.</v>
          </cell>
        </row>
        <row r="246">
          <cell r="BD246" t="str">
            <v>.</v>
          </cell>
        </row>
        <row r="247">
          <cell r="BD247" t="str">
            <v>.</v>
          </cell>
        </row>
        <row r="248">
          <cell r="BD248" t="str">
            <v>.</v>
          </cell>
        </row>
        <row r="249">
          <cell r="BD249" t="str">
            <v>.</v>
          </cell>
        </row>
        <row r="250">
          <cell r="BD250" t="str">
            <v>.</v>
          </cell>
        </row>
        <row r="251">
          <cell r="BD251" t="str">
            <v>.</v>
          </cell>
        </row>
        <row r="252">
          <cell r="BD252" t="str">
            <v>.</v>
          </cell>
        </row>
        <row r="253">
          <cell r="BD253" t="str">
            <v>.</v>
          </cell>
        </row>
        <row r="254">
          <cell r="BD254" t="str">
            <v>.</v>
          </cell>
        </row>
        <row r="255">
          <cell r="BD255" t="str">
            <v>.</v>
          </cell>
        </row>
        <row r="256">
          <cell r="BD256" t="str">
            <v>.</v>
          </cell>
        </row>
        <row r="257">
          <cell r="BD257" t="str">
            <v>.</v>
          </cell>
        </row>
        <row r="258">
          <cell r="BD258" t="str">
            <v>.</v>
          </cell>
        </row>
        <row r="259">
          <cell r="BD259" t="str">
            <v>.</v>
          </cell>
        </row>
        <row r="260">
          <cell r="BD260" t="str">
            <v>.</v>
          </cell>
        </row>
        <row r="261">
          <cell r="BD261" t="str">
            <v>.</v>
          </cell>
        </row>
        <row r="262">
          <cell r="BD262" t="str">
            <v>.</v>
          </cell>
        </row>
        <row r="263">
          <cell r="BD263" t="str">
            <v>.</v>
          </cell>
        </row>
        <row r="264">
          <cell r="BD264" t="str">
            <v>.</v>
          </cell>
        </row>
        <row r="265">
          <cell r="BD265" t="str">
            <v>.</v>
          </cell>
        </row>
        <row r="266">
          <cell r="BD266" t="str">
            <v>.</v>
          </cell>
        </row>
        <row r="267">
          <cell r="BD267" t="str">
            <v>.</v>
          </cell>
        </row>
        <row r="268">
          <cell r="BD268" t="str">
            <v>.</v>
          </cell>
        </row>
        <row r="269">
          <cell r="BD269" t="str">
            <v>.</v>
          </cell>
        </row>
        <row r="270">
          <cell r="BD270" t="str">
            <v>.</v>
          </cell>
        </row>
        <row r="271">
          <cell r="BD271" t="str">
            <v>.</v>
          </cell>
        </row>
        <row r="272">
          <cell r="BD272" t="str">
            <v>.</v>
          </cell>
        </row>
        <row r="273">
          <cell r="BD273" t="str">
            <v>.</v>
          </cell>
        </row>
        <row r="274">
          <cell r="BD274" t="str">
            <v>.</v>
          </cell>
        </row>
        <row r="275">
          <cell r="BD275" t="str">
            <v>.</v>
          </cell>
        </row>
        <row r="276">
          <cell r="BD276" t="str">
            <v>.</v>
          </cell>
        </row>
        <row r="277">
          <cell r="BD277" t="str">
            <v>.</v>
          </cell>
        </row>
        <row r="278">
          <cell r="BD278" t="str">
            <v>.</v>
          </cell>
        </row>
        <row r="279">
          <cell r="BD279" t="str">
            <v>.</v>
          </cell>
        </row>
        <row r="280">
          <cell r="BD280" t="str">
            <v>.</v>
          </cell>
        </row>
        <row r="281">
          <cell r="BD281" t="str">
            <v>.</v>
          </cell>
        </row>
        <row r="282">
          <cell r="BD282" t="str">
            <v>.</v>
          </cell>
        </row>
        <row r="283">
          <cell r="BD283" t="str">
            <v>.</v>
          </cell>
        </row>
        <row r="284">
          <cell r="BD284" t="str">
            <v>.</v>
          </cell>
        </row>
        <row r="285">
          <cell r="BD285" t="str">
            <v>.</v>
          </cell>
        </row>
        <row r="286">
          <cell r="BD286" t="str">
            <v>.</v>
          </cell>
        </row>
        <row r="287">
          <cell r="BD287" t="str">
            <v>.</v>
          </cell>
        </row>
        <row r="288">
          <cell r="BD288" t="str">
            <v>.</v>
          </cell>
        </row>
        <row r="289">
          <cell r="BD289" t="str">
            <v>.</v>
          </cell>
        </row>
        <row r="290">
          <cell r="BD290" t="str">
            <v>.</v>
          </cell>
        </row>
        <row r="291">
          <cell r="BD291" t="str">
            <v>.</v>
          </cell>
        </row>
        <row r="292">
          <cell r="BD292" t="str">
            <v>.</v>
          </cell>
        </row>
        <row r="293">
          <cell r="BD293" t="str">
            <v>.</v>
          </cell>
        </row>
        <row r="294">
          <cell r="BD294" t="str">
            <v>.</v>
          </cell>
        </row>
        <row r="295">
          <cell r="BD295" t="str">
            <v>.</v>
          </cell>
        </row>
        <row r="296">
          <cell r="BD296" t="str">
            <v>.</v>
          </cell>
        </row>
        <row r="297">
          <cell r="BD297" t="str">
            <v>.</v>
          </cell>
        </row>
        <row r="298">
          <cell r="BD298" t="str">
            <v>.</v>
          </cell>
        </row>
        <row r="299">
          <cell r="BD299" t="str">
            <v>.</v>
          </cell>
        </row>
        <row r="300">
          <cell r="BD300" t="str">
            <v>.</v>
          </cell>
        </row>
        <row r="301">
          <cell r="BD301" t="str">
            <v>.</v>
          </cell>
        </row>
        <row r="302">
          <cell r="BD302" t="str">
            <v>.</v>
          </cell>
        </row>
        <row r="303">
          <cell r="BD303" t="str">
            <v>.</v>
          </cell>
        </row>
        <row r="304">
          <cell r="BD304" t="str">
            <v>.</v>
          </cell>
        </row>
        <row r="305">
          <cell r="BD305" t="str">
            <v>.</v>
          </cell>
        </row>
        <row r="306">
          <cell r="BD306" t="str">
            <v>.</v>
          </cell>
        </row>
        <row r="307">
          <cell r="BD307" t="str">
            <v>.</v>
          </cell>
        </row>
        <row r="308">
          <cell r="BD308" t="str">
            <v>.</v>
          </cell>
        </row>
        <row r="309">
          <cell r="BD309" t="str">
            <v>.</v>
          </cell>
        </row>
        <row r="310">
          <cell r="BD310" t="str">
            <v>.</v>
          </cell>
        </row>
        <row r="311">
          <cell r="BD311" t="str">
            <v>.</v>
          </cell>
        </row>
        <row r="312">
          <cell r="BD312" t="str">
            <v>.</v>
          </cell>
        </row>
        <row r="313">
          <cell r="BD313" t="str">
            <v>.</v>
          </cell>
        </row>
        <row r="314">
          <cell r="BD314" t="str">
            <v>.</v>
          </cell>
        </row>
        <row r="315">
          <cell r="BD315" t="str">
            <v>.</v>
          </cell>
        </row>
        <row r="316">
          <cell r="BD316" t="str">
            <v>.</v>
          </cell>
        </row>
        <row r="317">
          <cell r="BD317" t="str">
            <v>.</v>
          </cell>
        </row>
        <row r="318">
          <cell r="BD318" t="str">
            <v>.</v>
          </cell>
        </row>
        <row r="319">
          <cell r="BD319" t="str">
            <v>.</v>
          </cell>
        </row>
        <row r="320">
          <cell r="BD320" t="str">
            <v>.</v>
          </cell>
        </row>
        <row r="321">
          <cell r="BD321" t="str">
            <v>.</v>
          </cell>
        </row>
        <row r="322">
          <cell r="BD322" t="str">
            <v>.</v>
          </cell>
        </row>
        <row r="323">
          <cell r="BD323" t="str">
            <v>.</v>
          </cell>
        </row>
        <row r="324">
          <cell r="BD324" t="str">
            <v>.</v>
          </cell>
        </row>
        <row r="325">
          <cell r="BD325" t="str">
            <v>.</v>
          </cell>
        </row>
        <row r="326">
          <cell r="BD326" t="str">
            <v>.</v>
          </cell>
        </row>
        <row r="327">
          <cell r="BD327" t="str">
            <v>.</v>
          </cell>
        </row>
        <row r="328">
          <cell r="BD328" t="str">
            <v>.</v>
          </cell>
        </row>
        <row r="329">
          <cell r="BD329" t="str">
            <v>.</v>
          </cell>
        </row>
        <row r="330">
          <cell r="BD330" t="str">
            <v>.</v>
          </cell>
        </row>
        <row r="331">
          <cell r="BD331" t="str">
            <v>.</v>
          </cell>
        </row>
        <row r="332">
          <cell r="BD332" t="str">
            <v>.</v>
          </cell>
        </row>
        <row r="333">
          <cell r="BD333" t="str">
            <v>.</v>
          </cell>
        </row>
        <row r="334">
          <cell r="BD334" t="str">
            <v>.</v>
          </cell>
        </row>
        <row r="335">
          <cell r="BD335" t="str">
            <v>.</v>
          </cell>
        </row>
        <row r="336">
          <cell r="BD336" t="str">
            <v>.</v>
          </cell>
        </row>
        <row r="337">
          <cell r="BD337" t="str">
            <v>.</v>
          </cell>
        </row>
        <row r="338">
          <cell r="BD338" t="str">
            <v>.</v>
          </cell>
        </row>
        <row r="339">
          <cell r="BD339" t="str">
            <v>.</v>
          </cell>
        </row>
        <row r="340">
          <cell r="BD340" t="str">
            <v>.</v>
          </cell>
        </row>
        <row r="341">
          <cell r="BD341" t="str">
            <v>.</v>
          </cell>
        </row>
        <row r="342">
          <cell r="BD342" t="str">
            <v>.</v>
          </cell>
        </row>
        <row r="343">
          <cell r="BD343" t="str">
            <v>.</v>
          </cell>
        </row>
        <row r="344">
          <cell r="BD344" t="str">
            <v>.</v>
          </cell>
        </row>
        <row r="345">
          <cell r="BD345" t="str">
            <v>.</v>
          </cell>
        </row>
        <row r="346">
          <cell r="BD346" t="str">
            <v>.</v>
          </cell>
        </row>
        <row r="347">
          <cell r="BD347" t="str">
            <v>.</v>
          </cell>
        </row>
        <row r="348">
          <cell r="BD348" t="str">
            <v>.</v>
          </cell>
        </row>
        <row r="349">
          <cell r="BD349" t="str">
            <v>.</v>
          </cell>
        </row>
        <row r="350">
          <cell r="BD350" t="str">
            <v>.</v>
          </cell>
        </row>
        <row r="351">
          <cell r="BD351" t="str">
            <v>.</v>
          </cell>
        </row>
        <row r="352">
          <cell r="BD352" t="str">
            <v>.</v>
          </cell>
        </row>
        <row r="353">
          <cell r="BD353" t="str">
            <v>.</v>
          </cell>
        </row>
        <row r="354">
          <cell r="BD354" t="str">
            <v>.</v>
          </cell>
        </row>
        <row r="355">
          <cell r="BD355" t="str">
            <v>.</v>
          </cell>
        </row>
        <row r="356">
          <cell r="BD356" t="str">
            <v>.</v>
          </cell>
        </row>
        <row r="357">
          <cell r="BD357" t="str">
            <v>.</v>
          </cell>
        </row>
        <row r="358">
          <cell r="BD358" t="str">
            <v>.</v>
          </cell>
        </row>
        <row r="359">
          <cell r="BD359" t="str">
            <v>.</v>
          </cell>
        </row>
        <row r="360">
          <cell r="BD360" t="str">
            <v>.</v>
          </cell>
        </row>
        <row r="361">
          <cell r="BD361" t="str">
            <v>.</v>
          </cell>
        </row>
        <row r="362">
          <cell r="BD362" t="str">
            <v>.</v>
          </cell>
        </row>
        <row r="363">
          <cell r="BD363" t="str">
            <v>.</v>
          </cell>
        </row>
        <row r="364">
          <cell r="BD364" t="str">
            <v>.</v>
          </cell>
        </row>
        <row r="365">
          <cell r="BD365" t="str">
            <v>.</v>
          </cell>
        </row>
        <row r="366">
          <cell r="BD366" t="str">
            <v>.</v>
          </cell>
        </row>
        <row r="367">
          <cell r="BD367" t="str">
            <v>.</v>
          </cell>
        </row>
        <row r="368">
          <cell r="BD368" t="str">
            <v>.</v>
          </cell>
        </row>
        <row r="369">
          <cell r="BD369" t="str">
            <v>.</v>
          </cell>
        </row>
        <row r="370">
          <cell r="BD370" t="str">
            <v>.</v>
          </cell>
        </row>
        <row r="371">
          <cell r="BD371" t="str">
            <v>.</v>
          </cell>
        </row>
        <row r="372">
          <cell r="BD372" t="str">
            <v>.</v>
          </cell>
        </row>
        <row r="373">
          <cell r="BD373" t="str">
            <v>.</v>
          </cell>
        </row>
        <row r="374">
          <cell r="BD374" t="str">
            <v>.</v>
          </cell>
        </row>
        <row r="375">
          <cell r="BD375" t="str">
            <v>.</v>
          </cell>
        </row>
        <row r="376">
          <cell r="BD376" t="str">
            <v>.</v>
          </cell>
        </row>
        <row r="377">
          <cell r="BD377" t="str">
            <v>.</v>
          </cell>
        </row>
        <row r="378">
          <cell r="BD378" t="str">
            <v>.</v>
          </cell>
        </row>
        <row r="379">
          <cell r="BD379" t="str">
            <v>.</v>
          </cell>
        </row>
        <row r="380">
          <cell r="BD380" t="str">
            <v>.</v>
          </cell>
        </row>
        <row r="381">
          <cell r="BD381" t="str">
            <v>.</v>
          </cell>
        </row>
        <row r="382">
          <cell r="BD382" t="str">
            <v>.</v>
          </cell>
        </row>
        <row r="383">
          <cell r="BD383" t="str">
            <v>.</v>
          </cell>
        </row>
        <row r="384">
          <cell r="BD384" t="str">
            <v>.</v>
          </cell>
        </row>
        <row r="385">
          <cell r="BD385" t="str">
            <v>.</v>
          </cell>
        </row>
        <row r="386">
          <cell r="BD386" t="str">
            <v>.</v>
          </cell>
        </row>
        <row r="387">
          <cell r="BD387" t="str">
            <v>.</v>
          </cell>
        </row>
        <row r="388">
          <cell r="BD388" t="str">
            <v>.</v>
          </cell>
        </row>
        <row r="389">
          <cell r="BD389" t="str">
            <v>.</v>
          </cell>
        </row>
        <row r="390">
          <cell r="BD390" t="str">
            <v>.</v>
          </cell>
        </row>
        <row r="391">
          <cell r="BD391" t="str">
            <v>.</v>
          </cell>
        </row>
        <row r="392">
          <cell r="BD392" t="str">
            <v>.</v>
          </cell>
        </row>
        <row r="393">
          <cell r="BD393" t="str">
            <v>.</v>
          </cell>
        </row>
        <row r="394">
          <cell r="BD394" t="str">
            <v>.</v>
          </cell>
        </row>
        <row r="395">
          <cell r="BD395" t="str">
            <v>.</v>
          </cell>
        </row>
        <row r="396">
          <cell r="BD396" t="str">
            <v>.</v>
          </cell>
        </row>
        <row r="397">
          <cell r="BD397" t="str">
            <v>.</v>
          </cell>
        </row>
        <row r="398">
          <cell r="BD398" t="str">
            <v>.</v>
          </cell>
        </row>
        <row r="399">
          <cell r="BD399" t="str">
            <v>.</v>
          </cell>
        </row>
        <row r="400">
          <cell r="BD400" t="str">
            <v>.</v>
          </cell>
        </row>
        <row r="401">
          <cell r="BD401" t="str">
            <v>.</v>
          </cell>
        </row>
        <row r="402">
          <cell r="BD402" t="str">
            <v>.</v>
          </cell>
        </row>
        <row r="403">
          <cell r="BD403" t="str">
            <v>.</v>
          </cell>
        </row>
        <row r="404">
          <cell r="BD404" t="str">
            <v>.</v>
          </cell>
        </row>
        <row r="405">
          <cell r="BD405" t="str">
            <v>.</v>
          </cell>
        </row>
        <row r="406">
          <cell r="BD406" t="str">
            <v>.</v>
          </cell>
        </row>
        <row r="407">
          <cell r="BD407" t="str">
            <v>.</v>
          </cell>
        </row>
        <row r="408">
          <cell r="BD408" t="str">
            <v>.</v>
          </cell>
        </row>
        <row r="409">
          <cell r="BD409" t="str">
            <v>.</v>
          </cell>
        </row>
        <row r="410">
          <cell r="BD410" t="str">
            <v>.</v>
          </cell>
        </row>
        <row r="411">
          <cell r="BD411" t="str">
            <v>.</v>
          </cell>
        </row>
        <row r="412">
          <cell r="BD412" t="str">
            <v>.</v>
          </cell>
        </row>
        <row r="413">
          <cell r="BD413" t="str">
            <v>.</v>
          </cell>
        </row>
        <row r="414">
          <cell r="BD414" t="str">
            <v>.</v>
          </cell>
        </row>
        <row r="415">
          <cell r="BD415" t="str">
            <v>.</v>
          </cell>
        </row>
        <row r="416">
          <cell r="BD416" t="str">
            <v>.</v>
          </cell>
        </row>
        <row r="417">
          <cell r="BD417" t="str">
            <v>.</v>
          </cell>
        </row>
        <row r="418">
          <cell r="BD418" t="str">
            <v>.</v>
          </cell>
        </row>
        <row r="419">
          <cell r="BD419" t="str">
            <v>.</v>
          </cell>
        </row>
        <row r="420">
          <cell r="BD420" t="str">
            <v>.</v>
          </cell>
        </row>
        <row r="421">
          <cell r="BD421" t="str">
            <v>.</v>
          </cell>
        </row>
        <row r="422">
          <cell r="BD422" t="str">
            <v>.</v>
          </cell>
        </row>
        <row r="423">
          <cell r="BD423" t="str">
            <v>.</v>
          </cell>
        </row>
        <row r="424">
          <cell r="BD424" t="str">
            <v>.</v>
          </cell>
        </row>
        <row r="425">
          <cell r="BD425" t="str">
            <v>.</v>
          </cell>
        </row>
        <row r="426">
          <cell r="BD426" t="str">
            <v>.</v>
          </cell>
        </row>
        <row r="427">
          <cell r="BD427" t="str">
            <v>.</v>
          </cell>
        </row>
        <row r="428">
          <cell r="BD428" t="str">
            <v>.</v>
          </cell>
        </row>
        <row r="429">
          <cell r="BD429" t="str">
            <v>.</v>
          </cell>
        </row>
        <row r="430">
          <cell r="BD430" t="str">
            <v>.</v>
          </cell>
        </row>
        <row r="431">
          <cell r="BD431" t="str">
            <v>.</v>
          </cell>
        </row>
        <row r="432">
          <cell r="BD432" t="str">
            <v>.</v>
          </cell>
        </row>
        <row r="433">
          <cell r="BD433" t="str">
            <v>.</v>
          </cell>
        </row>
        <row r="434">
          <cell r="BD434" t="str">
            <v>.</v>
          </cell>
        </row>
        <row r="435">
          <cell r="BD435" t="str">
            <v>.</v>
          </cell>
        </row>
        <row r="436">
          <cell r="BD436" t="str">
            <v>.</v>
          </cell>
        </row>
        <row r="437">
          <cell r="BD437" t="str">
            <v>.</v>
          </cell>
        </row>
        <row r="438">
          <cell r="BD438" t="str">
            <v>.</v>
          </cell>
        </row>
        <row r="439">
          <cell r="BD439" t="str">
            <v>.</v>
          </cell>
        </row>
        <row r="440">
          <cell r="BD440" t="str">
            <v>.</v>
          </cell>
        </row>
        <row r="441">
          <cell r="BD441" t="str">
            <v>.</v>
          </cell>
        </row>
        <row r="442">
          <cell r="BD442" t="str">
            <v>.</v>
          </cell>
        </row>
        <row r="443">
          <cell r="BD443" t="str">
            <v>.</v>
          </cell>
        </row>
        <row r="444">
          <cell r="BD444" t="str">
            <v>.</v>
          </cell>
        </row>
        <row r="445">
          <cell r="BD445" t="str">
            <v>.</v>
          </cell>
        </row>
        <row r="446">
          <cell r="BD446" t="str">
            <v>.</v>
          </cell>
        </row>
        <row r="447">
          <cell r="BD447" t="str">
            <v>.</v>
          </cell>
        </row>
        <row r="448">
          <cell r="BD448" t="str">
            <v>.</v>
          </cell>
        </row>
        <row r="449">
          <cell r="BD449" t="str">
            <v>.</v>
          </cell>
        </row>
        <row r="450">
          <cell r="BD450" t="str">
            <v>.</v>
          </cell>
        </row>
        <row r="451">
          <cell r="BD451" t="str">
            <v>.</v>
          </cell>
        </row>
        <row r="452">
          <cell r="BD452" t="str">
            <v>.</v>
          </cell>
        </row>
        <row r="453">
          <cell r="BD453" t="str">
            <v>.</v>
          </cell>
        </row>
        <row r="454">
          <cell r="BD454" t="str">
            <v>.</v>
          </cell>
        </row>
        <row r="455">
          <cell r="BD455" t="str">
            <v>.</v>
          </cell>
        </row>
        <row r="456">
          <cell r="BD456" t="str">
            <v>.</v>
          </cell>
        </row>
        <row r="457">
          <cell r="BD457" t="str">
            <v>.</v>
          </cell>
        </row>
        <row r="458">
          <cell r="BD458" t="str">
            <v>.</v>
          </cell>
        </row>
        <row r="459">
          <cell r="BD459" t="str">
            <v>.</v>
          </cell>
        </row>
        <row r="460">
          <cell r="BD460" t="str">
            <v>.</v>
          </cell>
        </row>
        <row r="461">
          <cell r="BD461" t="str">
            <v>.</v>
          </cell>
        </row>
        <row r="462">
          <cell r="BD462" t="str">
            <v>.</v>
          </cell>
        </row>
        <row r="463">
          <cell r="BD463" t="str">
            <v>.</v>
          </cell>
        </row>
        <row r="464">
          <cell r="BD464" t="str">
            <v>.</v>
          </cell>
        </row>
        <row r="465">
          <cell r="BD465" t="str">
            <v>.</v>
          </cell>
        </row>
        <row r="466">
          <cell r="BD466" t="str">
            <v>.</v>
          </cell>
        </row>
        <row r="467">
          <cell r="BD467" t="str">
            <v>.</v>
          </cell>
        </row>
        <row r="468">
          <cell r="BD468" t="str">
            <v>.</v>
          </cell>
        </row>
        <row r="469">
          <cell r="BD469" t="str">
            <v>.</v>
          </cell>
        </row>
        <row r="470">
          <cell r="BD470" t="str">
            <v>.</v>
          </cell>
        </row>
        <row r="471">
          <cell r="BD471" t="str">
            <v>.</v>
          </cell>
        </row>
        <row r="472">
          <cell r="BD472" t="str">
            <v>.</v>
          </cell>
        </row>
        <row r="473">
          <cell r="BD473" t="str">
            <v>.</v>
          </cell>
        </row>
        <row r="474">
          <cell r="BD474" t="str">
            <v>.</v>
          </cell>
        </row>
        <row r="475">
          <cell r="BD475" t="str">
            <v>.</v>
          </cell>
        </row>
        <row r="476">
          <cell r="BD476" t="str">
            <v>.</v>
          </cell>
        </row>
        <row r="477">
          <cell r="BD477" t="str">
            <v>.</v>
          </cell>
        </row>
        <row r="478">
          <cell r="BD478" t="str">
            <v>.</v>
          </cell>
        </row>
        <row r="479">
          <cell r="BD479" t="str">
            <v>.</v>
          </cell>
        </row>
        <row r="480">
          <cell r="BD480" t="str">
            <v>.</v>
          </cell>
        </row>
        <row r="481">
          <cell r="BD481" t="str">
            <v>.</v>
          </cell>
        </row>
        <row r="482">
          <cell r="BD482" t="str">
            <v>.</v>
          </cell>
        </row>
        <row r="483">
          <cell r="BD483" t="str">
            <v>.</v>
          </cell>
        </row>
        <row r="484">
          <cell r="BD484" t="str">
            <v>.</v>
          </cell>
        </row>
        <row r="485">
          <cell r="BD485" t="str">
            <v>.</v>
          </cell>
        </row>
        <row r="486">
          <cell r="BD486" t="str">
            <v>.</v>
          </cell>
        </row>
        <row r="487">
          <cell r="BD487" t="str">
            <v>.</v>
          </cell>
        </row>
        <row r="488">
          <cell r="BD488" t="str">
            <v>.</v>
          </cell>
        </row>
        <row r="489">
          <cell r="BD489" t="str">
            <v>.</v>
          </cell>
        </row>
        <row r="490">
          <cell r="BD490" t="str">
            <v>.</v>
          </cell>
        </row>
        <row r="491">
          <cell r="BD491" t="str">
            <v>.</v>
          </cell>
        </row>
        <row r="492">
          <cell r="BD492" t="str">
            <v>.</v>
          </cell>
        </row>
        <row r="493">
          <cell r="BD493" t="str">
            <v>.</v>
          </cell>
        </row>
        <row r="494">
          <cell r="BD494" t="str">
            <v>.</v>
          </cell>
        </row>
        <row r="495">
          <cell r="BD495" t="str">
            <v>.</v>
          </cell>
        </row>
        <row r="496">
          <cell r="BD496" t="str">
            <v>.</v>
          </cell>
        </row>
        <row r="497">
          <cell r="BD497" t="str">
            <v>.</v>
          </cell>
        </row>
        <row r="498">
          <cell r="BD498" t="str">
            <v>.</v>
          </cell>
        </row>
        <row r="499">
          <cell r="BD499" t="str">
            <v>.</v>
          </cell>
        </row>
        <row r="500">
          <cell r="BD500" t="str">
            <v>.</v>
          </cell>
        </row>
        <row r="501">
          <cell r="BD501" t="str">
            <v>.</v>
          </cell>
        </row>
        <row r="502">
          <cell r="BD502" t="str">
            <v>.</v>
          </cell>
        </row>
        <row r="503">
          <cell r="BD503" t="str">
            <v>.</v>
          </cell>
        </row>
        <row r="504">
          <cell r="BD504" t="str">
            <v>.</v>
          </cell>
        </row>
        <row r="505">
          <cell r="BD505" t="str">
            <v>.</v>
          </cell>
        </row>
        <row r="506">
          <cell r="BD506" t="str">
            <v>.</v>
          </cell>
        </row>
        <row r="507">
          <cell r="BD507" t="str">
            <v>.</v>
          </cell>
        </row>
        <row r="508">
          <cell r="BD508" t="str">
            <v>.</v>
          </cell>
        </row>
        <row r="509">
          <cell r="BD509" t="str">
            <v>.</v>
          </cell>
        </row>
        <row r="510">
          <cell r="BD510" t="str">
            <v>.</v>
          </cell>
        </row>
        <row r="511">
          <cell r="BD511" t="str">
            <v>.</v>
          </cell>
        </row>
        <row r="512">
          <cell r="BD512" t="str">
            <v>.</v>
          </cell>
        </row>
        <row r="513">
          <cell r="BD513" t="str">
            <v>.</v>
          </cell>
        </row>
        <row r="514">
          <cell r="BD514" t="str">
            <v>.</v>
          </cell>
        </row>
        <row r="515">
          <cell r="BD515" t="str">
            <v>.</v>
          </cell>
        </row>
        <row r="516">
          <cell r="BD516" t="str">
            <v>.</v>
          </cell>
        </row>
        <row r="517">
          <cell r="BD517" t="str">
            <v>.</v>
          </cell>
        </row>
        <row r="518">
          <cell r="BD518" t="str">
            <v>.</v>
          </cell>
        </row>
        <row r="519">
          <cell r="BD519" t="str">
            <v>.</v>
          </cell>
        </row>
        <row r="520">
          <cell r="BD520" t="str">
            <v>.</v>
          </cell>
        </row>
        <row r="521">
          <cell r="BD521" t="str">
            <v>.</v>
          </cell>
        </row>
        <row r="522">
          <cell r="BD522" t="str">
            <v>.</v>
          </cell>
        </row>
        <row r="523">
          <cell r="BD523" t="str">
            <v>.</v>
          </cell>
        </row>
        <row r="524">
          <cell r="BD524" t="str">
            <v>.</v>
          </cell>
        </row>
        <row r="525">
          <cell r="BD525" t="str">
            <v>.</v>
          </cell>
        </row>
        <row r="526">
          <cell r="BD526" t="str">
            <v>.</v>
          </cell>
        </row>
        <row r="527">
          <cell r="BD527" t="str">
            <v>.</v>
          </cell>
        </row>
        <row r="528">
          <cell r="BD528" t="str">
            <v>.</v>
          </cell>
        </row>
        <row r="529">
          <cell r="BD529" t="str">
            <v>.</v>
          </cell>
        </row>
        <row r="530">
          <cell r="BD530" t="str">
            <v>.</v>
          </cell>
        </row>
        <row r="531">
          <cell r="BD531" t="str">
            <v>.</v>
          </cell>
        </row>
        <row r="532">
          <cell r="BD532" t="str">
            <v>.</v>
          </cell>
        </row>
        <row r="533">
          <cell r="BD533" t="str">
            <v>.</v>
          </cell>
        </row>
        <row r="534">
          <cell r="BD534" t="str">
            <v>.</v>
          </cell>
        </row>
        <row r="535">
          <cell r="BD535" t="str">
            <v>.</v>
          </cell>
        </row>
        <row r="536">
          <cell r="BD536" t="str">
            <v>.</v>
          </cell>
        </row>
        <row r="537">
          <cell r="BD537" t="str">
            <v>.</v>
          </cell>
        </row>
        <row r="538">
          <cell r="BD538" t="str">
            <v>.</v>
          </cell>
        </row>
        <row r="539">
          <cell r="BD539" t="str">
            <v>.</v>
          </cell>
        </row>
        <row r="540">
          <cell r="BD540" t="str">
            <v>.</v>
          </cell>
        </row>
        <row r="541">
          <cell r="BD541" t="str">
            <v>.</v>
          </cell>
        </row>
        <row r="542">
          <cell r="BD542" t="str">
            <v>.</v>
          </cell>
        </row>
        <row r="543">
          <cell r="BD543" t="str">
            <v>.</v>
          </cell>
        </row>
        <row r="544">
          <cell r="BD544" t="str">
            <v>.</v>
          </cell>
        </row>
        <row r="545">
          <cell r="BD545" t="str">
            <v>.</v>
          </cell>
        </row>
        <row r="546">
          <cell r="BD546" t="str">
            <v>.</v>
          </cell>
        </row>
        <row r="547">
          <cell r="BD547" t="str">
            <v>.</v>
          </cell>
        </row>
        <row r="548">
          <cell r="BD548" t="str">
            <v>.</v>
          </cell>
        </row>
        <row r="549">
          <cell r="BD549" t="str">
            <v>.</v>
          </cell>
        </row>
        <row r="550">
          <cell r="BD550" t="str">
            <v>.</v>
          </cell>
        </row>
        <row r="551">
          <cell r="BD551" t="str">
            <v>.</v>
          </cell>
        </row>
        <row r="552">
          <cell r="BD552" t="str">
            <v>.</v>
          </cell>
        </row>
        <row r="553">
          <cell r="BD553" t="str">
            <v>.</v>
          </cell>
        </row>
        <row r="554">
          <cell r="BD554" t="str">
            <v>.</v>
          </cell>
        </row>
        <row r="555">
          <cell r="BD555" t="str">
            <v>.</v>
          </cell>
        </row>
        <row r="556">
          <cell r="BD556" t="str">
            <v>.</v>
          </cell>
        </row>
        <row r="557">
          <cell r="BD557" t="str">
            <v>.</v>
          </cell>
        </row>
        <row r="558">
          <cell r="BD558" t="str">
            <v>.</v>
          </cell>
        </row>
        <row r="559">
          <cell r="BD559" t="str">
            <v>.</v>
          </cell>
        </row>
        <row r="560">
          <cell r="BD560" t="str">
            <v>.</v>
          </cell>
        </row>
        <row r="561">
          <cell r="BD561" t="str">
            <v>.</v>
          </cell>
        </row>
        <row r="562">
          <cell r="BD562" t="str">
            <v>.</v>
          </cell>
        </row>
        <row r="563">
          <cell r="BD563" t="str">
            <v>.</v>
          </cell>
        </row>
        <row r="564">
          <cell r="BD564" t="str">
            <v>.</v>
          </cell>
        </row>
        <row r="565">
          <cell r="BD565" t="str">
            <v>.</v>
          </cell>
        </row>
        <row r="566">
          <cell r="BD566" t="str">
            <v>.</v>
          </cell>
        </row>
        <row r="567">
          <cell r="BD567" t="str">
            <v>.</v>
          </cell>
        </row>
        <row r="568">
          <cell r="BD568" t="str">
            <v>.</v>
          </cell>
        </row>
        <row r="569">
          <cell r="BD569" t="str">
            <v>.</v>
          </cell>
        </row>
        <row r="570">
          <cell r="BD570" t="str">
            <v>.</v>
          </cell>
        </row>
        <row r="571">
          <cell r="BD571" t="str">
            <v>.</v>
          </cell>
        </row>
        <row r="572">
          <cell r="BD572" t="str">
            <v>.</v>
          </cell>
        </row>
        <row r="573">
          <cell r="BD573" t="str">
            <v>.</v>
          </cell>
        </row>
        <row r="574">
          <cell r="BD574" t="str">
            <v>.</v>
          </cell>
        </row>
        <row r="575">
          <cell r="BD575" t="str">
            <v>.</v>
          </cell>
        </row>
        <row r="576">
          <cell r="BD576" t="str">
            <v>.</v>
          </cell>
        </row>
        <row r="577">
          <cell r="BD577" t="str">
            <v>.</v>
          </cell>
        </row>
        <row r="578">
          <cell r="BD578" t="str">
            <v>.</v>
          </cell>
        </row>
        <row r="579">
          <cell r="BD579" t="str">
            <v>.</v>
          </cell>
        </row>
        <row r="580">
          <cell r="BD580" t="str">
            <v>.</v>
          </cell>
        </row>
        <row r="581">
          <cell r="BD581" t="str">
            <v>.</v>
          </cell>
        </row>
        <row r="582">
          <cell r="BD582" t="str">
            <v>.</v>
          </cell>
        </row>
        <row r="583">
          <cell r="BD583" t="str">
            <v>.</v>
          </cell>
        </row>
        <row r="584">
          <cell r="BD584" t="str">
            <v>.</v>
          </cell>
        </row>
        <row r="585">
          <cell r="BD585" t="str">
            <v>.</v>
          </cell>
        </row>
        <row r="586">
          <cell r="BD586" t="str">
            <v>.</v>
          </cell>
        </row>
        <row r="587">
          <cell r="BD587" t="str">
            <v>.</v>
          </cell>
        </row>
        <row r="588">
          <cell r="BD588" t="str">
            <v>.</v>
          </cell>
        </row>
        <row r="589">
          <cell r="BD589" t="str">
            <v>.</v>
          </cell>
        </row>
        <row r="590">
          <cell r="BD590" t="str">
            <v>.</v>
          </cell>
        </row>
        <row r="591">
          <cell r="BD591" t="str">
            <v>.</v>
          </cell>
        </row>
        <row r="592">
          <cell r="BD592" t="str">
            <v>.</v>
          </cell>
        </row>
        <row r="593">
          <cell r="BD593" t="str">
            <v>.</v>
          </cell>
        </row>
        <row r="594">
          <cell r="BD594" t="str">
            <v>.</v>
          </cell>
        </row>
        <row r="595">
          <cell r="BD595" t="str">
            <v>.</v>
          </cell>
        </row>
        <row r="596">
          <cell r="BD596" t="str">
            <v>.</v>
          </cell>
        </row>
        <row r="597">
          <cell r="BD597" t="str">
            <v>.</v>
          </cell>
        </row>
        <row r="598">
          <cell r="BD598" t="str">
            <v>.</v>
          </cell>
        </row>
        <row r="599">
          <cell r="BD599" t="str">
            <v>.</v>
          </cell>
        </row>
        <row r="600">
          <cell r="BD600" t="str">
            <v>.</v>
          </cell>
        </row>
        <row r="601">
          <cell r="BD601" t="str">
            <v>.</v>
          </cell>
        </row>
        <row r="602">
          <cell r="BD602" t="str">
            <v>.</v>
          </cell>
        </row>
        <row r="603">
          <cell r="BD603" t="str">
            <v>.</v>
          </cell>
        </row>
        <row r="604">
          <cell r="BD604" t="str">
            <v>.</v>
          </cell>
        </row>
        <row r="605">
          <cell r="BD605" t="str">
            <v>.</v>
          </cell>
        </row>
        <row r="606">
          <cell r="BD606" t="str">
            <v>.</v>
          </cell>
        </row>
        <row r="607">
          <cell r="BD607" t="str">
            <v>.</v>
          </cell>
        </row>
        <row r="608">
          <cell r="BD608" t="str">
            <v>.</v>
          </cell>
        </row>
        <row r="609">
          <cell r="BD609" t="str">
            <v>.</v>
          </cell>
        </row>
        <row r="610">
          <cell r="BD610" t="str">
            <v>.</v>
          </cell>
        </row>
        <row r="611">
          <cell r="BD611" t="str">
            <v>.</v>
          </cell>
        </row>
        <row r="612">
          <cell r="BD612" t="str">
            <v>.</v>
          </cell>
        </row>
        <row r="613">
          <cell r="BD613" t="str">
            <v>.</v>
          </cell>
        </row>
        <row r="614">
          <cell r="BD614" t="str">
            <v>.</v>
          </cell>
        </row>
        <row r="615">
          <cell r="BD615" t="str">
            <v>.</v>
          </cell>
        </row>
        <row r="616">
          <cell r="BD616" t="str">
            <v>.</v>
          </cell>
        </row>
        <row r="617">
          <cell r="BD617" t="str">
            <v>.</v>
          </cell>
        </row>
        <row r="618">
          <cell r="BD618" t="str">
            <v>.</v>
          </cell>
        </row>
        <row r="619">
          <cell r="BD619" t="str">
            <v>.</v>
          </cell>
        </row>
        <row r="620">
          <cell r="BD620" t="str">
            <v>.</v>
          </cell>
        </row>
        <row r="621">
          <cell r="BD621" t="str">
            <v>.</v>
          </cell>
        </row>
        <row r="622">
          <cell r="BD622" t="str">
            <v>.</v>
          </cell>
        </row>
        <row r="623">
          <cell r="BD623" t="str">
            <v>.</v>
          </cell>
        </row>
        <row r="624">
          <cell r="BD624" t="str">
            <v>.</v>
          </cell>
        </row>
        <row r="625">
          <cell r="BD625" t="str">
            <v>.</v>
          </cell>
        </row>
        <row r="626">
          <cell r="BD626" t="str">
            <v>.</v>
          </cell>
        </row>
        <row r="627">
          <cell r="BD627" t="str">
            <v>.</v>
          </cell>
        </row>
        <row r="628">
          <cell r="BD628" t="str">
            <v>.</v>
          </cell>
        </row>
        <row r="629">
          <cell r="BD629" t="str">
            <v>.</v>
          </cell>
        </row>
        <row r="630">
          <cell r="BD630" t="str">
            <v>.</v>
          </cell>
        </row>
        <row r="631">
          <cell r="BD631" t="str">
            <v>.</v>
          </cell>
        </row>
        <row r="632">
          <cell r="BD632" t="str">
            <v>.</v>
          </cell>
        </row>
        <row r="633">
          <cell r="BD633" t="str">
            <v>.</v>
          </cell>
        </row>
        <row r="634">
          <cell r="BD634" t="str">
            <v>.</v>
          </cell>
        </row>
        <row r="635">
          <cell r="BD635" t="str">
            <v>.</v>
          </cell>
        </row>
        <row r="636">
          <cell r="BD636" t="str">
            <v>.</v>
          </cell>
        </row>
        <row r="637">
          <cell r="BD637" t="str">
            <v>.</v>
          </cell>
        </row>
        <row r="638">
          <cell r="BD638" t="str">
            <v>.</v>
          </cell>
        </row>
        <row r="639">
          <cell r="BD639" t="str">
            <v>.</v>
          </cell>
        </row>
        <row r="640">
          <cell r="BD640" t="str">
            <v>.</v>
          </cell>
        </row>
        <row r="641">
          <cell r="BD641" t="str">
            <v>.</v>
          </cell>
        </row>
        <row r="642">
          <cell r="BD642" t="str">
            <v>.</v>
          </cell>
        </row>
        <row r="643">
          <cell r="BD643" t="str">
            <v>.</v>
          </cell>
        </row>
        <row r="644">
          <cell r="BD644" t="str">
            <v>.</v>
          </cell>
        </row>
        <row r="645">
          <cell r="BD645" t="str">
            <v>.</v>
          </cell>
        </row>
        <row r="646">
          <cell r="BD646" t="str">
            <v>.</v>
          </cell>
        </row>
        <row r="647">
          <cell r="BD647" t="str">
            <v>.</v>
          </cell>
        </row>
        <row r="648">
          <cell r="BD648" t="str">
            <v>.</v>
          </cell>
        </row>
        <row r="649">
          <cell r="BD649" t="str">
            <v>.</v>
          </cell>
        </row>
        <row r="650">
          <cell r="BD650" t="str">
            <v>.</v>
          </cell>
        </row>
        <row r="651">
          <cell r="BD651" t="str">
            <v>.</v>
          </cell>
        </row>
        <row r="652">
          <cell r="BD652" t="str">
            <v>.</v>
          </cell>
        </row>
        <row r="653">
          <cell r="BD653" t="str">
            <v>.</v>
          </cell>
        </row>
        <row r="654">
          <cell r="BD654" t="str">
            <v>.</v>
          </cell>
        </row>
        <row r="655">
          <cell r="BD655" t="str">
            <v>.</v>
          </cell>
        </row>
        <row r="656">
          <cell r="BD656" t="str">
            <v>.</v>
          </cell>
        </row>
        <row r="657">
          <cell r="BD657" t="str">
            <v>.</v>
          </cell>
        </row>
        <row r="658">
          <cell r="BD658" t="str">
            <v>.</v>
          </cell>
        </row>
        <row r="659">
          <cell r="BD659" t="str">
            <v>.</v>
          </cell>
        </row>
        <row r="660">
          <cell r="BD660" t="str">
            <v>.</v>
          </cell>
        </row>
        <row r="661">
          <cell r="BD661" t="str">
            <v>.</v>
          </cell>
        </row>
        <row r="662">
          <cell r="BD662" t="str">
            <v>.</v>
          </cell>
        </row>
        <row r="663">
          <cell r="BD663" t="str">
            <v>.</v>
          </cell>
        </row>
        <row r="664">
          <cell r="BD664" t="str">
            <v>.</v>
          </cell>
        </row>
        <row r="665">
          <cell r="BD665" t="str">
            <v>.</v>
          </cell>
        </row>
        <row r="666">
          <cell r="BD666" t="str">
            <v>.</v>
          </cell>
        </row>
        <row r="667">
          <cell r="BD667" t="str">
            <v>.</v>
          </cell>
        </row>
        <row r="668">
          <cell r="BD668" t="str">
            <v>.</v>
          </cell>
        </row>
        <row r="669">
          <cell r="BD669" t="str">
            <v>.</v>
          </cell>
        </row>
        <row r="670">
          <cell r="BD670" t="str">
            <v>.</v>
          </cell>
        </row>
        <row r="671">
          <cell r="BD671" t="str">
            <v>.</v>
          </cell>
        </row>
        <row r="672">
          <cell r="BD672" t="str">
            <v>.</v>
          </cell>
        </row>
        <row r="673">
          <cell r="BD673" t="str">
            <v>.</v>
          </cell>
        </row>
        <row r="674">
          <cell r="BD674" t="str">
            <v>.</v>
          </cell>
        </row>
        <row r="675">
          <cell r="BD675" t="str">
            <v>.</v>
          </cell>
        </row>
        <row r="676">
          <cell r="BD676" t="str">
            <v>.</v>
          </cell>
        </row>
        <row r="677">
          <cell r="BD677" t="str">
            <v>.</v>
          </cell>
        </row>
        <row r="678">
          <cell r="BD678" t="str">
            <v>.</v>
          </cell>
        </row>
        <row r="679">
          <cell r="BD679" t="str">
            <v>.</v>
          </cell>
        </row>
        <row r="680">
          <cell r="BD680" t="str">
            <v>.</v>
          </cell>
        </row>
        <row r="681">
          <cell r="BD681" t="str">
            <v>.</v>
          </cell>
        </row>
        <row r="682">
          <cell r="BD682" t="str">
            <v>.</v>
          </cell>
        </row>
        <row r="683">
          <cell r="BD683" t="str">
            <v>.</v>
          </cell>
        </row>
        <row r="684">
          <cell r="BD684" t="str">
            <v>.</v>
          </cell>
        </row>
        <row r="685">
          <cell r="BD685" t="str">
            <v>.</v>
          </cell>
        </row>
        <row r="686">
          <cell r="BD686" t="str">
            <v>.</v>
          </cell>
        </row>
        <row r="687">
          <cell r="BD687" t="str">
            <v>.</v>
          </cell>
        </row>
        <row r="688">
          <cell r="BD688" t="str">
            <v>.</v>
          </cell>
        </row>
        <row r="689">
          <cell r="BD689" t="str">
            <v>.</v>
          </cell>
        </row>
        <row r="690">
          <cell r="BD690" t="str">
            <v>.</v>
          </cell>
        </row>
        <row r="691">
          <cell r="BD691" t="str">
            <v>.</v>
          </cell>
        </row>
        <row r="692">
          <cell r="BD692" t="str">
            <v>.</v>
          </cell>
        </row>
        <row r="693">
          <cell r="BD693" t="str">
            <v>.</v>
          </cell>
        </row>
        <row r="694">
          <cell r="BD694" t="str">
            <v>.</v>
          </cell>
        </row>
        <row r="695">
          <cell r="BD695" t="str">
            <v>.</v>
          </cell>
        </row>
        <row r="696">
          <cell r="BD696" t="str">
            <v>.</v>
          </cell>
        </row>
        <row r="697">
          <cell r="BD697" t="str">
            <v>.</v>
          </cell>
        </row>
        <row r="698">
          <cell r="BD698" t="str">
            <v>.</v>
          </cell>
        </row>
        <row r="699">
          <cell r="BD699" t="str">
            <v>.</v>
          </cell>
        </row>
        <row r="700">
          <cell r="BD700" t="str">
            <v>.</v>
          </cell>
        </row>
        <row r="701">
          <cell r="BD701" t="str">
            <v>.</v>
          </cell>
        </row>
        <row r="702">
          <cell r="BD702" t="str">
            <v>.</v>
          </cell>
        </row>
        <row r="703">
          <cell r="BD703" t="str">
            <v>.</v>
          </cell>
        </row>
        <row r="704">
          <cell r="BD704" t="str">
            <v>.</v>
          </cell>
        </row>
        <row r="705">
          <cell r="BD705" t="str">
            <v>.</v>
          </cell>
        </row>
        <row r="706">
          <cell r="BD706" t="str">
            <v>.</v>
          </cell>
        </row>
        <row r="707">
          <cell r="BD707" t="str">
            <v>.</v>
          </cell>
        </row>
        <row r="708">
          <cell r="BD708" t="str">
            <v>.</v>
          </cell>
        </row>
        <row r="709">
          <cell r="BD709" t="str">
            <v>.</v>
          </cell>
        </row>
        <row r="710">
          <cell r="BD710" t="str">
            <v>.</v>
          </cell>
        </row>
        <row r="711">
          <cell r="BD711" t="str">
            <v>.</v>
          </cell>
        </row>
        <row r="712">
          <cell r="BD712" t="str">
            <v>.</v>
          </cell>
        </row>
        <row r="713">
          <cell r="BD713" t="str">
            <v>.</v>
          </cell>
        </row>
        <row r="714">
          <cell r="BD714" t="str">
            <v>.</v>
          </cell>
        </row>
        <row r="715">
          <cell r="BD715" t="str">
            <v>.</v>
          </cell>
        </row>
        <row r="716">
          <cell r="BD716" t="str">
            <v>.</v>
          </cell>
        </row>
        <row r="717">
          <cell r="BD717" t="str">
            <v>.</v>
          </cell>
        </row>
        <row r="718">
          <cell r="BD718" t="str">
            <v>.</v>
          </cell>
        </row>
        <row r="719">
          <cell r="BD719" t="str">
            <v>.</v>
          </cell>
        </row>
        <row r="720">
          <cell r="BD720" t="str">
            <v>.</v>
          </cell>
        </row>
        <row r="721">
          <cell r="BD721" t="str">
            <v>.</v>
          </cell>
        </row>
        <row r="722">
          <cell r="BD722" t="str">
            <v>.</v>
          </cell>
        </row>
        <row r="723">
          <cell r="BD723" t="str">
            <v>.</v>
          </cell>
        </row>
        <row r="724">
          <cell r="BD724" t="str">
            <v>.</v>
          </cell>
        </row>
        <row r="725">
          <cell r="BD725" t="str">
            <v>.</v>
          </cell>
        </row>
        <row r="726">
          <cell r="BD726" t="str">
            <v>.</v>
          </cell>
        </row>
        <row r="727">
          <cell r="BD727" t="str">
            <v>.</v>
          </cell>
        </row>
        <row r="728">
          <cell r="BD728" t="str">
            <v>.</v>
          </cell>
        </row>
        <row r="729">
          <cell r="BD729" t="str">
            <v>.</v>
          </cell>
        </row>
        <row r="730">
          <cell r="BD730" t="str">
            <v>.</v>
          </cell>
        </row>
        <row r="731">
          <cell r="BD731" t="str">
            <v>.</v>
          </cell>
        </row>
        <row r="732">
          <cell r="BD732" t="str">
            <v>.</v>
          </cell>
        </row>
        <row r="733">
          <cell r="BD733" t="str">
            <v>.</v>
          </cell>
        </row>
        <row r="734">
          <cell r="BD734" t="str">
            <v>.</v>
          </cell>
        </row>
        <row r="735">
          <cell r="BD735" t="str">
            <v>.</v>
          </cell>
        </row>
        <row r="736">
          <cell r="BD736" t="str">
            <v>.</v>
          </cell>
        </row>
        <row r="737">
          <cell r="BD737" t="str">
            <v>.</v>
          </cell>
        </row>
        <row r="738">
          <cell r="BD738" t="str">
            <v>.</v>
          </cell>
        </row>
        <row r="739">
          <cell r="BD739" t="str">
            <v>.</v>
          </cell>
        </row>
        <row r="740">
          <cell r="BD740" t="str">
            <v>.</v>
          </cell>
        </row>
        <row r="741">
          <cell r="BD741" t="str">
            <v>.</v>
          </cell>
        </row>
        <row r="742">
          <cell r="BD742" t="str">
            <v>.</v>
          </cell>
        </row>
        <row r="743">
          <cell r="BD743" t="str">
            <v>.</v>
          </cell>
        </row>
        <row r="744">
          <cell r="BD744" t="str">
            <v>.</v>
          </cell>
        </row>
        <row r="745">
          <cell r="BD745" t="str">
            <v>.</v>
          </cell>
        </row>
        <row r="746">
          <cell r="BD746" t="str">
            <v>.</v>
          </cell>
        </row>
        <row r="747">
          <cell r="BD747" t="str">
            <v>.</v>
          </cell>
        </row>
        <row r="748">
          <cell r="BD748" t="str">
            <v>.</v>
          </cell>
        </row>
        <row r="749">
          <cell r="BD749" t="str">
            <v>.</v>
          </cell>
        </row>
        <row r="750">
          <cell r="BD750" t="str">
            <v>.</v>
          </cell>
        </row>
        <row r="751">
          <cell r="BD751" t="str">
            <v>.</v>
          </cell>
        </row>
        <row r="752">
          <cell r="BD752" t="str">
            <v>.</v>
          </cell>
        </row>
        <row r="753">
          <cell r="BD753" t="str">
            <v>.</v>
          </cell>
        </row>
        <row r="754">
          <cell r="BD754" t="str">
            <v>.</v>
          </cell>
        </row>
        <row r="755">
          <cell r="BD755" t="str">
            <v>.</v>
          </cell>
        </row>
        <row r="756">
          <cell r="BD756" t="str">
            <v>.</v>
          </cell>
        </row>
        <row r="757">
          <cell r="BD757" t="str">
            <v>.</v>
          </cell>
        </row>
        <row r="758">
          <cell r="BD758" t="str">
            <v>.</v>
          </cell>
        </row>
        <row r="759">
          <cell r="BD759" t="str">
            <v>.</v>
          </cell>
        </row>
        <row r="760">
          <cell r="BD760" t="str">
            <v>.</v>
          </cell>
        </row>
        <row r="761">
          <cell r="BD761" t="str">
            <v>.</v>
          </cell>
        </row>
        <row r="762">
          <cell r="BD762" t="str">
            <v>.</v>
          </cell>
        </row>
        <row r="763">
          <cell r="BD763" t="str">
            <v>.</v>
          </cell>
        </row>
        <row r="764">
          <cell r="BD764" t="str">
            <v>.</v>
          </cell>
        </row>
        <row r="765">
          <cell r="BD765" t="str">
            <v>.</v>
          </cell>
        </row>
        <row r="766">
          <cell r="BD766" t="str">
            <v>.</v>
          </cell>
        </row>
        <row r="767">
          <cell r="BD767" t="str">
            <v>.</v>
          </cell>
        </row>
        <row r="768">
          <cell r="BD768" t="str">
            <v>.</v>
          </cell>
        </row>
        <row r="769">
          <cell r="BD769" t="str">
            <v>.</v>
          </cell>
        </row>
        <row r="770">
          <cell r="BD770" t="str">
            <v>.</v>
          </cell>
        </row>
        <row r="771">
          <cell r="BD771" t="str">
            <v>.</v>
          </cell>
        </row>
        <row r="772">
          <cell r="BD772" t="str">
            <v>.</v>
          </cell>
        </row>
        <row r="773">
          <cell r="BD773" t="str">
            <v>.</v>
          </cell>
        </row>
        <row r="774">
          <cell r="BD774" t="str">
            <v>.</v>
          </cell>
        </row>
        <row r="775">
          <cell r="BD775" t="str">
            <v>.</v>
          </cell>
        </row>
        <row r="776">
          <cell r="BD776" t="str">
            <v>.</v>
          </cell>
        </row>
        <row r="777">
          <cell r="BD777" t="str">
            <v>.</v>
          </cell>
        </row>
        <row r="778">
          <cell r="BD778" t="str">
            <v>.</v>
          </cell>
        </row>
        <row r="779">
          <cell r="BD779" t="str">
            <v>.</v>
          </cell>
        </row>
        <row r="780">
          <cell r="BD780" t="str">
            <v>.</v>
          </cell>
        </row>
        <row r="781">
          <cell r="BD781" t="str">
            <v>.</v>
          </cell>
        </row>
        <row r="782">
          <cell r="BD782" t="str">
            <v>.</v>
          </cell>
        </row>
        <row r="783">
          <cell r="BD783" t="str">
            <v>.</v>
          </cell>
        </row>
        <row r="784">
          <cell r="BD784" t="str">
            <v>.</v>
          </cell>
        </row>
        <row r="785">
          <cell r="BD785" t="str">
            <v>.</v>
          </cell>
        </row>
        <row r="786">
          <cell r="BD786" t="str">
            <v>.</v>
          </cell>
        </row>
        <row r="787">
          <cell r="BD787" t="str">
            <v>.</v>
          </cell>
        </row>
        <row r="788">
          <cell r="BD788" t="str">
            <v>.</v>
          </cell>
        </row>
        <row r="789">
          <cell r="BD789" t="str">
            <v>.</v>
          </cell>
        </row>
        <row r="790">
          <cell r="BD790" t="str">
            <v>.</v>
          </cell>
        </row>
        <row r="791">
          <cell r="BD791" t="str">
            <v>.</v>
          </cell>
        </row>
        <row r="792">
          <cell r="BD792" t="str">
            <v>.</v>
          </cell>
        </row>
        <row r="793">
          <cell r="BD793" t="str">
            <v>.</v>
          </cell>
        </row>
        <row r="794">
          <cell r="BD794" t="str">
            <v>.</v>
          </cell>
        </row>
        <row r="795">
          <cell r="BD795" t="str">
            <v>.</v>
          </cell>
        </row>
        <row r="796">
          <cell r="BD796" t="str">
            <v>.</v>
          </cell>
        </row>
        <row r="797">
          <cell r="BD797" t="str">
            <v>.</v>
          </cell>
        </row>
        <row r="798">
          <cell r="BD798" t="str">
            <v>.</v>
          </cell>
        </row>
        <row r="799">
          <cell r="BD799" t="str">
            <v>.</v>
          </cell>
        </row>
        <row r="800">
          <cell r="BD800" t="str">
            <v>.</v>
          </cell>
        </row>
        <row r="801">
          <cell r="BD801" t="str">
            <v>.</v>
          </cell>
        </row>
        <row r="802">
          <cell r="BD802" t="str">
            <v>.</v>
          </cell>
        </row>
        <row r="803">
          <cell r="BD803" t="str">
            <v>.</v>
          </cell>
        </row>
        <row r="804">
          <cell r="BD804" t="str">
            <v>.</v>
          </cell>
        </row>
        <row r="805">
          <cell r="BD805" t="str">
            <v>.</v>
          </cell>
        </row>
        <row r="806">
          <cell r="BD806" t="str">
            <v>.</v>
          </cell>
        </row>
        <row r="807">
          <cell r="BD807" t="str">
            <v>.</v>
          </cell>
        </row>
        <row r="808">
          <cell r="BD808" t="str">
            <v>.</v>
          </cell>
        </row>
        <row r="809">
          <cell r="BD809" t="str">
            <v>.</v>
          </cell>
        </row>
        <row r="810">
          <cell r="BD810" t="str">
            <v>.</v>
          </cell>
        </row>
        <row r="811">
          <cell r="BD811" t="str">
            <v>.</v>
          </cell>
        </row>
        <row r="812">
          <cell r="BD812" t="str">
            <v>.</v>
          </cell>
        </row>
        <row r="813">
          <cell r="BD813" t="str">
            <v>.</v>
          </cell>
        </row>
        <row r="814">
          <cell r="BD814" t="str">
            <v>.</v>
          </cell>
        </row>
        <row r="815">
          <cell r="BD815" t="str">
            <v>.</v>
          </cell>
        </row>
        <row r="816">
          <cell r="BD816" t="str">
            <v>.</v>
          </cell>
        </row>
        <row r="817">
          <cell r="BD817" t="str">
            <v>.</v>
          </cell>
        </row>
        <row r="818">
          <cell r="BD818" t="str">
            <v>.</v>
          </cell>
        </row>
        <row r="819">
          <cell r="BD819" t="str">
            <v>.</v>
          </cell>
        </row>
        <row r="820">
          <cell r="BD820" t="str">
            <v>.</v>
          </cell>
        </row>
        <row r="821">
          <cell r="BD821" t="str">
            <v>.</v>
          </cell>
        </row>
        <row r="822">
          <cell r="BD822" t="str">
            <v>.</v>
          </cell>
        </row>
        <row r="823">
          <cell r="BD823" t="str">
            <v>.</v>
          </cell>
        </row>
        <row r="824">
          <cell r="BD824" t="str">
            <v>.</v>
          </cell>
        </row>
        <row r="825">
          <cell r="BD825" t="str">
            <v>.</v>
          </cell>
        </row>
        <row r="826">
          <cell r="BD826" t="str">
            <v>.</v>
          </cell>
        </row>
        <row r="827">
          <cell r="BD827" t="str">
            <v>.</v>
          </cell>
        </row>
        <row r="828">
          <cell r="BD828" t="str">
            <v>.</v>
          </cell>
        </row>
        <row r="829">
          <cell r="BD829" t="str">
            <v>.</v>
          </cell>
        </row>
        <row r="830">
          <cell r="BD830" t="str">
            <v>.</v>
          </cell>
        </row>
        <row r="831">
          <cell r="BD831" t="str">
            <v>.</v>
          </cell>
        </row>
        <row r="832">
          <cell r="BD832" t="str">
            <v>.</v>
          </cell>
        </row>
        <row r="833">
          <cell r="BD833" t="str">
            <v>.</v>
          </cell>
        </row>
        <row r="834">
          <cell r="BD834" t="str">
            <v>.</v>
          </cell>
        </row>
        <row r="835">
          <cell r="BD835" t="str">
            <v>.</v>
          </cell>
        </row>
        <row r="836">
          <cell r="BD836" t="str">
            <v>.</v>
          </cell>
        </row>
        <row r="837">
          <cell r="BD837" t="str">
            <v>.</v>
          </cell>
        </row>
        <row r="838">
          <cell r="BD838" t="str">
            <v>.</v>
          </cell>
        </row>
        <row r="839">
          <cell r="BD839" t="str">
            <v>.</v>
          </cell>
        </row>
        <row r="840">
          <cell r="BD840" t="str">
            <v>.</v>
          </cell>
        </row>
        <row r="841">
          <cell r="BD841" t="str">
            <v>.</v>
          </cell>
        </row>
        <row r="842">
          <cell r="BD842" t="str">
            <v>.</v>
          </cell>
        </row>
        <row r="843">
          <cell r="BD843" t="str">
            <v>.</v>
          </cell>
        </row>
        <row r="844">
          <cell r="BD844" t="str">
            <v>.</v>
          </cell>
        </row>
        <row r="845">
          <cell r="BD845" t="str">
            <v>.</v>
          </cell>
        </row>
        <row r="846">
          <cell r="BD846" t="str">
            <v>.</v>
          </cell>
        </row>
        <row r="847">
          <cell r="BD847" t="str">
            <v>.</v>
          </cell>
        </row>
        <row r="848">
          <cell r="BD848" t="str">
            <v>.</v>
          </cell>
        </row>
        <row r="849">
          <cell r="BD849" t="str">
            <v>.</v>
          </cell>
        </row>
        <row r="850">
          <cell r="BD850" t="str">
            <v>.</v>
          </cell>
        </row>
        <row r="851">
          <cell r="BD851" t="str">
            <v>.</v>
          </cell>
        </row>
        <row r="852">
          <cell r="BD852" t="str">
            <v>.</v>
          </cell>
        </row>
        <row r="853">
          <cell r="BD853" t="str">
            <v>.</v>
          </cell>
        </row>
        <row r="854">
          <cell r="BD854" t="str">
            <v>.</v>
          </cell>
        </row>
        <row r="855">
          <cell r="BD855" t="str">
            <v>.</v>
          </cell>
        </row>
        <row r="856">
          <cell r="BD856" t="str">
            <v>.</v>
          </cell>
        </row>
        <row r="857">
          <cell r="BD857" t="str">
            <v>.</v>
          </cell>
        </row>
        <row r="858">
          <cell r="BD858" t="str">
            <v>.</v>
          </cell>
        </row>
        <row r="859">
          <cell r="BD859" t="str">
            <v>.</v>
          </cell>
        </row>
        <row r="860">
          <cell r="BD860" t="str">
            <v>.</v>
          </cell>
        </row>
        <row r="861">
          <cell r="BD861" t="str">
            <v>.</v>
          </cell>
        </row>
        <row r="862">
          <cell r="BD862" t="str">
            <v>.</v>
          </cell>
        </row>
        <row r="863">
          <cell r="BD863" t="str">
            <v>.</v>
          </cell>
        </row>
        <row r="864">
          <cell r="BD864" t="str">
            <v>.</v>
          </cell>
        </row>
        <row r="865">
          <cell r="BD865" t="str">
            <v>.</v>
          </cell>
        </row>
        <row r="866">
          <cell r="BD866" t="str">
            <v>.</v>
          </cell>
        </row>
        <row r="867">
          <cell r="BD867" t="str">
            <v>.</v>
          </cell>
        </row>
        <row r="868">
          <cell r="BD868" t="str">
            <v>.</v>
          </cell>
        </row>
        <row r="869">
          <cell r="BD869" t="str">
            <v>.</v>
          </cell>
        </row>
        <row r="870">
          <cell r="BD870" t="str">
            <v>.</v>
          </cell>
        </row>
        <row r="871">
          <cell r="BD871" t="str">
            <v>.</v>
          </cell>
        </row>
        <row r="872">
          <cell r="BD872" t="str">
            <v>.</v>
          </cell>
        </row>
        <row r="873">
          <cell r="BD873" t="str">
            <v>.</v>
          </cell>
        </row>
        <row r="874">
          <cell r="BD874" t="str">
            <v>.</v>
          </cell>
        </row>
        <row r="875">
          <cell r="BD875" t="str">
            <v>.</v>
          </cell>
        </row>
        <row r="876">
          <cell r="BD876" t="str">
            <v>.</v>
          </cell>
        </row>
        <row r="877">
          <cell r="BD877" t="str">
            <v>.</v>
          </cell>
        </row>
        <row r="878">
          <cell r="BD878" t="str">
            <v>.</v>
          </cell>
        </row>
        <row r="879">
          <cell r="BD879" t="str">
            <v>.</v>
          </cell>
        </row>
        <row r="880">
          <cell r="BD880" t="str">
            <v>.</v>
          </cell>
        </row>
        <row r="881">
          <cell r="BD881" t="str">
            <v>.</v>
          </cell>
        </row>
        <row r="882">
          <cell r="BD882" t="str">
            <v>.</v>
          </cell>
        </row>
        <row r="883">
          <cell r="BD883" t="str">
            <v>.</v>
          </cell>
        </row>
        <row r="884">
          <cell r="BD884" t="str">
            <v>.</v>
          </cell>
        </row>
        <row r="885">
          <cell r="BD885" t="str">
            <v>.</v>
          </cell>
        </row>
        <row r="886">
          <cell r="BD886" t="str">
            <v>.</v>
          </cell>
        </row>
        <row r="887">
          <cell r="BD887" t="str">
            <v>.</v>
          </cell>
        </row>
        <row r="888">
          <cell r="BD888" t="str">
            <v>.</v>
          </cell>
        </row>
        <row r="889">
          <cell r="BD889" t="str">
            <v>.</v>
          </cell>
        </row>
        <row r="890">
          <cell r="BD890" t="str">
            <v>.</v>
          </cell>
        </row>
        <row r="891">
          <cell r="BD891" t="str">
            <v>.</v>
          </cell>
        </row>
        <row r="892">
          <cell r="BD892" t="str">
            <v>.</v>
          </cell>
        </row>
        <row r="893">
          <cell r="BD893" t="str">
            <v>.</v>
          </cell>
        </row>
        <row r="894">
          <cell r="BD894" t="str">
            <v>.</v>
          </cell>
        </row>
        <row r="895">
          <cell r="BD895" t="str">
            <v>.</v>
          </cell>
        </row>
        <row r="896">
          <cell r="BD896" t="str">
            <v>.</v>
          </cell>
        </row>
        <row r="897">
          <cell r="BD897" t="str">
            <v>.</v>
          </cell>
        </row>
        <row r="898">
          <cell r="BD898" t="str">
            <v>.</v>
          </cell>
        </row>
        <row r="899">
          <cell r="BD899" t="str">
            <v>.</v>
          </cell>
        </row>
        <row r="900">
          <cell r="BD900" t="str">
            <v>.</v>
          </cell>
        </row>
        <row r="901">
          <cell r="BD901" t="str">
            <v>.</v>
          </cell>
        </row>
        <row r="902">
          <cell r="BD902" t="str">
            <v>.</v>
          </cell>
        </row>
        <row r="903">
          <cell r="BD903" t="str">
            <v>.</v>
          </cell>
        </row>
        <row r="904">
          <cell r="BD904" t="str">
            <v>.</v>
          </cell>
        </row>
        <row r="905">
          <cell r="BD905" t="str">
            <v>.</v>
          </cell>
        </row>
        <row r="906">
          <cell r="BD906" t="str">
            <v>.</v>
          </cell>
        </row>
        <row r="907">
          <cell r="BD907" t="str">
            <v>.</v>
          </cell>
        </row>
        <row r="908">
          <cell r="BD908" t="str">
            <v>.</v>
          </cell>
        </row>
        <row r="909">
          <cell r="BD909" t="str">
            <v>.</v>
          </cell>
        </row>
        <row r="910">
          <cell r="BD910" t="str">
            <v>.</v>
          </cell>
        </row>
        <row r="911">
          <cell r="BD911" t="str">
            <v>.</v>
          </cell>
        </row>
        <row r="912">
          <cell r="BD912" t="str">
            <v>.</v>
          </cell>
        </row>
        <row r="913">
          <cell r="BD913" t="str">
            <v>.</v>
          </cell>
        </row>
        <row r="914">
          <cell r="BD914" t="str">
            <v>.</v>
          </cell>
        </row>
        <row r="915">
          <cell r="BD915" t="str">
            <v>.</v>
          </cell>
        </row>
        <row r="916">
          <cell r="BD916" t="str">
            <v>.</v>
          </cell>
        </row>
        <row r="917">
          <cell r="BD917" t="str">
            <v>.</v>
          </cell>
        </row>
        <row r="918">
          <cell r="BD918" t="str">
            <v>.</v>
          </cell>
        </row>
        <row r="919">
          <cell r="BD919" t="str">
            <v>.</v>
          </cell>
        </row>
        <row r="920">
          <cell r="BD920" t="str">
            <v>.</v>
          </cell>
        </row>
        <row r="921">
          <cell r="BD921" t="str">
            <v>.</v>
          </cell>
        </row>
        <row r="922">
          <cell r="BD922" t="str">
            <v>.</v>
          </cell>
        </row>
        <row r="923">
          <cell r="BD923" t="str">
            <v>.</v>
          </cell>
        </row>
        <row r="924">
          <cell r="BD924" t="str">
            <v>.</v>
          </cell>
        </row>
        <row r="925">
          <cell r="BD925" t="str">
            <v>.</v>
          </cell>
        </row>
        <row r="926">
          <cell r="BD926" t="str">
            <v>.</v>
          </cell>
        </row>
        <row r="927">
          <cell r="BD927" t="str">
            <v>.</v>
          </cell>
        </row>
        <row r="928">
          <cell r="BD928" t="str">
            <v>.</v>
          </cell>
        </row>
        <row r="929">
          <cell r="BD929" t="str">
            <v>.</v>
          </cell>
        </row>
        <row r="930">
          <cell r="BD930" t="str">
            <v>.</v>
          </cell>
        </row>
        <row r="931">
          <cell r="BD931" t="str">
            <v>.</v>
          </cell>
        </row>
        <row r="932">
          <cell r="BD932" t="str">
            <v>.</v>
          </cell>
        </row>
        <row r="933">
          <cell r="BD933" t="str">
            <v>.</v>
          </cell>
        </row>
        <row r="934">
          <cell r="BD934" t="str">
            <v>.</v>
          </cell>
        </row>
        <row r="935">
          <cell r="BD935" t="str">
            <v>.</v>
          </cell>
        </row>
        <row r="936">
          <cell r="BD936" t="str">
            <v>.</v>
          </cell>
        </row>
        <row r="937">
          <cell r="BD937" t="str">
            <v>.</v>
          </cell>
        </row>
        <row r="938">
          <cell r="BD938" t="str">
            <v>.</v>
          </cell>
        </row>
        <row r="939">
          <cell r="BD939" t="str">
            <v>.</v>
          </cell>
        </row>
        <row r="940">
          <cell r="BD940" t="str">
            <v>.</v>
          </cell>
        </row>
        <row r="941">
          <cell r="BD941" t="str">
            <v>.</v>
          </cell>
        </row>
        <row r="942">
          <cell r="BD942" t="str">
            <v>.</v>
          </cell>
        </row>
        <row r="943">
          <cell r="BD943" t="str">
            <v>.</v>
          </cell>
        </row>
        <row r="944">
          <cell r="BD944" t="str">
            <v>.</v>
          </cell>
        </row>
        <row r="945">
          <cell r="BD945" t="str">
            <v>.</v>
          </cell>
        </row>
        <row r="946">
          <cell r="BD946" t="str">
            <v>.</v>
          </cell>
        </row>
        <row r="947">
          <cell r="BD947" t="str">
            <v>.</v>
          </cell>
        </row>
        <row r="948">
          <cell r="BD948" t="str">
            <v>.</v>
          </cell>
        </row>
        <row r="949">
          <cell r="BD949" t="str">
            <v>.</v>
          </cell>
        </row>
        <row r="950">
          <cell r="BD950" t="str">
            <v>.</v>
          </cell>
        </row>
        <row r="951">
          <cell r="BD951" t="str">
            <v>.</v>
          </cell>
        </row>
        <row r="952">
          <cell r="BD952" t="str">
            <v>.</v>
          </cell>
        </row>
        <row r="953">
          <cell r="BD953" t="str">
            <v>.</v>
          </cell>
        </row>
        <row r="954">
          <cell r="BD954" t="str">
            <v>.</v>
          </cell>
        </row>
        <row r="955">
          <cell r="BD955" t="str">
            <v>.</v>
          </cell>
        </row>
        <row r="956">
          <cell r="BD956" t="str">
            <v>.</v>
          </cell>
        </row>
        <row r="957">
          <cell r="BD957" t="str">
            <v>.</v>
          </cell>
        </row>
        <row r="958">
          <cell r="BD958" t="str">
            <v>.</v>
          </cell>
        </row>
        <row r="959">
          <cell r="BD959" t="str">
            <v>.</v>
          </cell>
        </row>
        <row r="960">
          <cell r="BD960" t="str">
            <v>.</v>
          </cell>
        </row>
        <row r="961">
          <cell r="BD961" t="str">
            <v>.</v>
          </cell>
        </row>
        <row r="962">
          <cell r="BD962" t="str">
            <v>.</v>
          </cell>
        </row>
        <row r="963">
          <cell r="BD963" t="str">
            <v>.</v>
          </cell>
        </row>
        <row r="964">
          <cell r="BD964" t="str">
            <v>.</v>
          </cell>
        </row>
        <row r="965">
          <cell r="BD965" t="str">
            <v>.</v>
          </cell>
        </row>
        <row r="966">
          <cell r="BD966" t="str">
            <v>.</v>
          </cell>
        </row>
        <row r="967">
          <cell r="BD967" t="str">
            <v>.</v>
          </cell>
        </row>
        <row r="968">
          <cell r="BD968" t="str">
            <v>.</v>
          </cell>
        </row>
        <row r="969">
          <cell r="BD969" t="str">
            <v>.</v>
          </cell>
        </row>
        <row r="970">
          <cell r="BD970" t="str">
            <v>.</v>
          </cell>
        </row>
        <row r="971">
          <cell r="BD971" t="str">
            <v>.</v>
          </cell>
        </row>
        <row r="972">
          <cell r="BD972" t="str">
            <v>.</v>
          </cell>
        </row>
        <row r="973">
          <cell r="BD973" t="str">
            <v>.</v>
          </cell>
        </row>
        <row r="974">
          <cell r="BD974" t="str">
            <v>.</v>
          </cell>
        </row>
        <row r="975">
          <cell r="BD975" t="str">
            <v>.</v>
          </cell>
        </row>
        <row r="976">
          <cell r="BD976" t="str">
            <v>.</v>
          </cell>
        </row>
        <row r="977">
          <cell r="BD977" t="str">
            <v>.</v>
          </cell>
        </row>
        <row r="978">
          <cell r="BD978" t="str">
            <v>.</v>
          </cell>
        </row>
        <row r="979">
          <cell r="BD979" t="str">
            <v>.</v>
          </cell>
        </row>
        <row r="980">
          <cell r="BD980" t="str">
            <v>.</v>
          </cell>
        </row>
        <row r="981">
          <cell r="BD981" t="str">
            <v>.</v>
          </cell>
        </row>
        <row r="982">
          <cell r="BD982" t="str">
            <v>.</v>
          </cell>
        </row>
        <row r="983">
          <cell r="BD983" t="str">
            <v>.</v>
          </cell>
        </row>
        <row r="984">
          <cell r="BD984" t="str">
            <v>.</v>
          </cell>
        </row>
        <row r="985">
          <cell r="BD985" t="str">
            <v>.</v>
          </cell>
        </row>
        <row r="986">
          <cell r="BD986" t="str">
            <v>.</v>
          </cell>
        </row>
        <row r="987">
          <cell r="BD987" t="str">
            <v>.</v>
          </cell>
        </row>
        <row r="988">
          <cell r="BD988" t="str">
            <v>.</v>
          </cell>
        </row>
        <row r="989">
          <cell r="BD989" t="str">
            <v>.</v>
          </cell>
        </row>
        <row r="990">
          <cell r="BD990" t="str">
            <v>.</v>
          </cell>
        </row>
        <row r="991">
          <cell r="BD991" t="str">
            <v>.</v>
          </cell>
        </row>
        <row r="992">
          <cell r="BD992" t="str">
            <v>.</v>
          </cell>
        </row>
        <row r="993">
          <cell r="BD993" t="str">
            <v>.</v>
          </cell>
        </row>
        <row r="994">
          <cell r="BD994" t="str">
            <v>.</v>
          </cell>
        </row>
        <row r="995">
          <cell r="BD995" t="str">
            <v>.</v>
          </cell>
        </row>
        <row r="996">
          <cell r="BD996" t="str">
            <v>.</v>
          </cell>
        </row>
        <row r="997">
          <cell r="A997" t="str">
            <v>.</v>
          </cell>
          <cell r="B997" t="str">
            <v>.</v>
          </cell>
          <cell r="C997" t="str">
            <v>.</v>
          </cell>
          <cell r="D997" t="str">
            <v>.</v>
          </cell>
          <cell r="E997" t="str">
            <v>.</v>
          </cell>
          <cell r="F997" t="str">
            <v>.</v>
          </cell>
          <cell r="G997" t="str">
            <v>.</v>
          </cell>
          <cell r="H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  <cell r="BC997" t="str">
            <v>.</v>
          </cell>
          <cell r="BD997" t="str">
            <v>.</v>
          </cell>
        </row>
      </sheetData>
      <sheetData sheetId="25" refreshError="1">
        <row r="1">
          <cell r="U1" t="str">
            <v>SmartCharts</v>
          </cell>
          <cell r="BD1" t="str">
            <v>.</v>
          </cell>
        </row>
        <row r="2">
          <cell r="BD2" t="str">
            <v>.</v>
          </cell>
        </row>
        <row r="3">
          <cell r="BD3" t="str">
            <v>.</v>
          </cell>
        </row>
        <row r="4">
          <cell r="BD4" t="str">
            <v>.</v>
          </cell>
        </row>
        <row r="5">
          <cell r="C5" t="str">
            <v>Define value axis here:</v>
          </cell>
        </row>
        <row r="6">
          <cell r="C6" t="str">
            <v>Eli Lilly YOY revenue change 2010E-2015E</v>
          </cell>
        </row>
        <row r="10">
          <cell r="C10" t="str">
            <v>Input your data here:</v>
          </cell>
          <cell r="BD10" t="str">
            <v>.</v>
          </cell>
        </row>
        <row r="11">
          <cell r="C11" t="str">
            <v>Sales ($M)</v>
          </cell>
          <cell r="D11" t="str">
            <v>2011E</v>
          </cell>
          <cell r="E11" t="str">
            <v>2012E</v>
          </cell>
          <cell r="F11" t="str">
            <v>2013E</v>
          </cell>
          <cell r="G11" t="str">
            <v>2014E</v>
          </cell>
          <cell r="H11" t="str">
            <v>2015E</v>
          </cell>
          <cell r="BC11" t="str">
            <v>.</v>
          </cell>
        </row>
        <row r="12">
          <cell r="C12" t="str">
            <v>In-line products</v>
          </cell>
          <cell r="D12">
            <v>680.47624304999954</v>
          </cell>
          <cell r="E12">
            <v>486.26563373899808</v>
          </cell>
          <cell r="F12">
            <v>392.20336252127527</v>
          </cell>
          <cell r="G12">
            <v>408.45276247114634</v>
          </cell>
          <cell r="H12">
            <v>281.70162648130463</v>
          </cell>
          <cell r="BC12" t="str">
            <v>.</v>
          </cell>
        </row>
        <row r="13">
          <cell r="A13" t="str">
            <v>.</v>
          </cell>
          <cell r="C13" t="str">
            <v>Pipeline products launching 2010–2015</v>
          </cell>
          <cell r="D13">
            <v>190.9375</v>
          </cell>
          <cell r="E13">
            <v>310.83749999999986</v>
          </cell>
          <cell r="F13">
            <v>545.88500000000022</v>
          </cell>
          <cell r="G13">
            <v>871.89729999999986</v>
          </cell>
          <cell r="H13">
            <v>1191.6988575</v>
          </cell>
          <cell r="BC13" t="str">
            <v>.</v>
          </cell>
        </row>
        <row r="14">
          <cell r="C14" t="str">
            <v>Products expiring 2010–2015</v>
          </cell>
          <cell r="D14">
            <v>-371.49615019999874</v>
          </cell>
          <cell r="E14">
            <v>-2226.0126789459991</v>
          </cell>
          <cell r="F14">
            <v>-713.0858879557818</v>
          </cell>
          <cell r="G14">
            <v>-2566.7028729389294</v>
          </cell>
          <cell r="H14">
            <v>-2382.3369144914741</v>
          </cell>
          <cell r="BC14" t="str">
            <v>.</v>
          </cell>
        </row>
        <row r="15">
          <cell r="C15" t="str">
            <v>Net YOY change</v>
          </cell>
          <cell r="D15">
            <v>499.9175928500008</v>
          </cell>
          <cell r="E15">
            <v>-1428.9095452069996</v>
          </cell>
          <cell r="F15">
            <v>225.00247456549187</v>
          </cell>
          <cell r="G15">
            <v>-1286.3528104677825</v>
          </cell>
          <cell r="H15">
            <v>-908.93643051016988</v>
          </cell>
          <cell r="BC15" t="str">
            <v>.</v>
          </cell>
        </row>
        <row r="16">
          <cell r="BC16" t="str">
            <v>.</v>
          </cell>
        </row>
        <row r="17">
          <cell r="BD17" t="str">
            <v>.</v>
          </cell>
        </row>
        <row r="18">
          <cell r="BD18" t="str">
            <v>.</v>
          </cell>
        </row>
        <row r="20">
          <cell r="BD20" t="str">
            <v>.</v>
          </cell>
        </row>
        <row r="21">
          <cell r="BD21" t="str">
            <v>.</v>
          </cell>
        </row>
        <row r="22">
          <cell r="BD22" t="str">
            <v>.</v>
          </cell>
        </row>
        <row r="23">
          <cell r="BD23" t="str">
            <v>.</v>
          </cell>
        </row>
        <row r="24">
          <cell r="BD24" t="str">
            <v>.</v>
          </cell>
        </row>
        <row r="25">
          <cell r="BD25" t="str">
            <v>.</v>
          </cell>
        </row>
        <row r="26">
          <cell r="BD26" t="str">
            <v>.</v>
          </cell>
        </row>
        <row r="27">
          <cell r="BD27" t="str">
            <v>.</v>
          </cell>
        </row>
        <row r="28">
          <cell r="BD28" t="str">
            <v>.</v>
          </cell>
        </row>
        <row r="29">
          <cell r="BD29" t="str">
            <v>.</v>
          </cell>
        </row>
        <row r="30">
          <cell r="BD30" t="str">
            <v>.</v>
          </cell>
        </row>
        <row r="31">
          <cell r="BD31" t="str">
            <v>.</v>
          </cell>
        </row>
        <row r="32">
          <cell r="BD32" t="str">
            <v>.</v>
          </cell>
        </row>
        <row r="33">
          <cell r="BD33" t="str">
            <v>.</v>
          </cell>
        </row>
        <row r="34">
          <cell r="BD34" t="str">
            <v>.</v>
          </cell>
        </row>
        <row r="35">
          <cell r="BD35" t="str">
            <v>.</v>
          </cell>
        </row>
        <row r="36">
          <cell r="BD36" t="str">
            <v>.</v>
          </cell>
        </row>
        <row r="37">
          <cell r="M37" t="str">
            <v>Do not change the width of the exhibit or font sizes (they are optimized for export to Word).</v>
          </cell>
          <cell r="BD37" t="str">
            <v>.</v>
          </cell>
        </row>
        <row r="38">
          <cell r="BD38" t="str">
            <v>.</v>
          </cell>
        </row>
        <row r="39">
          <cell r="M39" t="str">
            <v>Do not delete any rows or columns (some gray cells are used for calculations).</v>
          </cell>
          <cell r="BD39" t="str">
            <v>.</v>
          </cell>
        </row>
        <row r="40">
          <cell r="BD40" t="str">
            <v>.</v>
          </cell>
        </row>
        <row r="41">
          <cell r="BD41" t="str">
            <v>.</v>
          </cell>
        </row>
        <row r="42">
          <cell r="BD42" t="str">
            <v>.</v>
          </cell>
        </row>
        <row r="43">
          <cell r="BD43" t="str">
            <v>.</v>
          </cell>
        </row>
        <row r="44">
          <cell r="BD44" t="str">
            <v>.</v>
          </cell>
        </row>
        <row r="45">
          <cell r="BD45" t="str">
            <v>.</v>
          </cell>
        </row>
        <row r="46">
          <cell r="BD46" t="str">
            <v>.</v>
          </cell>
        </row>
        <row r="47">
          <cell r="BD47" t="str">
            <v>.</v>
          </cell>
        </row>
        <row r="48">
          <cell r="BD48" t="str">
            <v>.</v>
          </cell>
        </row>
        <row r="49">
          <cell r="BD49" t="str">
            <v>.</v>
          </cell>
        </row>
        <row r="50">
          <cell r="BD50" t="str">
            <v>.</v>
          </cell>
        </row>
        <row r="51">
          <cell r="BD51" t="str">
            <v>.</v>
          </cell>
        </row>
        <row r="52">
          <cell r="BD52" t="str">
            <v>.</v>
          </cell>
        </row>
        <row r="53">
          <cell r="BD53" t="str">
            <v>.</v>
          </cell>
        </row>
        <row r="54">
          <cell r="BD54" t="str">
            <v>.</v>
          </cell>
        </row>
        <row r="55">
          <cell r="BD55" t="str">
            <v>.</v>
          </cell>
        </row>
        <row r="56">
          <cell r="BD56" t="str">
            <v>.</v>
          </cell>
        </row>
        <row r="57">
          <cell r="BD57" t="str">
            <v>.</v>
          </cell>
        </row>
        <row r="58">
          <cell r="BD58" t="str">
            <v>.</v>
          </cell>
        </row>
        <row r="59">
          <cell r="BD59" t="str">
            <v>.</v>
          </cell>
        </row>
        <row r="60">
          <cell r="BD60" t="str">
            <v>.</v>
          </cell>
        </row>
        <row r="61">
          <cell r="BD61" t="str">
            <v>.</v>
          </cell>
        </row>
        <row r="62">
          <cell r="BD62" t="str">
            <v>.</v>
          </cell>
        </row>
        <row r="63">
          <cell r="BD63" t="str">
            <v>.</v>
          </cell>
        </row>
        <row r="64">
          <cell r="BD64" t="str">
            <v>.</v>
          </cell>
        </row>
        <row r="65">
          <cell r="BD65" t="str">
            <v>.</v>
          </cell>
        </row>
        <row r="66">
          <cell r="BD66" t="str">
            <v>.</v>
          </cell>
        </row>
        <row r="67">
          <cell r="BD67" t="str">
            <v>.</v>
          </cell>
        </row>
        <row r="68">
          <cell r="BD68" t="str">
            <v>.</v>
          </cell>
        </row>
        <row r="69">
          <cell r="BD69" t="str">
            <v>.</v>
          </cell>
        </row>
        <row r="70">
          <cell r="BD70" t="str">
            <v>.</v>
          </cell>
        </row>
        <row r="71">
          <cell r="BD71" t="str">
            <v>.</v>
          </cell>
        </row>
        <row r="72">
          <cell r="BD72" t="str">
            <v>.</v>
          </cell>
        </row>
        <row r="73">
          <cell r="BD73" t="str">
            <v>.</v>
          </cell>
        </row>
        <row r="74">
          <cell r="BD74" t="str">
            <v>.</v>
          </cell>
        </row>
        <row r="75">
          <cell r="BD75" t="str">
            <v>.</v>
          </cell>
        </row>
        <row r="76">
          <cell r="BD76" t="str">
            <v>.</v>
          </cell>
        </row>
        <row r="77">
          <cell r="BD77" t="str">
            <v>.</v>
          </cell>
        </row>
        <row r="78">
          <cell r="BD78" t="str">
            <v>.</v>
          </cell>
        </row>
        <row r="79">
          <cell r="BD79" t="str">
            <v>.</v>
          </cell>
        </row>
        <row r="80">
          <cell r="BD80" t="str">
            <v>.</v>
          </cell>
        </row>
        <row r="81">
          <cell r="BD81" t="str">
            <v>.</v>
          </cell>
        </row>
        <row r="82">
          <cell r="BD82" t="str">
            <v>.</v>
          </cell>
        </row>
        <row r="83">
          <cell r="BD83" t="str">
            <v>.</v>
          </cell>
        </row>
        <row r="84">
          <cell r="BD84" t="str">
            <v>.</v>
          </cell>
        </row>
        <row r="85">
          <cell r="BD85" t="str">
            <v>.</v>
          </cell>
        </row>
        <row r="86">
          <cell r="BD86" t="str">
            <v>.</v>
          </cell>
        </row>
        <row r="87">
          <cell r="BD87" t="str">
            <v>.</v>
          </cell>
        </row>
        <row r="88">
          <cell r="BD88" t="str">
            <v>.</v>
          </cell>
        </row>
        <row r="89">
          <cell r="BD89" t="str">
            <v>.</v>
          </cell>
        </row>
        <row r="90">
          <cell r="BD90" t="str">
            <v>.</v>
          </cell>
        </row>
        <row r="91">
          <cell r="BD91" t="str">
            <v>.</v>
          </cell>
        </row>
        <row r="92">
          <cell r="BD92" t="str">
            <v>.</v>
          </cell>
        </row>
        <row r="93">
          <cell r="BD93" t="str">
            <v>.</v>
          </cell>
        </row>
        <row r="94">
          <cell r="BD94" t="str">
            <v>.</v>
          </cell>
        </row>
        <row r="95">
          <cell r="BD95" t="str">
            <v>.</v>
          </cell>
        </row>
        <row r="96">
          <cell r="BD96" t="str">
            <v>.</v>
          </cell>
        </row>
        <row r="97">
          <cell r="BD97" t="str">
            <v>.</v>
          </cell>
        </row>
        <row r="98">
          <cell r="BD98" t="str">
            <v>.</v>
          </cell>
        </row>
        <row r="99">
          <cell r="BD99" t="str">
            <v>.</v>
          </cell>
        </row>
        <row r="100">
          <cell r="BD100" t="str">
            <v>.</v>
          </cell>
        </row>
        <row r="101">
          <cell r="BD101" t="str">
            <v>.</v>
          </cell>
        </row>
        <row r="102">
          <cell r="BD102" t="str">
            <v>.</v>
          </cell>
        </row>
        <row r="103">
          <cell r="BD103" t="str">
            <v>.</v>
          </cell>
        </row>
        <row r="104">
          <cell r="BD104" t="str">
            <v>.</v>
          </cell>
        </row>
        <row r="105">
          <cell r="BD105" t="str">
            <v>.</v>
          </cell>
        </row>
        <row r="106">
          <cell r="BD106" t="str">
            <v>.</v>
          </cell>
        </row>
        <row r="107">
          <cell r="BD107" t="str">
            <v>.</v>
          </cell>
        </row>
        <row r="108">
          <cell r="BD108" t="str">
            <v>.</v>
          </cell>
        </row>
        <row r="109">
          <cell r="BD109" t="str">
            <v>.</v>
          </cell>
        </row>
        <row r="110">
          <cell r="BD110" t="str">
            <v>.</v>
          </cell>
        </row>
        <row r="111">
          <cell r="BD111" t="str">
            <v>.</v>
          </cell>
        </row>
        <row r="112">
          <cell r="BD112" t="str">
            <v>.</v>
          </cell>
        </row>
        <row r="113">
          <cell r="BD113" t="str">
            <v>.</v>
          </cell>
        </row>
        <row r="114">
          <cell r="BD114" t="str">
            <v>.</v>
          </cell>
        </row>
        <row r="115">
          <cell r="BD115" t="str">
            <v>.</v>
          </cell>
        </row>
        <row r="116">
          <cell r="BD116" t="str">
            <v>.</v>
          </cell>
        </row>
        <row r="117">
          <cell r="BD117" t="str">
            <v>.</v>
          </cell>
        </row>
        <row r="118">
          <cell r="BD118" t="str">
            <v>.</v>
          </cell>
        </row>
        <row r="119">
          <cell r="BD119" t="str">
            <v>.</v>
          </cell>
        </row>
        <row r="120">
          <cell r="BD120" t="str">
            <v>.</v>
          </cell>
        </row>
        <row r="121">
          <cell r="BD121" t="str">
            <v>.</v>
          </cell>
        </row>
        <row r="122">
          <cell r="BD122" t="str">
            <v>.</v>
          </cell>
        </row>
        <row r="123">
          <cell r="BD123" t="str">
            <v>.</v>
          </cell>
        </row>
        <row r="124">
          <cell r="BD124" t="str">
            <v>.</v>
          </cell>
        </row>
        <row r="125">
          <cell r="BD125" t="str">
            <v>.</v>
          </cell>
        </row>
        <row r="126">
          <cell r="BD126" t="str">
            <v>.</v>
          </cell>
        </row>
        <row r="127">
          <cell r="BD127" t="str">
            <v>.</v>
          </cell>
        </row>
        <row r="128">
          <cell r="BD128" t="str">
            <v>.</v>
          </cell>
        </row>
        <row r="129">
          <cell r="BD129" t="str">
            <v>.</v>
          </cell>
        </row>
        <row r="130">
          <cell r="BD130" t="str">
            <v>.</v>
          </cell>
        </row>
        <row r="131">
          <cell r="BD131" t="str">
            <v>.</v>
          </cell>
        </row>
        <row r="132">
          <cell r="BD132" t="str">
            <v>.</v>
          </cell>
        </row>
        <row r="133">
          <cell r="BD133" t="str">
            <v>.</v>
          </cell>
        </row>
        <row r="134">
          <cell r="BD134" t="str">
            <v>.</v>
          </cell>
        </row>
        <row r="135">
          <cell r="BD135" t="str">
            <v>.</v>
          </cell>
        </row>
        <row r="136">
          <cell r="BD136" t="str">
            <v>.</v>
          </cell>
        </row>
        <row r="137">
          <cell r="BD137" t="str">
            <v>.</v>
          </cell>
        </row>
        <row r="138">
          <cell r="BD138" t="str">
            <v>.</v>
          </cell>
        </row>
        <row r="139">
          <cell r="BD139" t="str">
            <v>.</v>
          </cell>
        </row>
        <row r="140">
          <cell r="BD140" t="str">
            <v>.</v>
          </cell>
        </row>
        <row r="141">
          <cell r="BD141" t="str">
            <v>.</v>
          </cell>
        </row>
        <row r="142">
          <cell r="BD142" t="str">
            <v>.</v>
          </cell>
        </row>
        <row r="143">
          <cell r="BD143" t="str">
            <v>.</v>
          </cell>
        </row>
        <row r="144">
          <cell r="BD144" t="str">
            <v>.</v>
          </cell>
        </row>
        <row r="145">
          <cell r="BD145" t="str">
            <v>.</v>
          </cell>
        </row>
        <row r="146">
          <cell r="BD146" t="str">
            <v>.</v>
          </cell>
        </row>
        <row r="147">
          <cell r="BD147" t="str">
            <v>.</v>
          </cell>
        </row>
        <row r="148">
          <cell r="BD148" t="str">
            <v>.</v>
          </cell>
        </row>
        <row r="149">
          <cell r="BD149" t="str">
            <v>.</v>
          </cell>
        </row>
        <row r="150">
          <cell r="BD150" t="str">
            <v>.</v>
          </cell>
        </row>
        <row r="151">
          <cell r="BD151" t="str">
            <v>.</v>
          </cell>
        </row>
        <row r="152">
          <cell r="BD152" t="str">
            <v>.</v>
          </cell>
        </row>
        <row r="153">
          <cell r="BD153" t="str">
            <v>.</v>
          </cell>
        </row>
        <row r="154">
          <cell r="BD154" t="str">
            <v>.</v>
          </cell>
        </row>
        <row r="155">
          <cell r="BD155" t="str">
            <v>.</v>
          </cell>
        </row>
        <row r="156">
          <cell r="BD156" t="str">
            <v>.</v>
          </cell>
        </row>
        <row r="157">
          <cell r="BD157" t="str">
            <v>.</v>
          </cell>
        </row>
        <row r="158">
          <cell r="BD158" t="str">
            <v>.</v>
          </cell>
        </row>
        <row r="159">
          <cell r="BD159" t="str">
            <v>.</v>
          </cell>
        </row>
        <row r="160">
          <cell r="BD160" t="str">
            <v>.</v>
          </cell>
        </row>
        <row r="161">
          <cell r="BD161" t="str">
            <v>.</v>
          </cell>
        </row>
        <row r="162">
          <cell r="BD162" t="str">
            <v>.</v>
          </cell>
        </row>
        <row r="163">
          <cell r="BD163" t="str">
            <v>.</v>
          </cell>
        </row>
        <row r="164">
          <cell r="BD164" t="str">
            <v>.</v>
          </cell>
        </row>
        <row r="165">
          <cell r="BD165" t="str">
            <v>.</v>
          </cell>
        </row>
        <row r="166">
          <cell r="BD166" t="str">
            <v>.</v>
          </cell>
        </row>
        <row r="167">
          <cell r="BD167" t="str">
            <v>.</v>
          </cell>
        </row>
        <row r="168">
          <cell r="BD168" t="str">
            <v>.</v>
          </cell>
        </row>
        <row r="169">
          <cell r="BD169" t="str">
            <v>.</v>
          </cell>
        </row>
        <row r="170">
          <cell r="BD170" t="str">
            <v>.</v>
          </cell>
        </row>
        <row r="171">
          <cell r="BD171" t="str">
            <v>.</v>
          </cell>
        </row>
        <row r="172">
          <cell r="BD172" t="str">
            <v>.</v>
          </cell>
        </row>
        <row r="173">
          <cell r="BD173" t="str">
            <v>.</v>
          </cell>
        </row>
        <row r="174">
          <cell r="BD174" t="str">
            <v>.</v>
          </cell>
        </row>
        <row r="175">
          <cell r="BD175" t="str">
            <v>.</v>
          </cell>
        </row>
        <row r="176">
          <cell r="BD176" t="str">
            <v>.</v>
          </cell>
        </row>
        <row r="177">
          <cell r="BD177" t="str">
            <v>.</v>
          </cell>
        </row>
        <row r="178">
          <cell r="BD178" t="str">
            <v>.</v>
          </cell>
        </row>
        <row r="179">
          <cell r="BD179" t="str">
            <v>.</v>
          </cell>
        </row>
        <row r="180">
          <cell r="BD180" t="str">
            <v>.</v>
          </cell>
        </row>
        <row r="181">
          <cell r="BD181" t="str">
            <v>.</v>
          </cell>
        </row>
        <row r="182">
          <cell r="BD182" t="str">
            <v>.</v>
          </cell>
        </row>
        <row r="183">
          <cell r="BD183" t="str">
            <v>.</v>
          </cell>
        </row>
        <row r="184">
          <cell r="BD184" t="str">
            <v>.</v>
          </cell>
        </row>
        <row r="185">
          <cell r="BD185" t="str">
            <v>.</v>
          </cell>
        </row>
        <row r="186">
          <cell r="BD186" t="str">
            <v>.</v>
          </cell>
        </row>
        <row r="187">
          <cell r="BD187" t="str">
            <v>.</v>
          </cell>
        </row>
        <row r="188">
          <cell r="BD188" t="str">
            <v>.</v>
          </cell>
        </row>
        <row r="189">
          <cell r="BD189" t="str">
            <v>.</v>
          </cell>
        </row>
        <row r="190">
          <cell r="BD190" t="str">
            <v>.</v>
          </cell>
        </row>
        <row r="191">
          <cell r="BD191" t="str">
            <v>.</v>
          </cell>
        </row>
        <row r="192">
          <cell r="BD192" t="str">
            <v>.</v>
          </cell>
        </row>
        <row r="193">
          <cell r="BD193" t="str">
            <v>.</v>
          </cell>
        </row>
        <row r="194">
          <cell r="BD194" t="str">
            <v>.</v>
          </cell>
        </row>
        <row r="195">
          <cell r="BD195" t="str">
            <v>.</v>
          </cell>
        </row>
        <row r="196">
          <cell r="BD196" t="str">
            <v>.</v>
          </cell>
        </row>
        <row r="197">
          <cell r="BD197" t="str">
            <v>.</v>
          </cell>
        </row>
        <row r="198">
          <cell r="BD198" t="str">
            <v>.</v>
          </cell>
        </row>
        <row r="199">
          <cell r="BD199" t="str">
            <v>.</v>
          </cell>
        </row>
        <row r="200">
          <cell r="BD200" t="str">
            <v>.</v>
          </cell>
        </row>
        <row r="201">
          <cell r="BD201" t="str">
            <v>.</v>
          </cell>
        </row>
        <row r="202">
          <cell r="BD202" t="str">
            <v>.</v>
          </cell>
        </row>
        <row r="203">
          <cell r="BD203" t="str">
            <v>.</v>
          </cell>
        </row>
        <row r="204">
          <cell r="BD204" t="str">
            <v>.</v>
          </cell>
        </row>
        <row r="205">
          <cell r="BD205" t="str">
            <v>.</v>
          </cell>
        </row>
        <row r="206">
          <cell r="BD206" t="str">
            <v>.</v>
          </cell>
        </row>
        <row r="207">
          <cell r="BD207" t="str">
            <v>.</v>
          </cell>
        </row>
        <row r="208">
          <cell r="BD208" t="str">
            <v>.</v>
          </cell>
        </row>
        <row r="209">
          <cell r="BD209" t="str">
            <v>.</v>
          </cell>
        </row>
        <row r="210">
          <cell r="BD210" t="str">
            <v>.</v>
          </cell>
        </row>
        <row r="211">
          <cell r="BD211" t="str">
            <v>.</v>
          </cell>
        </row>
        <row r="212">
          <cell r="BD212" t="str">
            <v>.</v>
          </cell>
        </row>
        <row r="213">
          <cell r="BD213" t="str">
            <v>.</v>
          </cell>
        </row>
        <row r="214">
          <cell r="BD214" t="str">
            <v>.</v>
          </cell>
        </row>
        <row r="215">
          <cell r="BD215" t="str">
            <v>.</v>
          </cell>
        </row>
        <row r="216">
          <cell r="BD216" t="str">
            <v>.</v>
          </cell>
        </row>
        <row r="217">
          <cell r="BD217" t="str">
            <v>.</v>
          </cell>
        </row>
        <row r="218">
          <cell r="BD218" t="str">
            <v>.</v>
          </cell>
        </row>
        <row r="219">
          <cell r="BD219" t="str">
            <v>.</v>
          </cell>
        </row>
        <row r="220">
          <cell r="BD220" t="str">
            <v>.</v>
          </cell>
        </row>
        <row r="221">
          <cell r="BD221" t="str">
            <v>.</v>
          </cell>
        </row>
        <row r="222">
          <cell r="BD222" t="str">
            <v>.</v>
          </cell>
        </row>
        <row r="223">
          <cell r="BD223" t="str">
            <v>.</v>
          </cell>
        </row>
        <row r="224">
          <cell r="BD224" t="str">
            <v>.</v>
          </cell>
        </row>
        <row r="225">
          <cell r="BD225" t="str">
            <v>.</v>
          </cell>
        </row>
        <row r="226">
          <cell r="BD226" t="str">
            <v>.</v>
          </cell>
        </row>
        <row r="227">
          <cell r="BD227" t="str">
            <v>.</v>
          </cell>
        </row>
        <row r="228">
          <cell r="BD228" t="str">
            <v>.</v>
          </cell>
        </row>
        <row r="229">
          <cell r="BD229" t="str">
            <v>.</v>
          </cell>
        </row>
        <row r="230">
          <cell r="BD230" t="str">
            <v>.</v>
          </cell>
        </row>
        <row r="231">
          <cell r="BD231" t="str">
            <v>.</v>
          </cell>
        </row>
        <row r="232">
          <cell r="BD232" t="str">
            <v>.</v>
          </cell>
        </row>
        <row r="233">
          <cell r="BD233" t="str">
            <v>.</v>
          </cell>
        </row>
        <row r="234">
          <cell r="BD234" t="str">
            <v>.</v>
          </cell>
        </row>
        <row r="235">
          <cell r="BD235" t="str">
            <v>.</v>
          </cell>
        </row>
        <row r="236">
          <cell r="BD236" t="str">
            <v>.</v>
          </cell>
        </row>
        <row r="237">
          <cell r="BD237" t="str">
            <v>.</v>
          </cell>
        </row>
        <row r="238">
          <cell r="BD238" t="str">
            <v>.</v>
          </cell>
        </row>
        <row r="239">
          <cell r="BD239" t="str">
            <v>.</v>
          </cell>
        </row>
        <row r="240">
          <cell r="BD240" t="str">
            <v>.</v>
          </cell>
        </row>
        <row r="241">
          <cell r="BD241" t="str">
            <v>.</v>
          </cell>
        </row>
        <row r="242">
          <cell r="BD242" t="str">
            <v>.</v>
          </cell>
        </row>
        <row r="243">
          <cell r="BD243" t="str">
            <v>.</v>
          </cell>
        </row>
        <row r="244">
          <cell r="BD244" t="str">
            <v>.</v>
          </cell>
        </row>
        <row r="245">
          <cell r="BD245" t="str">
            <v>.</v>
          </cell>
        </row>
        <row r="246">
          <cell r="BD246" t="str">
            <v>.</v>
          </cell>
        </row>
        <row r="247">
          <cell r="BD247" t="str">
            <v>.</v>
          </cell>
        </row>
        <row r="248">
          <cell r="BD248" t="str">
            <v>.</v>
          </cell>
        </row>
        <row r="249">
          <cell r="BD249" t="str">
            <v>.</v>
          </cell>
        </row>
        <row r="250">
          <cell r="BD250" t="str">
            <v>.</v>
          </cell>
        </row>
        <row r="251">
          <cell r="BD251" t="str">
            <v>.</v>
          </cell>
        </row>
        <row r="252">
          <cell r="BD252" t="str">
            <v>.</v>
          </cell>
        </row>
        <row r="253">
          <cell r="BD253" t="str">
            <v>.</v>
          </cell>
        </row>
        <row r="254">
          <cell r="BD254" t="str">
            <v>.</v>
          </cell>
        </row>
        <row r="255">
          <cell r="BD255" t="str">
            <v>.</v>
          </cell>
        </row>
        <row r="256">
          <cell r="BD256" t="str">
            <v>.</v>
          </cell>
        </row>
        <row r="257">
          <cell r="BD257" t="str">
            <v>.</v>
          </cell>
        </row>
        <row r="258">
          <cell r="BD258" t="str">
            <v>.</v>
          </cell>
        </row>
        <row r="259">
          <cell r="BD259" t="str">
            <v>.</v>
          </cell>
        </row>
        <row r="260">
          <cell r="BD260" t="str">
            <v>.</v>
          </cell>
        </row>
        <row r="261">
          <cell r="BD261" t="str">
            <v>.</v>
          </cell>
        </row>
        <row r="262">
          <cell r="BD262" t="str">
            <v>.</v>
          </cell>
        </row>
        <row r="263">
          <cell r="BD263" t="str">
            <v>.</v>
          </cell>
        </row>
        <row r="264">
          <cell r="BD264" t="str">
            <v>.</v>
          </cell>
        </row>
        <row r="265">
          <cell r="BD265" t="str">
            <v>.</v>
          </cell>
        </row>
        <row r="266">
          <cell r="BD266" t="str">
            <v>.</v>
          </cell>
        </row>
        <row r="267">
          <cell r="BD267" t="str">
            <v>.</v>
          </cell>
        </row>
        <row r="268">
          <cell r="BD268" t="str">
            <v>.</v>
          </cell>
        </row>
        <row r="269">
          <cell r="BD269" t="str">
            <v>.</v>
          </cell>
        </row>
        <row r="270">
          <cell r="BD270" t="str">
            <v>.</v>
          </cell>
        </row>
        <row r="271">
          <cell r="BD271" t="str">
            <v>.</v>
          </cell>
        </row>
        <row r="272">
          <cell r="BD272" t="str">
            <v>.</v>
          </cell>
        </row>
        <row r="273">
          <cell r="BD273" t="str">
            <v>.</v>
          </cell>
        </row>
        <row r="274">
          <cell r="BD274" t="str">
            <v>.</v>
          </cell>
        </row>
        <row r="275">
          <cell r="BD275" t="str">
            <v>.</v>
          </cell>
        </row>
        <row r="276">
          <cell r="BD276" t="str">
            <v>.</v>
          </cell>
        </row>
        <row r="277">
          <cell r="BD277" t="str">
            <v>.</v>
          </cell>
        </row>
        <row r="278">
          <cell r="BD278" t="str">
            <v>.</v>
          </cell>
        </row>
        <row r="279">
          <cell r="BD279" t="str">
            <v>.</v>
          </cell>
        </row>
        <row r="280">
          <cell r="BD280" t="str">
            <v>.</v>
          </cell>
        </row>
        <row r="281">
          <cell r="BD281" t="str">
            <v>.</v>
          </cell>
        </row>
        <row r="282">
          <cell r="BD282" t="str">
            <v>.</v>
          </cell>
        </row>
        <row r="283">
          <cell r="BD283" t="str">
            <v>.</v>
          </cell>
        </row>
        <row r="284">
          <cell r="BD284" t="str">
            <v>.</v>
          </cell>
        </row>
        <row r="285">
          <cell r="BD285" t="str">
            <v>.</v>
          </cell>
        </row>
        <row r="286">
          <cell r="BD286" t="str">
            <v>.</v>
          </cell>
        </row>
        <row r="287">
          <cell r="BD287" t="str">
            <v>.</v>
          </cell>
        </row>
        <row r="288">
          <cell r="BD288" t="str">
            <v>.</v>
          </cell>
        </row>
        <row r="289">
          <cell r="BD289" t="str">
            <v>.</v>
          </cell>
        </row>
        <row r="290">
          <cell r="BD290" t="str">
            <v>.</v>
          </cell>
        </row>
        <row r="291">
          <cell r="BD291" t="str">
            <v>.</v>
          </cell>
        </row>
        <row r="292">
          <cell r="BD292" t="str">
            <v>.</v>
          </cell>
        </row>
        <row r="293">
          <cell r="BD293" t="str">
            <v>.</v>
          </cell>
        </row>
        <row r="294">
          <cell r="BD294" t="str">
            <v>.</v>
          </cell>
        </row>
        <row r="295">
          <cell r="BD295" t="str">
            <v>.</v>
          </cell>
        </row>
        <row r="296">
          <cell r="BD296" t="str">
            <v>.</v>
          </cell>
        </row>
        <row r="297">
          <cell r="BD297" t="str">
            <v>.</v>
          </cell>
        </row>
        <row r="298">
          <cell r="BD298" t="str">
            <v>.</v>
          </cell>
        </row>
        <row r="299">
          <cell r="BD299" t="str">
            <v>.</v>
          </cell>
        </row>
        <row r="300">
          <cell r="BD300" t="str">
            <v>.</v>
          </cell>
        </row>
        <row r="301">
          <cell r="BD301" t="str">
            <v>.</v>
          </cell>
        </row>
        <row r="302">
          <cell r="BD302" t="str">
            <v>.</v>
          </cell>
        </row>
        <row r="303">
          <cell r="BD303" t="str">
            <v>.</v>
          </cell>
        </row>
        <row r="304">
          <cell r="BD304" t="str">
            <v>.</v>
          </cell>
        </row>
        <row r="305">
          <cell r="BD305" t="str">
            <v>.</v>
          </cell>
        </row>
        <row r="306">
          <cell r="BD306" t="str">
            <v>.</v>
          </cell>
        </row>
        <row r="307">
          <cell r="BD307" t="str">
            <v>.</v>
          </cell>
        </row>
        <row r="308">
          <cell r="BD308" t="str">
            <v>.</v>
          </cell>
        </row>
        <row r="309">
          <cell r="BD309" t="str">
            <v>.</v>
          </cell>
        </row>
        <row r="310">
          <cell r="BD310" t="str">
            <v>.</v>
          </cell>
        </row>
        <row r="311">
          <cell r="BD311" t="str">
            <v>.</v>
          </cell>
        </row>
        <row r="312">
          <cell r="BD312" t="str">
            <v>.</v>
          </cell>
        </row>
        <row r="313">
          <cell r="BD313" t="str">
            <v>.</v>
          </cell>
        </row>
        <row r="314">
          <cell r="BD314" t="str">
            <v>.</v>
          </cell>
        </row>
        <row r="315">
          <cell r="BD315" t="str">
            <v>.</v>
          </cell>
        </row>
        <row r="316">
          <cell r="BD316" t="str">
            <v>.</v>
          </cell>
        </row>
        <row r="317">
          <cell r="BD317" t="str">
            <v>.</v>
          </cell>
        </row>
        <row r="318">
          <cell r="BD318" t="str">
            <v>.</v>
          </cell>
        </row>
        <row r="319">
          <cell r="BD319" t="str">
            <v>.</v>
          </cell>
        </row>
        <row r="320">
          <cell r="BD320" t="str">
            <v>.</v>
          </cell>
        </row>
        <row r="321">
          <cell r="BD321" t="str">
            <v>.</v>
          </cell>
        </row>
        <row r="322">
          <cell r="BD322" t="str">
            <v>.</v>
          </cell>
        </row>
        <row r="323">
          <cell r="BD323" t="str">
            <v>.</v>
          </cell>
        </row>
        <row r="324">
          <cell r="BD324" t="str">
            <v>.</v>
          </cell>
        </row>
        <row r="325">
          <cell r="BD325" t="str">
            <v>.</v>
          </cell>
        </row>
        <row r="326">
          <cell r="BD326" t="str">
            <v>.</v>
          </cell>
        </row>
        <row r="327">
          <cell r="BD327" t="str">
            <v>.</v>
          </cell>
        </row>
        <row r="328">
          <cell r="BD328" t="str">
            <v>.</v>
          </cell>
        </row>
        <row r="329">
          <cell r="BD329" t="str">
            <v>.</v>
          </cell>
        </row>
        <row r="330">
          <cell r="BD330" t="str">
            <v>.</v>
          </cell>
        </row>
        <row r="331">
          <cell r="BD331" t="str">
            <v>.</v>
          </cell>
        </row>
        <row r="332">
          <cell r="BD332" t="str">
            <v>.</v>
          </cell>
        </row>
        <row r="333">
          <cell r="BD333" t="str">
            <v>.</v>
          </cell>
        </row>
        <row r="334">
          <cell r="BD334" t="str">
            <v>.</v>
          </cell>
        </row>
        <row r="335">
          <cell r="BD335" t="str">
            <v>.</v>
          </cell>
        </row>
        <row r="336">
          <cell r="BD336" t="str">
            <v>.</v>
          </cell>
        </row>
        <row r="337">
          <cell r="BD337" t="str">
            <v>.</v>
          </cell>
        </row>
        <row r="338">
          <cell r="BD338" t="str">
            <v>.</v>
          </cell>
        </row>
        <row r="339">
          <cell r="BD339" t="str">
            <v>.</v>
          </cell>
        </row>
        <row r="340">
          <cell r="BD340" t="str">
            <v>.</v>
          </cell>
        </row>
        <row r="341">
          <cell r="BD341" t="str">
            <v>.</v>
          </cell>
        </row>
        <row r="342">
          <cell r="BD342" t="str">
            <v>.</v>
          </cell>
        </row>
        <row r="343">
          <cell r="BD343" t="str">
            <v>.</v>
          </cell>
        </row>
        <row r="344">
          <cell r="BD344" t="str">
            <v>.</v>
          </cell>
        </row>
        <row r="345">
          <cell r="BD345" t="str">
            <v>.</v>
          </cell>
        </row>
        <row r="346">
          <cell r="BD346" t="str">
            <v>.</v>
          </cell>
        </row>
        <row r="347">
          <cell r="BD347" t="str">
            <v>.</v>
          </cell>
        </row>
        <row r="348">
          <cell r="BD348" t="str">
            <v>.</v>
          </cell>
        </row>
        <row r="349">
          <cell r="BD349" t="str">
            <v>.</v>
          </cell>
        </row>
        <row r="350">
          <cell r="BD350" t="str">
            <v>.</v>
          </cell>
        </row>
        <row r="351">
          <cell r="BD351" t="str">
            <v>.</v>
          </cell>
        </row>
        <row r="352">
          <cell r="BD352" t="str">
            <v>.</v>
          </cell>
        </row>
        <row r="353">
          <cell r="BD353" t="str">
            <v>.</v>
          </cell>
        </row>
        <row r="354">
          <cell r="BD354" t="str">
            <v>.</v>
          </cell>
        </row>
        <row r="355">
          <cell r="BD355" t="str">
            <v>.</v>
          </cell>
        </row>
        <row r="356">
          <cell r="BD356" t="str">
            <v>.</v>
          </cell>
        </row>
        <row r="357">
          <cell r="BD357" t="str">
            <v>.</v>
          </cell>
        </row>
        <row r="358">
          <cell r="BD358" t="str">
            <v>.</v>
          </cell>
        </row>
        <row r="359">
          <cell r="BD359" t="str">
            <v>.</v>
          </cell>
        </row>
        <row r="360">
          <cell r="BD360" t="str">
            <v>.</v>
          </cell>
        </row>
        <row r="361">
          <cell r="BD361" t="str">
            <v>.</v>
          </cell>
        </row>
        <row r="362">
          <cell r="BD362" t="str">
            <v>.</v>
          </cell>
        </row>
        <row r="363">
          <cell r="BD363" t="str">
            <v>.</v>
          </cell>
        </row>
        <row r="364">
          <cell r="BD364" t="str">
            <v>.</v>
          </cell>
        </row>
        <row r="365">
          <cell r="BD365" t="str">
            <v>.</v>
          </cell>
        </row>
        <row r="366">
          <cell r="BD366" t="str">
            <v>.</v>
          </cell>
        </row>
        <row r="367">
          <cell r="BD367" t="str">
            <v>.</v>
          </cell>
        </row>
        <row r="368">
          <cell r="BD368" t="str">
            <v>.</v>
          </cell>
        </row>
        <row r="369">
          <cell r="BD369" t="str">
            <v>.</v>
          </cell>
        </row>
        <row r="370">
          <cell r="BD370" t="str">
            <v>.</v>
          </cell>
        </row>
        <row r="371">
          <cell r="BD371" t="str">
            <v>.</v>
          </cell>
        </row>
        <row r="372">
          <cell r="BD372" t="str">
            <v>.</v>
          </cell>
        </row>
        <row r="373">
          <cell r="BD373" t="str">
            <v>.</v>
          </cell>
        </row>
        <row r="374">
          <cell r="BD374" t="str">
            <v>.</v>
          </cell>
        </row>
        <row r="375">
          <cell r="BD375" t="str">
            <v>.</v>
          </cell>
        </row>
        <row r="376">
          <cell r="BD376" t="str">
            <v>.</v>
          </cell>
        </row>
        <row r="377">
          <cell r="BD377" t="str">
            <v>.</v>
          </cell>
        </row>
        <row r="378">
          <cell r="BD378" t="str">
            <v>.</v>
          </cell>
        </row>
        <row r="379">
          <cell r="BD379" t="str">
            <v>.</v>
          </cell>
        </row>
        <row r="380">
          <cell r="BD380" t="str">
            <v>.</v>
          </cell>
        </row>
        <row r="381">
          <cell r="BD381" t="str">
            <v>.</v>
          </cell>
        </row>
        <row r="382">
          <cell r="BD382" t="str">
            <v>.</v>
          </cell>
        </row>
        <row r="383">
          <cell r="BD383" t="str">
            <v>.</v>
          </cell>
        </row>
        <row r="384">
          <cell r="BD384" t="str">
            <v>.</v>
          </cell>
        </row>
        <row r="385">
          <cell r="BD385" t="str">
            <v>.</v>
          </cell>
        </row>
        <row r="386">
          <cell r="BD386" t="str">
            <v>.</v>
          </cell>
        </row>
        <row r="387">
          <cell r="BD387" t="str">
            <v>.</v>
          </cell>
        </row>
        <row r="388">
          <cell r="BD388" t="str">
            <v>.</v>
          </cell>
        </row>
        <row r="389">
          <cell r="BD389" t="str">
            <v>.</v>
          </cell>
        </row>
        <row r="390">
          <cell r="BD390" t="str">
            <v>.</v>
          </cell>
        </row>
        <row r="391">
          <cell r="BD391" t="str">
            <v>.</v>
          </cell>
        </row>
        <row r="392">
          <cell r="BD392" t="str">
            <v>.</v>
          </cell>
        </row>
        <row r="393">
          <cell r="BD393" t="str">
            <v>.</v>
          </cell>
        </row>
        <row r="394">
          <cell r="BD394" t="str">
            <v>.</v>
          </cell>
        </row>
        <row r="395">
          <cell r="BD395" t="str">
            <v>.</v>
          </cell>
        </row>
        <row r="396">
          <cell r="BD396" t="str">
            <v>.</v>
          </cell>
        </row>
        <row r="397">
          <cell r="BD397" t="str">
            <v>.</v>
          </cell>
        </row>
        <row r="398">
          <cell r="BD398" t="str">
            <v>.</v>
          </cell>
        </row>
        <row r="399">
          <cell r="BD399" t="str">
            <v>.</v>
          </cell>
        </row>
        <row r="400">
          <cell r="BD400" t="str">
            <v>.</v>
          </cell>
        </row>
        <row r="401">
          <cell r="BD401" t="str">
            <v>.</v>
          </cell>
        </row>
        <row r="402">
          <cell r="BD402" t="str">
            <v>.</v>
          </cell>
        </row>
        <row r="403">
          <cell r="BD403" t="str">
            <v>.</v>
          </cell>
        </row>
        <row r="404">
          <cell r="BD404" t="str">
            <v>.</v>
          </cell>
        </row>
        <row r="405">
          <cell r="BD405" t="str">
            <v>.</v>
          </cell>
        </row>
        <row r="406">
          <cell r="BD406" t="str">
            <v>.</v>
          </cell>
        </row>
        <row r="407">
          <cell r="BD407" t="str">
            <v>.</v>
          </cell>
        </row>
        <row r="408">
          <cell r="BD408" t="str">
            <v>.</v>
          </cell>
        </row>
        <row r="409">
          <cell r="BD409" t="str">
            <v>.</v>
          </cell>
        </row>
        <row r="410">
          <cell r="BD410" t="str">
            <v>.</v>
          </cell>
        </row>
        <row r="411">
          <cell r="BD411" t="str">
            <v>.</v>
          </cell>
        </row>
        <row r="412">
          <cell r="BD412" t="str">
            <v>.</v>
          </cell>
        </row>
        <row r="413">
          <cell r="BD413" t="str">
            <v>.</v>
          </cell>
        </row>
        <row r="414">
          <cell r="BD414" t="str">
            <v>.</v>
          </cell>
        </row>
        <row r="415">
          <cell r="BD415" t="str">
            <v>.</v>
          </cell>
        </row>
        <row r="416">
          <cell r="BD416" t="str">
            <v>.</v>
          </cell>
        </row>
        <row r="417">
          <cell r="BD417" t="str">
            <v>.</v>
          </cell>
        </row>
        <row r="418">
          <cell r="BD418" t="str">
            <v>.</v>
          </cell>
        </row>
        <row r="419">
          <cell r="BD419" t="str">
            <v>.</v>
          </cell>
        </row>
        <row r="420">
          <cell r="BD420" t="str">
            <v>.</v>
          </cell>
        </row>
        <row r="421">
          <cell r="BD421" t="str">
            <v>.</v>
          </cell>
        </row>
        <row r="422">
          <cell r="BD422" t="str">
            <v>.</v>
          </cell>
        </row>
        <row r="423">
          <cell r="BD423" t="str">
            <v>.</v>
          </cell>
        </row>
        <row r="424">
          <cell r="BD424" t="str">
            <v>.</v>
          </cell>
        </row>
        <row r="425">
          <cell r="BD425" t="str">
            <v>.</v>
          </cell>
        </row>
        <row r="426">
          <cell r="BD426" t="str">
            <v>.</v>
          </cell>
        </row>
        <row r="427">
          <cell r="BD427" t="str">
            <v>.</v>
          </cell>
        </row>
        <row r="428">
          <cell r="BD428" t="str">
            <v>.</v>
          </cell>
        </row>
        <row r="429">
          <cell r="BD429" t="str">
            <v>.</v>
          </cell>
        </row>
        <row r="430">
          <cell r="BD430" t="str">
            <v>.</v>
          </cell>
        </row>
        <row r="431">
          <cell r="BD431" t="str">
            <v>.</v>
          </cell>
        </row>
        <row r="432">
          <cell r="BD432" t="str">
            <v>.</v>
          </cell>
        </row>
        <row r="433">
          <cell r="BD433" t="str">
            <v>.</v>
          </cell>
        </row>
        <row r="434">
          <cell r="BD434" t="str">
            <v>.</v>
          </cell>
        </row>
        <row r="435">
          <cell r="BD435" t="str">
            <v>.</v>
          </cell>
        </row>
        <row r="436">
          <cell r="BD436" t="str">
            <v>.</v>
          </cell>
        </row>
        <row r="437">
          <cell r="BD437" t="str">
            <v>.</v>
          </cell>
        </row>
        <row r="438">
          <cell r="BD438" t="str">
            <v>.</v>
          </cell>
        </row>
        <row r="439">
          <cell r="BD439" t="str">
            <v>.</v>
          </cell>
        </row>
        <row r="440">
          <cell r="BD440" t="str">
            <v>.</v>
          </cell>
        </row>
        <row r="441">
          <cell r="BD441" t="str">
            <v>.</v>
          </cell>
        </row>
        <row r="442">
          <cell r="BD442" t="str">
            <v>.</v>
          </cell>
        </row>
        <row r="443">
          <cell r="BD443" t="str">
            <v>.</v>
          </cell>
        </row>
        <row r="444">
          <cell r="BD444" t="str">
            <v>.</v>
          </cell>
        </row>
        <row r="445">
          <cell r="BD445" t="str">
            <v>.</v>
          </cell>
        </row>
        <row r="446">
          <cell r="BD446" t="str">
            <v>.</v>
          </cell>
        </row>
        <row r="447">
          <cell r="BD447" t="str">
            <v>.</v>
          </cell>
        </row>
        <row r="448">
          <cell r="BD448" t="str">
            <v>.</v>
          </cell>
        </row>
        <row r="449">
          <cell r="BD449" t="str">
            <v>.</v>
          </cell>
        </row>
        <row r="450">
          <cell r="BD450" t="str">
            <v>.</v>
          </cell>
        </row>
        <row r="451">
          <cell r="BD451" t="str">
            <v>.</v>
          </cell>
        </row>
        <row r="452">
          <cell r="BD452" t="str">
            <v>.</v>
          </cell>
        </row>
        <row r="453">
          <cell r="BD453" t="str">
            <v>.</v>
          </cell>
        </row>
        <row r="454">
          <cell r="BD454" t="str">
            <v>.</v>
          </cell>
        </row>
        <row r="455">
          <cell r="BD455" t="str">
            <v>.</v>
          </cell>
        </row>
        <row r="456">
          <cell r="BD456" t="str">
            <v>.</v>
          </cell>
        </row>
        <row r="457">
          <cell r="BD457" t="str">
            <v>.</v>
          </cell>
        </row>
        <row r="458">
          <cell r="BD458" t="str">
            <v>.</v>
          </cell>
        </row>
        <row r="459">
          <cell r="BD459" t="str">
            <v>.</v>
          </cell>
        </row>
        <row r="460">
          <cell r="BD460" t="str">
            <v>.</v>
          </cell>
        </row>
        <row r="461">
          <cell r="BD461" t="str">
            <v>.</v>
          </cell>
        </row>
        <row r="462">
          <cell r="BD462" t="str">
            <v>.</v>
          </cell>
        </row>
        <row r="463">
          <cell r="BD463" t="str">
            <v>.</v>
          </cell>
        </row>
        <row r="464">
          <cell r="BD464" t="str">
            <v>.</v>
          </cell>
        </row>
        <row r="465">
          <cell r="BD465" t="str">
            <v>.</v>
          </cell>
        </row>
        <row r="466">
          <cell r="BD466" t="str">
            <v>.</v>
          </cell>
        </row>
        <row r="467">
          <cell r="BD467" t="str">
            <v>.</v>
          </cell>
        </row>
        <row r="468">
          <cell r="BD468" t="str">
            <v>.</v>
          </cell>
        </row>
        <row r="469">
          <cell r="BD469" t="str">
            <v>.</v>
          </cell>
        </row>
        <row r="470">
          <cell r="BD470" t="str">
            <v>.</v>
          </cell>
        </row>
        <row r="471">
          <cell r="BD471" t="str">
            <v>.</v>
          </cell>
        </row>
        <row r="472">
          <cell r="BD472" t="str">
            <v>.</v>
          </cell>
        </row>
        <row r="473">
          <cell r="BD473" t="str">
            <v>.</v>
          </cell>
        </row>
        <row r="474">
          <cell r="BD474" t="str">
            <v>.</v>
          </cell>
        </row>
        <row r="475">
          <cell r="BD475" t="str">
            <v>.</v>
          </cell>
        </row>
        <row r="476">
          <cell r="BD476" t="str">
            <v>.</v>
          </cell>
        </row>
        <row r="477">
          <cell r="BD477" t="str">
            <v>.</v>
          </cell>
        </row>
        <row r="478">
          <cell r="BD478" t="str">
            <v>.</v>
          </cell>
        </row>
        <row r="479">
          <cell r="BD479" t="str">
            <v>.</v>
          </cell>
        </row>
        <row r="480">
          <cell r="BD480" t="str">
            <v>.</v>
          </cell>
        </row>
        <row r="481">
          <cell r="BD481" t="str">
            <v>.</v>
          </cell>
        </row>
        <row r="482">
          <cell r="BD482" t="str">
            <v>.</v>
          </cell>
        </row>
        <row r="483">
          <cell r="BD483" t="str">
            <v>.</v>
          </cell>
        </row>
        <row r="484">
          <cell r="BD484" t="str">
            <v>.</v>
          </cell>
        </row>
        <row r="485">
          <cell r="BD485" t="str">
            <v>.</v>
          </cell>
        </row>
        <row r="486">
          <cell r="BD486" t="str">
            <v>.</v>
          </cell>
        </row>
        <row r="487">
          <cell r="BD487" t="str">
            <v>.</v>
          </cell>
        </row>
        <row r="488">
          <cell r="BD488" t="str">
            <v>.</v>
          </cell>
        </row>
        <row r="489">
          <cell r="BD489" t="str">
            <v>.</v>
          </cell>
        </row>
        <row r="490">
          <cell r="BD490" t="str">
            <v>.</v>
          </cell>
        </row>
        <row r="491">
          <cell r="BD491" t="str">
            <v>.</v>
          </cell>
        </row>
        <row r="492">
          <cell r="BD492" t="str">
            <v>.</v>
          </cell>
        </row>
        <row r="493">
          <cell r="BD493" t="str">
            <v>.</v>
          </cell>
        </row>
        <row r="494">
          <cell r="BD494" t="str">
            <v>.</v>
          </cell>
        </row>
        <row r="495">
          <cell r="BD495" t="str">
            <v>.</v>
          </cell>
        </row>
        <row r="496">
          <cell r="BD496" t="str">
            <v>.</v>
          </cell>
        </row>
        <row r="497">
          <cell r="BD497" t="str">
            <v>.</v>
          </cell>
        </row>
        <row r="498">
          <cell r="BD498" t="str">
            <v>.</v>
          </cell>
        </row>
        <row r="499">
          <cell r="BD499" t="str">
            <v>.</v>
          </cell>
        </row>
        <row r="500">
          <cell r="BD500" t="str">
            <v>.</v>
          </cell>
        </row>
        <row r="501">
          <cell r="BD501" t="str">
            <v>.</v>
          </cell>
        </row>
        <row r="502">
          <cell r="BD502" t="str">
            <v>.</v>
          </cell>
        </row>
        <row r="503">
          <cell r="BD503" t="str">
            <v>.</v>
          </cell>
        </row>
        <row r="504">
          <cell r="BD504" t="str">
            <v>.</v>
          </cell>
        </row>
        <row r="505">
          <cell r="BD505" t="str">
            <v>.</v>
          </cell>
        </row>
        <row r="506">
          <cell r="BD506" t="str">
            <v>.</v>
          </cell>
        </row>
        <row r="507">
          <cell r="BD507" t="str">
            <v>.</v>
          </cell>
        </row>
        <row r="508">
          <cell r="BD508" t="str">
            <v>.</v>
          </cell>
        </row>
        <row r="509">
          <cell r="BD509" t="str">
            <v>.</v>
          </cell>
        </row>
        <row r="510">
          <cell r="BD510" t="str">
            <v>.</v>
          </cell>
        </row>
        <row r="511">
          <cell r="BD511" t="str">
            <v>.</v>
          </cell>
        </row>
        <row r="512">
          <cell r="BD512" t="str">
            <v>.</v>
          </cell>
        </row>
        <row r="513">
          <cell r="BD513" t="str">
            <v>.</v>
          </cell>
        </row>
        <row r="514">
          <cell r="BD514" t="str">
            <v>.</v>
          </cell>
        </row>
        <row r="515">
          <cell r="BD515" t="str">
            <v>.</v>
          </cell>
        </row>
        <row r="516">
          <cell r="BD516" t="str">
            <v>.</v>
          </cell>
        </row>
        <row r="517">
          <cell r="BD517" t="str">
            <v>.</v>
          </cell>
        </row>
        <row r="518">
          <cell r="BD518" t="str">
            <v>.</v>
          </cell>
        </row>
        <row r="519">
          <cell r="BD519" t="str">
            <v>.</v>
          </cell>
        </row>
        <row r="520">
          <cell r="BD520" t="str">
            <v>.</v>
          </cell>
        </row>
        <row r="521">
          <cell r="BD521" t="str">
            <v>.</v>
          </cell>
        </row>
        <row r="522">
          <cell r="BD522" t="str">
            <v>.</v>
          </cell>
        </row>
        <row r="523">
          <cell r="BD523" t="str">
            <v>.</v>
          </cell>
        </row>
        <row r="524">
          <cell r="BD524" t="str">
            <v>.</v>
          </cell>
        </row>
        <row r="525">
          <cell r="BD525" t="str">
            <v>.</v>
          </cell>
        </row>
        <row r="526">
          <cell r="BD526" t="str">
            <v>.</v>
          </cell>
        </row>
        <row r="527">
          <cell r="BD527" t="str">
            <v>.</v>
          </cell>
        </row>
        <row r="528">
          <cell r="BD528" t="str">
            <v>.</v>
          </cell>
        </row>
        <row r="529">
          <cell r="BD529" t="str">
            <v>.</v>
          </cell>
        </row>
        <row r="530">
          <cell r="BD530" t="str">
            <v>.</v>
          </cell>
        </row>
        <row r="531">
          <cell r="BD531" t="str">
            <v>.</v>
          </cell>
        </row>
        <row r="532">
          <cell r="BD532" t="str">
            <v>.</v>
          </cell>
        </row>
        <row r="533">
          <cell r="BD533" t="str">
            <v>.</v>
          </cell>
        </row>
        <row r="534">
          <cell r="BD534" t="str">
            <v>.</v>
          </cell>
        </row>
        <row r="535">
          <cell r="BD535" t="str">
            <v>.</v>
          </cell>
        </row>
        <row r="536">
          <cell r="BD536" t="str">
            <v>.</v>
          </cell>
        </row>
        <row r="537">
          <cell r="BD537" t="str">
            <v>.</v>
          </cell>
        </row>
        <row r="538">
          <cell r="BD538" t="str">
            <v>.</v>
          </cell>
        </row>
        <row r="539">
          <cell r="BD539" t="str">
            <v>.</v>
          </cell>
        </row>
        <row r="540">
          <cell r="BD540" t="str">
            <v>.</v>
          </cell>
        </row>
        <row r="541">
          <cell r="BD541" t="str">
            <v>.</v>
          </cell>
        </row>
        <row r="542">
          <cell r="BD542" t="str">
            <v>.</v>
          </cell>
        </row>
        <row r="543">
          <cell r="BD543" t="str">
            <v>.</v>
          </cell>
        </row>
        <row r="544">
          <cell r="BD544" t="str">
            <v>.</v>
          </cell>
        </row>
        <row r="545">
          <cell r="BD545" t="str">
            <v>.</v>
          </cell>
        </row>
        <row r="546">
          <cell r="BD546" t="str">
            <v>.</v>
          </cell>
        </row>
        <row r="547">
          <cell r="BD547" t="str">
            <v>.</v>
          </cell>
        </row>
        <row r="548">
          <cell r="BD548" t="str">
            <v>.</v>
          </cell>
        </row>
        <row r="549">
          <cell r="BD549" t="str">
            <v>.</v>
          </cell>
        </row>
        <row r="550">
          <cell r="BD550" t="str">
            <v>.</v>
          </cell>
        </row>
        <row r="551">
          <cell r="BD551" t="str">
            <v>.</v>
          </cell>
        </row>
        <row r="552">
          <cell r="BD552" t="str">
            <v>.</v>
          </cell>
        </row>
        <row r="553">
          <cell r="BD553" t="str">
            <v>.</v>
          </cell>
        </row>
        <row r="554">
          <cell r="BD554" t="str">
            <v>.</v>
          </cell>
        </row>
        <row r="555">
          <cell r="BD555" t="str">
            <v>.</v>
          </cell>
        </row>
        <row r="556">
          <cell r="BD556" t="str">
            <v>.</v>
          </cell>
        </row>
        <row r="557">
          <cell r="BD557" t="str">
            <v>.</v>
          </cell>
        </row>
        <row r="558">
          <cell r="BD558" t="str">
            <v>.</v>
          </cell>
        </row>
        <row r="559">
          <cell r="BD559" t="str">
            <v>.</v>
          </cell>
        </row>
        <row r="560">
          <cell r="BD560" t="str">
            <v>.</v>
          </cell>
        </row>
        <row r="561">
          <cell r="BD561" t="str">
            <v>.</v>
          </cell>
        </row>
        <row r="562">
          <cell r="BD562" t="str">
            <v>.</v>
          </cell>
        </row>
        <row r="563">
          <cell r="BD563" t="str">
            <v>.</v>
          </cell>
        </row>
        <row r="564">
          <cell r="BD564" t="str">
            <v>.</v>
          </cell>
        </row>
        <row r="565">
          <cell r="BD565" t="str">
            <v>.</v>
          </cell>
        </row>
        <row r="566">
          <cell r="BD566" t="str">
            <v>.</v>
          </cell>
        </row>
        <row r="567">
          <cell r="BD567" t="str">
            <v>.</v>
          </cell>
        </row>
        <row r="568">
          <cell r="BD568" t="str">
            <v>.</v>
          </cell>
        </row>
        <row r="569">
          <cell r="BD569" t="str">
            <v>.</v>
          </cell>
        </row>
        <row r="570">
          <cell r="BD570" t="str">
            <v>.</v>
          </cell>
        </row>
        <row r="571">
          <cell r="BD571" t="str">
            <v>.</v>
          </cell>
        </row>
        <row r="572">
          <cell r="BD572" t="str">
            <v>.</v>
          </cell>
        </row>
        <row r="573">
          <cell r="BD573" t="str">
            <v>.</v>
          </cell>
        </row>
        <row r="574">
          <cell r="BD574" t="str">
            <v>.</v>
          </cell>
        </row>
        <row r="575">
          <cell r="BD575" t="str">
            <v>.</v>
          </cell>
        </row>
        <row r="576">
          <cell r="BD576" t="str">
            <v>.</v>
          </cell>
        </row>
        <row r="577">
          <cell r="BD577" t="str">
            <v>.</v>
          </cell>
        </row>
        <row r="578">
          <cell r="BD578" t="str">
            <v>.</v>
          </cell>
        </row>
        <row r="579">
          <cell r="BD579" t="str">
            <v>.</v>
          </cell>
        </row>
        <row r="580">
          <cell r="BD580" t="str">
            <v>.</v>
          </cell>
        </row>
        <row r="581">
          <cell r="BD581" t="str">
            <v>.</v>
          </cell>
        </row>
        <row r="582">
          <cell r="BD582" t="str">
            <v>.</v>
          </cell>
        </row>
        <row r="583">
          <cell r="BD583" t="str">
            <v>.</v>
          </cell>
        </row>
        <row r="584">
          <cell r="BD584" t="str">
            <v>.</v>
          </cell>
        </row>
        <row r="585">
          <cell r="BD585" t="str">
            <v>.</v>
          </cell>
        </row>
        <row r="586">
          <cell r="BD586" t="str">
            <v>.</v>
          </cell>
        </row>
        <row r="587">
          <cell r="BD587" t="str">
            <v>.</v>
          </cell>
        </row>
        <row r="588">
          <cell r="BD588" t="str">
            <v>.</v>
          </cell>
        </row>
        <row r="589">
          <cell r="BD589" t="str">
            <v>.</v>
          </cell>
        </row>
        <row r="590">
          <cell r="BD590" t="str">
            <v>.</v>
          </cell>
        </row>
        <row r="591">
          <cell r="BD591" t="str">
            <v>.</v>
          </cell>
        </row>
        <row r="592">
          <cell r="BD592" t="str">
            <v>.</v>
          </cell>
        </row>
        <row r="593">
          <cell r="BD593" t="str">
            <v>.</v>
          </cell>
        </row>
        <row r="594">
          <cell r="BD594" t="str">
            <v>.</v>
          </cell>
        </row>
        <row r="595">
          <cell r="BD595" t="str">
            <v>.</v>
          </cell>
        </row>
        <row r="596">
          <cell r="BD596" t="str">
            <v>.</v>
          </cell>
        </row>
        <row r="597">
          <cell r="BD597" t="str">
            <v>.</v>
          </cell>
        </row>
        <row r="598">
          <cell r="BD598" t="str">
            <v>.</v>
          </cell>
        </row>
        <row r="599">
          <cell r="BD599" t="str">
            <v>.</v>
          </cell>
        </row>
        <row r="600">
          <cell r="BD600" t="str">
            <v>.</v>
          </cell>
        </row>
        <row r="601">
          <cell r="BD601" t="str">
            <v>.</v>
          </cell>
        </row>
        <row r="602">
          <cell r="BD602" t="str">
            <v>.</v>
          </cell>
        </row>
        <row r="603">
          <cell r="BD603" t="str">
            <v>.</v>
          </cell>
        </row>
        <row r="604">
          <cell r="BD604" t="str">
            <v>.</v>
          </cell>
        </row>
        <row r="605">
          <cell r="BD605" t="str">
            <v>.</v>
          </cell>
        </row>
        <row r="606">
          <cell r="BD606" t="str">
            <v>.</v>
          </cell>
        </row>
        <row r="607">
          <cell r="BD607" t="str">
            <v>.</v>
          </cell>
        </row>
        <row r="608">
          <cell r="BD608" t="str">
            <v>.</v>
          </cell>
        </row>
        <row r="609">
          <cell r="BD609" t="str">
            <v>.</v>
          </cell>
        </row>
        <row r="610">
          <cell r="BD610" t="str">
            <v>.</v>
          </cell>
        </row>
        <row r="611">
          <cell r="BD611" t="str">
            <v>.</v>
          </cell>
        </row>
        <row r="612">
          <cell r="BD612" t="str">
            <v>.</v>
          </cell>
        </row>
        <row r="613">
          <cell r="BD613" t="str">
            <v>.</v>
          </cell>
        </row>
        <row r="614">
          <cell r="BD614" t="str">
            <v>.</v>
          </cell>
        </row>
        <row r="615">
          <cell r="BD615" t="str">
            <v>.</v>
          </cell>
        </row>
        <row r="616">
          <cell r="BD616" t="str">
            <v>.</v>
          </cell>
        </row>
        <row r="617">
          <cell r="BD617" t="str">
            <v>.</v>
          </cell>
        </row>
        <row r="618">
          <cell r="BD618" t="str">
            <v>.</v>
          </cell>
        </row>
        <row r="619">
          <cell r="BD619" t="str">
            <v>.</v>
          </cell>
        </row>
        <row r="620">
          <cell r="BD620" t="str">
            <v>.</v>
          </cell>
        </row>
        <row r="621">
          <cell r="BD621" t="str">
            <v>.</v>
          </cell>
        </row>
        <row r="622">
          <cell r="BD622" t="str">
            <v>.</v>
          </cell>
        </row>
        <row r="623">
          <cell r="BD623" t="str">
            <v>.</v>
          </cell>
        </row>
        <row r="624">
          <cell r="BD624" t="str">
            <v>.</v>
          </cell>
        </row>
        <row r="625">
          <cell r="BD625" t="str">
            <v>.</v>
          </cell>
        </row>
        <row r="626">
          <cell r="BD626" t="str">
            <v>.</v>
          </cell>
        </row>
        <row r="627">
          <cell r="BD627" t="str">
            <v>.</v>
          </cell>
        </row>
        <row r="628">
          <cell r="BD628" t="str">
            <v>.</v>
          </cell>
        </row>
        <row r="629">
          <cell r="BD629" t="str">
            <v>.</v>
          </cell>
        </row>
        <row r="630">
          <cell r="BD630" t="str">
            <v>.</v>
          </cell>
        </row>
        <row r="631">
          <cell r="BD631" t="str">
            <v>.</v>
          </cell>
        </row>
        <row r="632">
          <cell r="BD632" t="str">
            <v>.</v>
          </cell>
        </row>
        <row r="633">
          <cell r="BD633" t="str">
            <v>.</v>
          </cell>
        </row>
        <row r="634">
          <cell r="BD634" t="str">
            <v>.</v>
          </cell>
        </row>
        <row r="635">
          <cell r="BD635" t="str">
            <v>.</v>
          </cell>
        </row>
        <row r="636">
          <cell r="BD636" t="str">
            <v>.</v>
          </cell>
        </row>
        <row r="637">
          <cell r="BD637" t="str">
            <v>.</v>
          </cell>
        </row>
        <row r="638">
          <cell r="BD638" t="str">
            <v>.</v>
          </cell>
        </row>
        <row r="639">
          <cell r="BD639" t="str">
            <v>.</v>
          </cell>
        </row>
        <row r="640">
          <cell r="BD640" t="str">
            <v>.</v>
          </cell>
        </row>
        <row r="641">
          <cell r="BD641" t="str">
            <v>.</v>
          </cell>
        </row>
        <row r="642">
          <cell r="BD642" t="str">
            <v>.</v>
          </cell>
        </row>
        <row r="643">
          <cell r="BD643" t="str">
            <v>.</v>
          </cell>
        </row>
        <row r="644">
          <cell r="BD644" t="str">
            <v>.</v>
          </cell>
        </row>
        <row r="645">
          <cell r="BD645" t="str">
            <v>.</v>
          </cell>
        </row>
        <row r="646">
          <cell r="BD646" t="str">
            <v>.</v>
          </cell>
        </row>
        <row r="647">
          <cell r="BD647" t="str">
            <v>.</v>
          </cell>
        </row>
        <row r="648">
          <cell r="BD648" t="str">
            <v>.</v>
          </cell>
        </row>
        <row r="649">
          <cell r="BD649" t="str">
            <v>.</v>
          </cell>
        </row>
        <row r="650">
          <cell r="BD650" t="str">
            <v>.</v>
          </cell>
        </row>
        <row r="651">
          <cell r="BD651" t="str">
            <v>.</v>
          </cell>
        </row>
        <row r="652">
          <cell r="BD652" t="str">
            <v>.</v>
          </cell>
        </row>
        <row r="653">
          <cell r="BD653" t="str">
            <v>.</v>
          </cell>
        </row>
        <row r="654">
          <cell r="BD654" t="str">
            <v>.</v>
          </cell>
        </row>
        <row r="655">
          <cell r="BD655" t="str">
            <v>.</v>
          </cell>
        </row>
        <row r="656">
          <cell r="BD656" t="str">
            <v>.</v>
          </cell>
        </row>
        <row r="657">
          <cell r="BD657" t="str">
            <v>.</v>
          </cell>
        </row>
        <row r="658">
          <cell r="BD658" t="str">
            <v>.</v>
          </cell>
        </row>
        <row r="659">
          <cell r="BD659" t="str">
            <v>.</v>
          </cell>
        </row>
        <row r="660">
          <cell r="BD660" t="str">
            <v>.</v>
          </cell>
        </row>
        <row r="661">
          <cell r="BD661" t="str">
            <v>.</v>
          </cell>
        </row>
        <row r="662">
          <cell r="BD662" t="str">
            <v>.</v>
          </cell>
        </row>
        <row r="663">
          <cell r="BD663" t="str">
            <v>.</v>
          </cell>
        </row>
        <row r="664">
          <cell r="BD664" t="str">
            <v>.</v>
          </cell>
        </row>
        <row r="665">
          <cell r="BD665" t="str">
            <v>.</v>
          </cell>
        </row>
        <row r="666">
          <cell r="BD666" t="str">
            <v>.</v>
          </cell>
        </row>
        <row r="667">
          <cell r="BD667" t="str">
            <v>.</v>
          </cell>
        </row>
        <row r="668">
          <cell r="BD668" t="str">
            <v>.</v>
          </cell>
        </row>
        <row r="669">
          <cell r="BD669" t="str">
            <v>.</v>
          </cell>
        </row>
        <row r="670">
          <cell r="BD670" t="str">
            <v>.</v>
          </cell>
        </row>
        <row r="671">
          <cell r="BD671" t="str">
            <v>.</v>
          </cell>
        </row>
        <row r="672">
          <cell r="BD672" t="str">
            <v>.</v>
          </cell>
        </row>
        <row r="673">
          <cell r="BD673" t="str">
            <v>.</v>
          </cell>
        </row>
        <row r="674">
          <cell r="BD674" t="str">
            <v>.</v>
          </cell>
        </row>
        <row r="675">
          <cell r="BD675" t="str">
            <v>.</v>
          </cell>
        </row>
        <row r="676">
          <cell r="BD676" t="str">
            <v>.</v>
          </cell>
        </row>
        <row r="677">
          <cell r="BD677" t="str">
            <v>.</v>
          </cell>
        </row>
        <row r="678">
          <cell r="BD678" t="str">
            <v>.</v>
          </cell>
        </row>
        <row r="679">
          <cell r="BD679" t="str">
            <v>.</v>
          </cell>
        </row>
        <row r="680">
          <cell r="BD680" t="str">
            <v>.</v>
          </cell>
        </row>
        <row r="681">
          <cell r="BD681" t="str">
            <v>.</v>
          </cell>
        </row>
        <row r="682">
          <cell r="BD682" t="str">
            <v>.</v>
          </cell>
        </row>
        <row r="683">
          <cell r="BD683" t="str">
            <v>.</v>
          </cell>
        </row>
        <row r="684">
          <cell r="BD684" t="str">
            <v>.</v>
          </cell>
        </row>
        <row r="685">
          <cell r="BD685" t="str">
            <v>.</v>
          </cell>
        </row>
        <row r="686">
          <cell r="BD686" t="str">
            <v>.</v>
          </cell>
        </row>
        <row r="687">
          <cell r="BD687" t="str">
            <v>.</v>
          </cell>
        </row>
        <row r="688">
          <cell r="BD688" t="str">
            <v>.</v>
          </cell>
        </row>
        <row r="689">
          <cell r="BD689" t="str">
            <v>.</v>
          </cell>
        </row>
        <row r="690">
          <cell r="BD690" t="str">
            <v>.</v>
          </cell>
        </row>
        <row r="691">
          <cell r="BD691" t="str">
            <v>.</v>
          </cell>
        </row>
        <row r="692">
          <cell r="BD692" t="str">
            <v>.</v>
          </cell>
        </row>
        <row r="693">
          <cell r="BD693" t="str">
            <v>.</v>
          </cell>
        </row>
        <row r="694">
          <cell r="BD694" t="str">
            <v>.</v>
          </cell>
        </row>
        <row r="695">
          <cell r="BD695" t="str">
            <v>.</v>
          </cell>
        </row>
        <row r="696">
          <cell r="BD696" t="str">
            <v>.</v>
          </cell>
        </row>
        <row r="697">
          <cell r="BD697" t="str">
            <v>.</v>
          </cell>
        </row>
        <row r="698">
          <cell r="BD698" t="str">
            <v>.</v>
          </cell>
        </row>
        <row r="699">
          <cell r="BD699" t="str">
            <v>.</v>
          </cell>
        </row>
        <row r="700">
          <cell r="BD700" t="str">
            <v>.</v>
          </cell>
        </row>
        <row r="701">
          <cell r="BD701" t="str">
            <v>.</v>
          </cell>
        </row>
        <row r="702">
          <cell r="BD702" t="str">
            <v>.</v>
          </cell>
        </row>
        <row r="703">
          <cell r="BD703" t="str">
            <v>.</v>
          </cell>
        </row>
        <row r="704">
          <cell r="BD704" t="str">
            <v>.</v>
          </cell>
        </row>
        <row r="705">
          <cell r="BD705" t="str">
            <v>.</v>
          </cell>
        </row>
        <row r="706">
          <cell r="BD706" t="str">
            <v>.</v>
          </cell>
        </row>
        <row r="707">
          <cell r="BD707" t="str">
            <v>.</v>
          </cell>
        </row>
        <row r="708">
          <cell r="BD708" t="str">
            <v>.</v>
          </cell>
        </row>
        <row r="709">
          <cell r="BD709" t="str">
            <v>.</v>
          </cell>
        </row>
        <row r="710">
          <cell r="BD710" t="str">
            <v>.</v>
          </cell>
        </row>
        <row r="711">
          <cell r="BD711" t="str">
            <v>.</v>
          </cell>
        </row>
        <row r="712">
          <cell r="BD712" t="str">
            <v>.</v>
          </cell>
        </row>
        <row r="713">
          <cell r="BD713" t="str">
            <v>.</v>
          </cell>
        </row>
        <row r="714">
          <cell r="BD714" t="str">
            <v>.</v>
          </cell>
        </row>
        <row r="715">
          <cell r="BD715" t="str">
            <v>.</v>
          </cell>
        </row>
        <row r="716">
          <cell r="BD716" t="str">
            <v>.</v>
          </cell>
        </row>
        <row r="717">
          <cell r="BD717" t="str">
            <v>.</v>
          </cell>
        </row>
        <row r="718">
          <cell r="BD718" t="str">
            <v>.</v>
          </cell>
        </row>
        <row r="719">
          <cell r="BD719" t="str">
            <v>.</v>
          </cell>
        </row>
        <row r="720">
          <cell r="BD720" t="str">
            <v>.</v>
          </cell>
        </row>
        <row r="721">
          <cell r="BD721" t="str">
            <v>.</v>
          </cell>
        </row>
        <row r="722">
          <cell r="BD722" t="str">
            <v>.</v>
          </cell>
        </row>
        <row r="723">
          <cell r="BD723" t="str">
            <v>.</v>
          </cell>
        </row>
        <row r="724">
          <cell r="BD724" t="str">
            <v>.</v>
          </cell>
        </row>
        <row r="725">
          <cell r="BD725" t="str">
            <v>.</v>
          </cell>
        </row>
        <row r="726">
          <cell r="BD726" t="str">
            <v>.</v>
          </cell>
        </row>
        <row r="727">
          <cell r="BD727" t="str">
            <v>.</v>
          </cell>
        </row>
        <row r="728">
          <cell r="BD728" t="str">
            <v>.</v>
          </cell>
        </row>
        <row r="729">
          <cell r="BD729" t="str">
            <v>.</v>
          </cell>
        </row>
        <row r="730">
          <cell r="BD730" t="str">
            <v>.</v>
          </cell>
        </row>
        <row r="731">
          <cell r="BD731" t="str">
            <v>.</v>
          </cell>
        </row>
        <row r="732">
          <cell r="BD732" t="str">
            <v>.</v>
          </cell>
        </row>
        <row r="733">
          <cell r="BD733" t="str">
            <v>.</v>
          </cell>
        </row>
        <row r="734">
          <cell r="BD734" t="str">
            <v>.</v>
          </cell>
        </row>
        <row r="735">
          <cell r="BD735" t="str">
            <v>.</v>
          </cell>
        </row>
        <row r="736">
          <cell r="BD736" t="str">
            <v>.</v>
          </cell>
        </row>
        <row r="737">
          <cell r="BD737" t="str">
            <v>.</v>
          </cell>
        </row>
        <row r="738">
          <cell r="BD738" t="str">
            <v>.</v>
          </cell>
        </row>
        <row r="739">
          <cell r="BD739" t="str">
            <v>.</v>
          </cell>
        </row>
        <row r="740">
          <cell r="BD740" t="str">
            <v>.</v>
          </cell>
        </row>
        <row r="741">
          <cell r="BD741" t="str">
            <v>.</v>
          </cell>
        </row>
        <row r="742">
          <cell r="BD742" t="str">
            <v>.</v>
          </cell>
        </row>
        <row r="743">
          <cell r="BD743" t="str">
            <v>.</v>
          </cell>
        </row>
        <row r="744">
          <cell r="BD744" t="str">
            <v>.</v>
          </cell>
        </row>
        <row r="745">
          <cell r="BD745" t="str">
            <v>.</v>
          </cell>
        </row>
        <row r="746">
          <cell r="BD746" t="str">
            <v>.</v>
          </cell>
        </row>
        <row r="747">
          <cell r="BD747" t="str">
            <v>.</v>
          </cell>
        </row>
        <row r="748">
          <cell r="BD748" t="str">
            <v>.</v>
          </cell>
        </row>
        <row r="749">
          <cell r="BD749" t="str">
            <v>.</v>
          </cell>
        </row>
        <row r="750">
          <cell r="BD750" t="str">
            <v>.</v>
          </cell>
        </row>
        <row r="751">
          <cell r="BD751" t="str">
            <v>.</v>
          </cell>
        </row>
        <row r="752">
          <cell r="BD752" t="str">
            <v>.</v>
          </cell>
        </row>
        <row r="753">
          <cell r="BD753" t="str">
            <v>.</v>
          </cell>
        </row>
        <row r="754">
          <cell r="BD754" t="str">
            <v>.</v>
          </cell>
        </row>
        <row r="755">
          <cell r="BD755" t="str">
            <v>.</v>
          </cell>
        </row>
        <row r="756">
          <cell r="BD756" t="str">
            <v>.</v>
          </cell>
        </row>
        <row r="757">
          <cell r="BD757" t="str">
            <v>.</v>
          </cell>
        </row>
        <row r="758">
          <cell r="BD758" t="str">
            <v>.</v>
          </cell>
        </row>
        <row r="759">
          <cell r="BD759" t="str">
            <v>.</v>
          </cell>
        </row>
        <row r="760">
          <cell r="BD760" t="str">
            <v>.</v>
          </cell>
        </row>
        <row r="761">
          <cell r="BD761" t="str">
            <v>.</v>
          </cell>
        </row>
        <row r="762">
          <cell r="BD762" t="str">
            <v>.</v>
          </cell>
        </row>
        <row r="763">
          <cell r="BD763" t="str">
            <v>.</v>
          </cell>
        </row>
        <row r="764">
          <cell r="BD764" t="str">
            <v>.</v>
          </cell>
        </row>
        <row r="765">
          <cell r="BD765" t="str">
            <v>.</v>
          </cell>
        </row>
        <row r="766">
          <cell r="BD766" t="str">
            <v>.</v>
          </cell>
        </row>
        <row r="767">
          <cell r="BD767" t="str">
            <v>.</v>
          </cell>
        </row>
        <row r="768">
          <cell r="BD768" t="str">
            <v>.</v>
          </cell>
        </row>
        <row r="769">
          <cell r="BD769" t="str">
            <v>.</v>
          </cell>
        </row>
        <row r="770">
          <cell r="BD770" t="str">
            <v>.</v>
          </cell>
        </row>
        <row r="771">
          <cell r="BD771" t="str">
            <v>.</v>
          </cell>
        </row>
        <row r="772">
          <cell r="BD772" t="str">
            <v>.</v>
          </cell>
        </row>
        <row r="773">
          <cell r="BD773" t="str">
            <v>.</v>
          </cell>
        </row>
        <row r="774">
          <cell r="BD774" t="str">
            <v>.</v>
          </cell>
        </row>
        <row r="775">
          <cell r="BD775" t="str">
            <v>.</v>
          </cell>
        </row>
        <row r="776">
          <cell r="BD776" t="str">
            <v>.</v>
          </cell>
        </row>
        <row r="777">
          <cell r="BD777" t="str">
            <v>.</v>
          </cell>
        </row>
        <row r="778">
          <cell r="BD778" t="str">
            <v>.</v>
          </cell>
        </row>
        <row r="779">
          <cell r="BD779" t="str">
            <v>.</v>
          </cell>
        </row>
        <row r="780">
          <cell r="BD780" t="str">
            <v>.</v>
          </cell>
        </row>
        <row r="781">
          <cell r="BD781" t="str">
            <v>.</v>
          </cell>
        </row>
        <row r="782">
          <cell r="BD782" t="str">
            <v>.</v>
          </cell>
        </row>
        <row r="783">
          <cell r="BD783" t="str">
            <v>.</v>
          </cell>
        </row>
        <row r="784">
          <cell r="BD784" t="str">
            <v>.</v>
          </cell>
        </row>
        <row r="785">
          <cell r="BD785" t="str">
            <v>.</v>
          </cell>
        </row>
        <row r="786">
          <cell r="BD786" t="str">
            <v>.</v>
          </cell>
        </row>
        <row r="787">
          <cell r="BD787" t="str">
            <v>.</v>
          </cell>
        </row>
        <row r="788">
          <cell r="BD788" t="str">
            <v>.</v>
          </cell>
        </row>
        <row r="789">
          <cell r="BD789" t="str">
            <v>.</v>
          </cell>
        </row>
        <row r="790">
          <cell r="BD790" t="str">
            <v>.</v>
          </cell>
        </row>
        <row r="791">
          <cell r="BD791" t="str">
            <v>.</v>
          </cell>
        </row>
        <row r="792">
          <cell r="BD792" t="str">
            <v>.</v>
          </cell>
        </row>
        <row r="793">
          <cell r="BD793" t="str">
            <v>.</v>
          </cell>
        </row>
        <row r="794">
          <cell r="BD794" t="str">
            <v>.</v>
          </cell>
        </row>
        <row r="795">
          <cell r="BD795" t="str">
            <v>.</v>
          </cell>
        </row>
        <row r="796">
          <cell r="BD796" t="str">
            <v>.</v>
          </cell>
        </row>
        <row r="797">
          <cell r="BD797" t="str">
            <v>.</v>
          </cell>
        </row>
        <row r="798">
          <cell r="BD798" t="str">
            <v>.</v>
          </cell>
        </row>
        <row r="799">
          <cell r="BD799" t="str">
            <v>.</v>
          </cell>
        </row>
        <row r="800">
          <cell r="BD800" t="str">
            <v>.</v>
          </cell>
        </row>
        <row r="801">
          <cell r="BD801" t="str">
            <v>.</v>
          </cell>
        </row>
        <row r="802">
          <cell r="BD802" t="str">
            <v>.</v>
          </cell>
        </row>
        <row r="803">
          <cell r="BD803" t="str">
            <v>.</v>
          </cell>
        </row>
        <row r="804">
          <cell r="BD804" t="str">
            <v>.</v>
          </cell>
        </row>
        <row r="805">
          <cell r="BD805" t="str">
            <v>.</v>
          </cell>
        </row>
        <row r="806">
          <cell r="BD806" t="str">
            <v>.</v>
          </cell>
        </row>
        <row r="807">
          <cell r="BD807" t="str">
            <v>.</v>
          </cell>
        </row>
        <row r="808">
          <cell r="BD808" t="str">
            <v>.</v>
          </cell>
        </row>
        <row r="809">
          <cell r="BD809" t="str">
            <v>.</v>
          </cell>
        </row>
        <row r="810">
          <cell r="BD810" t="str">
            <v>.</v>
          </cell>
        </row>
        <row r="811">
          <cell r="BD811" t="str">
            <v>.</v>
          </cell>
        </row>
        <row r="812">
          <cell r="BD812" t="str">
            <v>.</v>
          </cell>
        </row>
        <row r="813">
          <cell r="BD813" t="str">
            <v>.</v>
          </cell>
        </row>
        <row r="814">
          <cell r="BD814" t="str">
            <v>.</v>
          </cell>
        </row>
        <row r="815">
          <cell r="BD815" t="str">
            <v>.</v>
          </cell>
        </row>
        <row r="816">
          <cell r="BD816" t="str">
            <v>.</v>
          </cell>
        </row>
        <row r="817">
          <cell r="BD817" t="str">
            <v>.</v>
          </cell>
        </row>
        <row r="818">
          <cell r="BD818" t="str">
            <v>.</v>
          </cell>
        </row>
        <row r="819">
          <cell r="BD819" t="str">
            <v>.</v>
          </cell>
        </row>
        <row r="820">
          <cell r="BD820" t="str">
            <v>.</v>
          </cell>
        </row>
        <row r="821">
          <cell r="BD821" t="str">
            <v>.</v>
          </cell>
        </row>
        <row r="822">
          <cell r="BD822" t="str">
            <v>.</v>
          </cell>
        </row>
        <row r="823">
          <cell r="BD823" t="str">
            <v>.</v>
          </cell>
        </row>
        <row r="824">
          <cell r="BD824" t="str">
            <v>.</v>
          </cell>
        </row>
        <row r="825">
          <cell r="BD825" t="str">
            <v>.</v>
          </cell>
        </row>
        <row r="826">
          <cell r="BD826" t="str">
            <v>.</v>
          </cell>
        </row>
        <row r="827">
          <cell r="BD827" t="str">
            <v>.</v>
          </cell>
        </row>
        <row r="828">
          <cell r="BD828" t="str">
            <v>.</v>
          </cell>
        </row>
        <row r="829">
          <cell r="BD829" t="str">
            <v>.</v>
          </cell>
        </row>
        <row r="830">
          <cell r="BD830" t="str">
            <v>.</v>
          </cell>
        </row>
        <row r="831">
          <cell r="BD831" t="str">
            <v>.</v>
          </cell>
        </row>
        <row r="832">
          <cell r="BD832" t="str">
            <v>.</v>
          </cell>
        </row>
        <row r="833">
          <cell r="BD833" t="str">
            <v>.</v>
          </cell>
        </row>
        <row r="834">
          <cell r="BD834" t="str">
            <v>.</v>
          </cell>
        </row>
        <row r="835">
          <cell r="BD835" t="str">
            <v>.</v>
          </cell>
        </row>
        <row r="836">
          <cell r="BD836" t="str">
            <v>.</v>
          </cell>
        </row>
        <row r="837">
          <cell r="BD837" t="str">
            <v>.</v>
          </cell>
        </row>
        <row r="838">
          <cell r="BD838" t="str">
            <v>.</v>
          </cell>
        </row>
        <row r="839">
          <cell r="BD839" t="str">
            <v>.</v>
          </cell>
        </row>
        <row r="840">
          <cell r="BD840" t="str">
            <v>.</v>
          </cell>
        </row>
        <row r="841">
          <cell r="BD841" t="str">
            <v>.</v>
          </cell>
        </row>
        <row r="842">
          <cell r="BD842" t="str">
            <v>.</v>
          </cell>
        </row>
        <row r="843">
          <cell r="BD843" t="str">
            <v>.</v>
          </cell>
        </row>
        <row r="844">
          <cell r="BD844" t="str">
            <v>.</v>
          </cell>
        </row>
        <row r="845">
          <cell r="BD845" t="str">
            <v>.</v>
          </cell>
        </row>
        <row r="846">
          <cell r="BD846" t="str">
            <v>.</v>
          </cell>
        </row>
        <row r="847">
          <cell r="BD847" t="str">
            <v>.</v>
          </cell>
        </row>
        <row r="848">
          <cell r="BD848" t="str">
            <v>.</v>
          </cell>
        </row>
        <row r="849">
          <cell r="BD849" t="str">
            <v>.</v>
          </cell>
        </row>
        <row r="850">
          <cell r="BD850" t="str">
            <v>.</v>
          </cell>
        </row>
        <row r="851">
          <cell r="BD851" t="str">
            <v>.</v>
          </cell>
        </row>
        <row r="852">
          <cell r="BD852" t="str">
            <v>.</v>
          </cell>
        </row>
        <row r="853">
          <cell r="BD853" t="str">
            <v>.</v>
          </cell>
        </row>
        <row r="854">
          <cell r="BD854" t="str">
            <v>.</v>
          </cell>
        </row>
        <row r="855">
          <cell r="BD855" t="str">
            <v>.</v>
          </cell>
        </row>
        <row r="856">
          <cell r="BD856" t="str">
            <v>.</v>
          </cell>
        </row>
        <row r="857">
          <cell r="BD857" t="str">
            <v>.</v>
          </cell>
        </row>
        <row r="858">
          <cell r="BD858" t="str">
            <v>.</v>
          </cell>
        </row>
        <row r="859">
          <cell r="BD859" t="str">
            <v>.</v>
          </cell>
        </row>
        <row r="860">
          <cell r="BD860" t="str">
            <v>.</v>
          </cell>
        </row>
        <row r="861">
          <cell r="BD861" t="str">
            <v>.</v>
          </cell>
        </row>
        <row r="862">
          <cell r="BD862" t="str">
            <v>.</v>
          </cell>
        </row>
        <row r="863">
          <cell r="BD863" t="str">
            <v>.</v>
          </cell>
        </row>
        <row r="864">
          <cell r="BD864" t="str">
            <v>.</v>
          </cell>
        </row>
        <row r="865">
          <cell r="BD865" t="str">
            <v>.</v>
          </cell>
        </row>
        <row r="866">
          <cell r="BD866" t="str">
            <v>.</v>
          </cell>
        </row>
        <row r="867">
          <cell r="BD867" t="str">
            <v>.</v>
          </cell>
        </row>
        <row r="868">
          <cell r="BD868" t="str">
            <v>.</v>
          </cell>
        </row>
        <row r="869">
          <cell r="BD869" t="str">
            <v>.</v>
          </cell>
        </row>
        <row r="870">
          <cell r="BD870" t="str">
            <v>.</v>
          </cell>
        </row>
        <row r="871">
          <cell r="BD871" t="str">
            <v>.</v>
          </cell>
        </row>
        <row r="872">
          <cell r="BD872" t="str">
            <v>.</v>
          </cell>
        </row>
        <row r="873">
          <cell r="BD873" t="str">
            <v>.</v>
          </cell>
        </row>
        <row r="874">
          <cell r="BD874" t="str">
            <v>.</v>
          </cell>
        </row>
        <row r="875">
          <cell r="BD875" t="str">
            <v>.</v>
          </cell>
        </row>
        <row r="876">
          <cell r="BD876" t="str">
            <v>.</v>
          </cell>
        </row>
        <row r="877">
          <cell r="BD877" t="str">
            <v>.</v>
          </cell>
        </row>
        <row r="878">
          <cell r="BD878" t="str">
            <v>.</v>
          </cell>
        </row>
        <row r="879">
          <cell r="BD879" t="str">
            <v>.</v>
          </cell>
        </row>
        <row r="880">
          <cell r="BD880" t="str">
            <v>.</v>
          </cell>
        </row>
        <row r="881">
          <cell r="BD881" t="str">
            <v>.</v>
          </cell>
        </row>
        <row r="882">
          <cell r="BD882" t="str">
            <v>.</v>
          </cell>
        </row>
        <row r="883">
          <cell r="BD883" t="str">
            <v>.</v>
          </cell>
        </row>
        <row r="884">
          <cell r="BD884" t="str">
            <v>.</v>
          </cell>
        </row>
        <row r="885">
          <cell r="BD885" t="str">
            <v>.</v>
          </cell>
        </row>
        <row r="886">
          <cell r="BD886" t="str">
            <v>.</v>
          </cell>
        </row>
        <row r="887">
          <cell r="BD887" t="str">
            <v>.</v>
          </cell>
        </row>
        <row r="888">
          <cell r="BD888" t="str">
            <v>.</v>
          </cell>
        </row>
        <row r="889">
          <cell r="BD889" t="str">
            <v>.</v>
          </cell>
        </row>
        <row r="890">
          <cell r="BD890" t="str">
            <v>.</v>
          </cell>
        </row>
        <row r="891">
          <cell r="BD891" t="str">
            <v>.</v>
          </cell>
        </row>
        <row r="892">
          <cell r="BD892" t="str">
            <v>.</v>
          </cell>
        </row>
        <row r="893">
          <cell r="BD893" t="str">
            <v>.</v>
          </cell>
        </row>
        <row r="894">
          <cell r="BD894" t="str">
            <v>.</v>
          </cell>
        </row>
        <row r="895">
          <cell r="BD895" t="str">
            <v>.</v>
          </cell>
        </row>
        <row r="896">
          <cell r="BD896" t="str">
            <v>.</v>
          </cell>
        </row>
        <row r="897">
          <cell r="BD897" t="str">
            <v>.</v>
          </cell>
        </row>
        <row r="898">
          <cell r="BD898" t="str">
            <v>.</v>
          </cell>
        </row>
        <row r="899">
          <cell r="BD899" t="str">
            <v>.</v>
          </cell>
        </row>
        <row r="900">
          <cell r="BD900" t="str">
            <v>.</v>
          </cell>
        </row>
        <row r="901">
          <cell r="BD901" t="str">
            <v>.</v>
          </cell>
        </row>
        <row r="902">
          <cell r="BD902" t="str">
            <v>.</v>
          </cell>
        </row>
        <row r="903">
          <cell r="BD903" t="str">
            <v>.</v>
          </cell>
        </row>
        <row r="904">
          <cell r="BD904" t="str">
            <v>.</v>
          </cell>
        </row>
        <row r="905">
          <cell r="BD905" t="str">
            <v>.</v>
          </cell>
        </row>
        <row r="906">
          <cell r="BD906" t="str">
            <v>.</v>
          </cell>
        </row>
        <row r="907">
          <cell r="BD907" t="str">
            <v>.</v>
          </cell>
        </row>
        <row r="908">
          <cell r="BD908" t="str">
            <v>.</v>
          </cell>
        </row>
        <row r="909">
          <cell r="BD909" t="str">
            <v>.</v>
          </cell>
        </row>
        <row r="910">
          <cell r="BD910" t="str">
            <v>.</v>
          </cell>
        </row>
        <row r="911">
          <cell r="BD911" t="str">
            <v>.</v>
          </cell>
        </row>
        <row r="912">
          <cell r="BD912" t="str">
            <v>.</v>
          </cell>
        </row>
        <row r="913">
          <cell r="BD913" t="str">
            <v>.</v>
          </cell>
        </row>
        <row r="914">
          <cell r="BD914" t="str">
            <v>.</v>
          </cell>
        </row>
        <row r="915">
          <cell r="BD915" t="str">
            <v>.</v>
          </cell>
        </row>
        <row r="916">
          <cell r="BD916" t="str">
            <v>.</v>
          </cell>
        </row>
        <row r="917">
          <cell r="BD917" t="str">
            <v>.</v>
          </cell>
        </row>
        <row r="918">
          <cell r="BD918" t="str">
            <v>.</v>
          </cell>
        </row>
        <row r="919">
          <cell r="BD919" t="str">
            <v>.</v>
          </cell>
        </row>
        <row r="920">
          <cell r="BD920" t="str">
            <v>.</v>
          </cell>
        </row>
        <row r="921">
          <cell r="BD921" t="str">
            <v>.</v>
          </cell>
        </row>
        <row r="922">
          <cell r="BD922" t="str">
            <v>.</v>
          </cell>
        </row>
        <row r="923">
          <cell r="BD923" t="str">
            <v>.</v>
          </cell>
        </row>
        <row r="924">
          <cell r="BD924" t="str">
            <v>.</v>
          </cell>
        </row>
        <row r="925">
          <cell r="BD925" t="str">
            <v>.</v>
          </cell>
        </row>
        <row r="926">
          <cell r="BD926" t="str">
            <v>.</v>
          </cell>
        </row>
        <row r="927">
          <cell r="BD927" t="str">
            <v>.</v>
          </cell>
        </row>
        <row r="928">
          <cell r="BD928" t="str">
            <v>.</v>
          </cell>
        </row>
        <row r="929">
          <cell r="BD929" t="str">
            <v>.</v>
          </cell>
        </row>
        <row r="930">
          <cell r="BD930" t="str">
            <v>.</v>
          </cell>
        </row>
        <row r="931">
          <cell r="BD931" t="str">
            <v>.</v>
          </cell>
        </row>
        <row r="932">
          <cell r="BD932" t="str">
            <v>.</v>
          </cell>
        </row>
        <row r="933">
          <cell r="BD933" t="str">
            <v>.</v>
          </cell>
        </row>
        <row r="934">
          <cell r="BD934" t="str">
            <v>.</v>
          </cell>
        </row>
        <row r="935">
          <cell r="BD935" t="str">
            <v>.</v>
          </cell>
        </row>
        <row r="936">
          <cell r="BD936" t="str">
            <v>.</v>
          </cell>
        </row>
        <row r="937">
          <cell r="BD937" t="str">
            <v>.</v>
          </cell>
        </row>
        <row r="938">
          <cell r="BD938" t="str">
            <v>.</v>
          </cell>
        </row>
        <row r="939">
          <cell r="BD939" t="str">
            <v>.</v>
          </cell>
        </row>
        <row r="940">
          <cell r="BD940" t="str">
            <v>.</v>
          </cell>
        </row>
        <row r="941">
          <cell r="BD941" t="str">
            <v>.</v>
          </cell>
        </row>
        <row r="942">
          <cell r="BD942" t="str">
            <v>.</v>
          </cell>
        </row>
        <row r="943">
          <cell r="BD943" t="str">
            <v>.</v>
          </cell>
        </row>
        <row r="944">
          <cell r="BD944" t="str">
            <v>.</v>
          </cell>
        </row>
        <row r="945">
          <cell r="BD945" t="str">
            <v>.</v>
          </cell>
        </row>
        <row r="946">
          <cell r="BD946" t="str">
            <v>.</v>
          </cell>
        </row>
        <row r="947">
          <cell r="BD947" t="str">
            <v>.</v>
          </cell>
        </row>
        <row r="948">
          <cell r="BD948" t="str">
            <v>.</v>
          </cell>
        </row>
        <row r="949">
          <cell r="BD949" t="str">
            <v>.</v>
          </cell>
        </row>
        <row r="950">
          <cell r="BD950" t="str">
            <v>.</v>
          </cell>
        </row>
        <row r="951">
          <cell r="BD951" t="str">
            <v>.</v>
          </cell>
        </row>
        <row r="952">
          <cell r="BD952" t="str">
            <v>.</v>
          </cell>
        </row>
        <row r="953">
          <cell r="BD953" t="str">
            <v>.</v>
          </cell>
        </row>
        <row r="954">
          <cell r="BD954" t="str">
            <v>.</v>
          </cell>
        </row>
        <row r="955">
          <cell r="BD955" t="str">
            <v>.</v>
          </cell>
        </row>
        <row r="956">
          <cell r="BD956" t="str">
            <v>.</v>
          </cell>
        </row>
        <row r="957">
          <cell r="BD957" t="str">
            <v>.</v>
          </cell>
        </row>
        <row r="958">
          <cell r="BD958" t="str">
            <v>.</v>
          </cell>
        </row>
        <row r="959">
          <cell r="BD959" t="str">
            <v>.</v>
          </cell>
        </row>
        <row r="960">
          <cell r="BD960" t="str">
            <v>.</v>
          </cell>
        </row>
        <row r="961">
          <cell r="BD961" t="str">
            <v>.</v>
          </cell>
        </row>
        <row r="962">
          <cell r="BD962" t="str">
            <v>.</v>
          </cell>
        </row>
        <row r="963">
          <cell r="BD963" t="str">
            <v>.</v>
          </cell>
        </row>
        <row r="964">
          <cell r="BD964" t="str">
            <v>.</v>
          </cell>
        </row>
        <row r="965">
          <cell r="BD965" t="str">
            <v>.</v>
          </cell>
        </row>
        <row r="966">
          <cell r="BD966" t="str">
            <v>.</v>
          </cell>
        </row>
        <row r="967">
          <cell r="BD967" t="str">
            <v>.</v>
          </cell>
        </row>
        <row r="968">
          <cell r="BD968" t="str">
            <v>.</v>
          </cell>
        </row>
        <row r="969">
          <cell r="BD969" t="str">
            <v>.</v>
          </cell>
        </row>
        <row r="970">
          <cell r="BD970" t="str">
            <v>.</v>
          </cell>
        </row>
        <row r="971">
          <cell r="BD971" t="str">
            <v>.</v>
          </cell>
        </row>
        <row r="972">
          <cell r="BD972" t="str">
            <v>.</v>
          </cell>
        </row>
        <row r="973">
          <cell r="BD973" t="str">
            <v>.</v>
          </cell>
        </row>
        <row r="974">
          <cell r="BD974" t="str">
            <v>.</v>
          </cell>
        </row>
        <row r="975">
          <cell r="BD975" t="str">
            <v>.</v>
          </cell>
        </row>
        <row r="976">
          <cell r="BD976" t="str">
            <v>.</v>
          </cell>
        </row>
        <row r="977">
          <cell r="BD977" t="str">
            <v>.</v>
          </cell>
        </row>
        <row r="978">
          <cell r="BD978" t="str">
            <v>.</v>
          </cell>
        </row>
        <row r="979">
          <cell r="BD979" t="str">
            <v>.</v>
          </cell>
        </row>
        <row r="980">
          <cell r="BD980" t="str">
            <v>.</v>
          </cell>
        </row>
        <row r="981">
          <cell r="BD981" t="str">
            <v>.</v>
          </cell>
        </row>
        <row r="982">
          <cell r="BD982" t="str">
            <v>.</v>
          </cell>
        </row>
        <row r="983">
          <cell r="BD983" t="str">
            <v>.</v>
          </cell>
        </row>
        <row r="984">
          <cell r="BD984" t="str">
            <v>.</v>
          </cell>
        </row>
        <row r="985">
          <cell r="BD985" t="str">
            <v>.</v>
          </cell>
        </row>
        <row r="986">
          <cell r="BD986" t="str">
            <v>.</v>
          </cell>
        </row>
        <row r="987">
          <cell r="BD987" t="str">
            <v>.</v>
          </cell>
        </row>
        <row r="988">
          <cell r="BD988" t="str">
            <v>.</v>
          </cell>
        </row>
        <row r="989">
          <cell r="BD989" t="str">
            <v>.</v>
          </cell>
        </row>
        <row r="990">
          <cell r="BD990" t="str">
            <v>.</v>
          </cell>
        </row>
        <row r="991">
          <cell r="BD991" t="str">
            <v>.</v>
          </cell>
        </row>
        <row r="992">
          <cell r="BD992" t="str">
            <v>.</v>
          </cell>
        </row>
        <row r="993">
          <cell r="BD993" t="str">
            <v>.</v>
          </cell>
        </row>
        <row r="994">
          <cell r="BD994" t="str">
            <v>.</v>
          </cell>
        </row>
        <row r="995">
          <cell r="BD995" t="str">
            <v>.</v>
          </cell>
        </row>
        <row r="996"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G996" t="str">
            <v>.</v>
          </cell>
          <cell r="H996" t="str">
            <v>.</v>
          </cell>
          <cell r="BD996" t="str">
            <v>.</v>
          </cell>
        </row>
        <row r="997">
          <cell r="A997" t="str">
            <v>.</v>
          </cell>
          <cell r="B997" t="str">
            <v>.</v>
          </cell>
          <cell r="V997" t="str">
            <v>.</v>
          </cell>
          <cell r="W997" t="str">
            <v>.</v>
          </cell>
          <cell r="X997" t="str">
            <v>.</v>
          </cell>
          <cell r="Y997" t="str">
            <v>.</v>
          </cell>
          <cell r="Z997" t="str">
            <v>.</v>
          </cell>
          <cell r="AA997" t="str">
            <v>.</v>
          </cell>
          <cell r="AB997" t="str">
            <v>.</v>
          </cell>
          <cell r="AC997" t="str">
            <v>.</v>
          </cell>
          <cell r="AD997" t="str">
            <v>.</v>
          </cell>
          <cell r="AE997" t="str">
            <v>.</v>
          </cell>
          <cell r="AF997" t="str">
            <v>.</v>
          </cell>
          <cell r="AG997" t="str">
            <v>.</v>
          </cell>
          <cell r="AH997" t="str">
            <v>.</v>
          </cell>
          <cell r="AI997" t="str">
            <v>.</v>
          </cell>
          <cell r="AJ997" t="str">
            <v>.</v>
          </cell>
          <cell r="AK997" t="str">
            <v>.</v>
          </cell>
          <cell r="AL997" t="str">
            <v>.</v>
          </cell>
          <cell r="AM997" t="str">
            <v>.</v>
          </cell>
          <cell r="AN997" t="str">
            <v>.</v>
          </cell>
          <cell r="AO997" t="str">
            <v>.</v>
          </cell>
          <cell r="AP997" t="str">
            <v>.</v>
          </cell>
          <cell r="AQ997" t="str">
            <v>.</v>
          </cell>
          <cell r="AR997" t="str">
            <v>.</v>
          </cell>
          <cell r="AS997" t="str">
            <v>.</v>
          </cell>
          <cell r="AT997" t="str">
            <v>.</v>
          </cell>
          <cell r="AU997" t="str">
            <v>.</v>
          </cell>
          <cell r="AV997" t="str">
            <v>.</v>
          </cell>
          <cell r="AW997" t="str">
            <v>.</v>
          </cell>
          <cell r="AX997" t="str">
            <v>.</v>
          </cell>
          <cell r="AY997" t="str">
            <v>.</v>
          </cell>
          <cell r="AZ997" t="str">
            <v>.</v>
          </cell>
          <cell r="BA997" t="str">
            <v>.</v>
          </cell>
          <cell r="BB997" t="str">
            <v>.</v>
          </cell>
          <cell r="BC997" t="str">
            <v>.</v>
          </cell>
          <cell r="BD997" t="str">
            <v>.</v>
          </cell>
        </row>
      </sheetData>
      <sheetData sheetId="26"/>
      <sheetData sheetId="27">
        <row r="1">
          <cell r="A1" t="str">
            <v>RRS-5.10</v>
          </cell>
        </row>
      </sheetData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mwareTaxoPres"/>
      <sheetName val="LOG"/>
      <sheetName val="MS Est vs. Rpt"/>
      <sheetName val="Changes to the Model"/>
      <sheetName val="Quarterly"/>
      <sheetName val="mwareValPrintout"/>
      <sheetName val="Annual"/>
      <sheetName val="Balance Sheet "/>
      <sheetName val="Cashflow"/>
      <sheetName val="Avastin"/>
      <sheetName val="Herceptin"/>
      <sheetName val="Rituxan"/>
      <sheetName val="Raptiva"/>
      <sheetName val="Xolair"/>
      <sheetName val="Avastin-Patient Ramp"/>
      <sheetName val="DCF Valuation"/>
      <sheetName val="Model_Template"/>
      <sheetName val="Clinical data"/>
      <sheetName val="Sheet1"/>
      <sheetName val="Sheet1 (2)"/>
      <sheetName val="Marketing"/>
      <sheetName val="mwareDates"/>
      <sheetName val="MWare_Cached"/>
      <sheetName val="Manufacturing"/>
      <sheetName val="NY UPLOAD shadow"/>
      <sheetName val="mwareSettings"/>
      <sheetName val="mStartup"/>
      <sheetName val="MainCode"/>
      <sheetName val="Figures"/>
      <sheetName val="MS Est. Vs Actual"/>
      <sheetName val="ProcritAranesp"/>
      <sheetName val="Changes to Model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Earnings Snapshot</v>
          </cell>
        </row>
        <row r="3">
          <cell r="C3" t="str">
            <v>1Q05</v>
          </cell>
          <cell r="D3" t="str">
            <v>1Q06</v>
          </cell>
          <cell r="E3" t="str">
            <v>1Q06</v>
          </cell>
          <cell r="F3" t="str">
            <v>% Var.</v>
          </cell>
          <cell r="G3" t="str">
            <v>Y/Y</v>
          </cell>
        </row>
        <row r="4">
          <cell r="C4" t="str">
            <v>Actual</v>
          </cell>
          <cell r="D4" t="str">
            <v>MS Est</v>
          </cell>
          <cell r="E4" t="str">
            <v>Actual</v>
          </cell>
          <cell r="F4" t="str">
            <v>from est.</v>
          </cell>
          <cell r="G4" t="str">
            <v>% chg</v>
          </cell>
          <cell r="H4" t="str">
            <v>Comments</v>
          </cell>
        </row>
        <row r="5">
          <cell r="B5" t="str">
            <v>Revenues:</v>
          </cell>
        </row>
        <row r="6">
          <cell r="B6" t="str">
            <v>Rituxan US</v>
          </cell>
          <cell r="C6">
            <v>440.55</v>
          </cell>
          <cell r="D6">
            <v>505</v>
          </cell>
          <cell r="E6">
            <v>477</v>
          </cell>
          <cell r="F6">
            <v>-5.5445544554455495E-2</v>
          </cell>
          <cell r="G6">
            <v>0.14629440472137101</v>
          </cell>
          <cell r="H6" t="str">
            <v>Rituxan sales meaningfully weaker than indicated by IMS sales trends.</v>
          </cell>
        </row>
        <row r="7">
          <cell r="B7" t="str">
            <v>Avastin US</v>
          </cell>
          <cell r="C7">
            <v>202.85499999999999</v>
          </cell>
          <cell r="D7">
            <v>405</v>
          </cell>
          <cell r="E7">
            <v>398</v>
          </cell>
          <cell r="F7">
            <v>-1.7283950617283939E-2</v>
          </cell>
          <cell r="G7">
            <v>0.99649996302777866</v>
          </cell>
          <cell r="H7" t="str">
            <v xml:space="preserve">US sales were $10M short of our estimate after adjusting for $3M add back for destroyed shipment. </v>
          </cell>
        </row>
        <row r="8">
          <cell r="B8" t="str">
            <v>Herceptin US</v>
          </cell>
          <cell r="C8">
            <v>129.63</v>
          </cell>
          <cell r="D8">
            <v>273</v>
          </cell>
          <cell r="E8">
            <v>290</v>
          </cell>
          <cell r="F8">
            <v>6.2271062271062272E-2</v>
          </cell>
          <cell r="G8">
            <v>1.1059939828743346</v>
          </cell>
          <cell r="H8" t="str">
            <v>Herceptin strength in line with IMS sales data ($2M added back for destroyed shipment).</v>
          </cell>
        </row>
        <row r="9">
          <cell r="B9" t="str">
            <v>Xolair</v>
          </cell>
          <cell r="C9">
            <v>68.597000000000008</v>
          </cell>
          <cell r="D9">
            <v>98</v>
          </cell>
          <cell r="E9">
            <v>95</v>
          </cell>
          <cell r="F9">
            <v>-3.0612244897959218E-2</v>
          </cell>
          <cell r="G9">
            <v>0.42863390527282519</v>
          </cell>
        </row>
        <row r="10">
          <cell r="B10" t="str">
            <v>Tarceva - US</v>
          </cell>
          <cell r="C10">
            <v>47.585000000000001</v>
          </cell>
          <cell r="D10">
            <v>97</v>
          </cell>
          <cell r="E10">
            <v>93</v>
          </cell>
          <cell r="F10">
            <v>-4.123711340206182E-2</v>
          </cell>
          <cell r="G10" t="str">
            <v>NM</v>
          </cell>
          <cell r="H10" t="str">
            <v>US Tarceva sales below expectations based on IMS prescription trends and the November price increase.</v>
          </cell>
        </row>
        <row r="11">
          <cell r="B11" t="str">
            <v>Raptiva</v>
          </cell>
          <cell r="C11">
            <v>24.114999999999998</v>
          </cell>
          <cell r="D11">
            <v>22</v>
          </cell>
          <cell r="E11">
            <v>21</v>
          </cell>
          <cell r="F11">
            <v>-4.5454545454545414E-2</v>
          </cell>
          <cell r="G11">
            <v>-8.7704748082106487E-2</v>
          </cell>
        </row>
        <row r="12">
          <cell r="B12" t="str">
            <v>Growth Hormone Products</v>
          </cell>
          <cell r="C12">
            <v>92.087999999999994</v>
          </cell>
          <cell r="D12">
            <v>94</v>
          </cell>
          <cell r="E12">
            <v>87</v>
          </cell>
          <cell r="F12">
            <v>-7.4468085106383031E-2</v>
          </cell>
          <cell r="G12">
            <v>2.0762748675180243E-2</v>
          </cell>
        </row>
        <row r="13">
          <cell r="B13" t="str">
            <v>Thrombolytics</v>
          </cell>
          <cell r="C13">
            <v>53.57</v>
          </cell>
          <cell r="D13">
            <v>59</v>
          </cell>
          <cell r="E13">
            <v>59</v>
          </cell>
          <cell r="F13">
            <v>0</v>
          </cell>
          <cell r="G13">
            <v>0.10136270300541339</v>
          </cell>
        </row>
        <row r="14">
          <cell r="B14" t="str">
            <v>Pulmozyme</v>
          </cell>
          <cell r="C14">
            <v>51.745999999999995</v>
          </cell>
          <cell r="D14">
            <v>51</v>
          </cell>
          <cell r="E14">
            <v>49</v>
          </cell>
          <cell r="F14">
            <v>-3.9215686274509776E-2</v>
          </cell>
          <cell r="G14">
            <v>-1.4416573261701315E-2</v>
          </cell>
        </row>
        <row r="15">
          <cell r="B15" t="str">
            <v>Royalties, Contracts and Other</v>
          </cell>
          <cell r="C15">
            <v>275.60000000000002</v>
          </cell>
          <cell r="D15">
            <v>316.2</v>
          </cell>
          <cell r="E15">
            <v>342</v>
          </cell>
          <cell r="F15">
            <v>8.1593927893738094E-2</v>
          </cell>
          <cell r="G15">
            <v>0.1473149492017416</v>
          </cell>
        </row>
        <row r="16">
          <cell r="B16" t="str">
            <v>Total Revenues</v>
          </cell>
          <cell r="C16">
            <v>1461.6020000000003</v>
          </cell>
          <cell r="D16">
            <v>2013.12</v>
          </cell>
          <cell r="E16">
            <v>1986</v>
          </cell>
          <cell r="F16">
            <v>-1.3471626132570247E-2</v>
          </cell>
          <cell r="G16">
            <v>0.37733801677884915</v>
          </cell>
        </row>
        <row r="17">
          <cell r="B17" t="str">
            <v>Operating Expenses:</v>
          </cell>
        </row>
        <row r="18">
          <cell r="B18" t="str">
            <v>Cost of Sales</v>
          </cell>
          <cell r="C18">
            <v>251.041</v>
          </cell>
          <cell r="D18">
            <v>268.11336</v>
          </cell>
          <cell r="E18">
            <v>262</v>
          </cell>
          <cell r="F18">
            <v>-2.28014001241863E-2</v>
          </cell>
          <cell r="G18">
            <v>6.8006261925342981E-2</v>
          </cell>
        </row>
        <row r="19">
          <cell r="B19" t="str">
            <v>R&amp;D</v>
          </cell>
          <cell r="C19">
            <v>243.24</v>
          </cell>
          <cell r="D19">
            <v>367.39440000000002</v>
          </cell>
          <cell r="E19">
            <v>341</v>
          </cell>
          <cell r="F19">
            <v>-7.1842140217706185E-2</v>
          </cell>
          <cell r="G19">
            <v>0.51041933892451907</v>
          </cell>
        </row>
        <row r="20">
          <cell r="B20" t="str">
            <v>SG&amp;A</v>
          </cell>
          <cell r="C20">
            <v>315.214</v>
          </cell>
          <cell r="D20">
            <v>417.72239999999999</v>
          </cell>
          <cell r="E20">
            <v>400</v>
          </cell>
          <cell r="F20">
            <v>-4.2426262034307882E-2</v>
          </cell>
          <cell r="G20">
            <v>0.32520256079996446</v>
          </cell>
        </row>
        <row r="21">
          <cell r="B21" t="str">
            <v>Collaborative Profit Split</v>
          </cell>
          <cell r="C21">
            <v>176.27699999999999</v>
          </cell>
          <cell r="D21">
            <v>240</v>
          </cell>
          <cell r="E21">
            <v>226</v>
          </cell>
          <cell r="F21">
            <v>-5.8333333333333348E-2</v>
          </cell>
          <cell r="G21">
            <v>0.36149355843360187</v>
          </cell>
        </row>
        <row r="22">
          <cell r="B22" t="str">
            <v>Total Op.Expenses</v>
          </cell>
          <cell r="C22">
            <v>985.77199999999993</v>
          </cell>
          <cell r="D22">
            <v>1293.2301600000001</v>
          </cell>
          <cell r="E22">
            <v>1229</v>
          </cell>
          <cell r="F22">
            <v>-4.9666456897355382E-2</v>
          </cell>
          <cell r="G22">
            <v>0.31189581363641916</v>
          </cell>
        </row>
        <row r="23">
          <cell r="B23" t="str">
            <v>Operating Income (Loss)</v>
          </cell>
          <cell r="C23">
            <v>475.83000000000027</v>
          </cell>
          <cell r="D23">
            <v>719.88984000000005</v>
          </cell>
          <cell r="E23">
            <v>757</v>
          </cell>
          <cell r="F23">
            <v>5.154977600461752E-2</v>
          </cell>
          <cell r="G23">
            <v>0.51291393985246758</v>
          </cell>
        </row>
        <row r="24">
          <cell r="B24" t="str">
            <v xml:space="preserve">   Net Other Income</v>
          </cell>
          <cell r="C24">
            <v>16.396000000000001</v>
          </cell>
          <cell r="D24">
            <v>16</v>
          </cell>
          <cell r="E24">
            <v>34</v>
          </cell>
          <cell r="F24">
            <v>1.125</v>
          </cell>
          <cell r="G24">
            <v>-2.4152232251768768E-2</v>
          </cell>
        </row>
        <row r="25">
          <cell r="B25" t="str">
            <v xml:space="preserve">   Tax Expense</v>
          </cell>
          <cell r="C25">
            <v>180.58500000000001</v>
          </cell>
          <cell r="D25">
            <v>272.27924080000003</v>
          </cell>
          <cell r="E25">
            <v>300</v>
          </cell>
          <cell r="F25">
            <v>0.10181003560371304</v>
          </cell>
          <cell r="G25">
            <v>0.50776222166846652</v>
          </cell>
        </row>
        <row r="26">
          <cell r="B26" t="str">
            <v>Net Income (Loss)</v>
          </cell>
          <cell r="C26">
            <v>311.6410000000003</v>
          </cell>
          <cell r="D26">
            <v>463.61059920000002</v>
          </cell>
          <cell r="E26">
            <v>491</v>
          </cell>
          <cell r="F26">
            <v>5.9078461207018762E-2</v>
          </cell>
          <cell r="G26">
            <v>0.48764315093328414</v>
          </cell>
        </row>
        <row r="27">
          <cell r="B27" t="str">
            <v>EPS, Diluted</v>
          </cell>
          <cell r="C27">
            <v>0.29205273126155645</v>
          </cell>
          <cell r="D27">
            <v>0.42985344635725764</v>
          </cell>
          <cell r="E27">
            <v>0.45674418604651162</v>
          </cell>
          <cell r="F27">
            <v>6.2557925072222575E-2</v>
          </cell>
          <cell r="G27">
            <v>0.47183505013103155</v>
          </cell>
        </row>
        <row r="28">
          <cell r="B28" t="str">
            <v>Consensus EPS</v>
          </cell>
          <cell r="D28">
            <v>0.41</v>
          </cell>
        </row>
        <row r="29">
          <cell r="B29" t="str">
            <v xml:space="preserve">Diluted Shares Outstanding </v>
          </cell>
          <cell r="C29">
            <v>1067.0709999999999</v>
          </cell>
          <cell r="D29">
            <v>1078.531772</v>
          </cell>
          <cell r="E29">
            <v>1075</v>
          </cell>
          <cell r="F29">
            <v>-3.2746109958826652E-3</v>
          </cell>
          <cell r="G29">
            <v>1.0740402466190346E-2</v>
          </cell>
        </row>
      </sheetData>
      <sheetData sheetId="4" refreshError="1">
        <row r="2">
          <cell r="B2" t="str">
            <v>Changes To Model</v>
          </cell>
        </row>
        <row r="3">
          <cell r="C3">
            <v>2003</v>
          </cell>
          <cell r="E3">
            <v>2004</v>
          </cell>
          <cell r="G3">
            <v>2005</v>
          </cell>
          <cell r="I3">
            <v>2006</v>
          </cell>
          <cell r="K3">
            <v>2007</v>
          </cell>
          <cell r="M3">
            <v>2008</v>
          </cell>
          <cell r="O3">
            <v>2009</v>
          </cell>
          <cell r="Q3">
            <v>2010</v>
          </cell>
          <cell r="R3" t="str">
            <v>Comments</v>
          </cell>
        </row>
        <row r="4">
          <cell r="B4" t="str">
            <v>Avastin US Sales</v>
          </cell>
          <cell r="R4" t="str">
            <v>Lowered near term (2006-09) estimates based on current usage trends.  Long term, sales projections become more dependent upon additional indications.</v>
          </cell>
        </row>
        <row r="5">
          <cell r="B5" t="str">
            <v xml:space="preserve">   Current</v>
          </cell>
          <cell r="C5">
            <v>0</v>
          </cell>
          <cell r="E5">
            <v>552.34</v>
          </cell>
          <cell r="G5">
            <v>1132.721</v>
          </cell>
          <cell r="I5">
            <v>1876</v>
          </cell>
          <cell r="K5">
            <v>2817.9611602894643</v>
          </cell>
          <cell r="M5">
            <v>3802.1294573955038</v>
          </cell>
          <cell r="O5">
            <v>4624.6783247655285</v>
          </cell>
          <cell r="Q5">
            <v>5307.1770570587933</v>
          </cell>
        </row>
        <row r="6">
          <cell r="B6" t="str">
            <v xml:space="preserve">   Prior</v>
          </cell>
          <cell r="C6">
            <v>0</v>
          </cell>
          <cell r="E6">
            <v>545.5</v>
          </cell>
          <cell r="G6">
            <v>1132.721</v>
          </cell>
          <cell r="I6">
            <v>1991</v>
          </cell>
          <cell r="K6">
            <v>3237.062488981529</v>
          </cell>
          <cell r="M6">
            <v>4383.5907709546664</v>
          </cell>
          <cell r="O6">
            <v>4968.255300105604</v>
          </cell>
          <cell r="Q6">
            <v>5357.3388751605999</v>
          </cell>
        </row>
        <row r="7">
          <cell r="B7" t="str">
            <v>Rituxan US Sales</v>
          </cell>
        </row>
        <row r="8">
          <cell r="B8" t="str">
            <v xml:space="preserve">   Current</v>
          </cell>
          <cell r="C8">
            <v>1360.2</v>
          </cell>
          <cell r="E8">
            <v>1574</v>
          </cell>
          <cell r="G8">
            <v>1831.481</v>
          </cell>
          <cell r="I8">
            <v>2097</v>
          </cell>
          <cell r="K8">
            <v>2430.2807564833265</v>
          </cell>
          <cell r="M8">
            <v>2695.0166005063993</v>
          </cell>
          <cell r="O8">
            <v>2950.119381396431</v>
          </cell>
          <cell r="Q8">
            <v>3220</v>
          </cell>
        </row>
        <row r="9">
          <cell r="B9" t="str">
            <v xml:space="preserve">   Prior</v>
          </cell>
          <cell r="C9">
            <v>1360.2</v>
          </cell>
          <cell r="E9">
            <v>1574</v>
          </cell>
          <cell r="G9">
            <v>1831.481</v>
          </cell>
          <cell r="I9">
            <v>2160</v>
          </cell>
          <cell r="K9">
            <v>2437.3514265485192</v>
          </cell>
          <cell r="M9">
            <v>2692.5171673115556</v>
          </cell>
          <cell r="O9">
            <v>2933.0759826633407</v>
          </cell>
          <cell r="Q9">
            <v>3195</v>
          </cell>
        </row>
        <row r="10">
          <cell r="B10" t="str">
            <v>Herceptin US Sales</v>
          </cell>
        </row>
        <row r="11">
          <cell r="B11" t="str">
            <v xml:space="preserve">   Current</v>
          </cell>
          <cell r="C11">
            <v>424.8</v>
          </cell>
          <cell r="E11">
            <v>482.27499999999998</v>
          </cell>
          <cell r="G11">
            <v>747.24699999999996</v>
          </cell>
          <cell r="I11">
            <v>1375</v>
          </cell>
          <cell r="K11">
            <v>1566.9607618585742</v>
          </cell>
          <cell r="M11">
            <v>1676.8953104490511</v>
          </cell>
          <cell r="O11">
            <v>1772.633441089682</v>
          </cell>
          <cell r="Q11">
            <v>1873.880898727371</v>
          </cell>
        </row>
        <row r="12">
          <cell r="B12" t="str">
            <v xml:space="preserve">   Prior</v>
          </cell>
          <cell r="C12">
            <v>424.8</v>
          </cell>
          <cell r="E12">
            <v>482.27499999999998</v>
          </cell>
          <cell r="G12">
            <v>747.24699999999996</v>
          </cell>
          <cell r="I12">
            <v>1236</v>
          </cell>
          <cell r="K12">
            <v>1467.230824775874</v>
          </cell>
          <cell r="M12">
            <v>1572.4179521860037</v>
          </cell>
          <cell r="O12">
            <v>1676.1602207869551</v>
          </cell>
          <cell r="Q12">
            <v>1802.0633882939715</v>
          </cell>
        </row>
        <row r="13">
          <cell r="B13" t="str">
            <v>Xolair</v>
          </cell>
        </row>
        <row r="14">
          <cell r="B14" t="str">
            <v xml:space="preserve">   Current</v>
          </cell>
          <cell r="C14">
            <v>25.3</v>
          </cell>
          <cell r="E14">
            <v>188.5</v>
          </cell>
          <cell r="G14">
            <v>323.79700000000003</v>
          </cell>
          <cell r="I14">
            <v>423</v>
          </cell>
          <cell r="K14">
            <v>496.67639851943272</v>
          </cell>
          <cell r="M14">
            <v>549.18117450569844</v>
          </cell>
          <cell r="O14">
            <v>609.0179751523707</v>
          </cell>
          <cell r="Q14">
            <v>656.42413544863268</v>
          </cell>
        </row>
        <row r="15">
          <cell r="B15" t="str">
            <v xml:space="preserve">   Prior</v>
          </cell>
          <cell r="C15">
            <v>25.3</v>
          </cell>
          <cell r="E15">
            <v>188.5</v>
          </cell>
          <cell r="G15">
            <v>332.99700000000001</v>
          </cell>
          <cell r="I15">
            <v>443.81706468549254</v>
          </cell>
          <cell r="K15">
            <v>496.67639851943272</v>
          </cell>
          <cell r="M15">
            <v>583.43592955279041</v>
          </cell>
          <cell r="O15">
            <v>583.43592955279041</v>
          </cell>
          <cell r="Q15">
            <v>583.43592955279041</v>
          </cell>
        </row>
        <row r="16">
          <cell r="B16" t="str">
            <v>Raptiva</v>
          </cell>
        </row>
        <row r="17">
          <cell r="B17" t="str">
            <v xml:space="preserve">   Current</v>
          </cell>
          <cell r="C17">
            <v>1.4</v>
          </cell>
          <cell r="E17">
            <v>56.300000000000004</v>
          </cell>
          <cell r="G17">
            <v>86.754999999999995</v>
          </cell>
          <cell r="I17">
            <v>93</v>
          </cell>
          <cell r="K17">
            <v>114.74883545485645</v>
          </cell>
          <cell r="M17">
            <v>111.02507700089812</v>
          </cell>
          <cell r="O17">
            <v>116.64294589714356</v>
          </cell>
          <cell r="Q17">
            <v>122.54507895953904</v>
          </cell>
        </row>
        <row r="18">
          <cell r="B18" t="str">
            <v xml:space="preserve">   Prior</v>
          </cell>
          <cell r="C18">
            <v>1.4</v>
          </cell>
          <cell r="E18">
            <v>56.3</v>
          </cell>
          <cell r="G18">
            <v>96.415000000000006</v>
          </cell>
          <cell r="I18">
            <v>128.34202046044302</v>
          </cell>
          <cell r="K18">
            <v>154.41809851788798</v>
          </cell>
          <cell r="M18">
            <v>190.17374516347169</v>
          </cell>
          <cell r="O18">
            <v>190.17374516347169</v>
          </cell>
          <cell r="Q18">
            <v>190.17374516347169</v>
          </cell>
        </row>
        <row r="19">
          <cell r="B19" t="str">
            <v>Lucentis</v>
          </cell>
        </row>
        <row r="20">
          <cell r="B20" t="str">
            <v xml:space="preserve">   Current</v>
          </cell>
          <cell r="C20">
            <v>0</v>
          </cell>
          <cell r="E20">
            <v>0</v>
          </cell>
          <cell r="G20">
            <v>0</v>
          </cell>
          <cell r="I20">
            <v>135</v>
          </cell>
          <cell r="K20">
            <v>550</v>
          </cell>
          <cell r="M20">
            <v>850</v>
          </cell>
          <cell r="O20">
            <v>1050</v>
          </cell>
          <cell r="Q20">
            <v>1200</v>
          </cell>
        </row>
        <row r="21">
          <cell r="B21" t="str">
            <v xml:space="preserve">   Prior</v>
          </cell>
          <cell r="C21">
            <v>1.4</v>
          </cell>
          <cell r="E21">
            <v>0</v>
          </cell>
          <cell r="G21">
            <v>0</v>
          </cell>
          <cell r="I21">
            <v>150</v>
          </cell>
          <cell r="K21">
            <v>700</v>
          </cell>
          <cell r="M21">
            <v>1150</v>
          </cell>
          <cell r="O21">
            <v>1150</v>
          </cell>
          <cell r="Q21">
            <v>1150</v>
          </cell>
        </row>
        <row r="22">
          <cell r="B22" t="str">
            <v>Total Revenue</v>
          </cell>
          <cell r="R22" t="str">
            <v>2006 Guidance: Sales to Collaborators= YoY growth of 30%; Royalties = YoY growth of 30%; Net Interest Income = YoY growth of 30%</v>
          </cell>
        </row>
        <row r="23">
          <cell r="B23" t="str">
            <v xml:space="preserve">   Current</v>
          </cell>
          <cell r="C23">
            <v>3300.2629999999999</v>
          </cell>
          <cell r="E23">
            <v>4621.2</v>
          </cell>
          <cell r="G23">
            <v>6633.4230000000007</v>
          </cell>
          <cell r="I23">
            <v>9120.36</v>
          </cell>
          <cell r="K23">
            <v>11279.125121683228</v>
          </cell>
          <cell r="M23">
            <v>13104.186311101828</v>
          </cell>
          <cell r="O23">
            <v>14586.038977915103</v>
          </cell>
          <cell r="Q23">
            <v>15778.109649377711</v>
          </cell>
        </row>
        <row r="24">
          <cell r="B24" t="str">
            <v xml:space="preserve">   Prior</v>
          </cell>
          <cell r="C24">
            <v>3300.2629999999999</v>
          </cell>
          <cell r="E24">
            <v>4614.3599999999997</v>
          </cell>
          <cell r="G24">
            <v>6633.4230000000007</v>
          </cell>
          <cell r="I24">
            <v>9060.77</v>
          </cell>
          <cell r="K24">
            <v>11649.799183357783</v>
          </cell>
          <cell r="M24">
            <v>13530.991983203103</v>
          </cell>
          <cell r="O24">
            <v>14825.172049719364</v>
          </cell>
          <cell r="Q24">
            <v>15802.880857526117</v>
          </cell>
        </row>
        <row r="25">
          <cell r="B25" t="str">
            <v>COGS ($MM)</v>
          </cell>
          <cell r="R25" t="str">
            <v xml:space="preserve">2006 Guidance: 16% of sales (from 15-16%);  </v>
          </cell>
        </row>
        <row r="26">
          <cell r="B26" t="str">
            <v xml:space="preserve">   Current</v>
          </cell>
          <cell r="C26">
            <v>480.15100000000001</v>
          </cell>
          <cell r="E26">
            <v>672.5</v>
          </cell>
          <cell r="G26">
            <v>1011.0629999999999</v>
          </cell>
          <cell r="I26">
            <v>1222.5376000000001</v>
          </cell>
          <cell r="K26">
            <v>1506.7599287814626</v>
          </cell>
          <cell r="M26">
            <v>1619.0699996815897</v>
          </cell>
          <cell r="O26">
            <v>1702.8029601920346</v>
          </cell>
          <cell r="Q26">
            <v>1774.5598005138277</v>
          </cell>
        </row>
        <row r="27">
          <cell r="B27" t="str">
            <v xml:space="preserve">   Prior</v>
          </cell>
          <cell r="C27">
            <v>480.15100000000001</v>
          </cell>
          <cell r="E27">
            <v>672.5</v>
          </cell>
          <cell r="G27">
            <v>1011.0629999999999</v>
          </cell>
          <cell r="I27">
            <v>1202.9025999999999</v>
          </cell>
          <cell r="K27">
            <v>1565.9989624404361</v>
          </cell>
          <cell r="M27">
            <v>1695.7885048324765</v>
          </cell>
          <cell r="O27">
            <v>1751.9607945750547</v>
          </cell>
          <cell r="Q27">
            <v>1797.2421266516367</v>
          </cell>
        </row>
        <row r="28">
          <cell r="B28" t="str">
            <v>R&amp;D ($MM)</v>
          </cell>
          <cell r="R28" t="str">
            <v>2006 Guidance: 18-19% of operating revenue.</v>
          </cell>
        </row>
        <row r="29">
          <cell r="B29" t="str">
            <v xml:space="preserve">   Current</v>
          </cell>
          <cell r="C29">
            <v>721.96299999999997</v>
          </cell>
          <cell r="D29">
            <v>0.15795323682159235</v>
          </cell>
          <cell r="E29">
            <v>947.5</v>
          </cell>
          <cell r="F29">
            <v>0.3123941254607232</v>
          </cell>
          <cell r="G29">
            <v>1261.8240000000001</v>
          </cell>
          <cell r="H29">
            <v>0.33174036939314</v>
          </cell>
          <cell r="I29">
            <v>1677.1420800000001</v>
          </cell>
          <cell r="J29">
            <v>0.3291410529519172</v>
          </cell>
          <cell r="K29">
            <v>2058.4403347071889</v>
          </cell>
          <cell r="M29">
            <v>2384.9619086205325</v>
          </cell>
          <cell r="O29">
            <v>2654.6590939805487</v>
          </cell>
          <cell r="Q29">
            <v>2871.6159561867435</v>
          </cell>
        </row>
        <row r="30">
          <cell r="B30" t="str">
            <v xml:space="preserve">   Prior</v>
          </cell>
          <cell r="C30">
            <v>721.96299999999997</v>
          </cell>
          <cell r="E30">
            <v>947.5</v>
          </cell>
          <cell r="F30">
            <v>0.3123941254607232</v>
          </cell>
          <cell r="G30">
            <v>1261.8240000000001</v>
          </cell>
          <cell r="H30">
            <v>0.33174036939314</v>
          </cell>
          <cell r="I30">
            <v>1677.54035</v>
          </cell>
          <cell r="J30">
            <v>0.32945668334094136</v>
          </cell>
          <cell r="K30">
            <v>2126.0883509627956</v>
          </cell>
          <cell r="M30">
            <v>2462.6405409429644</v>
          </cell>
          <cell r="O30">
            <v>2698.181313048924</v>
          </cell>
          <cell r="Q30">
            <v>2876.1243160697531</v>
          </cell>
        </row>
        <row r="31">
          <cell r="B31" t="str">
            <v>SG&amp;A ($MM)</v>
          </cell>
          <cell r="R31" t="str">
            <v>2006 Guidance: 21% of operating revenue (from 21-22%)</v>
          </cell>
        </row>
        <row r="32">
          <cell r="B32" t="str">
            <v xml:space="preserve">   Current</v>
          </cell>
          <cell r="C32">
            <v>794.88499999999999</v>
          </cell>
          <cell r="D32">
            <v>0.45509778939583656</v>
          </cell>
          <cell r="E32">
            <v>1088.2</v>
          </cell>
          <cell r="F32">
            <v>0.36900306333620603</v>
          </cell>
          <cell r="G32">
            <v>1435.0319999999999</v>
          </cell>
          <cell r="H32">
            <v>0.31872082337805541</v>
          </cell>
          <cell r="I32">
            <v>1928.0563000000002</v>
          </cell>
          <cell r="J32">
            <v>0.34356327942512799</v>
          </cell>
          <cell r="K32">
            <v>2114.835960315605</v>
          </cell>
          <cell r="M32">
            <v>2293.2326044428196</v>
          </cell>
          <cell r="O32">
            <v>2406.696431355992</v>
          </cell>
          <cell r="Q32">
            <v>2406.1617215301007</v>
          </cell>
        </row>
        <row r="33">
          <cell r="B33" t="str">
            <v xml:space="preserve">   Prior</v>
          </cell>
          <cell r="C33">
            <v>794.88499999999999</v>
          </cell>
          <cell r="D33">
            <v>0.45509778939583656</v>
          </cell>
          <cell r="E33">
            <v>1088.2</v>
          </cell>
          <cell r="F33">
            <v>0.36900306333620603</v>
          </cell>
          <cell r="G33">
            <v>1435.0319999999999</v>
          </cell>
          <cell r="H33">
            <v>0.31872082337805541</v>
          </cell>
          <cell r="I33">
            <v>1955.315885</v>
          </cell>
          <cell r="J33">
            <v>0.36255908230617861</v>
          </cell>
          <cell r="K33">
            <v>2184.3373468795844</v>
          </cell>
          <cell r="M33">
            <v>2367.9235970605428</v>
          </cell>
          <cell r="O33">
            <v>2446.1533882036952</v>
          </cell>
          <cell r="Q33">
            <v>2409.9393307727328</v>
          </cell>
        </row>
        <row r="34">
          <cell r="B34" t="str">
            <v>Interest, Other Income</v>
          </cell>
        </row>
        <row r="35">
          <cell r="B35" t="str">
            <v xml:space="preserve">   Current</v>
          </cell>
          <cell r="C35">
            <v>92.807000000000002</v>
          </cell>
          <cell r="D35">
            <v>0</v>
          </cell>
          <cell r="E35">
            <v>82.597000000000008</v>
          </cell>
          <cell r="F35">
            <v>0</v>
          </cell>
          <cell r="G35">
            <v>140.9</v>
          </cell>
          <cell r="H35">
            <v>0</v>
          </cell>
          <cell r="I35">
            <v>228</v>
          </cell>
          <cell r="J35">
            <v>0</v>
          </cell>
          <cell r="K35">
            <v>158.27981570681379</v>
          </cell>
          <cell r="M35">
            <v>214.14721389467866</v>
          </cell>
          <cell r="O35">
            <v>298.9218808473185</v>
          </cell>
          <cell r="Q35">
            <v>424.04459975088002</v>
          </cell>
        </row>
        <row r="36">
          <cell r="B36" t="str">
            <v xml:space="preserve">   Prior</v>
          </cell>
          <cell r="C36">
            <v>92.8</v>
          </cell>
          <cell r="E36">
            <v>82.597000000000008</v>
          </cell>
          <cell r="F36">
            <v>0</v>
          </cell>
          <cell r="G36">
            <v>140.9</v>
          </cell>
          <cell r="H36">
            <v>0</v>
          </cell>
          <cell r="I36">
            <v>175</v>
          </cell>
          <cell r="J36">
            <v>0</v>
          </cell>
          <cell r="K36">
            <v>144.98120766629103</v>
          </cell>
          <cell r="M36">
            <v>198.6848384525747</v>
          </cell>
          <cell r="O36">
            <v>299.84795970525033</v>
          </cell>
          <cell r="Q36">
            <v>427.16721415138414</v>
          </cell>
        </row>
        <row r="37">
          <cell r="B37" t="str">
            <v xml:space="preserve">Net Income ($MM) </v>
          </cell>
        </row>
        <row r="38">
          <cell r="B38" t="str">
            <v xml:space="preserve">   Current</v>
          </cell>
          <cell r="C38">
            <v>634.65584265857763</v>
          </cell>
          <cell r="D38">
            <v>0.31253732024758918</v>
          </cell>
          <cell r="E38">
            <v>894.36599999999964</v>
          </cell>
          <cell r="F38">
            <v>0.4092141596829777</v>
          </cell>
          <cell r="G38">
            <v>1387.3240000000012</v>
          </cell>
          <cell r="H38">
            <v>0.55118150734710603</v>
          </cell>
          <cell r="I38">
            <v>2124.9055085800001</v>
          </cell>
          <cell r="J38">
            <v>0.53165771555887331</v>
          </cell>
          <cell r="K38">
            <v>2800.6211029553579</v>
          </cell>
          <cell r="M38">
            <v>3493.9576522401981</v>
          </cell>
          <cell r="O38">
            <v>4096.4026406736639</v>
          </cell>
          <cell r="Q38">
            <v>4671.2691888702175</v>
          </cell>
        </row>
        <row r="39">
          <cell r="B39" t="str">
            <v xml:space="preserve">   Prior</v>
          </cell>
          <cell r="C39">
            <v>634.65584265857763</v>
          </cell>
          <cell r="E39">
            <v>887.5259999999995</v>
          </cell>
          <cell r="F39">
            <v>0.3984366649523734</v>
          </cell>
          <cell r="G39">
            <v>1387.3240000000012</v>
          </cell>
          <cell r="H39">
            <v>0.55118150734710603</v>
          </cell>
          <cell r="I39">
            <v>2034.2770339500007</v>
          </cell>
          <cell r="J39">
            <v>0.4663316095951624</v>
          </cell>
          <cell r="K39">
            <v>2904.7667281963868</v>
          </cell>
          <cell r="M39">
            <v>3614.4886831826261</v>
          </cell>
          <cell r="O39">
            <v>4174.1361237760229</v>
          </cell>
          <cell r="Q39">
            <v>4681.8126100993795</v>
          </cell>
        </row>
        <row r="40">
          <cell r="B40" t="str">
            <v>Non-GAAP EPS, Diluted</v>
          </cell>
          <cell r="R40" t="str">
            <v>2006 Guidance: 45-55% YoY growth.  Raised guidance again (company raised guidance from 35-45% to 40%-50% at its analyst day three weeks ago).  Horizon 2010 guidance of 5-year CAGR of 25% (our model assumes 28%).  We are lowering 2007-09 EPS estimates.</v>
          </cell>
        </row>
        <row r="41">
          <cell r="B41" t="str">
            <v xml:space="preserve">   Current</v>
          </cell>
          <cell r="C41">
            <v>0.60195636879300407</v>
          </cell>
          <cell r="D41">
            <v>0.30585864252004424</v>
          </cell>
          <cell r="E41">
            <v>0.82872362999196592</v>
          </cell>
          <cell r="F41">
            <v>0.37671710601493902</v>
          </cell>
          <cell r="G41">
            <v>1.2834315032439099</v>
          </cell>
          <cell r="H41">
            <v>0.54868457564840067</v>
          </cell>
          <cell r="I41">
            <v>1.9766562870511628</v>
          </cell>
          <cell r="J41">
            <v>0.54013383811688231</v>
          </cell>
          <cell r="K41">
            <v>2.6131703146035923</v>
          </cell>
          <cell r="M41">
            <v>3.2657035401917991</v>
          </cell>
          <cell r="O41">
            <v>3.8441841959191563</v>
          </cell>
          <cell r="Q41">
            <v>4.4101388095141756</v>
          </cell>
        </row>
        <row r="42">
          <cell r="B42" t="str">
            <v xml:space="preserve">       Prior</v>
          </cell>
          <cell r="C42">
            <v>0.60195636879300407</v>
          </cell>
          <cell r="E42">
            <v>0.82238565467856495</v>
          </cell>
          <cell r="F42">
            <v>0.36618814471146544</v>
          </cell>
          <cell r="G42">
            <v>1.2834315032439099</v>
          </cell>
          <cell r="H42">
            <v>0.54868457564840067</v>
          </cell>
          <cell r="I42">
            <v>1.8875696940202418</v>
          </cell>
          <cell r="J42">
            <v>0.47072102348224698</v>
          </cell>
          <cell r="K42">
            <v>2.7103452791100371</v>
          </cell>
          <cell r="M42">
            <v>3.3783604907416378</v>
          </cell>
          <cell r="O42">
            <v>3.9171315727880218</v>
          </cell>
          <cell r="Q42">
            <v>4.4200928389797802</v>
          </cell>
        </row>
        <row r="43">
          <cell r="B43" t="str">
            <v>Non-GAAP EPS, Diluted (incl options expense)</v>
          </cell>
        </row>
        <row r="44">
          <cell r="B44" t="str">
            <v xml:space="preserve">   Current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H44">
            <v>0</v>
          </cell>
          <cell r="I44">
            <v>1.670437236911628</v>
          </cell>
          <cell r="J44">
            <v>0</v>
          </cell>
          <cell r="K44">
            <v>2.2605437247777207</v>
          </cell>
          <cell r="M44">
            <v>2.8726239093062675</v>
          </cell>
          <cell r="O44">
            <v>3.4182573129078739</v>
          </cell>
          <cell r="Q44">
            <v>3.9597085440583326</v>
          </cell>
        </row>
        <row r="45">
          <cell r="B45" t="str">
            <v xml:space="preserve">   Prior</v>
          </cell>
          <cell r="C45">
            <v>0.60195636879300407</v>
          </cell>
          <cell r="E45">
            <v>0.82238565467856495</v>
          </cell>
          <cell r="F45">
            <v>0.36618814471146544</v>
          </cell>
          <cell r="H45">
            <v>0</v>
          </cell>
          <cell r="I45">
            <v>1.7230350353762618</v>
          </cell>
          <cell r="J45">
            <v>0</v>
          </cell>
          <cell r="K45">
            <v>2.5124428538629009</v>
          </cell>
          <cell r="M45">
            <v>3.1575521802291613</v>
          </cell>
          <cell r="O45">
            <v>3.6217186312474188</v>
          </cell>
          <cell r="Q45">
            <v>4.1138707857302448</v>
          </cell>
        </row>
        <row r="46">
          <cell r="B46" t="str">
            <v>Capital Expenditures</v>
          </cell>
          <cell r="R46" t="str">
            <v>2006 Guidance: $1.5B; expect decrease to ~$800 by 2010</v>
          </cell>
        </row>
        <row r="47">
          <cell r="B47" t="str">
            <v xml:space="preserve">   Current</v>
          </cell>
          <cell r="C47">
            <v>321.95</v>
          </cell>
          <cell r="D47">
            <v>649.85799999999995</v>
          </cell>
          <cell r="E47">
            <v>649.85799999999995</v>
          </cell>
          <cell r="F47">
            <v>1482.0585000000001</v>
          </cell>
          <cell r="G47">
            <v>1399.8240000000001</v>
          </cell>
          <cell r="H47">
            <v>1179.3767679991645</v>
          </cell>
          <cell r="I47">
            <v>1482.0585000000001</v>
          </cell>
          <cell r="J47">
            <v>828.35075659232984</v>
          </cell>
          <cell r="K47">
            <v>1579.0775170356521</v>
          </cell>
          <cell r="M47">
            <v>1179.3767679991645</v>
          </cell>
          <cell r="O47">
            <v>875.1623386749061</v>
          </cell>
          <cell r="Q47">
            <v>828.35075659232984</v>
          </cell>
        </row>
        <row r="48">
          <cell r="B48" t="str">
            <v xml:space="preserve">   Prior</v>
          </cell>
          <cell r="C48">
            <v>322</v>
          </cell>
          <cell r="E48">
            <v>649.85799999999995</v>
          </cell>
          <cell r="F48">
            <v>1073.9414548082564</v>
          </cell>
          <cell r="G48">
            <v>1399.8240000000001</v>
          </cell>
          <cell r="H48">
            <v>1217.7892784882793</v>
          </cell>
          <cell r="I48">
            <v>1472.375125</v>
          </cell>
          <cell r="J48">
            <v>829.65124502012111</v>
          </cell>
          <cell r="K48">
            <v>1630.9718856700899</v>
          </cell>
          <cell r="M48">
            <v>1217.7892784882793</v>
          </cell>
          <cell r="O48">
            <v>889.51032298316204</v>
          </cell>
          <cell r="Q48">
            <v>829.651245020121</v>
          </cell>
        </row>
        <row r="49">
          <cell r="B49" t="str">
            <v>Basic Shares Outstanding</v>
          </cell>
        </row>
        <row r="50">
          <cell r="B50" t="str">
            <v xml:space="preserve">   Current</v>
          </cell>
          <cell r="C50">
            <v>1034.4565</v>
          </cell>
          <cell r="D50">
            <v>-3.901749480143768E-3</v>
          </cell>
          <cell r="E50">
            <v>1055.165</v>
          </cell>
          <cell r="F50">
            <v>2.0018724808631427E-2</v>
          </cell>
          <cell r="G50">
            <v>1054.952</v>
          </cell>
          <cell r="H50">
            <v>-2.0186416342460323E-4</v>
          </cell>
          <cell r="I50">
            <v>1054</v>
          </cell>
          <cell r="J50">
            <v>-9.0241072579599901E-4</v>
          </cell>
          <cell r="K50">
            <v>1053.713</v>
          </cell>
          <cell r="M50">
            <v>1053.713</v>
          </cell>
          <cell r="O50">
            <v>1053.713</v>
          </cell>
          <cell r="Q50">
            <v>1053.713</v>
          </cell>
        </row>
        <row r="51">
          <cell r="B51" t="str">
            <v xml:space="preserve">   Prior</v>
          </cell>
          <cell r="C51">
            <v>1034.46</v>
          </cell>
          <cell r="E51">
            <v>1055.165</v>
          </cell>
          <cell r="F51">
            <v>2.0018724808631427E-2</v>
          </cell>
          <cell r="G51">
            <v>1054.952</v>
          </cell>
          <cell r="H51">
            <v>-2.0186416342460323E-4</v>
          </cell>
          <cell r="I51">
            <v>1054.7239999999999</v>
          </cell>
          <cell r="J51">
            <v>-2.1612357718647779E-4</v>
          </cell>
          <cell r="K51">
            <v>1053.713</v>
          </cell>
          <cell r="M51">
            <v>1053.713</v>
          </cell>
          <cell r="O51">
            <v>1053.713</v>
          </cell>
          <cell r="Q51">
            <v>1053.713</v>
          </cell>
        </row>
        <row r="52">
          <cell r="B52" t="str">
            <v>Diluted Shares Outstanding</v>
          </cell>
          <cell r="R52" t="str">
            <v xml:space="preserve">2006 Guidance: Flat YoY growth. </v>
          </cell>
        </row>
        <row r="53">
          <cell r="B53" t="str">
            <v xml:space="preserve">   Current</v>
          </cell>
          <cell r="C53">
            <v>1054.3219999999999</v>
          </cell>
          <cell r="D53">
            <v>5.1538922087179806E-3</v>
          </cell>
          <cell r="E53">
            <v>1079.2090000000001</v>
          </cell>
          <cell r="F53">
            <v>2.3604743142986884E-2</v>
          </cell>
          <cell r="G53">
            <v>1080.9490000000001</v>
          </cell>
          <cell r="H53">
            <v>1.6122919656897938E-3</v>
          </cell>
          <cell r="I53">
            <v>1075</v>
          </cell>
          <cell r="J53">
            <v>-5.5034973897936101E-3</v>
          </cell>
          <cell r="K53">
            <v>1071.7330926745205</v>
          </cell>
          <cell r="M53">
            <v>1069.8943150347914</v>
          </cell>
          <cell r="O53">
            <v>1065.6103953141094</v>
          </cell>
          <cell r="Q53">
            <v>1059.2113742072459</v>
          </cell>
        </row>
        <row r="54">
          <cell r="B54" t="str">
            <v xml:space="preserve">   Prior</v>
          </cell>
          <cell r="C54">
            <v>1054.32</v>
          </cell>
          <cell r="E54">
            <v>1079.2090000000001</v>
          </cell>
          <cell r="F54">
            <v>2.3604743142986884E-2</v>
          </cell>
          <cell r="G54">
            <v>1080.9490000000001</v>
          </cell>
          <cell r="H54">
            <v>1.6122919656897938E-3</v>
          </cell>
          <cell r="I54">
            <v>1077.7228731710002</v>
          </cell>
          <cell r="J54">
            <v>-2.9845319520160896E-3</v>
          </cell>
          <cell r="K54">
            <v>1071.7330926745205</v>
          </cell>
          <cell r="M54">
            <v>1069.8943150347914</v>
          </cell>
          <cell r="O54">
            <v>1065.6103953141094</v>
          </cell>
          <cell r="Q54">
            <v>1059.2113742072459</v>
          </cell>
        </row>
      </sheetData>
      <sheetData sheetId="5" refreshError="1">
        <row r="1">
          <cell r="B1" t="str">
            <v>Genentech Quarterly Income Statement</v>
          </cell>
          <cell r="BC1">
            <v>6.0159760359460801E-2</v>
          </cell>
          <cell r="BE1">
            <v>3.0609842241582363E-2</v>
          </cell>
        </row>
        <row r="2">
          <cell r="B2" t="str">
            <v>(Dollars in thousands except per-share data)</v>
          </cell>
          <cell r="BW2">
            <v>55</v>
          </cell>
        </row>
        <row r="3">
          <cell r="BW3">
            <v>0.11121852970795569</v>
          </cell>
        </row>
        <row r="4">
          <cell r="C4" t="str">
            <v>1Q99A</v>
          </cell>
          <cell r="E4" t="str">
            <v>2Q99A</v>
          </cell>
          <cell r="G4" t="str">
            <v>3Q99A</v>
          </cell>
          <cell r="I4" t="str">
            <v>4Q99A</v>
          </cell>
          <cell r="K4" t="str">
            <v>1999A</v>
          </cell>
          <cell r="M4" t="str">
            <v>1Q00A</v>
          </cell>
          <cell r="O4" t="str">
            <v>2Q00A</v>
          </cell>
          <cell r="Q4" t="str">
            <v>3Q00A</v>
          </cell>
          <cell r="S4" t="str">
            <v>4Q00A</v>
          </cell>
          <cell r="U4" t="str">
            <v>2000A</v>
          </cell>
          <cell r="W4" t="str">
            <v>1Q01A</v>
          </cell>
          <cell r="Y4" t="str">
            <v>2Q01A</v>
          </cell>
          <cell r="AA4" t="str">
            <v>3Q01A</v>
          </cell>
          <cell r="AC4" t="str">
            <v>4Q01A</v>
          </cell>
          <cell r="AE4" t="str">
            <v>2001A</v>
          </cell>
          <cell r="AG4" t="str">
            <v>1Q02A</v>
          </cell>
          <cell r="AI4" t="str">
            <v>2Q02A</v>
          </cell>
          <cell r="AK4" t="str">
            <v>3Q02A</v>
          </cell>
          <cell r="AM4" t="str">
            <v>4Q02A</v>
          </cell>
          <cell r="AO4" t="str">
            <v>2002A</v>
          </cell>
          <cell r="AQ4" t="str">
            <v>1Q03A</v>
          </cell>
          <cell r="AS4" t="str">
            <v>2Q03A</v>
          </cell>
          <cell r="AU4" t="str">
            <v>3Q03A</v>
          </cell>
          <cell r="AW4" t="str">
            <v>4Q03A</v>
          </cell>
          <cell r="AY4" t="str">
            <v>2003A</v>
          </cell>
          <cell r="BA4" t="str">
            <v>1Q04A</v>
          </cell>
          <cell r="BB4" t="str">
            <v>% chg</v>
          </cell>
          <cell r="BC4" t="str">
            <v>2Q04A</v>
          </cell>
          <cell r="BD4" t="str">
            <v>% chg</v>
          </cell>
          <cell r="BE4" t="str">
            <v>3Q04A</v>
          </cell>
          <cell r="BF4" t="str">
            <v>% chg</v>
          </cell>
          <cell r="BG4" t="str">
            <v>4Q04A</v>
          </cell>
          <cell r="BH4" t="str">
            <v>% chg</v>
          </cell>
          <cell r="BI4" t="str">
            <v>2004A</v>
          </cell>
          <cell r="BJ4" t="str">
            <v>% chg</v>
          </cell>
          <cell r="BL4" t="str">
            <v>1Q05A</v>
          </cell>
          <cell r="BM4" t="str">
            <v>% chg</v>
          </cell>
          <cell r="BN4" t="str">
            <v>2Q05A</v>
          </cell>
          <cell r="BO4" t="str">
            <v>% chg</v>
          </cell>
          <cell r="BP4" t="str">
            <v>3Q05A</v>
          </cell>
          <cell r="BQ4" t="str">
            <v>% chg</v>
          </cell>
          <cell r="BR4" t="str">
            <v>4Q05A</v>
          </cell>
          <cell r="BS4" t="str">
            <v>% chg</v>
          </cell>
          <cell r="BT4" t="str">
            <v>2005A</v>
          </cell>
          <cell r="BU4" t="str">
            <v>% chg</v>
          </cell>
          <cell r="BW4" t="str">
            <v>1Q06A</v>
          </cell>
          <cell r="BX4" t="str">
            <v>% chg</v>
          </cell>
          <cell r="BY4" t="str">
            <v>2Q06E</v>
          </cell>
          <cell r="BZ4" t="str">
            <v>% chg</v>
          </cell>
          <cell r="CA4" t="str">
            <v>3Q06E</v>
          </cell>
          <cell r="CB4" t="str">
            <v>% chg</v>
          </cell>
          <cell r="CC4" t="str">
            <v>4Q06E</v>
          </cell>
          <cell r="CD4" t="str">
            <v>% chg</v>
          </cell>
          <cell r="CE4" t="str">
            <v>2006E</v>
          </cell>
          <cell r="CF4" t="str">
            <v>% chg</v>
          </cell>
        </row>
        <row r="5">
          <cell r="B5" t="str">
            <v>Rituxan -US</v>
          </cell>
          <cell r="C5" t="str">
            <v>52</v>
          </cell>
          <cell r="E5" t="str">
            <v>68.3</v>
          </cell>
          <cell r="G5" t="str">
            <v>70.2</v>
          </cell>
          <cell r="I5" t="str">
            <v>72.2</v>
          </cell>
          <cell r="K5" t="str">
            <v>262.7</v>
          </cell>
          <cell r="M5" t="str">
            <v>78</v>
          </cell>
          <cell r="O5" t="str">
            <v>96.7</v>
          </cell>
          <cell r="Q5" t="str">
            <v>115.5</v>
          </cell>
          <cell r="S5" t="str">
            <v>134</v>
          </cell>
          <cell r="U5" t="str">
            <v>424.2</v>
          </cell>
          <cell r="W5" t="str">
            <v>168</v>
          </cell>
          <cell r="Y5" t="str">
            <v>180</v>
          </cell>
          <cell r="AA5" t="str">
            <v>205</v>
          </cell>
          <cell r="AC5" t="str">
            <v>226</v>
          </cell>
          <cell r="AE5" t="str">
            <v>779</v>
          </cell>
          <cell r="AG5" t="str">
            <v>235</v>
          </cell>
          <cell r="AI5" t="str">
            <v>257.4</v>
          </cell>
          <cell r="AK5" t="str">
            <v>269.6</v>
          </cell>
          <cell r="AM5" t="str">
            <v>318.2</v>
          </cell>
          <cell r="AO5" t="str">
            <v>1080.2</v>
          </cell>
          <cell r="AQ5" t="str">
            <v>310</v>
          </cell>
          <cell r="AS5" t="str">
            <v>328</v>
          </cell>
          <cell r="AU5" t="str">
            <v>353.6</v>
          </cell>
          <cell r="AW5" t="str">
            <v>368.6</v>
          </cell>
          <cell r="AY5">
            <v>1360.2</v>
          </cell>
          <cell r="BA5">
            <v>361.8</v>
          </cell>
          <cell r="BC5">
            <v>390</v>
          </cell>
          <cell r="BE5">
            <v>393</v>
          </cell>
          <cell r="BG5">
            <v>429.2</v>
          </cell>
          <cell r="BI5">
            <v>1574</v>
          </cell>
          <cell r="BJ5">
            <v>0.15718276724011182</v>
          </cell>
          <cell r="BL5">
            <v>440.55</v>
          </cell>
          <cell r="BN5">
            <v>450.3</v>
          </cell>
          <cell r="BP5">
            <v>456.22699999999998</v>
          </cell>
          <cell r="BR5">
            <v>484.404</v>
          </cell>
          <cell r="BT5">
            <v>1831.481</v>
          </cell>
          <cell r="BU5">
            <v>0.1635838627700128</v>
          </cell>
          <cell r="BW5">
            <v>477</v>
          </cell>
          <cell r="BY5">
            <v>520</v>
          </cell>
          <cell r="CA5">
            <v>540</v>
          </cell>
          <cell r="CC5">
            <v>560</v>
          </cell>
          <cell r="CE5">
            <v>2097</v>
          </cell>
          <cell r="CF5">
            <v>0.14497502294591103</v>
          </cell>
        </row>
        <row r="6">
          <cell r="B6" t="str">
            <v>Rituxan- Ex-US</v>
          </cell>
          <cell r="C6">
            <v>17</v>
          </cell>
          <cell r="E6" t="str">
            <v>20.3</v>
          </cell>
          <cell r="G6">
            <v>8</v>
          </cell>
          <cell r="I6" t="str">
            <v>10.3</v>
          </cell>
          <cell r="K6">
            <v>55.800000000000011</v>
          </cell>
          <cell r="M6">
            <v>31.696428571428569</v>
          </cell>
          <cell r="O6">
            <v>27.232142857142854</v>
          </cell>
          <cell r="Q6">
            <v>10.714285714285714</v>
          </cell>
          <cell r="S6">
            <v>19.196428571428569</v>
          </cell>
          <cell r="U6">
            <v>88.800000000000011</v>
          </cell>
          <cell r="W6">
            <v>24.500000000000028</v>
          </cell>
          <cell r="Y6">
            <v>51.28</v>
          </cell>
          <cell r="AA6">
            <v>56.370000000000005</v>
          </cell>
          <cell r="AC6">
            <v>54.5</v>
          </cell>
          <cell r="AE6">
            <v>186.65000000000003</v>
          </cell>
          <cell r="AG6">
            <v>106.90000000000003</v>
          </cell>
          <cell r="AI6">
            <v>94.760000000000048</v>
          </cell>
          <cell r="AK6">
            <v>119</v>
          </cell>
          <cell r="AM6">
            <v>129.24000000000007</v>
          </cell>
          <cell r="AO6">
            <v>449.90000000000015</v>
          </cell>
          <cell r="AQ6">
            <v>111.58999999999997</v>
          </cell>
          <cell r="AS6">
            <v>161.09999999999997</v>
          </cell>
          <cell r="AU6">
            <v>159.76</v>
          </cell>
          <cell r="AW6">
            <v>217.14999999999998</v>
          </cell>
          <cell r="AY6">
            <v>649.59999999999991</v>
          </cell>
          <cell r="BA6">
            <v>261</v>
          </cell>
          <cell r="BC6">
            <v>270</v>
          </cell>
          <cell r="BE6">
            <v>305</v>
          </cell>
          <cell r="BG6">
            <v>313</v>
          </cell>
          <cell r="BI6">
            <v>1149</v>
          </cell>
          <cell r="BL6">
            <v>330</v>
          </cell>
          <cell r="BM6">
            <v>0.2</v>
          </cell>
          <cell r="BN6">
            <v>361</v>
          </cell>
          <cell r="BO6">
            <v>0.18</v>
          </cell>
          <cell r="BP6">
            <v>350</v>
          </cell>
          <cell r="BQ6">
            <v>0.17</v>
          </cell>
          <cell r="BR6">
            <v>370</v>
          </cell>
          <cell r="BS6">
            <v>0.15</v>
          </cell>
          <cell r="BT6">
            <v>1411</v>
          </cell>
          <cell r="BU6">
            <v>0.22802436901653622</v>
          </cell>
          <cell r="BW6">
            <v>440</v>
          </cell>
          <cell r="BY6">
            <v>460</v>
          </cell>
          <cell r="CA6">
            <v>475</v>
          </cell>
          <cell r="CC6">
            <v>490</v>
          </cell>
          <cell r="CE6">
            <v>1865</v>
          </cell>
          <cell r="CF6">
            <v>0.32175761871013475</v>
          </cell>
        </row>
        <row r="7">
          <cell r="B7" t="str">
            <v xml:space="preserve">Rituxan - Transfer to Roche </v>
          </cell>
          <cell r="C7" t="str">
            <v>5.1</v>
          </cell>
          <cell r="E7" t="str">
            <v>6.1</v>
          </cell>
          <cell r="G7" t="str">
            <v>2.4</v>
          </cell>
          <cell r="I7" t="str">
            <v>3.1</v>
          </cell>
          <cell r="K7" t="str">
            <v>16.7</v>
          </cell>
          <cell r="M7" t="str">
            <v>7.1</v>
          </cell>
          <cell r="O7" t="str">
            <v>6.1</v>
          </cell>
          <cell r="Q7" t="str">
            <v>2.4</v>
          </cell>
          <cell r="S7" t="str">
            <v>4.3</v>
          </cell>
          <cell r="U7">
            <v>19.899999999999977</v>
          </cell>
          <cell r="W7" t="str">
            <v>4.1</v>
          </cell>
          <cell r="Y7" t="str">
            <v>7.7</v>
          </cell>
          <cell r="AA7" t="str">
            <v>7.8</v>
          </cell>
          <cell r="AC7" t="str">
            <v>20</v>
          </cell>
          <cell r="AE7" t="str">
            <v>39.6</v>
          </cell>
          <cell r="AG7" t="str">
            <v>12.5</v>
          </cell>
          <cell r="AI7" t="str">
            <v>17.5</v>
          </cell>
          <cell r="AK7" t="str">
            <v>24.3</v>
          </cell>
          <cell r="AM7" t="str">
            <v>28.4</v>
          </cell>
          <cell r="AO7" t="str">
            <v>82.7</v>
          </cell>
          <cell r="AQ7" t="str">
            <v>31</v>
          </cell>
          <cell r="AS7" t="str">
            <v>35.4</v>
          </cell>
          <cell r="AU7" t="str">
            <v>18.1</v>
          </cell>
          <cell r="AW7" t="str">
            <v>44.4</v>
          </cell>
          <cell r="AY7">
            <v>128.9</v>
          </cell>
          <cell r="BA7">
            <v>38.799999999999997</v>
          </cell>
          <cell r="BC7">
            <v>34.700000000000003</v>
          </cell>
          <cell r="BE7">
            <v>44.7</v>
          </cell>
          <cell r="BG7">
            <v>19</v>
          </cell>
          <cell r="BI7">
            <v>137.19999999999999</v>
          </cell>
          <cell r="BJ7">
            <v>6.4391000775795071E-2</v>
          </cell>
          <cell r="BL7">
            <v>33.049999999999997</v>
          </cell>
          <cell r="BN7">
            <v>32</v>
          </cell>
          <cell r="BP7">
            <v>45.7</v>
          </cell>
          <cell r="BR7">
            <v>47.2</v>
          </cell>
          <cell r="BT7">
            <v>157.94999999999999</v>
          </cell>
          <cell r="BU7">
            <v>0.15123906705539358</v>
          </cell>
          <cell r="BW7">
            <v>32</v>
          </cell>
          <cell r="BY7">
            <v>73.600000000000009</v>
          </cell>
          <cell r="CA7">
            <v>76</v>
          </cell>
          <cell r="CC7">
            <v>78.400000000000006</v>
          </cell>
          <cell r="CE7">
            <v>260</v>
          </cell>
          <cell r="CF7">
            <v>0.64609053497942392</v>
          </cell>
        </row>
        <row r="8">
          <cell r="B8" t="str">
            <v>Rituxan - US &amp; Sales to Roche</v>
          </cell>
          <cell r="C8">
            <v>57.1</v>
          </cell>
          <cell r="E8">
            <v>74.400000000000006</v>
          </cell>
          <cell r="G8">
            <v>72.599999999999994</v>
          </cell>
          <cell r="I8">
            <v>75.3</v>
          </cell>
          <cell r="K8">
            <v>279.39999999999998</v>
          </cell>
          <cell r="M8">
            <v>85.1</v>
          </cell>
          <cell r="O8">
            <v>102.8</v>
          </cell>
          <cell r="Q8">
            <v>117.9</v>
          </cell>
          <cell r="S8">
            <v>138.30000000000001</v>
          </cell>
          <cell r="U8">
            <v>444.09999999999997</v>
          </cell>
          <cell r="W8">
            <v>172.1</v>
          </cell>
          <cell r="Y8">
            <v>187.7</v>
          </cell>
          <cell r="AA8">
            <v>212.8</v>
          </cell>
          <cell r="AC8">
            <v>246</v>
          </cell>
          <cell r="AE8">
            <v>818.59999999999991</v>
          </cell>
          <cell r="AG8">
            <v>247.5</v>
          </cell>
          <cell r="AI8">
            <v>274.89999999999998</v>
          </cell>
          <cell r="AK8">
            <v>293.90000000000003</v>
          </cell>
          <cell r="AM8">
            <v>346.59999999999997</v>
          </cell>
          <cell r="AO8">
            <v>1162.8999999999999</v>
          </cell>
          <cell r="AQ8">
            <v>341</v>
          </cell>
          <cell r="AS8">
            <v>363.4</v>
          </cell>
          <cell r="AU8">
            <v>371.70000000000005</v>
          </cell>
          <cell r="AW8">
            <v>413</v>
          </cell>
          <cell r="AY8">
            <v>1489.1</v>
          </cell>
          <cell r="BA8">
            <v>400.6</v>
          </cell>
          <cell r="BB8">
            <v>0.17478005865102642</v>
          </cell>
          <cell r="BC8">
            <v>424.7</v>
          </cell>
          <cell r="BD8">
            <v>0.1686846450192625</v>
          </cell>
          <cell r="BE8">
            <v>437.7</v>
          </cell>
          <cell r="BF8">
            <v>0.17756255044390623</v>
          </cell>
          <cell r="BG8">
            <v>448.2</v>
          </cell>
          <cell r="BH8">
            <v>8.5230024213075017E-2</v>
          </cell>
          <cell r="BI8">
            <v>1711.2</v>
          </cell>
          <cell r="BJ8">
            <v>0.14915049358673027</v>
          </cell>
          <cell r="BL8">
            <v>473.6</v>
          </cell>
          <cell r="BM8">
            <v>0.18222666000998511</v>
          </cell>
          <cell r="BN8">
            <v>482.3</v>
          </cell>
          <cell r="BO8">
            <v>0.13562514716270324</v>
          </cell>
          <cell r="BP8">
            <v>501.92699999999996</v>
          </cell>
          <cell r="BQ8">
            <v>0.14673749143248793</v>
          </cell>
          <cell r="BR8">
            <v>531.60400000000004</v>
          </cell>
          <cell r="BS8">
            <v>0.18608656849620719</v>
          </cell>
          <cell r="BT8">
            <v>1989.431</v>
          </cell>
          <cell r="BU8">
            <v>0.16259408602150538</v>
          </cell>
          <cell r="BW8">
            <v>509</v>
          </cell>
          <cell r="BX8">
            <v>7.474662162162149E-2</v>
          </cell>
          <cell r="BY8">
            <v>593.6</v>
          </cell>
          <cell r="BZ8">
            <v>0.23076923076923084</v>
          </cell>
          <cell r="CA8">
            <v>616</v>
          </cell>
          <cell r="CB8">
            <v>0.22727010103062795</v>
          </cell>
          <cell r="CC8">
            <v>638.4</v>
          </cell>
          <cell r="CD8">
            <v>0.2008938984657751</v>
          </cell>
          <cell r="CE8">
            <v>2357</v>
          </cell>
          <cell r="CF8">
            <v>0.18476086881123299</v>
          </cell>
        </row>
        <row r="9">
          <cell r="B9" t="str">
            <v>Avastin - US</v>
          </cell>
          <cell r="BA9">
            <v>38.1</v>
          </cell>
          <cell r="BC9">
            <v>133</v>
          </cell>
          <cell r="BE9">
            <v>183</v>
          </cell>
          <cell r="BG9">
            <v>198.24</v>
          </cell>
          <cell r="BI9">
            <v>552.34</v>
          </cell>
          <cell r="BL9">
            <v>202.85499999999999</v>
          </cell>
          <cell r="BN9">
            <v>245.6</v>
          </cell>
          <cell r="BP9">
            <v>325.15600000000001</v>
          </cell>
          <cell r="BR9">
            <v>359.11</v>
          </cell>
          <cell r="BT9">
            <v>1132.721</v>
          </cell>
          <cell r="BW9">
            <v>398</v>
          </cell>
          <cell r="BY9">
            <v>442</v>
          </cell>
          <cell r="CA9">
            <v>486</v>
          </cell>
          <cell r="CC9">
            <v>550</v>
          </cell>
          <cell r="CE9">
            <v>1876</v>
          </cell>
        </row>
        <row r="10">
          <cell r="B10" t="str">
            <v>Avastin - Ex-US</v>
          </cell>
          <cell r="BA10">
            <v>0</v>
          </cell>
          <cell r="BC10">
            <v>0</v>
          </cell>
          <cell r="BE10">
            <v>0</v>
          </cell>
          <cell r="BG10">
            <v>10</v>
          </cell>
          <cell r="BI10">
            <v>10</v>
          </cell>
          <cell r="BL10">
            <v>16.899999999999999</v>
          </cell>
          <cell r="BN10">
            <v>38.200000000000003</v>
          </cell>
          <cell r="BP10">
            <v>60.6</v>
          </cell>
          <cell r="BR10">
            <v>75</v>
          </cell>
          <cell r="BT10">
            <v>190.7</v>
          </cell>
          <cell r="BW10">
            <v>105</v>
          </cell>
          <cell r="BY10">
            <v>130</v>
          </cell>
          <cell r="CA10">
            <v>150</v>
          </cell>
          <cell r="CC10">
            <v>180</v>
          </cell>
          <cell r="CE10">
            <v>565</v>
          </cell>
        </row>
        <row r="11">
          <cell r="B11" t="str">
            <v>Avastin - Transfer to Roche</v>
          </cell>
          <cell r="BG11">
            <v>2.16</v>
          </cell>
          <cell r="BI11">
            <v>2.16</v>
          </cell>
          <cell r="BL11">
            <v>11.632</v>
          </cell>
          <cell r="BN11">
            <v>3.6</v>
          </cell>
          <cell r="BP11">
            <v>35</v>
          </cell>
          <cell r="BR11">
            <v>33.799999999999997</v>
          </cell>
          <cell r="BT11">
            <v>84.031999999999996</v>
          </cell>
          <cell r="BW11">
            <v>18</v>
          </cell>
          <cell r="BY11">
            <v>28.08</v>
          </cell>
          <cell r="CA11">
            <v>32.4</v>
          </cell>
          <cell r="CC11">
            <v>38.879999999999995</v>
          </cell>
          <cell r="CE11">
            <v>117.35999999999999</v>
          </cell>
        </row>
        <row r="12">
          <cell r="B12" t="str">
            <v>Avastin -  US &amp; Sales to Roche</v>
          </cell>
          <cell r="BA12">
            <v>38.1</v>
          </cell>
          <cell r="BB12" t="str">
            <v>NM</v>
          </cell>
          <cell r="BC12">
            <v>133</v>
          </cell>
          <cell r="BD12" t="str">
            <v>NM</v>
          </cell>
          <cell r="BE12">
            <v>183</v>
          </cell>
          <cell r="BF12" t="str">
            <v>NM</v>
          </cell>
          <cell r="BG12">
            <v>200.4</v>
          </cell>
          <cell r="BH12" t="str">
            <v>NM</v>
          </cell>
          <cell r="BI12">
            <v>554.5</v>
          </cell>
          <cell r="BJ12" t="str">
            <v>NM</v>
          </cell>
          <cell r="BL12">
            <v>214.48699999999999</v>
          </cell>
          <cell r="BM12">
            <v>4.6295800524934378</v>
          </cell>
          <cell r="BN12">
            <v>249.2</v>
          </cell>
          <cell r="BO12">
            <v>0.87368421052631562</v>
          </cell>
          <cell r="BP12">
            <v>360.15600000000001</v>
          </cell>
          <cell r="BQ12">
            <v>0.96806557377049174</v>
          </cell>
          <cell r="BR12">
            <v>392.91</v>
          </cell>
          <cell r="BS12">
            <v>0.96062874251497021</v>
          </cell>
          <cell r="BT12">
            <v>1216.7530000000002</v>
          </cell>
          <cell r="BU12">
            <v>1.1943246167718669</v>
          </cell>
          <cell r="BW12">
            <v>416</v>
          </cell>
          <cell r="BX12">
            <v>0.93951148554457853</v>
          </cell>
          <cell r="BY12">
            <v>470.08</v>
          </cell>
          <cell r="BZ12">
            <v>0.88635634028892452</v>
          </cell>
          <cell r="CA12">
            <v>518.4</v>
          </cell>
          <cell r="CB12">
            <v>0.4393762702828774</v>
          </cell>
          <cell r="CC12">
            <v>588.88</v>
          </cell>
          <cell r="CD12">
            <v>0.49876562062558838</v>
          </cell>
          <cell r="CE12">
            <v>1993.3600000000001</v>
          </cell>
          <cell r="CF12">
            <v>0.63826183292747163</v>
          </cell>
        </row>
        <row r="13">
          <cell r="B13" t="str">
            <v>Herceptin - US</v>
          </cell>
          <cell r="C13">
            <v>39.200000000000003</v>
          </cell>
          <cell r="E13">
            <v>42.6</v>
          </cell>
          <cell r="G13">
            <v>47.5</v>
          </cell>
          <cell r="I13">
            <v>54.4</v>
          </cell>
          <cell r="K13">
            <v>183.70000000000002</v>
          </cell>
          <cell r="M13">
            <v>56.7</v>
          </cell>
          <cell r="O13">
            <v>62.6</v>
          </cell>
          <cell r="Q13">
            <v>64.099999999999994</v>
          </cell>
          <cell r="S13">
            <v>66.3</v>
          </cell>
          <cell r="U13">
            <v>249.7</v>
          </cell>
          <cell r="W13">
            <v>70.099999999999994</v>
          </cell>
          <cell r="Y13">
            <v>74.099999999999994</v>
          </cell>
          <cell r="AA13">
            <v>75.900000000000006</v>
          </cell>
          <cell r="AC13">
            <v>95.3</v>
          </cell>
          <cell r="AE13">
            <v>315.39999999999998</v>
          </cell>
          <cell r="AG13">
            <v>77.3</v>
          </cell>
          <cell r="AI13">
            <v>82.5</v>
          </cell>
          <cell r="AK13">
            <v>88.3</v>
          </cell>
          <cell r="AM13">
            <v>96.8</v>
          </cell>
          <cell r="AO13">
            <v>344.9</v>
          </cell>
          <cell r="AQ13">
            <v>93.7</v>
          </cell>
          <cell r="AS13">
            <v>99</v>
          </cell>
          <cell r="AU13">
            <v>106.2</v>
          </cell>
          <cell r="AW13">
            <v>107.1</v>
          </cell>
          <cell r="AY13">
            <v>406</v>
          </cell>
          <cell r="BA13">
            <v>108.7</v>
          </cell>
          <cell r="BC13">
            <v>110</v>
          </cell>
          <cell r="BE13">
            <v>122.7</v>
          </cell>
          <cell r="BG13">
            <v>125</v>
          </cell>
          <cell r="BI13">
            <v>466.4</v>
          </cell>
          <cell r="BJ13">
            <v>0.14876847290640383</v>
          </cell>
          <cell r="BL13">
            <v>129.63</v>
          </cell>
          <cell r="BM13">
            <v>0.19254829806807727</v>
          </cell>
          <cell r="BN13">
            <v>152.4</v>
          </cell>
          <cell r="BO13">
            <v>0.38545454545454549</v>
          </cell>
          <cell r="BP13">
            <v>215.148</v>
          </cell>
          <cell r="BQ13">
            <v>0.75344743276283621</v>
          </cell>
          <cell r="BR13">
            <v>250.06899999999999</v>
          </cell>
          <cell r="BS13">
            <v>1.0005519999999999</v>
          </cell>
          <cell r="BT13">
            <v>747.24699999999996</v>
          </cell>
          <cell r="BU13">
            <v>0.60215909090909081</v>
          </cell>
          <cell r="BW13">
            <v>290</v>
          </cell>
          <cell r="BX13">
            <v>1.2371364653243848</v>
          </cell>
          <cell r="BY13">
            <v>330</v>
          </cell>
          <cell r="BZ13">
            <v>1.1653543307086611</v>
          </cell>
          <cell r="CA13">
            <v>365</v>
          </cell>
          <cell r="CB13">
            <v>0.69650659081190636</v>
          </cell>
          <cell r="CC13">
            <v>390</v>
          </cell>
          <cell r="CD13">
            <v>0.55956955880177084</v>
          </cell>
          <cell r="CE13">
            <v>1375</v>
          </cell>
          <cell r="CF13">
            <v>0.84008768185084737</v>
          </cell>
        </row>
        <row r="14">
          <cell r="B14" t="str">
            <v xml:space="preserve">Herceptin - Ex-US </v>
          </cell>
          <cell r="K14">
            <v>0</v>
          </cell>
          <cell r="M14">
            <v>26.490066225165563</v>
          </cell>
          <cell r="O14">
            <v>9.0507726269315665</v>
          </cell>
          <cell r="Q14">
            <v>18.763796909492275</v>
          </cell>
          <cell r="S14">
            <v>3.7527593818984544</v>
          </cell>
          <cell r="U14">
            <v>58.099999999999966</v>
          </cell>
          <cell r="W14">
            <v>26.799999999999997</v>
          </cell>
          <cell r="Y14">
            <v>31.92</v>
          </cell>
          <cell r="AA14">
            <v>40.379999999999981</v>
          </cell>
          <cell r="AC14">
            <v>44.92</v>
          </cell>
          <cell r="AE14">
            <v>144.01999999999998</v>
          </cell>
          <cell r="AG14">
            <v>67.65000000000002</v>
          </cell>
          <cell r="AI14">
            <v>70.02000000000001</v>
          </cell>
          <cell r="AK14">
            <v>83.89</v>
          </cell>
          <cell r="AM14">
            <v>94.280000000000015</v>
          </cell>
          <cell r="AO14">
            <v>315.84000000000003</v>
          </cell>
          <cell r="AQ14">
            <v>89.149999999999991</v>
          </cell>
          <cell r="AS14">
            <v>109.78</v>
          </cell>
          <cell r="AU14">
            <v>117.71999999999998</v>
          </cell>
          <cell r="AW14">
            <v>129.15</v>
          </cell>
          <cell r="AY14">
            <v>445.79999999999995</v>
          </cell>
          <cell r="BA14">
            <v>147.13999999999999</v>
          </cell>
          <cell r="BC14">
            <v>145</v>
          </cell>
          <cell r="BE14">
            <v>148</v>
          </cell>
          <cell r="BG14">
            <v>150</v>
          </cell>
          <cell r="BI14">
            <v>590.14</v>
          </cell>
          <cell r="BL14">
            <v>201</v>
          </cell>
          <cell r="BM14">
            <v>0.36604594263966295</v>
          </cell>
          <cell r="BN14">
            <v>223</v>
          </cell>
          <cell r="BO14">
            <v>0.53793103448275859</v>
          </cell>
          <cell r="BP14">
            <v>252</v>
          </cell>
          <cell r="BQ14">
            <v>0.70270270270270263</v>
          </cell>
          <cell r="BR14">
            <v>272</v>
          </cell>
          <cell r="BS14">
            <v>0.81333333333333324</v>
          </cell>
          <cell r="BT14">
            <v>948</v>
          </cell>
          <cell r="BU14">
            <v>0.60639848171620292</v>
          </cell>
          <cell r="BW14">
            <v>255</v>
          </cell>
          <cell r="BX14">
            <v>0.26865671641791056</v>
          </cell>
          <cell r="BY14">
            <v>275</v>
          </cell>
          <cell r="BZ14">
            <v>0.23318385650224216</v>
          </cell>
          <cell r="CA14">
            <v>315</v>
          </cell>
          <cell r="CB14">
            <v>0.25</v>
          </cell>
          <cell r="CC14">
            <v>330</v>
          </cell>
          <cell r="CD14">
            <v>0.21323529411764697</v>
          </cell>
          <cell r="CE14">
            <v>1175</v>
          </cell>
          <cell r="CF14">
            <v>0.23945147679324896</v>
          </cell>
        </row>
        <row r="15">
          <cell r="B15" t="str">
            <v>Herceptin - Transfer to Roche</v>
          </cell>
          <cell r="C15">
            <v>0.7</v>
          </cell>
          <cell r="E15">
            <v>3.6</v>
          </cell>
          <cell r="G15">
            <v>0.4</v>
          </cell>
          <cell r="I15">
            <v>0</v>
          </cell>
          <cell r="K15">
            <v>4.7</v>
          </cell>
          <cell r="M15">
            <v>12</v>
          </cell>
          <cell r="O15">
            <v>4.0999999999999996</v>
          </cell>
          <cell r="Q15">
            <v>8.5</v>
          </cell>
          <cell r="S15">
            <v>1.7</v>
          </cell>
          <cell r="U15">
            <v>26.3</v>
          </cell>
          <cell r="W15">
            <v>11.3</v>
          </cell>
          <cell r="Y15">
            <v>4.7</v>
          </cell>
          <cell r="AA15">
            <v>7.9</v>
          </cell>
          <cell r="AC15">
            <v>7.4</v>
          </cell>
          <cell r="AE15">
            <v>31.299999999999997</v>
          </cell>
          <cell r="AG15">
            <v>9.5</v>
          </cell>
          <cell r="AI15">
            <v>12.6</v>
          </cell>
          <cell r="AK15">
            <v>8.4</v>
          </cell>
          <cell r="AM15">
            <v>9.8000000000000007</v>
          </cell>
          <cell r="AO15">
            <v>40.299999999999997</v>
          </cell>
          <cell r="AQ15">
            <v>0</v>
          </cell>
          <cell r="AS15">
            <v>10.1</v>
          </cell>
          <cell r="AU15">
            <v>1.5</v>
          </cell>
          <cell r="AW15">
            <v>7.2</v>
          </cell>
          <cell r="AY15">
            <v>18.8</v>
          </cell>
          <cell r="BA15">
            <v>4.8</v>
          </cell>
          <cell r="BC15">
            <v>3.625</v>
          </cell>
          <cell r="BE15">
            <v>3.7</v>
          </cell>
          <cell r="BG15">
            <v>3.75</v>
          </cell>
          <cell r="BI15">
            <v>15.875</v>
          </cell>
          <cell r="BJ15">
            <v>-0.15558510638297873</v>
          </cell>
          <cell r="BL15">
            <v>10.888</v>
          </cell>
          <cell r="BM15">
            <v>1.2683333333333335</v>
          </cell>
          <cell r="BN15">
            <v>-1.7669999999999999</v>
          </cell>
          <cell r="BO15">
            <v>-1.4874482758620688</v>
          </cell>
          <cell r="BP15">
            <v>5</v>
          </cell>
          <cell r="BQ15">
            <v>0.35135135135135132</v>
          </cell>
          <cell r="BR15">
            <v>2.5</v>
          </cell>
          <cell r="BS15">
            <v>-0.33333333333333337</v>
          </cell>
          <cell r="BT15">
            <v>16.621000000000002</v>
          </cell>
          <cell r="BU15">
            <v>4.6992125984252064E-2</v>
          </cell>
          <cell r="BW15">
            <v>5</v>
          </cell>
          <cell r="BX15">
            <v>-0.54077883908890523</v>
          </cell>
          <cell r="BY15">
            <v>0</v>
          </cell>
          <cell r="CA15">
            <v>0</v>
          </cell>
          <cell r="CC15">
            <v>0</v>
          </cell>
          <cell r="CE15">
            <v>5</v>
          </cell>
          <cell r="CF15">
            <v>-0.69917574153179718</v>
          </cell>
        </row>
        <row r="16">
          <cell r="B16" t="str">
            <v>Herceptin- US &amp; Sales to Roche</v>
          </cell>
          <cell r="C16">
            <v>39.899999999000009</v>
          </cell>
          <cell r="E16">
            <v>46.2</v>
          </cell>
          <cell r="G16">
            <v>47.900000000999995</v>
          </cell>
          <cell r="I16">
            <v>54.4</v>
          </cell>
          <cell r="K16">
            <v>188.4</v>
          </cell>
          <cell r="M16">
            <v>68.700000000999992</v>
          </cell>
          <cell r="O16">
            <v>66.700000000999992</v>
          </cell>
          <cell r="Q16">
            <v>72.599999999999994</v>
          </cell>
          <cell r="S16">
            <v>67.900000000000006</v>
          </cell>
          <cell r="U16">
            <v>275.90000000199996</v>
          </cell>
          <cell r="W16">
            <v>81.400000000000006</v>
          </cell>
          <cell r="Y16">
            <v>78.799999999000008</v>
          </cell>
          <cell r="AA16">
            <v>83.9</v>
          </cell>
          <cell r="AC16">
            <v>102.52497556000002</v>
          </cell>
          <cell r="AE16">
            <v>346.62497555900001</v>
          </cell>
          <cell r="AG16">
            <v>86.835243488000017</v>
          </cell>
          <cell r="AI16">
            <v>95.107865390720022</v>
          </cell>
          <cell r="AK16">
            <v>96.7</v>
          </cell>
          <cell r="AM16">
            <v>106.62597458240003</v>
          </cell>
          <cell r="AO16">
            <v>385.26908346112009</v>
          </cell>
          <cell r="AQ16">
            <v>93.7</v>
          </cell>
          <cell r="AS16">
            <v>109.1</v>
          </cell>
          <cell r="AU16">
            <v>107.7</v>
          </cell>
          <cell r="AW16">
            <v>114.3</v>
          </cell>
          <cell r="AY16">
            <v>424.8</v>
          </cell>
          <cell r="BA16">
            <v>113.5</v>
          </cell>
          <cell r="BB16">
            <v>0.21131270010672365</v>
          </cell>
          <cell r="BC16">
            <v>117.7</v>
          </cell>
          <cell r="BD16">
            <v>7.8826764436296992E-2</v>
          </cell>
          <cell r="BE16">
            <v>126</v>
          </cell>
          <cell r="BF16">
            <v>0.16991643454038985</v>
          </cell>
          <cell r="BG16">
            <v>126</v>
          </cell>
          <cell r="BH16">
            <v>0.10236220472440949</v>
          </cell>
          <cell r="BI16">
            <v>483.2</v>
          </cell>
          <cell r="BJ16">
            <v>0.1374764595103577</v>
          </cell>
          <cell r="BL16">
            <v>140.518</v>
          </cell>
          <cell r="BM16">
            <v>0.23804405286343622</v>
          </cell>
          <cell r="BN16">
            <v>150.63300000000001</v>
          </cell>
          <cell r="BO16">
            <v>0.27980458793542917</v>
          </cell>
          <cell r="BP16">
            <v>220.148</v>
          </cell>
          <cell r="BQ16">
            <v>0.74720634920634921</v>
          </cell>
          <cell r="BR16">
            <v>252.56899999999999</v>
          </cell>
          <cell r="BS16">
            <v>1.004515873015873</v>
          </cell>
          <cell r="BT16">
            <v>763.86799999999994</v>
          </cell>
          <cell r="BU16">
            <v>0.58085264900662237</v>
          </cell>
          <cell r="BW16">
            <v>295</v>
          </cell>
          <cell r="BX16">
            <v>1.0993751690174922</v>
          </cell>
          <cell r="BY16">
            <v>330</v>
          </cell>
          <cell r="BZ16">
            <v>1.1907550138415885</v>
          </cell>
          <cell r="CA16">
            <v>365</v>
          </cell>
          <cell r="CB16">
            <v>0.65797554372513045</v>
          </cell>
          <cell r="CC16">
            <v>390</v>
          </cell>
          <cell r="CD16">
            <v>0.54413249448665524</v>
          </cell>
          <cell r="CE16">
            <v>1380</v>
          </cell>
          <cell r="CF16">
            <v>0.8065948567029908</v>
          </cell>
        </row>
        <row r="17">
          <cell r="B17" t="str">
            <v>Xolair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W17">
            <v>0</v>
          </cell>
          <cell r="Y17">
            <v>0</v>
          </cell>
          <cell r="AA17">
            <v>0</v>
          </cell>
          <cell r="AC17">
            <v>0</v>
          </cell>
          <cell r="AE17">
            <v>0</v>
          </cell>
          <cell r="AG17">
            <v>0</v>
          </cell>
          <cell r="AI17">
            <v>0</v>
          </cell>
          <cell r="AK17">
            <v>0</v>
          </cell>
          <cell r="AM17">
            <v>0</v>
          </cell>
          <cell r="AO17">
            <v>0</v>
          </cell>
          <cell r="AQ17">
            <v>0</v>
          </cell>
          <cell r="AS17">
            <v>0</v>
          </cell>
          <cell r="AU17">
            <v>6.8</v>
          </cell>
          <cell r="AW17">
            <v>18.5</v>
          </cell>
          <cell r="AY17">
            <v>25.3</v>
          </cell>
          <cell r="BA17">
            <v>30</v>
          </cell>
          <cell r="BB17" t="str">
            <v>NM</v>
          </cell>
          <cell r="BC17">
            <v>43.7</v>
          </cell>
          <cell r="BE17">
            <v>53.9</v>
          </cell>
          <cell r="BG17">
            <v>60.9</v>
          </cell>
          <cell r="BH17">
            <v>2.291891891891892</v>
          </cell>
          <cell r="BI17">
            <v>188.5</v>
          </cell>
          <cell r="BJ17">
            <v>6.4505928853754941</v>
          </cell>
          <cell r="BL17">
            <v>68.597000000000008</v>
          </cell>
          <cell r="BM17">
            <v>1.2865666666666669</v>
          </cell>
          <cell r="BN17">
            <v>80.400000000000006</v>
          </cell>
          <cell r="BO17">
            <v>0.83981693363844401</v>
          </cell>
          <cell r="BP17">
            <v>81.55</v>
          </cell>
          <cell r="BQ17">
            <v>0.51298701298701288</v>
          </cell>
          <cell r="BR17">
            <v>93.25</v>
          </cell>
          <cell r="BS17">
            <v>0.53119868637110024</v>
          </cell>
          <cell r="BT17">
            <v>323.79700000000003</v>
          </cell>
          <cell r="BU17">
            <v>0.71775596816976139</v>
          </cell>
          <cell r="BW17">
            <v>95</v>
          </cell>
          <cell r="BX17">
            <v>0.3849002142950857</v>
          </cell>
          <cell r="BY17">
            <v>106</v>
          </cell>
          <cell r="BZ17">
            <v>0.31840796019900486</v>
          </cell>
          <cell r="CA17">
            <v>108</v>
          </cell>
          <cell r="CB17">
            <v>0.32434089515634579</v>
          </cell>
          <cell r="CC17">
            <v>114</v>
          </cell>
          <cell r="CD17">
            <v>0.22252010723860582</v>
          </cell>
          <cell r="CE17">
            <v>423</v>
          </cell>
          <cell r="CF17">
            <v>0.30637405534949358</v>
          </cell>
        </row>
        <row r="18">
          <cell r="B18" t="str">
            <v>Raptiva</v>
          </cell>
          <cell r="C18">
            <v>0</v>
          </cell>
          <cell r="E18">
            <v>0</v>
          </cell>
          <cell r="G18">
            <v>0</v>
          </cell>
          <cell r="I18">
            <v>0</v>
          </cell>
          <cell r="K18">
            <v>0</v>
          </cell>
          <cell r="M18">
            <v>0</v>
          </cell>
          <cell r="O18">
            <v>0</v>
          </cell>
          <cell r="Q18">
            <v>0</v>
          </cell>
          <cell r="S18">
            <v>0</v>
          </cell>
          <cell r="U18">
            <v>0</v>
          </cell>
          <cell r="W18">
            <v>0</v>
          </cell>
          <cell r="Y18">
            <v>0</v>
          </cell>
          <cell r="AA18">
            <v>0</v>
          </cell>
          <cell r="AC18">
            <v>0</v>
          </cell>
          <cell r="AE18">
            <v>0</v>
          </cell>
          <cell r="AG18">
            <v>0</v>
          </cell>
          <cell r="AI18">
            <v>0</v>
          </cell>
          <cell r="AK18">
            <v>0</v>
          </cell>
          <cell r="AM18">
            <v>0</v>
          </cell>
          <cell r="AO18">
            <v>0</v>
          </cell>
          <cell r="AQ18">
            <v>0</v>
          </cell>
          <cell r="AS18">
            <v>0</v>
          </cell>
          <cell r="AU18">
            <v>0</v>
          </cell>
          <cell r="AW18">
            <v>1.4</v>
          </cell>
          <cell r="AY18">
            <v>1.4</v>
          </cell>
          <cell r="BA18">
            <v>6.3</v>
          </cell>
          <cell r="BB18" t="str">
            <v>NM</v>
          </cell>
          <cell r="BC18">
            <v>13.4</v>
          </cell>
          <cell r="BD18" t="str">
            <v>NM</v>
          </cell>
          <cell r="BE18">
            <v>18</v>
          </cell>
          <cell r="BF18" t="str">
            <v>NM</v>
          </cell>
          <cell r="BG18">
            <v>18.600000000000001</v>
          </cell>
          <cell r="BH18" t="str">
            <v>NM</v>
          </cell>
          <cell r="BI18">
            <v>56.300000000000004</v>
          </cell>
          <cell r="BJ18" t="str">
            <v>NM</v>
          </cell>
          <cell r="BL18">
            <v>24.114999999999998</v>
          </cell>
          <cell r="BM18">
            <v>2.8277777777777775</v>
          </cell>
          <cell r="BN18">
            <v>21.3</v>
          </cell>
          <cell r="BO18">
            <v>0.58955223880597019</v>
          </cell>
          <cell r="BP18">
            <v>20.887</v>
          </cell>
          <cell r="BQ18">
            <v>0.16038888888888891</v>
          </cell>
          <cell r="BR18">
            <v>20.452999999999999</v>
          </cell>
          <cell r="BS18">
            <v>9.9623655913978482E-2</v>
          </cell>
          <cell r="BT18">
            <v>86.754999999999995</v>
          </cell>
          <cell r="BU18">
            <v>0.54094138543516856</v>
          </cell>
          <cell r="BW18">
            <v>21</v>
          </cell>
          <cell r="BX18">
            <v>-0.12917271407837438</v>
          </cell>
          <cell r="BY18">
            <v>23</v>
          </cell>
          <cell r="BZ18">
            <v>7.9812206572769995E-2</v>
          </cell>
          <cell r="CA18">
            <v>24</v>
          </cell>
          <cell r="CB18">
            <v>0.14904007277253783</v>
          </cell>
          <cell r="CC18">
            <v>25</v>
          </cell>
          <cell r="CD18">
            <v>0.22231457487899098</v>
          </cell>
          <cell r="CE18">
            <v>93</v>
          </cell>
          <cell r="CF18">
            <v>7.1984323670105432E-2</v>
          </cell>
        </row>
        <row r="19">
          <cell r="B19" t="str">
            <v>Tarceva - US</v>
          </cell>
          <cell r="BA19">
            <v>0</v>
          </cell>
          <cell r="BC19">
            <v>0</v>
          </cell>
          <cell r="BE19">
            <v>0</v>
          </cell>
          <cell r="BG19">
            <v>13.3</v>
          </cell>
          <cell r="BI19">
            <v>13.3</v>
          </cell>
          <cell r="BL19">
            <v>47.585000000000001</v>
          </cell>
          <cell r="BN19">
            <v>70.2</v>
          </cell>
          <cell r="BP19">
            <v>73.22</v>
          </cell>
          <cell r="BR19">
            <v>83.891000000000005</v>
          </cell>
          <cell r="BT19">
            <v>274.89600000000002</v>
          </cell>
          <cell r="BU19" t="str">
            <v>NM</v>
          </cell>
          <cell r="BW19">
            <v>93</v>
          </cell>
          <cell r="BY19">
            <v>102</v>
          </cell>
          <cell r="CA19">
            <v>109</v>
          </cell>
          <cell r="CC19">
            <v>120</v>
          </cell>
          <cell r="CE19">
            <v>424</v>
          </cell>
          <cell r="CF19" t="str">
            <v>NM</v>
          </cell>
        </row>
        <row r="20">
          <cell r="B20" t="str">
            <v>Lucentis - US</v>
          </cell>
          <cell r="BW20">
            <v>0</v>
          </cell>
          <cell r="BY20">
            <v>0</v>
          </cell>
          <cell r="CA20">
            <v>40</v>
          </cell>
          <cell r="CC20">
            <v>95</v>
          </cell>
          <cell r="CE20">
            <v>135</v>
          </cell>
        </row>
        <row r="21">
          <cell r="B21" t="str">
            <v>Growth Hormone Products</v>
          </cell>
          <cell r="C21">
            <v>56.2</v>
          </cell>
          <cell r="E21">
            <v>59.3</v>
          </cell>
          <cell r="G21">
            <v>59.900000000999995</v>
          </cell>
          <cell r="I21">
            <v>45.8</v>
          </cell>
          <cell r="K21">
            <v>221.20000000099998</v>
          </cell>
          <cell r="M21">
            <v>55.1</v>
          </cell>
          <cell r="O21">
            <v>49.9</v>
          </cell>
          <cell r="Q21">
            <v>61.1</v>
          </cell>
          <cell r="S21">
            <v>60.5</v>
          </cell>
          <cell r="U21">
            <v>226.6</v>
          </cell>
          <cell r="W21">
            <v>55.499999999000018</v>
          </cell>
          <cell r="Y21">
            <v>62.5</v>
          </cell>
          <cell r="AA21">
            <v>67.7</v>
          </cell>
          <cell r="AC21">
            <v>64.53</v>
          </cell>
          <cell r="AE21">
            <v>250.229999999</v>
          </cell>
          <cell r="AG21">
            <v>67.680000000000007</v>
          </cell>
          <cell r="AI21">
            <v>75.33</v>
          </cell>
          <cell r="AK21">
            <v>77.400000000000006</v>
          </cell>
          <cell r="AM21">
            <v>76.814999999999998</v>
          </cell>
          <cell r="AO21">
            <v>297.22500000000002</v>
          </cell>
          <cell r="AQ21">
            <v>76.7</v>
          </cell>
          <cell r="AS21">
            <v>81.599999999999994</v>
          </cell>
          <cell r="AU21">
            <v>80.599999999999994</v>
          </cell>
          <cell r="AW21">
            <v>83</v>
          </cell>
          <cell r="AY21">
            <v>321.89999999999998</v>
          </cell>
          <cell r="BA21">
            <v>85.5</v>
          </cell>
          <cell r="BB21">
            <v>0.11473272490221631</v>
          </cell>
          <cell r="BC21">
            <v>88.4</v>
          </cell>
          <cell r="BD21">
            <v>8.3333333333333481E-2</v>
          </cell>
          <cell r="BE21">
            <v>87.2</v>
          </cell>
          <cell r="BF21">
            <v>8.1885856079404684E-2</v>
          </cell>
          <cell r="BG21">
            <v>92.5</v>
          </cell>
          <cell r="BH21">
            <v>0.1144578313253013</v>
          </cell>
          <cell r="BI21">
            <v>353.6</v>
          </cell>
          <cell r="BJ21">
            <v>9.8477788132960598E-2</v>
          </cell>
          <cell r="BL21">
            <v>92.087999999999994</v>
          </cell>
          <cell r="BM21">
            <v>7.7052631578947262E-2</v>
          </cell>
          <cell r="BN21">
            <v>97.116</v>
          </cell>
          <cell r="BO21">
            <v>9.8597285067873131E-2</v>
          </cell>
          <cell r="BP21">
            <v>88.584999999999994</v>
          </cell>
          <cell r="BQ21">
            <v>1.5883027522935578E-2</v>
          </cell>
          <cell r="BR21">
            <v>94.891000000000005</v>
          </cell>
          <cell r="BS21">
            <v>2.5848648648648664E-2</v>
          </cell>
          <cell r="BT21">
            <v>372.68</v>
          </cell>
          <cell r="BU21">
            <v>5.3959276018099578E-2</v>
          </cell>
          <cell r="BW21">
            <v>87</v>
          </cell>
          <cell r="BX21">
            <v>-5.5251498566588397E-2</v>
          </cell>
          <cell r="BY21">
            <v>97</v>
          </cell>
          <cell r="BZ21">
            <v>-1.194447876765925E-3</v>
          </cell>
          <cell r="CA21">
            <v>97</v>
          </cell>
          <cell r="CB21">
            <v>9.4993509059095871E-2</v>
          </cell>
          <cell r="CC21">
            <v>97</v>
          </cell>
          <cell r="CD21">
            <v>2.2225500837803391E-2</v>
          </cell>
          <cell r="CE21">
            <v>378</v>
          </cell>
          <cell r="CF21">
            <v>1.427498121712989E-2</v>
          </cell>
        </row>
        <row r="22">
          <cell r="B22" t="str">
            <v>Thrombolytics</v>
          </cell>
          <cell r="C22">
            <v>51.999999999000003</v>
          </cell>
          <cell r="E22">
            <v>58.100000000999991</v>
          </cell>
          <cell r="G22">
            <v>59.2</v>
          </cell>
          <cell r="I22">
            <v>66.700000000999992</v>
          </cell>
          <cell r="K22">
            <v>236.00000000099999</v>
          </cell>
          <cell r="M22">
            <v>47.5</v>
          </cell>
          <cell r="O22">
            <v>56.8</v>
          </cell>
          <cell r="Q22">
            <v>50.7</v>
          </cell>
          <cell r="S22">
            <v>51.2</v>
          </cell>
          <cell r="U22">
            <v>206.2</v>
          </cell>
          <cell r="W22">
            <v>52.099999999000005</v>
          </cell>
          <cell r="Y22">
            <v>51.6</v>
          </cell>
          <cell r="AA22">
            <v>48.6</v>
          </cell>
          <cell r="AC22">
            <v>44.805593250000001</v>
          </cell>
          <cell r="AE22">
            <v>197.10559324899998</v>
          </cell>
          <cell r="AG22">
            <v>42.834863389724994</v>
          </cell>
          <cell r="AI22">
            <v>43.103975852272498</v>
          </cell>
          <cell r="AK22">
            <v>45.6</v>
          </cell>
          <cell r="AM22">
            <v>48.655636966529997</v>
          </cell>
          <cell r="AO22">
            <v>180.19447620852748</v>
          </cell>
          <cell r="AQ22">
            <v>47.5</v>
          </cell>
          <cell r="AS22">
            <v>47.6</v>
          </cell>
          <cell r="AU22">
            <v>46</v>
          </cell>
          <cell r="AW22">
            <v>44.1</v>
          </cell>
          <cell r="AY22">
            <v>185.2</v>
          </cell>
          <cell r="BA22">
            <v>46.3</v>
          </cell>
          <cell r="BB22">
            <v>-2.5263157894736876E-2</v>
          </cell>
          <cell r="BC22">
            <v>51.5</v>
          </cell>
          <cell r="BD22">
            <v>8.1932773109243628E-2</v>
          </cell>
          <cell r="BE22">
            <v>54</v>
          </cell>
          <cell r="BF22">
            <v>0.17391304347826098</v>
          </cell>
          <cell r="BG22">
            <v>48.2</v>
          </cell>
          <cell r="BH22">
            <v>9.2970521541950069E-2</v>
          </cell>
          <cell r="BI22">
            <v>200</v>
          </cell>
          <cell r="BJ22">
            <v>7.9913606911447221E-2</v>
          </cell>
          <cell r="BL22">
            <v>53.57</v>
          </cell>
          <cell r="BM22">
            <v>0.15701943844492439</v>
          </cell>
          <cell r="BN22">
            <v>51.6</v>
          </cell>
          <cell r="BO22">
            <v>1.9417475728156219E-3</v>
          </cell>
          <cell r="BP22">
            <v>57.902999999999999</v>
          </cell>
          <cell r="BQ22">
            <v>7.2277777777777663E-2</v>
          </cell>
          <cell r="BR22">
            <v>58.389000000000003</v>
          </cell>
          <cell r="BS22">
            <v>0.21139004149377594</v>
          </cell>
          <cell r="BT22">
            <v>221.46200000000002</v>
          </cell>
          <cell r="BU22">
            <v>0.10731000000000002</v>
          </cell>
          <cell r="BW22">
            <v>59</v>
          </cell>
          <cell r="BX22">
            <v>0.10136270300541339</v>
          </cell>
          <cell r="BY22">
            <v>60</v>
          </cell>
          <cell r="BZ22">
            <v>0.16279069767441867</v>
          </cell>
          <cell r="CA22">
            <v>60</v>
          </cell>
          <cell r="CB22">
            <v>3.6215740117092388E-2</v>
          </cell>
          <cell r="CC22">
            <v>60</v>
          </cell>
          <cell r="CD22">
            <v>2.7590813338128628E-2</v>
          </cell>
          <cell r="CE22">
            <v>239</v>
          </cell>
          <cell r="CF22">
            <v>7.91919155430727E-2</v>
          </cell>
        </row>
        <row r="23">
          <cell r="B23" t="str">
            <v>Pulmozyme</v>
          </cell>
          <cell r="C23">
            <v>28.199999999000003</v>
          </cell>
          <cell r="E23">
            <v>30.600000000999994</v>
          </cell>
          <cell r="G23">
            <v>26.999999999000003</v>
          </cell>
          <cell r="I23">
            <v>25.599999999000005</v>
          </cell>
          <cell r="K23">
            <v>111.399999998</v>
          </cell>
          <cell r="M23">
            <v>26.8</v>
          </cell>
          <cell r="O23">
            <v>32.300000000999994</v>
          </cell>
          <cell r="Q23">
            <v>29.999999999000003</v>
          </cell>
          <cell r="S23">
            <v>32.700000000999992</v>
          </cell>
          <cell r="U23">
            <v>121.80000000099999</v>
          </cell>
          <cell r="W23">
            <v>29.899999999000006</v>
          </cell>
          <cell r="Y23">
            <v>28.1</v>
          </cell>
          <cell r="AA23">
            <v>32.799999999999997</v>
          </cell>
          <cell r="AC23">
            <v>32.077500000000001</v>
          </cell>
          <cell r="AE23">
            <v>122.87749999900001</v>
          </cell>
          <cell r="AG23">
            <v>31.6875</v>
          </cell>
          <cell r="AI23">
            <v>35.1</v>
          </cell>
          <cell r="AK23">
            <v>38.200000000000003</v>
          </cell>
          <cell r="AM23">
            <v>33.052500000000002</v>
          </cell>
          <cell r="AO23">
            <v>138.04</v>
          </cell>
          <cell r="AQ23">
            <v>39.6</v>
          </cell>
          <cell r="AS23">
            <v>42.6</v>
          </cell>
          <cell r="AU23">
            <v>40.4</v>
          </cell>
          <cell r="AW23">
            <v>44.6</v>
          </cell>
          <cell r="AY23">
            <v>167.2</v>
          </cell>
          <cell r="BA23">
            <v>43.4</v>
          </cell>
          <cell r="BB23">
            <v>9.59595959595958E-2</v>
          </cell>
          <cell r="BC23">
            <v>41</v>
          </cell>
          <cell r="BD23">
            <v>-3.7558685446009377E-2</v>
          </cell>
          <cell r="BE23">
            <v>45.7</v>
          </cell>
          <cell r="BF23">
            <v>0.1311881188118813</v>
          </cell>
          <cell r="BG23">
            <v>47.6</v>
          </cell>
          <cell r="BH23">
            <v>6.7264573991031362E-2</v>
          </cell>
          <cell r="BI23">
            <v>177.70000000000002</v>
          </cell>
          <cell r="BJ23">
            <v>6.2799043062201187E-2</v>
          </cell>
          <cell r="BL23">
            <v>51.745999999999995</v>
          </cell>
          <cell r="BM23">
            <v>0.19230414746543767</v>
          </cell>
          <cell r="BN23">
            <v>46.9</v>
          </cell>
          <cell r="BO23">
            <v>0.14390243902439015</v>
          </cell>
          <cell r="BP23">
            <v>46.593000000000004</v>
          </cell>
          <cell r="BQ23">
            <v>1.9540481400437626E-2</v>
          </cell>
          <cell r="BR23">
            <v>49.008000000000003</v>
          </cell>
          <cell r="BS23">
            <v>2.9579831932773137E-2</v>
          </cell>
          <cell r="BT23">
            <v>194.24699999999999</v>
          </cell>
          <cell r="BU23">
            <v>9.3117613956105627E-2</v>
          </cell>
          <cell r="BW23">
            <v>49</v>
          </cell>
          <cell r="BX23">
            <v>-5.3066903722026715E-2</v>
          </cell>
          <cell r="BY23">
            <v>52</v>
          </cell>
          <cell r="BZ23">
            <v>0.10874200426439229</v>
          </cell>
          <cell r="CA23">
            <v>52</v>
          </cell>
          <cell r="CB23">
            <v>0.11604747494258794</v>
          </cell>
          <cell r="CC23">
            <v>52</v>
          </cell>
          <cell r="CD23">
            <v>6.1051256937642684E-2</v>
          </cell>
          <cell r="CE23">
            <v>205</v>
          </cell>
          <cell r="CF23">
            <v>5.5357354296334149E-2</v>
          </cell>
        </row>
        <row r="24">
          <cell r="B24" t="str">
            <v>Actimmune</v>
          </cell>
          <cell r="C24">
            <v>0.7</v>
          </cell>
          <cell r="E24">
            <v>0.7</v>
          </cell>
          <cell r="G24">
            <v>0.4</v>
          </cell>
          <cell r="I24">
            <v>0.9</v>
          </cell>
          <cell r="K24">
            <v>2.6999999999999997</v>
          </cell>
          <cell r="M24">
            <v>0</v>
          </cell>
          <cell r="O24">
            <v>0.9</v>
          </cell>
          <cell r="Q24">
            <v>1.9</v>
          </cell>
          <cell r="S24">
            <v>0.9</v>
          </cell>
          <cell r="U24">
            <v>3.6999999999999997</v>
          </cell>
          <cell r="W24">
            <v>0.9</v>
          </cell>
          <cell r="Y24">
            <v>1.6</v>
          </cell>
          <cell r="AA24">
            <v>2.9</v>
          </cell>
          <cell r="AC24">
            <v>1.5</v>
          </cell>
          <cell r="AE24">
            <v>6.9</v>
          </cell>
          <cell r="AG24">
            <v>0</v>
          </cell>
          <cell r="AI24">
            <v>0</v>
          </cell>
          <cell r="AK24">
            <v>0</v>
          </cell>
          <cell r="AM24">
            <v>0</v>
          </cell>
          <cell r="AO24">
            <v>0</v>
          </cell>
          <cell r="AQ24">
            <v>0</v>
          </cell>
          <cell r="AS24">
            <v>0</v>
          </cell>
          <cell r="AU24">
            <v>0</v>
          </cell>
          <cell r="AW24">
            <v>0</v>
          </cell>
          <cell r="AY24">
            <v>0</v>
          </cell>
          <cell r="BA24">
            <v>0</v>
          </cell>
          <cell r="BC24">
            <v>0</v>
          </cell>
          <cell r="BE24">
            <v>0</v>
          </cell>
          <cell r="BG24">
            <v>0</v>
          </cell>
          <cell r="BI24">
            <v>0</v>
          </cell>
          <cell r="BL24">
            <v>0</v>
          </cell>
          <cell r="BN24">
            <v>0</v>
          </cell>
          <cell r="BP24">
            <v>0</v>
          </cell>
          <cell r="BR24">
            <v>0</v>
          </cell>
          <cell r="BT24">
            <v>0</v>
          </cell>
          <cell r="BW24">
            <v>0</v>
          </cell>
          <cell r="BY24">
            <v>0</v>
          </cell>
          <cell r="CA24">
            <v>0</v>
          </cell>
          <cell r="CC24">
            <v>0</v>
          </cell>
          <cell r="CE24">
            <v>0</v>
          </cell>
        </row>
        <row r="25">
          <cell r="B25" t="str">
            <v>Other</v>
          </cell>
          <cell r="AU25">
            <v>1.7220000000000937</v>
          </cell>
          <cell r="AW25">
            <v>4.9000000000000004</v>
          </cell>
          <cell r="AY25">
            <v>6.622000000000094</v>
          </cell>
          <cell r="BA25">
            <v>0</v>
          </cell>
          <cell r="BC25">
            <v>0</v>
          </cell>
          <cell r="BE25">
            <v>0</v>
          </cell>
          <cell r="BG25">
            <v>10.6</v>
          </cell>
          <cell r="BI25">
            <v>10.6</v>
          </cell>
          <cell r="BL25">
            <v>19.696000000000002</v>
          </cell>
          <cell r="BN25">
            <v>24.5</v>
          </cell>
          <cell r="BP25">
            <v>0</v>
          </cell>
          <cell r="BR25">
            <v>0</v>
          </cell>
          <cell r="BT25">
            <v>44.195999999999998</v>
          </cell>
          <cell r="BW25">
            <v>20</v>
          </cell>
          <cell r="BY25">
            <v>0</v>
          </cell>
          <cell r="CA25">
            <v>0</v>
          </cell>
          <cell r="CC25">
            <v>0</v>
          </cell>
          <cell r="CE25">
            <v>20</v>
          </cell>
        </row>
        <row r="26">
          <cell r="B26" t="str">
            <v>Product Sales</v>
          </cell>
          <cell r="C26">
            <v>273.99999999700003</v>
          </cell>
          <cell r="E26">
            <v>315.50000000200004</v>
          </cell>
          <cell r="G26">
            <v>314.90000000099997</v>
          </cell>
          <cell r="I26">
            <v>323.09999999999991</v>
          </cell>
          <cell r="K26">
            <v>1227.5000000000002</v>
          </cell>
          <cell r="M26">
            <v>378.39006622616557</v>
          </cell>
          <cell r="O26">
            <v>385.15077262893152</v>
          </cell>
          <cell r="Q26">
            <v>425.56379690849229</v>
          </cell>
          <cell r="S26">
            <v>423.25275938289838</v>
          </cell>
          <cell r="U26">
            <v>1612.3573951464878</v>
          </cell>
          <cell r="W26">
            <v>500.09999999700005</v>
          </cell>
          <cell r="Y26">
            <v>521.01999999899999</v>
          </cell>
          <cell r="AA26">
            <v>572.87999999999988</v>
          </cell>
          <cell r="AC26">
            <v>639.05806881000001</v>
          </cell>
          <cell r="AE26">
            <v>2233.0580688059999</v>
          </cell>
          <cell r="AG26">
            <v>476.53760687772501</v>
          </cell>
          <cell r="AI26">
            <v>523.54184124299252</v>
          </cell>
          <cell r="AK26">
            <v>551.80000000000007</v>
          </cell>
          <cell r="AM26">
            <v>611.74911154892993</v>
          </cell>
          <cell r="AO26">
            <v>2163.6285596696475</v>
          </cell>
          <cell r="AQ26">
            <v>598.5</v>
          </cell>
          <cell r="AS26">
            <v>644.29999999999995</v>
          </cell>
          <cell r="AU26">
            <v>654.92200000000014</v>
          </cell>
          <cell r="AW26">
            <v>723.8</v>
          </cell>
          <cell r="AY26">
            <v>2621.5219999999999</v>
          </cell>
          <cell r="BA26">
            <v>763.7</v>
          </cell>
          <cell r="BB26">
            <v>0.27602339181286561</v>
          </cell>
          <cell r="BC26">
            <v>913.36599999999999</v>
          </cell>
          <cell r="BD26">
            <v>0.41760980909514211</v>
          </cell>
          <cell r="BE26">
            <v>1005.5</v>
          </cell>
          <cell r="BF26">
            <v>0.53529733311753125</v>
          </cell>
          <cell r="BG26">
            <v>1066.3000000000002</v>
          </cell>
          <cell r="BH26">
            <v>0.47319701575020767</v>
          </cell>
          <cell r="BI26">
            <v>3748.9</v>
          </cell>
          <cell r="BJ26">
            <v>0.43004712529591593</v>
          </cell>
          <cell r="BL26">
            <v>1186.0020000000002</v>
          </cell>
          <cell r="BM26">
            <v>0.55296844310593185</v>
          </cell>
          <cell r="BN26">
            <v>1274.1490000000001</v>
          </cell>
          <cell r="BO26">
            <v>0.39500375534013754</v>
          </cell>
          <cell r="BP26">
            <v>1450.9689999999998</v>
          </cell>
          <cell r="BQ26">
            <v>0.44303232222774724</v>
          </cell>
          <cell r="BR26">
            <v>1576.9650000000001</v>
          </cell>
          <cell r="BS26">
            <v>0.47891306386570376</v>
          </cell>
          <cell r="BT26">
            <v>5488.085</v>
          </cell>
          <cell r="BU26">
            <v>0.46391874949985334</v>
          </cell>
          <cell r="BW26">
            <v>1644</v>
          </cell>
          <cell r="BX26">
            <v>0.38616966919111406</v>
          </cell>
          <cell r="BY26">
            <v>1833.6799999999998</v>
          </cell>
          <cell r="BZ26">
            <v>0.43914094819365679</v>
          </cell>
          <cell r="CA26">
            <v>1989.4</v>
          </cell>
          <cell r="CB26">
            <v>0.37108373783313109</v>
          </cell>
          <cell r="CC26">
            <v>2180.2800000000002</v>
          </cell>
          <cell r="CD26">
            <v>0.38257982897527842</v>
          </cell>
          <cell r="CE26">
            <v>7647.3600000000006</v>
          </cell>
          <cell r="CF26">
            <v>0.39344780556423609</v>
          </cell>
        </row>
        <row r="27">
          <cell r="B27" t="str">
            <v>Royalties</v>
          </cell>
          <cell r="C27">
            <v>46.618000000000002</v>
          </cell>
          <cell r="E27">
            <v>45.985999999999997</v>
          </cell>
          <cell r="G27">
            <v>46.128</v>
          </cell>
          <cell r="I27">
            <v>50.537999999999997</v>
          </cell>
          <cell r="K27">
            <v>189.26999999999998</v>
          </cell>
          <cell r="M27">
            <v>47.344000000000001</v>
          </cell>
          <cell r="O27">
            <v>49.643000000000001</v>
          </cell>
          <cell r="Q27">
            <v>51.817999999999998</v>
          </cell>
          <cell r="S27">
            <v>58.436</v>
          </cell>
          <cell r="U27">
            <v>207.24100000000001</v>
          </cell>
          <cell r="W27">
            <v>74.631</v>
          </cell>
          <cell r="Y27">
            <v>52.445999999999998</v>
          </cell>
          <cell r="AA27">
            <v>66.051000000000002</v>
          </cell>
          <cell r="AC27">
            <v>71.346000000000004</v>
          </cell>
          <cell r="AE27">
            <v>264.47399999999999</v>
          </cell>
          <cell r="AG27">
            <v>81.843000000000004</v>
          </cell>
          <cell r="AI27">
            <v>85.534999999999997</v>
          </cell>
          <cell r="AK27">
            <v>85.081999999999994</v>
          </cell>
          <cell r="AM27">
            <v>113.09</v>
          </cell>
          <cell r="AO27">
            <v>365.54999999999995</v>
          </cell>
          <cell r="AQ27">
            <v>113.27500000000001</v>
          </cell>
          <cell r="AS27">
            <v>122.786</v>
          </cell>
          <cell r="AU27">
            <v>116.5</v>
          </cell>
          <cell r="AW27">
            <v>148.30699999999999</v>
          </cell>
          <cell r="AY27">
            <v>500.86800000000005</v>
          </cell>
          <cell r="BA27">
            <v>154.09700000000001</v>
          </cell>
          <cell r="BB27">
            <v>0.36037960715073947</v>
          </cell>
          <cell r="BC27">
            <v>151.86000000000001</v>
          </cell>
          <cell r="BD27">
            <v>0.23678595279592152</v>
          </cell>
          <cell r="BE27">
            <v>153.9</v>
          </cell>
          <cell r="BF27">
            <v>0.32103004291845494</v>
          </cell>
          <cell r="BG27">
            <v>181.24300000000002</v>
          </cell>
          <cell r="BH27">
            <v>0.2220798748541879</v>
          </cell>
          <cell r="BI27">
            <v>641.1</v>
          </cell>
          <cell r="BJ27">
            <v>0.27997795826445282</v>
          </cell>
          <cell r="BL27">
            <v>231.9</v>
          </cell>
          <cell r="BM27">
            <v>0.50489626663724785</v>
          </cell>
          <cell r="BN27">
            <v>200.321</v>
          </cell>
          <cell r="BO27">
            <v>0.31911629132095332</v>
          </cell>
          <cell r="BP27">
            <v>237.77699999999999</v>
          </cell>
          <cell r="BQ27">
            <v>0.54500974658869383</v>
          </cell>
          <cell r="BR27">
            <v>265.09899999999999</v>
          </cell>
          <cell r="BS27">
            <v>0.46267166180211072</v>
          </cell>
          <cell r="BT27">
            <v>935.09699999999998</v>
          </cell>
          <cell r="BU27">
            <v>0.45858212447356106</v>
          </cell>
          <cell r="BW27">
            <v>286</v>
          </cell>
          <cell r="BX27">
            <v>0.23329021129797334</v>
          </cell>
          <cell r="BY27">
            <v>299.89999999999998</v>
          </cell>
          <cell r="BZ27">
            <v>0.49709715905970908</v>
          </cell>
          <cell r="CA27">
            <v>325.3</v>
          </cell>
          <cell r="CB27">
            <v>0.36808858720565918</v>
          </cell>
          <cell r="CC27">
            <v>346.8</v>
          </cell>
          <cell r="CD27">
            <v>0.30819052504913258</v>
          </cell>
          <cell r="CE27">
            <v>1258</v>
          </cell>
          <cell r="CF27">
            <v>0.34531497801832334</v>
          </cell>
        </row>
        <row r="28">
          <cell r="B28" t="str">
            <v>Contract and Other</v>
          </cell>
          <cell r="C28">
            <v>19.265999999999998</v>
          </cell>
          <cell r="E28">
            <v>37.578000000000003</v>
          </cell>
          <cell r="G28">
            <v>7.5030000000000001</v>
          </cell>
          <cell r="I28">
            <v>18.895</v>
          </cell>
          <cell r="K28">
            <v>83.242000000000004</v>
          </cell>
          <cell r="M28">
            <v>33.695999999999998</v>
          </cell>
          <cell r="O28">
            <v>32.348999999999997</v>
          </cell>
          <cell r="Q28">
            <v>33.478999999999999</v>
          </cell>
          <cell r="S28">
            <v>54.363999999999997</v>
          </cell>
          <cell r="U28">
            <v>151.72999999999999</v>
          </cell>
          <cell r="W28">
            <v>28.478999999999999</v>
          </cell>
          <cell r="Y28">
            <v>20.934999999999999</v>
          </cell>
          <cell r="AA28">
            <v>8.9410000000000007</v>
          </cell>
          <cell r="AC28">
            <v>6.0019999999999998</v>
          </cell>
          <cell r="AE28">
            <v>62.198999999999998</v>
          </cell>
          <cell r="AG28">
            <v>9.6999999999999993</v>
          </cell>
          <cell r="AI28">
            <v>13.2</v>
          </cell>
          <cell r="AK28">
            <v>13.22</v>
          </cell>
          <cell r="AM28">
            <v>18.3</v>
          </cell>
          <cell r="AO28">
            <v>54.42</v>
          </cell>
          <cell r="AQ28">
            <v>37.914999999999999</v>
          </cell>
          <cell r="AS28">
            <v>32.601999999999997</v>
          </cell>
          <cell r="AU28">
            <v>45.6</v>
          </cell>
          <cell r="AW28">
            <v>61.756</v>
          </cell>
          <cell r="AY28">
            <v>177.87299999999999</v>
          </cell>
          <cell r="BA28">
            <v>57.338000000000001</v>
          </cell>
          <cell r="BB28">
            <v>0.51227746274561525</v>
          </cell>
          <cell r="BC28">
            <v>62.851999999999997</v>
          </cell>
          <cell r="BD28">
            <v>0.92785718667566419</v>
          </cell>
          <cell r="BE28">
            <v>43.2</v>
          </cell>
          <cell r="BF28">
            <v>-5.2631578947368363E-2</v>
          </cell>
          <cell r="BG28">
            <v>67.809999999999988</v>
          </cell>
          <cell r="BH28">
            <v>9.8030960554439828E-2</v>
          </cell>
          <cell r="BI28">
            <v>231.2</v>
          </cell>
          <cell r="BJ28">
            <v>0.29980379259359213</v>
          </cell>
          <cell r="BL28">
            <v>43.7</v>
          </cell>
          <cell r="BM28">
            <v>-0.23785273291708808</v>
          </cell>
          <cell r="BN28">
            <v>52.442999999999998</v>
          </cell>
          <cell r="BO28">
            <v>-0.16561127728632341</v>
          </cell>
          <cell r="BP28">
            <v>63.066000000000003</v>
          </cell>
          <cell r="BQ28">
            <v>0.45986111111111105</v>
          </cell>
          <cell r="BR28">
            <v>51.031999999999996</v>
          </cell>
          <cell r="BS28">
            <v>-0.24742663323993508</v>
          </cell>
          <cell r="BT28">
            <v>210.24099999999999</v>
          </cell>
          <cell r="BU28">
            <v>-9.065311418685118E-2</v>
          </cell>
          <cell r="BW28">
            <v>56</v>
          </cell>
          <cell r="BX28">
            <v>0.28146453089244838</v>
          </cell>
          <cell r="BY28">
            <v>52</v>
          </cell>
          <cell r="BZ28">
            <v>-8.4472665560703097E-3</v>
          </cell>
          <cell r="CA28">
            <v>52</v>
          </cell>
          <cell r="CB28">
            <v>-0.17546697110963116</v>
          </cell>
          <cell r="CC28">
            <v>55</v>
          </cell>
          <cell r="CD28">
            <v>7.7755134033547613E-2</v>
          </cell>
          <cell r="CE28">
            <v>215</v>
          </cell>
          <cell r="CF28">
            <v>2.2635927340528328E-2</v>
          </cell>
        </row>
        <row r="29">
          <cell r="B29" t="str">
            <v>Total Operating Revenue</v>
          </cell>
          <cell r="C29">
            <v>339.88399999700005</v>
          </cell>
          <cell r="E29">
            <v>399.06400000200006</v>
          </cell>
          <cell r="G29">
            <v>368.53100000099994</v>
          </cell>
          <cell r="I29">
            <v>392.5329999999999</v>
          </cell>
          <cell r="K29">
            <v>1500.0120000000002</v>
          </cell>
          <cell r="M29">
            <v>459.43006622616554</v>
          </cell>
          <cell r="O29">
            <v>467.14277262893148</v>
          </cell>
          <cell r="Q29">
            <v>510.86079690849226</v>
          </cell>
          <cell r="S29">
            <v>536.05275938289833</v>
          </cell>
          <cell r="U29">
            <v>1973.4863951464877</v>
          </cell>
          <cell r="W29">
            <v>603.20999999700007</v>
          </cell>
          <cell r="Y29">
            <v>594.40099999899996</v>
          </cell>
          <cell r="AA29">
            <v>647.87199999999996</v>
          </cell>
          <cell r="AC29">
            <v>716.40606880999997</v>
          </cell>
          <cell r="AE29">
            <v>2561.8890688059996</v>
          </cell>
          <cell r="AG29">
            <v>568.08060687772502</v>
          </cell>
          <cell r="AI29">
            <v>622.27684124299253</v>
          </cell>
          <cell r="AK29">
            <v>650.10200000000009</v>
          </cell>
          <cell r="AM29">
            <v>743.13911154892992</v>
          </cell>
          <cell r="AO29">
            <v>2583.5985596696473</v>
          </cell>
          <cell r="AQ29">
            <v>749.68999999999994</v>
          </cell>
          <cell r="AS29">
            <v>799.68799999999999</v>
          </cell>
          <cell r="AU29">
            <v>817.02200000000016</v>
          </cell>
          <cell r="AW29">
            <v>933.86299999999994</v>
          </cell>
          <cell r="AY29">
            <v>3300.2629999999999</v>
          </cell>
          <cell r="BA29">
            <v>975.13499999999999</v>
          </cell>
          <cell r="BB29">
            <v>0.30071762995371421</v>
          </cell>
          <cell r="BC29">
            <v>1128.0780000000002</v>
          </cell>
          <cell r="BD29">
            <v>0.41064765258450819</v>
          </cell>
          <cell r="BE29">
            <v>1202.6000000000001</v>
          </cell>
          <cell r="BF29">
            <v>0.47193098839443715</v>
          </cell>
          <cell r="BG29">
            <v>1315.3530000000001</v>
          </cell>
          <cell r="BH29">
            <v>0.40850745773202291</v>
          </cell>
          <cell r="BI29">
            <v>4621.2</v>
          </cell>
          <cell r="BJ29">
            <v>0.40025204051919494</v>
          </cell>
          <cell r="BL29">
            <v>1461.6020000000003</v>
          </cell>
          <cell r="BM29">
            <v>0.49887143831366965</v>
          </cell>
          <cell r="BN29">
            <v>1526.913</v>
          </cell>
          <cell r="BO29">
            <v>0.35355267986788119</v>
          </cell>
          <cell r="BP29">
            <v>1751.8119999999999</v>
          </cell>
          <cell r="BQ29">
            <v>0.45668717778147316</v>
          </cell>
          <cell r="BR29">
            <v>1893.096</v>
          </cell>
          <cell r="BS29">
            <v>0.43923038150215188</v>
          </cell>
          <cell r="BT29">
            <v>6633.4230000000007</v>
          </cell>
          <cell r="BU29">
            <v>0.43543300441443811</v>
          </cell>
          <cell r="BW29">
            <v>1986</v>
          </cell>
          <cell r="BX29">
            <v>0.35878303395862865</v>
          </cell>
          <cell r="BY29">
            <v>2185.58</v>
          </cell>
          <cell r="BZ29">
            <v>0.43137166295656648</v>
          </cell>
          <cell r="CA29">
            <v>2366.7000000000003</v>
          </cell>
          <cell r="CB29">
            <v>0.35100113482496997</v>
          </cell>
          <cell r="CC29">
            <v>2582.0800000000004</v>
          </cell>
          <cell r="CD29">
            <v>0.36394562135253583</v>
          </cell>
          <cell r="CE29">
            <v>9120.36</v>
          </cell>
          <cell r="CF29">
            <v>0.37491005774846564</v>
          </cell>
        </row>
        <row r="30">
          <cell r="B30" t="str">
            <v>Cost of Sales</v>
          </cell>
          <cell r="C30">
            <v>45.722999999999999</v>
          </cell>
          <cell r="E30">
            <v>52.680999999999997</v>
          </cell>
          <cell r="G30">
            <v>45.936</v>
          </cell>
          <cell r="I30">
            <v>47.850999999999999</v>
          </cell>
          <cell r="K30">
            <v>192.191</v>
          </cell>
          <cell r="M30">
            <v>62.856999999999999</v>
          </cell>
          <cell r="O30">
            <v>66.283000000000001</v>
          </cell>
          <cell r="Q30">
            <v>75.584000000000003</v>
          </cell>
          <cell r="S30">
            <v>67.343999999999994</v>
          </cell>
          <cell r="U30">
            <v>272.06799999999998</v>
          </cell>
          <cell r="W30">
            <v>83.796000000000006</v>
          </cell>
          <cell r="Y30">
            <v>76.188000000000002</v>
          </cell>
          <cell r="AA30">
            <v>96.03</v>
          </cell>
          <cell r="AC30">
            <v>98.427999999999997</v>
          </cell>
          <cell r="AE30">
            <v>354.44200000000001</v>
          </cell>
          <cell r="AG30">
            <v>102.444</v>
          </cell>
          <cell r="AI30">
            <v>106.867</v>
          </cell>
          <cell r="AK30">
            <v>112.48099999999999</v>
          </cell>
          <cell r="AM30">
            <v>119.83799999999999</v>
          </cell>
          <cell r="AO30">
            <v>441.63</v>
          </cell>
          <cell r="AQ30">
            <v>114.842</v>
          </cell>
          <cell r="AS30">
            <v>123.407</v>
          </cell>
          <cell r="AU30">
            <v>115.7</v>
          </cell>
          <cell r="AW30">
            <v>126.202</v>
          </cell>
          <cell r="AY30">
            <v>480.15100000000001</v>
          </cell>
          <cell r="BA30">
            <v>114.48</v>
          </cell>
          <cell r="BB30">
            <v>-3.152156876404022E-3</v>
          </cell>
          <cell r="BC30">
            <v>186.68299999999999</v>
          </cell>
          <cell r="BD30">
            <v>0.51274238900548585</v>
          </cell>
          <cell r="BE30">
            <v>165.99</v>
          </cell>
          <cell r="BF30">
            <v>0.43465859982713928</v>
          </cell>
          <cell r="BG30">
            <v>205.34699999999998</v>
          </cell>
          <cell r="BH30">
            <v>0.62712952251152898</v>
          </cell>
          <cell r="BI30">
            <v>672.5</v>
          </cell>
          <cell r="BJ30">
            <v>0.40060106091625336</v>
          </cell>
          <cell r="BL30">
            <v>251.041</v>
          </cell>
          <cell r="BM30">
            <v>1.1928808525506636</v>
          </cell>
          <cell r="BN30">
            <v>269.48099999999999</v>
          </cell>
          <cell r="BO30">
            <v>0.44352190611892883</v>
          </cell>
          <cell r="BP30">
            <v>245.62700000000001</v>
          </cell>
          <cell r="BQ30">
            <v>0.47976986565455748</v>
          </cell>
          <cell r="BR30">
            <v>244.91399999999999</v>
          </cell>
          <cell r="BS30">
            <v>0.19268360385104244</v>
          </cell>
          <cell r="BT30">
            <v>1011.0629999999999</v>
          </cell>
          <cell r="BU30">
            <v>0.50343940520446084</v>
          </cell>
          <cell r="BW30">
            <v>262</v>
          </cell>
          <cell r="BX30">
            <v>4.3654223812046755E-2</v>
          </cell>
          <cell r="BY30">
            <v>293.3888</v>
          </cell>
          <cell r="BZ30">
            <v>8.8717943008969069E-2</v>
          </cell>
          <cell r="CA30">
            <v>318.30400000000003</v>
          </cell>
          <cell r="CB30">
            <v>0.29588359585876156</v>
          </cell>
          <cell r="CC30">
            <v>348.84480000000002</v>
          </cell>
          <cell r="CD30">
            <v>0.42435630466204488</v>
          </cell>
          <cell r="CE30">
            <v>1222.5376000000001</v>
          </cell>
          <cell r="CF30">
            <v>0.20916065566636322</v>
          </cell>
        </row>
        <row r="31">
          <cell r="B31" t="str">
            <v>% of Product Sales</v>
          </cell>
          <cell r="C31">
            <v>0.19589974293310924</v>
          </cell>
          <cell r="E31">
            <v>0.19613179448848747</v>
          </cell>
          <cell r="G31">
            <v>0.17230307576829593</v>
          </cell>
          <cell r="I31">
            <v>0.17868185212845411</v>
          </cell>
          <cell r="K31">
            <v>0.18544094944037051</v>
          </cell>
          <cell r="M31">
            <v>0.22195268361503551</v>
          </cell>
          <cell r="O31">
            <v>0.21485575364528459</v>
          </cell>
          <cell r="Q31">
            <v>0.22745711706357946</v>
          </cell>
          <cell r="S31">
            <v>0.19208214489391873</v>
          </cell>
          <cell r="U31">
            <v>0.21345363251165828</v>
          </cell>
          <cell r="W31">
            <v>0.2143120204620024</v>
          </cell>
          <cell r="Y31">
            <v>0.18641546366573625</v>
          </cell>
          <cell r="AA31">
            <v>0.21541049798115744</v>
          </cell>
          <cell r="AC31">
            <v>0.20089886103170068</v>
          </cell>
          <cell r="AE31">
            <v>0.20423776933962265</v>
          </cell>
          <cell r="AG31">
            <v>0.21497568821737537</v>
          </cell>
          <cell r="AI31">
            <v>0.20412313129792353</v>
          </cell>
          <cell r="AK31">
            <v>0.20384378397970276</v>
          </cell>
          <cell r="AM31">
            <v>0.1958940319448505</v>
          </cell>
          <cell r="AO31">
            <v>0.2041154421013143</v>
          </cell>
          <cell r="AQ31">
            <v>0.19188304093567252</v>
          </cell>
          <cell r="AS31">
            <v>0.19153655129598013</v>
          </cell>
          <cell r="AT31" t="e">
            <v>#DIV/0!</v>
          </cell>
          <cell r="AU31">
            <v>0.17666225901710431</v>
          </cell>
          <cell r="AW31">
            <v>0.1743603205305333</v>
          </cell>
          <cell r="AY31">
            <v>0.18315734142227302</v>
          </cell>
          <cell r="BA31">
            <v>0.14990179389812752</v>
          </cell>
          <cell r="BC31">
            <v>0.20439013495137764</v>
          </cell>
          <cell r="BE31">
            <v>0.16508204873197416</v>
          </cell>
          <cell r="BG31">
            <v>0.19257901153521517</v>
          </cell>
          <cell r="BI31">
            <v>0.17938595321294246</v>
          </cell>
          <cell r="BL31">
            <v>0.21166996345705991</v>
          </cell>
          <cell r="BN31">
            <v>0.21149881214834371</v>
          </cell>
          <cell r="BP31">
            <v>0.16928480208743263</v>
          </cell>
          <cell r="BR31">
            <v>0.15530718817475339</v>
          </cell>
          <cell r="BT31">
            <v>0.18422874281283907</v>
          </cell>
          <cell r="BW31">
            <v>0.15936739659367397</v>
          </cell>
          <cell r="BY31">
            <v>0.16</v>
          </cell>
          <cell r="CA31">
            <v>0.16</v>
          </cell>
          <cell r="CC31">
            <v>0.16</v>
          </cell>
          <cell r="CE31">
            <v>0.15986400535609674</v>
          </cell>
        </row>
        <row r="32">
          <cell r="B32" t="str">
            <v>Research and Development</v>
          </cell>
          <cell r="C32">
            <v>90.74</v>
          </cell>
          <cell r="E32">
            <v>94.210999999999999</v>
          </cell>
          <cell r="G32">
            <v>84.629000000000005</v>
          </cell>
          <cell r="I32">
            <v>96.572999999999993</v>
          </cell>
          <cell r="K32">
            <v>367.29099999999994</v>
          </cell>
          <cell r="M32">
            <v>111.40600000000001</v>
          </cell>
          <cell r="O32">
            <v>115.563</v>
          </cell>
          <cell r="Q32">
            <v>113.636</v>
          </cell>
          <cell r="S32">
            <v>149.274</v>
          </cell>
          <cell r="U32">
            <v>489.87900000000002</v>
          </cell>
          <cell r="W32">
            <v>136.34</v>
          </cell>
          <cell r="Y32">
            <v>123.44799999999999</v>
          </cell>
          <cell r="AA32">
            <v>128.19499999999999</v>
          </cell>
          <cell r="AC32">
            <v>138.24700000000001</v>
          </cell>
          <cell r="AE32">
            <v>526.23</v>
          </cell>
          <cell r="AG32">
            <v>146.691</v>
          </cell>
          <cell r="AI32">
            <v>147.922</v>
          </cell>
          <cell r="AK32">
            <v>143.65899999999999</v>
          </cell>
          <cell r="AM32">
            <v>185.21</v>
          </cell>
          <cell r="AO32">
            <v>623.48199999999997</v>
          </cell>
          <cell r="AQ32">
            <v>157.43299999999999</v>
          </cell>
          <cell r="AS32">
            <v>180.203</v>
          </cell>
          <cell r="AU32">
            <v>168.7</v>
          </cell>
          <cell r="AW32">
            <v>215.62700000000001</v>
          </cell>
          <cell r="AY32">
            <v>721.96299999999997</v>
          </cell>
          <cell r="BA32">
            <v>190.345</v>
          </cell>
          <cell r="BB32">
            <v>0.2090540102773879</v>
          </cell>
          <cell r="BC32">
            <v>212.886</v>
          </cell>
          <cell r="BD32">
            <v>0.18136767978335544</v>
          </cell>
          <cell r="BE32">
            <v>234.08600000000001</v>
          </cell>
          <cell r="BF32">
            <v>0.38758743331357448</v>
          </cell>
          <cell r="BG32">
            <v>310.18299999999999</v>
          </cell>
          <cell r="BH32">
            <v>0.43851651231061028</v>
          </cell>
          <cell r="BI32">
            <v>947.5</v>
          </cell>
          <cell r="BJ32">
            <v>0.3123941254607232</v>
          </cell>
          <cell r="BL32">
            <v>243.24</v>
          </cell>
          <cell r="BM32">
            <v>0.27789014683863522</v>
          </cell>
          <cell r="BN32">
            <v>278.12400000000002</v>
          </cell>
          <cell r="BO32">
            <v>0.30644570333417898</v>
          </cell>
          <cell r="BP32">
            <v>328.85</v>
          </cell>
          <cell r="BQ32">
            <v>0.40482557692471999</v>
          </cell>
          <cell r="BR32">
            <v>411.61</v>
          </cell>
          <cell r="BS32">
            <v>0.32699084089070007</v>
          </cell>
          <cell r="BT32">
            <v>1261.8240000000001</v>
          </cell>
          <cell r="BU32">
            <v>0.33174036939314</v>
          </cell>
          <cell r="BW32">
            <v>341</v>
          </cell>
          <cell r="BX32">
            <v>0.40190758098996859</v>
          </cell>
          <cell r="BY32">
            <v>399.96114</v>
          </cell>
          <cell r="BZ32">
            <v>0.438067696423178</v>
          </cell>
          <cell r="CA32">
            <v>437.83950000000004</v>
          </cell>
          <cell r="CB32">
            <v>0.33142618214991648</v>
          </cell>
          <cell r="CC32">
            <v>498.34144000000009</v>
          </cell>
          <cell r="CD32">
            <v>0.21071266490124163</v>
          </cell>
          <cell r="CE32">
            <v>1677.1420800000001</v>
          </cell>
          <cell r="CF32">
            <v>0.3291410529519172</v>
          </cell>
        </row>
        <row r="33">
          <cell r="BA33">
            <v>0.19519861352530676</v>
          </cell>
          <cell r="BC33">
            <v>0.215</v>
          </cell>
          <cell r="BE33">
            <v>0.22</v>
          </cell>
          <cell r="BG33">
            <v>0.24</v>
          </cell>
          <cell r="BI33">
            <v>0.20503332467757293</v>
          </cell>
          <cell r="BL33">
            <v>0.16642013352472149</v>
          </cell>
          <cell r="BN33">
            <v>0.18214790233628245</v>
          </cell>
          <cell r="BP33">
            <v>0.18771991515071254</v>
          </cell>
          <cell r="BR33">
            <v>0.21742690280894367</v>
          </cell>
          <cell r="BT33">
            <v>0.19022215227341902</v>
          </cell>
          <cell r="BW33">
            <v>0.17170191339375629</v>
          </cell>
          <cell r="BY33">
            <v>0.183</v>
          </cell>
          <cell r="CA33">
            <v>0.185</v>
          </cell>
          <cell r="CC33">
            <v>0.193</v>
          </cell>
          <cell r="CE33">
            <v>0.18388989908293094</v>
          </cell>
        </row>
        <row r="34">
          <cell r="B34" t="str">
            <v>Selling, General &amp; Administrative</v>
          </cell>
          <cell r="C34">
            <v>97.200999999999993</v>
          </cell>
          <cell r="E34">
            <v>117.372</v>
          </cell>
          <cell r="G34">
            <v>113.613</v>
          </cell>
          <cell r="I34">
            <v>140.928</v>
          </cell>
          <cell r="K34">
            <v>467.94299999999998</v>
          </cell>
          <cell r="M34">
            <v>101.946</v>
          </cell>
          <cell r="O34">
            <v>117.15600000000001</v>
          </cell>
          <cell r="Q34">
            <v>131.726</v>
          </cell>
          <cell r="S34">
            <v>146.208</v>
          </cell>
          <cell r="U34">
            <v>497.03599999999994</v>
          </cell>
          <cell r="W34">
            <v>127.92</v>
          </cell>
          <cell r="Y34">
            <v>107.8</v>
          </cell>
          <cell r="AA34">
            <v>109.36499999999999</v>
          </cell>
          <cell r="AC34">
            <v>129.32499999999999</v>
          </cell>
          <cell r="AE34">
            <v>474.40999999999997</v>
          </cell>
          <cell r="AG34">
            <v>115.4</v>
          </cell>
          <cell r="AI34">
            <v>125.7</v>
          </cell>
          <cell r="AK34">
            <v>135.55000000000001</v>
          </cell>
          <cell r="AM34">
            <v>169.6</v>
          </cell>
          <cell r="AO34">
            <v>546.25</v>
          </cell>
          <cell r="AQ34">
            <v>137.22200000000001</v>
          </cell>
          <cell r="AS34">
            <v>184.25800000000001</v>
          </cell>
          <cell r="AU34">
            <v>209.9</v>
          </cell>
          <cell r="AW34">
            <v>263.505</v>
          </cell>
          <cell r="AY34">
            <v>794.88499999999999</v>
          </cell>
          <cell r="BA34">
            <v>247.31399999999999</v>
          </cell>
          <cell r="BB34">
            <v>0.80229117779947812</v>
          </cell>
          <cell r="BC34">
            <v>276.654</v>
          </cell>
          <cell r="BD34">
            <v>0.50144905512922078</v>
          </cell>
          <cell r="BE34">
            <v>264.64800000000002</v>
          </cell>
          <cell r="BF34">
            <v>0.26082896617436879</v>
          </cell>
          <cell r="BG34">
            <v>299.58400000000006</v>
          </cell>
          <cell r="BH34">
            <v>0.13691960304358575</v>
          </cell>
          <cell r="BI34">
            <v>1088.2</v>
          </cell>
          <cell r="BJ34">
            <v>0.36900306333620603</v>
          </cell>
          <cell r="BL34">
            <v>315.214</v>
          </cell>
          <cell r="BM34">
            <v>0.27454976264991071</v>
          </cell>
          <cell r="BN34">
            <v>356.63799999999998</v>
          </cell>
          <cell r="BO34">
            <v>0.28911203163518318</v>
          </cell>
          <cell r="BP34">
            <v>333.82299999999998</v>
          </cell>
          <cell r="BQ34">
            <v>0.2613849339500014</v>
          </cell>
          <cell r="BR34">
            <v>429.35700000000003</v>
          </cell>
          <cell r="BS34">
            <v>0.43317733924375124</v>
          </cell>
          <cell r="BT34">
            <v>1435.0319999999999</v>
          </cell>
          <cell r="BU34">
            <v>0.31872082337805541</v>
          </cell>
          <cell r="BW34">
            <v>400</v>
          </cell>
          <cell r="BX34">
            <v>0.26897916970692926</v>
          </cell>
          <cell r="BY34">
            <v>475.36365000000001</v>
          </cell>
          <cell r="BZ34">
            <v>0.33290241084797478</v>
          </cell>
          <cell r="CA34">
            <v>491.09025000000003</v>
          </cell>
          <cell r="CB34">
            <v>0.47110968986558754</v>
          </cell>
          <cell r="CC34">
            <v>561.6024000000001</v>
          </cell>
          <cell r="CD34">
            <v>0.30800802129696292</v>
          </cell>
          <cell r="CE34">
            <v>1928.0563000000002</v>
          </cell>
          <cell r="CF34">
            <v>0.34356327942512799</v>
          </cell>
        </row>
        <row r="35">
          <cell r="BA35">
            <v>0.25362026796289744</v>
          </cell>
          <cell r="BC35">
            <v>0.24</v>
          </cell>
          <cell r="BE35">
            <v>0.23300000000000001</v>
          </cell>
          <cell r="BG35">
            <v>0.24</v>
          </cell>
          <cell r="BI35">
            <v>0.23547996191465423</v>
          </cell>
          <cell r="BL35">
            <v>0.21566336116124632</v>
          </cell>
          <cell r="BN35">
            <v>0.23356798979378654</v>
          </cell>
          <cell r="BP35">
            <v>0.19055869008774914</v>
          </cell>
          <cell r="BR35">
            <v>0.22680149342664083</v>
          </cell>
          <cell r="BT35">
            <v>0.2163335581041643</v>
          </cell>
          <cell r="BW35">
            <v>0.2014098690835851</v>
          </cell>
          <cell r="BY35">
            <v>0.2175</v>
          </cell>
          <cell r="CA35">
            <v>0.20749999999999999</v>
          </cell>
          <cell r="CC35">
            <v>0.2175</v>
          </cell>
          <cell r="CE35">
            <v>0.21140133722791646</v>
          </cell>
        </row>
        <row r="36">
          <cell r="B36" t="str">
            <v>Collaborative Profit Split</v>
          </cell>
          <cell r="C36">
            <v>0</v>
          </cell>
          <cell r="E36">
            <v>0</v>
          </cell>
          <cell r="G36">
            <v>0</v>
          </cell>
          <cell r="I36">
            <v>0</v>
          </cell>
          <cell r="K36">
            <v>0</v>
          </cell>
          <cell r="M36">
            <v>0</v>
          </cell>
          <cell r="O36">
            <v>0</v>
          </cell>
          <cell r="Q36">
            <v>0</v>
          </cell>
          <cell r="S36">
            <v>0</v>
          </cell>
          <cell r="U36">
            <v>0</v>
          </cell>
          <cell r="W36">
            <v>46.372999999999998</v>
          </cell>
          <cell r="Y36">
            <v>57.908000000000001</v>
          </cell>
          <cell r="AA36">
            <v>65.796000000000006</v>
          </cell>
          <cell r="AC36">
            <v>76.581000000000003</v>
          </cell>
          <cell r="AE36">
            <v>246.65800000000002</v>
          </cell>
          <cell r="AG36">
            <v>72.076999999999998</v>
          </cell>
          <cell r="AI36">
            <v>84.09</v>
          </cell>
          <cell r="AK36">
            <v>90.048000000000002</v>
          </cell>
          <cell r="AM36">
            <v>104.51</v>
          </cell>
          <cell r="AO36">
            <v>350.72500000000002</v>
          </cell>
          <cell r="AQ36">
            <v>96.6</v>
          </cell>
          <cell r="AS36">
            <v>107.307</v>
          </cell>
          <cell r="AU36">
            <v>119.7</v>
          </cell>
          <cell r="AW36">
            <v>133.92699999999999</v>
          </cell>
          <cell r="AY36">
            <v>457.53399999999999</v>
          </cell>
          <cell r="BA36">
            <v>126.43</v>
          </cell>
          <cell r="BB36">
            <v>0.30879917184265016</v>
          </cell>
          <cell r="BC36">
            <v>145.221</v>
          </cell>
          <cell r="BD36">
            <v>0.35332270960887913</v>
          </cell>
          <cell r="BE36">
            <v>151.89400000000001</v>
          </cell>
          <cell r="BF36">
            <v>0.26895572263993328</v>
          </cell>
          <cell r="BG36">
            <v>170.05500000000001</v>
          </cell>
          <cell r="BH36">
            <v>0.26975889850440926</v>
          </cell>
          <cell r="BI36">
            <v>593.6</v>
          </cell>
          <cell r="BJ36">
            <v>0.29738992074905912</v>
          </cell>
          <cell r="BL36">
            <v>176.27699999999999</v>
          </cell>
          <cell r="BM36">
            <v>0.39426560151862677</v>
          </cell>
          <cell r="BN36">
            <v>198.798</v>
          </cell>
          <cell r="BO36">
            <v>0.36893424504720396</v>
          </cell>
          <cell r="BP36">
            <v>219.59100000000001</v>
          </cell>
          <cell r="BQ36">
            <v>0.44568580720765794</v>
          </cell>
          <cell r="BR36">
            <v>228.417</v>
          </cell>
          <cell r="BS36">
            <v>0.34319484872541239</v>
          </cell>
          <cell r="BT36">
            <v>823.08299999999997</v>
          </cell>
          <cell r="BU36">
            <v>0.38659535040431248</v>
          </cell>
          <cell r="BW36">
            <v>226</v>
          </cell>
          <cell r="BX36">
            <v>0.28207310085830839</v>
          </cell>
          <cell r="BY36">
            <v>255</v>
          </cell>
          <cell r="BZ36">
            <v>0.28270908158029751</v>
          </cell>
          <cell r="CA36">
            <v>275</v>
          </cell>
          <cell r="CB36">
            <v>0.25232819195686518</v>
          </cell>
          <cell r="CC36">
            <v>285</v>
          </cell>
          <cell r="CD36">
            <v>0.24771798946663348</v>
          </cell>
          <cell r="CE36">
            <v>1041</v>
          </cell>
          <cell r="CF36">
            <v>0.26475701721454592</v>
          </cell>
        </row>
        <row r="37">
          <cell r="B37" t="str">
            <v>Total Operating Expenses</v>
          </cell>
          <cell r="C37">
            <v>233.66399999999999</v>
          </cell>
          <cell r="D37" t="e">
            <v>#REF!</v>
          </cell>
          <cell r="E37">
            <v>264.26400000000001</v>
          </cell>
          <cell r="F37" t="e">
            <v>#REF!</v>
          </cell>
          <cell r="G37">
            <v>244.17800000000003</v>
          </cell>
          <cell r="H37" t="e">
            <v>#REF!</v>
          </cell>
          <cell r="I37">
            <v>285.35199999999998</v>
          </cell>
          <cell r="J37" t="e">
            <v>#REF!</v>
          </cell>
          <cell r="K37">
            <v>1027.4580000000001</v>
          </cell>
          <cell r="M37">
            <v>276.209</v>
          </cell>
          <cell r="N37" t="e">
            <v>#REF!</v>
          </cell>
          <cell r="O37">
            <v>299.00200000000001</v>
          </cell>
          <cell r="P37" t="e">
            <v>#REF!</v>
          </cell>
          <cell r="Q37">
            <v>320.94600000000003</v>
          </cell>
          <cell r="R37" t="e">
            <v>#REF!</v>
          </cell>
          <cell r="S37">
            <v>362.82599999999996</v>
          </cell>
          <cell r="T37" t="e">
            <v>#REF!</v>
          </cell>
          <cell r="U37">
            <v>1258.9829999999999</v>
          </cell>
          <cell r="W37">
            <v>394.42900000000003</v>
          </cell>
          <cell r="X37" t="e">
            <v>#REF!</v>
          </cell>
          <cell r="Y37">
            <v>365.34399999999999</v>
          </cell>
          <cell r="Z37" t="e">
            <v>#REF!</v>
          </cell>
          <cell r="AA37">
            <v>399.38599999999997</v>
          </cell>
          <cell r="AB37" t="e">
            <v>#REF!</v>
          </cell>
          <cell r="AC37">
            <v>442.58100000000002</v>
          </cell>
          <cell r="AD37" t="e">
            <v>#REF!</v>
          </cell>
          <cell r="AE37">
            <v>1601.7400000000002</v>
          </cell>
          <cell r="AG37">
            <v>436.61200000000002</v>
          </cell>
          <cell r="AI37">
            <v>464.57900000000001</v>
          </cell>
          <cell r="AK37">
            <v>481.738</v>
          </cell>
          <cell r="AM37">
            <v>579.15800000000002</v>
          </cell>
          <cell r="AO37">
            <v>1962.087</v>
          </cell>
          <cell r="AQ37">
            <v>506.09699999999998</v>
          </cell>
          <cell r="AS37">
            <v>595.17500000000007</v>
          </cell>
          <cell r="AU37">
            <v>614</v>
          </cell>
          <cell r="AW37">
            <v>739.26099999999997</v>
          </cell>
          <cell r="AY37">
            <v>2454.7161573414223</v>
          </cell>
          <cell r="BA37">
            <v>678.56900000000007</v>
          </cell>
          <cell r="BB37">
            <v>0.34078842593415914</v>
          </cell>
          <cell r="BC37">
            <v>821.44399999999996</v>
          </cell>
          <cell r="BD37">
            <v>0.38017221825513481</v>
          </cell>
          <cell r="BE37">
            <v>816.61800000000005</v>
          </cell>
          <cell r="BF37">
            <v>0.32999674267100976</v>
          </cell>
          <cell r="BG37">
            <v>985.1690000000001</v>
          </cell>
          <cell r="BH37">
            <v>0.33264029889308389</v>
          </cell>
          <cell r="BI37">
            <v>3301.8</v>
          </cell>
          <cell r="BJ37">
            <v>0.34508423310987246</v>
          </cell>
          <cell r="BL37">
            <v>985.77200000000005</v>
          </cell>
          <cell r="BM37">
            <v>0.4527218307939207</v>
          </cell>
          <cell r="BN37">
            <v>1103.0409999999999</v>
          </cell>
          <cell r="BO37">
            <v>0.34280730031505491</v>
          </cell>
          <cell r="BP37">
            <v>1127.8910000000001</v>
          </cell>
          <cell r="BQ37">
            <v>0.38117332706357199</v>
          </cell>
          <cell r="BR37">
            <v>1314.298</v>
          </cell>
          <cell r="BS37">
            <v>0.33408379679019529</v>
          </cell>
          <cell r="BT37">
            <v>4531.0020000000004</v>
          </cell>
          <cell r="BU37">
            <v>0.37228239142286035</v>
          </cell>
          <cell r="BW37">
            <v>1229</v>
          </cell>
          <cell r="BX37">
            <v>0.24673859675462473</v>
          </cell>
          <cell r="BY37">
            <v>1423.7135900000001</v>
          </cell>
          <cell r="BZ37">
            <v>0.29071683645485535</v>
          </cell>
          <cell r="CA37">
            <v>1522.2337500000001</v>
          </cell>
          <cell r="CB37">
            <v>0.34962842154073392</v>
          </cell>
          <cell r="CC37">
            <v>1693.7886400000002</v>
          </cell>
          <cell r="CD37">
            <v>0.28874017916789052</v>
          </cell>
          <cell r="CE37">
            <v>5868.7359800000013</v>
          </cell>
          <cell r="CF37">
            <v>0.29524020956071095</v>
          </cell>
        </row>
        <row r="38">
          <cell r="B38" t="str">
            <v>Operating Income (Loss)</v>
          </cell>
          <cell r="C38">
            <v>106.21999999700006</v>
          </cell>
          <cell r="D38" t="e">
            <v>#REF!</v>
          </cell>
          <cell r="E38">
            <v>134.80000000200005</v>
          </cell>
          <cell r="F38" t="e">
            <v>#REF!</v>
          </cell>
          <cell r="G38">
            <v>124.35300000099991</v>
          </cell>
          <cell r="H38" t="e">
            <v>#REF!</v>
          </cell>
          <cell r="I38">
            <v>107.18099999999993</v>
          </cell>
          <cell r="J38" t="e">
            <v>#REF!</v>
          </cell>
          <cell r="K38">
            <v>472.55400000000009</v>
          </cell>
          <cell r="M38">
            <v>183.22106622616553</v>
          </cell>
          <cell r="N38" t="e">
            <v>#REF!</v>
          </cell>
          <cell r="O38">
            <v>168.14077262893147</v>
          </cell>
          <cell r="P38" t="e">
            <v>#REF!</v>
          </cell>
          <cell r="Q38">
            <v>189.91479690849224</v>
          </cell>
          <cell r="R38" t="e">
            <v>#REF!</v>
          </cell>
          <cell r="S38">
            <v>173.22675938289836</v>
          </cell>
          <cell r="T38" t="e">
            <v>#REF!</v>
          </cell>
          <cell r="U38">
            <v>714.50339514648749</v>
          </cell>
          <cell r="W38">
            <v>208.78099999700004</v>
          </cell>
          <cell r="X38" t="e">
            <v>#REF!</v>
          </cell>
          <cell r="Y38">
            <v>229.05699999899997</v>
          </cell>
          <cell r="Z38" t="e">
            <v>#REF!</v>
          </cell>
          <cell r="AA38">
            <v>248.48599999999999</v>
          </cell>
          <cell r="AB38" t="e">
            <v>#REF!</v>
          </cell>
          <cell r="AC38">
            <v>273.82506880999995</v>
          </cell>
          <cell r="AD38" t="e">
            <v>#REF!</v>
          </cell>
          <cell r="AE38">
            <v>960.14906880599995</v>
          </cell>
          <cell r="AG38">
            <v>131.46860687772499</v>
          </cell>
          <cell r="AI38">
            <v>157.69784124299252</v>
          </cell>
          <cell r="AK38">
            <v>168.36400000000009</v>
          </cell>
          <cell r="AM38">
            <v>163.9811115489299</v>
          </cell>
          <cell r="AO38">
            <v>621.51155966964757</v>
          </cell>
          <cell r="AQ38">
            <v>243.59299999999996</v>
          </cell>
          <cell r="AS38">
            <v>204.51299999999992</v>
          </cell>
          <cell r="AU38">
            <v>203.02200000000016</v>
          </cell>
          <cell r="AW38">
            <v>194.60199999999998</v>
          </cell>
          <cell r="AY38">
            <v>845.54684265857759</v>
          </cell>
          <cell r="BA38">
            <v>296.56599999999992</v>
          </cell>
          <cell r="BB38">
            <v>0.21746519809682541</v>
          </cell>
          <cell r="BC38">
            <v>306.63400000000024</v>
          </cell>
          <cell r="BD38">
            <v>0.49933745043102573</v>
          </cell>
          <cell r="BE38">
            <v>385.98200000000008</v>
          </cell>
          <cell r="BF38">
            <v>0.9011831230112981</v>
          </cell>
          <cell r="BG38">
            <v>330.18399999999997</v>
          </cell>
          <cell r="BH38">
            <v>0.69671431948284201</v>
          </cell>
          <cell r="BI38">
            <v>1319.3999999999996</v>
          </cell>
          <cell r="BJ38">
            <v>0.56041029714158452</v>
          </cell>
          <cell r="BL38">
            <v>475.83000000000027</v>
          </cell>
          <cell r="BM38">
            <v>0.60446578501918768</v>
          </cell>
          <cell r="BN38">
            <v>423.87200000000007</v>
          </cell>
          <cell r="BO38">
            <v>0.38233855345460621</v>
          </cell>
          <cell r="BP38">
            <v>623.92099999999982</v>
          </cell>
          <cell r="BQ38">
            <v>0.61645102621365688</v>
          </cell>
          <cell r="BR38">
            <v>578.798</v>
          </cell>
          <cell r="BS38">
            <v>0.75295592760400276</v>
          </cell>
          <cell r="BT38">
            <v>2102.4210000000003</v>
          </cell>
          <cell r="BU38">
            <v>0.59346748522055548</v>
          </cell>
          <cell r="BW38">
            <v>757</v>
          </cell>
          <cell r="BX38">
            <v>0.59090431456612569</v>
          </cell>
          <cell r="BY38">
            <v>761.86640999999986</v>
          </cell>
          <cell r="BZ38">
            <v>0.79739735108711995</v>
          </cell>
          <cell r="CA38">
            <v>844.46625000000017</v>
          </cell>
          <cell r="CB38">
            <v>0.35348265245119248</v>
          </cell>
          <cell r="CC38">
            <v>888.29136000000017</v>
          </cell>
          <cell r="CD38">
            <v>0.53471739708844912</v>
          </cell>
          <cell r="CE38">
            <v>3251.6240200000002</v>
          </cell>
          <cell r="CF38">
            <v>0.54660937081583549</v>
          </cell>
        </row>
        <row r="39">
          <cell r="B39" t="str">
            <v>Interest and other Income net</v>
          </cell>
          <cell r="C39">
            <v>22.399000000000001</v>
          </cell>
          <cell r="E39">
            <v>21.986000000000001</v>
          </cell>
          <cell r="G39">
            <v>24.728999999999999</v>
          </cell>
          <cell r="I39">
            <v>20.32</v>
          </cell>
          <cell r="K39">
            <v>89.433999999999997</v>
          </cell>
          <cell r="M39">
            <v>21.474</v>
          </cell>
          <cell r="O39">
            <v>22.262</v>
          </cell>
          <cell r="Q39">
            <v>25.712</v>
          </cell>
          <cell r="S39">
            <v>20.96</v>
          </cell>
          <cell r="U39">
            <v>90.408000000000015</v>
          </cell>
          <cell r="W39">
            <v>35.064</v>
          </cell>
          <cell r="Y39">
            <v>32.234999999999999</v>
          </cell>
          <cell r="AA39">
            <v>32.472999999999999</v>
          </cell>
          <cell r="AC39">
            <v>30.771999999999998</v>
          </cell>
          <cell r="AE39">
            <v>130.54400000000001</v>
          </cell>
          <cell r="AG39">
            <v>36.4</v>
          </cell>
          <cell r="AI39">
            <v>28.8</v>
          </cell>
          <cell r="AK39">
            <v>15.2</v>
          </cell>
          <cell r="AM39">
            <v>27.4</v>
          </cell>
          <cell r="AO39">
            <v>107.80000000000001</v>
          </cell>
          <cell r="AQ39">
            <v>15.702999999999999</v>
          </cell>
          <cell r="AS39">
            <v>40.869999999999997</v>
          </cell>
          <cell r="AU39">
            <v>15.9</v>
          </cell>
          <cell r="AW39">
            <v>20.334</v>
          </cell>
          <cell r="AY39">
            <v>92.807000000000002</v>
          </cell>
          <cell r="BA39">
            <v>22.32</v>
          </cell>
          <cell r="BB39">
            <v>0.42138444883143356</v>
          </cell>
          <cell r="BC39">
            <v>15.444000000000001</v>
          </cell>
          <cell r="BD39">
            <v>-0.6221189136285783</v>
          </cell>
          <cell r="BE39">
            <v>23.51</v>
          </cell>
          <cell r="BF39">
            <v>0.47861635220125787</v>
          </cell>
          <cell r="BG39">
            <v>21.323</v>
          </cell>
          <cell r="BH39">
            <v>4.8637749581980971E-2</v>
          </cell>
          <cell r="BI39">
            <v>82.597000000000008</v>
          </cell>
          <cell r="BJ39">
            <v>-0.11001325331063383</v>
          </cell>
          <cell r="BL39">
            <v>16.396000000000001</v>
          </cell>
          <cell r="BM39">
            <v>-0.26541218637992825</v>
          </cell>
          <cell r="BN39">
            <v>31.501999999999999</v>
          </cell>
          <cell r="BO39">
            <v>1.0397565397565396</v>
          </cell>
          <cell r="BP39">
            <v>47.390999999999998</v>
          </cell>
          <cell r="BQ39">
            <v>1.0157805189281155</v>
          </cell>
          <cell r="BR39">
            <v>43.743000000000002</v>
          </cell>
          <cell r="BS39">
            <v>1.0514467945411061</v>
          </cell>
          <cell r="BT39">
            <v>140.9</v>
          </cell>
          <cell r="BU39">
            <v>0.70587309466445491</v>
          </cell>
          <cell r="BW39">
            <v>53</v>
          </cell>
          <cell r="BX39">
            <v>2.2324957306660158</v>
          </cell>
          <cell r="BY39">
            <v>80</v>
          </cell>
          <cell r="BZ39">
            <v>1.539521300234906</v>
          </cell>
          <cell r="CA39">
            <v>50</v>
          </cell>
          <cell r="CB39">
            <v>5.5052647127091792E-2</v>
          </cell>
          <cell r="CC39">
            <v>45</v>
          </cell>
          <cell r="CD39">
            <v>2.8736026335642206E-2</v>
          </cell>
          <cell r="CE39">
            <v>228</v>
          </cell>
          <cell r="CF39">
            <v>0.61816891412349184</v>
          </cell>
        </row>
        <row r="40">
          <cell r="B40" t="str">
            <v>Interest Expense</v>
          </cell>
          <cell r="C40">
            <v>-1.363</v>
          </cell>
          <cell r="E40">
            <v>-1.3560000000000001</v>
          </cell>
          <cell r="G40">
            <v>-1.3260000000000001</v>
          </cell>
          <cell r="I40">
            <v>-1.3149999999999999</v>
          </cell>
          <cell r="K40">
            <v>-5.3599999999999994</v>
          </cell>
          <cell r="M40">
            <v>-1.2869999999999999</v>
          </cell>
          <cell r="O40">
            <v>-1.24</v>
          </cell>
          <cell r="Q40">
            <v>-1.175</v>
          </cell>
          <cell r="S40">
            <v>-1.5760000000000001</v>
          </cell>
          <cell r="U40">
            <v>-5.2780000000000005</v>
          </cell>
          <cell r="W40">
            <v>-1.4910000000000001</v>
          </cell>
          <cell r="Y40">
            <v>-1.345</v>
          </cell>
          <cell r="AA40">
            <v>-1.7190000000000001</v>
          </cell>
          <cell r="AC40">
            <v>-1.1819999999999999</v>
          </cell>
          <cell r="AE40">
            <v>-5.7370000000000001</v>
          </cell>
          <cell r="AG40">
            <v>0</v>
          </cell>
          <cell r="AI40">
            <v>0</v>
          </cell>
          <cell r="AK40">
            <v>0</v>
          </cell>
          <cell r="AM40">
            <v>0</v>
          </cell>
          <cell r="AO40">
            <v>0</v>
          </cell>
          <cell r="AQ40">
            <v>0</v>
          </cell>
          <cell r="AS40">
            <v>0</v>
          </cell>
          <cell r="AU40">
            <v>0</v>
          </cell>
          <cell r="AW40">
            <v>0</v>
          </cell>
          <cell r="AY40">
            <v>0</v>
          </cell>
          <cell r="BA40">
            <v>0</v>
          </cell>
          <cell r="BB40" t="str">
            <v>NM</v>
          </cell>
          <cell r="BC40">
            <v>0</v>
          </cell>
          <cell r="BD40" t="str">
            <v>NM</v>
          </cell>
          <cell r="BE40">
            <v>0</v>
          </cell>
          <cell r="BF40" t="str">
            <v>NM</v>
          </cell>
          <cell r="BG40">
            <v>0</v>
          </cell>
          <cell r="BH40" t="str">
            <v>NM</v>
          </cell>
          <cell r="BI40">
            <v>0</v>
          </cell>
          <cell r="BJ40" t="str">
            <v>NM</v>
          </cell>
          <cell r="BL40">
            <v>0</v>
          </cell>
          <cell r="BM40" t="str">
            <v>NM</v>
          </cell>
          <cell r="BN40">
            <v>0</v>
          </cell>
          <cell r="BO40" t="str">
            <v>NM</v>
          </cell>
          <cell r="BP40">
            <v>-25</v>
          </cell>
          <cell r="BQ40" t="str">
            <v>NM</v>
          </cell>
          <cell r="BR40">
            <v>-23.035</v>
          </cell>
          <cell r="BS40" t="str">
            <v>NM</v>
          </cell>
          <cell r="BT40">
            <v>-49.9</v>
          </cell>
          <cell r="BU40" t="str">
            <v>NM</v>
          </cell>
          <cell r="BW40">
            <v>-19</v>
          </cell>
          <cell r="BX40" t="str">
            <v>NM</v>
          </cell>
          <cell r="BY40">
            <v>-24</v>
          </cell>
          <cell r="BZ40" t="str">
            <v>NM</v>
          </cell>
          <cell r="CA40">
            <v>-24</v>
          </cell>
          <cell r="CB40" t="str">
            <v>NM</v>
          </cell>
          <cell r="CC40">
            <v>-24</v>
          </cell>
          <cell r="CD40" t="str">
            <v>NM</v>
          </cell>
          <cell r="CE40">
            <v>-91</v>
          </cell>
          <cell r="CF40" t="str">
            <v>NM</v>
          </cell>
        </row>
        <row r="41">
          <cell r="B41" t="str">
            <v>Other</v>
          </cell>
          <cell r="C41">
            <v>-50</v>
          </cell>
          <cell r="E41">
            <v>0</v>
          </cell>
          <cell r="G41">
            <v>0</v>
          </cell>
          <cell r="I41">
            <v>0</v>
          </cell>
          <cell r="K41">
            <v>-50</v>
          </cell>
          <cell r="M41">
            <v>0</v>
          </cell>
          <cell r="O41">
            <v>0</v>
          </cell>
          <cell r="Q41">
            <v>0</v>
          </cell>
          <cell r="S41">
            <v>0</v>
          </cell>
          <cell r="U41">
            <v>0</v>
          </cell>
          <cell r="W41">
            <v>0</v>
          </cell>
          <cell r="Y41">
            <v>0</v>
          </cell>
          <cell r="AA41">
            <v>0</v>
          </cell>
          <cell r="AC41">
            <v>0</v>
          </cell>
          <cell r="AE41">
            <v>0</v>
          </cell>
          <cell r="AG41">
            <v>0</v>
          </cell>
          <cell r="AI41">
            <v>0</v>
          </cell>
          <cell r="AK41">
            <v>0</v>
          </cell>
          <cell r="AM41">
            <v>0</v>
          </cell>
          <cell r="AO41">
            <v>0</v>
          </cell>
          <cell r="AQ41">
            <v>0</v>
          </cell>
          <cell r="AS41">
            <v>0</v>
          </cell>
          <cell r="AU41">
            <v>0</v>
          </cell>
          <cell r="AW41">
            <v>0</v>
          </cell>
          <cell r="AY41">
            <v>0</v>
          </cell>
          <cell r="BA41">
            <v>0</v>
          </cell>
          <cell r="BB41" t="str">
            <v>NM</v>
          </cell>
          <cell r="BC41">
            <v>0</v>
          </cell>
          <cell r="BD41" t="str">
            <v>NM</v>
          </cell>
          <cell r="BE41">
            <v>0</v>
          </cell>
          <cell r="BF41" t="str">
            <v>NM</v>
          </cell>
          <cell r="BG41">
            <v>0</v>
          </cell>
          <cell r="BH41" t="str">
            <v>NM</v>
          </cell>
          <cell r="BI41">
            <v>0</v>
          </cell>
          <cell r="BJ41" t="str">
            <v>NM</v>
          </cell>
          <cell r="BL41">
            <v>0</v>
          </cell>
          <cell r="BM41" t="str">
            <v>NM</v>
          </cell>
          <cell r="BN41">
            <v>0</v>
          </cell>
          <cell r="BO41" t="str">
            <v>NM</v>
          </cell>
          <cell r="BP41">
            <v>0</v>
          </cell>
          <cell r="BQ41" t="str">
            <v>NM</v>
          </cell>
          <cell r="BR41">
            <v>0</v>
          </cell>
          <cell r="BS41" t="str">
            <v>NM</v>
          </cell>
          <cell r="BT41">
            <v>0</v>
          </cell>
          <cell r="BU41" t="str">
            <v>NM</v>
          </cell>
          <cell r="BW41">
            <v>0</v>
          </cell>
          <cell r="BX41" t="str">
            <v>NM</v>
          </cell>
          <cell r="BY41">
            <v>0</v>
          </cell>
          <cell r="BZ41" t="str">
            <v>NM</v>
          </cell>
          <cell r="CA41">
            <v>0</v>
          </cell>
          <cell r="CB41" t="str">
            <v>NM</v>
          </cell>
          <cell r="CC41">
            <v>0</v>
          </cell>
          <cell r="CD41" t="str">
            <v>NM</v>
          </cell>
          <cell r="CE41">
            <v>0</v>
          </cell>
          <cell r="CF41" t="str">
            <v>NM</v>
          </cell>
        </row>
        <row r="42">
          <cell r="B42" t="str">
            <v>Income (Loss) Before Taxes</v>
          </cell>
          <cell r="C42">
            <v>77.25599999700006</v>
          </cell>
          <cell r="D42" t="e">
            <v>#REF!</v>
          </cell>
          <cell r="E42">
            <v>155.43000000200004</v>
          </cell>
          <cell r="F42" t="e">
            <v>#REF!</v>
          </cell>
          <cell r="G42">
            <v>147.75600000099993</v>
          </cell>
          <cell r="H42" t="e">
            <v>#REF!</v>
          </cell>
          <cell r="I42">
            <v>126.18599999999992</v>
          </cell>
          <cell r="J42" t="e">
            <v>#REF!</v>
          </cell>
          <cell r="K42">
            <v>556.62800000000004</v>
          </cell>
          <cell r="M42">
            <v>203.40806622616552</v>
          </cell>
          <cell r="N42" t="e">
            <v>#REF!</v>
          </cell>
          <cell r="O42">
            <v>189.16277262893146</v>
          </cell>
          <cell r="P42" t="e">
            <v>#REF!</v>
          </cell>
          <cell r="Q42">
            <v>214.45179690849221</v>
          </cell>
          <cell r="R42" t="e">
            <v>#REF!</v>
          </cell>
          <cell r="S42">
            <v>192.61075938289838</v>
          </cell>
          <cell r="T42" t="e">
            <v>#REF!</v>
          </cell>
          <cell r="U42">
            <v>799.6333951464876</v>
          </cell>
          <cell r="W42">
            <v>242.35399999700002</v>
          </cell>
          <cell r="X42" t="e">
            <v>#REF!</v>
          </cell>
          <cell r="Y42">
            <v>259.94699999899996</v>
          </cell>
          <cell r="Z42" t="e">
            <v>#REF!</v>
          </cell>
          <cell r="AA42">
            <v>279.24</v>
          </cell>
          <cell r="AB42" t="e">
            <v>#REF!</v>
          </cell>
          <cell r="AC42">
            <v>303.41506880999992</v>
          </cell>
          <cell r="AD42" t="e">
            <v>#REF!</v>
          </cell>
          <cell r="AE42">
            <v>1084.9560688059998</v>
          </cell>
          <cell r="AG42">
            <v>167.868606877725</v>
          </cell>
          <cell r="AI42">
            <v>186.49784124299254</v>
          </cell>
          <cell r="AK42">
            <v>183.56400000000008</v>
          </cell>
          <cell r="AM42">
            <v>191.38111154892991</v>
          </cell>
          <cell r="AO42">
            <v>729.31155966964752</v>
          </cell>
          <cell r="AQ42">
            <v>259.29599999999994</v>
          </cell>
          <cell r="AS42">
            <v>245.38299999999992</v>
          </cell>
          <cell r="AU42">
            <v>218.92200000000017</v>
          </cell>
          <cell r="AW42">
            <v>214.93599999999998</v>
          </cell>
          <cell r="AY42">
            <v>938.35384265857761</v>
          </cell>
          <cell r="BA42">
            <v>318.88599999999991</v>
          </cell>
          <cell r="BB42">
            <v>0.2298145748488214</v>
          </cell>
          <cell r="BC42">
            <v>322.07800000000026</v>
          </cell>
          <cell r="BD42">
            <v>0.31255221429357527</v>
          </cell>
          <cell r="BE42">
            <v>409.49200000000008</v>
          </cell>
          <cell r="BF42">
            <v>0.8704926868930476</v>
          </cell>
          <cell r="BG42">
            <v>351.50699999999995</v>
          </cell>
          <cell r="BH42">
            <v>0.63540309673577244</v>
          </cell>
          <cell r="BI42">
            <v>1401.9969999999996</v>
          </cell>
          <cell r="BJ42">
            <v>0.4941026894799212</v>
          </cell>
          <cell r="BL42">
            <v>492.22600000000028</v>
          </cell>
          <cell r="BM42">
            <v>0.54357983730863202</v>
          </cell>
          <cell r="BN42">
            <v>455.37400000000008</v>
          </cell>
          <cell r="BO42">
            <v>0.41386248051714092</v>
          </cell>
          <cell r="BP42">
            <v>646.31199999999978</v>
          </cell>
          <cell r="BQ42">
            <v>0.57832631650923494</v>
          </cell>
          <cell r="BR42">
            <v>599.50600000000009</v>
          </cell>
          <cell r="BS42">
            <v>0.70553075756670625</v>
          </cell>
          <cell r="BT42">
            <v>2193.4180000000006</v>
          </cell>
          <cell r="BU42">
            <v>0.56449550177354246</v>
          </cell>
          <cell r="BW42">
            <v>791</v>
          </cell>
          <cell r="BX42">
            <v>0.60698540914132848</v>
          </cell>
          <cell r="BY42">
            <v>817.86640999999986</v>
          </cell>
          <cell r="BZ42">
            <v>0.79603229433388756</v>
          </cell>
          <cell r="CA42">
            <v>870.46625000000017</v>
          </cell>
          <cell r="CB42">
            <v>0.34682049845894936</v>
          </cell>
          <cell r="CC42">
            <v>909.29136000000017</v>
          </cell>
          <cell r="CD42">
            <v>0.51673437797119637</v>
          </cell>
          <cell r="CE42">
            <v>3388.6240200000002</v>
          </cell>
          <cell r="CF42">
            <v>0.54490572248426861</v>
          </cell>
        </row>
        <row r="43">
          <cell r="B43" t="str">
            <v>Income Tax (Benefit)</v>
          </cell>
          <cell r="C43">
            <v>22.91</v>
          </cell>
          <cell r="E43">
            <v>36.084000000000003</v>
          </cell>
          <cell r="G43">
            <v>32.942</v>
          </cell>
          <cell r="I43">
            <v>23.69</v>
          </cell>
          <cell r="K43">
            <v>121.56800000000001</v>
          </cell>
          <cell r="M43">
            <v>33.540999999999997</v>
          </cell>
          <cell r="O43">
            <v>35.161999999999999</v>
          </cell>
          <cell r="Q43">
            <v>38.149000000000001</v>
          </cell>
          <cell r="S43">
            <v>37.49</v>
          </cell>
          <cell r="U43">
            <v>143.67400000000001</v>
          </cell>
          <cell r="W43">
            <v>42.930999999999997</v>
          </cell>
          <cell r="Y43">
            <v>47.738999999999997</v>
          </cell>
          <cell r="AA43">
            <v>49.619</v>
          </cell>
          <cell r="AC43">
            <v>50.045000000000002</v>
          </cell>
          <cell r="AE43">
            <v>190.334</v>
          </cell>
          <cell r="AG43">
            <v>49.2</v>
          </cell>
          <cell r="AI43">
            <v>66.009</v>
          </cell>
          <cell r="AK43">
            <v>63.384999999999998</v>
          </cell>
          <cell r="AM43">
            <v>67.203000000000003</v>
          </cell>
          <cell r="AO43">
            <v>245.797</v>
          </cell>
          <cell r="AQ43">
            <v>76.762</v>
          </cell>
          <cell r="AS43">
            <v>81.891999999999996</v>
          </cell>
          <cell r="AU43">
            <v>75.099999999999994</v>
          </cell>
          <cell r="AW43">
            <v>69.944000000000003</v>
          </cell>
          <cell r="AY43">
            <v>303.69799999999998</v>
          </cell>
          <cell r="BA43">
            <v>111.33499999999999</v>
          </cell>
          <cell r="BB43">
            <v>0.45039212110158666</v>
          </cell>
          <cell r="BC43">
            <v>120.306</v>
          </cell>
          <cell r="BD43">
            <v>0.46908122893567139</v>
          </cell>
          <cell r="BE43">
            <v>149.88999999999999</v>
          </cell>
          <cell r="BF43">
            <v>0.99587217043941401</v>
          </cell>
          <cell r="BG43">
            <v>126.1</v>
          </cell>
          <cell r="BH43">
            <v>0.80287086812306963</v>
          </cell>
          <cell r="BI43">
            <v>507.63099999999997</v>
          </cell>
          <cell r="BJ43">
            <v>0.67149931840183341</v>
          </cell>
          <cell r="BL43">
            <v>180.58500000000001</v>
          </cell>
          <cell r="BM43">
            <v>0.62199667669645686</v>
          </cell>
          <cell r="BN43">
            <v>126.8</v>
          </cell>
          <cell r="BO43">
            <v>5.3979020165245251E-2</v>
          </cell>
          <cell r="BP43">
            <v>262.49099999999999</v>
          </cell>
          <cell r="BQ43">
            <v>0.75122423110280878</v>
          </cell>
          <cell r="BR43">
            <v>236.221</v>
          </cell>
          <cell r="BS43">
            <v>0.87328310864393344</v>
          </cell>
          <cell r="BT43">
            <v>806.09699999999998</v>
          </cell>
          <cell r="BU43">
            <v>0.5879585762098849</v>
          </cell>
          <cell r="BW43">
            <v>300</v>
          </cell>
          <cell r="BX43">
            <v>0.66126754713846658</v>
          </cell>
          <cell r="BY43">
            <v>303.42843810999995</v>
          </cell>
          <cell r="BZ43">
            <v>1.3929687548107252</v>
          </cell>
          <cell r="CA43">
            <v>322.94297875000007</v>
          </cell>
          <cell r="CB43">
            <v>0.23030114842032701</v>
          </cell>
          <cell r="CC43">
            <v>337.34709456000007</v>
          </cell>
          <cell r="CD43">
            <v>0.42809951088175935</v>
          </cell>
          <cell r="CE43">
            <v>1263.7185114200001</v>
          </cell>
          <cell r="CF43">
            <v>0.567700303338184</v>
          </cell>
        </row>
        <row r="44">
          <cell r="B44" t="str">
            <v>Tax Rate</v>
          </cell>
          <cell r="C44">
            <v>0.29654654655806179</v>
          </cell>
          <cell r="E44">
            <v>0.23215595444596077</v>
          </cell>
          <cell r="G44">
            <v>0.22294864506197423</v>
          </cell>
          <cell r="I44">
            <v>0.18773873488342618</v>
          </cell>
          <cell r="K44">
            <v>0.21840079909742235</v>
          </cell>
          <cell r="M44">
            <v>0.31057618156261746</v>
          </cell>
          <cell r="O44">
            <v>0.31062449585915947</v>
          </cell>
          <cell r="Q44">
            <v>0.31050325499576703</v>
          </cell>
          <cell r="S44">
            <v>0.31069126943984371</v>
          </cell>
          <cell r="U44">
            <v>0.17967483708416138</v>
          </cell>
          <cell r="W44">
            <v>0.320523684181443</v>
          </cell>
          <cell r="Y44">
            <v>0.32030716534990089</v>
          </cell>
          <cell r="AA44">
            <v>0.32044099205704007</v>
          </cell>
          <cell r="AC44">
            <v>0.32039990406928232</v>
          </cell>
          <cell r="AE44">
            <v>0.17543014456747877</v>
          </cell>
          <cell r="AG44">
            <v>0.29349894260372089</v>
          </cell>
          <cell r="AI44">
            <v>0.35428459719400968</v>
          </cell>
          <cell r="AK44">
            <v>0.345725382990834</v>
          </cell>
          <cell r="AM44">
            <v>0.35148524883632459</v>
          </cell>
          <cell r="AO44">
            <v>0.33702605798725771</v>
          </cell>
          <cell r="AQ44">
            <v>0.29619869560489492</v>
          </cell>
          <cell r="AS44">
            <v>0.33376329644768415</v>
          </cell>
          <cell r="AU44">
            <v>0.3432807897415317</v>
          </cell>
          <cell r="AW44">
            <v>0.32563596409549711</v>
          </cell>
          <cell r="AY44">
            <v>0.32364976429312847</v>
          </cell>
          <cell r="BA44">
            <v>0.34913730925785397</v>
          </cell>
          <cell r="BC44">
            <v>0.37353063543613629</v>
          </cell>
          <cell r="BE44">
            <v>0.3660388969747882</v>
          </cell>
          <cell r="BG44">
            <v>0.35874107770257779</v>
          </cell>
          <cell r="BI44">
            <v>0.36207709431617907</v>
          </cell>
          <cell r="BJ44">
            <v>0.11873121584679147</v>
          </cell>
          <cell r="BL44">
            <v>0.36687415943083035</v>
          </cell>
          <cell r="BN44">
            <v>0.27845243689802224</v>
          </cell>
          <cell r="BP44">
            <v>0.40613666464493942</v>
          </cell>
          <cell r="BR44">
            <v>0.39402608147374668</v>
          </cell>
          <cell r="BT44">
            <v>0.36750724212165659</v>
          </cell>
          <cell r="BU44">
            <v>1.4997214379807389E-2</v>
          </cell>
          <cell r="BW44">
            <v>0.37926675094816686</v>
          </cell>
          <cell r="BY44">
            <v>0.371</v>
          </cell>
          <cell r="CA44">
            <v>0.371</v>
          </cell>
          <cell r="CC44">
            <v>0.371</v>
          </cell>
          <cell r="CE44">
            <v>0.3729296918045219</v>
          </cell>
          <cell r="CF44">
            <v>1.4754674361139086E-2</v>
          </cell>
        </row>
        <row r="45">
          <cell r="B45" t="str">
            <v>Reported Net Income</v>
          </cell>
          <cell r="C45">
            <v>54.345999997000064</v>
          </cell>
          <cell r="D45" t="e">
            <v>#REF!</v>
          </cell>
          <cell r="E45">
            <v>119.34600000200004</v>
          </cell>
          <cell r="F45" t="e">
            <v>#REF!</v>
          </cell>
          <cell r="G45">
            <v>114.81400000099993</v>
          </cell>
          <cell r="H45" t="e">
            <v>#REF!</v>
          </cell>
          <cell r="I45">
            <v>102.49599999999992</v>
          </cell>
          <cell r="J45" t="e">
            <v>#REF!</v>
          </cell>
          <cell r="K45">
            <v>435.06000000000006</v>
          </cell>
          <cell r="M45">
            <v>169.86706622616552</v>
          </cell>
          <cell r="N45" t="e">
            <v>#REF!</v>
          </cell>
          <cell r="O45">
            <v>154.00077262893146</v>
          </cell>
          <cell r="P45" t="e">
            <v>#REF!</v>
          </cell>
          <cell r="Q45">
            <v>176.30279690849221</v>
          </cell>
          <cell r="R45" t="e">
            <v>#REF!</v>
          </cell>
          <cell r="S45">
            <v>155.12075938289837</v>
          </cell>
          <cell r="T45" t="e">
            <v>#REF!</v>
          </cell>
          <cell r="U45">
            <v>653.88039514648756</v>
          </cell>
          <cell r="W45">
            <v>199.42299999700003</v>
          </cell>
          <cell r="X45" t="e">
            <v>#REF!</v>
          </cell>
          <cell r="Y45">
            <v>212.20799999899995</v>
          </cell>
          <cell r="Z45" t="e">
            <v>#REF!</v>
          </cell>
          <cell r="AA45">
            <v>229.62100000000001</v>
          </cell>
          <cell r="AB45" t="e">
            <v>#REF!</v>
          </cell>
          <cell r="AC45">
            <v>253.37006880999991</v>
          </cell>
          <cell r="AD45" t="e">
            <v>#REF!</v>
          </cell>
          <cell r="AE45">
            <v>893.21106880599996</v>
          </cell>
          <cell r="AG45">
            <v>118.668606877725</v>
          </cell>
          <cell r="AI45">
            <v>120.48884124299254</v>
          </cell>
          <cell r="AK45">
            <v>120.17900000000009</v>
          </cell>
          <cell r="AM45">
            <v>124.17811154892991</v>
          </cell>
          <cell r="AO45">
            <v>483.5145596696475</v>
          </cell>
          <cell r="AQ45">
            <v>182.53399999999993</v>
          </cell>
          <cell r="AS45">
            <v>163.49099999999993</v>
          </cell>
          <cell r="AU45">
            <v>143.82200000000017</v>
          </cell>
          <cell r="AW45">
            <v>144.99199999999996</v>
          </cell>
          <cell r="AY45">
            <v>634.65584265857763</v>
          </cell>
          <cell r="BA45">
            <v>207.55099999999993</v>
          </cell>
          <cell r="BB45">
            <v>0.13705391872199146</v>
          </cell>
          <cell r="BC45">
            <v>201.77200000000028</v>
          </cell>
          <cell r="BD45">
            <v>0.23414744542513266</v>
          </cell>
          <cell r="BE45">
            <v>259.60200000000009</v>
          </cell>
          <cell r="BF45">
            <v>0.80502287549887908</v>
          </cell>
          <cell r="BG45">
            <v>225.40699999999995</v>
          </cell>
          <cell r="BH45">
            <v>0.55461680644449363</v>
          </cell>
          <cell r="BI45">
            <v>894.36599999999964</v>
          </cell>
          <cell r="BJ45">
            <v>0.4092141596829777</v>
          </cell>
          <cell r="BL45">
            <v>311.6410000000003</v>
          </cell>
          <cell r="BM45">
            <v>0.50151529021782792</v>
          </cell>
          <cell r="BN45">
            <v>328.57400000000007</v>
          </cell>
          <cell r="BO45">
            <v>0.6284420038459233</v>
          </cell>
          <cell r="BP45">
            <v>383.8209999999998</v>
          </cell>
          <cell r="BQ45">
            <v>0.47849785440789994</v>
          </cell>
          <cell r="BR45">
            <v>363.28500000000008</v>
          </cell>
          <cell r="BS45">
            <v>0.61168464155949076</v>
          </cell>
          <cell r="BT45">
            <v>1387.3210000000001</v>
          </cell>
          <cell r="BU45">
            <v>0.55117815301565654</v>
          </cell>
          <cell r="BW45">
            <v>491</v>
          </cell>
          <cell r="BX45">
            <v>0.57553081911558346</v>
          </cell>
          <cell r="BY45">
            <v>514.43797188999997</v>
          </cell>
          <cell r="BZ45">
            <v>0.56566853095497471</v>
          </cell>
          <cell r="CA45">
            <v>547.52327125000011</v>
          </cell>
          <cell r="CB45">
            <v>0.42650681242037414</v>
          </cell>
          <cell r="CC45">
            <v>571.94426544000009</v>
          </cell>
          <cell r="CD45">
            <v>0.57436796300425286</v>
          </cell>
          <cell r="CE45">
            <v>2124.9055085800001</v>
          </cell>
          <cell r="CF45">
            <v>0.53166102767852563</v>
          </cell>
        </row>
        <row r="46">
          <cell r="B46" t="str">
            <v>EPS, basic</v>
          </cell>
          <cell r="C46">
            <v>5.3195279706391409E-2</v>
          </cell>
          <cell r="D46" t="e">
            <v>#REF!</v>
          </cell>
          <cell r="E46">
            <v>0.1161134028662049</v>
          </cell>
          <cell r="F46" t="e">
            <v>#REF!</v>
          </cell>
          <cell r="G46">
            <v>0.11225174174395246</v>
          </cell>
          <cell r="H46" t="e">
            <v>#REF!</v>
          </cell>
          <cell r="I46">
            <v>9.9454483000867386E-2</v>
          </cell>
          <cell r="J46" t="e">
            <v>#REF!</v>
          </cell>
          <cell r="K46">
            <v>0.84830168077058077</v>
          </cell>
          <cell r="M46">
            <v>0.15719058841409891</v>
          </cell>
          <cell r="N46" t="e">
            <v>#REF!</v>
          </cell>
          <cell r="O46">
            <v>0.14772766505983081</v>
          </cell>
          <cell r="P46" t="e">
            <v>#REF!</v>
          </cell>
          <cell r="Q46">
            <v>0.16857272598569231</v>
          </cell>
          <cell r="R46" t="e">
            <v>#REF!</v>
          </cell>
          <cell r="S46">
            <v>0.14771576793625393</v>
          </cell>
          <cell r="T46" t="e">
            <v>#REF!</v>
          </cell>
          <cell r="U46">
            <v>0.62610751786886065</v>
          </cell>
          <cell r="W46">
            <v>0.18963949828069879</v>
          </cell>
          <cell r="X46" t="e">
            <v>#REF!</v>
          </cell>
          <cell r="Y46">
            <v>0.201336627462533</v>
          </cell>
          <cell r="Z46" t="e">
            <v>#REF!</v>
          </cell>
          <cell r="AA46">
            <v>0.21772122853328479</v>
          </cell>
          <cell r="AB46" t="e">
            <v>#REF!</v>
          </cell>
          <cell r="AC46">
            <v>0.23995422792662244</v>
          </cell>
          <cell r="AD46" t="e">
            <v>#REF!</v>
          </cell>
          <cell r="AE46">
            <v>0.84741827980205642</v>
          </cell>
          <cell r="AG46">
            <v>0.11262407288593676</v>
          </cell>
          <cell r="AI46">
            <v>0.11585443224435389</v>
          </cell>
          <cell r="AK46">
            <v>0.11644687757376106</v>
          </cell>
          <cell r="AM46">
            <v>0.12075917770961529</v>
          </cell>
          <cell r="AO46">
            <v>0.46558555820163972</v>
          </cell>
          <cell r="AQ46">
            <v>0.17828754720077195</v>
          </cell>
          <cell r="AS46">
            <v>0.15937622463243961</v>
          </cell>
          <cell r="AU46">
            <v>0.13818408916218311</v>
          </cell>
          <cell r="AW46">
            <v>0.13843172075349197</v>
          </cell>
          <cell r="AY46">
            <v>0.61351622099003444</v>
          </cell>
          <cell r="BA46">
            <v>0.19669389062526646</v>
          </cell>
          <cell r="BB46">
            <v>0.10323964692703358</v>
          </cell>
          <cell r="BC46">
            <v>0.19023985050239559</v>
          </cell>
          <cell r="BD46">
            <v>0.19365263508490682</v>
          </cell>
          <cell r="BE46">
            <v>0.24603559717193932</v>
          </cell>
          <cell r="BF46">
            <v>0.78049150711681192</v>
          </cell>
          <cell r="BG46">
            <v>0.21473468610079066</v>
          </cell>
          <cell r="BH46">
            <v>0.55119567200333264</v>
          </cell>
          <cell r="BI46">
            <v>0.84760772011960184</v>
          </cell>
          <cell r="BJ46">
            <v>0.38155714734292223</v>
          </cell>
          <cell r="BL46">
            <v>0.29769915325477275</v>
          </cell>
          <cell r="BM46">
            <v>0.51351499687368318</v>
          </cell>
          <cell r="BN46">
            <v>0.31068947127549734</v>
          </cell>
          <cell r="BO46">
            <v>0.6331461071642559</v>
          </cell>
          <cell r="BP46">
            <v>0.36191125456018103</v>
          </cell>
          <cell r="BQ46">
            <v>0.47097110629590433</v>
          </cell>
          <cell r="BR46">
            <v>0.3444360799602551</v>
          </cell>
          <cell r="BS46">
            <v>0.60400765341928087</v>
          </cell>
          <cell r="BT46">
            <v>1.3150560404644005</v>
          </cell>
          <cell r="BU46">
            <v>0.5514913435177764</v>
          </cell>
          <cell r="BW46">
            <v>0.46584440227703983</v>
          </cell>
          <cell r="BX46">
            <v>0.56481601369677836</v>
          </cell>
          <cell r="BY46">
            <v>0.48808156725806451</v>
          </cell>
          <cell r="BZ46">
            <v>0.57096268906154357</v>
          </cell>
          <cell r="CA46">
            <v>0.51947179435483881</v>
          </cell>
          <cell r="CB46">
            <v>0.43535683902987765</v>
          </cell>
          <cell r="CC46">
            <v>0.54264161806451627</v>
          </cell>
          <cell r="CD46">
            <v>0.57544940741147776</v>
          </cell>
          <cell r="CE46">
            <v>2.0160393819544593</v>
          </cell>
          <cell r="CF46">
            <v>0.53304446344546097</v>
          </cell>
        </row>
        <row r="47">
          <cell r="B47" t="str">
            <v>EPS, diluted</v>
          </cell>
          <cell r="C47">
            <v>5.1261300007734628E-2</v>
          </cell>
          <cell r="D47" t="e">
            <v>#REF!</v>
          </cell>
          <cell r="E47">
            <v>0.11182173883900132</v>
          </cell>
          <cell r="F47" t="e">
            <v>#REF!</v>
          </cell>
          <cell r="G47">
            <v>0.10948743622848416</v>
          </cell>
          <cell r="H47" t="e">
            <v>#REF!</v>
          </cell>
          <cell r="I47">
            <v>9.672335662963033E-2</v>
          </cell>
          <cell r="J47" t="e">
            <v>#REF!</v>
          </cell>
          <cell r="K47">
            <v>0.82168185466735921</v>
          </cell>
          <cell r="M47">
            <v>0.16360744536644534</v>
          </cell>
          <cell r="N47" t="e">
            <v>#REF!</v>
          </cell>
          <cell r="O47">
            <v>0.14302396905211939</v>
          </cell>
          <cell r="P47" t="e">
            <v>#REF!</v>
          </cell>
          <cell r="Q47">
            <v>0.16279624374956575</v>
          </cell>
          <cell r="R47" t="e">
            <v>#REF!</v>
          </cell>
          <cell r="S47">
            <v>0.1442675142833611</v>
          </cell>
          <cell r="T47" t="e">
            <v>#REF!</v>
          </cell>
          <cell r="U47">
            <v>0.60987544247047309</v>
          </cell>
          <cell r="W47">
            <v>0.18630385512668887</v>
          </cell>
          <cell r="X47" t="e">
            <v>#REF!</v>
          </cell>
          <cell r="Y47">
            <v>0.19827260801712437</v>
          </cell>
          <cell r="Z47" t="e">
            <v>#REF!</v>
          </cell>
          <cell r="AA47">
            <v>0.21513388423557631</v>
          </cell>
          <cell r="AB47" t="e">
            <v>#REF!</v>
          </cell>
          <cell r="AC47">
            <v>0.23597362148675347</v>
          </cell>
          <cell r="AD47" t="e">
            <v>#REF!</v>
          </cell>
          <cell r="AE47">
            <v>0.83443278873473636</v>
          </cell>
          <cell r="AG47">
            <v>0.11091602069521243</v>
          </cell>
          <cell r="AI47">
            <v>0.11486526747781373</v>
          </cell>
          <cell r="AK47">
            <v>0.11568376043694142</v>
          </cell>
          <cell r="AM47">
            <v>0.11963762442668824</v>
          </cell>
          <cell r="AO47">
            <v>0.46096594929398294</v>
          </cell>
          <cell r="AQ47">
            <v>0.17644113473531989</v>
          </cell>
          <cell r="AS47">
            <v>0.15632685298156096</v>
          </cell>
          <cell r="AU47">
            <v>0.13499342969776626</v>
          </cell>
          <cell r="AW47">
            <v>0.13531330959153653</v>
          </cell>
          <cell r="AY47">
            <v>0.60195636879300407</v>
          </cell>
          <cell r="BA47">
            <v>0.19188759906363365</v>
          </cell>
          <cell r="BB47">
            <v>8.7544575994056517E-2</v>
          </cell>
          <cell r="BC47">
            <v>0.1856079596205274</v>
          </cell>
          <cell r="BD47">
            <v>0.18730695386300766</v>
          </cell>
          <cell r="BE47">
            <v>0.24102097033403808</v>
          </cell>
          <cell r="BF47">
            <v>0.78542741579093511</v>
          </cell>
          <cell r="BG47">
            <v>0.21052144935874201</v>
          </cell>
          <cell r="BH47">
            <v>0.55580740722573774</v>
          </cell>
          <cell r="BI47">
            <v>0.82872362999196592</v>
          </cell>
          <cell r="BJ47">
            <v>0.37671710601493902</v>
          </cell>
          <cell r="BL47">
            <v>0.29205273126155645</v>
          </cell>
          <cell r="BM47">
            <v>0.52199898631649511</v>
          </cell>
          <cell r="BN47">
            <v>0.30315701288288605</v>
          </cell>
          <cell r="BO47">
            <v>0.63331903169824111</v>
          </cell>
          <cell r="BP47">
            <v>0.35311289058331263</v>
          </cell>
          <cell r="BQ47">
            <v>0.46507123464785272</v>
          </cell>
          <cell r="BR47">
            <v>0.33632766499529704</v>
          </cell>
          <cell r="BS47">
            <v>0.59759333796991476</v>
          </cell>
          <cell r="BT47">
            <v>1.2834287279048318</v>
          </cell>
          <cell r="BU47">
            <v>0.54868122671640718</v>
          </cell>
          <cell r="BW47">
            <v>0.45674418604651162</v>
          </cell>
          <cell r="BX47">
            <v>0.56390999691579968</v>
          </cell>
          <cell r="BY47">
            <v>0.4785469505953488</v>
          </cell>
          <cell r="BZ47">
            <v>0.57854488024071671</v>
          </cell>
          <cell r="CA47">
            <v>0.50932397325581402</v>
          </cell>
          <cell r="CB47">
            <v>0.44238283800530165</v>
          </cell>
          <cell r="CC47">
            <v>0.53204117715348842</v>
          </cell>
          <cell r="CD47">
            <v>0.58191321299997156</v>
          </cell>
          <cell r="CE47">
            <v>1.9766562870511628</v>
          </cell>
          <cell r="CF47">
            <v>0.54013716856565086</v>
          </cell>
        </row>
        <row r="49">
          <cell r="B49" t="str">
            <v>Option expense</v>
          </cell>
          <cell r="BW49">
            <v>74</v>
          </cell>
          <cell r="BY49">
            <v>78.304247450000005</v>
          </cell>
          <cell r="CA49">
            <v>83.722856250000007</v>
          </cell>
          <cell r="CC49">
            <v>93.158375200000009</v>
          </cell>
          <cell r="CE49">
            <v>329.18547890000002</v>
          </cell>
        </row>
        <row r="50">
          <cell r="B50" t="str">
            <v>Net Income (incl options exp)</v>
          </cell>
          <cell r="BW50">
            <v>417</v>
          </cell>
          <cell r="BY50">
            <v>436.13372443999998</v>
          </cell>
          <cell r="CA50">
            <v>463.8004150000001</v>
          </cell>
          <cell r="CC50">
            <v>478.78589024000007</v>
          </cell>
          <cell r="CE50">
            <v>1795.7200296800002</v>
          </cell>
        </row>
        <row r="52">
          <cell r="B52" t="str">
            <v>EPS, diluted (incl option exp)</v>
          </cell>
          <cell r="BW52">
            <v>0.38790697674418606</v>
          </cell>
          <cell r="BY52">
            <v>0.40570579017674419</v>
          </cell>
          <cell r="CA52">
            <v>0.43144224651162799</v>
          </cell>
          <cell r="CC52">
            <v>0.44538222347906986</v>
          </cell>
          <cell r="CE52">
            <v>1.670437236911628</v>
          </cell>
        </row>
        <row r="53">
          <cell r="B53" t="str">
            <v>EPS, GAAP, diluted (incl option exp)</v>
          </cell>
          <cell r="BW53">
            <v>0.39162790697674421</v>
          </cell>
          <cell r="BY53">
            <v>0.38464160413023252</v>
          </cell>
          <cell r="CA53">
            <v>0.41037806046511638</v>
          </cell>
          <cell r="CC53">
            <v>0.42431803743255819</v>
          </cell>
          <cell r="CE53">
            <v>1.6109656090046514</v>
          </cell>
        </row>
        <row r="54">
          <cell r="B54" t="str">
            <v>Shares Outstanding (Basic)</v>
          </cell>
          <cell r="C54">
            <v>1021.6319999999999</v>
          </cell>
          <cell r="D54">
            <v>0</v>
          </cell>
          <cell r="E54">
            <v>1027.8399999999999</v>
          </cell>
          <cell r="F54">
            <v>0</v>
          </cell>
          <cell r="G54">
            <v>1022.826</v>
          </cell>
          <cell r="H54">
            <v>0</v>
          </cell>
          <cell r="I54">
            <v>1030.5820000000001</v>
          </cell>
          <cell r="K54">
            <v>512.86</v>
          </cell>
          <cell r="M54">
            <v>1080.644</v>
          </cell>
          <cell r="N54">
            <v>0</v>
          </cell>
          <cell r="O54">
            <v>1042.4639999999999</v>
          </cell>
          <cell r="P54">
            <v>0</v>
          </cell>
          <cell r="Q54">
            <v>1045.856</v>
          </cell>
          <cell r="R54">
            <v>0</v>
          </cell>
          <cell r="S54">
            <v>1050.1300000000001</v>
          </cell>
          <cell r="T54">
            <v>0</v>
          </cell>
          <cell r="U54">
            <v>1044.3579999999999</v>
          </cell>
          <cell r="W54">
            <v>1051.5899999999999</v>
          </cell>
          <cell r="X54">
            <v>0</v>
          </cell>
          <cell r="Y54">
            <v>1053.9960000000001</v>
          </cell>
          <cell r="Z54">
            <v>0</v>
          </cell>
          <cell r="AA54">
            <v>1054.6559999999999</v>
          </cell>
          <cell r="AB54">
            <v>0</v>
          </cell>
          <cell r="AC54">
            <v>1055.9100000000001</v>
          </cell>
          <cell r="AD54">
            <v>0</v>
          </cell>
          <cell r="AE54">
            <v>1054.038</v>
          </cell>
          <cell r="AG54">
            <v>1053.67</v>
          </cell>
          <cell r="AH54">
            <v>0</v>
          </cell>
          <cell r="AI54">
            <v>1040.002</v>
          </cell>
          <cell r="AJ54">
            <v>0</v>
          </cell>
          <cell r="AK54">
            <v>1032.05</v>
          </cell>
          <cell r="AL54">
            <v>0</v>
          </cell>
          <cell r="AM54">
            <v>1028.3119999999999</v>
          </cell>
          <cell r="AN54">
            <v>0</v>
          </cell>
          <cell r="AO54">
            <v>1038.5084999999999</v>
          </cell>
          <cell r="AQ54">
            <v>1023.818</v>
          </cell>
          <cell r="AR54">
            <v>0</v>
          </cell>
          <cell r="AS54">
            <v>1025.818</v>
          </cell>
          <cell r="AT54">
            <v>0</v>
          </cell>
          <cell r="AU54">
            <v>1040.8</v>
          </cell>
          <cell r="AV54">
            <v>0</v>
          </cell>
          <cell r="AW54">
            <v>1047.3900000000001</v>
          </cell>
          <cell r="AY54">
            <v>1034.4565</v>
          </cell>
          <cell r="BA54">
            <v>1055.1980000000001</v>
          </cell>
          <cell r="BB54">
            <v>3.0649978804826672E-2</v>
          </cell>
          <cell r="BC54">
            <v>1060.6189999999999</v>
          </cell>
          <cell r="BD54">
            <v>3.392512122033331E-2</v>
          </cell>
          <cell r="BE54">
            <v>1055.1400000000001</v>
          </cell>
          <cell r="BF54">
            <v>1.3777863182167671E-2</v>
          </cell>
          <cell r="BG54">
            <v>1049.7</v>
          </cell>
          <cell r="BH54">
            <v>2.2054821986079443E-3</v>
          </cell>
          <cell r="BI54">
            <v>1055.165</v>
          </cell>
          <cell r="BJ54">
            <v>2.0018724808631427E-2</v>
          </cell>
          <cell r="BL54">
            <v>1046.8320000000001</v>
          </cell>
          <cell r="BM54">
            <v>-7.9283698414894799E-3</v>
          </cell>
          <cell r="BN54">
            <v>1057.5640000000001</v>
          </cell>
          <cell r="BO54">
            <v>-2.8803934306285139E-3</v>
          </cell>
          <cell r="BP54">
            <v>1060.539</v>
          </cell>
          <cell r="BQ54">
            <v>5.1168565308867819E-3</v>
          </cell>
          <cell r="BR54">
            <v>1054.7239999999999</v>
          </cell>
          <cell r="BS54">
            <v>4.7861293702962104E-3</v>
          </cell>
          <cell r="BT54">
            <v>1054.952</v>
          </cell>
          <cell r="BU54">
            <v>-2.0186416342460323E-4</v>
          </cell>
          <cell r="BW54">
            <v>1054</v>
          </cell>
          <cell r="BY54">
            <v>1054</v>
          </cell>
          <cell r="CA54">
            <v>1054</v>
          </cell>
          <cell r="CC54">
            <v>1054</v>
          </cell>
          <cell r="CE54">
            <v>1054</v>
          </cell>
          <cell r="CF54">
            <v>-9.0241072579599901E-4</v>
          </cell>
        </row>
        <row r="55">
          <cell r="B55" t="str">
            <v>Shares Outstanding (Diluted)</v>
          </cell>
          <cell r="C55">
            <v>1060.1759999999999</v>
          </cell>
          <cell r="D55">
            <v>0</v>
          </cell>
          <cell r="E55">
            <v>1067.288</v>
          </cell>
          <cell r="F55">
            <v>0</v>
          </cell>
          <cell r="G55">
            <v>1048.6500000000001</v>
          </cell>
          <cell r="H55">
            <v>0</v>
          </cell>
          <cell r="I55">
            <v>1059.682</v>
          </cell>
          <cell r="K55">
            <v>529.47500000000002</v>
          </cell>
          <cell r="M55">
            <v>1038.26</v>
          </cell>
          <cell r="N55">
            <v>0</v>
          </cell>
          <cell r="O55">
            <v>1076.748</v>
          </cell>
          <cell r="P55">
            <v>0</v>
          </cell>
          <cell r="Q55">
            <v>1082.9659999999999</v>
          </cell>
          <cell r="R55">
            <v>0</v>
          </cell>
          <cell r="S55">
            <v>1075.23</v>
          </cell>
          <cell r="T55">
            <v>0</v>
          </cell>
          <cell r="U55">
            <v>1072.154</v>
          </cell>
          <cell r="W55">
            <v>1070.4179999999999</v>
          </cell>
          <cell r="X55">
            <v>0</v>
          </cell>
          <cell r="Y55">
            <v>1070.2840000000001</v>
          </cell>
          <cell r="Z55">
            <v>0</v>
          </cell>
          <cell r="AA55">
            <v>1067.3399999999999</v>
          </cell>
          <cell r="AB55">
            <v>0</v>
          </cell>
          <cell r="AC55">
            <v>1073.722</v>
          </cell>
          <cell r="AD55">
            <v>0</v>
          </cell>
          <cell r="AE55">
            <v>1070.441</v>
          </cell>
          <cell r="AG55">
            <v>1069.896</v>
          </cell>
          <cell r="AH55">
            <v>0</v>
          </cell>
          <cell r="AI55">
            <v>1048.9580000000001</v>
          </cell>
          <cell r="AJ55">
            <v>0</v>
          </cell>
          <cell r="AK55">
            <v>1038.8579999999999</v>
          </cell>
          <cell r="AL55">
            <v>0</v>
          </cell>
          <cell r="AM55">
            <v>1037.952</v>
          </cell>
          <cell r="AN55">
            <v>0</v>
          </cell>
          <cell r="AO55">
            <v>1048.9160000000002</v>
          </cell>
          <cell r="AQ55">
            <v>1034.5319999999999</v>
          </cell>
          <cell r="AR55">
            <v>0</v>
          </cell>
          <cell r="AS55">
            <v>1045.828</v>
          </cell>
          <cell r="AT55">
            <v>0</v>
          </cell>
          <cell r="AU55">
            <v>1065.4000000000001</v>
          </cell>
          <cell r="AV55">
            <v>0</v>
          </cell>
          <cell r="AW55">
            <v>1071.528</v>
          </cell>
          <cell r="AY55">
            <v>1054.3219999999999</v>
          </cell>
          <cell r="BA55">
            <v>1081.6279999999999</v>
          </cell>
          <cell r="BB55">
            <v>4.5523966392533088E-2</v>
          </cell>
          <cell r="BC55">
            <v>1087.087</v>
          </cell>
          <cell r="BD55">
            <v>3.9451037837962E-2</v>
          </cell>
          <cell r="BE55">
            <v>1077.0930000000001</v>
          </cell>
          <cell r="BF55">
            <v>1.0975220574432232E-2</v>
          </cell>
          <cell r="BG55">
            <v>1070.7080000000001</v>
          </cell>
          <cell r="BH55">
            <v>-7.6526231699025615E-4</v>
          </cell>
          <cell r="BI55">
            <v>1079.2090000000001</v>
          </cell>
          <cell r="BJ55">
            <v>2.3604743142986884E-2</v>
          </cell>
          <cell r="BL55">
            <v>1067.0709999999999</v>
          </cell>
          <cell r="BM55">
            <v>-1.345841638714973E-2</v>
          </cell>
          <cell r="BN55">
            <v>1083.8409999999999</v>
          </cell>
          <cell r="BO55">
            <v>-2.9859615651738336E-3</v>
          </cell>
          <cell r="BP55">
            <v>1086.9639999999999</v>
          </cell>
          <cell r="BQ55">
            <v>9.1644825470036384E-3</v>
          </cell>
          <cell r="BR55">
            <v>1080.152</v>
          </cell>
          <cell r="BS55">
            <v>8.8203319672590652E-3</v>
          </cell>
          <cell r="BT55">
            <v>1080.9490000000001</v>
          </cell>
          <cell r="BU55">
            <v>1.6122919656897938E-3</v>
          </cell>
          <cell r="BW55">
            <v>1075</v>
          </cell>
          <cell r="BY55">
            <v>1075</v>
          </cell>
          <cell r="CA55">
            <v>1075</v>
          </cell>
          <cell r="CC55">
            <v>1075</v>
          </cell>
          <cell r="CE55">
            <v>1075</v>
          </cell>
          <cell r="CF55">
            <v>-5.5034973897936101E-3</v>
          </cell>
        </row>
        <row r="58">
          <cell r="B58" t="str">
            <v>GAAP Adjustments</v>
          </cell>
        </row>
        <row r="59">
          <cell r="B59" t="str">
            <v>Charges related to Redemption</v>
          </cell>
          <cell r="AG59">
            <v>-38.9</v>
          </cell>
          <cell r="AI59">
            <v>-38.9</v>
          </cell>
          <cell r="AK59">
            <v>-38.9</v>
          </cell>
          <cell r="AM59">
            <v>-38.9</v>
          </cell>
          <cell r="AO59">
            <v>-155.6</v>
          </cell>
          <cell r="AQ59">
            <v>-38.6</v>
          </cell>
          <cell r="AS59">
            <v>-38.6</v>
          </cell>
          <cell r="AU59">
            <v>-38.6</v>
          </cell>
          <cell r="BA59">
            <v>-38.209000000000003</v>
          </cell>
          <cell r="BC59">
            <v>-38.209000000000003</v>
          </cell>
          <cell r="BE59">
            <v>-30</v>
          </cell>
          <cell r="BG59">
            <v>-34.533999999999999</v>
          </cell>
          <cell r="BI59">
            <v>-140.952</v>
          </cell>
          <cell r="BL59">
            <v>-34.481999999999999</v>
          </cell>
          <cell r="BN59">
            <v>-34.481999999999999</v>
          </cell>
          <cell r="BP59">
            <v>-27.190999999999999</v>
          </cell>
          <cell r="BR59">
            <v>-25</v>
          </cell>
          <cell r="BT59">
            <v>-122.7</v>
          </cell>
          <cell r="BW59">
            <v>-26</v>
          </cell>
          <cell r="BY59">
            <v>-23</v>
          </cell>
          <cell r="CA59">
            <v>-23</v>
          </cell>
          <cell r="CC59">
            <v>-23</v>
          </cell>
          <cell r="CE59">
            <v>-95</v>
          </cell>
        </row>
        <row r="60">
          <cell r="B60" t="str">
            <v>Litigation related charges</v>
          </cell>
          <cell r="AG60">
            <v>0</v>
          </cell>
          <cell r="AI60">
            <v>-518</v>
          </cell>
          <cell r="AK60">
            <v>-12.5</v>
          </cell>
          <cell r="AM60">
            <v>-13.5</v>
          </cell>
          <cell r="AO60">
            <v>-544</v>
          </cell>
          <cell r="AQ60">
            <v>-13.2</v>
          </cell>
          <cell r="AS60">
            <v>-13.4</v>
          </cell>
          <cell r="AU60">
            <v>131.61699999999999</v>
          </cell>
          <cell r="BA60">
            <v>-13.398999999999999</v>
          </cell>
          <cell r="BC60">
            <v>-13.458</v>
          </cell>
          <cell r="BE60">
            <v>-13</v>
          </cell>
          <cell r="BG60">
            <v>3.1890000000000001</v>
          </cell>
          <cell r="BI60">
            <v>-36.667999999999999</v>
          </cell>
          <cell r="BL60">
            <v>-11.256</v>
          </cell>
          <cell r="BN60">
            <v>-19.527000000000001</v>
          </cell>
          <cell r="BP60">
            <v>-13.507</v>
          </cell>
          <cell r="BR60">
            <v>-13</v>
          </cell>
          <cell r="BT60">
            <v>-57.8</v>
          </cell>
          <cell r="BW60">
            <v>-13</v>
          </cell>
          <cell r="BY60">
            <v>-13</v>
          </cell>
          <cell r="CA60">
            <v>-13</v>
          </cell>
          <cell r="CC60">
            <v>-13</v>
          </cell>
          <cell r="CE60">
            <v>-52</v>
          </cell>
        </row>
        <row r="61">
          <cell r="B61" t="str">
            <v>Tax Effect</v>
          </cell>
          <cell r="AG61">
            <v>15.600000000000001</v>
          </cell>
          <cell r="AI61">
            <v>222.709</v>
          </cell>
          <cell r="AK61">
            <v>20.585000000000001</v>
          </cell>
          <cell r="AM61">
            <v>21.203000000000003</v>
          </cell>
          <cell r="AO61">
            <v>280.09699999999998</v>
          </cell>
          <cell r="AQ61">
            <v>20.762</v>
          </cell>
          <cell r="AS61">
            <v>20.791999999999994</v>
          </cell>
          <cell r="AU61">
            <v>-37.300000000000011</v>
          </cell>
          <cell r="BA61">
            <v>20.643999999999998</v>
          </cell>
          <cell r="BC61">
            <v>20.666</v>
          </cell>
          <cell r="BE61">
            <v>15.739672569915893</v>
          </cell>
          <cell r="BG61">
            <v>11.244739080587301</v>
          </cell>
          <cell r="BI61">
            <v>68.294411650503207</v>
          </cell>
          <cell r="BL61">
            <v>18.295000000000002</v>
          </cell>
          <cell r="BN61">
            <v>15.038937664425283</v>
          </cell>
          <cell r="BP61">
            <v>16.28</v>
          </cell>
          <cell r="BR61">
            <v>14.972991096002374</v>
          </cell>
          <cell r="BT61">
            <v>72.2</v>
          </cell>
          <cell r="BW61">
            <v>43</v>
          </cell>
          <cell r="BY61">
            <v>13.356</v>
          </cell>
          <cell r="CA61">
            <v>13.356</v>
          </cell>
          <cell r="CC61">
            <v>13.356</v>
          </cell>
          <cell r="CE61">
            <v>83.067999999999998</v>
          </cell>
        </row>
        <row r="62">
          <cell r="B62" t="str">
            <v>Total Adjustments</v>
          </cell>
          <cell r="AG62">
            <v>-23.299999999999997</v>
          </cell>
          <cell r="AI62">
            <v>-334.19099999999997</v>
          </cell>
          <cell r="AK62">
            <v>-30.814999999999998</v>
          </cell>
          <cell r="AM62">
            <v>-31.196999999999996</v>
          </cell>
          <cell r="AO62">
            <v>-419.50300000000004</v>
          </cell>
          <cell r="AQ62">
            <v>-31.037999999999997</v>
          </cell>
          <cell r="AS62">
            <v>-31.208000000000006</v>
          </cell>
          <cell r="AU62">
            <v>55.716999999999985</v>
          </cell>
          <cell r="BA62">
            <v>-30.964000000000006</v>
          </cell>
          <cell r="BC62">
            <v>-31.001000000000001</v>
          </cell>
          <cell r="BE62">
            <v>-27.260327430084107</v>
          </cell>
          <cell r="BG62">
            <v>-20.100260919412698</v>
          </cell>
          <cell r="BI62">
            <v>-109.3255883494968</v>
          </cell>
          <cell r="BL62">
            <v>-27.442999999999998</v>
          </cell>
          <cell r="BN62">
            <v>-38.970062335574717</v>
          </cell>
          <cell r="BP62">
            <v>-24.417999999999999</v>
          </cell>
          <cell r="BR62">
            <v>-23.027008903997626</v>
          </cell>
          <cell r="BT62">
            <v>-108.3</v>
          </cell>
          <cell r="BW62">
            <v>4</v>
          </cell>
          <cell r="BY62">
            <v>-22.643999999999998</v>
          </cell>
          <cell r="CA62">
            <v>-22.643999999999998</v>
          </cell>
          <cell r="CC62">
            <v>-22.643999999999998</v>
          </cell>
          <cell r="CE62">
            <v>-63.932000000000002</v>
          </cell>
        </row>
        <row r="63">
          <cell r="B63" t="str">
            <v>GAAP Net Income</v>
          </cell>
          <cell r="AG63">
            <v>95.368606877725</v>
          </cell>
          <cell r="AI63">
            <v>-213.70215875700745</v>
          </cell>
          <cell r="AK63">
            <v>89.36400000000009</v>
          </cell>
          <cell r="AM63">
            <v>92.981111548929903</v>
          </cell>
          <cell r="AO63">
            <v>64.011559669647454</v>
          </cell>
          <cell r="AQ63">
            <v>151.49599999999992</v>
          </cell>
          <cell r="AS63">
            <v>132.28299999999993</v>
          </cell>
          <cell r="AU63">
            <v>199.53900000000016</v>
          </cell>
          <cell r="BA63">
            <v>176.58699999999993</v>
          </cell>
          <cell r="BC63">
            <v>170.77100000000027</v>
          </cell>
          <cell r="BE63">
            <v>232.34167256991597</v>
          </cell>
          <cell r="BG63">
            <v>205.30673908058725</v>
          </cell>
          <cell r="BI63">
            <v>785.04041165050285</v>
          </cell>
          <cell r="BL63">
            <v>284.19800000000032</v>
          </cell>
          <cell r="BN63">
            <v>289.60393766442536</v>
          </cell>
          <cell r="BP63">
            <v>359.40299999999979</v>
          </cell>
          <cell r="BR63">
            <v>340.25799109600246</v>
          </cell>
          <cell r="BT63">
            <v>1279.0210000000002</v>
          </cell>
          <cell r="BW63">
            <v>421</v>
          </cell>
          <cell r="BY63">
            <v>413.48972443999997</v>
          </cell>
          <cell r="CA63">
            <v>441.1564150000001</v>
          </cell>
          <cell r="CC63">
            <v>456.14189024000007</v>
          </cell>
          <cell r="CE63">
            <v>1731.7880296800001</v>
          </cell>
        </row>
        <row r="64">
          <cell r="B64" t="str">
            <v>GAAP EPS - Basic</v>
          </cell>
          <cell r="AG64">
            <v>9.0510887543277296E-2</v>
          </cell>
          <cell r="AI64">
            <v>-0.20548244980010372</v>
          </cell>
          <cell r="AK64">
            <v>8.658882806065607E-2</v>
          </cell>
          <cell r="AM64">
            <v>9.042110910786795E-2</v>
          </cell>
          <cell r="AO64">
            <v>6.1637973757217641E-2</v>
          </cell>
          <cell r="AQ64">
            <v>0.14797161214200172</v>
          </cell>
          <cell r="AS64">
            <v>0.12895367404354371</v>
          </cell>
          <cell r="AU64">
            <v>0.19171694850115312</v>
          </cell>
          <cell r="BA64">
            <v>0.1673496348552593</v>
          </cell>
          <cell r="BC64">
            <v>0.1610106928124051</v>
          </cell>
          <cell r="BE64">
            <v>0.22019985269245404</v>
          </cell>
          <cell r="BG64">
            <v>0.19558610944135205</v>
          </cell>
          <cell r="BI64">
            <v>0.74399777442438186</v>
          </cell>
          <cell r="BL64">
            <v>0.27148386751646902</v>
          </cell>
          <cell r="BN64">
            <v>0.27384057859800953</v>
          </cell>
          <cell r="BP64">
            <v>0.33888711306232</v>
          </cell>
          <cell r="BR64">
            <v>0.32260381966846535</v>
          </cell>
          <cell r="BT64">
            <v>1.2123973413008367</v>
          </cell>
          <cell r="BW64">
            <v>0.39943074003795065</v>
          </cell>
          <cell r="BY64">
            <v>0.39230524140417455</v>
          </cell>
          <cell r="CA64">
            <v>0.41855447343453517</v>
          </cell>
          <cell r="CC64">
            <v>0.43277219187855792</v>
          </cell>
          <cell r="CE64">
            <v>1.6430626467552183</v>
          </cell>
        </row>
        <row r="65">
          <cell r="B65" t="str">
            <v>GAAP EPS - Diluted</v>
          </cell>
          <cell r="AG65">
            <v>8.9138203038169134E-2</v>
          </cell>
          <cell r="AI65">
            <v>-0.20372804131052666</v>
          </cell>
          <cell r="AK65">
            <v>8.6021381170477668E-2</v>
          </cell>
          <cell r="AM65">
            <v>8.9581321245038217E-2</v>
          </cell>
          <cell r="AO65">
            <v>6.1026392646930203E-2</v>
          </cell>
          <cell r="AQ65">
            <v>0.1464391628291826</v>
          </cell>
          <cell r="AS65">
            <v>0.1264863820819484</v>
          </cell>
          <cell r="AU65">
            <v>0.18729021963581766</v>
          </cell>
          <cell r="BA65">
            <v>0.16326038157296219</v>
          </cell>
          <cell r="BC65">
            <v>0.15709046286083844</v>
          </cell>
          <cell r="BE65">
            <v>0.21571180257407294</v>
          </cell>
          <cell r="BG65">
            <v>0.19174858045385598</v>
          </cell>
          <cell r="BI65">
            <v>0.72742203933668348</v>
          </cell>
          <cell r="BL65">
            <v>0.26633466751509538</v>
          </cell>
          <cell r="BN65">
            <v>0.26720149695797207</v>
          </cell>
          <cell r="BP65">
            <v>0.3306484851384221</v>
          </cell>
          <cell r="BR65">
            <v>0.31500936080848108</v>
          </cell>
          <cell r="BT65">
            <v>1.183238987223264</v>
          </cell>
          <cell r="BW65">
            <v>0.39162790697674421</v>
          </cell>
          <cell r="BY65">
            <v>0.38464160413023252</v>
          </cell>
          <cell r="CA65">
            <v>0.41037806046511638</v>
          </cell>
          <cell r="CC65">
            <v>0.42431803743255819</v>
          </cell>
          <cell r="CE65">
            <v>1.6109656090046514</v>
          </cell>
        </row>
      </sheetData>
      <sheetData sheetId="6" refreshError="1"/>
      <sheetData sheetId="7" refreshError="1">
        <row r="1">
          <cell r="B1" t="str">
            <v>Genentech Annual Income Statement</v>
          </cell>
          <cell r="AB1" t="str">
            <v>ElementName</v>
          </cell>
          <cell r="AC1" t="str">
            <v>ScaleOverride</v>
          </cell>
          <cell r="AD1" t="str">
            <v>UnitOverride</v>
          </cell>
          <cell r="AE1" t="str">
            <v>ReverseSign</v>
          </cell>
          <cell r="AF1" t="str">
            <v>IsDrivingAssumption</v>
          </cell>
          <cell r="AG1" t="str">
            <v>SegmentID</v>
          </cell>
        </row>
        <row r="2">
          <cell r="B2" t="str">
            <v>(Dollars in thousands except per-share data)</v>
          </cell>
        </row>
        <row r="3">
          <cell r="C3" t="str">
            <v>1999</v>
          </cell>
          <cell r="D3" t="str">
            <v>2000</v>
          </cell>
          <cell r="E3" t="str">
            <v>2001A</v>
          </cell>
          <cell r="F3" t="str">
            <v>2002A</v>
          </cell>
          <cell r="H3" t="str">
            <v>2003A</v>
          </cell>
          <cell r="I3" t="str">
            <v>% chg</v>
          </cell>
          <cell r="J3" t="str">
            <v>2004A</v>
          </cell>
          <cell r="K3" t="str">
            <v>% chg</v>
          </cell>
          <cell r="L3" t="str">
            <v>2005A</v>
          </cell>
          <cell r="M3" t="str">
            <v>% chg</v>
          </cell>
          <cell r="N3" t="str">
            <v>2006E</v>
          </cell>
          <cell r="O3" t="str">
            <v>% chg</v>
          </cell>
          <cell r="P3" t="str">
            <v>2007E</v>
          </cell>
          <cell r="Q3" t="str">
            <v>% chg</v>
          </cell>
          <cell r="R3" t="str">
            <v>2008E</v>
          </cell>
          <cell r="S3" t="str">
            <v>% chg</v>
          </cell>
          <cell r="T3" t="str">
            <v>2009E</v>
          </cell>
          <cell r="U3" t="str">
            <v>% chg</v>
          </cell>
          <cell r="V3" t="str">
            <v>2010E</v>
          </cell>
          <cell r="W3" t="str">
            <v>% chg</v>
          </cell>
        </row>
        <row r="4">
          <cell r="B4" t="str">
            <v>Rituxan - US</v>
          </cell>
          <cell r="C4">
            <v>262.7</v>
          </cell>
          <cell r="D4">
            <v>424.2</v>
          </cell>
          <cell r="E4">
            <v>779</v>
          </cell>
          <cell r="F4">
            <v>1080.2</v>
          </cell>
          <cell r="H4">
            <v>1360.2</v>
          </cell>
          <cell r="I4">
            <v>0.25921125717459725</v>
          </cell>
          <cell r="J4">
            <v>1574</v>
          </cell>
          <cell r="K4">
            <v>0.15718276724011182</v>
          </cell>
          <cell r="L4">
            <v>1831.481</v>
          </cell>
          <cell r="M4">
            <v>0.1635838627700128</v>
          </cell>
          <cell r="N4">
            <v>2097</v>
          </cell>
          <cell r="O4">
            <v>0.14497502294591103</v>
          </cell>
          <cell r="P4">
            <v>2430.2807564833265</v>
          </cell>
          <cell r="Q4">
            <v>0.15893216808933075</v>
          </cell>
          <cell r="R4">
            <v>2695.0166005063993</v>
          </cell>
          <cell r="S4">
            <v>0.10893220600822762</v>
          </cell>
          <cell r="T4">
            <v>2950.119381396431</v>
          </cell>
          <cell r="U4">
            <v>9.465722060565307E-2</v>
          </cell>
          <cell r="V4">
            <v>3220</v>
          </cell>
          <cell r="W4">
            <v>9.1481253370777837E-2</v>
          </cell>
        </row>
        <row r="5">
          <cell r="B5" t="str">
            <v>Rituxan - Ex-US</v>
          </cell>
          <cell r="F5">
            <v>449.90000000000015</v>
          </cell>
          <cell r="H5">
            <v>649.59999999999991</v>
          </cell>
          <cell r="I5">
            <v>0.44387641698155078</v>
          </cell>
          <cell r="J5">
            <v>1149</v>
          </cell>
          <cell r="K5">
            <v>0.76878078817734008</v>
          </cell>
          <cell r="L5">
            <v>1411</v>
          </cell>
          <cell r="M5">
            <v>0.22802436901653622</v>
          </cell>
          <cell r="N5">
            <v>1865</v>
          </cell>
          <cell r="O5">
            <v>0.15</v>
          </cell>
          <cell r="P5">
            <v>2144.75</v>
          </cell>
          <cell r="Q5">
            <v>0.15</v>
          </cell>
          <cell r="R5">
            <v>2316.33</v>
          </cell>
          <cell r="S5">
            <v>0.08</v>
          </cell>
          <cell r="T5">
            <v>2478.4731000000002</v>
          </cell>
          <cell r="U5">
            <v>7.0000000000000007E-2</v>
          </cell>
          <cell r="V5">
            <v>2627.1814860000004</v>
          </cell>
          <cell r="W5">
            <v>0.06</v>
          </cell>
        </row>
        <row r="6">
          <cell r="B6" t="str">
            <v xml:space="preserve">Rituxan - Transfer to Roche </v>
          </cell>
          <cell r="C6">
            <v>16.7</v>
          </cell>
          <cell r="D6">
            <v>19.899999999999999</v>
          </cell>
          <cell r="E6">
            <v>39.6</v>
          </cell>
          <cell r="F6">
            <v>82.7</v>
          </cell>
          <cell r="H6">
            <v>128.9</v>
          </cell>
          <cell r="I6">
            <v>0.55864570737605801</v>
          </cell>
          <cell r="J6">
            <v>137.19999999999999</v>
          </cell>
          <cell r="K6">
            <v>6.4391000775795071E-2</v>
          </cell>
          <cell r="L6">
            <v>157.94999999999999</v>
          </cell>
          <cell r="M6">
            <v>0.12</v>
          </cell>
          <cell r="N6">
            <v>260</v>
          </cell>
          <cell r="O6">
            <v>0.12</v>
          </cell>
          <cell r="P6">
            <v>280.8</v>
          </cell>
          <cell r="Q6">
            <v>0.08</v>
          </cell>
          <cell r="R6">
            <v>238.68</v>
          </cell>
          <cell r="S6">
            <v>-0.15</v>
          </cell>
          <cell r="T6">
            <v>159.91559999999998</v>
          </cell>
          <cell r="U6">
            <v>-0.33</v>
          </cell>
          <cell r="V6">
            <v>79.957799999999992</v>
          </cell>
          <cell r="W6">
            <v>-0.5</v>
          </cell>
        </row>
        <row r="7">
          <cell r="B7" t="str">
            <v>Rituxan - US &amp; Sales to Roche</v>
          </cell>
          <cell r="C7">
            <v>279.39999999999998</v>
          </cell>
          <cell r="D7">
            <v>444.09999999999997</v>
          </cell>
          <cell r="E7">
            <v>818.6</v>
          </cell>
          <cell r="F7">
            <v>1162.9000000000001</v>
          </cell>
          <cell r="H7">
            <v>1489.1000000000001</v>
          </cell>
          <cell r="I7">
            <v>0.28050563247054772</v>
          </cell>
          <cell r="J7">
            <v>1711.2</v>
          </cell>
          <cell r="K7">
            <v>0.14915049358673027</v>
          </cell>
          <cell r="L7">
            <v>1989.431</v>
          </cell>
          <cell r="M7">
            <v>0.16259408602150538</v>
          </cell>
          <cell r="N7">
            <v>2357</v>
          </cell>
          <cell r="O7">
            <v>0.18476086881123299</v>
          </cell>
          <cell r="P7">
            <v>2711.0807564833267</v>
          </cell>
          <cell r="Q7">
            <v>0.15022518306462729</v>
          </cell>
          <cell r="R7">
            <v>2933.6966005063991</v>
          </cell>
          <cell r="S7">
            <v>8.2113320855789595E-2</v>
          </cell>
          <cell r="T7">
            <v>3110.0349813964308</v>
          </cell>
          <cell r="U7">
            <v>6.0107913292599235E-2</v>
          </cell>
          <cell r="V7">
            <v>3299.9578000000001</v>
          </cell>
          <cell r="W7">
            <v>6.1067743526888707E-2</v>
          </cell>
        </row>
        <row r="8">
          <cell r="B8" t="str">
            <v>Avastin - US</v>
          </cell>
          <cell r="E8">
            <v>0</v>
          </cell>
          <cell r="F8">
            <v>0</v>
          </cell>
          <cell r="H8">
            <v>0</v>
          </cell>
          <cell r="J8">
            <v>552.34</v>
          </cell>
          <cell r="K8" t="str">
            <v>NM</v>
          </cell>
          <cell r="L8">
            <v>1132.721</v>
          </cell>
          <cell r="M8">
            <v>1.0507676431183688</v>
          </cell>
          <cell r="N8">
            <v>1876</v>
          </cell>
          <cell r="O8">
            <v>0.6561889467927231</v>
          </cell>
          <cell r="P8">
            <v>2817.9611602894643</v>
          </cell>
          <cell r="Q8">
            <v>0.50211149269161215</v>
          </cell>
          <cell r="R8">
            <v>3802.1294573955038</v>
          </cell>
          <cell r="S8">
            <v>0.34924835408481814</v>
          </cell>
          <cell r="T8">
            <v>4624.6783247655285</v>
          </cell>
          <cell r="U8">
            <v>0.21633899544637769</v>
          </cell>
          <cell r="V8">
            <v>5307.1770570587933</v>
          </cell>
          <cell r="W8">
            <v>0.14757755769486258</v>
          </cell>
        </row>
        <row r="9">
          <cell r="B9" t="str">
            <v>Avastin - Ex-US</v>
          </cell>
          <cell r="F9">
            <v>0</v>
          </cell>
          <cell r="H9">
            <v>0</v>
          </cell>
          <cell r="J9">
            <v>10</v>
          </cell>
          <cell r="K9" t="str">
            <v>NM</v>
          </cell>
          <cell r="L9">
            <v>200</v>
          </cell>
          <cell r="M9" t="str">
            <v>NM</v>
          </cell>
          <cell r="N9">
            <v>565</v>
          </cell>
          <cell r="O9">
            <v>1.8250000000000002</v>
          </cell>
          <cell r="P9">
            <v>1000</v>
          </cell>
          <cell r="Q9">
            <v>0.76991150442477885</v>
          </cell>
          <cell r="R9">
            <v>1850</v>
          </cell>
          <cell r="S9">
            <v>0.85000000000000009</v>
          </cell>
          <cell r="T9">
            <v>2500</v>
          </cell>
          <cell r="U9">
            <v>0.35135135135135132</v>
          </cell>
          <cell r="V9">
            <v>2900</v>
          </cell>
          <cell r="W9">
            <v>0.15999999999999992</v>
          </cell>
        </row>
        <row r="10">
          <cell r="B10" t="str">
            <v xml:space="preserve">Avastin - Transfer to Roche </v>
          </cell>
          <cell r="J10">
            <v>2.16</v>
          </cell>
          <cell r="K10" t="str">
            <v>NM</v>
          </cell>
          <cell r="L10">
            <v>84.031999999999996</v>
          </cell>
          <cell r="M10" t="str">
            <v>NM</v>
          </cell>
          <cell r="N10">
            <v>117.35999999999999</v>
          </cell>
          <cell r="O10">
            <v>0.3966108149276466</v>
          </cell>
          <cell r="P10">
            <v>108</v>
          </cell>
          <cell r="Q10">
            <v>-7.9754601226993738E-2</v>
          </cell>
          <cell r="R10">
            <v>79.92</v>
          </cell>
          <cell r="S10">
            <v>-0.26</v>
          </cell>
          <cell r="T10">
            <v>54</v>
          </cell>
          <cell r="U10">
            <v>-0.32432432432432434</v>
          </cell>
          <cell r="V10">
            <v>31.32</v>
          </cell>
          <cell r="W10">
            <v>-0.42000000000000004</v>
          </cell>
        </row>
        <row r="11">
          <cell r="B11" t="str">
            <v>Avastin -  US &amp; Sales to Roche</v>
          </cell>
          <cell r="F11">
            <v>0</v>
          </cell>
          <cell r="H11">
            <v>0</v>
          </cell>
          <cell r="I11" t="str">
            <v>NM</v>
          </cell>
          <cell r="J11">
            <v>554.5</v>
          </cell>
          <cell r="K11" t="str">
            <v>NM</v>
          </cell>
          <cell r="L11">
            <v>1216.7529999999999</v>
          </cell>
          <cell r="M11" t="str">
            <v>NM</v>
          </cell>
          <cell r="N11">
            <v>1993.36</v>
          </cell>
          <cell r="O11">
            <v>0.63826183292747163</v>
          </cell>
          <cell r="P11">
            <v>2925.9611602894643</v>
          </cell>
          <cell r="Q11">
            <v>0.46785385494314347</v>
          </cell>
          <cell r="R11">
            <v>3882.0494573955039</v>
          </cell>
          <cell r="S11">
            <v>0.32676041981755288</v>
          </cell>
          <cell r="T11">
            <v>4678.6783247655285</v>
          </cell>
          <cell r="U11">
            <v>0.20520832516762644</v>
          </cell>
          <cell r="V11">
            <v>5338.497057058793</v>
          </cell>
          <cell r="W11">
            <v>0.14102673586270353</v>
          </cell>
        </row>
        <row r="12">
          <cell r="B12" t="str">
            <v>Herceptin - US</v>
          </cell>
          <cell r="C12">
            <v>183.7</v>
          </cell>
          <cell r="D12">
            <v>249.7</v>
          </cell>
          <cell r="E12">
            <v>315.39999999999998</v>
          </cell>
          <cell r="F12">
            <v>344.9</v>
          </cell>
          <cell r="H12">
            <v>406</v>
          </cell>
          <cell r="I12">
            <v>0.17715279791243854</v>
          </cell>
          <cell r="J12">
            <v>466.4</v>
          </cell>
          <cell r="K12">
            <v>0.14876847290640383</v>
          </cell>
          <cell r="L12">
            <v>747.24699999999996</v>
          </cell>
          <cell r="M12">
            <v>0.60215909090909081</v>
          </cell>
          <cell r="N12">
            <v>1375</v>
          </cell>
          <cell r="O12">
            <v>0.84008768185084737</v>
          </cell>
          <cell r="P12">
            <v>1566.9607618585742</v>
          </cell>
          <cell r="Q12">
            <v>0.13960782680623574</v>
          </cell>
          <cell r="R12">
            <v>1676.8953104490511</v>
          </cell>
          <cell r="S12">
            <v>7.0157818412812878E-2</v>
          </cell>
          <cell r="T12">
            <v>1772.633441089682</v>
          </cell>
          <cell r="U12">
            <v>5.7092491131717438E-2</v>
          </cell>
          <cell r="V12">
            <v>1873.880898727371</v>
          </cell>
          <cell r="W12">
            <v>5.7116973701821561E-2</v>
          </cell>
        </row>
        <row r="13">
          <cell r="B13" t="str">
            <v>Herceptin - Ex-US</v>
          </cell>
          <cell r="F13">
            <v>315.84000000000003</v>
          </cell>
          <cell r="H13">
            <v>445.79999999999995</v>
          </cell>
          <cell r="I13">
            <v>0.41147416413373827</v>
          </cell>
          <cell r="J13">
            <v>590.14</v>
          </cell>
          <cell r="K13">
            <v>0.32377747868999562</v>
          </cell>
          <cell r="L13">
            <v>948</v>
          </cell>
          <cell r="M13">
            <v>0.60639848171620292</v>
          </cell>
          <cell r="N13">
            <v>1175</v>
          </cell>
          <cell r="O13">
            <v>0.2</v>
          </cell>
          <cell r="P13">
            <v>1468.75</v>
          </cell>
          <cell r="Q13">
            <v>0.25</v>
          </cell>
          <cell r="R13">
            <v>1586.25</v>
          </cell>
          <cell r="S13">
            <v>0.08</v>
          </cell>
          <cell r="T13">
            <v>1665.5625</v>
          </cell>
          <cell r="U13">
            <v>0.05</v>
          </cell>
          <cell r="V13">
            <v>1732.1849999999999</v>
          </cell>
          <cell r="W13">
            <v>0.04</v>
          </cell>
        </row>
        <row r="14">
          <cell r="B14" t="str">
            <v xml:space="preserve">Herceptin - Transfer to Roche </v>
          </cell>
          <cell r="C14">
            <v>4.7</v>
          </cell>
          <cell r="D14">
            <v>26.3</v>
          </cell>
          <cell r="E14">
            <v>31.3</v>
          </cell>
          <cell r="F14">
            <v>40.299999999999997</v>
          </cell>
          <cell r="H14">
            <v>18.8</v>
          </cell>
          <cell r="I14">
            <v>-0.53349875930521085</v>
          </cell>
          <cell r="J14">
            <v>15.875</v>
          </cell>
          <cell r="K14">
            <v>-0.15558510638297873</v>
          </cell>
          <cell r="L14">
            <v>16.621000000000002</v>
          </cell>
          <cell r="M14">
            <v>4.6992125984252064E-2</v>
          </cell>
          <cell r="N14">
            <v>5</v>
          </cell>
          <cell r="P14">
            <v>14.6875</v>
          </cell>
          <cell r="R14">
            <v>0</v>
          </cell>
          <cell r="T14">
            <v>0</v>
          </cell>
          <cell r="V14">
            <v>0</v>
          </cell>
        </row>
        <row r="15">
          <cell r="B15" t="str">
            <v>Herceptin- US &amp; Sales to Roche</v>
          </cell>
          <cell r="C15">
            <v>188.39999999999998</v>
          </cell>
          <cell r="D15">
            <v>276</v>
          </cell>
          <cell r="E15">
            <v>346.7</v>
          </cell>
          <cell r="F15">
            <v>385.2</v>
          </cell>
          <cell r="H15">
            <v>424.8</v>
          </cell>
          <cell r="I15">
            <v>0.10280373831775713</v>
          </cell>
          <cell r="J15">
            <v>482.27499999999998</v>
          </cell>
          <cell r="K15">
            <v>0.13529896421845566</v>
          </cell>
          <cell r="L15">
            <v>763.86799999999994</v>
          </cell>
          <cell r="M15">
            <v>0.58388471307863776</v>
          </cell>
          <cell r="N15">
            <v>1380</v>
          </cell>
          <cell r="O15">
            <v>0.8065948567029908</v>
          </cell>
          <cell r="P15">
            <v>1581.6482618585742</v>
          </cell>
          <cell r="Q15">
            <v>0.14612192888302467</v>
          </cell>
          <cell r="R15">
            <v>1676.8953104490511</v>
          </cell>
          <cell r="S15">
            <v>6.0220120293088097E-2</v>
          </cell>
          <cell r="T15">
            <v>1772.633441089682</v>
          </cell>
          <cell r="U15">
            <v>5.7092491131717438E-2</v>
          </cell>
          <cell r="V15">
            <v>1873.880898727371</v>
          </cell>
          <cell r="W15">
            <v>5.7116973701821561E-2</v>
          </cell>
        </row>
        <row r="16">
          <cell r="B16" t="str">
            <v>Xolair - US &amp; Sales to Novartis</v>
          </cell>
          <cell r="E16">
            <v>0</v>
          </cell>
          <cell r="F16">
            <v>0</v>
          </cell>
          <cell r="H16">
            <v>25.3</v>
          </cell>
          <cell r="I16" t="str">
            <v>NM</v>
          </cell>
          <cell r="J16">
            <v>188.5</v>
          </cell>
          <cell r="K16" t="str">
            <v>NM</v>
          </cell>
          <cell r="L16">
            <v>323.79700000000003</v>
          </cell>
          <cell r="M16">
            <v>0.71775596816976139</v>
          </cell>
          <cell r="N16">
            <v>423</v>
          </cell>
          <cell r="O16">
            <v>0.30637405534949358</v>
          </cell>
          <cell r="P16">
            <v>496.67639851943272</v>
          </cell>
          <cell r="Q16">
            <v>0.17417588302466358</v>
          </cell>
          <cell r="R16">
            <v>549.18117450569844</v>
          </cell>
          <cell r="S16">
            <v>0.10571224270527013</v>
          </cell>
          <cell r="T16">
            <v>609.0179751523707</v>
          </cell>
          <cell r="U16">
            <v>0.10895639440031712</v>
          </cell>
          <cell r="V16">
            <v>656.42413544863268</v>
          </cell>
          <cell r="W16">
            <v>7.7840330220797505E-2</v>
          </cell>
        </row>
        <row r="17">
          <cell r="B17" t="str">
            <v>Raptiva -US &amp; Sales to Serono</v>
          </cell>
          <cell r="E17">
            <v>0</v>
          </cell>
          <cell r="F17">
            <v>0</v>
          </cell>
          <cell r="H17">
            <v>1.4</v>
          </cell>
          <cell r="I17" t="str">
            <v>NM</v>
          </cell>
          <cell r="J17">
            <v>56.300000000000004</v>
          </cell>
          <cell r="K17" t="str">
            <v>NM</v>
          </cell>
          <cell r="L17">
            <v>86.754999999999995</v>
          </cell>
          <cell r="M17">
            <v>0.54094138543516856</v>
          </cell>
          <cell r="N17">
            <v>93</v>
          </cell>
          <cell r="O17">
            <v>7.1984323670105432E-2</v>
          </cell>
          <cell r="P17">
            <v>114.74883545485645</v>
          </cell>
          <cell r="Q17">
            <v>0.23385844575114456</v>
          </cell>
          <cell r="R17">
            <v>111.02507700089812</v>
          </cell>
          <cell r="S17">
            <v>-3.2451383399209277E-2</v>
          </cell>
          <cell r="T17">
            <v>116.64294589714356</v>
          </cell>
          <cell r="U17">
            <v>5.0599999999999978E-2</v>
          </cell>
          <cell r="V17">
            <v>122.54507895953904</v>
          </cell>
          <cell r="W17">
            <v>5.06000000000002E-2</v>
          </cell>
        </row>
        <row r="18">
          <cell r="B18" t="str">
            <v>Tarceva -US</v>
          </cell>
          <cell r="E18">
            <v>0</v>
          </cell>
          <cell r="F18">
            <v>0</v>
          </cell>
          <cell r="H18">
            <v>0</v>
          </cell>
          <cell r="I18" t="str">
            <v>NM</v>
          </cell>
          <cell r="J18">
            <v>13.3</v>
          </cell>
          <cell r="K18" t="str">
            <v>NM</v>
          </cell>
          <cell r="L18">
            <v>274.89600000000002</v>
          </cell>
          <cell r="M18" t="str">
            <v>NM</v>
          </cell>
          <cell r="N18">
            <v>424</v>
          </cell>
          <cell r="O18">
            <v>0.54240149001804316</v>
          </cell>
          <cell r="P18">
            <v>557.72266843795683</v>
          </cell>
          <cell r="Q18">
            <v>0.31538365197631335</v>
          </cell>
          <cell r="R18">
            <v>627.16500409829609</v>
          </cell>
          <cell r="S18">
            <v>0.12451051318181139</v>
          </cell>
          <cell r="T18">
            <v>709.46249058838214</v>
          </cell>
          <cell r="U18">
            <v>0.13122142650227886</v>
          </cell>
          <cell r="V18">
            <v>774.76330842001289</v>
          </cell>
          <cell r="W18">
            <v>9.2042664267528052E-2</v>
          </cell>
        </row>
        <row r="19">
          <cell r="B19" t="str">
            <v>Lucentis - US</v>
          </cell>
          <cell r="E19">
            <v>0</v>
          </cell>
          <cell r="F19">
            <v>0</v>
          </cell>
          <cell r="H19">
            <v>0</v>
          </cell>
          <cell r="I19" t="str">
            <v>NM</v>
          </cell>
          <cell r="J19">
            <v>0</v>
          </cell>
          <cell r="K19" t="str">
            <v>NM</v>
          </cell>
          <cell r="L19">
            <v>0</v>
          </cell>
          <cell r="M19" t="str">
            <v>NM</v>
          </cell>
          <cell r="N19">
            <v>135</v>
          </cell>
          <cell r="O19" t="str">
            <v>NM</v>
          </cell>
          <cell r="P19">
            <v>450</v>
          </cell>
          <cell r="Q19">
            <v>2.3333333333333335</v>
          </cell>
          <cell r="R19">
            <v>550</v>
          </cell>
          <cell r="S19">
            <v>0.22222222222222232</v>
          </cell>
          <cell r="T19">
            <v>600</v>
          </cell>
          <cell r="U19">
            <v>9.0909090909090828E-2</v>
          </cell>
          <cell r="V19">
            <v>650</v>
          </cell>
          <cell r="W19">
            <v>8.3333333333333259E-2</v>
          </cell>
        </row>
        <row r="20">
          <cell r="B20" t="str">
            <v>Lucentis - Ex-US</v>
          </cell>
          <cell r="F20">
            <v>0</v>
          </cell>
          <cell r="H20">
            <v>0</v>
          </cell>
          <cell r="I20" t="str">
            <v>NM</v>
          </cell>
          <cell r="J20">
            <v>0</v>
          </cell>
          <cell r="K20" t="str">
            <v>NM</v>
          </cell>
          <cell r="L20">
            <v>0</v>
          </cell>
          <cell r="M20" t="str">
            <v>NM</v>
          </cell>
          <cell r="N20">
            <v>0</v>
          </cell>
          <cell r="O20" t="str">
            <v>NM</v>
          </cell>
          <cell r="P20">
            <v>100</v>
          </cell>
          <cell r="Q20" t="str">
            <v>NM</v>
          </cell>
          <cell r="R20">
            <v>300</v>
          </cell>
          <cell r="S20">
            <v>2</v>
          </cell>
          <cell r="T20">
            <v>450</v>
          </cell>
          <cell r="U20">
            <v>0.5</v>
          </cell>
          <cell r="V20">
            <v>550</v>
          </cell>
          <cell r="W20">
            <v>0.22222222222222232</v>
          </cell>
        </row>
        <row r="21">
          <cell r="B21" t="str">
            <v>Growth Hormone Products</v>
          </cell>
          <cell r="C21">
            <v>221.20000000099998</v>
          </cell>
          <cell r="D21">
            <v>226.6</v>
          </cell>
          <cell r="E21">
            <v>250.229999999</v>
          </cell>
          <cell r="F21">
            <v>297.2</v>
          </cell>
          <cell r="H21">
            <v>321.89999999999998</v>
          </cell>
          <cell r="I21">
            <v>8.3109017496635129E-2</v>
          </cell>
          <cell r="J21">
            <v>353.6</v>
          </cell>
          <cell r="K21">
            <v>9.8477788132960598E-2</v>
          </cell>
          <cell r="L21">
            <v>372.68</v>
          </cell>
          <cell r="M21">
            <v>0.05</v>
          </cell>
          <cell r="N21">
            <v>378</v>
          </cell>
          <cell r="O21">
            <v>0.03</v>
          </cell>
          <cell r="P21">
            <v>378</v>
          </cell>
          <cell r="Q21">
            <v>0</v>
          </cell>
          <cell r="R21">
            <v>366.65999999999997</v>
          </cell>
          <cell r="S21">
            <v>-0.03</v>
          </cell>
          <cell r="T21">
            <v>348.32699999999994</v>
          </cell>
          <cell r="U21">
            <v>-0.05</v>
          </cell>
          <cell r="V21">
            <v>330.91064999999992</v>
          </cell>
          <cell r="W21">
            <v>-0.05</v>
          </cell>
        </row>
        <row r="22">
          <cell r="B22" t="str">
            <v>Thrombolytics</v>
          </cell>
          <cell r="C22">
            <v>236.00000000099999</v>
          </cell>
          <cell r="D22">
            <v>206.2</v>
          </cell>
          <cell r="E22">
            <v>197.10559324899998</v>
          </cell>
          <cell r="F22">
            <v>180.2</v>
          </cell>
          <cell r="H22">
            <v>185.2</v>
          </cell>
          <cell r="I22">
            <v>2.7746947835738167E-2</v>
          </cell>
          <cell r="J22">
            <v>200</v>
          </cell>
          <cell r="K22">
            <v>7.9913606911447221E-2</v>
          </cell>
          <cell r="L22">
            <v>221.46200000000002</v>
          </cell>
          <cell r="M22">
            <v>0.01</v>
          </cell>
          <cell r="N22">
            <v>239</v>
          </cell>
          <cell r="O22">
            <v>0.01</v>
          </cell>
          <cell r="P22">
            <v>241.39000000000001</v>
          </cell>
          <cell r="Q22">
            <v>0.01</v>
          </cell>
          <cell r="R22">
            <v>243.80390000000003</v>
          </cell>
          <cell r="S22">
            <v>0.01</v>
          </cell>
          <cell r="T22">
            <v>246.24193900000003</v>
          </cell>
          <cell r="U22">
            <v>0.01</v>
          </cell>
          <cell r="V22">
            <v>248.70435839000004</v>
          </cell>
          <cell r="W22">
            <v>0.01</v>
          </cell>
        </row>
        <row r="23">
          <cell r="B23" t="str">
            <v>Pulmozyme</v>
          </cell>
          <cell r="C23">
            <v>111.399999998</v>
          </cell>
          <cell r="D23">
            <v>121.80000000099999</v>
          </cell>
          <cell r="E23">
            <v>122.87749999900001</v>
          </cell>
          <cell r="F23">
            <v>138.1</v>
          </cell>
          <cell r="H23">
            <v>167.2</v>
          </cell>
          <cell r="I23">
            <v>0.21071687183200583</v>
          </cell>
          <cell r="J23">
            <v>177.70000000000002</v>
          </cell>
          <cell r="K23">
            <v>6.2799043062201187E-2</v>
          </cell>
          <cell r="L23">
            <v>194.24699999999999</v>
          </cell>
          <cell r="M23">
            <v>0.05</v>
          </cell>
          <cell r="N23">
            <v>205</v>
          </cell>
          <cell r="O23">
            <v>0.04</v>
          </cell>
          <cell r="P23">
            <v>211.15</v>
          </cell>
          <cell r="Q23">
            <v>0.03</v>
          </cell>
          <cell r="R23">
            <v>215.37300000000002</v>
          </cell>
          <cell r="S23">
            <v>0.02</v>
          </cell>
          <cell r="T23">
            <v>219.68046000000001</v>
          </cell>
          <cell r="U23">
            <v>0.02</v>
          </cell>
          <cell r="V23">
            <v>224.07406920000003</v>
          </cell>
          <cell r="W23">
            <v>0.02</v>
          </cell>
        </row>
        <row r="24">
          <cell r="B24" t="str">
            <v>Actimmune</v>
          </cell>
          <cell r="C24">
            <v>2.7</v>
          </cell>
          <cell r="D24">
            <v>3.7</v>
          </cell>
          <cell r="E24">
            <v>6.9</v>
          </cell>
          <cell r="F24">
            <v>0</v>
          </cell>
          <cell r="H24">
            <v>0</v>
          </cell>
          <cell r="I24" t="str">
            <v>NM</v>
          </cell>
          <cell r="J24">
            <v>0</v>
          </cell>
          <cell r="K24" t="str">
            <v>NM</v>
          </cell>
          <cell r="L24">
            <v>0</v>
          </cell>
          <cell r="N24">
            <v>0</v>
          </cell>
          <cell r="P24">
            <v>0</v>
          </cell>
          <cell r="R24">
            <v>0</v>
          </cell>
          <cell r="T24">
            <v>0</v>
          </cell>
          <cell r="V24">
            <v>0</v>
          </cell>
        </row>
        <row r="25">
          <cell r="B25" t="str">
            <v>Other</v>
          </cell>
          <cell r="E25">
            <v>0</v>
          </cell>
          <cell r="F25">
            <v>0</v>
          </cell>
          <cell r="H25">
            <v>6.622000000000094</v>
          </cell>
          <cell r="J25">
            <v>10.6</v>
          </cell>
          <cell r="K25" t="str">
            <v>NM</v>
          </cell>
          <cell r="L25">
            <v>44.195999999999998</v>
          </cell>
          <cell r="M25">
            <v>0</v>
          </cell>
          <cell r="N25">
            <v>20</v>
          </cell>
          <cell r="O25">
            <v>0</v>
          </cell>
          <cell r="P25">
            <v>20</v>
          </cell>
          <cell r="Q25">
            <v>0</v>
          </cell>
          <cell r="R25">
            <v>0</v>
          </cell>
          <cell r="S25">
            <v>0</v>
          </cell>
          <cell r="T25">
            <v>50</v>
          </cell>
          <cell r="U25">
            <v>0</v>
          </cell>
          <cell r="V25">
            <v>100</v>
          </cell>
          <cell r="W25">
            <v>0</v>
          </cell>
        </row>
        <row r="26">
          <cell r="B26" t="str">
            <v>Total Product Sales</v>
          </cell>
          <cell r="C26">
            <v>1039.1000000000001</v>
          </cell>
          <cell r="D26">
            <v>1278.4000000009999</v>
          </cell>
          <cell r="E26">
            <v>1742.8969999999999</v>
          </cell>
          <cell r="F26">
            <v>2163.6285596696475</v>
          </cell>
          <cell r="H26">
            <v>2621.5219999999999</v>
          </cell>
          <cell r="I26">
            <v>0.21163218533234085</v>
          </cell>
          <cell r="J26">
            <v>3748.9</v>
          </cell>
          <cell r="K26">
            <v>0.43004712529591593</v>
          </cell>
          <cell r="L26">
            <v>5488.0850000000009</v>
          </cell>
          <cell r="M26">
            <v>0.46391874949985357</v>
          </cell>
          <cell r="N26">
            <v>7647.36</v>
          </cell>
          <cell r="O26">
            <v>0.39344780556423564</v>
          </cell>
          <cell r="P26">
            <v>9688.378081043611</v>
          </cell>
          <cell r="Q26">
            <v>0.26689185301118434</v>
          </cell>
          <cell r="R26">
            <v>11155.849523955847</v>
          </cell>
          <cell r="S26">
            <v>0.15146719405836429</v>
          </cell>
          <cell r="T26">
            <v>12460.719557889535</v>
          </cell>
          <cell r="U26">
            <v>0.11696733907459378</v>
          </cell>
          <cell r="V26">
            <v>13619.757356204351</v>
          </cell>
          <cell r="W26">
            <v>9.3015318491857624E-2</v>
          </cell>
        </row>
        <row r="27">
          <cell r="B27" t="str">
            <v>Royalties</v>
          </cell>
          <cell r="C27">
            <v>189.27</v>
          </cell>
          <cell r="D27">
            <v>207.24100000000001</v>
          </cell>
          <cell r="E27">
            <v>264.47500000000002</v>
          </cell>
          <cell r="F27">
            <v>365.55</v>
          </cell>
          <cell r="H27">
            <v>500.86800000000005</v>
          </cell>
          <cell r="I27">
            <v>0.37017644645055414</v>
          </cell>
          <cell r="J27">
            <v>641.1</v>
          </cell>
          <cell r="K27">
            <v>0.27997795826445282</v>
          </cell>
          <cell r="L27">
            <v>935.09699999999998</v>
          </cell>
          <cell r="M27">
            <v>0.45858212447356106</v>
          </cell>
          <cell r="N27">
            <v>1258</v>
          </cell>
          <cell r="O27">
            <v>0.34531497801832334</v>
          </cell>
          <cell r="P27">
            <v>1354.247040639616</v>
          </cell>
          <cell r="Q27">
            <v>7.6507981430537386E-2</v>
          </cell>
          <cell r="R27">
            <v>1688.1867871459806</v>
          </cell>
          <cell r="S27">
            <v>0.24658702325732507</v>
          </cell>
          <cell r="T27">
            <v>1891.1844200255673</v>
          </cell>
          <cell r="U27">
            <v>0.12024595526113013</v>
          </cell>
          <cell r="V27">
            <v>1947.6307931733611</v>
          </cell>
          <cell r="W27">
            <v>2.9847101398514431E-2</v>
          </cell>
        </row>
        <row r="28">
          <cell r="B28" t="str">
            <v>Contract and Other</v>
          </cell>
          <cell r="C28">
            <v>83.242000000000004</v>
          </cell>
          <cell r="D28">
            <v>151.72999999999999</v>
          </cell>
          <cell r="E28">
            <v>36.659999999999997</v>
          </cell>
          <cell r="F28">
            <v>54.442999999999998</v>
          </cell>
          <cell r="H28">
            <v>177.87299999999999</v>
          </cell>
          <cell r="I28">
            <v>2.2671417813125654</v>
          </cell>
          <cell r="J28">
            <v>231.2</v>
          </cell>
          <cell r="K28">
            <v>0.29980379259359213</v>
          </cell>
          <cell r="L28">
            <v>210.24099999999999</v>
          </cell>
          <cell r="M28">
            <v>-9.0653114186851236E-2</v>
          </cell>
          <cell r="N28">
            <v>215</v>
          </cell>
          <cell r="O28">
            <v>0.12</v>
          </cell>
          <cell r="P28">
            <v>236.50000000000003</v>
          </cell>
          <cell r="Q28">
            <v>0.1</v>
          </cell>
          <cell r="R28">
            <v>260.15000000000003</v>
          </cell>
          <cell r="S28">
            <v>0.1</v>
          </cell>
          <cell r="T28">
            <v>234.13500000000005</v>
          </cell>
          <cell r="U28">
            <v>-0.1</v>
          </cell>
          <cell r="V28">
            <v>210.72150000000005</v>
          </cell>
          <cell r="W28">
            <v>-0.1</v>
          </cell>
        </row>
        <row r="29">
          <cell r="B29" t="str">
            <v>Total Revenues</v>
          </cell>
          <cell r="C29">
            <v>1311.6120000000001</v>
          </cell>
          <cell r="D29">
            <v>1637.3710000009999</v>
          </cell>
          <cell r="E29">
            <v>2044.0319999999999</v>
          </cell>
          <cell r="F29">
            <v>2583.6215596696479</v>
          </cell>
          <cell r="H29">
            <v>3300.2629999999999</v>
          </cell>
          <cell r="I29">
            <v>0.27737864225826647</v>
          </cell>
          <cell r="J29">
            <v>4621.2</v>
          </cell>
          <cell r="K29">
            <v>0.40025204051919494</v>
          </cell>
          <cell r="L29">
            <v>6633.4230000000007</v>
          </cell>
          <cell r="M29">
            <v>0.43543300441443811</v>
          </cell>
          <cell r="N29">
            <v>9120.36</v>
          </cell>
          <cell r="O29">
            <v>0.37491005774846564</v>
          </cell>
          <cell r="P29">
            <v>11279.125121683228</v>
          </cell>
          <cell r="Q29">
            <v>0.23669735862216257</v>
          </cell>
          <cell r="R29">
            <v>13104.186311101828</v>
          </cell>
          <cell r="S29">
            <v>0.16180875464445954</v>
          </cell>
          <cell r="T29">
            <v>14586.038977915103</v>
          </cell>
          <cell r="U29">
            <v>0.11308238692835526</v>
          </cell>
          <cell r="V29">
            <v>15778.109649377711</v>
          </cell>
          <cell r="W29">
            <v>8.1726826129255414E-2</v>
          </cell>
          <cell r="AB29" t="str">
            <v>mstag:revenueNet</v>
          </cell>
          <cell r="AC29">
            <v>6</v>
          </cell>
          <cell r="AD29" t="str">
            <v>ISO4217:USD</v>
          </cell>
          <cell r="AE29" t="b">
            <v>0</v>
          </cell>
          <cell r="AF29" t="b">
            <v>0</v>
          </cell>
        </row>
        <row r="30">
          <cell r="B30" t="str">
            <v>Operating Expenses:</v>
          </cell>
        </row>
        <row r="31">
          <cell r="B31" t="str">
            <v xml:space="preserve">   Cost of Sales</v>
          </cell>
          <cell r="C31">
            <v>192.191</v>
          </cell>
          <cell r="D31">
            <v>272.06799999999998</v>
          </cell>
          <cell r="E31">
            <v>354.44200000000001</v>
          </cell>
          <cell r="F31">
            <v>441.63</v>
          </cell>
          <cell r="H31">
            <v>480.15100000000001</v>
          </cell>
          <cell r="I31">
            <v>8.7224599778094714E-2</v>
          </cell>
          <cell r="J31">
            <v>672.5</v>
          </cell>
          <cell r="K31">
            <v>0.40060106091625336</v>
          </cell>
          <cell r="L31">
            <v>1011.0629999999999</v>
          </cell>
          <cell r="M31">
            <v>0.50343940520446084</v>
          </cell>
          <cell r="N31">
            <v>1222.5376000000001</v>
          </cell>
          <cell r="O31">
            <v>0.20916065566636322</v>
          </cell>
          <cell r="P31">
            <v>1506.7599287814626</v>
          </cell>
          <cell r="Q31">
            <v>0.23248555200385046</v>
          </cell>
          <cell r="R31">
            <v>1619.0699996815897</v>
          </cell>
          <cell r="S31">
            <v>7.453746861383137E-2</v>
          </cell>
          <cell r="T31">
            <v>1702.8029601920346</v>
          </cell>
          <cell r="U31">
            <v>5.1716701888684158E-2</v>
          </cell>
          <cell r="V31">
            <v>1774.5598005138277</v>
          </cell>
          <cell r="W31">
            <v>4.2140424934251186E-2</v>
          </cell>
          <cell r="AB31" t="str">
            <v>mstag:costOfSalesWithDepreciation</v>
          </cell>
          <cell r="AC31">
            <v>6</v>
          </cell>
          <cell r="AD31" t="str">
            <v>ISO4217:USD</v>
          </cell>
          <cell r="AE31" t="b">
            <v>0</v>
          </cell>
          <cell r="AF31" t="b">
            <v>0</v>
          </cell>
        </row>
        <row r="32">
          <cell r="B32" t="str">
            <v xml:space="preserve">   % of Total Product Sales</v>
          </cell>
          <cell r="C32">
            <v>0.18544094944037054</v>
          </cell>
          <cell r="D32">
            <v>0.21343688711052525</v>
          </cell>
          <cell r="E32">
            <v>0.20422894035150643</v>
          </cell>
          <cell r="F32">
            <v>0.20411813643926785</v>
          </cell>
          <cell r="H32">
            <v>0.18315734142227302</v>
          </cell>
          <cell r="J32">
            <v>0.17938595321294246</v>
          </cell>
          <cell r="L32">
            <v>0.18422874281283902</v>
          </cell>
          <cell r="N32">
            <v>0.15986400535609677</v>
          </cell>
          <cell r="P32">
            <v>0.15552241212898224</v>
          </cell>
          <cell r="R32">
            <v>0.1575</v>
          </cell>
          <cell r="T32">
            <v>0.158</v>
          </cell>
          <cell r="V32">
            <v>0.16</v>
          </cell>
        </row>
        <row r="33">
          <cell r="B33" t="str">
            <v xml:space="preserve">   R&amp;D</v>
          </cell>
          <cell r="C33">
            <v>367.29099999999994</v>
          </cell>
          <cell r="D33">
            <v>489.87900000000002</v>
          </cell>
          <cell r="E33">
            <v>526.23</v>
          </cell>
          <cell r="F33">
            <v>623.48199999999997</v>
          </cell>
          <cell r="H33">
            <v>721.96299999999997</v>
          </cell>
          <cell r="I33">
            <v>0.15795323682159235</v>
          </cell>
          <cell r="J33">
            <v>947.5</v>
          </cell>
          <cell r="K33">
            <v>0.3123941254607232</v>
          </cell>
          <cell r="L33">
            <v>1261.8240000000001</v>
          </cell>
          <cell r="M33">
            <v>0.33174036939314</v>
          </cell>
          <cell r="N33">
            <v>1677.1420800000001</v>
          </cell>
          <cell r="O33">
            <v>0.3291410529519172</v>
          </cell>
          <cell r="P33">
            <v>2058.4403347071889</v>
          </cell>
          <cell r="Q33">
            <v>0.22735000168094799</v>
          </cell>
          <cell r="R33">
            <v>2384.9619086205325</v>
          </cell>
          <cell r="S33">
            <v>0.15862571696050209</v>
          </cell>
          <cell r="T33">
            <v>2654.6590939805487</v>
          </cell>
          <cell r="U33">
            <v>0.11308238692835548</v>
          </cell>
          <cell r="V33">
            <v>2871.6159561867435</v>
          </cell>
          <cell r="W33">
            <v>8.1726826129255414E-2</v>
          </cell>
          <cell r="AB33" t="str">
            <v>mstag:researchAndDevelopment</v>
          </cell>
          <cell r="AC33">
            <v>6</v>
          </cell>
          <cell r="AD33" t="str">
            <v>ISO4217:USD</v>
          </cell>
          <cell r="AE33" t="b">
            <v>0</v>
          </cell>
          <cell r="AF33" t="b">
            <v>0</v>
          </cell>
        </row>
        <row r="34">
          <cell r="B34" t="str">
            <v xml:space="preserve">   % of Revenue</v>
          </cell>
          <cell r="C34">
            <v>0.28003022235234193</v>
          </cell>
          <cell r="D34">
            <v>0.29918631757842351</v>
          </cell>
          <cell r="E34">
            <v>0.25744704583881273</v>
          </cell>
          <cell r="F34">
            <v>0.24132094643138094</v>
          </cell>
          <cell r="H34">
            <v>0.21875923221876559</v>
          </cell>
          <cell r="J34">
            <v>0.20503332467757293</v>
          </cell>
          <cell r="L34">
            <v>0.19022215227341902</v>
          </cell>
          <cell r="N34">
            <v>0.18388989908293094</v>
          </cell>
          <cell r="P34">
            <v>0.1825</v>
          </cell>
          <cell r="R34">
            <v>0.182</v>
          </cell>
          <cell r="T34">
            <v>0.182</v>
          </cell>
          <cell r="V34">
            <v>0.182</v>
          </cell>
        </row>
        <row r="35">
          <cell r="B35" t="str">
            <v xml:space="preserve">   SG&amp;A</v>
          </cell>
          <cell r="C35">
            <v>467.94299999999998</v>
          </cell>
          <cell r="D35">
            <v>497.03599999999994</v>
          </cell>
          <cell r="E35">
            <v>446.90600000000001</v>
          </cell>
          <cell r="F35">
            <v>546.27599999999995</v>
          </cell>
          <cell r="H35">
            <v>794.88499999999999</v>
          </cell>
          <cell r="I35">
            <v>0.45509778939583656</v>
          </cell>
          <cell r="J35">
            <v>1088.2</v>
          </cell>
          <cell r="K35">
            <v>0.36900306333620603</v>
          </cell>
          <cell r="L35">
            <v>1435.0319999999999</v>
          </cell>
          <cell r="M35">
            <v>0.31872082337805541</v>
          </cell>
          <cell r="N35">
            <v>1928.0563000000002</v>
          </cell>
          <cell r="O35">
            <v>0.34356327942512799</v>
          </cell>
          <cell r="P35">
            <v>2114.835960315605</v>
          </cell>
          <cell r="Q35">
            <v>9.6874588317573895E-2</v>
          </cell>
          <cell r="R35">
            <v>2293.2326044428196</v>
          </cell>
          <cell r="S35">
            <v>8.4354837668162208E-2</v>
          </cell>
          <cell r="T35">
            <v>2406.696431355992</v>
          </cell>
          <cell r="U35">
            <v>4.9477679103878014E-2</v>
          </cell>
          <cell r="V35">
            <v>2406.1617215301007</v>
          </cell>
          <cell r="W35">
            <v>-2.2217585023387443E-4</v>
          </cell>
          <cell r="AB35" t="str">
            <v>mstag:sellingGeneralAndAdministrativeExpenses</v>
          </cell>
          <cell r="AC35">
            <v>6</v>
          </cell>
          <cell r="AD35" t="str">
            <v>ISO4217:USD</v>
          </cell>
          <cell r="AE35" t="b">
            <v>0</v>
          </cell>
          <cell r="AF35" t="b">
            <v>0</v>
          </cell>
        </row>
        <row r="36">
          <cell r="B36" t="str">
            <v xml:space="preserve">   % of Sales</v>
          </cell>
          <cell r="C36">
            <v>0.35676937996907621</v>
          </cell>
          <cell r="D36">
            <v>0.30355734894516662</v>
          </cell>
          <cell r="E36">
            <v>0.21863943421629409</v>
          </cell>
          <cell r="F36">
            <v>0.21143808695800206</v>
          </cell>
          <cell r="H36">
            <v>0.24085504700685975</v>
          </cell>
          <cell r="J36">
            <v>0.23547996191465423</v>
          </cell>
          <cell r="L36">
            <v>0.2163335581041643</v>
          </cell>
          <cell r="N36">
            <v>0.21140133722791646</v>
          </cell>
          <cell r="P36">
            <v>0.1875</v>
          </cell>
          <cell r="R36">
            <v>0.17499999999999999</v>
          </cell>
          <cell r="T36">
            <v>0.16500000000000001</v>
          </cell>
          <cell r="V36">
            <v>0.1525</v>
          </cell>
        </row>
        <row r="37">
          <cell r="B37" t="str">
            <v xml:space="preserve">  Collaborative payments</v>
          </cell>
          <cell r="C37">
            <v>0</v>
          </cell>
          <cell r="D37">
            <v>0</v>
          </cell>
          <cell r="E37">
            <v>246.65700000000001</v>
          </cell>
          <cell r="F37">
            <v>350.72500000000002</v>
          </cell>
          <cell r="H37">
            <v>457.53399999999999</v>
          </cell>
          <cell r="I37">
            <v>0.30453774324613292</v>
          </cell>
          <cell r="J37">
            <v>593.6</v>
          </cell>
          <cell r="K37">
            <v>0.29738992074905912</v>
          </cell>
          <cell r="L37">
            <v>823.08299999999997</v>
          </cell>
          <cell r="M37">
            <v>0.38659535040431248</v>
          </cell>
          <cell r="N37">
            <v>1041</v>
          </cell>
          <cell r="O37">
            <v>0.26475701721454592</v>
          </cell>
          <cell r="P37">
            <v>1191.2653338930295</v>
          </cell>
          <cell r="Q37">
            <v>0.14434710268302542</v>
          </cell>
          <cell r="R37">
            <v>1349.1657134442321</v>
          </cell>
          <cell r="S37">
            <v>0.1325484550408158</v>
          </cell>
          <cell r="T37">
            <v>1488.0617722997738</v>
          </cell>
          <cell r="U37">
            <v>0.1029495913448315</v>
          </cell>
          <cell r="V37">
            <v>1622.2236210060237</v>
          </cell>
          <cell r="W37">
            <v>9.0158789912938353E-2</v>
          </cell>
          <cell r="AB37" t="str">
            <v>mstag:otherOperatingExpense</v>
          </cell>
          <cell r="AC37">
            <v>6</v>
          </cell>
          <cell r="AD37" t="str">
            <v>ISO4217:USD</v>
          </cell>
          <cell r="AE37" t="b">
            <v>0</v>
          </cell>
          <cell r="AF37" t="b">
            <v>0</v>
          </cell>
        </row>
        <row r="38">
          <cell r="B38" t="str">
            <v>Total Operating Expenses</v>
          </cell>
          <cell r="C38">
            <v>1027.425</v>
          </cell>
          <cell r="D38">
            <v>1258.9829999999999</v>
          </cell>
          <cell r="E38">
            <v>1574.2349999999999</v>
          </cell>
          <cell r="F38">
            <v>1962.1129999999998</v>
          </cell>
          <cell r="H38">
            <v>2454.7161573414223</v>
          </cell>
          <cell r="I38">
            <v>0.25105748615977896</v>
          </cell>
          <cell r="J38">
            <v>3301.8</v>
          </cell>
          <cell r="K38">
            <v>0.34508423310987246</v>
          </cell>
          <cell r="L38">
            <v>4531.0019999999995</v>
          </cell>
          <cell r="M38">
            <v>0.37228239142286013</v>
          </cell>
          <cell r="N38">
            <v>5868.7359800000004</v>
          </cell>
          <cell r="O38">
            <v>0.29524020956071118</v>
          </cell>
          <cell r="P38">
            <v>6871.3015576972857</v>
          </cell>
          <cell r="Q38">
            <v>0.17083160345156401</v>
          </cell>
          <cell r="R38">
            <v>7646.4302261891735</v>
          </cell>
          <cell r="S38">
            <v>0.11280667308562276</v>
          </cell>
          <cell r="T38">
            <v>8252.2202578283486</v>
          </cell>
          <cell r="U38">
            <v>7.9225208851619655E-2</v>
          </cell>
          <cell r="V38">
            <v>8674.5610992366965</v>
          </cell>
          <cell r="W38">
            <v>5.117905584351079E-2</v>
          </cell>
        </row>
        <row r="39">
          <cell r="B39" t="str">
            <v xml:space="preserve">Operating Income (Loss) </v>
          </cell>
          <cell r="C39">
            <v>284.18700000000013</v>
          </cell>
          <cell r="D39">
            <v>378.38800000099991</v>
          </cell>
          <cell r="E39">
            <v>469.79700000000003</v>
          </cell>
          <cell r="F39">
            <v>621.50855966964809</v>
          </cell>
          <cell r="H39">
            <v>845.54684265857759</v>
          </cell>
          <cell r="I39">
            <v>0.36047497577187526</v>
          </cell>
          <cell r="J39">
            <v>1319.3999999999996</v>
          </cell>
          <cell r="K39">
            <v>0.56041029714158452</v>
          </cell>
          <cell r="L39">
            <v>2102.4210000000012</v>
          </cell>
          <cell r="M39">
            <v>0.59346748522055615</v>
          </cell>
          <cell r="N39">
            <v>3251.6240200000002</v>
          </cell>
          <cell r="O39">
            <v>0.54660937081583483</v>
          </cell>
          <cell r="P39">
            <v>4407.8235639859422</v>
          </cell>
          <cell r="Q39">
            <v>0.35557602504915131</v>
          </cell>
          <cell r="R39">
            <v>5457.7560849126548</v>
          </cell>
          <cell r="S39">
            <v>0.23819749263676759</v>
          </cell>
          <cell r="T39">
            <v>6333.8187200867542</v>
          </cell>
          <cell r="U39">
            <v>0.16051700031004956</v>
          </cell>
          <cell r="V39">
            <v>7103.5485501410149</v>
          </cell>
          <cell r="W39">
            <v>0.12152697512689747</v>
          </cell>
        </row>
        <row r="40">
          <cell r="B40" t="str">
            <v xml:space="preserve">        Operating Margin</v>
          </cell>
          <cell r="D40">
            <v>0.23109484655632037</v>
          </cell>
          <cell r="E40">
            <v>0.22983837826413678</v>
          </cell>
          <cell r="F40">
            <v>0.24055711926676934</v>
          </cell>
          <cell r="H40">
            <v>0.25620589712352548</v>
          </cell>
          <cell r="J40">
            <v>0.28551025707608407</v>
          </cell>
          <cell r="L40">
            <v>0.31694360513418202</v>
          </cell>
          <cell r="N40">
            <v>0.35652364818932586</v>
          </cell>
          <cell r="P40">
            <v>0.39079481045141073</v>
          </cell>
          <cell r="R40">
            <v>0.41648950612743196</v>
          </cell>
          <cell r="T40">
            <v>0.43423843372946319</v>
          </cell>
          <cell r="V40">
            <v>0.45021543822400667</v>
          </cell>
        </row>
        <row r="41">
          <cell r="B41" t="str">
            <v xml:space="preserve">   Interest, Other Income</v>
          </cell>
          <cell r="C41">
            <v>89.433999999999997</v>
          </cell>
          <cell r="D41">
            <v>90.4</v>
          </cell>
          <cell r="E41">
            <v>135.005</v>
          </cell>
          <cell r="F41">
            <v>107.822</v>
          </cell>
          <cell r="H41">
            <v>92.807000000000002</v>
          </cell>
          <cell r="J41">
            <v>82.597000000000008</v>
          </cell>
          <cell r="L41">
            <v>140.9</v>
          </cell>
          <cell r="N41">
            <v>228</v>
          </cell>
          <cell r="P41">
            <v>158.27981570681379</v>
          </cell>
          <cell r="R41">
            <v>214.14721389467866</v>
          </cell>
          <cell r="T41">
            <v>298.9218808473185</v>
          </cell>
          <cell r="V41">
            <v>424.04459975088002</v>
          </cell>
          <cell r="AB41" t="str">
            <v>mstag:interestAndDividendIncome</v>
          </cell>
          <cell r="AC41">
            <v>6</v>
          </cell>
          <cell r="AD41" t="str">
            <v>ISO4217:USD</v>
          </cell>
          <cell r="AE41" t="b">
            <v>0</v>
          </cell>
          <cell r="AF41" t="b">
            <v>0</v>
          </cell>
        </row>
        <row r="42">
          <cell r="B42" t="str">
            <v xml:space="preserve">   Interest, Other Expense</v>
          </cell>
          <cell r="C42">
            <v>-5.36</v>
          </cell>
          <cell r="D42">
            <v>-5.2780000000000005</v>
          </cell>
          <cell r="E42">
            <v>0</v>
          </cell>
          <cell r="F42">
            <v>0</v>
          </cell>
          <cell r="H42">
            <v>0</v>
          </cell>
          <cell r="J42">
            <v>0</v>
          </cell>
          <cell r="L42">
            <v>-49.9</v>
          </cell>
          <cell r="N42">
            <v>-91</v>
          </cell>
          <cell r="P42">
            <v>-99.403055999999992</v>
          </cell>
          <cell r="R42">
            <v>-99.403055999999992</v>
          </cell>
          <cell r="T42">
            <v>-99.403055999999992</v>
          </cell>
          <cell r="V42">
            <v>-77.403055999999992</v>
          </cell>
          <cell r="AB42" t="str">
            <v>mstag:interestAndDividendIncome</v>
          </cell>
          <cell r="AC42">
            <v>6</v>
          </cell>
          <cell r="AD42" t="str">
            <v>ISO4217:USD</v>
          </cell>
          <cell r="AE42" t="b">
            <v>0</v>
          </cell>
          <cell r="AF42" t="b">
            <v>0</v>
          </cell>
        </row>
        <row r="43">
          <cell r="B43" t="str">
            <v xml:space="preserve">Pretax Income (Loss) </v>
          </cell>
          <cell r="C43">
            <v>368.26100000000008</v>
          </cell>
          <cell r="D43">
            <v>463.51000000099987</v>
          </cell>
          <cell r="E43">
            <v>604.80200000000002</v>
          </cell>
          <cell r="F43">
            <v>729.3305596696481</v>
          </cell>
          <cell r="H43">
            <v>938.35384265857761</v>
          </cell>
          <cell r="I43">
            <v>0.28659608488585353</v>
          </cell>
          <cell r="J43">
            <v>1401.9969999999996</v>
          </cell>
          <cell r="K43">
            <v>0.4941026894799212</v>
          </cell>
          <cell r="L43">
            <v>2193.4210000000012</v>
          </cell>
          <cell r="M43">
            <v>0.56449764157840687</v>
          </cell>
          <cell r="N43">
            <v>3388.6240200000002</v>
          </cell>
          <cell r="O43">
            <v>0.54490360947579064</v>
          </cell>
          <cell r="P43">
            <v>4466.7003236927558</v>
          </cell>
          <cell r="Q43">
            <v>0.31814574214484725</v>
          </cell>
          <cell r="R43">
            <v>5572.5002428073331</v>
          </cell>
          <cell r="S43">
            <v>0.24756528062764227</v>
          </cell>
          <cell r="T43">
            <v>6533.3375449340729</v>
          </cell>
          <cell r="U43">
            <v>0.17242481117285435</v>
          </cell>
          <cell r="V43">
            <v>7450.1900938918943</v>
          </cell>
          <cell r="W43">
            <v>0.1403344833558684</v>
          </cell>
        </row>
        <row r="44">
          <cell r="B44" t="str">
            <v xml:space="preserve">   Provision For Income Taxes</v>
          </cell>
          <cell r="C44">
            <v>121.56800000000001</v>
          </cell>
          <cell r="D44">
            <v>143.67400000000001</v>
          </cell>
          <cell r="E44">
            <v>127.11199999999999</v>
          </cell>
          <cell r="F44">
            <v>245.797</v>
          </cell>
          <cell r="H44">
            <v>303.69799999999998</v>
          </cell>
          <cell r="J44">
            <v>507.63099999999997</v>
          </cell>
          <cell r="L44">
            <v>806.09699999999998</v>
          </cell>
          <cell r="N44">
            <v>1263.7185114200001</v>
          </cell>
          <cell r="P44">
            <v>1666.0792207373979</v>
          </cell>
          <cell r="R44">
            <v>2078.542590567135</v>
          </cell>
          <cell r="T44">
            <v>2436.934904260409</v>
          </cell>
          <cell r="V44">
            <v>2778.9209050216764</v>
          </cell>
          <cell r="AB44" t="str">
            <v>mstag:taxExpenseIncome</v>
          </cell>
          <cell r="AC44">
            <v>6</v>
          </cell>
          <cell r="AD44" t="str">
            <v>ISO4217:USD</v>
          </cell>
          <cell r="AE44" t="b">
            <v>0</v>
          </cell>
          <cell r="AF44" t="b">
            <v>0</v>
          </cell>
        </row>
        <row r="45">
          <cell r="B45" t="str">
            <v xml:space="preserve">   Effective Tax Rate</v>
          </cell>
          <cell r="C45">
            <v>0.21840079909742235</v>
          </cell>
          <cell r="D45">
            <v>0.17967483708416138</v>
          </cell>
          <cell r="E45">
            <v>0.17543014456747877</v>
          </cell>
          <cell r="F45">
            <v>0.33702605798725771</v>
          </cell>
          <cell r="H45">
            <v>0.32364976429312847</v>
          </cell>
          <cell r="J45">
            <v>0.36207709431617907</v>
          </cell>
          <cell r="L45">
            <v>0.36750724212165659</v>
          </cell>
          <cell r="N45">
            <v>0.3729296918045219</v>
          </cell>
          <cell r="P45">
            <v>0.373</v>
          </cell>
          <cell r="R45">
            <v>0.373</v>
          </cell>
          <cell r="T45">
            <v>0.373</v>
          </cell>
          <cell r="V45">
            <v>0.373</v>
          </cell>
        </row>
        <row r="46">
          <cell r="B46" t="str">
            <v>Net Income (Loss)</v>
          </cell>
          <cell r="C46">
            <v>246.69300000000007</v>
          </cell>
          <cell r="D46">
            <v>319.83600000099989</v>
          </cell>
          <cell r="E46">
            <v>477.69000000000005</v>
          </cell>
          <cell r="F46">
            <v>483.53355966964807</v>
          </cell>
          <cell r="H46">
            <v>634.65584265857763</v>
          </cell>
          <cell r="I46">
            <v>0.31253732024758918</v>
          </cell>
          <cell r="J46">
            <v>894.36599999999964</v>
          </cell>
          <cell r="K46">
            <v>0.4092141596829777</v>
          </cell>
          <cell r="L46">
            <v>1387.3240000000012</v>
          </cell>
          <cell r="M46">
            <v>0.55118150734710603</v>
          </cell>
          <cell r="N46">
            <v>2124.9055085800001</v>
          </cell>
          <cell r="O46">
            <v>0.53165771555887331</v>
          </cell>
          <cell r="P46">
            <v>2800.6211029553579</v>
          </cell>
          <cell r="Q46">
            <v>0.31799794938971893</v>
          </cell>
          <cell r="R46">
            <v>3493.9576522401981</v>
          </cell>
          <cell r="S46">
            <v>0.24756528062764227</v>
          </cell>
          <cell r="T46">
            <v>4096.4026406736639</v>
          </cell>
          <cell r="U46">
            <v>0.17242481117285435</v>
          </cell>
          <cell r="V46">
            <v>4671.2691888702175</v>
          </cell>
          <cell r="W46">
            <v>0.1403344833558684</v>
          </cell>
        </row>
        <row r="48">
          <cell r="B48" t="str">
            <v>EPS, basic</v>
          </cell>
          <cell r="C48">
            <v>0.240507155948992</v>
          </cell>
          <cell r="D48">
            <v>0.30625130463021294</v>
          </cell>
          <cell r="E48">
            <v>0.84741827980205642</v>
          </cell>
          <cell r="F48">
            <v>0.46558555820163972</v>
          </cell>
          <cell r="H48">
            <v>0.61351622099003444</v>
          </cell>
          <cell r="I48">
            <v>0.31773035091506774</v>
          </cell>
          <cell r="J48">
            <v>0.84760772011960184</v>
          </cell>
          <cell r="K48">
            <v>0.38155714734292223</v>
          </cell>
          <cell r="L48">
            <v>1.3150588841956803</v>
          </cell>
          <cell r="M48">
            <v>0.55149469852648192</v>
          </cell>
          <cell r="N48">
            <v>2.0160393819544593</v>
          </cell>
          <cell r="O48">
            <v>0.53304114833421656</v>
          </cell>
          <cell r="P48">
            <v>2.6578594958545239</v>
          </cell>
          <cell r="Q48">
            <v>0.31835693272908627</v>
          </cell>
          <cell r="R48">
            <v>3.3158532278145931</v>
          </cell>
          <cell r="S48">
            <v>0.24756528062764227</v>
          </cell>
          <cell r="T48">
            <v>3.8875885944974238</v>
          </cell>
          <cell r="U48">
            <v>0.17242481117285435</v>
          </cell>
          <cell r="V48">
            <v>4.4331513314063864</v>
          </cell>
          <cell r="W48">
            <v>0.1403344833558684</v>
          </cell>
          <cell r="Y48" t="str">
            <v>Growth</v>
          </cell>
          <cell r="Z48" t="str">
            <v>3 year</v>
          </cell>
          <cell r="AA48" t="str">
            <v>4 year</v>
          </cell>
        </row>
        <row r="49">
          <cell r="B49" t="str">
            <v>EPS, diluted</v>
          </cell>
          <cell r="C49">
            <v>0.23296000755465324</v>
          </cell>
          <cell r="D49">
            <v>0.29831162314462278</v>
          </cell>
          <cell r="E49">
            <v>0.83443278873473636</v>
          </cell>
          <cell r="F49">
            <v>0.46096594929398294</v>
          </cell>
          <cell r="H49">
            <v>0.60195636879300407</v>
          </cell>
          <cell r="I49">
            <v>0.30585864252004424</v>
          </cell>
          <cell r="J49">
            <v>0.82872362999196592</v>
          </cell>
          <cell r="K49">
            <v>0.37671710601493902</v>
          </cell>
          <cell r="L49">
            <v>1.2834315032439099</v>
          </cell>
          <cell r="M49">
            <v>0.54868457564840067</v>
          </cell>
          <cell r="N49">
            <v>1.9766562870511628</v>
          </cell>
          <cell r="O49">
            <v>0.54013383811688231</v>
          </cell>
          <cell r="P49">
            <v>2.6131703146035923</v>
          </cell>
          <cell r="Q49">
            <v>0.32201553285826989</v>
          </cell>
          <cell r="R49">
            <v>3.2657035401917991</v>
          </cell>
          <cell r="S49">
            <v>0.24970941309931183</v>
          </cell>
          <cell r="T49">
            <v>3.8441841959191563</v>
          </cell>
          <cell r="U49">
            <v>0.17713814147789497</v>
          </cell>
          <cell r="V49">
            <v>4.4101388095141756</v>
          </cell>
          <cell r="W49">
            <v>0.14722359407122476</v>
          </cell>
          <cell r="Z49">
            <v>0.36521595109433186</v>
          </cell>
          <cell r="AA49">
            <v>0.28001751631721422</v>
          </cell>
          <cell r="AB49" t="str">
            <v>mstag:adjEpsForConsensus</v>
          </cell>
          <cell r="AC49">
            <v>0</v>
          </cell>
          <cell r="AD49" t="str">
            <v>ISO4217:USD</v>
          </cell>
          <cell r="AE49" t="b">
            <v>0</v>
          </cell>
          <cell r="AF49" t="b">
            <v>0</v>
          </cell>
        </row>
        <row r="51">
          <cell r="B51" t="str">
            <v xml:space="preserve">  Options expense</v>
          </cell>
          <cell r="N51">
            <v>329.18547890000002</v>
          </cell>
          <cell r="P51">
            <v>377.92158567335071</v>
          </cell>
          <cell r="R51">
            <v>420.55366244040454</v>
          </cell>
          <cell r="T51">
            <v>453.87211418055915</v>
          </cell>
          <cell r="V51">
            <v>477.1008604580183</v>
          </cell>
          <cell r="AB51" t="str">
            <v>mstag:stockCompensation</v>
          </cell>
          <cell r="AC51">
            <v>6</v>
          </cell>
          <cell r="AD51" t="str">
            <v>ISO4217:USD</v>
          </cell>
          <cell r="AE51" t="b">
            <v>0</v>
          </cell>
          <cell r="AF51" t="b">
            <v>0</v>
          </cell>
        </row>
        <row r="52">
          <cell r="B52" t="str">
            <v>Net Income (incl options exp)</v>
          </cell>
          <cell r="N52">
            <v>1795.7200296800002</v>
          </cell>
          <cell r="P52">
            <v>2422.699517282007</v>
          </cell>
          <cell r="R52">
            <v>3073.4039897997936</v>
          </cell>
          <cell r="T52">
            <v>3642.5305264931048</v>
          </cell>
          <cell r="V52">
            <v>4194.1683284121991</v>
          </cell>
        </row>
        <row r="54">
          <cell r="B54" t="str">
            <v>EPS, diluted (incl option exp)</v>
          </cell>
          <cell r="N54">
            <v>1.670437236911628</v>
          </cell>
          <cell r="P54">
            <v>2.2605437247777207</v>
          </cell>
          <cell r="R54">
            <v>2.8726239093062675</v>
          </cell>
          <cell r="T54">
            <v>3.4182573129078739</v>
          </cell>
          <cell r="V54">
            <v>3.9597085440583326</v>
          </cell>
          <cell r="AA54">
            <v>22.250639386189256</v>
          </cell>
        </row>
        <row r="55">
          <cell r="B55" t="str">
            <v>EPS, GAAP, Diluted (incl option exp)</v>
          </cell>
          <cell r="N55">
            <v>1.6109656090046514</v>
          </cell>
          <cell r="P55">
            <v>2.1891696107162537</v>
          </cell>
          <cell r="R55">
            <v>2.8134339509056185</v>
          </cell>
          <cell r="T55">
            <v>3.3588294016576903</v>
          </cell>
          <cell r="V55">
            <v>3.8999216105509422</v>
          </cell>
          <cell r="AA55">
            <v>19.727270219320825</v>
          </cell>
        </row>
        <row r="56">
          <cell r="B56" t="str">
            <v xml:space="preserve">Basic Shares Outstanding </v>
          </cell>
          <cell r="C56">
            <v>1025.72</v>
          </cell>
          <cell r="D56">
            <v>1044.3579999999999</v>
          </cell>
          <cell r="E56">
            <v>1054.038</v>
          </cell>
          <cell r="F56">
            <v>1038.5084999999999</v>
          </cell>
          <cell r="H56">
            <v>1034.4565</v>
          </cell>
          <cell r="I56">
            <v>-3.901749480143768E-3</v>
          </cell>
          <cell r="J56">
            <v>1055.165</v>
          </cell>
          <cell r="K56">
            <v>2.0018724808631427E-2</v>
          </cell>
          <cell r="L56">
            <v>1054.952</v>
          </cell>
          <cell r="M56">
            <v>-2.0186416342460323E-4</v>
          </cell>
          <cell r="N56">
            <v>1054</v>
          </cell>
          <cell r="O56">
            <v>-9.0241072579599901E-4</v>
          </cell>
          <cell r="P56">
            <v>1053.713</v>
          </cell>
          <cell r="Q56">
            <v>-2.7229601518030666E-4</v>
          </cell>
          <cell r="R56">
            <v>1053.713</v>
          </cell>
          <cell r="S56">
            <v>0</v>
          </cell>
          <cell r="T56">
            <v>1053.713</v>
          </cell>
          <cell r="U56">
            <v>0</v>
          </cell>
          <cell r="V56">
            <v>1053.713</v>
          </cell>
          <cell r="W56">
            <v>0</v>
          </cell>
          <cell r="AB56" t="str">
            <v>mstag:averageBasicSharesOutstanding</v>
          </cell>
          <cell r="AC56">
            <v>6</v>
          </cell>
          <cell r="AD56" t="str">
            <v>ms_eqr_gcim_Decimal:ms_eqr_gcim_decimal</v>
          </cell>
          <cell r="AE56" t="b">
            <v>0</v>
          </cell>
          <cell r="AF56" t="b">
            <v>0</v>
          </cell>
        </row>
        <row r="57">
          <cell r="B57" t="str">
            <v>Diluted Shares Outstanding</v>
          </cell>
          <cell r="C57">
            <v>1058.95</v>
          </cell>
          <cell r="D57">
            <v>1072.154</v>
          </cell>
          <cell r="E57">
            <v>1070.441</v>
          </cell>
          <cell r="F57">
            <v>1048.9160000000002</v>
          </cell>
          <cell r="H57">
            <v>1054.3219999999999</v>
          </cell>
          <cell r="I57">
            <v>5.1538922087179806E-3</v>
          </cell>
          <cell r="J57">
            <v>1079.2090000000001</v>
          </cell>
          <cell r="K57">
            <v>2.3604743142986884E-2</v>
          </cell>
          <cell r="L57">
            <v>1080.9490000000001</v>
          </cell>
          <cell r="M57">
            <v>1.6122919656897938E-3</v>
          </cell>
          <cell r="N57">
            <v>1075</v>
          </cell>
          <cell r="O57">
            <v>-5.5034973897936101E-3</v>
          </cell>
          <cell r="P57">
            <v>1071.7330926745205</v>
          </cell>
          <cell r="Q57">
            <v>-3.0389835585855618E-3</v>
          </cell>
          <cell r="R57">
            <v>1069.8943150347914</v>
          </cell>
          <cell r="S57">
            <v>-1.7157048264139219E-3</v>
          </cell>
          <cell r="T57">
            <v>1065.6103953141094</v>
          </cell>
          <cell r="U57">
            <v>-4.0040587752283585E-3</v>
          </cell>
          <cell r="V57">
            <v>1059.2113742072459</v>
          </cell>
          <cell r="W57">
            <v>-6.0050287938279157E-3</v>
          </cell>
          <cell r="AB57" t="str">
            <v>mstag:averageDilutedSharesOutstanding</v>
          </cell>
          <cell r="AC57">
            <v>6</v>
          </cell>
          <cell r="AD57" t="str">
            <v>ms_eqr_gcim_Decimal:ms_eqr_gcim_decimal</v>
          </cell>
          <cell r="AE57" t="b">
            <v>0</v>
          </cell>
          <cell r="AF57" t="b">
            <v>0</v>
          </cell>
        </row>
        <row r="59">
          <cell r="H59" t="str">
            <v>2003-FY</v>
          </cell>
          <cell r="J59" t="str">
            <v>2004-FY</v>
          </cell>
          <cell r="L59" t="str">
            <v>2005-FY</v>
          </cell>
          <cell r="N59" t="str">
            <v>2006-FY</v>
          </cell>
          <cell r="P59" t="str">
            <v>2007-FY</v>
          </cell>
          <cell r="R59" t="str">
            <v>2008-FY</v>
          </cell>
          <cell r="T59" t="str">
            <v>2009-FY</v>
          </cell>
          <cell r="V59" t="str">
            <v>2010-FY</v>
          </cell>
        </row>
        <row r="60">
          <cell r="B60" t="str">
            <v>Reconciliation to GAAP earnings/loss</v>
          </cell>
          <cell r="E60">
            <v>-3.0000000001564331E-3</v>
          </cell>
        </row>
        <row r="61">
          <cell r="B61" t="str">
            <v>Adjustments:</v>
          </cell>
        </row>
        <row r="62">
          <cell r="B62" t="str">
            <v xml:space="preserve">   Contract revenue</v>
          </cell>
          <cell r="C62">
            <v>-19.399999999999999</v>
          </cell>
          <cell r="D62">
            <v>-125.1</v>
          </cell>
          <cell r="E62">
            <v>0</v>
          </cell>
          <cell r="AB62" t="str">
            <v>mstag:otherProvisionsOneTimeGrossOfTax</v>
          </cell>
          <cell r="AC62">
            <v>6</v>
          </cell>
          <cell r="AD62" t="str">
            <v>ISO4217:USD</v>
          </cell>
          <cell r="AE62" t="b">
            <v>0</v>
          </cell>
          <cell r="AF62" t="b">
            <v>0</v>
          </cell>
        </row>
        <row r="63">
          <cell r="B63" t="str">
            <v xml:space="preserve">   Cost of sales</v>
          </cell>
          <cell r="C63">
            <v>93.4</v>
          </cell>
          <cell r="D63">
            <v>92.9</v>
          </cell>
          <cell r="AB63" t="str">
            <v>mstag:otherProvisionsOneTimeGrossOfTax</v>
          </cell>
          <cell r="AC63">
            <v>6</v>
          </cell>
          <cell r="AD63" t="str">
            <v>ISO4217:USD</v>
          </cell>
          <cell r="AE63" t="b">
            <v>0</v>
          </cell>
          <cell r="AF63" t="b">
            <v>0</v>
          </cell>
        </row>
        <row r="64">
          <cell r="B64" t="str">
            <v>Recurring charges related to redemption</v>
          </cell>
          <cell r="C64">
            <v>197.7</v>
          </cell>
          <cell r="D64">
            <v>375.3</v>
          </cell>
          <cell r="E64">
            <v>321.81599999999997</v>
          </cell>
          <cell r="F64">
            <v>155.71299999999999</v>
          </cell>
          <cell r="H64">
            <v>154.30000000000001</v>
          </cell>
          <cell r="J64">
            <v>145.48500000000001</v>
          </cell>
          <cell r="L64">
            <v>122.7</v>
          </cell>
          <cell r="N64">
            <v>95</v>
          </cell>
          <cell r="P64">
            <v>70</v>
          </cell>
          <cell r="R64">
            <v>49</v>
          </cell>
          <cell r="T64">
            <v>49</v>
          </cell>
          <cell r="V64">
            <v>49</v>
          </cell>
          <cell r="AB64" t="str">
            <v>mstag:amortizationOfIntangiblesAssumedToHaveIndefiniteLifeIncomeStatement</v>
          </cell>
          <cell r="AC64">
            <v>6</v>
          </cell>
          <cell r="AD64" t="str">
            <v>ISO4217:USD</v>
          </cell>
          <cell r="AE64" t="b">
            <v>0</v>
          </cell>
          <cell r="AF64" t="b">
            <v>0</v>
          </cell>
        </row>
        <row r="65">
          <cell r="B65" t="str">
            <v>Litagation and other charges</v>
          </cell>
          <cell r="C65">
            <v>1437.7</v>
          </cell>
          <cell r="D65">
            <v>0</v>
          </cell>
          <cell r="E65">
            <v>0</v>
          </cell>
          <cell r="F65">
            <v>543.90499999999997</v>
          </cell>
          <cell r="J65">
            <v>37.1</v>
          </cell>
          <cell r="L65">
            <v>57.8</v>
          </cell>
          <cell r="N65">
            <v>52</v>
          </cell>
          <cell r="P65">
            <v>52</v>
          </cell>
          <cell r="R65">
            <v>52</v>
          </cell>
          <cell r="T65">
            <v>52</v>
          </cell>
          <cell r="V65">
            <v>52</v>
          </cell>
          <cell r="AB65" t="str">
            <v>mstag:restructuringCostsOneTime</v>
          </cell>
          <cell r="AC65">
            <v>6</v>
          </cell>
          <cell r="AD65" t="str">
            <v>ISO4217:USD</v>
          </cell>
          <cell r="AE65" t="b">
            <v>0</v>
          </cell>
          <cell r="AF65" t="b">
            <v>0</v>
          </cell>
        </row>
        <row r="66">
          <cell r="B66" t="str">
            <v xml:space="preserve">   Other</v>
          </cell>
          <cell r="C66">
            <v>32.299999999999997</v>
          </cell>
          <cell r="D66">
            <v>4.9000000000000004</v>
          </cell>
          <cell r="E66">
            <v>0</v>
          </cell>
          <cell r="H66">
            <v>115.8</v>
          </cell>
          <cell r="AB66" t="str">
            <v>mstag:otherProvisionsOneTimeGrossOfTax</v>
          </cell>
          <cell r="AC66">
            <v>6</v>
          </cell>
          <cell r="AD66" t="str">
            <v>ISO4217:USD</v>
          </cell>
          <cell r="AE66" t="b">
            <v>1</v>
          </cell>
          <cell r="AF66" t="b">
            <v>0</v>
          </cell>
        </row>
        <row r="67">
          <cell r="B67" t="str">
            <v xml:space="preserve">   Other income, net (adjustment)</v>
          </cell>
          <cell r="C67">
            <v>-12.933999999999997</v>
          </cell>
          <cell r="D67">
            <v>125.69999999999999</v>
          </cell>
          <cell r="E67">
            <v>0</v>
          </cell>
          <cell r="H67">
            <v>0</v>
          </cell>
          <cell r="J67">
            <v>0</v>
          </cell>
          <cell r="L67">
            <v>0</v>
          </cell>
          <cell r="N67">
            <v>0</v>
          </cell>
          <cell r="P67">
            <v>0</v>
          </cell>
          <cell r="R67">
            <v>0</v>
          </cell>
          <cell r="T67">
            <v>0</v>
          </cell>
          <cell r="V67">
            <v>0</v>
          </cell>
          <cell r="AB67" t="str">
            <v>mstag:otherOperatingExpense</v>
          </cell>
          <cell r="AC67">
            <v>6</v>
          </cell>
          <cell r="AD67" t="str">
            <v>ISO4217:USD</v>
          </cell>
          <cell r="AE67" t="b">
            <v>1</v>
          </cell>
          <cell r="AF67" t="b">
            <v>0</v>
          </cell>
        </row>
        <row r="68">
          <cell r="B68" t="str">
            <v xml:space="preserve">   Income tax (benefit) provision adjustment</v>
          </cell>
          <cell r="C68">
            <v>324.60000000000002</v>
          </cell>
          <cell r="D68">
            <v>126.7</v>
          </cell>
          <cell r="E68">
            <v>0</v>
          </cell>
          <cell r="H68">
            <v>13.3</v>
          </cell>
          <cell r="J68">
            <v>73.031000000000006</v>
          </cell>
          <cell r="L68">
            <v>72.2</v>
          </cell>
          <cell r="N68">
            <v>83.067999999999998</v>
          </cell>
          <cell r="P68">
            <v>45.506</v>
          </cell>
          <cell r="R68">
            <v>37.673000000000002</v>
          </cell>
          <cell r="T68">
            <v>37.673000000000002</v>
          </cell>
          <cell r="V68">
            <v>37.673000000000002</v>
          </cell>
          <cell r="AB68" t="str">
            <v>mstag:taxOnOtherProvisionsOneTime</v>
          </cell>
          <cell r="AC68">
            <v>6</v>
          </cell>
          <cell r="AD68" t="str">
            <v>ISO4217:USD</v>
          </cell>
          <cell r="AE68" t="b">
            <v>0</v>
          </cell>
          <cell r="AF68" t="b">
            <v>0</v>
          </cell>
        </row>
        <row r="69">
          <cell r="B69" t="str">
            <v xml:space="preserve">   Effect of accounting change</v>
          </cell>
          <cell r="C69">
            <v>0</v>
          </cell>
          <cell r="D69">
            <v>-57.8</v>
          </cell>
          <cell r="E69">
            <v>-5.6</v>
          </cell>
          <cell r="H69">
            <v>-47</v>
          </cell>
          <cell r="AB69" t="str">
            <v>mstag:cumulativeEffectOfChangeInAccountingPrincipleNetOfTax</v>
          </cell>
          <cell r="AC69">
            <v>6</v>
          </cell>
          <cell r="AD69" t="str">
            <v>ISO4217:USD</v>
          </cell>
          <cell r="AE69" t="b">
            <v>0</v>
          </cell>
          <cell r="AF69" t="b">
            <v>0</v>
          </cell>
        </row>
        <row r="70">
          <cell r="B70" t="str">
            <v xml:space="preserve">  GAAP Net income (loss)</v>
          </cell>
          <cell r="C70">
            <v>-1157.5410000000002</v>
          </cell>
          <cell r="D70">
            <v>-73.963999999000151</v>
          </cell>
          <cell r="E70">
            <v>150.27400000000009</v>
          </cell>
          <cell r="F70">
            <v>-216.08444033035187</v>
          </cell>
          <cell r="H70">
            <v>562.45584265857758</v>
          </cell>
          <cell r="J70">
            <v>784.81199999999967</v>
          </cell>
          <cell r="L70">
            <v>1279.0240000000013</v>
          </cell>
          <cell r="N70">
            <v>1731.7880296800001</v>
          </cell>
          <cell r="P70">
            <v>2346.2055172820069</v>
          </cell>
          <cell r="R70">
            <v>3010.0769897997934</v>
          </cell>
          <cell r="T70">
            <v>3579.2035264931046</v>
          </cell>
          <cell r="V70">
            <v>4130.8413284121989</v>
          </cell>
        </row>
        <row r="71">
          <cell r="B71" t="str">
            <v>EARNINGS (LOSS) PER SHARE</v>
          </cell>
          <cell r="F71">
            <v>699.61799999999994</v>
          </cell>
          <cell r="H71">
            <v>457.53399999999999</v>
          </cell>
          <cell r="L71">
            <v>1139.4573944602898</v>
          </cell>
        </row>
        <row r="72">
          <cell r="B72" t="str">
            <v xml:space="preserve">   Basic</v>
          </cell>
          <cell r="C72">
            <v>-1.128515579300394</v>
          </cell>
          <cell r="D72">
            <v>-7.0822457432221667E-2</v>
          </cell>
          <cell r="E72">
            <v>0.14256981247355416</v>
          </cell>
          <cell r="F72">
            <v>-0.20807190343685381</v>
          </cell>
          <cell r="H72">
            <v>0.54372111602428674</v>
          </cell>
          <cell r="J72">
            <v>0.7437813043457655</v>
          </cell>
          <cell r="L72">
            <v>1.2124001850321164</v>
          </cell>
          <cell r="N72">
            <v>1.6430626467552183</v>
          </cell>
          <cell r="P72">
            <v>2.2266077359603678</v>
          </cell>
          <cell r="R72">
            <v>2.8566383728774283</v>
          </cell>
          <cell r="T72">
            <v>3.3967536952596245</v>
          </cell>
          <cell r="V72">
            <v>3.92027177078787</v>
          </cell>
        </row>
        <row r="73">
          <cell r="B73" t="str">
            <v xml:space="preserve">   Diluted</v>
          </cell>
          <cell r="C73">
            <v>-1.0931026016336938</v>
          </cell>
          <cell r="D73">
            <v>-6.898635830207242E-2</v>
          </cell>
          <cell r="E73">
            <v>0.14038513098806948</v>
          </cell>
          <cell r="F73">
            <v>-0.20600738317496523</v>
          </cell>
          <cell r="H73">
            <v>0.53347634086984586</v>
          </cell>
          <cell r="J73">
            <v>0.72721039205566262</v>
          </cell>
          <cell r="L73">
            <v>1.1832417625623421</v>
          </cell>
          <cell r="N73">
            <v>1.6109656090046514</v>
          </cell>
          <cell r="P73">
            <v>2.1891696107162537</v>
          </cell>
          <cell r="R73">
            <v>2.8134339509056185</v>
          </cell>
          <cell r="T73">
            <v>3.3588294016576903</v>
          </cell>
          <cell r="V73">
            <v>3.8999216105509422</v>
          </cell>
        </row>
        <row r="74">
          <cell r="B74" t="str">
            <v>Period End Basic Shares</v>
          </cell>
          <cell r="D74">
            <v>0</v>
          </cell>
          <cell r="E74">
            <v>527.79422299999999</v>
          </cell>
          <cell r="F74">
            <v>1025.155974</v>
          </cell>
          <cell r="H74">
            <v>1047.3900000000001</v>
          </cell>
          <cell r="J74">
            <v>1047.127</v>
          </cell>
          <cell r="L74">
            <v>1053.713</v>
          </cell>
          <cell r="N74">
            <v>1053.713</v>
          </cell>
          <cell r="P74">
            <v>1053.713</v>
          </cell>
          <cell r="R74">
            <v>1053.713</v>
          </cell>
          <cell r="T74">
            <v>1053.713</v>
          </cell>
          <cell r="V74">
            <v>0</v>
          </cell>
        </row>
        <row r="75">
          <cell r="B75" t="str">
            <v>Federal tax rate</v>
          </cell>
          <cell r="C75">
            <v>0.35</v>
          </cell>
          <cell r="D75">
            <v>0.35</v>
          </cell>
          <cell r="E75">
            <v>0.35</v>
          </cell>
          <cell r="F75">
            <v>0.35</v>
          </cell>
          <cell r="H75">
            <v>0.35</v>
          </cell>
          <cell r="J75">
            <v>0.35</v>
          </cell>
          <cell r="L75">
            <v>0.35</v>
          </cell>
          <cell r="N75">
            <v>0.35</v>
          </cell>
          <cell r="P75">
            <v>0.35</v>
          </cell>
          <cell r="R75">
            <v>0.35</v>
          </cell>
          <cell r="T75">
            <v>0.35</v>
          </cell>
          <cell r="V75">
            <v>0.35</v>
          </cell>
        </row>
        <row r="76">
          <cell r="B76" t="str">
            <v xml:space="preserve">     Federal taxes</v>
          </cell>
          <cell r="C76">
            <v>-527.51800000000003</v>
          </cell>
          <cell r="D76">
            <v>1.391</v>
          </cell>
          <cell r="E76">
            <v>99.045000000000002</v>
          </cell>
          <cell r="F76">
            <v>10.412000000000001</v>
          </cell>
        </row>
        <row r="77">
          <cell r="B77" t="str">
            <v>Statutory tax rate</v>
          </cell>
          <cell r="C77">
            <v>0.36520971796223067</v>
          </cell>
          <cell r="D77">
            <v>0.5913012221423436</v>
          </cell>
          <cell r="E77">
            <v>0.40731384724115299</v>
          </cell>
          <cell r="F77">
            <v>0.37813580484056852</v>
          </cell>
          <cell r="H77">
            <v>0.32364976429312847</v>
          </cell>
          <cell r="J77">
            <v>0.36207709431617907</v>
          </cell>
          <cell r="L77">
            <v>0.36750724212165659</v>
          </cell>
          <cell r="N77">
            <v>0.3729296918045219</v>
          </cell>
          <cell r="P77">
            <v>0.373</v>
          </cell>
          <cell r="R77">
            <v>0.373</v>
          </cell>
          <cell r="T77">
            <v>0.373</v>
          </cell>
          <cell r="V77">
            <v>0.373</v>
          </cell>
          <cell r="AB77" t="str">
            <v>mstag:statutoryTaxRate</v>
          </cell>
          <cell r="AC77">
            <v>0</v>
          </cell>
          <cell r="AD77" t="str">
            <v>ms_eqr_gcim_Decimal:ms_eqr_gcim_decimal</v>
          </cell>
          <cell r="AE77" t="b">
            <v>0</v>
          </cell>
          <cell r="AF77" t="b">
            <v>0</v>
          </cell>
        </row>
        <row r="78">
          <cell r="B78" t="str">
            <v xml:space="preserve">     State taxes</v>
          </cell>
          <cell r="C78">
            <v>-22.923999999999999</v>
          </cell>
          <cell r="D78">
            <v>0.95899999999999996</v>
          </cell>
          <cell r="E78">
            <v>16.219000000000001</v>
          </cell>
          <cell r="F78">
            <v>0.83699999999999997</v>
          </cell>
        </row>
        <row r="79">
          <cell r="B79" t="str">
            <v>Unrecorded Goodwill</v>
          </cell>
          <cell r="D79">
            <v>0</v>
          </cell>
          <cell r="E79">
            <v>0</v>
          </cell>
          <cell r="F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AB79" t="str">
            <v>mstag:unrecordedGoodwillFromPoolingAndAmortizedOrWrittenOffGoodwill</v>
          </cell>
          <cell r="AC79">
            <v>6</v>
          </cell>
          <cell r="AD79" t="str">
            <v>ISO4217:USD</v>
          </cell>
          <cell r="AE79" t="b">
            <v>0</v>
          </cell>
          <cell r="AF79" t="b">
            <v>0</v>
          </cell>
        </row>
        <row r="80">
          <cell r="B80" t="str">
            <v>Common Dividends</v>
          </cell>
          <cell r="D80">
            <v>0</v>
          </cell>
          <cell r="E80">
            <v>0</v>
          </cell>
          <cell r="F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AB80" t="str">
            <v>mstag:commonDividends</v>
          </cell>
          <cell r="AC80">
            <v>6</v>
          </cell>
          <cell r="AD80" t="str">
            <v>ISO4217:USD</v>
          </cell>
          <cell r="AE80" t="b">
            <v>0</v>
          </cell>
          <cell r="AF80" t="b">
            <v>0</v>
          </cell>
        </row>
        <row r="82">
          <cell r="B82" t="str">
            <v>ROYALTIES</v>
          </cell>
        </row>
        <row r="83">
          <cell r="B83" t="str">
            <v>Rituxan Ex-US Royalty ($M)</v>
          </cell>
          <cell r="N83">
            <v>186.5</v>
          </cell>
          <cell r="P83">
            <v>214.47500000000002</v>
          </cell>
          <cell r="R83">
            <v>231.63300000000001</v>
          </cell>
          <cell r="T83">
            <v>247.84731000000002</v>
          </cell>
          <cell r="V83">
            <v>315.26177832000002</v>
          </cell>
        </row>
        <row r="84">
          <cell r="B84" t="str">
            <v>Rituxan Royalty Rate (%)</v>
          </cell>
          <cell r="N84">
            <v>0.1</v>
          </cell>
          <cell r="P84">
            <v>0.1</v>
          </cell>
          <cell r="R84">
            <v>0.1</v>
          </cell>
          <cell r="T84">
            <v>0.1</v>
          </cell>
          <cell r="V84">
            <v>0.12</v>
          </cell>
        </row>
        <row r="85">
          <cell r="B85" t="str">
            <v>Avastin Ex-US Royalty ($M)</v>
          </cell>
          <cell r="N85">
            <v>84.75</v>
          </cell>
          <cell r="P85">
            <v>150</v>
          </cell>
          <cell r="R85">
            <v>277.5</v>
          </cell>
          <cell r="T85">
            <v>375</v>
          </cell>
          <cell r="V85">
            <v>435</v>
          </cell>
        </row>
        <row r="86">
          <cell r="B86" t="str">
            <v>Avastin Royalty Rate (%)</v>
          </cell>
          <cell r="N86">
            <v>0.15</v>
          </cell>
          <cell r="P86">
            <v>0.15</v>
          </cell>
          <cell r="R86">
            <v>0.15</v>
          </cell>
          <cell r="T86">
            <v>0.15</v>
          </cell>
          <cell r="V86">
            <v>0.15</v>
          </cell>
        </row>
        <row r="87">
          <cell r="B87" t="str">
            <v>Herceptin Ex-US Royalty ($M)</v>
          </cell>
          <cell r="N87">
            <v>341.875</v>
          </cell>
          <cell r="P87">
            <v>407.96875</v>
          </cell>
          <cell r="R87">
            <v>434.40625</v>
          </cell>
          <cell r="T87">
            <v>452.25156250000003</v>
          </cell>
          <cell r="V87">
            <v>467.241625</v>
          </cell>
        </row>
        <row r="88">
          <cell r="B88" t="str">
            <v>Herceptin Ex-US Sales ($M)</v>
          </cell>
          <cell r="N88">
            <v>1175</v>
          </cell>
          <cell r="P88">
            <v>1468.75</v>
          </cell>
          <cell r="R88">
            <v>1586.25</v>
          </cell>
          <cell r="T88">
            <v>1665.5625</v>
          </cell>
          <cell r="V88">
            <v>1732.1849999999999</v>
          </cell>
        </row>
        <row r="89">
          <cell r="B89" t="str">
            <v>Royalty - $500M</v>
          </cell>
          <cell r="N89">
            <v>100</v>
          </cell>
          <cell r="P89">
            <v>100</v>
          </cell>
          <cell r="R89">
            <v>100</v>
          </cell>
          <cell r="T89">
            <v>100</v>
          </cell>
          <cell r="V89">
            <v>100</v>
          </cell>
        </row>
        <row r="90">
          <cell r="B90" t="str">
            <v>Royalty rate (%)</v>
          </cell>
          <cell r="N90">
            <v>0.2</v>
          </cell>
          <cell r="P90">
            <v>0.2</v>
          </cell>
          <cell r="R90">
            <v>0.2</v>
          </cell>
          <cell r="T90">
            <v>0.2</v>
          </cell>
          <cell r="V90">
            <v>0.2</v>
          </cell>
        </row>
        <row r="91">
          <cell r="B91" t="str">
            <v>Royalty - After $500M</v>
          </cell>
          <cell r="N91">
            <v>241.875</v>
          </cell>
          <cell r="P91">
            <v>307.96875</v>
          </cell>
          <cell r="R91">
            <v>334.40625</v>
          </cell>
          <cell r="T91">
            <v>352.25156250000003</v>
          </cell>
          <cell r="V91">
            <v>367.241625</v>
          </cell>
        </row>
        <row r="92">
          <cell r="B92" t="str">
            <v>Royalty rate (%)</v>
          </cell>
          <cell r="N92">
            <v>0.22500000000000001</v>
          </cell>
          <cell r="P92">
            <v>0.22500000000000001</v>
          </cell>
          <cell r="R92">
            <v>0.22500000000000001</v>
          </cell>
          <cell r="T92">
            <v>0.22500000000000001</v>
          </cell>
          <cell r="V92">
            <v>0.22500000000000001</v>
          </cell>
        </row>
        <row r="93">
          <cell r="B93" t="str">
            <v>Lucentis Ex-US Royalty ($M)</v>
          </cell>
          <cell r="N93">
            <v>0</v>
          </cell>
          <cell r="P93">
            <v>25</v>
          </cell>
          <cell r="R93">
            <v>75</v>
          </cell>
          <cell r="T93">
            <v>112.5</v>
          </cell>
          <cell r="V93">
            <v>137.5</v>
          </cell>
        </row>
        <row r="94">
          <cell r="B94" t="str">
            <v>Lucentis COGS (%)</v>
          </cell>
          <cell r="N94">
            <v>0.25</v>
          </cell>
          <cell r="P94">
            <v>0.25</v>
          </cell>
          <cell r="R94">
            <v>0.25</v>
          </cell>
          <cell r="T94">
            <v>0.25</v>
          </cell>
          <cell r="V94">
            <v>0.25</v>
          </cell>
        </row>
        <row r="95">
          <cell r="B95" t="str">
            <v>Raptiva Ex-US Royalty ($M)</v>
          </cell>
          <cell r="N95">
            <v>6.4756240620749992</v>
          </cell>
          <cell r="P95">
            <v>6.8032906396159953</v>
          </cell>
          <cell r="R95">
            <v>7.1475371459805652</v>
          </cell>
          <cell r="T95">
            <v>7.5092025255671828</v>
          </cell>
          <cell r="V95">
            <v>7.8891681733608801</v>
          </cell>
        </row>
        <row r="96">
          <cell r="B96" t="str">
            <v>Cabilly Royalty ($M)</v>
          </cell>
          <cell r="L96">
            <v>70</v>
          </cell>
          <cell r="N96">
            <v>80.5</v>
          </cell>
          <cell r="O96">
            <v>0.15</v>
          </cell>
          <cell r="P96">
            <v>92.574999999999989</v>
          </cell>
          <cell r="Q96">
            <v>0.15</v>
          </cell>
          <cell r="R96">
            <v>109.23849999999999</v>
          </cell>
          <cell r="S96">
            <v>0.18</v>
          </cell>
          <cell r="T96">
            <v>131.08619999999999</v>
          </cell>
          <cell r="U96">
            <v>0.2</v>
          </cell>
          <cell r="V96">
            <v>163.85774999999998</v>
          </cell>
          <cell r="W96">
            <v>0.25</v>
          </cell>
        </row>
        <row r="97">
          <cell r="B97" t="str">
            <v>Other Royalties ($M)</v>
          </cell>
          <cell r="N97">
            <v>440</v>
          </cell>
          <cell r="P97">
            <v>484.00000000000006</v>
          </cell>
          <cell r="Q97">
            <v>0.1</v>
          </cell>
          <cell r="R97">
            <v>532.40000000000009</v>
          </cell>
          <cell r="S97">
            <v>0.1</v>
          </cell>
          <cell r="T97">
            <v>585.6400000000001</v>
          </cell>
          <cell r="U97">
            <v>0.1</v>
          </cell>
          <cell r="V97">
            <v>644.20400000000018</v>
          </cell>
          <cell r="W97">
            <v>0.1</v>
          </cell>
        </row>
        <row r="98">
          <cell r="B98" t="str">
            <v>TOTAL ROYALTIES</v>
          </cell>
          <cell r="N98">
            <v>1140.100624062075</v>
          </cell>
          <cell r="P98">
            <v>1380.8220406396158</v>
          </cell>
          <cell r="R98">
            <v>1667.3252871459806</v>
          </cell>
          <cell r="T98">
            <v>1911.8342750255674</v>
          </cell>
          <cell r="V98">
            <v>2170.954321493361</v>
          </cell>
        </row>
        <row r="100">
          <cell r="B100" t="str">
            <v>COGS</v>
          </cell>
        </row>
        <row r="101">
          <cell r="B101" t="str">
            <v>Rituxan US COGS ($M)</v>
          </cell>
          <cell r="P101">
            <v>297.70939266920749</v>
          </cell>
          <cell r="R101">
            <v>330.13953356203393</v>
          </cell>
          <cell r="T101">
            <v>361.38962422106277</v>
          </cell>
          <cell r="V101">
            <v>394.45</v>
          </cell>
        </row>
        <row r="102">
          <cell r="B102" t="str">
            <v>Rituxan US COGS (%)</v>
          </cell>
          <cell r="P102">
            <v>0.1225</v>
          </cell>
          <cell r="R102">
            <v>0.1225</v>
          </cell>
          <cell r="T102">
            <v>0.1225</v>
          </cell>
          <cell r="V102">
            <v>0.1225</v>
          </cell>
        </row>
        <row r="103">
          <cell r="B103" t="str">
            <v>Avastin US COGS ($M)</v>
          </cell>
          <cell r="P103">
            <v>338.15533923473572</v>
          </cell>
          <cell r="R103">
            <v>456.25553488746044</v>
          </cell>
          <cell r="T103">
            <v>554.96139897186345</v>
          </cell>
          <cell r="V103">
            <v>636.86124684705521</v>
          </cell>
        </row>
        <row r="104">
          <cell r="B104" t="str">
            <v>Avastin US COGS (%)</v>
          </cell>
          <cell r="P104">
            <v>0.12</v>
          </cell>
          <cell r="R104">
            <v>0.12</v>
          </cell>
          <cell r="T104">
            <v>0.12</v>
          </cell>
          <cell r="V104">
            <v>0.12</v>
          </cell>
        </row>
        <row r="105">
          <cell r="B105" t="str">
            <v>Herceptin US COGS ($M)</v>
          </cell>
          <cell r="P105">
            <v>188.03529142302889</v>
          </cell>
          <cell r="R105">
            <v>201.22743725388611</v>
          </cell>
          <cell r="T105">
            <v>212.71601293076185</v>
          </cell>
          <cell r="V105">
            <v>224.86570784728451</v>
          </cell>
        </row>
        <row r="106">
          <cell r="B106" t="str">
            <v>Herceptin US COGS (%)</v>
          </cell>
          <cell r="P106">
            <v>0.12</v>
          </cell>
          <cell r="R106">
            <v>0.12</v>
          </cell>
          <cell r="T106">
            <v>0.12</v>
          </cell>
          <cell r="V106">
            <v>0.12</v>
          </cell>
        </row>
        <row r="107">
          <cell r="B107" t="str">
            <v>Lucentis COGS ($M)</v>
          </cell>
          <cell r="P107">
            <v>36</v>
          </cell>
          <cell r="R107">
            <v>44</v>
          </cell>
          <cell r="T107">
            <v>48</v>
          </cell>
          <cell r="V107">
            <v>52</v>
          </cell>
        </row>
        <row r="108">
          <cell r="B108" t="str">
            <v>Lucentis COGS (%)</v>
          </cell>
          <cell r="P108">
            <v>0.08</v>
          </cell>
          <cell r="R108">
            <v>0.08</v>
          </cell>
          <cell r="T108">
            <v>0.08</v>
          </cell>
          <cell r="V108">
            <v>0.08</v>
          </cell>
        </row>
        <row r="109">
          <cell r="B109" t="str">
            <v>Tarceva COGS ($M)</v>
          </cell>
          <cell r="P109">
            <v>27.886133421897846</v>
          </cell>
          <cell r="R109">
            <v>31.358250204914803</v>
          </cell>
          <cell r="T109">
            <v>35.47312452941911</v>
          </cell>
          <cell r="V109">
            <v>38.738165421000645</v>
          </cell>
        </row>
        <row r="110">
          <cell r="B110" t="str">
            <v>Xolair COGS ($M)</v>
          </cell>
          <cell r="P110">
            <v>162.55170346477431</v>
          </cell>
          <cell r="R110">
            <v>171.61265728377725</v>
          </cell>
          <cell r="T110">
            <v>183.38112754984081</v>
          </cell>
          <cell r="V110">
            <v>196.51930021468087</v>
          </cell>
        </row>
        <row r="111">
          <cell r="B111" t="str">
            <v>Xolair US COGS ($M))</v>
          </cell>
          <cell r="P111">
            <v>142.32963792903627</v>
          </cell>
          <cell r="R111">
            <v>145.82952372571125</v>
          </cell>
          <cell r="T111">
            <v>148.31606591087103</v>
          </cell>
          <cell r="V111">
            <v>151.8113466249944</v>
          </cell>
        </row>
        <row r="112">
          <cell r="B112" t="str">
            <v>Xolair EU COGS ($M))</v>
          </cell>
          <cell r="P112">
            <v>20.222065535738043</v>
          </cell>
          <cell r="R112">
            <v>25.783133558066002</v>
          </cell>
          <cell r="T112">
            <v>35.065061638969773</v>
          </cell>
          <cell r="V112">
            <v>44.707953589686461</v>
          </cell>
        </row>
        <row r="113">
          <cell r="B113" t="str">
            <v>Raptiva COGS ($M)</v>
          </cell>
          <cell r="P113">
            <v>31.567268567818218</v>
          </cell>
          <cell r="R113">
            <v>30.496158489517082</v>
          </cell>
          <cell r="T113">
            <v>32.039264109086645</v>
          </cell>
          <cell r="V113">
            <v>33.660450873006425</v>
          </cell>
        </row>
        <row r="114">
          <cell r="B114" t="str">
            <v>Raptiva US COGS ($M))</v>
          </cell>
          <cell r="P114">
            <v>17.960687288586225</v>
          </cell>
          <cell r="R114">
            <v>16.20108419755595</v>
          </cell>
          <cell r="T114">
            <v>17.020859057952279</v>
          </cell>
          <cell r="V114">
            <v>17.882114526284667</v>
          </cell>
        </row>
        <row r="115">
          <cell r="B115" t="str">
            <v>Raptiva EU COGS ($M))</v>
          </cell>
          <cell r="P115">
            <v>13.606581279231992</v>
          </cell>
          <cell r="R115">
            <v>14.295074291961132</v>
          </cell>
          <cell r="T115">
            <v>15.018405051134366</v>
          </cell>
          <cell r="V115">
            <v>15.778336346721762</v>
          </cell>
        </row>
        <row r="116">
          <cell r="B116" t="str">
            <v>Other Products COGS ($M)</v>
          </cell>
          <cell r="P116">
            <v>102.06479999999999</v>
          </cell>
          <cell r="R116">
            <v>99.100427999999994</v>
          </cell>
          <cell r="T116">
            <v>103.70992788</v>
          </cell>
          <cell r="V116">
            <v>108.44268931079999</v>
          </cell>
        </row>
        <row r="117">
          <cell r="B117" t="str">
            <v>Other Products COGS (%)</v>
          </cell>
          <cell r="P117">
            <v>0.12</v>
          </cell>
          <cell r="R117">
            <v>0.12</v>
          </cell>
          <cell r="T117">
            <v>0.12</v>
          </cell>
          <cell r="V117">
            <v>0.12</v>
          </cell>
        </row>
        <row r="118">
          <cell r="B118" t="str">
            <v>COGS on Roche Transfer ($M)</v>
          </cell>
          <cell r="P118">
            <v>322.79000000000002</v>
          </cell>
          <cell r="R118">
            <v>254.88000000000002</v>
          </cell>
          <cell r="T118">
            <v>171.13247999999999</v>
          </cell>
          <cell r="V118">
            <v>89.022239999999996</v>
          </cell>
        </row>
        <row r="119">
          <cell r="B119" t="str">
            <v>Roche Transfer COGS (%)</v>
          </cell>
          <cell r="P119">
            <v>0.8</v>
          </cell>
          <cell r="R119">
            <v>0.8</v>
          </cell>
          <cell r="T119">
            <v>0.8</v>
          </cell>
          <cell r="V119">
            <v>0.8</v>
          </cell>
        </row>
        <row r="120">
          <cell r="B120" t="str">
            <v>TOTAL COGS</v>
          </cell>
          <cell r="P120">
            <v>1506.7599287814626</v>
          </cell>
          <cell r="R120">
            <v>1619.0699996815897</v>
          </cell>
          <cell r="T120">
            <v>1702.8029601920346</v>
          </cell>
          <cell r="V120">
            <v>1774.5598005138277</v>
          </cell>
        </row>
        <row r="122">
          <cell r="B122" t="str">
            <v>COLLABORATIVE</v>
          </cell>
        </row>
        <row r="123">
          <cell r="B123" t="str">
            <v>Rituxan Payment ($M)</v>
          </cell>
          <cell r="P123">
            <v>777.68984207466451</v>
          </cell>
          <cell r="R123">
            <v>862.40531216204784</v>
          </cell>
          <cell r="T123">
            <v>944.03820204685792</v>
          </cell>
          <cell r="V123">
            <v>1030.4000000000001</v>
          </cell>
        </row>
        <row r="124">
          <cell r="B124" t="str">
            <v>Rituxan payment (%)</v>
          </cell>
          <cell r="P124">
            <v>0.32</v>
          </cell>
          <cell r="R124">
            <v>0.32</v>
          </cell>
          <cell r="T124">
            <v>0.32</v>
          </cell>
          <cell r="V124">
            <v>0.32</v>
          </cell>
        </row>
        <row r="125">
          <cell r="B125" t="str">
            <v>Tarceva Payment ($M)</v>
          </cell>
          <cell r="P125">
            <v>266.36815092992731</v>
          </cell>
          <cell r="R125">
            <v>327.82412715160547</v>
          </cell>
          <cell r="T125">
            <v>371.21780755890063</v>
          </cell>
          <cell r="V125">
            <v>409.91598848300674</v>
          </cell>
        </row>
        <row r="126">
          <cell r="B126" t="str">
            <v>Xolair Payment ($M)</v>
          </cell>
          <cell r="P126">
            <v>138.81661576624447</v>
          </cell>
          <cell r="R126">
            <v>148.69147088800673</v>
          </cell>
          <cell r="T126">
            <v>162.04257240736885</v>
          </cell>
          <cell r="V126">
            <v>170.5998248078663</v>
          </cell>
        </row>
        <row r="127">
          <cell r="B127" t="str">
            <v>Payment to Genentech ($M)</v>
          </cell>
          <cell r="P127">
            <v>147.07395919333749</v>
          </cell>
          <cell r="R127">
            <v>169.2664114673434</v>
          </cell>
          <cell r="T127">
            <v>193.95177849883135</v>
          </cell>
          <cell r="V127">
            <v>212.53588527499218</v>
          </cell>
        </row>
        <row r="128">
          <cell r="B128" t="str">
            <v>DNA Ex-US Profit ($M)</v>
          </cell>
          <cell r="P128">
            <v>-8.2573434270930335</v>
          </cell>
          <cell r="R128">
            <v>-20.574940579336669</v>
          </cell>
          <cell r="T128">
            <v>-31.909206091462487</v>
          </cell>
          <cell r="V128">
            <v>-41.936060467125898</v>
          </cell>
        </row>
        <row r="129">
          <cell r="B129" t="str">
            <v>Raptiva Payment ($M)</v>
          </cell>
          <cell r="P129">
            <v>8.3907251221930608</v>
          </cell>
          <cell r="R129">
            <v>10.244803242572145</v>
          </cell>
          <cell r="T129">
            <v>10.763190286646296</v>
          </cell>
          <cell r="V129">
            <v>11.307807715150599</v>
          </cell>
        </row>
        <row r="130">
          <cell r="B130" t="str">
            <v>TOTAL PAYMENTS</v>
          </cell>
          <cell r="P130">
            <v>1191.2653338930295</v>
          </cell>
          <cell r="R130">
            <v>1349.1657134442321</v>
          </cell>
          <cell r="T130">
            <v>1488.0617722997738</v>
          </cell>
          <cell r="V130">
            <v>1622.2236210060237</v>
          </cell>
        </row>
        <row r="132">
          <cell r="B132" t="str">
            <v>Current Basic Shares Outstanding</v>
          </cell>
          <cell r="H132">
            <v>1060.6189999999999</v>
          </cell>
          <cell r="AB132" t="str">
            <v>mstag:currentBasicSharesOutstanding</v>
          </cell>
          <cell r="AC132">
            <v>6</v>
          </cell>
          <cell r="AD132" t="str">
            <v>ms_eqr_gcim_Decimal:ms_eqr_gcim_decimal</v>
          </cell>
          <cell r="AE132" t="b">
            <v>0</v>
          </cell>
          <cell r="AF132" t="b">
            <v>0</v>
          </cell>
        </row>
        <row r="133">
          <cell r="B133" t="str">
            <v>Current Diluted Shares Outstanding</v>
          </cell>
          <cell r="H133">
            <v>1087.087</v>
          </cell>
          <cell r="AB133" t="str">
            <v>mstag:currentDilutedSharesOutstanding</v>
          </cell>
          <cell r="AC133">
            <v>6</v>
          </cell>
          <cell r="AD133" t="str">
            <v>ms_eqr_gcim_Decimal:ms_eqr_gcim_decimal</v>
          </cell>
          <cell r="AE133" t="b">
            <v>0</v>
          </cell>
          <cell r="AF133" t="b">
            <v>0</v>
          </cell>
        </row>
        <row r="134">
          <cell r="B134" t="str">
            <v>INTEREST CALCULATIONS</v>
          </cell>
        </row>
        <row r="135">
          <cell r="B135" t="str">
            <v>Cash and Equivalents</v>
          </cell>
          <cell r="E135">
            <v>2662.1325000000002</v>
          </cell>
          <cell r="F135">
            <v>2233.3744999999999</v>
          </cell>
          <cell r="H135">
            <v>2268.1279213292892</v>
          </cell>
          <cell r="J135">
            <v>2857.4149213292885</v>
          </cell>
          <cell r="L135">
            <v>3297.1620000000003</v>
          </cell>
          <cell r="N135">
            <v>3702.1018822259666</v>
          </cell>
          <cell r="P135">
            <v>3956.9953926703447</v>
          </cell>
          <cell r="R135">
            <v>5353.6803473669661</v>
          </cell>
          <cell r="T135">
            <v>7971.2501559284938</v>
          </cell>
          <cell r="V135">
            <v>11307.855993356801</v>
          </cell>
        </row>
        <row r="136">
          <cell r="B136" t="str">
            <v>Return on assets</v>
          </cell>
          <cell r="E136">
            <v>5.071310312315408E-2</v>
          </cell>
          <cell r="F136">
            <v>4.8277617569288091E-2</v>
          </cell>
          <cell r="H136">
            <v>4.0917886124169002E-2</v>
          </cell>
          <cell r="J136">
            <v>2.8906197480614865E-2</v>
          </cell>
          <cell r="L136">
            <v>4.2733720696768916E-2</v>
          </cell>
          <cell r="N136">
            <v>3.5000000000000003E-2</v>
          </cell>
          <cell r="P136">
            <v>0.04</v>
          </cell>
          <cell r="R136">
            <v>0.04</v>
          </cell>
          <cell r="T136">
            <v>3.7499999999999999E-2</v>
          </cell>
          <cell r="V136">
            <v>3.7499999999999999E-2</v>
          </cell>
        </row>
        <row r="137">
          <cell r="B137" t="str">
            <v>Interest Income</v>
          </cell>
          <cell r="E137">
            <v>135.005</v>
          </cell>
          <cell r="F137">
            <v>107.822</v>
          </cell>
          <cell r="H137">
            <v>92.807000000000002</v>
          </cell>
          <cell r="J137">
            <v>82.597000000000008</v>
          </cell>
          <cell r="L137">
            <v>140.9</v>
          </cell>
          <cell r="N137">
            <v>129.57356587790883</v>
          </cell>
          <cell r="P137">
            <v>158.27981570681379</v>
          </cell>
          <cell r="R137">
            <v>214.14721389467866</v>
          </cell>
          <cell r="T137">
            <v>298.9218808473185</v>
          </cell>
          <cell r="V137">
            <v>424.04459975088002</v>
          </cell>
        </row>
        <row r="138">
          <cell r="B138" t="str">
            <v>Test</v>
          </cell>
          <cell r="J138">
            <v>82.597000000000008</v>
          </cell>
          <cell r="L138">
            <v>140.9</v>
          </cell>
          <cell r="N138">
            <v>228</v>
          </cell>
          <cell r="P138">
            <v>158.27981570681379</v>
          </cell>
          <cell r="R138">
            <v>214.14721389467866</v>
          </cell>
          <cell r="T138">
            <v>298.9218808473185</v>
          </cell>
          <cell r="V138">
            <v>424.04459975088002</v>
          </cell>
        </row>
        <row r="140">
          <cell r="B140" t="str">
            <v>Interest Bearing Obligations</v>
          </cell>
          <cell r="F140">
            <v>0</v>
          </cell>
          <cell r="H140">
            <v>412.25</v>
          </cell>
          <cell r="J140">
            <v>412.25</v>
          </cell>
          <cell r="L140">
            <v>2083.0239999999999</v>
          </cell>
          <cell r="N140">
            <v>2083.0239999999999</v>
          </cell>
          <cell r="P140">
            <v>2083.0239999999999</v>
          </cell>
          <cell r="R140">
            <v>2083.0239999999999</v>
          </cell>
          <cell r="T140">
            <v>2083.0239999999999</v>
          </cell>
          <cell r="V140">
            <v>1583.0239999999999</v>
          </cell>
        </row>
        <row r="141">
          <cell r="B141" t="str">
            <v>Interest Rate</v>
          </cell>
          <cell r="F141">
            <v>9.3300000000000005E-5</v>
          </cell>
          <cell r="L141">
            <v>-4.7720552427624449E-2</v>
          </cell>
          <cell r="N141">
            <v>-4.7720552427624449E-2</v>
          </cell>
          <cell r="P141">
            <v>-4.7720552427624449E-2</v>
          </cell>
          <cell r="R141">
            <v>-4.7720552427624449E-2</v>
          </cell>
          <cell r="T141">
            <v>-4.7720552427624449E-2</v>
          </cell>
          <cell r="V141">
            <v>-4.8895693305976408E-2</v>
          </cell>
        </row>
        <row r="142">
          <cell r="B142" t="str">
            <v>Interest Expense</v>
          </cell>
          <cell r="F142">
            <v>0</v>
          </cell>
          <cell r="L142">
            <v>-99.403055999999992</v>
          </cell>
          <cell r="N142">
            <v>-99.403055999999992</v>
          </cell>
          <cell r="P142">
            <v>-99.403055999999992</v>
          </cell>
          <cell r="R142">
            <v>-99.403055999999992</v>
          </cell>
          <cell r="T142">
            <v>-99.403055999999992</v>
          </cell>
          <cell r="V142">
            <v>-77.403055999999992</v>
          </cell>
        </row>
        <row r="143">
          <cell r="B143" t="str">
            <v>Debt #1</v>
          </cell>
          <cell r="F143">
            <v>554.72799999999995</v>
          </cell>
          <cell r="H143">
            <v>623.29</v>
          </cell>
          <cell r="J143">
            <v>703.12</v>
          </cell>
          <cell r="L143">
            <v>583.02399999999989</v>
          </cell>
          <cell r="N143">
            <v>583.02399999999989</v>
          </cell>
          <cell r="P143">
            <v>583.02399999999989</v>
          </cell>
          <cell r="R143">
            <v>583.02399999999989</v>
          </cell>
          <cell r="T143">
            <v>583.02399999999989</v>
          </cell>
          <cell r="V143">
            <v>83.023999999999887</v>
          </cell>
        </row>
        <row r="144">
          <cell r="B144" t="str">
            <v>Interest Rate</v>
          </cell>
          <cell r="F144">
            <v>9.3300000000000005E-5</v>
          </cell>
          <cell r="H144">
            <v>9.3300000000000005E-5</v>
          </cell>
          <cell r="J144">
            <v>9.3300000000000005E-5</v>
          </cell>
          <cell r="L144">
            <v>4.3999999999999997E-2</v>
          </cell>
          <cell r="N144">
            <v>4.3999999999999997E-2</v>
          </cell>
          <cell r="P144">
            <v>4.3999999999999997E-2</v>
          </cell>
          <cell r="R144">
            <v>4.3999999999999997E-2</v>
          </cell>
          <cell r="T144">
            <v>4.3999999999999997E-2</v>
          </cell>
          <cell r="V144">
            <v>4.3999999999999997E-2</v>
          </cell>
        </row>
        <row r="145">
          <cell r="B145" t="str">
            <v>Interest Expense</v>
          </cell>
          <cell r="F145">
            <v>5.17561224E-2</v>
          </cell>
          <cell r="H145">
            <v>5.8152956999999998E-2</v>
          </cell>
          <cell r="J145">
            <v>6.5601095999999998E-2</v>
          </cell>
          <cell r="L145">
            <v>25.653055999999992</v>
          </cell>
          <cell r="N145">
            <v>25.653055999999992</v>
          </cell>
          <cell r="P145">
            <v>25.653055999999992</v>
          </cell>
          <cell r="R145">
            <v>25.653055999999992</v>
          </cell>
          <cell r="T145">
            <v>25.653055999999992</v>
          </cell>
          <cell r="V145">
            <v>3.653055999999995</v>
          </cell>
        </row>
        <row r="146">
          <cell r="B146" t="str">
            <v>Debt #2</v>
          </cell>
          <cell r="F146">
            <v>0</v>
          </cell>
          <cell r="H146">
            <v>0</v>
          </cell>
          <cell r="J146">
            <v>0</v>
          </cell>
          <cell r="L146">
            <v>1000</v>
          </cell>
          <cell r="N146">
            <v>1000</v>
          </cell>
          <cell r="P146">
            <v>1000</v>
          </cell>
          <cell r="R146">
            <v>1000</v>
          </cell>
          <cell r="T146">
            <v>1000</v>
          </cell>
          <cell r="V146">
            <v>1000</v>
          </cell>
        </row>
        <row r="147">
          <cell r="B147" t="str">
            <v>Interest Rate</v>
          </cell>
          <cell r="F147">
            <v>9.3300000000000005E-5</v>
          </cell>
          <cell r="H147">
            <v>0</v>
          </cell>
          <cell r="J147">
            <v>0</v>
          </cell>
          <cell r="L147">
            <v>4.7500000000000001E-2</v>
          </cell>
          <cell r="N147">
            <v>4.7500000000000001E-2</v>
          </cell>
          <cell r="P147">
            <v>4.7500000000000001E-2</v>
          </cell>
          <cell r="R147">
            <v>4.7500000000000001E-2</v>
          </cell>
          <cell r="T147">
            <v>4.7500000000000001E-2</v>
          </cell>
          <cell r="V147">
            <v>4.7500000000000001E-2</v>
          </cell>
        </row>
        <row r="148">
          <cell r="B148" t="str">
            <v>Interest Expense</v>
          </cell>
          <cell r="F148">
            <v>0</v>
          </cell>
          <cell r="H148">
            <v>0</v>
          </cell>
          <cell r="J148">
            <v>0</v>
          </cell>
          <cell r="L148">
            <v>47.5</v>
          </cell>
          <cell r="N148">
            <v>47.5</v>
          </cell>
          <cell r="P148">
            <v>47.5</v>
          </cell>
          <cell r="R148">
            <v>47.5</v>
          </cell>
          <cell r="T148">
            <v>47.5</v>
          </cell>
          <cell r="V148">
            <v>47.5</v>
          </cell>
        </row>
        <row r="149">
          <cell r="B149" t="str">
            <v>Debt #3</v>
          </cell>
          <cell r="F149">
            <v>-1590.366</v>
          </cell>
          <cell r="H149">
            <v>0</v>
          </cell>
          <cell r="J149">
            <v>0</v>
          </cell>
          <cell r="L149">
            <v>500</v>
          </cell>
          <cell r="N149">
            <v>500</v>
          </cell>
          <cell r="P149">
            <v>500</v>
          </cell>
          <cell r="R149">
            <v>500</v>
          </cell>
          <cell r="T149">
            <v>500</v>
          </cell>
          <cell r="V149">
            <v>500</v>
          </cell>
        </row>
        <row r="150">
          <cell r="B150" t="str">
            <v>Interest Rate</v>
          </cell>
          <cell r="F150">
            <v>9.3300000000000005E-5</v>
          </cell>
          <cell r="H150">
            <v>0</v>
          </cell>
          <cell r="J150">
            <v>0</v>
          </cell>
          <cell r="L150">
            <v>5.2499999999999998E-2</v>
          </cell>
          <cell r="N150">
            <v>5.2499999999999998E-2</v>
          </cell>
          <cell r="P150">
            <v>5.2499999999999998E-2</v>
          </cell>
          <cell r="R150">
            <v>5.2499999999999998E-2</v>
          </cell>
          <cell r="T150">
            <v>5.2499999999999998E-2</v>
          </cell>
          <cell r="V150">
            <v>5.2499999999999998E-2</v>
          </cell>
        </row>
        <row r="151">
          <cell r="B151" t="str">
            <v>Interest Expense</v>
          </cell>
          <cell r="F151">
            <v>-0.1483811478</v>
          </cell>
          <cell r="H151">
            <v>0</v>
          </cell>
          <cell r="J151">
            <v>0</v>
          </cell>
          <cell r="L151">
            <v>26.25</v>
          </cell>
          <cell r="N151">
            <v>26.25</v>
          </cell>
          <cell r="P151">
            <v>26.25</v>
          </cell>
          <cell r="R151">
            <v>26.25</v>
          </cell>
          <cell r="T151">
            <v>26.25</v>
          </cell>
          <cell r="V151">
            <v>26.25</v>
          </cell>
        </row>
        <row r="152">
          <cell r="D152" t="str">
            <v>2000A</v>
          </cell>
          <cell r="E152" t="str">
            <v>2001A</v>
          </cell>
          <cell r="F152" t="str">
            <v>2002A</v>
          </cell>
          <cell r="H152" t="str">
            <v>2003A</v>
          </cell>
          <cell r="I152" t="str">
            <v>2004E</v>
          </cell>
          <cell r="J152" t="str">
            <v>2005E</v>
          </cell>
          <cell r="K152" t="str">
            <v>2006E</v>
          </cell>
          <cell r="L152" t="str">
            <v>2007E</v>
          </cell>
          <cell r="M152" t="str">
            <v>2008E</v>
          </cell>
          <cell r="N152" t="str">
            <v>2009E</v>
          </cell>
          <cell r="O152" t="str">
            <v>2010E</v>
          </cell>
        </row>
        <row r="153">
          <cell r="B153" t="str">
            <v>RNOA</v>
          </cell>
        </row>
        <row r="154">
          <cell r="B154" t="str">
            <v>ROE</v>
          </cell>
        </row>
        <row r="155">
          <cell r="B155" t="str">
            <v>Operating Margin</v>
          </cell>
          <cell r="D155">
            <v>0.23109484655632037</v>
          </cell>
          <cell r="E155">
            <v>0.22983837826413678</v>
          </cell>
          <cell r="F155">
            <v>0.24055711926676934</v>
          </cell>
          <cell r="H155">
            <v>0.25620589712352548</v>
          </cell>
          <cell r="I155">
            <v>0.28551025707608407</v>
          </cell>
          <cell r="J155">
            <v>0.31694360513418202</v>
          </cell>
          <cell r="K155">
            <v>0.35652364818932586</v>
          </cell>
          <cell r="L155">
            <v>0.39079481045141073</v>
          </cell>
          <cell r="M155">
            <v>0.41648950612743196</v>
          </cell>
          <cell r="N155">
            <v>0.43423843372946319</v>
          </cell>
          <cell r="O155">
            <v>0.45021543822400667</v>
          </cell>
        </row>
        <row r="193">
          <cell r="N193">
            <v>44.013721844271316</v>
          </cell>
          <cell r="P193">
            <v>33.29289312441832</v>
          </cell>
          <cell r="R193">
            <v>26.640507605564949</v>
          </cell>
          <cell r="T193">
            <v>22.631589842223477</v>
          </cell>
          <cell r="V193">
            <v>19.727270219320825</v>
          </cell>
        </row>
      </sheetData>
      <sheetData sheetId="8" refreshError="1">
        <row r="1">
          <cell r="B1" t="str">
            <v>Genentech Balance Sheet</v>
          </cell>
          <cell r="Y1" t="str">
            <v>ElementName</v>
          </cell>
          <cell r="Z1" t="str">
            <v>ScaleOverride</v>
          </cell>
          <cell r="AA1" t="str">
            <v>UnitOverride</v>
          </cell>
          <cell r="AB1" t="str">
            <v>ReverseSign</v>
          </cell>
          <cell r="AC1" t="str">
            <v>IsDrivingAssumption</v>
          </cell>
          <cell r="AD1" t="str">
            <v>SegmentID</v>
          </cell>
        </row>
        <row r="2">
          <cell r="B2" t="str">
            <v>(Dollars in millions)</v>
          </cell>
        </row>
        <row r="4">
          <cell r="C4" t="str">
            <v>1999A</v>
          </cell>
          <cell r="D4" t="str">
            <v>2000A</v>
          </cell>
          <cell r="E4" t="str">
            <v>2001A</v>
          </cell>
          <cell r="F4" t="str">
            <v>2002A</v>
          </cell>
          <cell r="H4" t="str">
            <v>2003A</v>
          </cell>
          <cell r="J4" t="str">
            <v>2004A</v>
          </cell>
          <cell r="L4" t="str">
            <v>2005A</v>
          </cell>
          <cell r="N4" t="str">
            <v>2006E</v>
          </cell>
          <cell r="P4" t="str">
            <v>2007E</v>
          </cell>
          <cell r="R4" t="str">
            <v>2008E</v>
          </cell>
          <cell r="T4" t="str">
            <v>2009E</v>
          </cell>
          <cell r="V4" t="str">
            <v>2010E</v>
          </cell>
        </row>
        <row r="6">
          <cell r="B6" t="str">
            <v>Cash and Equivalents</v>
          </cell>
          <cell r="D6">
            <v>551.38400000000001</v>
          </cell>
          <cell r="E6">
            <v>395.20299999999997</v>
          </cell>
          <cell r="F6">
            <v>208.13</v>
          </cell>
          <cell r="H6">
            <v>371.87784265857772</v>
          </cell>
          <cell r="J6">
            <v>270.12299999999999</v>
          </cell>
          <cell r="L6">
            <v>1225.511</v>
          </cell>
          <cell r="N6">
            <v>1001.9307644519329</v>
          </cell>
          <cell r="P6">
            <v>1235.2980208887568</v>
          </cell>
          <cell r="R6">
            <v>2295.300673845175</v>
          </cell>
          <cell r="T6">
            <v>3470.4376380118142</v>
          </cell>
          <cell r="V6">
            <v>4968.5123487017881</v>
          </cell>
          <cell r="Y6" t="str">
            <v>mstag:cashAndCashEquivalents</v>
          </cell>
          <cell r="Z6">
            <v>6</v>
          </cell>
          <cell r="AA6" t="str">
            <v>ISO4217:USD</v>
          </cell>
          <cell r="AB6" t="b">
            <v>0</v>
          </cell>
          <cell r="AC6" t="b">
            <v>0</v>
          </cell>
        </row>
        <row r="7">
          <cell r="B7" t="str">
            <v>Short-term investments</v>
          </cell>
          <cell r="D7">
            <v>642.47500000000002</v>
          </cell>
          <cell r="E7">
            <v>952.875</v>
          </cell>
          <cell r="F7">
            <v>826.44200000000001</v>
          </cell>
          <cell r="H7">
            <v>1139.6199999999999</v>
          </cell>
          <cell r="J7">
            <v>1394.982</v>
          </cell>
          <cell r="L7">
            <v>1139.6500000000001</v>
          </cell>
          <cell r="N7">
            <v>1139.6500000000001</v>
          </cell>
          <cell r="P7">
            <v>1264.6500000000001</v>
          </cell>
          <cell r="R7">
            <v>1514.65</v>
          </cell>
          <cell r="T7">
            <v>2014.65</v>
          </cell>
          <cell r="V7">
            <v>2514.65</v>
          </cell>
          <cell r="Y7" t="str">
            <v>mstag:shortTermInvestments</v>
          </cell>
          <cell r="Z7">
            <v>6</v>
          </cell>
          <cell r="AA7" t="str">
            <v>ISO4217:USD</v>
          </cell>
          <cell r="AB7" t="b">
            <v>0</v>
          </cell>
          <cell r="AC7" t="b">
            <v>0</v>
          </cell>
        </row>
        <row r="8">
          <cell r="B8" t="str">
            <v>Receivables, trade</v>
          </cell>
          <cell r="D8">
            <v>162.12100000000001</v>
          </cell>
          <cell r="E8">
            <v>193.203</v>
          </cell>
          <cell r="F8">
            <v>224.34299999999999</v>
          </cell>
          <cell r="H8">
            <v>299.10000000000002</v>
          </cell>
          <cell r="J8">
            <v>599.05200000000002</v>
          </cell>
          <cell r="L8">
            <v>554.45500000000004</v>
          </cell>
          <cell r="N8">
            <v>760.03000000000009</v>
          </cell>
          <cell r="P8">
            <v>939.92709347360233</v>
          </cell>
          <cell r="R8">
            <v>1092.0155259251524</v>
          </cell>
          <cell r="T8">
            <v>1122.0029983011618</v>
          </cell>
          <cell r="V8">
            <v>1051.8739766251808</v>
          </cell>
          <cell r="Y8" t="str">
            <v>mstag:tradeReceivables</v>
          </cell>
          <cell r="Z8">
            <v>6</v>
          </cell>
          <cell r="AA8" t="str">
            <v>ISO4217:USD</v>
          </cell>
          <cell r="AB8" t="b">
            <v>0</v>
          </cell>
          <cell r="AC8" t="b">
            <v>0</v>
          </cell>
        </row>
        <row r="9">
          <cell r="B9" t="str">
            <v>Receivables, other</v>
          </cell>
          <cell r="D9">
            <v>63.262</v>
          </cell>
          <cell r="E9">
            <v>77.837000000000003</v>
          </cell>
          <cell r="F9">
            <v>87.244</v>
          </cell>
          <cell r="H9">
            <v>73.400000000000006</v>
          </cell>
          <cell r="J9">
            <v>140.83799999999999</v>
          </cell>
          <cell r="L9">
            <v>232.297</v>
          </cell>
          <cell r="N9">
            <v>228.00900000000001</v>
          </cell>
          <cell r="P9">
            <v>281.9781280420807</v>
          </cell>
          <cell r="R9">
            <v>327.6046577775457</v>
          </cell>
          <cell r="T9">
            <v>336.60089949034852</v>
          </cell>
          <cell r="V9">
            <v>315.56219298755423</v>
          </cell>
          <cell r="Y9" t="str">
            <v>mstag:tradeReceivables</v>
          </cell>
          <cell r="Z9">
            <v>6</v>
          </cell>
          <cell r="AA9" t="str">
            <v>ISO4217:USD</v>
          </cell>
          <cell r="AB9" t="b">
            <v>0</v>
          </cell>
          <cell r="AC9" t="b">
            <v>0</v>
          </cell>
        </row>
        <row r="10">
          <cell r="B10" t="str">
            <v>Receivables, related party</v>
          </cell>
          <cell r="D10">
            <v>36.298999999999999</v>
          </cell>
          <cell r="E10">
            <v>66.867000000000004</v>
          </cell>
          <cell r="F10">
            <v>106.89400000000001</v>
          </cell>
          <cell r="H10">
            <v>201.6</v>
          </cell>
          <cell r="J10">
            <v>217.482</v>
          </cell>
          <cell r="L10">
            <v>296.66399999999999</v>
          </cell>
          <cell r="N10">
            <v>532.02100000000007</v>
          </cell>
          <cell r="P10">
            <v>657.94896543152163</v>
          </cell>
          <cell r="R10">
            <v>764.41086814760661</v>
          </cell>
          <cell r="T10">
            <v>785.40209881081319</v>
          </cell>
          <cell r="V10">
            <v>736.31178363762649</v>
          </cell>
          <cell r="Y10" t="str">
            <v>mstag:tradeReceivables</v>
          </cell>
          <cell r="Z10">
            <v>6</v>
          </cell>
          <cell r="AA10" t="str">
            <v>ISO4217:USD</v>
          </cell>
          <cell r="AB10" t="b">
            <v>0</v>
          </cell>
          <cell r="AC10" t="b">
            <v>0</v>
          </cell>
        </row>
        <row r="11">
          <cell r="B11" t="str">
            <v>Inventories</v>
          </cell>
          <cell r="D11">
            <v>265.83</v>
          </cell>
          <cell r="E11">
            <v>356.94600000000003</v>
          </cell>
          <cell r="F11">
            <v>393.54199999999997</v>
          </cell>
          <cell r="H11">
            <v>469.64</v>
          </cell>
          <cell r="J11">
            <v>590.34299999999996</v>
          </cell>
          <cell r="L11">
            <v>702.51499999999999</v>
          </cell>
          <cell r="N11">
            <v>905.58340740740744</v>
          </cell>
          <cell r="P11">
            <v>1076.257091986759</v>
          </cell>
          <cell r="R11">
            <v>1156.4785712011355</v>
          </cell>
          <cell r="T11">
            <v>1216.2878287085962</v>
          </cell>
          <cell r="V11">
            <v>1267.542714652734</v>
          </cell>
          <cell r="Y11" t="str">
            <v>mstag:inventories</v>
          </cell>
          <cell r="Z11">
            <v>6</v>
          </cell>
          <cell r="AA11" t="str">
            <v>ISO4217:USD</v>
          </cell>
          <cell r="AB11" t="b">
            <v>0</v>
          </cell>
          <cell r="AC11" t="b">
            <v>0</v>
          </cell>
        </row>
        <row r="12">
          <cell r="B12" t="str">
            <v>Deferred Tax assets, Net</v>
          </cell>
          <cell r="D12">
            <v>40.619</v>
          </cell>
          <cell r="E12">
            <v>139.56700000000001</v>
          </cell>
          <cell r="F12">
            <v>82.299000000000007</v>
          </cell>
          <cell r="H12">
            <v>121.88500000000001</v>
          </cell>
          <cell r="J12">
            <v>148.37</v>
          </cell>
          <cell r="L12">
            <v>166.56100000000001</v>
          </cell>
          <cell r="N12">
            <v>166.56100000000001</v>
          </cell>
          <cell r="P12">
            <v>166.56100000000001</v>
          </cell>
          <cell r="R12">
            <v>166.56100000000001</v>
          </cell>
          <cell r="T12">
            <v>166.56100000000001</v>
          </cell>
          <cell r="V12">
            <v>166.56100000000001</v>
          </cell>
          <cell r="Y12" t="str">
            <v>mstag:deferredTaxAssets</v>
          </cell>
          <cell r="Z12">
            <v>6</v>
          </cell>
          <cell r="AA12" t="str">
            <v>ISO4217:USD</v>
          </cell>
          <cell r="AB12" t="b">
            <v>0</v>
          </cell>
          <cell r="AC12" t="b">
            <v>0</v>
          </cell>
        </row>
        <row r="13">
          <cell r="B13" t="str">
            <v>Prepaid expenses and other current assets</v>
          </cell>
          <cell r="D13">
            <v>31.431999999999999</v>
          </cell>
          <cell r="E13">
            <v>38.896000000000001</v>
          </cell>
          <cell r="F13">
            <v>153.88999999999999</v>
          </cell>
          <cell r="H13">
            <v>79.44</v>
          </cell>
          <cell r="J13">
            <v>61.567</v>
          </cell>
          <cell r="L13">
            <v>101.126</v>
          </cell>
          <cell r="N13">
            <v>146.7183995</v>
          </cell>
          <cell r="P13">
            <v>206.13904673091855</v>
          </cell>
          <cell r="R13">
            <v>229.39290678567519</v>
          </cell>
          <cell r="T13">
            <v>247.56660773485044</v>
          </cell>
          <cell r="V13">
            <v>260.2368329771009</v>
          </cell>
          <cell r="Y13" t="str">
            <v>mstag:prepaidExpenses</v>
          </cell>
          <cell r="Z13">
            <v>6</v>
          </cell>
          <cell r="AA13" t="str">
            <v>ISO4217:USD</v>
          </cell>
          <cell r="AB13" t="b">
            <v>0</v>
          </cell>
          <cell r="AC13" t="b">
            <v>0</v>
          </cell>
        </row>
        <row r="14">
          <cell r="B14" t="str">
            <v>Total current assets</v>
          </cell>
          <cell r="D14">
            <v>1793.4219999999998</v>
          </cell>
          <cell r="E14">
            <v>2221.3940000000002</v>
          </cell>
          <cell r="F14">
            <v>2082.7840000000001</v>
          </cell>
          <cell r="H14">
            <v>2756.5628426585777</v>
          </cell>
          <cell r="J14">
            <v>3422.7570000000001</v>
          </cell>
          <cell r="L14">
            <v>4418.7790000000005</v>
          </cell>
          <cell r="N14">
            <v>4880.5035713593397</v>
          </cell>
          <cell r="P14">
            <v>5828.7593465536384</v>
          </cell>
          <cell r="R14">
            <v>7546.4142036822905</v>
          </cell>
          <cell r="T14">
            <v>9359.5090710575842</v>
          </cell>
          <cell r="V14">
            <v>11281.250849581984</v>
          </cell>
        </row>
        <row r="16">
          <cell r="B16" t="str">
            <v>Long-term marketable securities</v>
          </cell>
          <cell r="D16">
            <v>1265.5150000000001</v>
          </cell>
          <cell r="E16">
            <v>1516.8130000000001</v>
          </cell>
          <cell r="F16">
            <v>567.28599999999994</v>
          </cell>
          <cell r="H16">
            <v>1422.9</v>
          </cell>
          <cell r="J16">
            <v>1115.327</v>
          </cell>
          <cell r="L16">
            <v>1448.731</v>
          </cell>
          <cell r="N16">
            <v>1448.731</v>
          </cell>
          <cell r="P16">
            <v>1823.731</v>
          </cell>
          <cell r="R16">
            <v>2573.7309999999998</v>
          </cell>
          <cell r="T16">
            <v>4073.7309999999998</v>
          </cell>
          <cell r="V16">
            <v>5573.7309999999998</v>
          </cell>
          <cell r="Y16" t="str">
            <v>mstag:longTermInvestmentsNonOperating</v>
          </cell>
          <cell r="Z16">
            <v>6</v>
          </cell>
          <cell r="AA16" t="str">
            <v>ISO4217:USD</v>
          </cell>
          <cell r="AB16" t="b">
            <v>0</v>
          </cell>
          <cell r="AC16" t="b">
            <v>0</v>
          </cell>
        </row>
        <row r="17">
          <cell r="B17" t="str">
            <v>Property, Plant &amp; Equipment, Net</v>
          </cell>
          <cell r="D17">
            <v>752.89200000000005</v>
          </cell>
          <cell r="E17">
            <v>865.66800000000001</v>
          </cell>
          <cell r="F17">
            <v>1068.7339999999999</v>
          </cell>
          <cell r="H17">
            <v>1617.9</v>
          </cell>
          <cell r="J17">
            <v>2091.404</v>
          </cell>
          <cell r="L17">
            <v>3349.3519999999999</v>
          </cell>
          <cell r="N17">
            <v>4554.0653750000001</v>
          </cell>
          <cell r="P17">
            <v>5783.2955411838693</v>
          </cell>
          <cell r="R17">
            <v>6559.6626049312927</v>
          </cell>
          <cell r="T17">
            <v>6993.2829589207122</v>
          </cell>
          <cell r="V17">
            <v>7343.3774458479393</v>
          </cell>
          <cell r="Y17" t="str">
            <v>mstag:propertyPlantAndEquipmentNet</v>
          </cell>
          <cell r="Z17">
            <v>6</v>
          </cell>
          <cell r="AA17" t="str">
            <v>ISO4217:USD</v>
          </cell>
          <cell r="AB17" t="b">
            <v>0</v>
          </cell>
          <cell r="AC17" t="b">
            <v>0</v>
          </cell>
        </row>
        <row r="18">
          <cell r="B18" t="str">
            <v>Goodwill</v>
          </cell>
          <cell r="D18">
            <v>1280.3589999999999</v>
          </cell>
          <cell r="E18">
            <v>1302.4929999999999</v>
          </cell>
          <cell r="F18">
            <v>1315.09</v>
          </cell>
          <cell r="H18">
            <v>1315.09</v>
          </cell>
          <cell r="J18">
            <v>1315.019</v>
          </cell>
          <cell r="L18">
            <v>1315.019</v>
          </cell>
          <cell r="N18">
            <v>1315.019</v>
          </cell>
          <cell r="P18">
            <v>1315.019</v>
          </cell>
          <cell r="R18">
            <v>1315.019</v>
          </cell>
          <cell r="T18">
            <v>1315.019</v>
          </cell>
          <cell r="V18">
            <v>1315.019</v>
          </cell>
          <cell r="Y18" t="str">
            <v>mstag:goodwill</v>
          </cell>
          <cell r="Z18">
            <v>6</v>
          </cell>
          <cell r="AA18" t="str">
            <v>ISO4217:USD</v>
          </cell>
          <cell r="AB18" t="b">
            <v>0</v>
          </cell>
          <cell r="AC18" t="b">
            <v>0</v>
          </cell>
        </row>
        <row r="19">
          <cell r="B19" t="str">
            <v>Intangible Assets, net</v>
          </cell>
          <cell r="D19">
            <v>1455.778</v>
          </cell>
          <cell r="E19">
            <v>1113.299</v>
          </cell>
          <cell r="F19">
            <v>927.5</v>
          </cell>
          <cell r="H19">
            <v>810.81</v>
          </cell>
          <cell r="J19">
            <v>668.39099999999996</v>
          </cell>
          <cell r="L19">
            <v>573.779</v>
          </cell>
          <cell r="N19">
            <v>452.07900000000001</v>
          </cell>
          <cell r="P19">
            <v>331.57900000000001</v>
          </cell>
          <cell r="R19">
            <v>213.07900000000001</v>
          </cell>
          <cell r="T19">
            <v>213.07900000000001</v>
          </cell>
          <cell r="V19">
            <v>213.07900000000001</v>
          </cell>
          <cell r="Y19" t="str">
            <v>mstag:otherIntangibleAssets</v>
          </cell>
          <cell r="Z19">
            <v>6</v>
          </cell>
          <cell r="AA19" t="str">
            <v>ISO4217:USD</v>
          </cell>
          <cell r="AB19" t="b">
            <v>0</v>
          </cell>
          <cell r="AC19" t="b">
            <v>0</v>
          </cell>
        </row>
        <row r="20">
          <cell r="B20" t="str">
            <v>Other assets</v>
          </cell>
          <cell r="D20">
            <v>168.458</v>
          </cell>
          <cell r="E20">
            <v>127.22200000000001</v>
          </cell>
          <cell r="F20">
            <v>796.65800000000002</v>
          </cell>
          <cell r="H20">
            <v>812.7</v>
          </cell>
          <cell r="J20">
            <v>790.49700000000007</v>
          </cell>
          <cell r="L20">
            <v>1041.2190000000001</v>
          </cell>
          <cell r="N20">
            <v>1041.2190000000001</v>
          </cell>
          <cell r="P20">
            <v>1041.2190000000001</v>
          </cell>
          <cell r="R20">
            <v>1041.2190000000001</v>
          </cell>
          <cell r="T20">
            <v>1041.2190000000001</v>
          </cell>
          <cell r="V20">
            <v>1041.2190000000001</v>
          </cell>
          <cell r="Y20" t="str">
            <v>mstag:otherAssetsNonOperating</v>
          </cell>
          <cell r="Z20">
            <v>6</v>
          </cell>
          <cell r="AA20" t="str">
            <v>ISO4217:USD</v>
          </cell>
          <cell r="AB20" t="b">
            <v>0</v>
          </cell>
          <cell r="AC20" t="b">
            <v>0</v>
          </cell>
        </row>
        <row r="21">
          <cell r="B21" t="str">
            <v>Total Non-current assets</v>
          </cell>
          <cell r="D21">
            <v>4923.0019999999995</v>
          </cell>
          <cell r="E21">
            <v>4925.4949999999999</v>
          </cell>
          <cell r="F21">
            <v>4675.268</v>
          </cell>
          <cell r="H21">
            <v>5979.4000000000005</v>
          </cell>
          <cell r="J21">
            <v>5980.6379999999999</v>
          </cell>
          <cell r="L21">
            <v>7728.0999999999995</v>
          </cell>
          <cell r="N21">
            <v>8811.1133750000008</v>
          </cell>
          <cell r="P21">
            <v>10294.843541183869</v>
          </cell>
          <cell r="R21">
            <v>11702.710604931293</v>
          </cell>
          <cell r="T21">
            <v>13636.330958920713</v>
          </cell>
          <cell r="V21">
            <v>15486.425445847937</v>
          </cell>
        </row>
        <row r="23">
          <cell r="B23" t="str">
            <v>Total assets</v>
          </cell>
          <cell r="D23">
            <v>6716.4239999999991</v>
          </cell>
          <cell r="E23">
            <v>7146.8890000000001</v>
          </cell>
          <cell r="F23">
            <v>6758.0519999999997</v>
          </cell>
          <cell r="H23">
            <v>8735.9628426585787</v>
          </cell>
          <cell r="J23">
            <v>9403.3950000000004</v>
          </cell>
          <cell r="L23">
            <v>12146.879000000001</v>
          </cell>
          <cell r="N23">
            <v>13691.61694635934</v>
          </cell>
          <cell r="P23">
            <v>16123.602887737507</v>
          </cell>
          <cell r="R23">
            <v>19249.124808613582</v>
          </cell>
          <cell r="T23">
            <v>22995.840029978295</v>
          </cell>
          <cell r="V23">
            <v>26767.676295429919</v>
          </cell>
        </row>
        <row r="25">
          <cell r="B25" t="str">
            <v>Accounts Payable</v>
          </cell>
          <cell r="D25">
            <v>39.113999999999997</v>
          </cell>
          <cell r="E25">
            <v>33.347999999999999</v>
          </cell>
          <cell r="F25">
            <v>51.38</v>
          </cell>
          <cell r="H25">
            <v>59.7</v>
          </cell>
          <cell r="J25">
            <v>104.83199999999999</v>
          </cell>
          <cell r="L25">
            <v>338.97800000000001</v>
          </cell>
          <cell r="N25">
            <v>407.51253333333335</v>
          </cell>
          <cell r="P25">
            <v>456.59391781256443</v>
          </cell>
          <cell r="R25">
            <v>490.62727263078477</v>
          </cell>
          <cell r="T25">
            <v>516.00089702788932</v>
          </cell>
          <cell r="V25">
            <v>537.7453940950993</v>
          </cell>
          <cell r="Y25" t="str">
            <v>mstag:tradeAndOtherPayables</v>
          </cell>
          <cell r="Z25">
            <v>6</v>
          </cell>
          <cell r="AA25" t="str">
            <v>ISO4217:USD</v>
          </cell>
          <cell r="AB25" t="b">
            <v>0</v>
          </cell>
          <cell r="AC25" t="b">
            <v>0</v>
          </cell>
        </row>
        <row r="26">
          <cell r="B26" t="str">
            <v>Accrued liabilities-related parties</v>
          </cell>
          <cell r="D26">
            <v>12.265000000000001</v>
          </cell>
          <cell r="E26">
            <v>45.259</v>
          </cell>
          <cell r="F26">
            <v>51.116</v>
          </cell>
          <cell r="H26">
            <v>58.1</v>
          </cell>
          <cell r="J26">
            <v>108.416</v>
          </cell>
          <cell r="L26">
            <v>131.774</v>
          </cell>
          <cell r="N26">
            <v>123.24345558</v>
          </cell>
          <cell r="P26">
            <v>137.42603115394573</v>
          </cell>
          <cell r="R26">
            <v>145.28217429759431</v>
          </cell>
          <cell r="T26">
            <v>148.53996464091026</v>
          </cell>
          <cell r="V26">
            <v>147.46753868702385</v>
          </cell>
          <cell r="Y26" t="str">
            <v>mstag:accruedExpenses</v>
          </cell>
          <cell r="Z26">
            <v>6</v>
          </cell>
          <cell r="AA26" t="str">
            <v>ISO4217:USD</v>
          </cell>
          <cell r="AB26" t="b">
            <v>0</v>
          </cell>
          <cell r="AC26" t="b">
            <v>0</v>
          </cell>
        </row>
        <row r="27">
          <cell r="B27" t="str">
            <v>Accrued Liabilities</v>
          </cell>
          <cell r="D27">
            <v>386.48</v>
          </cell>
          <cell r="E27">
            <v>415.95499999999998</v>
          </cell>
          <cell r="F27">
            <v>524.12</v>
          </cell>
          <cell r="H27">
            <v>707.75</v>
          </cell>
          <cell r="J27">
            <v>978.79300000000012</v>
          </cell>
          <cell r="L27">
            <v>1144.7530000000002</v>
          </cell>
          <cell r="N27">
            <v>1109.19110022</v>
          </cell>
          <cell r="P27">
            <v>1236.8342803855116</v>
          </cell>
          <cell r="R27">
            <v>1307.5395686783486</v>
          </cell>
          <cell r="T27">
            <v>1336.8596817681923</v>
          </cell>
          <cell r="V27">
            <v>1327.2078481832148</v>
          </cell>
          <cell r="Y27" t="str">
            <v>mstag:accruedExpenses</v>
          </cell>
          <cell r="Z27">
            <v>6</v>
          </cell>
          <cell r="AA27" t="str">
            <v>ISO4217:USD</v>
          </cell>
          <cell r="AB27" t="b">
            <v>0</v>
          </cell>
          <cell r="AC27" t="b">
            <v>0</v>
          </cell>
        </row>
        <row r="28">
          <cell r="B28" t="str">
            <v>Deferred Revenue</v>
          </cell>
          <cell r="D28">
            <v>15.433</v>
          </cell>
          <cell r="E28">
            <v>19.542999999999999</v>
          </cell>
          <cell r="F28">
            <v>20.044</v>
          </cell>
          <cell r="H28">
            <v>47.48</v>
          </cell>
          <cell r="J28">
            <v>45.988999999999997</v>
          </cell>
          <cell r="L28">
            <v>44.326999999999998</v>
          </cell>
          <cell r="N28">
            <v>68.402699999999996</v>
          </cell>
          <cell r="P28">
            <v>84.593438412624209</v>
          </cell>
          <cell r="R28">
            <v>98.281397333263726</v>
          </cell>
          <cell r="T28">
            <v>109.39529233436328</v>
          </cell>
          <cell r="V28">
            <v>118.33582237033283</v>
          </cell>
          <cell r="Y28" t="str">
            <v>mstag:deferredRevenue</v>
          </cell>
          <cell r="Z28">
            <v>6</v>
          </cell>
          <cell r="AA28" t="str">
            <v>ISO4217:USD</v>
          </cell>
          <cell r="AB28" t="b">
            <v>0</v>
          </cell>
          <cell r="AC28" t="b">
            <v>0</v>
          </cell>
        </row>
        <row r="29">
          <cell r="B29" t="str">
            <v>Total current liabilities</v>
          </cell>
          <cell r="D29">
            <v>453.29200000000003</v>
          </cell>
          <cell r="E29">
            <v>514.10500000000002</v>
          </cell>
          <cell r="F29">
            <v>646.66</v>
          </cell>
          <cell r="H29">
            <v>873.03</v>
          </cell>
          <cell r="J29">
            <v>1238.0300000000002</v>
          </cell>
          <cell r="L29">
            <v>1659.8320000000001</v>
          </cell>
          <cell r="N29">
            <v>1708.3497891333334</v>
          </cell>
          <cell r="P29">
            <v>1915.447667764646</v>
          </cell>
          <cell r="R29">
            <v>2041.7304129399913</v>
          </cell>
          <cell r="T29">
            <v>2110.7958357713551</v>
          </cell>
          <cell r="V29">
            <v>2130.7566033356707</v>
          </cell>
        </row>
        <row r="31">
          <cell r="B31" t="str">
            <v xml:space="preserve">Long-Term Debt </v>
          </cell>
          <cell r="D31">
            <v>149.69200000000001</v>
          </cell>
          <cell r="E31">
            <v>149.69200000000001</v>
          </cell>
          <cell r="F31">
            <v>0</v>
          </cell>
          <cell r="H31">
            <v>412.25</v>
          </cell>
          <cell r="J31">
            <v>412.25</v>
          </cell>
          <cell r="L31">
            <v>2083.0239999999999</v>
          </cell>
          <cell r="N31">
            <v>2083.0239999999999</v>
          </cell>
          <cell r="P31">
            <v>2083.0239999999999</v>
          </cell>
          <cell r="R31">
            <v>2083.0239999999999</v>
          </cell>
          <cell r="T31">
            <v>2083.0239999999999</v>
          </cell>
          <cell r="V31">
            <v>1583.0239999999999</v>
          </cell>
          <cell r="Y31" t="str">
            <v>mstag:longTermDebt</v>
          </cell>
          <cell r="Z31">
            <v>6</v>
          </cell>
          <cell r="AA31" t="str">
            <v>ISO4217:USD</v>
          </cell>
          <cell r="AB31" t="b">
            <v>0</v>
          </cell>
          <cell r="AC31" t="b">
            <v>0</v>
          </cell>
        </row>
        <row r="32">
          <cell r="B32" t="str">
            <v>Deferred Tax Liabilities</v>
          </cell>
          <cell r="D32">
            <v>349.84800000000001</v>
          </cell>
          <cell r="E32">
            <v>447.80900000000003</v>
          </cell>
          <cell r="F32">
            <v>148.24700000000001</v>
          </cell>
          <cell r="H32">
            <v>26.056000000000001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R32">
            <v>0</v>
          </cell>
          <cell r="T32">
            <v>0</v>
          </cell>
          <cell r="V32">
            <v>0</v>
          </cell>
          <cell r="Y32" t="str">
            <v>mstag:deferredTaxLiabilities</v>
          </cell>
          <cell r="Z32">
            <v>6</v>
          </cell>
          <cell r="AA32" t="str">
            <v>ISO4217:USD</v>
          </cell>
          <cell r="AB32" t="b">
            <v>0</v>
          </cell>
          <cell r="AC32" t="b">
            <v>0</v>
          </cell>
        </row>
        <row r="33">
          <cell r="B33" t="str">
            <v>Deferred Revenue</v>
          </cell>
          <cell r="D33">
            <v>87.6</v>
          </cell>
          <cell r="E33">
            <v>68.033000000000001</v>
          </cell>
          <cell r="F33">
            <v>69.533000000000001</v>
          </cell>
          <cell r="H33">
            <v>281.2</v>
          </cell>
          <cell r="J33">
            <v>267.80500000000001</v>
          </cell>
          <cell r="L33">
            <v>220.09299999999999</v>
          </cell>
          <cell r="N33">
            <v>387.61529999999999</v>
          </cell>
          <cell r="P33">
            <v>479.36281767153719</v>
          </cell>
          <cell r="R33">
            <v>556.92791822182778</v>
          </cell>
          <cell r="T33">
            <v>619.90665656139197</v>
          </cell>
          <cell r="V33">
            <v>670.56966009855273</v>
          </cell>
          <cell r="Y33" t="str">
            <v>mstag:deferredRevenue</v>
          </cell>
          <cell r="Z33">
            <v>6</v>
          </cell>
          <cell r="AA33" t="str">
            <v>ISO4217:USD</v>
          </cell>
          <cell r="AB33" t="b">
            <v>0</v>
          </cell>
          <cell r="AC33" t="b">
            <v>0</v>
          </cell>
        </row>
        <row r="34">
          <cell r="B34" t="str">
            <v>Litigation related and other long-term liabilities</v>
          </cell>
          <cell r="D34">
            <v>1.7889999999999999</v>
          </cell>
          <cell r="E34">
            <v>47.430999999999997</v>
          </cell>
          <cell r="F34">
            <v>554.72799999999995</v>
          </cell>
          <cell r="H34">
            <v>623.29</v>
          </cell>
          <cell r="J34">
            <v>703.12</v>
          </cell>
          <cell r="L34">
            <v>714.346</v>
          </cell>
          <cell r="N34">
            <v>766.346</v>
          </cell>
          <cell r="P34">
            <v>818.346</v>
          </cell>
          <cell r="R34">
            <v>870.346</v>
          </cell>
          <cell r="T34">
            <v>922.346</v>
          </cell>
          <cell r="V34">
            <v>974.346</v>
          </cell>
          <cell r="Y34" t="str">
            <v>mstag:otherLiabilitiesNonOperating</v>
          </cell>
          <cell r="Z34">
            <v>6</v>
          </cell>
          <cell r="AA34" t="str">
            <v>ISO4217:USD</v>
          </cell>
          <cell r="AB34" t="b">
            <v>0</v>
          </cell>
          <cell r="AC34" t="b">
            <v>0</v>
          </cell>
        </row>
        <row r="35">
          <cell r="B35" t="str">
            <v>Total liabilities</v>
          </cell>
          <cell r="D35">
            <v>1042.221</v>
          </cell>
          <cell r="E35">
            <v>1227.07</v>
          </cell>
          <cell r="F35">
            <v>1419.1679999999999</v>
          </cell>
          <cell r="H35">
            <v>2215.826</v>
          </cell>
          <cell r="J35">
            <v>2621.2050000000004</v>
          </cell>
          <cell r="L35">
            <v>4677.2950000000001</v>
          </cell>
          <cell r="N35">
            <v>4945.3350891333339</v>
          </cell>
          <cell r="P35">
            <v>5296.1804854361835</v>
          </cell>
          <cell r="R35">
            <v>5552.0283311618186</v>
          </cell>
          <cell r="T35">
            <v>5736.0724923327471</v>
          </cell>
          <cell r="V35">
            <v>5358.6962634342235</v>
          </cell>
        </row>
        <row r="37">
          <cell r="B37" t="str">
            <v>Stockholders' equity:</v>
          </cell>
          <cell r="J37">
            <v>642.94200000000001</v>
          </cell>
        </row>
        <row r="38">
          <cell r="B38" t="str">
            <v xml:space="preserve">Common Stock </v>
          </cell>
          <cell r="D38">
            <v>10.51</v>
          </cell>
          <cell r="E38">
            <v>10.566000000000001</v>
          </cell>
          <cell r="F38">
            <v>10.256</v>
          </cell>
          <cell r="H38">
            <v>10.494999999999999</v>
          </cell>
          <cell r="J38">
            <v>20.943000000000001</v>
          </cell>
          <cell r="L38">
            <v>21.074000000000002</v>
          </cell>
          <cell r="N38">
            <v>21.074000000000002</v>
          </cell>
          <cell r="P38">
            <v>21.074000000000002</v>
          </cell>
          <cell r="R38">
            <v>21.074000000000002</v>
          </cell>
          <cell r="T38">
            <v>21.074000000000002</v>
          </cell>
          <cell r="V38">
            <v>21.074000000000002</v>
          </cell>
          <cell r="Y38" t="str">
            <v>mstag:commonStock</v>
          </cell>
          <cell r="Z38">
            <v>6</v>
          </cell>
          <cell r="AA38" t="str">
            <v>ISO4217:USD</v>
          </cell>
          <cell r="AB38" t="b">
            <v>0</v>
          </cell>
          <cell r="AC38" t="b">
            <v>0</v>
          </cell>
        </row>
        <row r="39">
          <cell r="B39" t="str">
            <v>APIC</v>
          </cell>
          <cell r="D39">
            <v>6651.4279999999999</v>
          </cell>
          <cell r="E39">
            <v>6794.8310000000001</v>
          </cell>
          <cell r="F39">
            <v>6650.3519999999999</v>
          </cell>
          <cell r="H39">
            <v>7370.26</v>
          </cell>
          <cell r="J39">
            <v>8002.7539999999999</v>
          </cell>
          <cell r="L39">
            <v>9262.6790000000001</v>
          </cell>
          <cell r="N39">
            <v>8807.5888275460075</v>
          </cell>
          <cell r="P39">
            <v>8542.5238553393174</v>
          </cell>
          <cell r="R39">
            <v>8402.1209406899634</v>
          </cell>
          <cell r="T39">
            <v>8385.5884743906445</v>
          </cell>
          <cell r="V39">
            <v>8403.9596403285959</v>
          </cell>
          <cell r="Y39" t="str">
            <v>mstag:additionalPaidInCapital</v>
          </cell>
          <cell r="Z39">
            <v>6</v>
          </cell>
          <cell r="AA39" t="str">
            <v>ISO4217:USD</v>
          </cell>
          <cell r="AB39" t="b">
            <v>0</v>
          </cell>
          <cell r="AC39" t="b">
            <v>0</v>
          </cell>
        </row>
        <row r="40">
          <cell r="B40" t="str">
            <v>(Accumulated Deficit) Retained Earnings</v>
          </cell>
          <cell r="D40">
            <v>-1319.3530000000001</v>
          </cell>
          <cell r="E40">
            <v>-1197.3</v>
          </cell>
          <cell r="F40">
            <v>-1590.366</v>
          </cell>
          <cell r="H40">
            <v>-1157.4680000000001</v>
          </cell>
          <cell r="J40">
            <v>-1532.4549999999999</v>
          </cell>
          <cell r="L40">
            <v>-2067.5909999999999</v>
          </cell>
          <cell r="N40">
            <v>-335.80297031999976</v>
          </cell>
          <cell r="P40">
            <v>2010.4025469620071</v>
          </cell>
          <cell r="R40">
            <v>5020.4795367618008</v>
          </cell>
          <cell r="T40">
            <v>8599.6830632549063</v>
          </cell>
          <cell r="V40">
            <v>12730.524391667106</v>
          </cell>
          <cell r="Y40" t="str">
            <v>mstag:retainedEarnings</v>
          </cell>
          <cell r="Z40">
            <v>6</v>
          </cell>
          <cell r="AA40" t="str">
            <v>ISO4217:USD</v>
          </cell>
          <cell r="AB40" t="b">
            <v>0</v>
          </cell>
          <cell r="AC40" t="b">
            <v>0</v>
          </cell>
        </row>
        <row r="41">
          <cell r="B41" t="str">
            <v>Accumulated Other Comprehensive Income</v>
          </cell>
          <cell r="D41">
            <v>331.61799999999999</v>
          </cell>
          <cell r="E41">
            <v>311.72199999999998</v>
          </cell>
          <cell r="F41">
            <v>268.642</v>
          </cell>
          <cell r="H41">
            <v>296.9026437</v>
          </cell>
          <cell r="J41">
            <v>290.94799999999998</v>
          </cell>
          <cell r="L41">
            <v>253.422</v>
          </cell>
          <cell r="N41">
            <v>253.422</v>
          </cell>
          <cell r="P41">
            <v>253.422</v>
          </cell>
          <cell r="R41">
            <v>253.422</v>
          </cell>
          <cell r="T41">
            <v>253.422</v>
          </cell>
          <cell r="V41">
            <v>253.422</v>
          </cell>
          <cell r="Y41" t="str">
            <v>mstag:accumulatedOtherComprehensiveIncomeLossAndReserves</v>
          </cell>
          <cell r="Z41">
            <v>6</v>
          </cell>
          <cell r="AA41" t="str">
            <v>ISO4217:USD</v>
          </cell>
          <cell r="AB41" t="b">
            <v>0</v>
          </cell>
          <cell r="AC41" t="b">
            <v>0</v>
          </cell>
        </row>
        <row r="42">
          <cell r="B42" t="str">
            <v>Total stockholders' equity</v>
          </cell>
          <cell r="D42">
            <v>5674.2030000000004</v>
          </cell>
          <cell r="E42">
            <v>5919.8189999999995</v>
          </cell>
          <cell r="F42">
            <v>5338.884</v>
          </cell>
          <cell r="H42">
            <v>6520.1896437000005</v>
          </cell>
          <cell r="J42">
            <v>6782.1900000000005</v>
          </cell>
          <cell r="L42">
            <v>7469.5839999999998</v>
          </cell>
          <cell r="N42">
            <v>8746.2818572260094</v>
          </cell>
          <cell r="P42">
            <v>10827.422402301325</v>
          </cell>
          <cell r="R42">
            <v>13697.096477451765</v>
          </cell>
          <cell r="T42">
            <v>17259.767537645552</v>
          </cell>
          <cell r="V42">
            <v>21408.980031995699</v>
          </cell>
        </row>
        <row r="44">
          <cell r="B44" t="str">
            <v>Total Liabilities and Equity</v>
          </cell>
          <cell r="D44">
            <v>6716.4240000000009</v>
          </cell>
          <cell r="E44">
            <v>7146.8889999999992</v>
          </cell>
          <cell r="F44">
            <v>6758.0519999999997</v>
          </cell>
          <cell r="H44">
            <v>8736.0156437000005</v>
          </cell>
          <cell r="J44">
            <v>9403.3950000000004</v>
          </cell>
          <cell r="L44">
            <v>12146.879000000001</v>
          </cell>
          <cell r="N44">
            <v>13691.616946359343</v>
          </cell>
          <cell r="P44">
            <v>16123.602887737508</v>
          </cell>
          <cell r="R44">
            <v>19249.124808613582</v>
          </cell>
          <cell r="T44">
            <v>22995.840029978299</v>
          </cell>
          <cell r="V44">
            <v>26767.676295429923</v>
          </cell>
        </row>
        <row r="45">
          <cell r="J45">
            <v>0</v>
          </cell>
          <cell r="L45">
            <v>0</v>
          </cell>
          <cell r="N45">
            <v>0</v>
          </cell>
          <cell r="P45">
            <v>0</v>
          </cell>
          <cell r="R45">
            <v>0</v>
          </cell>
          <cell r="T45">
            <v>0</v>
          </cell>
          <cell r="V45">
            <v>0</v>
          </cell>
        </row>
        <row r="46">
          <cell r="J46">
            <v>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</row>
        <row r="48">
          <cell r="B48" t="str">
            <v>change in OCI</v>
          </cell>
          <cell r="E48">
            <v>-13.619999999999948</v>
          </cell>
          <cell r="F48">
            <v>-41.321999999999832</v>
          </cell>
          <cell r="H48">
            <v>28.549801041422199</v>
          </cell>
          <cell r="J48">
            <v>-6.5446836999998368</v>
          </cell>
          <cell r="L48">
            <v>-37.672239999998425</v>
          </cell>
          <cell r="N48">
            <v>0</v>
          </cell>
          <cell r="P48">
            <v>-5.6843418860808015E-13</v>
          </cell>
          <cell r="R48">
            <v>7.9580786405131221E-13</v>
          </cell>
          <cell r="T48">
            <v>-7.3896444519050419E-13</v>
          </cell>
          <cell r="V48">
            <v>-5.1159076974727213E-13</v>
          </cell>
        </row>
        <row r="49">
          <cell r="B49" t="str">
            <v>Related to Common Stock &amp; Apic</v>
          </cell>
          <cell r="H49">
            <v>129.84699999999998</v>
          </cell>
          <cell r="J49">
            <v>1159.2129600000001</v>
          </cell>
          <cell r="L49">
            <v>1813.9807600000015</v>
          </cell>
          <cell r="N49">
            <v>0</v>
          </cell>
          <cell r="P49">
            <v>-5.6843418860808015E-13</v>
          </cell>
          <cell r="R49">
            <v>7.9580786405131221E-13</v>
          </cell>
          <cell r="T49">
            <v>-7.3896444519050419E-13</v>
          </cell>
          <cell r="V49">
            <v>-5.1159076974727213E-13</v>
          </cell>
        </row>
        <row r="50">
          <cell r="B50" t="str">
            <v>Related to Retained Earnings</v>
          </cell>
          <cell r="H50">
            <v>-129.55784265857778</v>
          </cell>
          <cell r="J50">
            <v>-1159.8029999999999</v>
          </cell>
          <cell r="L50">
            <v>-1814.127</v>
          </cell>
          <cell r="N50">
            <v>0</v>
          </cell>
          <cell r="P50">
            <v>0</v>
          </cell>
          <cell r="R50">
            <v>0</v>
          </cell>
          <cell r="T50">
            <v>0</v>
          </cell>
          <cell r="V50">
            <v>0</v>
          </cell>
        </row>
        <row r="51">
          <cell r="B51" t="str">
            <v>Related to OCI</v>
          </cell>
          <cell r="H51">
            <v>28.260643700000003</v>
          </cell>
          <cell r="J51">
            <v>-5.9546437000000196</v>
          </cell>
          <cell r="L51">
            <v>-37.525999999999982</v>
          </cell>
          <cell r="N51">
            <v>0</v>
          </cell>
          <cell r="P51">
            <v>0</v>
          </cell>
          <cell r="R51">
            <v>0</v>
          </cell>
          <cell r="T51">
            <v>0</v>
          </cell>
          <cell r="V51">
            <v>0</v>
          </cell>
        </row>
        <row r="52">
          <cell r="E52" t="e">
            <v>#REF!</v>
          </cell>
        </row>
        <row r="53">
          <cell r="H53" t="str">
            <v>2003-FY</v>
          </cell>
          <cell r="J53" t="str">
            <v>2004-FY</v>
          </cell>
          <cell r="L53" t="str">
            <v>2005-FY</v>
          </cell>
          <cell r="N53" t="str">
            <v>2006-FY</v>
          </cell>
          <cell r="P53" t="str">
            <v>2007-FY</v>
          </cell>
          <cell r="R53" t="str">
            <v>2008-FY</v>
          </cell>
          <cell r="T53" t="str">
            <v>2009-FY</v>
          </cell>
          <cell r="V53" t="str">
            <v>2010-FY</v>
          </cell>
        </row>
        <row r="54">
          <cell r="B54" t="str">
            <v>CALCULATIONS</v>
          </cell>
          <cell r="D54">
            <v>5663.6930000000002</v>
          </cell>
          <cell r="E54">
            <v>5909.2529999999997</v>
          </cell>
          <cell r="F54">
            <v>5328.6279999999997</v>
          </cell>
        </row>
        <row r="55">
          <cell r="C55">
            <v>1999</v>
          </cell>
          <cell r="D55">
            <v>2000</v>
          </cell>
          <cell r="E55" t="str">
            <v>2001</v>
          </cell>
          <cell r="F55" t="str">
            <v>2002</v>
          </cell>
          <cell r="H55" t="str">
            <v>2003A</v>
          </cell>
          <cell r="J55" t="str">
            <v>2004A</v>
          </cell>
          <cell r="L55" t="str">
            <v>2005E</v>
          </cell>
          <cell r="N55" t="str">
            <v>2006E</v>
          </cell>
          <cell r="P55" t="str">
            <v>2007E</v>
          </cell>
          <cell r="R55" t="str">
            <v>2008E</v>
          </cell>
          <cell r="T55" t="str">
            <v>2009E</v>
          </cell>
          <cell r="V55" t="str">
            <v>2010E</v>
          </cell>
        </row>
        <row r="56">
          <cell r="B56" t="str">
            <v>Revenues</v>
          </cell>
          <cell r="D56">
            <v>1637.3710000009999</v>
          </cell>
          <cell r="E56">
            <v>2044.0319999999999</v>
          </cell>
          <cell r="F56">
            <v>2583.6215596696479</v>
          </cell>
          <cell r="H56">
            <v>3300.2629999999999</v>
          </cell>
          <cell r="J56">
            <v>4621.2</v>
          </cell>
          <cell r="L56">
            <v>6633.4230000000007</v>
          </cell>
          <cell r="N56">
            <v>9120.36</v>
          </cell>
          <cell r="P56">
            <v>11279.125121683228</v>
          </cell>
          <cell r="R56">
            <v>13104.186311101828</v>
          </cell>
          <cell r="T56">
            <v>14586.038977915103</v>
          </cell>
          <cell r="V56">
            <v>15778.109649377711</v>
          </cell>
        </row>
        <row r="57">
          <cell r="B57" t="str">
            <v>Operating expenses</v>
          </cell>
          <cell r="D57">
            <v>1258.9829999999999</v>
          </cell>
          <cell r="E57">
            <v>1574.2349999999999</v>
          </cell>
          <cell r="F57">
            <v>1962.1129999999998</v>
          </cell>
          <cell r="H57">
            <v>2454.7161573414223</v>
          </cell>
          <cell r="J57">
            <v>3301.8</v>
          </cell>
          <cell r="L57">
            <v>4531.0019999999995</v>
          </cell>
          <cell r="N57">
            <v>5868.7359800000004</v>
          </cell>
          <cell r="P57">
            <v>6871.3015576972857</v>
          </cell>
          <cell r="R57">
            <v>7646.4302261891735</v>
          </cell>
          <cell r="T57">
            <v>8252.2202578283486</v>
          </cell>
          <cell r="V57">
            <v>8674.5610992366965</v>
          </cell>
        </row>
        <row r="58">
          <cell r="B58" t="str">
            <v>COGS</v>
          </cell>
          <cell r="D58">
            <v>272.06799999999998</v>
          </cell>
          <cell r="E58">
            <v>354.44200000000001</v>
          </cell>
          <cell r="F58">
            <v>441.63</v>
          </cell>
          <cell r="H58">
            <v>480.15100000000001</v>
          </cell>
          <cell r="J58">
            <v>672.5</v>
          </cell>
          <cell r="L58">
            <v>1011.0629999999999</v>
          </cell>
          <cell r="N58">
            <v>1222.5376000000001</v>
          </cell>
          <cell r="P58">
            <v>1506.7599287814626</v>
          </cell>
          <cell r="R58">
            <v>1619.0699996815897</v>
          </cell>
          <cell r="T58">
            <v>1702.8029601920346</v>
          </cell>
          <cell r="V58">
            <v>1774.5598005138277</v>
          </cell>
        </row>
        <row r="59">
          <cell r="B59" t="str">
            <v>Interest and other income</v>
          </cell>
          <cell r="D59">
            <v>90.4</v>
          </cell>
          <cell r="E59">
            <v>135.005</v>
          </cell>
          <cell r="F59">
            <v>107.822</v>
          </cell>
          <cell r="H59">
            <v>92.807000000000002</v>
          </cell>
          <cell r="J59">
            <v>82.597000000000008</v>
          </cell>
          <cell r="L59">
            <v>140.9</v>
          </cell>
          <cell r="N59">
            <v>228</v>
          </cell>
          <cell r="P59">
            <v>158.27981570681379</v>
          </cell>
          <cell r="R59">
            <v>214.14721389467866</v>
          </cell>
          <cell r="T59">
            <v>298.9218808473185</v>
          </cell>
          <cell r="V59">
            <v>424.04459975088002</v>
          </cell>
        </row>
        <row r="61">
          <cell r="B61" t="str">
            <v>Depreciation and Amortization from</v>
          </cell>
        </row>
        <row r="62">
          <cell r="A62" t="str">
            <v xml:space="preserve">Existing PP&amp;E </v>
          </cell>
          <cell r="D62">
            <v>463.00400000000002</v>
          </cell>
          <cell r="E62">
            <v>428.09100000000001</v>
          </cell>
          <cell r="F62">
            <v>88.5</v>
          </cell>
          <cell r="H62">
            <v>88.5</v>
          </cell>
          <cell r="J62">
            <v>79.650000000000006</v>
          </cell>
          <cell r="L62">
            <v>71.685000000000002</v>
          </cell>
          <cell r="N62">
            <v>64.516500000000008</v>
          </cell>
          <cell r="P62">
            <v>58.064850000000007</v>
          </cell>
          <cell r="R62">
            <v>52.258365000000005</v>
          </cell>
          <cell r="T62">
            <v>47.032528500000005</v>
          </cell>
          <cell r="V62">
            <v>42.329275650000007</v>
          </cell>
        </row>
        <row r="63">
          <cell r="A63" t="str">
            <v>2002 capital expenditures</v>
          </cell>
          <cell r="F63">
            <v>16.1416</v>
          </cell>
          <cell r="H63">
            <v>16.1416</v>
          </cell>
          <cell r="J63">
            <v>16.1416</v>
          </cell>
          <cell r="L63">
            <v>16.1416</v>
          </cell>
          <cell r="N63">
            <v>16.1416</v>
          </cell>
          <cell r="P63">
            <v>16.1416</v>
          </cell>
          <cell r="R63">
            <v>16.1416</v>
          </cell>
          <cell r="T63">
            <v>16.1416</v>
          </cell>
          <cell r="V63">
            <v>16.1416</v>
          </cell>
          <cell r="X63">
            <v>20</v>
          </cell>
        </row>
        <row r="64">
          <cell r="A64" t="str">
            <v>2003 capital expenditures</v>
          </cell>
          <cell r="H64">
            <v>20.100000000000001</v>
          </cell>
          <cell r="J64">
            <v>20.100000000000001</v>
          </cell>
          <cell r="L64">
            <v>20.100000000000001</v>
          </cell>
          <cell r="N64">
            <v>20.100000000000001</v>
          </cell>
          <cell r="P64">
            <v>20.100000000000001</v>
          </cell>
          <cell r="R64">
            <v>20.100000000000001</v>
          </cell>
          <cell r="T64">
            <v>20.100000000000001</v>
          </cell>
          <cell r="V64">
            <v>20.100000000000001</v>
          </cell>
        </row>
        <row r="65">
          <cell r="A65" t="str">
            <v>2004 capital expenditures</v>
          </cell>
          <cell r="J65">
            <v>32.492899999999999</v>
          </cell>
          <cell r="L65">
            <v>32.492899999999999</v>
          </cell>
          <cell r="N65">
            <v>32.492899999999999</v>
          </cell>
          <cell r="P65">
            <v>32.492899999999999</v>
          </cell>
          <cell r="R65">
            <v>32.492899999999999</v>
          </cell>
          <cell r="T65">
            <v>32.492899999999999</v>
          </cell>
          <cell r="V65">
            <v>32.492899999999999</v>
          </cell>
        </row>
        <row r="66">
          <cell r="A66" t="str">
            <v>2005 capital expenditures</v>
          </cell>
          <cell r="L66">
            <v>69.991200000000006</v>
          </cell>
          <cell r="N66">
            <v>69.991200000000006</v>
          </cell>
          <cell r="P66">
            <v>69.991200000000006</v>
          </cell>
          <cell r="R66">
            <v>69.991200000000006</v>
          </cell>
          <cell r="T66">
            <v>69.991200000000006</v>
          </cell>
          <cell r="V66">
            <v>69.991200000000006</v>
          </cell>
        </row>
        <row r="67">
          <cell r="A67" t="str">
            <v>2006 capital expenditures</v>
          </cell>
          <cell r="N67">
            <v>74.102924999999999</v>
          </cell>
          <cell r="P67">
            <v>74.102924999999999</v>
          </cell>
          <cell r="R67">
            <v>74.102924999999999</v>
          </cell>
          <cell r="T67">
            <v>74.102924999999999</v>
          </cell>
          <cell r="V67">
            <v>74.102924999999999</v>
          </cell>
        </row>
        <row r="68">
          <cell r="A68" t="str">
            <v>2007 capital expenditures</v>
          </cell>
          <cell r="P68">
            <v>78.953875851782612</v>
          </cell>
          <cell r="R68">
            <v>78.953875851782612</v>
          </cell>
          <cell r="T68">
            <v>78.953875851782612</v>
          </cell>
          <cell r="V68">
            <v>78.953875851782612</v>
          </cell>
        </row>
        <row r="69">
          <cell r="A69" t="str">
            <v>2008 capital expenditures</v>
          </cell>
          <cell r="R69">
            <v>58.968838399958223</v>
          </cell>
          <cell r="T69">
            <v>58.968838399958223</v>
          </cell>
          <cell r="V69">
            <v>58.968838399958223</v>
          </cell>
        </row>
        <row r="70">
          <cell r="A70" t="str">
            <v>2009 capital expenditures</v>
          </cell>
          <cell r="T70">
            <v>43.758116933745306</v>
          </cell>
          <cell r="V70">
            <v>43.758116933745306</v>
          </cell>
        </row>
        <row r="71">
          <cell r="A71" t="str">
            <v>2010 capital expenditures</v>
          </cell>
          <cell r="V71">
            <v>41.417537829616492</v>
          </cell>
        </row>
        <row r="72">
          <cell r="A72" t="str">
            <v>Total depreciation</v>
          </cell>
          <cell r="F72">
            <v>104.55499999999998</v>
          </cell>
          <cell r="H72">
            <v>125</v>
          </cell>
          <cell r="J72">
            <v>171.221</v>
          </cell>
          <cell r="L72">
            <v>210.41070000000002</v>
          </cell>
          <cell r="N72">
            <v>277.34512500000005</v>
          </cell>
          <cell r="P72">
            <v>349.84735085178261</v>
          </cell>
          <cell r="R72">
            <v>403.00970425174086</v>
          </cell>
          <cell r="T72">
            <v>441.54198468548617</v>
          </cell>
          <cell r="V72">
            <v>478.25626966510265</v>
          </cell>
        </row>
        <row r="73">
          <cell r="A73" t="str">
            <v>Amortization of intangibles</v>
          </cell>
          <cell r="F73">
            <v>170.4</v>
          </cell>
          <cell r="H73">
            <v>170.4</v>
          </cell>
          <cell r="J73">
            <v>182</v>
          </cell>
          <cell r="L73">
            <v>159.75529999999998</v>
          </cell>
          <cell r="N73">
            <v>121.7</v>
          </cell>
          <cell r="P73">
            <v>120.5</v>
          </cell>
          <cell r="R73">
            <v>118.5</v>
          </cell>
          <cell r="T73">
            <v>0</v>
          </cell>
          <cell r="V73">
            <v>0</v>
          </cell>
        </row>
        <row r="74">
          <cell r="A74" t="str">
            <v>Total depreciation and amortization</v>
          </cell>
          <cell r="C74" t="e">
            <v>#REF!</v>
          </cell>
          <cell r="D74">
            <v>463.00400000000002</v>
          </cell>
          <cell r="E74">
            <v>428.09100000000001</v>
          </cell>
          <cell r="F74">
            <v>274.95499999999998</v>
          </cell>
          <cell r="H74">
            <v>295.39999999999998</v>
          </cell>
          <cell r="J74">
            <v>353.221</v>
          </cell>
          <cell r="L74">
            <v>370.166</v>
          </cell>
          <cell r="N74">
            <v>399.04512500000004</v>
          </cell>
          <cell r="P74">
            <v>470.34735085178261</v>
          </cell>
          <cell r="R74">
            <v>521.50970425174091</v>
          </cell>
          <cell r="T74">
            <v>441.54198468548617</v>
          </cell>
          <cell r="V74">
            <v>478.25626966510265</v>
          </cell>
        </row>
        <row r="75">
          <cell r="A75" t="str">
            <v xml:space="preserve">     Depreciation as % operating expenses</v>
          </cell>
          <cell r="F75">
            <v>5.3286941170054926E-2</v>
          </cell>
          <cell r="H75">
            <v>5.0922384498980573E-2</v>
          </cell>
          <cell r="J75">
            <v>5.1856865951905022E-2</v>
          </cell>
          <cell r="L75">
            <v>4.6438006427717324E-2</v>
          </cell>
          <cell r="N75">
            <v>4.7258068167517063E-2</v>
          </cell>
          <cell r="P75">
            <v>5.0914276998930558E-2</v>
          </cell>
          <cell r="R75">
            <v>5.27056014807308E-2</v>
          </cell>
          <cell r="T75">
            <v>5.3505840960391696E-2</v>
          </cell>
          <cell r="V75">
            <v>5.513319512006043E-2</v>
          </cell>
        </row>
        <row r="76">
          <cell r="A76" t="str">
            <v xml:space="preserve">    Amortization as % of operating expenses</v>
          </cell>
          <cell r="F76">
            <v>8.6845151120246392E-2</v>
          </cell>
          <cell r="H76">
            <v>6.9417394549010317E-2</v>
          </cell>
          <cell r="J76">
            <v>5.5121448906656975E-2</v>
          </cell>
          <cell r="L76">
            <v>3.5258271790654695E-2</v>
          </cell>
          <cell r="N76">
            <v>2.0737003745736744E-2</v>
          </cell>
          <cell r="P76">
            <v>1.7536706690599972E-2</v>
          </cell>
          <cell r="R76">
            <v>1.5497427753167115E-2</v>
          </cell>
          <cell r="T76">
            <v>0</v>
          </cell>
          <cell r="V76">
            <v>0</v>
          </cell>
        </row>
        <row r="78">
          <cell r="A78" t="str">
            <v>Working Capital</v>
          </cell>
        </row>
        <row r="79">
          <cell r="A79" t="str">
            <v>Receivables and other current assets</v>
          </cell>
          <cell r="D79">
            <v>333.73300000000006</v>
          </cell>
          <cell r="E79">
            <v>516.37</v>
          </cell>
          <cell r="F79">
            <v>418.48099999999999</v>
          </cell>
          <cell r="H79">
            <v>574.1</v>
          </cell>
          <cell r="J79">
            <v>957.37199999999996</v>
          </cell>
          <cell r="L79">
            <v>1083.4160000000002</v>
          </cell>
          <cell r="N79">
            <v>1520.0600000000002</v>
          </cell>
          <cell r="P79">
            <v>1879.8541869472047</v>
          </cell>
          <cell r="R79">
            <v>2184.0310518503047</v>
          </cell>
          <cell r="T79">
            <v>2244.0059966023236</v>
          </cell>
          <cell r="V79">
            <v>2103.7479532503617</v>
          </cell>
        </row>
        <row r="80">
          <cell r="A80" t="str">
            <v>% revenue</v>
          </cell>
          <cell r="D80">
            <v>0.20382246906766779</v>
          </cell>
          <cell r="E80">
            <v>0.25262324660279295</v>
          </cell>
          <cell r="F80">
            <v>0.16197457341759783</v>
          </cell>
          <cell r="H80">
            <v>0.17395583321692848</v>
          </cell>
          <cell r="J80">
            <v>0.20716956634640354</v>
          </cell>
          <cell r="L80">
            <v>0.16332683744124263</v>
          </cell>
          <cell r="N80">
            <v>0.16666666666666669</v>
          </cell>
          <cell r="P80">
            <v>0.16666666666666666</v>
          </cell>
          <cell r="R80">
            <v>0.16666666666666666</v>
          </cell>
          <cell r="T80">
            <v>0.15384615384615385</v>
          </cell>
          <cell r="V80">
            <v>0.13333333333333333</v>
          </cell>
        </row>
        <row r="81">
          <cell r="A81" t="str">
            <v>Days receivables outstanding (CHECK)</v>
          </cell>
          <cell r="D81">
            <v>74.39520120969874</v>
          </cell>
          <cell r="E81">
            <v>92.207485010019411</v>
          </cell>
          <cell r="F81">
            <v>59.120719297423214</v>
          </cell>
          <cell r="H81">
            <v>63.493879124178889</v>
          </cell>
          <cell r="J81">
            <v>75.61689171643728</v>
          </cell>
          <cell r="L81">
            <v>59.614295666053565</v>
          </cell>
          <cell r="N81">
            <v>60.833333333333336</v>
          </cell>
          <cell r="P81">
            <v>60.833333333333336</v>
          </cell>
          <cell r="R81">
            <v>60.833333333333336</v>
          </cell>
          <cell r="T81">
            <v>56.153846153846153</v>
          </cell>
          <cell r="V81">
            <v>48.666666666666671</v>
          </cell>
        </row>
        <row r="82">
          <cell r="A82" t="str">
            <v>Accounts receivable turnover</v>
          </cell>
          <cell r="D82">
            <v>4.906230429717767</v>
          </cell>
          <cell r="E82">
            <v>3.958463892170343</v>
          </cell>
          <cell r="F82">
            <v>6.1738085114250056</v>
          </cell>
          <cell r="H82">
            <v>5.748585612262672</v>
          </cell>
          <cell r="J82">
            <v>4.8269638134392903</v>
          </cell>
          <cell r="L82">
            <v>6.1226924837735455</v>
          </cell>
          <cell r="N82">
            <v>6</v>
          </cell>
          <cell r="P82">
            <v>6</v>
          </cell>
          <cell r="R82">
            <v>6</v>
          </cell>
          <cell r="T82">
            <v>6.5</v>
          </cell>
          <cell r="V82">
            <v>7.5</v>
          </cell>
        </row>
        <row r="83">
          <cell r="A83" t="str">
            <v>Prepaid Expenses and Other</v>
          </cell>
          <cell r="D83">
            <v>31.431999999999999</v>
          </cell>
          <cell r="E83">
            <v>38.896000000000001</v>
          </cell>
          <cell r="F83">
            <v>153.88999999999999</v>
          </cell>
          <cell r="H83">
            <v>79.44</v>
          </cell>
          <cell r="J83">
            <v>61.567</v>
          </cell>
          <cell r="L83">
            <v>101.126</v>
          </cell>
          <cell r="N83">
            <v>146.7183995</v>
          </cell>
          <cell r="P83">
            <v>206.13904673091855</v>
          </cell>
          <cell r="R83">
            <v>229.39290678567519</v>
          </cell>
          <cell r="T83">
            <v>247.56660773485044</v>
          </cell>
          <cell r="V83">
            <v>260.2368329771009</v>
          </cell>
        </row>
        <row r="84">
          <cell r="A84" t="str">
            <v>% operating expenses</v>
          </cell>
          <cell r="D84">
            <v>2.496618302232834E-2</v>
          </cell>
          <cell r="E84">
            <v>2.4707873983236303E-2</v>
          </cell>
          <cell r="F84">
            <v>7.8430752968865702E-2</v>
          </cell>
          <cell r="H84">
            <v>3.236219379679213E-2</v>
          </cell>
          <cell r="J84">
            <v>1.8646495850748075E-2</v>
          </cell>
          <cell r="L84">
            <v>2.2318683593606892E-2</v>
          </cell>
          <cell r="N84">
            <v>2.5000000000000001E-2</v>
          </cell>
          <cell r="P84">
            <v>0.03</v>
          </cell>
          <cell r="R84">
            <v>0.03</v>
          </cell>
          <cell r="T84">
            <v>0.03</v>
          </cell>
          <cell r="V84">
            <v>0.03</v>
          </cell>
        </row>
        <row r="85">
          <cell r="A85" t="str">
            <v>Inventories</v>
          </cell>
          <cell r="D85">
            <v>265.83</v>
          </cell>
          <cell r="E85">
            <v>356.94600000000003</v>
          </cell>
          <cell r="F85">
            <v>393.54199999999997</v>
          </cell>
          <cell r="H85">
            <v>469.64</v>
          </cell>
          <cell r="J85">
            <v>590.34299999999996</v>
          </cell>
          <cell r="L85">
            <v>702.51499999999999</v>
          </cell>
          <cell r="N85">
            <v>905.58340740740744</v>
          </cell>
          <cell r="P85">
            <v>1076.257091986759</v>
          </cell>
          <cell r="R85">
            <v>1156.4785712011355</v>
          </cell>
          <cell r="T85">
            <v>1216.2878287085962</v>
          </cell>
          <cell r="V85">
            <v>1267.542714652734</v>
          </cell>
        </row>
        <row r="86">
          <cell r="A86" t="str">
            <v>% revenue</v>
          </cell>
          <cell r="D86">
            <v>0.16235172114312374</v>
          </cell>
          <cell r="E86">
            <v>0.17462838155175656</v>
          </cell>
          <cell r="F86">
            <v>0.15232184393534778</v>
          </cell>
          <cell r="H86">
            <v>0.14230381033269165</v>
          </cell>
          <cell r="J86">
            <v>0.12774668917164372</v>
          </cell>
          <cell r="L86">
            <v>0.10590535233468451</v>
          </cell>
          <cell r="N86">
            <v>9.9292506809753933E-2</v>
          </cell>
          <cell r="P86">
            <v>9.5420263573257086E-2</v>
          </cell>
          <cell r="R86">
            <v>8.8252604453690514E-2</v>
          </cell>
          <cell r="T86">
            <v>8.3387123162785473E-2</v>
          </cell>
          <cell r="V86">
            <v>8.033552452227545E-2</v>
          </cell>
        </row>
        <row r="87">
          <cell r="A87" t="str">
            <v>Days inventory outstanding (CHECK)</v>
          </cell>
          <cell r="D87">
            <v>356.63124660011465</v>
          </cell>
          <cell r="E87">
            <v>367.57858831628306</v>
          </cell>
          <cell r="F87">
            <v>325.25605144578043</v>
          </cell>
          <cell r="H87">
            <v>357.00977400859313</v>
          </cell>
          <cell r="J87">
            <v>320.4092118959108</v>
          </cell>
          <cell r="L87">
            <v>253.61226253952526</v>
          </cell>
          <cell r="N87">
            <v>270.37037037037038</v>
          </cell>
          <cell r="P87">
            <v>260.71428571428567</v>
          </cell>
          <cell r="R87">
            <v>260.71428571428572</v>
          </cell>
          <cell r="T87">
            <v>260.71428571428572</v>
          </cell>
          <cell r="V87">
            <v>260.71428571428572</v>
          </cell>
        </row>
        <row r="88">
          <cell r="A88" t="str">
            <v>Inventory Turnover</v>
          </cell>
          <cell r="D88">
            <v>1.0234661249670842</v>
          </cell>
          <cell r="E88">
            <v>0.9929849332952323</v>
          </cell>
          <cell r="F88">
            <v>1.1221928028012258</v>
          </cell>
          <cell r="H88">
            <v>1.0223809726599098</v>
          </cell>
          <cell r="J88">
            <v>1.1391682462568371</v>
          </cell>
          <cell r="L88">
            <v>1.4392048568357969</v>
          </cell>
          <cell r="N88">
            <v>1.35</v>
          </cell>
          <cell r="P88">
            <v>1.4</v>
          </cell>
          <cell r="R88">
            <v>1.4</v>
          </cell>
          <cell r="T88">
            <v>1.4</v>
          </cell>
          <cell r="V88">
            <v>1.4</v>
          </cell>
        </row>
        <row r="89">
          <cell r="A89" t="str">
            <v>Accounts payable</v>
          </cell>
          <cell r="D89">
            <v>39.113999999999997</v>
          </cell>
          <cell r="E89">
            <v>33.347999999999999</v>
          </cell>
          <cell r="F89">
            <v>51.38</v>
          </cell>
          <cell r="H89">
            <v>59.7</v>
          </cell>
          <cell r="J89">
            <v>104.83199999999999</v>
          </cell>
          <cell r="L89">
            <v>338.97800000000001</v>
          </cell>
          <cell r="N89">
            <v>407.51253333333335</v>
          </cell>
          <cell r="P89">
            <v>456.59391781256443</v>
          </cell>
          <cell r="R89">
            <v>490.62727263078477</v>
          </cell>
          <cell r="T89">
            <v>516.00089702788932</v>
          </cell>
          <cell r="V89">
            <v>537.7453940950993</v>
          </cell>
        </row>
        <row r="90">
          <cell r="A90" t="str">
            <v>% operating expenses</v>
          </cell>
          <cell r="D90">
            <v>3.1067933403389879E-2</v>
          </cell>
          <cell r="E90">
            <v>2.1183622521415164E-2</v>
          </cell>
          <cell r="F90">
            <v>2.6186055543182277E-2</v>
          </cell>
          <cell r="H90">
            <v>2.4320530836713122E-2</v>
          </cell>
          <cell r="J90">
            <v>3.1749954570234412E-2</v>
          </cell>
          <cell r="L90">
            <v>7.4813032525697418E-2</v>
          </cell>
          <cell r="N90">
            <v>6.943787124213642E-2</v>
          </cell>
          <cell r="P90">
            <v>6.6449407580007072E-2</v>
          </cell>
          <cell r="R90">
            <v>6.4164225412059184E-2</v>
          </cell>
          <cell r="T90">
            <v>6.2528735407709535E-2</v>
          </cell>
          <cell r="V90">
            <v>6.1991078043408712E-2</v>
          </cell>
        </row>
        <row r="91">
          <cell r="A91" t="str">
            <v>Days payable outstanding (CHECK)</v>
          </cell>
          <cell r="D91">
            <v>52.47441816016584</v>
          </cell>
          <cell r="E91">
            <v>34.34135909401256</v>
          </cell>
          <cell r="F91">
            <v>42.46473292122365</v>
          </cell>
          <cell r="H91">
            <v>45.382598390922858</v>
          </cell>
          <cell r="J91">
            <v>56.897665427509295</v>
          </cell>
          <cell r="L91">
            <v>122.37315577763206</v>
          </cell>
          <cell r="N91">
            <v>121.66666666666667</v>
          </cell>
          <cell r="P91">
            <v>110.60606060606061</v>
          </cell>
          <cell r="R91">
            <v>110.60606060606061</v>
          </cell>
          <cell r="T91">
            <v>110.60606060606061</v>
          </cell>
          <cell r="V91">
            <v>110.60606060606061</v>
          </cell>
        </row>
        <row r="92">
          <cell r="A92" t="str">
            <v>Accounts payable turnover</v>
          </cell>
          <cell r="D92">
            <v>5.1847740201630499</v>
          </cell>
          <cell r="E92">
            <v>10.32114072799749</v>
          </cell>
          <cell r="F92">
            <v>10.399924116307714</v>
          </cell>
          <cell r="H92">
            <v>10.580068506964043</v>
          </cell>
          <cell r="J92">
            <v>11.819465613344038</v>
          </cell>
          <cell r="L92">
            <v>8.2621306411124422</v>
          </cell>
          <cell r="N92">
            <v>3</v>
          </cell>
          <cell r="P92">
            <v>3.3</v>
          </cell>
          <cell r="R92">
            <v>3.3</v>
          </cell>
          <cell r="S92">
            <v>3</v>
          </cell>
          <cell r="T92">
            <v>3.3</v>
          </cell>
          <cell r="V92">
            <v>3.3</v>
          </cell>
        </row>
        <row r="93">
          <cell r="A93" t="str">
            <v>Accrued Liabilites and Other</v>
          </cell>
          <cell r="D93">
            <v>398.745</v>
          </cell>
          <cell r="E93">
            <v>461.214</v>
          </cell>
          <cell r="F93">
            <v>575.23599999999999</v>
          </cell>
          <cell r="H93">
            <v>765.85</v>
          </cell>
          <cell r="J93">
            <v>1087.2090000000001</v>
          </cell>
          <cell r="L93">
            <v>1276.527</v>
          </cell>
          <cell r="N93">
            <v>1232.4345558</v>
          </cell>
          <cell r="P93">
            <v>1374.2603115394572</v>
          </cell>
          <cell r="R93">
            <v>1452.8217429759429</v>
          </cell>
          <cell r="T93">
            <v>1485.3996464091026</v>
          </cell>
          <cell r="V93">
            <v>1474.6753868702385</v>
          </cell>
        </row>
        <row r="94">
          <cell r="A94" t="str">
            <v>% operating expenses</v>
          </cell>
          <cell r="D94">
            <v>0.31671992393860759</v>
          </cell>
          <cell r="E94">
            <v>0.29297658862876258</v>
          </cell>
          <cell r="F94">
            <v>0.29317169806224208</v>
          </cell>
          <cell r="H94">
            <v>0.3119912653483542</v>
          </cell>
          <cell r="J94">
            <v>0.32927766672723968</v>
          </cell>
          <cell r="L94">
            <v>0.28173172291691778</v>
          </cell>
          <cell r="N94">
            <v>0.21</v>
          </cell>
          <cell r="P94">
            <v>0.2</v>
          </cell>
          <cell r="R94">
            <v>0.19</v>
          </cell>
          <cell r="T94">
            <v>0.18</v>
          </cell>
          <cell r="V94">
            <v>0.17</v>
          </cell>
        </row>
        <row r="95">
          <cell r="A95" t="str">
            <v>Deferred Revenues</v>
          </cell>
          <cell r="D95">
            <v>468.72500000000002</v>
          </cell>
          <cell r="E95">
            <v>87.575999999999993</v>
          </cell>
          <cell r="F95">
            <v>89.576999999999998</v>
          </cell>
          <cell r="H95">
            <v>328.68</v>
          </cell>
          <cell r="J95">
            <v>313.79399999999998</v>
          </cell>
          <cell r="L95">
            <v>264.41999999999996</v>
          </cell>
          <cell r="N95">
            <v>456.01800000000003</v>
          </cell>
          <cell r="P95">
            <v>563.9562560841614</v>
          </cell>
          <cell r="R95">
            <v>655.20931555509151</v>
          </cell>
          <cell r="T95">
            <v>729.30194889575523</v>
          </cell>
          <cell r="V95">
            <v>788.90548246888557</v>
          </cell>
        </row>
        <row r="96">
          <cell r="A96" t="str">
            <v>% operating expenses</v>
          </cell>
          <cell r="D96">
            <v>5.185011061946903</v>
          </cell>
          <cell r="E96">
            <v>4.2844730415179409E-2</v>
          </cell>
          <cell r="F96">
            <v>3.4671099435883972E-2</v>
          </cell>
          <cell r="H96">
            <v>9.959206281438783E-2</v>
          </cell>
          <cell r="J96">
            <v>6.7903142041028305E-2</v>
          </cell>
          <cell r="L96">
            <v>3.9861772722770722E-2</v>
          </cell>
          <cell r="N96">
            <v>0.05</v>
          </cell>
          <cell r="P96">
            <v>0.05</v>
          </cell>
          <cell r="R96">
            <v>0.05</v>
          </cell>
          <cell r="T96">
            <v>0.05</v>
          </cell>
          <cell r="V96">
            <v>0.05</v>
          </cell>
        </row>
        <row r="101">
          <cell r="A101" t="str">
            <v>Property and Equipment, Net</v>
          </cell>
        </row>
        <row r="102">
          <cell r="A102" t="str">
            <v>Beginning balance</v>
          </cell>
          <cell r="F102">
            <v>865.66800000000001</v>
          </cell>
          <cell r="H102">
            <v>1068.7339999999999</v>
          </cell>
          <cell r="J102">
            <v>1617.9</v>
          </cell>
          <cell r="L102">
            <v>2091.404</v>
          </cell>
          <cell r="N102">
            <v>3349.3519999999999</v>
          </cell>
          <cell r="P102">
            <v>4554.0653750000001</v>
          </cell>
          <cell r="R102">
            <v>5783.2955411838693</v>
          </cell>
          <cell r="T102">
            <v>6559.6626049312927</v>
          </cell>
          <cell r="V102">
            <v>6993.2829589207122</v>
          </cell>
        </row>
        <row r="103">
          <cell r="A103" t="str">
            <v>Capital expenditures</v>
          </cell>
          <cell r="D103">
            <v>112.681</v>
          </cell>
          <cell r="E103">
            <v>213.351</v>
          </cell>
          <cell r="F103">
            <v>322.83199999999999</v>
          </cell>
          <cell r="H103">
            <v>321.95</v>
          </cell>
          <cell r="J103">
            <v>649.85799999999995</v>
          </cell>
          <cell r="L103">
            <v>1399.8240000000001</v>
          </cell>
          <cell r="N103">
            <v>1482.0585000000001</v>
          </cell>
          <cell r="P103">
            <v>1579.0775170356521</v>
          </cell>
          <cell r="R103">
            <v>1179.3767679991645</v>
          </cell>
          <cell r="T103">
            <v>875.1623386749061</v>
          </cell>
          <cell r="V103">
            <v>828.35075659232984</v>
          </cell>
        </row>
        <row r="104">
          <cell r="A104" t="str">
            <v>% revenue</v>
          </cell>
          <cell r="D104">
            <v>6.8818245834286293E-2</v>
          </cell>
          <cell r="E104">
            <v>0.10437752442231825</v>
          </cell>
          <cell r="F104">
            <v>0.12495328458293194</v>
          </cell>
          <cell r="H104">
            <v>9.7552831395558467E-2</v>
          </cell>
          <cell r="J104">
            <v>0.14062537868951785</v>
          </cell>
          <cell r="L104">
            <v>0.22190900773092165</v>
          </cell>
          <cell r="N104">
            <v>0.16250000000000001</v>
          </cell>
          <cell r="P104">
            <v>0.14000000000000001</v>
          </cell>
          <cell r="R104">
            <v>0.09</v>
          </cell>
          <cell r="T104">
            <v>0.06</v>
          </cell>
          <cell r="V104">
            <v>5.2499999999999998E-2</v>
          </cell>
        </row>
        <row r="105">
          <cell r="A105" t="str">
            <v>Depreciation</v>
          </cell>
          <cell r="F105">
            <v>-104.55499999999998</v>
          </cell>
          <cell r="H105">
            <v>-125</v>
          </cell>
          <cell r="J105">
            <v>-171.221</v>
          </cell>
          <cell r="L105">
            <v>-210.41070000000002</v>
          </cell>
          <cell r="N105">
            <v>-277.34512500000005</v>
          </cell>
          <cell r="P105">
            <v>-349.84735085178261</v>
          </cell>
          <cell r="R105">
            <v>-403.00970425174086</v>
          </cell>
          <cell r="T105">
            <v>-441.54198468548617</v>
          </cell>
          <cell r="V105">
            <v>-478.25626966510265</v>
          </cell>
        </row>
        <row r="106">
          <cell r="A106" t="str">
            <v>Ending balance</v>
          </cell>
          <cell r="E106">
            <v>865.66800000000001</v>
          </cell>
          <cell r="F106">
            <v>1068.7339999999999</v>
          </cell>
          <cell r="H106">
            <v>1617.9</v>
          </cell>
          <cell r="J106">
            <v>2091.404</v>
          </cell>
          <cell r="L106">
            <v>3349.3519999999999</v>
          </cell>
          <cell r="N106">
            <v>4554.0653750000001</v>
          </cell>
          <cell r="P106">
            <v>5783.2955411838693</v>
          </cell>
          <cell r="R106">
            <v>6559.6626049312927</v>
          </cell>
          <cell r="T106">
            <v>6993.2829589207122</v>
          </cell>
          <cell r="V106">
            <v>7343.3774458479393</v>
          </cell>
        </row>
        <row r="108">
          <cell r="A108" t="str">
            <v>Fixed Asset Turnover (CHECK)</v>
          </cell>
          <cell r="E108">
            <v>2.361219312715729</v>
          </cell>
          <cell r="F108">
            <v>2.6712354098782445</v>
          </cell>
          <cell r="H108">
            <v>2.4568013357978793</v>
          </cell>
          <cell r="J108">
            <v>2.4916803799311138</v>
          </cell>
          <cell r="L108">
            <v>2.4384195872779451</v>
          </cell>
          <cell r="N108">
            <v>2.3079535262428172</v>
          </cell>
          <cell r="P108">
            <v>2.1822059253101944</v>
          </cell>
          <cell r="R108">
            <v>2.2658683475164985</v>
          </cell>
          <cell r="T108">
            <v>2.2235959158859635</v>
          </cell>
          <cell r="V108">
            <v>2.2561806439207457</v>
          </cell>
        </row>
        <row r="109">
          <cell r="A109" t="str">
            <v>Employee Stock Option Analysis</v>
          </cell>
        </row>
        <row r="110">
          <cell r="C110">
            <v>1999</v>
          </cell>
          <cell r="D110">
            <v>2000</v>
          </cell>
          <cell r="E110" t="str">
            <v>2001</v>
          </cell>
          <cell r="F110" t="str">
            <v>2002</v>
          </cell>
          <cell r="H110" t="str">
            <v>2003E</v>
          </cell>
          <cell r="J110" t="str">
            <v>2004A</v>
          </cell>
          <cell r="L110" t="str">
            <v>2005A</v>
          </cell>
          <cell r="N110" t="str">
            <v>2006E</v>
          </cell>
          <cell r="P110" t="str">
            <v>2007E</v>
          </cell>
          <cell r="R110" t="str">
            <v>2008E</v>
          </cell>
          <cell r="T110" t="str">
            <v>2009E</v>
          </cell>
          <cell r="V110" t="str">
            <v>2010E</v>
          </cell>
        </row>
        <row r="111">
          <cell r="A111" t="str">
            <v xml:space="preserve">Stock Price (average) </v>
          </cell>
          <cell r="E111">
            <v>81.5</v>
          </cell>
          <cell r="F111">
            <v>33.159999999999997</v>
          </cell>
          <cell r="H111">
            <v>38</v>
          </cell>
          <cell r="J111">
            <v>52.85</v>
          </cell>
          <cell r="L111">
            <v>76.13</v>
          </cell>
          <cell r="N111">
            <v>85</v>
          </cell>
          <cell r="P111">
            <v>92.31</v>
          </cell>
          <cell r="R111">
            <v>100.24866000000002</v>
          </cell>
          <cell r="T111">
            <v>108.87004476000003</v>
          </cell>
          <cell r="V111">
            <v>118.23286860936004</v>
          </cell>
          <cell r="X111">
            <v>8.5999999999999993E-2</v>
          </cell>
        </row>
        <row r="112">
          <cell r="A112" t="str">
            <v>Option Balance (Beginning Year)</v>
          </cell>
          <cell r="E112">
            <v>40.945</v>
          </cell>
          <cell r="F112">
            <v>93.28</v>
          </cell>
          <cell r="H112">
            <v>98.182999999999993</v>
          </cell>
          <cell r="J112">
            <v>96.126000000000005</v>
          </cell>
          <cell r="L112">
            <v>93.766000000000005</v>
          </cell>
          <cell r="N112">
            <v>82.804000000000002</v>
          </cell>
          <cell r="P112">
            <v>74.523600000000002</v>
          </cell>
          <cell r="R112">
            <v>70.052184000000011</v>
          </cell>
          <cell r="T112">
            <v>67.950618480000003</v>
          </cell>
          <cell r="V112">
            <v>67.950618480000003</v>
          </cell>
        </row>
        <row r="113">
          <cell r="A113" t="str">
            <v xml:space="preserve"> Average Options "in the money"</v>
          </cell>
          <cell r="H113">
            <v>38.799999999999997</v>
          </cell>
          <cell r="J113">
            <v>46.338999999999999</v>
          </cell>
          <cell r="L113">
            <v>37.451000000000001</v>
          </cell>
          <cell r="N113">
            <v>39.331900000000005</v>
          </cell>
          <cell r="P113">
            <v>36.143946</v>
          </cell>
          <cell r="R113">
            <v>34.500700620000003</v>
          </cell>
          <cell r="T113">
            <v>27.180247392000002</v>
          </cell>
          <cell r="V113">
            <v>13.590123696000001</v>
          </cell>
        </row>
        <row r="114">
          <cell r="A114" t="str">
            <v xml:space="preserve">   % "in the money"</v>
          </cell>
          <cell r="F114">
            <v>0</v>
          </cell>
          <cell r="H114">
            <v>0.39936389976789544</v>
          </cell>
          <cell r="J114">
            <v>0.48206520608368181</v>
          </cell>
          <cell r="L114">
            <v>0.39940916750207961</v>
          </cell>
          <cell r="N114">
            <v>0.5</v>
          </cell>
          <cell r="P114">
            <v>0.5</v>
          </cell>
          <cell r="R114">
            <v>0.5</v>
          </cell>
          <cell r="T114">
            <v>0.4</v>
          </cell>
          <cell r="V114">
            <v>0.4</v>
          </cell>
        </row>
        <row r="115">
          <cell r="A115" t="str">
            <v>Weighted Average Exercise Price</v>
          </cell>
          <cell r="H115">
            <v>21.418882283745745</v>
          </cell>
          <cell r="J115">
            <v>25</v>
          </cell>
          <cell r="L115">
            <v>35</v>
          </cell>
          <cell r="N115">
            <v>40.25</v>
          </cell>
          <cell r="P115">
            <v>46.287499999999994</v>
          </cell>
          <cell r="R115">
            <v>53.230624999999989</v>
          </cell>
          <cell r="T115">
            <v>61.215218749999984</v>
          </cell>
          <cell r="V115">
            <v>70.397501562499983</v>
          </cell>
          <cell r="X115">
            <v>0.15</v>
          </cell>
        </row>
        <row r="116">
          <cell r="A116" t="str">
            <v>Options Cancelled</v>
          </cell>
          <cell r="E116">
            <v>2.15</v>
          </cell>
          <cell r="F116">
            <v>4.4059999999999997</v>
          </cell>
          <cell r="H116">
            <v>4.4139999999999997</v>
          </cell>
          <cell r="J116">
            <v>1.843</v>
          </cell>
          <cell r="L116">
            <v>1.8140000000000001</v>
          </cell>
          <cell r="N116">
            <v>3.31216</v>
          </cell>
          <cell r="P116">
            <v>2.980944</v>
          </cell>
          <cell r="R116">
            <v>2.8020873600000007</v>
          </cell>
          <cell r="T116">
            <v>2.7180247392000001</v>
          </cell>
          <cell r="V116">
            <v>2.7180247392000001</v>
          </cell>
        </row>
        <row r="117">
          <cell r="A117" t="str">
            <v xml:space="preserve">   % Cancelled </v>
          </cell>
          <cell r="E117">
            <v>5.2509463915007937E-2</v>
          </cell>
          <cell r="F117">
            <v>4.7234133790737563E-2</v>
          </cell>
          <cell r="H117">
            <v>4.4956866259943169E-2</v>
          </cell>
          <cell r="J117">
            <v>0.04</v>
          </cell>
          <cell r="L117">
            <v>0.04</v>
          </cell>
          <cell r="N117">
            <v>0.04</v>
          </cell>
          <cell r="P117">
            <v>0.04</v>
          </cell>
          <cell r="R117">
            <v>0.04</v>
          </cell>
          <cell r="T117">
            <v>0.04</v>
          </cell>
          <cell r="V117">
            <v>0.04</v>
          </cell>
        </row>
        <row r="118">
          <cell r="A118" t="str">
            <v>Options Exercised</v>
          </cell>
          <cell r="E118">
            <v>2.899</v>
          </cell>
          <cell r="F118">
            <v>3.3460000000000001</v>
          </cell>
          <cell r="H118">
            <v>32.078000000000003</v>
          </cell>
          <cell r="J118">
            <v>21.484000000000002</v>
          </cell>
          <cell r="L118">
            <v>28.823</v>
          </cell>
          <cell r="N118">
            <v>23.185120000000001</v>
          </cell>
          <cell r="P118">
            <v>18.6309</v>
          </cell>
          <cell r="R118">
            <v>16.112002320000002</v>
          </cell>
          <cell r="T118">
            <v>13.590123696000001</v>
          </cell>
          <cell r="V118">
            <v>13.590123696000001</v>
          </cell>
        </row>
        <row r="119">
          <cell r="A119" t="str">
            <v xml:space="preserve">     % of Outstanding Options</v>
          </cell>
          <cell r="E119">
            <v>7.080229576260838E-2</v>
          </cell>
          <cell r="F119">
            <v>3.5870497427101203E-2</v>
          </cell>
          <cell r="H119">
            <v>0.32671643767250957</v>
          </cell>
          <cell r="J119">
            <v>0.35</v>
          </cell>
          <cell r="L119">
            <v>0.3</v>
          </cell>
          <cell r="N119">
            <v>0.28000000000000003</v>
          </cell>
          <cell r="P119">
            <v>0.25</v>
          </cell>
          <cell r="R119">
            <v>0.23</v>
          </cell>
          <cell r="T119">
            <v>0.2</v>
          </cell>
          <cell r="V119">
            <v>0.2</v>
          </cell>
        </row>
        <row r="120">
          <cell r="A120" t="str">
            <v>Weighted Average Exercise Price of exercised</v>
          </cell>
          <cell r="E120">
            <v>24.69</v>
          </cell>
          <cell r="F120">
            <v>11.715</v>
          </cell>
          <cell r="H120">
            <v>34.134999999999998</v>
          </cell>
          <cell r="J120">
            <v>20.81</v>
          </cell>
          <cell r="L120">
            <v>25.88</v>
          </cell>
          <cell r="N120">
            <v>31.055999999999997</v>
          </cell>
          <cell r="P120">
            <v>37.267199999999995</v>
          </cell>
          <cell r="R120">
            <v>44.720639999999996</v>
          </cell>
          <cell r="T120">
            <v>53.664767999999995</v>
          </cell>
          <cell r="V120">
            <v>64.397721599999997</v>
          </cell>
          <cell r="X120">
            <v>0.2</v>
          </cell>
        </row>
        <row r="121">
          <cell r="A121" t="str">
            <v xml:space="preserve">     Tax rate</v>
          </cell>
          <cell r="E121">
            <v>0.17543014456747877</v>
          </cell>
          <cell r="F121">
            <v>0.33702605798725771</v>
          </cell>
          <cell r="H121">
            <v>0.32364976429312847</v>
          </cell>
          <cell r="J121">
            <v>0.36207709431617907</v>
          </cell>
          <cell r="L121">
            <v>0.36750724212165659</v>
          </cell>
          <cell r="N121">
            <v>0.3729296918045219</v>
          </cell>
          <cell r="P121">
            <v>0.373</v>
          </cell>
          <cell r="R121">
            <v>0.373</v>
          </cell>
          <cell r="T121">
            <v>0.373</v>
          </cell>
          <cell r="V121">
            <v>0.373</v>
          </cell>
        </row>
        <row r="122">
          <cell r="A122" t="str">
            <v>Proceeds from option</v>
          </cell>
          <cell r="H122">
            <v>1094.98253</v>
          </cell>
          <cell r="J122">
            <v>447.08204000000001</v>
          </cell>
          <cell r="L122">
            <v>745.93923999999993</v>
          </cell>
          <cell r="N122">
            <v>720.03708671999993</v>
          </cell>
          <cell r="P122">
            <v>694.32147647999989</v>
          </cell>
          <cell r="R122">
            <v>720.53905543188478</v>
          </cell>
          <cell r="T122">
            <v>729.31083523714256</v>
          </cell>
          <cell r="V122">
            <v>875.173002284571</v>
          </cell>
        </row>
        <row r="123">
          <cell r="A123" t="str">
            <v>Tax Benefit from Options</v>
          </cell>
          <cell r="H123">
            <v>40.126573542215603</v>
          </cell>
          <cell r="J123">
            <v>329.47</v>
          </cell>
          <cell r="L123">
            <v>641.34799999999996</v>
          </cell>
          <cell r="N123">
            <v>466.42246192600749</v>
          </cell>
          <cell r="P123">
            <v>382.51034463996001</v>
          </cell>
          <cell r="R123">
            <v>333.71100997524758</v>
          </cell>
          <cell r="T123">
            <v>279.84195936043733</v>
          </cell>
          <cell r="V123">
            <v>272.89661252948122</v>
          </cell>
        </row>
        <row r="124">
          <cell r="A124" t="str">
            <v>Options Granted</v>
          </cell>
          <cell r="E124">
            <v>10.74</v>
          </cell>
          <cell r="F124">
            <v>12.654999999999999</v>
          </cell>
          <cell r="H124">
            <v>10.89</v>
          </cell>
          <cell r="J124">
            <v>20.966999999999999</v>
          </cell>
          <cell r="L124">
            <v>19.675000000000001</v>
          </cell>
          <cell r="N124">
            <v>18.21688</v>
          </cell>
          <cell r="P124">
            <v>17.140428</v>
          </cell>
          <cell r="R124">
            <v>16.812524160000002</v>
          </cell>
          <cell r="T124">
            <v>16.3081484352</v>
          </cell>
          <cell r="V124">
            <v>16.3081484352</v>
          </cell>
        </row>
        <row r="125">
          <cell r="A125" t="str">
            <v xml:space="preserve">     % of Outstanding Options</v>
          </cell>
          <cell r="E125">
            <v>0.26230308951031872</v>
          </cell>
          <cell r="F125">
            <v>0.13566680960548885</v>
          </cell>
          <cell r="H125">
            <v>0.11091533157471255</v>
          </cell>
          <cell r="J125">
            <v>0.21811996754260032</v>
          </cell>
          <cell r="L125">
            <v>0.20983085553398886</v>
          </cell>
          <cell r="N125">
            <v>0.22</v>
          </cell>
          <cell r="P125">
            <v>0.23</v>
          </cell>
          <cell r="R125">
            <v>0.24</v>
          </cell>
          <cell r="T125">
            <v>0.24</v>
          </cell>
          <cell r="V125">
            <v>0.24</v>
          </cell>
        </row>
        <row r="126">
          <cell r="A126" t="str">
            <v>Shares Issued</v>
          </cell>
          <cell r="D126">
            <v>0</v>
          </cell>
          <cell r="E126">
            <v>0.83799999999999997</v>
          </cell>
          <cell r="F126">
            <v>2.1320000000000001</v>
          </cell>
          <cell r="H126">
            <v>2.8</v>
          </cell>
          <cell r="J126">
            <v>2.5</v>
          </cell>
          <cell r="L126">
            <v>0.9812163404702483</v>
          </cell>
          <cell r="N126">
            <v>0</v>
          </cell>
          <cell r="P126">
            <v>0</v>
          </cell>
          <cell r="R126">
            <v>0</v>
          </cell>
          <cell r="T126">
            <v>0</v>
          </cell>
          <cell r="V126">
            <v>0</v>
          </cell>
        </row>
        <row r="127">
          <cell r="A127" t="str">
            <v>Proceeds from share issuance</v>
          </cell>
          <cell r="D127">
            <v>0</v>
          </cell>
          <cell r="E127">
            <v>0</v>
          </cell>
          <cell r="F127">
            <v>0</v>
          </cell>
          <cell r="H127">
            <v>0</v>
          </cell>
          <cell r="J127">
            <v>58.86</v>
          </cell>
          <cell r="L127">
            <v>74.7</v>
          </cell>
          <cell r="N127">
            <v>0</v>
          </cell>
          <cell r="P127">
            <v>0</v>
          </cell>
          <cell r="R127">
            <v>0</v>
          </cell>
          <cell r="T127">
            <v>0</v>
          </cell>
          <cell r="V127">
            <v>0</v>
          </cell>
        </row>
        <row r="128">
          <cell r="A128" t="str">
            <v>Shares Repurchased (mm)</v>
          </cell>
          <cell r="E128">
            <v>0.9</v>
          </cell>
          <cell r="F128">
            <v>36.4</v>
          </cell>
          <cell r="H128">
            <v>11</v>
          </cell>
          <cell r="J128">
            <v>25.6</v>
          </cell>
          <cell r="L128">
            <v>26.479863391567058</v>
          </cell>
          <cell r="N128">
            <v>23.185120000000001</v>
          </cell>
          <cell r="P128">
            <v>18.6309</v>
          </cell>
          <cell r="R128">
            <v>16.112002320000002</v>
          </cell>
          <cell r="T128">
            <v>13.590123696000001</v>
          </cell>
          <cell r="V128">
            <v>13.590123696000001</v>
          </cell>
        </row>
        <row r="129">
          <cell r="A129" t="str">
            <v>Share Repurchase Cost</v>
          </cell>
          <cell r="E129">
            <v>39.700000000000003</v>
          </cell>
          <cell r="F129">
            <v>692.8</v>
          </cell>
          <cell r="H129">
            <v>201.34</v>
          </cell>
          <cell r="J129">
            <v>1351.683</v>
          </cell>
          <cell r="L129">
            <v>2015.912</v>
          </cell>
          <cell r="N129">
            <v>1970.7352000000001</v>
          </cell>
          <cell r="P129">
            <v>1719.818379</v>
          </cell>
          <cell r="R129">
            <v>1615.2066424968916</v>
          </cell>
          <cell r="T129">
            <v>1479.5573750774572</v>
          </cell>
          <cell r="V129">
            <v>1606.7993093341186</v>
          </cell>
        </row>
        <row r="130">
          <cell r="B130" t="str">
            <v>Allocated to APIC</v>
          </cell>
          <cell r="F130">
            <v>235.5</v>
          </cell>
          <cell r="H130">
            <v>71.584000000000003</v>
          </cell>
          <cell r="J130">
            <v>191.042</v>
          </cell>
          <cell r="L130">
            <v>806.36480000000006</v>
          </cell>
          <cell r="N130">
            <v>788.29408000000012</v>
          </cell>
          <cell r="P130">
            <v>687.92735160000007</v>
          </cell>
          <cell r="R130">
            <v>646.08265699875665</v>
          </cell>
          <cell r="T130">
            <v>591.82295003098295</v>
          </cell>
          <cell r="V130">
            <v>642.71972373364747</v>
          </cell>
        </row>
        <row r="131">
          <cell r="B131" t="str">
            <v>Allocated to Retained Earnings</v>
          </cell>
          <cell r="F131">
            <v>457.29999999999995</v>
          </cell>
          <cell r="H131">
            <v>129.756</v>
          </cell>
          <cell r="J131">
            <v>1160.6410000000001</v>
          </cell>
          <cell r="L131">
            <v>1209.5472</v>
          </cell>
          <cell r="N131">
            <v>1182.44112</v>
          </cell>
          <cell r="P131">
            <v>1031.8910274</v>
          </cell>
          <cell r="R131">
            <v>969.12398549813497</v>
          </cell>
          <cell r="T131">
            <v>887.73442504647426</v>
          </cell>
          <cell r="V131">
            <v>964.07958560047109</v>
          </cell>
        </row>
        <row r="132">
          <cell r="A132" t="str">
            <v>Stock options expense</v>
          </cell>
          <cell r="N132">
            <v>329.18547890000002</v>
          </cell>
          <cell r="P132">
            <v>377.92158567335071</v>
          </cell>
          <cell r="R132">
            <v>420.55366244040454</v>
          </cell>
          <cell r="T132">
            <v>453.87211418055915</v>
          </cell>
          <cell r="V132">
            <v>477.1008604580183</v>
          </cell>
        </row>
        <row r="133">
          <cell r="A133" t="str">
            <v>Total Change in APIC</v>
          </cell>
          <cell r="D133">
            <v>0</v>
          </cell>
          <cell r="E133">
            <v>109</v>
          </cell>
          <cell r="F133">
            <v>-603.4</v>
          </cell>
          <cell r="H133">
            <v>590.29999999999995</v>
          </cell>
          <cell r="J133">
            <v>-516.27096000000006</v>
          </cell>
          <cell r="L133">
            <v>-553.92476000000011</v>
          </cell>
          <cell r="N133">
            <v>-455.09017245399264</v>
          </cell>
          <cell r="P133">
            <v>-265.0649722066895</v>
          </cell>
          <cell r="R133">
            <v>-140.40291464935478</v>
          </cell>
          <cell r="T133">
            <v>-16.532466299318173</v>
          </cell>
          <cell r="V133">
            <v>18.371165937951957</v>
          </cell>
          <cell r="Y133" t="str">
            <v>mstag:netIssuanceRepurchaseOfCommonStock</v>
          </cell>
          <cell r="Z133">
            <v>6</v>
          </cell>
          <cell r="AA133" t="str">
            <v>ISO4217:USD</v>
          </cell>
          <cell r="AB133" t="b">
            <v>0</v>
          </cell>
          <cell r="AC133" t="b">
            <v>0</v>
          </cell>
        </row>
        <row r="134">
          <cell r="A134" t="str">
            <v>Beginning Period Shares</v>
          </cell>
          <cell r="H134">
            <v>1025.155974</v>
          </cell>
          <cell r="J134">
            <v>1049.5</v>
          </cell>
          <cell r="L134">
            <v>1047.127</v>
          </cell>
          <cell r="N134">
            <v>1053.713</v>
          </cell>
          <cell r="P134">
            <v>1053.713</v>
          </cell>
          <cell r="R134">
            <v>1053.713</v>
          </cell>
          <cell r="T134">
            <v>1053.713</v>
          </cell>
          <cell r="V134">
            <v>1053.713</v>
          </cell>
        </row>
        <row r="135">
          <cell r="A135" t="str">
            <v>End of Period Shares</v>
          </cell>
          <cell r="D135">
            <v>0</v>
          </cell>
          <cell r="E135">
            <v>527.79422299999999</v>
          </cell>
          <cell r="F135">
            <v>1025.155974</v>
          </cell>
          <cell r="H135">
            <v>1047.3900000000001</v>
          </cell>
          <cell r="J135">
            <v>1047.127</v>
          </cell>
          <cell r="L135">
            <v>1053.713</v>
          </cell>
          <cell r="N135">
            <v>1053.713</v>
          </cell>
          <cell r="P135">
            <v>1053.713</v>
          </cell>
          <cell r="R135">
            <v>1053.713</v>
          </cell>
          <cell r="T135">
            <v>1053.713</v>
          </cell>
          <cell r="V135">
            <v>1053.713</v>
          </cell>
          <cell r="Y135" t="str">
            <v>mstag:periodEndBasicSharesOutstanding</v>
          </cell>
          <cell r="Z135">
            <v>6</v>
          </cell>
          <cell r="AA135" t="str">
            <v>ms_eqr_gcim_Decimal:ms_eqr_gcim_decimal</v>
          </cell>
          <cell r="AB135" t="b">
            <v>0</v>
          </cell>
          <cell r="AC135" t="b">
            <v>0</v>
          </cell>
        </row>
        <row r="136">
          <cell r="A136" t="str">
            <v xml:space="preserve">Average Shares Outstanding-basic </v>
          </cell>
          <cell r="D136">
            <v>0</v>
          </cell>
          <cell r="E136">
            <v>1054.038</v>
          </cell>
          <cell r="F136">
            <v>1038.5084999999999</v>
          </cell>
          <cell r="H136">
            <v>1034.4565</v>
          </cell>
          <cell r="J136">
            <v>1055.165</v>
          </cell>
          <cell r="L136">
            <v>1054.952</v>
          </cell>
          <cell r="N136">
            <v>1053.713</v>
          </cell>
          <cell r="P136">
            <v>1053.713</v>
          </cell>
          <cell r="R136">
            <v>1053.713</v>
          </cell>
          <cell r="T136">
            <v>1053.713</v>
          </cell>
          <cell r="V136">
            <v>1053.713</v>
          </cell>
        </row>
        <row r="137">
          <cell r="A137" t="str">
            <v>Average Shares Outstanding-diluted</v>
          </cell>
          <cell r="D137">
            <v>0</v>
          </cell>
          <cell r="E137">
            <v>1070.441</v>
          </cell>
          <cell r="F137">
            <v>1048.9160000000002</v>
          </cell>
          <cell r="H137">
            <v>1054.3219999999999</v>
          </cell>
          <cell r="J137">
            <v>1079.2090000000001</v>
          </cell>
          <cell r="L137">
            <v>1080.9490000000001</v>
          </cell>
          <cell r="N137">
            <v>1074.4200885294117</v>
          </cell>
          <cell r="P137">
            <v>1071.7330926745205</v>
          </cell>
          <cell r="R137">
            <v>1069.8943150347914</v>
          </cell>
          <cell r="T137">
            <v>1065.6103953141094</v>
          </cell>
          <cell r="V137">
            <v>1059.2113742072459</v>
          </cell>
        </row>
        <row r="139">
          <cell r="A139" t="str">
            <v>Option Expense (cash repurchase)</v>
          </cell>
          <cell r="H139">
            <v>-83.854896457784662</v>
          </cell>
          <cell r="J139">
            <v>-688.34736000000021</v>
          </cell>
          <cell r="L139">
            <v>-1448.3557499999999</v>
          </cell>
          <cell r="N139">
            <v>-1250.6981132800001</v>
          </cell>
          <cell r="P139">
            <v>-1025.4969025200003</v>
          </cell>
          <cell r="R139">
            <v>-894.66758706500684</v>
          </cell>
          <cell r="T139">
            <v>-750.24653984031465</v>
          </cell>
          <cell r="V139">
            <v>-731.62630704954756</v>
          </cell>
        </row>
      </sheetData>
      <sheetData sheetId="9" refreshError="1">
        <row r="1">
          <cell r="B1" t="str">
            <v>Genentech Cash Flow Statements</v>
          </cell>
          <cell r="X1" t="str">
            <v>ElementName</v>
          </cell>
          <cell r="Y1" t="str">
            <v>ScaleOverride</v>
          </cell>
          <cell r="Z1" t="str">
            <v>UnitOverride</v>
          </cell>
          <cell r="AA1" t="str">
            <v>ReverseSign</v>
          </cell>
          <cell r="AB1" t="str">
            <v>IsDrivingAssumption</v>
          </cell>
          <cell r="AC1" t="str">
            <v>SegmentID</v>
          </cell>
        </row>
        <row r="2">
          <cell r="B2" t="str">
            <v>(Dollars in thousands)</v>
          </cell>
        </row>
        <row r="3">
          <cell r="C3" t="str">
            <v>2000A</v>
          </cell>
          <cell r="D3" t="str">
            <v>2001A</v>
          </cell>
          <cell r="E3" t="str">
            <v>2002A</v>
          </cell>
          <cell r="G3" t="str">
            <v>2003A</v>
          </cell>
          <cell r="I3" t="str">
            <v>2004A</v>
          </cell>
          <cell r="K3" t="str">
            <v>2005A</v>
          </cell>
          <cell r="M3" t="str">
            <v>2006E</v>
          </cell>
          <cell r="O3" t="str">
            <v>2007E</v>
          </cell>
          <cell r="Q3" t="str">
            <v>2008E</v>
          </cell>
          <cell r="S3" t="str">
            <v>2009E</v>
          </cell>
          <cell r="U3" t="str">
            <v>2010E</v>
          </cell>
        </row>
        <row r="4">
          <cell r="B4" t="str">
            <v>CASH FLOWS FROM OPERATING ACTIVITIES</v>
          </cell>
        </row>
        <row r="5">
          <cell r="B5" t="str">
            <v>Net Income (Loss)</v>
          </cell>
          <cell r="C5">
            <v>-74.241</v>
          </cell>
          <cell r="D5">
            <v>150.23599999999999</v>
          </cell>
          <cell r="E5">
            <v>63.786999999999999</v>
          </cell>
          <cell r="G5">
            <v>562.45584265857758</v>
          </cell>
          <cell r="I5">
            <v>784.81600000000003</v>
          </cell>
          <cell r="K5">
            <v>1278.991</v>
          </cell>
          <cell r="M5">
            <v>1731.7880296800001</v>
          </cell>
          <cell r="O5">
            <v>2346.2055172820069</v>
          </cell>
          <cell r="Q5">
            <v>3010.0769897997934</v>
          </cell>
          <cell r="S5">
            <v>3579.2035264931046</v>
          </cell>
          <cell r="U5">
            <v>4130.8413284121989</v>
          </cell>
          <cell r="X5" t="str">
            <v>mstag:netIncomeReported</v>
          </cell>
          <cell r="Y5">
            <v>6</v>
          </cell>
          <cell r="Z5" t="str">
            <v>ISO4217:USD</v>
          </cell>
          <cell r="AA5" t="b">
            <v>0</v>
          </cell>
          <cell r="AB5" t="b">
            <v>0</v>
          </cell>
        </row>
        <row r="6">
          <cell r="B6" t="str">
            <v>Effect of Acconting Change</v>
          </cell>
          <cell r="C6">
            <v>0</v>
          </cell>
          <cell r="D6">
            <v>5.6</v>
          </cell>
          <cell r="E6">
            <v>0</v>
          </cell>
          <cell r="G6">
            <v>47.655000000000001</v>
          </cell>
          <cell r="I6">
            <v>0</v>
          </cell>
          <cell r="K6">
            <v>0</v>
          </cell>
          <cell r="M6">
            <v>0</v>
          </cell>
          <cell r="O6">
            <v>0</v>
          </cell>
          <cell r="Q6">
            <v>0</v>
          </cell>
          <cell r="S6">
            <v>0</v>
          </cell>
          <cell r="U6">
            <v>0</v>
          </cell>
          <cell r="X6" t="str">
            <v>mstag:otherCashFlow</v>
          </cell>
          <cell r="Y6">
            <v>6</v>
          </cell>
          <cell r="Z6" t="str">
            <v>ISO4217:USD</v>
          </cell>
          <cell r="AA6" t="b">
            <v>0</v>
          </cell>
          <cell r="AB6" t="b">
            <v>0</v>
          </cell>
        </row>
        <row r="7">
          <cell r="B7" t="str">
            <v>Depreciation &amp; Amort.</v>
          </cell>
          <cell r="C7">
            <v>463.00400000000002</v>
          </cell>
          <cell r="D7">
            <v>428.09100000000001</v>
          </cell>
          <cell r="E7">
            <v>274.95499999999998</v>
          </cell>
          <cell r="G7">
            <v>295.39999999999998</v>
          </cell>
          <cell r="I7">
            <v>353.221</v>
          </cell>
          <cell r="K7">
            <v>370.166</v>
          </cell>
          <cell r="M7">
            <v>399.04512500000004</v>
          </cell>
          <cell r="O7">
            <v>470.34735085178261</v>
          </cell>
          <cell r="Q7">
            <v>521.50970425174091</v>
          </cell>
          <cell r="S7">
            <v>441.54198468548617</v>
          </cell>
          <cell r="U7">
            <v>478.25626966510265</v>
          </cell>
        </row>
        <row r="8">
          <cell r="B8" t="str">
            <v xml:space="preserve">     Depreciation</v>
          </cell>
          <cell r="C8">
            <v>0</v>
          </cell>
          <cell r="D8">
            <v>428.09100000000001</v>
          </cell>
          <cell r="E8">
            <v>104.55499999999998</v>
          </cell>
          <cell r="G8">
            <v>125</v>
          </cell>
          <cell r="I8">
            <v>171.221</v>
          </cell>
          <cell r="K8">
            <v>210.41070000000002</v>
          </cell>
          <cell r="M8">
            <v>277.34512500000005</v>
          </cell>
          <cell r="O8">
            <v>349.84735085178261</v>
          </cell>
          <cell r="Q8">
            <v>403.00970425174086</v>
          </cell>
          <cell r="S8">
            <v>441.54198468548617</v>
          </cell>
          <cell r="U8">
            <v>478.25626966510265</v>
          </cell>
          <cell r="X8" t="str">
            <v>mstag:depreciation</v>
          </cell>
          <cell r="Y8">
            <v>6</v>
          </cell>
          <cell r="Z8" t="str">
            <v>ISO4217:USD</v>
          </cell>
          <cell r="AA8" t="b">
            <v>0</v>
          </cell>
          <cell r="AB8" t="b">
            <v>0</v>
          </cell>
        </row>
        <row r="9">
          <cell r="B9" t="str">
            <v xml:space="preserve">     Amortization</v>
          </cell>
          <cell r="C9">
            <v>0</v>
          </cell>
          <cell r="D9">
            <v>0</v>
          </cell>
          <cell r="E9">
            <v>170.4</v>
          </cell>
          <cell r="G9">
            <v>170.4</v>
          </cell>
          <cell r="I9">
            <v>182</v>
          </cell>
          <cell r="K9">
            <v>159.75529999999998</v>
          </cell>
          <cell r="M9">
            <v>121.7</v>
          </cell>
          <cell r="O9">
            <v>120.5</v>
          </cell>
          <cell r="Q9">
            <v>118.5</v>
          </cell>
          <cell r="S9">
            <v>0</v>
          </cell>
          <cell r="U9">
            <v>0</v>
          </cell>
          <cell r="X9" t="str">
            <v>mstag:amortizationOfIntangiblesAssumedToHaveIndefiniteLife</v>
          </cell>
          <cell r="Y9">
            <v>6</v>
          </cell>
          <cell r="Z9" t="str">
            <v>ISO4217:USD</v>
          </cell>
          <cell r="AA9" t="b">
            <v>0</v>
          </cell>
          <cell r="AB9" t="b">
            <v>0</v>
          </cell>
        </row>
        <row r="10">
          <cell r="B10" t="str">
            <v>Tax Benefits Related to Employee Stock Options</v>
          </cell>
          <cell r="C10">
            <v>0</v>
          </cell>
          <cell r="D10">
            <v>0</v>
          </cell>
          <cell r="E10">
            <v>0</v>
          </cell>
          <cell r="G10">
            <v>0</v>
          </cell>
          <cell r="I10">
            <v>329.47</v>
          </cell>
          <cell r="K10">
            <v>632.29999999999995</v>
          </cell>
          <cell r="M10">
            <v>0</v>
          </cell>
          <cell r="O10">
            <v>0</v>
          </cell>
          <cell r="Q10">
            <v>0</v>
          </cell>
          <cell r="S10">
            <v>0</v>
          </cell>
          <cell r="U10">
            <v>0</v>
          </cell>
          <cell r="X10" t="str">
            <v>mstag:taxBenefitFromExerciseOfEsosCashFlowStatement</v>
          </cell>
          <cell r="Y10">
            <v>6</v>
          </cell>
          <cell r="Z10" t="str">
            <v>ISO4217:USD</v>
          </cell>
          <cell r="AA10" t="b">
            <v>0</v>
          </cell>
          <cell r="AB10" t="b">
            <v>0</v>
          </cell>
        </row>
        <row r="11">
          <cell r="B11" t="str">
            <v>Stock Options Expense (add back)</v>
          </cell>
          <cell r="M11">
            <v>329.18547890000002</v>
          </cell>
          <cell r="O11">
            <v>377.92158567335071</v>
          </cell>
          <cell r="Q11">
            <v>420.55366244040454</v>
          </cell>
          <cell r="S11">
            <v>453.87211418055915</v>
          </cell>
          <cell r="U11">
            <v>477.1008604580183</v>
          </cell>
          <cell r="X11" t="str">
            <v>mstag:otherCashFlow</v>
          </cell>
          <cell r="Y11">
            <v>6</v>
          </cell>
          <cell r="Z11" t="str">
            <v>ISO4217:USD</v>
          </cell>
          <cell r="AA11" t="b">
            <v>0</v>
          </cell>
          <cell r="AB11" t="b">
            <v>0</v>
          </cell>
        </row>
        <row r="12">
          <cell r="B12" t="str">
            <v>Write-Off Of In-Process Research and Development</v>
          </cell>
          <cell r="C12">
            <v>0</v>
          </cell>
          <cell r="D12">
            <v>0</v>
          </cell>
          <cell r="E12">
            <v>0</v>
          </cell>
          <cell r="G12">
            <v>0</v>
          </cell>
          <cell r="I12">
            <v>0</v>
          </cell>
          <cell r="K12">
            <v>0</v>
          </cell>
          <cell r="M12">
            <v>0</v>
          </cell>
          <cell r="O12">
            <v>0</v>
          </cell>
          <cell r="Q12">
            <v>0</v>
          </cell>
          <cell r="S12">
            <v>0</v>
          </cell>
          <cell r="U12">
            <v>0</v>
          </cell>
          <cell r="X12" t="str">
            <v>mstag:acquiredInProcessRAndD</v>
          </cell>
          <cell r="Y12">
            <v>6</v>
          </cell>
          <cell r="Z12" t="str">
            <v>ISO4217:USD</v>
          </cell>
          <cell r="AA12" t="b">
            <v>0</v>
          </cell>
          <cell r="AB12" t="b">
            <v>0</v>
          </cell>
        </row>
        <row r="13">
          <cell r="B13" t="str">
            <v>Deferred Income Taxes</v>
          </cell>
          <cell r="C13">
            <v>-235.315</v>
          </cell>
          <cell r="D13">
            <v>29.356999999999999</v>
          </cell>
          <cell r="E13">
            <v>-196.64400000000001</v>
          </cell>
          <cell r="G13">
            <v>-149</v>
          </cell>
          <cell r="I13">
            <v>-73.584999999999994</v>
          </cell>
          <cell r="K13">
            <v>-109.69499999999999</v>
          </cell>
          <cell r="M13">
            <v>0</v>
          </cell>
          <cell r="O13">
            <v>0</v>
          </cell>
          <cell r="Q13">
            <v>0</v>
          </cell>
          <cell r="S13">
            <v>0</v>
          </cell>
          <cell r="U13">
            <v>0</v>
          </cell>
          <cell r="X13" t="str">
            <v>mstag:deferredTax</v>
          </cell>
          <cell r="Y13">
            <v>6</v>
          </cell>
          <cell r="Z13" t="str">
            <v>ISO4217:USD</v>
          </cell>
          <cell r="AA13" t="b">
            <v>0</v>
          </cell>
          <cell r="AB13" t="b">
            <v>0</v>
          </cell>
        </row>
        <row r="14">
          <cell r="B14" t="str">
            <v xml:space="preserve">        Gain on sales of securities available for-sale</v>
          </cell>
          <cell r="C14">
            <v>-132.30699999999999</v>
          </cell>
          <cell r="D14">
            <v>-39.4</v>
          </cell>
          <cell r="E14">
            <v>-53.71</v>
          </cell>
          <cell r="G14">
            <v>-23.1</v>
          </cell>
          <cell r="I14">
            <v>-13.577</v>
          </cell>
          <cell r="K14">
            <v>-11.606</v>
          </cell>
          <cell r="M14">
            <v>0</v>
          </cell>
          <cell r="O14">
            <v>0</v>
          </cell>
          <cell r="Q14">
            <v>0</v>
          </cell>
          <cell r="S14">
            <v>0</v>
          </cell>
          <cell r="U14">
            <v>0</v>
          </cell>
          <cell r="X14" t="str">
            <v>mstag:gainsLossesFromSaleOfOperatingAssetsOneTime</v>
          </cell>
          <cell r="Y14">
            <v>6</v>
          </cell>
          <cell r="Z14" t="str">
            <v>ISO4217:USD</v>
          </cell>
          <cell r="AA14" t="b">
            <v>1</v>
          </cell>
          <cell r="AB14" t="b">
            <v>0</v>
          </cell>
        </row>
        <row r="15">
          <cell r="B15" t="str">
            <v xml:space="preserve">        Loss on sales of securities available for-sale</v>
          </cell>
          <cell r="C15">
            <v>3.9569999999999999</v>
          </cell>
          <cell r="D15">
            <v>2.0110000000000001</v>
          </cell>
          <cell r="E15">
            <v>5.8680000000000003</v>
          </cell>
          <cell r="G15">
            <v>3.1</v>
          </cell>
          <cell r="I15">
            <v>1.839</v>
          </cell>
          <cell r="K15">
            <v>3.1640000000000001</v>
          </cell>
          <cell r="M15">
            <v>0</v>
          </cell>
          <cell r="O15">
            <v>0</v>
          </cell>
          <cell r="Q15">
            <v>0</v>
          </cell>
          <cell r="S15">
            <v>0</v>
          </cell>
          <cell r="U15">
            <v>0</v>
          </cell>
          <cell r="X15" t="str">
            <v>mstag:gainsLossesFromSaleOfOperatingAssetsOneTime</v>
          </cell>
          <cell r="Y15">
            <v>6</v>
          </cell>
          <cell r="Z15" t="str">
            <v>ISO4217:USD</v>
          </cell>
          <cell r="AA15" t="b">
            <v>1</v>
          </cell>
          <cell r="AB15" t="b">
            <v>0</v>
          </cell>
        </row>
        <row r="16">
          <cell r="B16" t="str">
            <v xml:space="preserve">        Write-down of securities available for-sale</v>
          </cell>
          <cell r="C16">
            <v>4.8</v>
          </cell>
          <cell r="D16">
            <v>27.504000000000001</v>
          </cell>
          <cell r="E16">
            <v>40.759</v>
          </cell>
          <cell r="G16">
            <v>3.8</v>
          </cell>
          <cell r="I16">
            <v>12.34</v>
          </cell>
          <cell r="K16">
            <v>10.044</v>
          </cell>
          <cell r="M16">
            <v>0</v>
          </cell>
          <cell r="O16">
            <v>0</v>
          </cell>
          <cell r="Q16">
            <v>0</v>
          </cell>
          <cell r="S16">
            <v>0</v>
          </cell>
          <cell r="U16">
            <v>0</v>
          </cell>
          <cell r="X16" t="str">
            <v>mstag:assetImpairmentNonGoodwillOneTime</v>
          </cell>
          <cell r="Y16">
            <v>6</v>
          </cell>
          <cell r="Z16" t="str">
            <v>ISO4217:USD</v>
          </cell>
          <cell r="AA16" t="b">
            <v>0</v>
          </cell>
          <cell r="AB16" t="b">
            <v>0</v>
          </cell>
        </row>
        <row r="17">
          <cell r="B17" t="str">
            <v xml:space="preserve">        Write-down of nonmarketable securities</v>
          </cell>
          <cell r="C17">
            <v>0</v>
          </cell>
          <cell r="D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X17" t="str">
            <v>mstag:assetImpairmentNonGoodwillOneTime</v>
          </cell>
          <cell r="Y17">
            <v>6</v>
          </cell>
          <cell r="Z17" t="str">
            <v>ISO4217:USD</v>
          </cell>
          <cell r="AA17" t="b">
            <v>0</v>
          </cell>
          <cell r="AB17" t="b">
            <v>0</v>
          </cell>
        </row>
        <row r="18">
          <cell r="B18" t="str">
            <v xml:space="preserve">        Loss (gain) on fixed asset dispositions</v>
          </cell>
          <cell r="C18">
            <v>1.123</v>
          </cell>
          <cell r="D18">
            <v>4.2110000000000003</v>
          </cell>
          <cell r="E18">
            <v>15.882999999999999</v>
          </cell>
          <cell r="G18">
            <v>10.76</v>
          </cell>
          <cell r="I18">
            <v>5.1150000000000002</v>
          </cell>
          <cell r="K18">
            <v>9.65</v>
          </cell>
          <cell r="M18">
            <v>0</v>
          </cell>
          <cell r="O18">
            <v>0</v>
          </cell>
          <cell r="Q18">
            <v>0</v>
          </cell>
          <cell r="S18">
            <v>0</v>
          </cell>
          <cell r="U18">
            <v>0</v>
          </cell>
          <cell r="X18" t="str">
            <v>mstag:gainsLossesFromSaleOfOperatingAssetsRecurring</v>
          </cell>
          <cell r="Y18">
            <v>6</v>
          </cell>
          <cell r="Z18" t="str">
            <v>ISO4217:USD</v>
          </cell>
          <cell r="AA18" t="b">
            <v>1</v>
          </cell>
          <cell r="AB18" t="b">
            <v>0</v>
          </cell>
        </row>
        <row r="19">
          <cell r="B19" t="str">
            <v>Changes in operating assets and liabilities</v>
          </cell>
        </row>
        <row r="20">
          <cell r="B20" t="str">
            <v xml:space="preserve">           Litigation related liability</v>
          </cell>
          <cell r="C20">
            <v>0</v>
          </cell>
          <cell r="D20">
            <v>0</v>
          </cell>
          <cell r="E20">
            <v>552.18499999999995</v>
          </cell>
          <cell r="G20">
            <v>56.1</v>
          </cell>
          <cell r="I20">
            <v>34.722000000000001</v>
          </cell>
          <cell r="K20">
            <v>51.423999999999999</v>
          </cell>
          <cell r="M20">
            <v>52</v>
          </cell>
          <cell r="O20">
            <v>52</v>
          </cell>
          <cell r="Q20">
            <v>52</v>
          </cell>
          <cell r="S20">
            <v>52</v>
          </cell>
          <cell r="U20">
            <v>52</v>
          </cell>
          <cell r="X20" t="str">
            <v>mstag:netIncreaseInOtherLiabilitiesNonOperating</v>
          </cell>
          <cell r="Y20">
            <v>6</v>
          </cell>
          <cell r="Z20" t="str">
            <v>ISO4217:USD</v>
          </cell>
          <cell r="AA20" t="b">
            <v>0</v>
          </cell>
          <cell r="AB20" t="b">
            <v>0</v>
          </cell>
        </row>
        <row r="21">
          <cell r="B21" t="str">
            <v xml:space="preserve">            Receivables and other current assets</v>
          </cell>
          <cell r="C21">
            <v>-65.33</v>
          </cell>
          <cell r="D21">
            <v>-59.5</v>
          </cell>
          <cell r="E21">
            <v>-107.483</v>
          </cell>
          <cell r="G21">
            <v>-146.1</v>
          </cell>
          <cell r="I21">
            <v>-363.80500000000001</v>
          </cell>
          <cell r="K21">
            <v>-129.11799999999999</v>
          </cell>
          <cell r="M21">
            <v>-482.23639950000012</v>
          </cell>
          <cell r="O21">
            <v>-419.21483417812306</v>
          </cell>
          <cell r="Q21">
            <v>-327.43072495785668</v>
          </cell>
          <cell r="S21">
            <v>-78.148645701194113</v>
          </cell>
          <cell r="U21">
            <v>127.58781810971152</v>
          </cell>
          <cell r="X21" t="str">
            <v>mstag:netDecreaseInTradeReceivables</v>
          </cell>
          <cell r="Y21">
            <v>6</v>
          </cell>
          <cell r="Z21" t="str">
            <v>ISO4217:USD</v>
          </cell>
          <cell r="AA21" t="b">
            <v>0</v>
          </cell>
          <cell r="AB21" t="b">
            <v>0</v>
          </cell>
        </row>
        <row r="22">
          <cell r="B22" t="str">
            <v xml:space="preserve">            Inventories, including write-up effects</v>
          </cell>
          <cell r="C22">
            <v>9.4149999999999991</v>
          </cell>
          <cell r="D22">
            <v>-91.116</v>
          </cell>
          <cell r="E22">
            <v>-36.595999999999997</v>
          </cell>
          <cell r="G22">
            <v>-93.26</v>
          </cell>
          <cell r="I22">
            <v>-120.703</v>
          </cell>
          <cell r="K22">
            <v>-112.172</v>
          </cell>
          <cell r="M22">
            <v>-203.06840740740745</v>
          </cell>
          <cell r="O22">
            <v>-170.67368457935152</v>
          </cell>
          <cell r="Q22">
            <v>-80.221479214376586</v>
          </cell>
          <cell r="S22">
            <v>-59.809257507460643</v>
          </cell>
          <cell r="U22">
            <v>-51.254885944137868</v>
          </cell>
          <cell r="X22" t="str">
            <v>mstag:netDecreaseInInventories</v>
          </cell>
          <cell r="Y22">
            <v>6</v>
          </cell>
          <cell r="Z22" t="str">
            <v>ISO4217:USD</v>
          </cell>
          <cell r="AA22" t="b">
            <v>0</v>
          </cell>
          <cell r="AB22" t="b">
            <v>0</v>
          </cell>
        </row>
        <row r="23">
          <cell r="B23" t="str">
            <v xml:space="preserve">            Deferred Revenue</v>
          </cell>
          <cell r="C23">
            <v>0</v>
          </cell>
          <cell r="D23">
            <v>-15.497</v>
          </cell>
          <cell r="E23">
            <v>2</v>
          </cell>
          <cell r="G23">
            <v>239.14500000000001</v>
          </cell>
          <cell r="I23">
            <v>-14.927</v>
          </cell>
          <cell r="K23">
            <v>-49.375</v>
          </cell>
          <cell r="M23">
            <v>191.59800000000001</v>
          </cell>
          <cell r="O23">
            <v>107.93825608416142</v>
          </cell>
          <cell r="Q23">
            <v>91.253059470930111</v>
          </cell>
          <cell r="S23">
            <v>74.092633340663724</v>
          </cell>
          <cell r="U23">
            <v>59.603533573130335</v>
          </cell>
          <cell r="X23" t="str">
            <v>mstag:netIncreaseInDeferredRevenue</v>
          </cell>
          <cell r="Y23">
            <v>6</v>
          </cell>
          <cell r="Z23" t="str">
            <v>ISO4217:USD</v>
          </cell>
          <cell r="AA23" t="b">
            <v>0</v>
          </cell>
          <cell r="AB23" t="b">
            <v>0</v>
          </cell>
        </row>
        <row r="24">
          <cell r="B24" t="str">
            <v xml:space="preserve">            Accounts payable, and other liabilities </v>
          </cell>
          <cell r="C24">
            <v>239.38800000000001</v>
          </cell>
          <cell r="D24">
            <v>124.77</v>
          </cell>
          <cell r="E24">
            <v>148.68199999999999</v>
          </cell>
          <cell r="G24">
            <v>463.6</v>
          </cell>
          <cell r="I24">
            <v>335.54199999999997</v>
          </cell>
          <cell r="K24">
            <v>437.54899999999998</v>
          </cell>
          <cell r="M24">
            <v>24.442089133333141</v>
          </cell>
          <cell r="O24">
            <v>190.90714021868848</v>
          </cell>
          <cell r="Q24">
            <v>112.59478625470587</v>
          </cell>
          <cell r="S24">
            <v>57.95152783026424</v>
          </cell>
          <cell r="U24">
            <v>11.020237528346001</v>
          </cell>
          <cell r="X24" t="str">
            <v>mstag:netIncreaseInTradeAndOtherPayables</v>
          </cell>
          <cell r="Y24">
            <v>6</v>
          </cell>
          <cell r="Z24" t="str">
            <v>ISO4217:USD</v>
          </cell>
          <cell r="AA24" t="b">
            <v>0</v>
          </cell>
          <cell r="AB24" t="b">
            <v>0</v>
          </cell>
        </row>
        <row r="25">
          <cell r="B25" t="str">
            <v>Net cash provided by (used in) operating activities</v>
          </cell>
          <cell r="C25">
            <v>214.49400000000006</v>
          </cell>
          <cell r="D25">
            <v>566.26700000000005</v>
          </cell>
          <cell r="E25">
            <v>709.68599999999981</v>
          </cell>
          <cell r="G25">
            <v>1270.5558426585776</v>
          </cell>
          <cell r="I25">
            <v>1270.4680000000001</v>
          </cell>
          <cell r="K25">
            <v>2381.3220000000001</v>
          </cell>
          <cell r="M25">
            <v>2042.7539158059255</v>
          </cell>
          <cell r="O25">
            <v>2955.4313313525158</v>
          </cell>
          <cell r="Q25">
            <v>3800.3359980453415</v>
          </cell>
          <cell r="S25">
            <v>4520.7038833214228</v>
          </cell>
          <cell r="U25">
            <v>5285.1551618023705</v>
          </cell>
        </row>
        <row r="26">
          <cell r="B26" t="str">
            <v>CASH FLOWS FROM INVESTING ACTIVITIES</v>
          </cell>
        </row>
        <row r="27">
          <cell r="B27" t="str">
            <v xml:space="preserve">       Investment in marketable securities, net of sales</v>
          </cell>
          <cell r="C27">
            <v>-12.960000000000036</v>
          </cell>
          <cell r="D27">
            <v>-566.21399999999994</v>
          </cell>
          <cell r="E27">
            <v>811.46400000000017</v>
          </cell>
          <cell r="G27">
            <v>-1054.1300000000001</v>
          </cell>
          <cell r="I27">
            <v>177.0250000000002</v>
          </cell>
          <cell r="K27">
            <v>-297.928</v>
          </cell>
          <cell r="M27">
            <v>0</v>
          </cell>
          <cell r="O27">
            <v>-500</v>
          </cell>
          <cell r="Q27">
            <v>-1000</v>
          </cell>
          <cell r="S27">
            <v>-2000</v>
          </cell>
          <cell r="U27">
            <v>-2000</v>
          </cell>
          <cell r="X27" t="str">
            <v>mstag:netDecreaseInOtherAssets</v>
          </cell>
          <cell r="Y27">
            <v>6</v>
          </cell>
          <cell r="Z27" t="str">
            <v>ISO4217:USD</v>
          </cell>
          <cell r="AA27" t="b">
            <v>0</v>
          </cell>
          <cell r="AB27" t="b">
            <v>0</v>
          </cell>
        </row>
        <row r="28">
          <cell r="B28" t="str">
            <v xml:space="preserve">        Capital expenditures</v>
          </cell>
          <cell r="C28">
            <v>-112.681</v>
          </cell>
          <cell r="D28">
            <v>-213.351</v>
          </cell>
          <cell r="E28">
            <v>-322.83199999999999</v>
          </cell>
          <cell r="G28">
            <v>-321.95</v>
          </cell>
          <cell r="I28">
            <v>-649.85799999999995</v>
          </cell>
          <cell r="K28">
            <v>-1399.8240000000001</v>
          </cell>
          <cell r="M28">
            <v>-1482.0585000000001</v>
          </cell>
          <cell r="O28">
            <v>-1579.0775170356521</v>
          </cell>
          <cell r="Q28">
            <v>-1179.3767679991645</v>
          </cell>
          <cell r="S28">
            <v>-875.1623386749061</v>
          </cell>
          <cell r="U28">
            <v>-828.35075659232984</v>
          </cell>
          <cell r="X28" t="str">
            <v>mstag:capitalExpenditures</v>
          </cell>
          <cell r="Y28">
            <v>6</v>
          </cell>
          <cell r="Z28" t="str">
            <v>ISO4217:USD</v>
          </cell>
          <cell r="AA28" t="b">
            <v>1</v>
          </cell>
          <cell r="AB28" t="b">
            <v>0</v>
          </cell>
        </row>
        <row r="29">
          <cell r="B29" t="str">
            <v xml:space="preserve">        Change in other assets</v>
          </cell>
          <cell r="C29">
            <v>-55.603999999999999</v>
          </cell>
          <cell r="D29">
            <v>-10.105</v>
          </cell>
          <cell r="E29">
            <v>12.875</v>
          </cell>
          <cell r="G29">
            <v>-56.1</v>
          </cell>
          <cell r="I29">
            <v>-57.954999999999998</v>
          </cell>
          <cell r="K29">
            <v>-42.716000000000001</v>
          </cell>
          <cell r="M29">
            <v>0</v>
          </cell>
          <cell r="O29">
            <v>0</v>
          </cell>
          <cell r="Q29">
            <v>0</v>
          </cell>
          <cell r="S29">
            <v>0</v>
          </cell>
          <cell r="U29">
            <v>0</v>
          </cell>
          <cell r="X29" t="str">
            <v>mstag:netDecreaseInOtherAssets</v>
          </cell>
          <cell r="Y29">
            <v>6</v>
          </cell>
          <cell r="Z29" t="str">
            <v>ISO4217:USD</v>
          </cell>
          <cell r="AA29" t="b">
            <v>0</v>
          </cell>
          <cell r="AB29" t="b">
            <v>0</v>
          </cell>
        </row>
        <row r="30">
          <cell r="B30" t="str">
            <v xml:space="preserve">        Transfer of restricted cash included in other long-term assets</v>
          </cell>
          <cell r="C30">
            <v>0</v>
          </cell>
          <cell r="D30">
            <v>0</v>
          </cell>
          <cell r="E30">
            <v>-630</v>
          </cell>
          <cell r="G30">
            <v>0</v>
          </cell>
          <cell r="I30">
            <v>4.5999999999999996</v>
          </cell>
          <cell r="K30">
            <v>-53</v>
          </cell>
          <cell r="M30">
            <v>0</v>
          </cell>
          <cell r="O30">
            <v>0</v>
          </cell>
          <cell r="Q30">
            <v>0</v>
          </cell>
          <cell r="S30">
            <v>0</v>
          </cell>
          <cell r="U30">
            <v>0</v>
          </cell>
          <cell r="X30" t="str">
            <v>mstag:netDecreaseInOtherAssets</v>
          </cell>
          <cell r="Y30">
            <v>6</v>
          </cell>
          <cell r="Z30" t="str">
            <v>ISO4217:USD</v>
          </cell>
          <cell r="AA30" t="b">
            <v>0</v>
          </cell>
          <cell r="AB30" t="b">
            <v>0</v>
          </cell>
        </row>
        <row r="31">
          <cell r="B31" t="str">
            <v>Net cash used in investing activities</v>
          </cell>
          <cell r="C31">
            <v>-181.24500000000003</v>
          </cell>
          <cell r="D31">
            <v>-789.67</v>
          </cell>
          <cell r="E31">
            <v>-128.49299999999982</v>
          </cell>
          <cell r="G31">
            <v>-1432.18</v>
          </cell>
          <cell r="I31">
            <v>-526.18799999999976</v>
          </cell>
          <cell r="K31">
            <v>-1793.4679999999998</v>
          </cell>
          <cell r="M31">
            <v>-1482.0585000000001</v>
          </cell>
          <cell r="O31">
            <v>-2079.0775170356519</v>
          </cell>
          <cell r="Q31">
            <v>-2179.3767679991643</v>
          </cell>
          <cell r="S31">
            <v>-2875.1623386749061</v>
          </cell>
          <cell r="U31">
            <v>-2828.3507565923301</v>
          </cell>
        </row>
        <row r="32">
          <cell r="B32" t="str">
            <v>CASH FLOWS FROM FINANCING ACTIVITIES</v>
          </cell>
        </row>
        <row r="33">
          <cell r="B33" t="str">
            <v xml:space="preserve">        Stock issuances</v>
          </cell>
          <cell r="C33">
            <v>180.37899999999999</v>
          </cell>
          <cell r="D33">
            <v>106.866</v>
          </cell>
          <cell r="E33">
            <v>74.164000000000001</v>
          </cell>
          <cell r="G33">
            <v>526.86</v>
          </cell>
          <cell r="I33">
            <v>505.37400000000002</v>
          </cell>
          <cell r="K33">
            <v>820.49300000000005</v>
          </cell>
          <cell r="M33">
            <v>720.03708671999993</v>
          </cell>
          <cell r="O33">
            <v>694.32147647999989</v>
          </cell>
          <cell r="Q33">
            <v>720.53905543188478</v>
          </cell>
          <cell r="S33">
            <v>729.31083523714256</v>
          </cell>
          <cell r="U33">
            <v>875.173002284571</v>
          </cell>
          <cell r="X33" t="str">
            <v>mstag:proceedsFromIssuanceFundsUsedToRepurchaseCommonStock</v>
          </cell>
          <cell r="Y33">
            <v>6</v>
          </cell>
          <cell r="Z33" t="str">
            <v>ISO4217:USD</v>
          </cell>
          <cell r="AA33" t="b">
            <v>0</v>
          </cell>
          <cell r="AB33" t="b">
            <v>0</v>
          </cell>
        </row>
        <row r="34">
          <cell r="B34" t="str">
            <v xml:space="preserve">        Stock repurchases</v>
          </cell>
          <cell r="C34">
            <v>0</v>
          </cell>
          <cell r="D34">
            <v>-39.704000000000001</v>
          </cell>
          <cell r="E34">
            <v>-692.75199999999995</v>
          </cell>
          <cell r="G34">
            <v>-201.34</v>
          </cell>
          <cell r="I34">
            <v>-1351.683</v>
          </cell>
          <cell r="K34">
            <v>-2015.912</v>
          </cell>
          <cell r="M34">
            <v>-1970.7352000000001</v>
          </cell>
          <cell r="O34">
            <v>-1719.818379</v>
          </cell>
          <cell r="Q34">
            <v>-1615.2066424968916</v>
          </cell>
          <cell r="S34">
            <v>-1479.5573750774572</v>
          </cell>
          <cell r="U34">
            <v>-1606.7993093341186</v>
          </cell>
          <cell r="X34" t="str">
            <v>mstag:proceedsFromIssuanceFundsUsedToRepurchaseCommonStock</v>
          </cell>
          <cell r="Y34">
            <v>6</v>
          </cell>
          <cell r="Z34" t="str">
            <v>ISO4217:USD</v>
          </cell>
          <cell r="AA34" t="b">
            <v>0</v>
          </cell>
          <cell r="AB34" t="b">
            <v>0</v>
          </cell>
        </row>
        <row r="35">
          <cell r="B35" t="str">
            <v xml:space="preserve">        Tax benefits from stock options</v>
          </cell>
          <cell r="C35">
            <v>0</v>
          </cell>
          <cell r="D35">
            <v>0</v>
          </cell>
          <cell r="E35">
            <v>0</v>
          </cell>
          <cell r="M35">
            <v>466.42246192600749</v>
          </cell>
          <cell r="O35">
            <v>382.51034463996001</v>
          </cell>
          <cell r="Q35">
            <v>333.71100997524758</v>
          </cell>
          <cell r="S35">
            <v>279.84195936043733</v>
          </cell>
          <cell r="U35">
            <v>272.89661252948122</v>
          </cell>
          <cell r="X35" t="str">
            <v>mstag:taxBenefitFromExerciseOfEsosCashFlowStatement</v>
          </cell>
          <cell r="Y35">
            <v>6</v>
          </cell>
          <cell r="Z35" t="str">
            <v>ISO4217:USD</v>
          </cell>
          <cell r="AA35" t="b">
            <v>0</v>
          </cell>
          <cell r="AB35" t="b">
            <v>0</v>
          </cell>
        </row>
        <row r="36">
          <cell r="B36" t="str">
            <v xml:space="preserve">        Debt issuance</v>
          </cell>
          <cell r="C36">
            <v>0</v>
          </cell>
          <cell r="D36">
            <v>0</v>
          </cell>
          <cell r="E36">
            <v>-149.69200000000001</v>
          </cell>
          <cell r="G36">
            <v>0</v>
          </cell>
          <cell r="I36">
            <v>0</v>
          </cell>
          <cell r="K36">
            <v>1562.953</v>
          </cell>
          <cell r="M36">
            <v>0</v>
          </cell>
          <cell r="O36">
            <v>0</v>
          </cell>
          <cell r="Q36">
            <v>0</v>
          </cell>
          <cell r="S36">
            <v>0</v>
          </cell>
          <cell r="U36">
            <v>-500</v>
          </cell>
          <cell r="X36" t="str">
            <v>mstag:proceedsFromIssuanceAndCashUsedToRepayShortTermBorrowings</v>
          </cell>
          <cell r="Y36">
            <v>6</v>
          </cell>
          <cell r="Z36" t="str">
            <v>ISO4217:USD</v>
          </cell>
          <cell r="AA36" t="b">
            <v>0</v>
          </cell>
          <cell r="AB36" t="b">
            <v>0</v>
          </cell>
        </row>
        <row r="37">
          <cell r="B37" t="str">
            <v>Net cash provided by financing activities</v>
          </cell>
          <cell r="C37">
            <v>180.37899999999999</v>
          </cell>
          <cell r="D37">
            <v>67.162000000000006</v>
          </cell>
          <cell r="E37">
            <v>-768.28</v>
          </cell>
          <cell r="G37">
            <v>325.52</v>
          </cell>
          <cell r="I37">
            <v>-846.30899999999997</v>
          </cell>
          <cell r="K37">
            <v>367.53400000000011</v>
          </cell>
          <cell r="M37">
            <v>-784.27565135399266</v>
          </cell>
          <cell r="O37">
            <v>-642.98655788004021</v>
          </cell>
          <cell r="Q37">
            <v>-560.95657708975932</v>
          </cell>
          <cell r="S37">
            <v>-470.40458047987732</v>
          </cell>
          <cell r="U37">
            <v>-958.72969452006635</v>
          </cell>
        </row>
        <row r="38">
          <cell r="B38" t="str">
            <v xml:space="preserve">Change in cash </v>
          </cell>
          <cell r="C38">
            <v>213.62800000000001</v>
          </cell>
          <cell r="D38">
            <v>-156.24099999999987</v>
          </cell>
          <cell r="E38">
            <v>-187.08699999999999</v>
          </cell>
          <cell r="G38">
            <v>163.89584265857752</v>
          </cell>
          <cell r="I38">
            <v>-102.02899999999977</v>
          </cell>
          <cell r="K38">
            <v>955.38800000000037</v>
          </cell>
          <cell r="M38">
            <v>-223.58023554806709</v>
          </cell>
          <cell r="O38">
            <v>233.36725643682394</v>
          </cell>
          <cell r="Q38">
            <v>1060.0026529564179</v>
          </cell>
          <cell r="S38">
            <v>1175.1369641666392</v>
          </cell>
          <cell r="U38">
            <v>1498.0747106899739</v>
          </cell>
        </row>
        <row r="39">
          <cell r="B39" t="str">
            <v>Cash at beginning of year</v>
          </cell>
          <cell r="C39">
            <v>337.68200000000002</v>
          </cell>
          <cell r="D39">
            <v>551.31000000000006</v>
          </cell>
          <cell r="E39">
            <v>395.06900000000019</v>
          </cell>
          <cell r="G39">
            <v>207.9820000000002</v>
          </cell>
          <cell r="I39">
            <v>371.87784265857772</v>
          </cell>
          <cell r="K39">
            <v>270.12299999999999</v>
          </cell>
          <cell r="M39">
            <v>1225.5110000000004</v>
          </cell>
          <cell r="O39">
            <v>1001.9307644519333</v>
          </cell>
          <cell r="Q39">
            <v>1235.2980208887573</v>
          </cell>
          <cell r="S39">
            <v>2295.300673845175</v>
          </cell>
          <cell r="U39">
            <v>3470.4376380118142</v>
          </cell>
        </row>
        <row r="40">
          <cell r="B40" t="str">
            <v>Cash at end of year</v>
          </cell>
          <cell r="C40">
            <v>551.31000000000006</v>
          </cell>
          <cell r="D40">
            <v>395.06900000000019</v>
          </cell>
          <cell r="E40">
            <v>207.9820000000002</v>
          </cell>
          <cell r="G40">
            <v>371.87784265857772</v>
          </cell>
          <cell r="I40">
            <v>270.12299999999999</v>
          </cell>
          <cell r="K40">
            <v>1225.5110000000004</v>
          </cell>
          <cell r="M40">
            <v>1001.9307644519333</v>
          </cell>
          <cell r="O40">
            <v>1235.2980208887573</v>
          </cell>
          <cell r="Q40">
            <v>2295.300673845175</v>
          </cell>
          <cell r="S40">
            <v>3470.4376380118142</v>
          </cell>
          <cell r="U40">
            <v>4968.5123487017881</v>
          </cell>
        </row>
        <row r="41">
          <cell r="B41" t="str">
            <v>Cash and Marketable Securities at end of year</v>
          </cell>
          <cell r="G41">
            <v>2934.3978426585777</v>
          </cell>
          <cell r="I41">
            <v>2780.4319999999998</v>
          </cell>
          <cell r="K41">
            <v>3813.8920000000007</v>
          </cell>
          <cell r="M41">
            <v>3590.3117644519334</v>
          </cell>
          <cell r="O41">
            <v>4323.6790208887569</v>
          </cell>
          <cell r="Q41">
            <v>6383.6816738451744</v>
          </cell>
          <cell r="S41">
            <v>9558.8186380118132</v>
          </cell>
          <cell r="U41">
            <v>13056.893348701788</v>
          </cell>
        </row>
        <row r="45">
          <cell r="G45" t="str">
            <v>2003-FY</v>
          </cell>
          <cell r="I45" t="str">
            <v>2004-FY</v>
          </cell>
          <cell r="K45" t="str">
            <v>2005-FY</v>
          </cell>
          <cell r="M45" t="str">
            <v>2006-FY</v>
          </cell>
          <cell r="O45" t="str">
            <v>2007-FY</v>
          </cell>
          <cell r="Q45" t="str">
            <v>2008-FY</v>
          </cell>
          <cell r="S45" t="str">
            <v>2009-FY</v>
          </cell>
          <cell r="U45" t="str">
            <v>2010-FY</v>
          </cell>
        </row>
        <row r="47">
          <cell r="B47" t="str">
            <v>Free Cash Flow</v>
          </cell>
          <cell r="G47">
            <v>948.60584265857756</v>
          </cell>
          <cell r="I47">
            <v>620.61000000000013</v>
          </cell>
          <cell r="K47">
            <v>981.49800000000005</v>
          </cell>
          <cell r="M47">
            <v>1027.1178777319328</v>
          </cell>
          <cell r="O47">
            <v>1758.8641589568238</v>
          </cell>
          <cell r="Q47">
            <v>2954.6702400214249</v>
          </cell>
          <cell r="S47">
            <v>3925.3835040069539</v>
          </cell>
          <cell r="U47">
            <v>4729.7010177395214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 t="str">
            <v>Patient Growth Rate</v>
          </cell>
          <cell r="D2">
            <v>1.65E-3</v>
          </cell>
        </row>
        <row r="4">
          <cell r="B4" t="str">
            <v>Front - Line</v>
          </cell>
          <cell r="C4">
            <v>38047</v>
          </cell>
          <cell r="D4">
            <v>38078</v>
          </cell>
          <cell r="E4">
            <v>38108</v>
          </cell>
          <cell r="F4">
            <v>38139</v>
          </cell>
          <cell r="G4">
            <v>38169</v>
          </cell>
          <cell r="H4">
            <v>38200</v>
          </cell>
          <cell r="I4">
            <v>38231</v>
          </cell>
          <cell r="J4">
            <v>38261</v>
          </cell>
          <cell r="K4">
            <v>38292</v>
          </cell>
          <cell r="L4">
            <v>38322</v>
          </cell>
          <cell r="M4">
            <v>2004</v>
          </cell>
          <cell r="P4" t="str">
            <v>Front - Line</v>
          </cell>
          <cell r="Q4">
            <v>38353</v>
          </cell>
          <cell r="R4">
            <v>38384</v>
          </cell>
          <cell r="S4">
            <v>38412</v>
          </cell>
          <cell r="T4">
            <v>38443</v>
          </cell>
          <cell r="U4">
            <v>38473</v>
          </cell>
          <cell r="V4">
            <v>38504</v>
          </cell>
          <cell r="W4">
            <v>38534</v>
          </cell>
          <cell r="X4">
            <v>38565</v>
          </cell>
          <cell r="Y4">
            <v>38596</v>
          </cell>
          <cell r="Z4">
            <v>38626</v>
          </cell>
          <cell r="AA4">
            <v>38657</v>
          </cell>
          <cell r="AB4">
            <v>38687</v>
          </cell>
          <cell r="AC4">
            <v>2005</v>
          </cell>
        </row>
        <row r="5">
          <cell r="B5" t="str">
            <v>Previously Diagnosed Patients</v>
          </cell>
          <cell r="C5">
            <v>8000</v>
          </cell>
        </row>
        <row r="6">
          <cell r="B6" t="str">
            <v>New Stage III/IV Diagnoses Per Month</v>
          </cell>
          <cell r="C6">
            <v>3022</v>
          </cell>
          <cell r="D6">
            <v>3026.9862999999996</v>
          </cell>
          <cell r="E6">
            <v>3031.9808273949993</v>
          </cell>
          <cell r="F6">
            <v>3036.9835957602008</v>
          </cell>
          <cell r="G6">
            <v>3041.9946186932048</v>
          </cell>
          <cell r="H6">
            <v>3047.0139098140485</v>
          </cell>
          <cell r="I6">
            <v>3052.0414827652417</v>
          </cell>
          <cell r="J6">
            <v>3057.0773512118039</v>
          </cell>
          <cell r="K6">
            <v>3062.1215288413032</v>
          </cell>
          <cell r="L6">
            <v>3067.1740293638909</v>
          </cell>
          <cell r="M6">
            <v>30445.373643844694</v>
          </cell>
          <cell r="P6" t="str">
            <v>New Stage III/IV Diagnoses Per Month</v>
          </cell>
          <cell r="Q6">
            <v>3072.2348665123409</v>
          </cell>
          <cell r="R6">
            <v>3077.3040540420861</v>
          </cell>
          <cell r="S6">
            <v>3082.3816057312551</v>
          </cell>
          <cell r="T6">
            <v>3087.4675353807115</v>
          </cell>
          <cell r="U6">
            <v>3092.5618568140894</v>
          </cell>
          <cell r="V6">
            <v>3097.6645838778322</v>
          </cell>
          <cell r="W6">
            <v>3102.7757304412303</v>
          </cell>
          <cell r="X6">
            <v>3107.8953103964582</v>
          </cell>
          <cell r="Y6">
            <v>3113.023337658612</v>
          </cell>
          <cell r="Z6">
            <v>3118.1598261657487</v>
          </cell>
          <cell r="AA6">
            <v>3123.3047898789218</v>
          </cell>
          <cell r="AB6">
            <v>3128.458242782222</v>
          </cell>
          <cell r="AC6">
            <v>37203.231739681505</v>
          </cell>
        </row>
        <row r="7">
          <cell r="C7">
            <v>0.40827436037016873</v>
          </cell>
          <cell r="D7">
            <v>0.22</v>
          </cell>
          <cell r="E7">
            <v>0.21</v>
          </cell>
          <cell r="F7">
            <v>0.22</v>
          </cell>
          <cell r="G7">
            <v>0.4</v>
          </cell>
          <cell r="H7">
            <v>0.4</v>
          </cell>
          <cell r="I7">
            <v>0.4</v>
          </cell>
          <cell r="J7">
            <v>0.45</v>
          </cell>
          <cell r="K7">
            <v>0.46</v>
          </cell>
          <cell r="L7">
            <v>0.48</v>
          </cell>
          <cell r="M7">
            <v>0.47244332649680609</v>
          </cell>
          <cell r="Q7">
            <v>0.53</v>
          </cell>
          <cell r="R7">
            <v>0.55000000000000004</v>
          </cell>
          <cell r="S7">
            <v>0.61</v>
          </cell>
          <cell r="T7">
            <v>0.62</v>
          </cell>
          <cell r="U7">
            <v>0.63</v>
          </cell>
          <cell r="V7">
            <v>0.64</v>
          </cell>
          <cell r="W7">
            <v>0.64</v>
          </cell>
          <cell r="X7">
            <v>0.65</v>
          </cell>
          <cell r="Y7">
            <v>0.66</v>
          </cell>
          <cell r="Z7">
            <v>0.67</v>
          </cell>
          <cell r="AA7">
            <v>0.67</v>
          </cell>
          <cell r="AB7">
            <v>0.67</v>
          </cell>
          <cell r="AC7">
            <v>0.62855979730513767</v>
          </cell>
        </row>
        <row r="8">
          <cell r="B8" t="str">
            <v>New Patients Starting Therapy</v>
          </cell>
          <cell r="C8">
            <v>4500</v>
          </cell>
          <cell r="D8">
            <v>665.93698599999993</v>
          </cell>
          <cell r="E8">
            <v>636.71597375294982</v>
          </cell>
          <cell r="F8">
            <v>668.13639106724418</v>
          </cell>
          <cell r="G8">
            <v>1216.7978474772819</v>
          </cell>
          <cell r="H8">
            <v>1218.8055639256195</v>
          </cell>
          <cell r="I8">
            <v>1220.8165931060967</v>
          </cell>
          <cell r="J8">
            <v>1375.6848080453119</v>
          </cell>
          <cell r="K8">
            <v>1408.5759032669996</v>
          </cell>
          <cell r="L8">
            <v>1472.2435340946677</v>
          </cell>
          <cell r="M8">
            <v>14383.713600736173</v>
          </cell>
          <cell r="P8" t="str">
            <v>New Patients Starting Therapy</v>
          </cell>
          <cell r="Q8">
            <v>1628.2844792515407</v>
          </cell>
          <cell r="R8">
            <v>1692.5172297231475</v>
          </cell>
          <cell r="S8">
            <v>1880.2527794960656</v>
          </cell>
          <cell r="T8">
            <v>1914.229871936041</v>
          </cell>
          <cell r="U8">
            <v>1948.3139697928764</v>
          </cell>
          <cell r="V8">
            <v>1982.5053336818128</v>
          </cell>
          <cell r="W8">
            <v>1985.7764674823875</v>
          </cell>
          <cell r="X8">
            <v>2020.1319517576978</v>
          </cell>
          <cell r="Y8">
            <v>2054.5954028546839</v>
          </cell>
          <cell r="Z8">
            <v>2089.1670835310515</v>
          </cell>
          <cell r="AA8">
            <v>2092.6142092188779</v>
          </cell>
          <cell r="AB8">
            <v>2096.0670226640887</v>
          </cell>
          <cell r="AC8">
            <v>23384.455801390272</v>
          </cell>
        </row>
        <row r="9">
          <cell r="B9" t="str">
            <v>Failures</v>
          </cell>
          <cell r="P9" t="str">
            <v>Failures</v>
          </cell>
          <cell r="AE9" t="str">
            <v>Distribution of Failure Timing</v>
          </cell>
        </row>
        <row r="10">
          <cell r="B10" t="str">
            <v>1 Month</v>
          </cell>
          <cell r="C10">
            <v>52.05655526992286</v>
          </cell>
          <cell r="D10">
            <v>7.7036412262210767</v>
          </cell>
          <cell r="E10">
            <v>7.3656089508695972</v>
          </cell>
          <cell r="F10">
            <v>7.7290842154308423</v>
          </cell>
          <cell r="G10">
            <v>14.076067644338734</v>
          </cell>
          <cell r="H10">
            <v>14.099293155951893</v>
          </cell>
          <cell r="I10">
            <v>14.122556989659211</v>
          </cell>
          <cell r="J10">
            <v>15.914091609778668</v>
          </cell>
          <cell r="K10">
            <v>16.294579857844464</v>
          </cell>
          <cell r="L10">
            <v>17.031094867419029</v>
          </cell>
          <cell r="P10" t="str">
            <v>1 Month</v>
          </cell>
          <cell r="Q10">
            <v>18.836195775403421</v>
          </cell>
          <cell r="R10">
            <v>19.579248158751057</v>
          </cell>
          <cell r="S10">
            <v>21.750996163836227</v>
          </cell>
          <cell r="T10">
            <v>22.144047361727974</v>
          </cell>
          <cell r="U10">
            <v>22.538336411485709</v>
          </cell>
          <cell r="V10">
            <v>22.933866327938702</v>
          </cell>
          <cell r="W10">
            <v>22.971707207379797</v>
          </cell>
          <cell r="X10">
            <v>23.369135688713722</v>
          </cell>
          <cell r="Y10">
            <v>23.767813143563174</v>
          </cell>
          <cell r="Z10">
            <v>24.167742611541719</v>
          </cell>
          <cell r="AA10">
            <v>24.207619386850766</v>
          </cell>
          <cell r="AB10">
            <v>24.247561958839064</v>
          </cell>
          <cell r="AE10">
            <v>1</v>
          </cell>
          <cell r="AF10">
            <v>0.9</v>
          </cell>
          <cell r="AG10">
            <v>1.1568123393316192E-2</v>
          </cell>
        </row>
        <row r="11">
          <cell r="B11" t="str">
            <v>2 Months</v>
          </cell>
          <cell r="D11">
            <v>69.408740359897152</v>
          </cell>
          <cell r="E11">
            <v>10.271521634961434</v>
          </cell>
          <cell r="F11">
            <v>9.8208119344927951</v>
          </cell>
          <cell r="G11">
            <v>10.305445620574456</v>
          </cell>
          <cell r="H11">
            <v>18.768090192451641</v>
          </cell>
          <cell r="I11">
            <v>18.799057541269189</v>
          </cell>
          <cell r="J11">
            <v>18.830075986212282</v>
          </cell>
          <cell r="K11">
            <v>21.218788813038223</v>
          </cell>
          <cell r="L11">
            <v>21.726106477125949</v>
          </cell>
          <cell r="P11" t="str">
            <v>2 Months</v>
          </cell>
          <cell r="Q11">
            <v>22.708126489892038</v>
          </cell>
          <cell r="R11">
            <v>25.114927700537894</v>
          </cell>
          <cell r="S11">
            <v>26.105664211668074</v>
          </cell>
          <cell r="T11">
            <v>29.001328218448304</v>
          </cell>
          <cell r="U11">
            <v>29.525396482303965</v>
          </cell>
          <cell r="V11">
            <v>30.05111521531428</v>
          </cell>
          <cell r="W11">
            <v>30.5784884372516</v>
          </cell>
          <cell r="X11">
            <v>30.628942943173062</v>
          </cell>
          <cell r="Y11">
            <v>31.158847584951626</v>
          </cell>
          <cell r="Z11">
            <v>31.690417524750899</v>
          </cell>
          <cell r="AA11">
            <v>32.223656815388956</v>
          </cell>
          <cell r="AB11">
            <v>32.276825849134354</v>
          </cell>
          <cell r="AE11">
            <v>2</v>
          </cell>
          <cell r="AF11">
            <v>1.2</v>
          </cell>
          <cell r="AG11">
            <v>1.5424164524421588E-2</v>
          </cell>
        </row>
        <row r="12">
          <cell r="B12" t="str">
            <v>3 Months</v>
          </cell>
          <cell r="E12">
            <v>86.760925449871436</v>
          </cell>
          <cell r="F12">
            <v>12.839402043701794</v>
          </cell>
          <cell r="G12">
            <v>12.276014918115994</v>
          </cell>
          <cell r="H12">
            <v>12.88180702571807</v>
          </cell>
          <cell r="I12">
            <v>23.460112740564554</v>
          </cell>
          <cell r="J12">
            <v>23.498821926586483</v>
          </cell>
          <cell r="K12">
            <v>23.537594982765352</v>
          </cell>
          <cell r="L12">
            <v>26.523486016297777</v>
          </cell>
          <cell r="P12" t="str">
            <v>3 Months</v>
          </cell>
          <cell r="Q12">
            <v>27.157633096407437</v>
          </cell>
          <cell r="R12">
            <v>28.385158112365048</v>
          </cell>
          <cell r="S12">
            <v>31.393659625672367</v>
          </cell>
          <cell r="T12">
            <v>32.632080264585092</v>
          </cell>
          <cell r="U12">
            <v>36.251660273060381</v>
          </cell>
          <cell r="V12">
            <v>36.906745602879951</v>
          </cell>
          <cell r="W12">
            <v>37.563894019142843</v>
          </cell>
          <cell r="X12">
            <v>38.223110546564499</v>
          </cell>
          <cell r="Y12">
            <v>38.286178678966323</v>
          </cell>
          <cell r="Z12">
            <v>38.948559481189534</v>
          </cell>
          <cell r="AA12">
            <v>39.613021905938623</v>
          </cell>
          <cell r="AB12">
            <v>40.279571019236194</v>
          </cell>
          <cell r="AE12">
            <v>3</v>
          </cell>
          <cell r="AF12">
            <v>1.5</v>
          </cell>
          <cell r="AG12">
            <v>1.9280205655526985E-2</v>
          </cell>
        </row>
        <row r="13">
          <cell r="B13" t="str">
            <v>4 Months</v>
          </cell>
          <cell r="F13">
            <v>115.68123393316191</v>
          </cell>
          <cell r="G13">
            <v>17.119202724935725</v>
          </cell>
          <cell r="H13">
            <v>16.368019890821326</v>
          </cell>
          <cell r="I13">
            <v>17.175742700957429</v>
          </cell>
          <cell r="J13">
            <v>31.280150320752739</v>
          </cell>
          <cell r="K13">
            <v>31.331762568781979</v>
          </cell>
          <cell r="L13">
            <v>31.383459977020468</v>
          </cell>
          <cell r="P13" t="str">
            <v>4 Months</v>
          </cell>
          <cell r="Q13">
            <v>35.364648021730368</v>
          </cell>
          <cell r="R13">
            <v>36.210177461876583</v>
          </cell>
          <cell r="S13">
            <v>37.846877483153399</v>
          </cell>
          <cell r="T13">
            <v>41.858212834229825</v>
          </cell>
          <cell r="U13">
            <v>43.509440352780125</v>
          </cell>
          <cell r="V13">
            <v>48.335547030747172</v>
          </cell>
          <cell r="W13">
            <v>49.208994137173271</v>
          </cell>
          <cell r="X13">
            <v>50.085192025523796</v>
          </cell>
          <cell r="Y13">
            <v>50.964147395419332</v>
          </cell>
          <cell r="Z13">
            <v>51.048238238621764</v>
          </cell>
          <cell r="AA13">
            <v>51.931412641586043</v>
          </cell>
          <cell r="AB13">
            <v>52.817362541251498</v>
          </cell>
          <cell r="AE13">
            <v>4</v>
          </cell>
          <cell r="AF13">
            <v>2</v>
          </cell>
          <cell r="AG13">
            <v>2.570694087403598E-2</v>
          </cell>
        </row>
        <row r="14">
          <cell r="B14" t="str">
            <v>5 Months</v>
          </cell>
          <cell r="G14">
            <v>173.52185089974287</v>
          </cell>
          <cell r="H14">
            <v>25.678804087403588</v>
          </cell>
          <cell r="I14">
            <v>24.552029836231988</v>
          </cell>
          <cell r="J14">
            <v>25.763614051436139</v>
          </cell>
          <cell r="K14">
            <v>46.920225481129108</v>
          </cell>
          <cell r="L14">
            <v>46.997643853172967</v>
          </cell>
          <cell r="P14" t="str">
            <v>5 Months</v>
          </cell>
          <cell r="Q14">
            <v>47.075189965530704</v>
          </cell>
          <cell r="R14">
            <v>53.046972032595555</v>
          </cell>
          <cell r="S14">
            <v>54.315266192814875</v>
          </cell>
          <cell r="T14">
            <v>56.770316224730095</v>
          </cell>
          <cell r="U14">
            <v>62.787319251344734</v>
          </cell>
          <cell r="V14">
            <v>65.264160529170184</v>
          </cell>
          <cell r="W14">
            <v>72.503320546120761</v>
          </cell>
          <cell r="X14">
            <v>73.813491205759902</v>
          </cell>
          <cell r="Y14">
            <v>75.127788038285686</v>
          </cell>
          <cell r="Z14">
            <v>76.446221093128997</v>
          </cell>
          <cell r="AA14">
            <v>76.572357357932646</v>
          </cell>
          <cell r="AB14">
            <v>77.897118962379068</v>
          </cell>
          <cell r="AE14">
            <v>5</v>
          </cell>
          <cell r="AF14">
            <v>3</v>
          </cell>
          <cell r="AG14">
            <v>3.856041131105397E-2</v>
          </cell>
        </row>
        <row r="15">
          <cell r="B15" t="str">
            <v>6 Months</v>
          </cell>
          <cell r="H15">
            <v>231.36246786632381</v>
          </cell>
          <cell r="I15">
            <v>34.238405449871451</v>
          </cell>
          <cell r="J15">
            <v>32.736039781642653</v>
          </cell>
          <cell r="K15">
            <v>34.351485401914857</v>
          </cell>
          <cell r="L15">
            <v>62.560300641505478</v>
          </cell>
          <cell r="P15" t="str">
            <v>6 Months</v>
          </cell>
          <cell r="Q15">
            <v>62.663525137563958</v>
          </cell>
          <cell r="R15">
            <v>62.766919954040937</v>
          </cell>
          <cell r="S15">
            <v>70.729296043460735</v>
          </cell>
          <cell r="T15">
            <v>72.420354923753166</v>
          </cell>
          <cell r="U15">
            <v>75.693754966306798</v>
          </cell>
          <cell r="V15">
            <v>83.71642566845965</v>
          </cell>
          <cell r="W15">
            <v>87.01888070556025</v>
          </cell>
          <cell r="X15">
            <v>96.671094061494344</v>
          </cell>
          <cell r="Y15">
            <v>98.417988274346541</v>
          </cell>
          <cell r="Z15">
            <v>100.17038405104759</v>
          </cell>
          <cell r="AA15">
            <v>101.92829479083866</v>
          </cell>
          <cell r="AB15">
            <v>102.09647647724353</v>
          </cell>
          <cell r="AE15">
            <v>6</v>
          </cell>
          <cell r="AF15">
            <v>4</v>
          </cell>
          <cell r="AG15">
            <v>5.141388174807196E-2</v>
          </cell>
        </row>
        <row r="16">
          <cell r="B16" t="str">
            <v>7 Months</v>
          </cell>
          <cell r="I16">
            <v>318.12339331619529</v>
          </cell>
          <cell r="J16">
            <v>47.077807493573246</v>
          </cell>
          <cell r="K16">
            <v>45.01205469975865</v>
          </cell>
          <cell r="L16">
            <v>47.233292427632925</v>
          </cell>
          <cell r="P16" t="str">
            <v>7 Months</v>
          </cell>
          <cell r="Q16">
            <v>86.020413382070032</v>
          </cell>
          <cell r="R16">
            <v>86.162347064150453</v>
          </cell>
          <cell r="S16">
            <v>86.304514936806285</v>
          </cell>
          <cell r="T16">
            <v>97.252782059758516</v>
          </cell>
          <cell r="U16">
            <v>99.577988020160603</v>
          </cell>
          <cell r="V16">
            <v>104.07891307867185</v>
          </cell>
          <cell r="W16">
            <v>115.11008529413202</v>
          </cell>
          <cell r="X16">
            <v>119.65096097014535</v>
          </cell>
          <cell r="Y16">
            <v>132.92275433455472</v>
          </cell>
          <cell r="Z16">
            <v>135.32473387722652</v>
          </cell>
          <cell r="AA16">
            <v>137.73427807019044</v>
          </cell>
          <cell r="AB16">
            <v>140.15140533740316</v>
          </cell>
          <cell r="AE16">
            <v>7</v>
          </cell>
          <cell r="AF16">
            <v>5.5</v>
          </cell>
          <cell r="AG16">
            <v>7.0694087403598949E-2</v>
          </cell>
        </row>
        <row r="17">
          <cell r="B17" t="str">
            <v>8 Months</v>
          </cell>
          <cell r="J17">
            <v>381.74807197943426</v>
          </cell>
          <cell r="K17">
            <v>56.493368992287891</v>
          </cell>
          <cell r="L17">
            <v>54.014465639710373</v>
          </cell>
          <cell r="P17" t="str">
            <v>8 Months</v>
          </cell>
          <cell r="Q17">
            <v>56.679950913159509</v>
          </cell>
          <cell r="R17">
            <v>103.22449605848404</v>
          </cell>
          <cell r="S17">
            <v>103.39481647698052</v>
          </cell>
          <cell r="T17">
            <v>103.56541792416753</v>
          </cell>
          <cell r="U17">
            <v>116.70333847171021</v>
          </cell>
          <cell r="V17">
            <v>119.49358562419272</v>
          </cell>
          <cell r="W17">
            <v>124.8946956944062</v>
          </cell>
          <cell r="X17">
            <v>138.13210235295841</v>
          </cell>
          <cell r="Y17">
            <v>143.5811531641744</v>
          </cell>
          <cell r="Z17">
            <v>159.50730520146564</v>
          </cell>
          <cell r="AA17">
            <v>162.38968065267179</v>
          </cell>
          <cell r="AB17">
            <v>165.28113368422851</v>
          </cell>
          <cell r="AE17">
            <v>8</v>
          </cell>
          <cell r="AF17">
            <v>6.6</v>
          </cell>
          <cell r="AG17">
            <v>8.483290488431873E-2</v>
          </cell>
        </row>
        <row r="18">
          <cell r="B18" t="str">
            <v>9 Months</v>
          </cell>
          <cell r="K18">
            <v>404.88431876606671</v>
          </cell>
          <cell r="L18">
            <v>59.917209537275042</v>
          </cell>
          <cell r="P18" t="str">
            <v>9 Months</v>
          </cell>
          <cell r="Q18">
            <v>57.288069617874648</v>
          </cell>
          <cell r="R18">
            <v>60.115099453351</v>
          </cell>
          <cell r="S18">
            <v>109.48052612263459</v>
          </cell>
          <cell r="T18">
            <v>109.66116899073694</v>
          </cell>
          <cell r="U18">
            <v>109.84210991957164</v>
          </cell>
          <cell r="V18">
            <v>123.77626807605631</v>
          </cell>
          <cell r="W18">
            <v>126.73562111656805</v>
          </cell>
          <cell r="X18">
            <v>132.46407119103691</v>
          </cell>
          <cell r="Y18">
            <v>146.50374491980438</v>
          </cell>
          <cell r="Z18">
            <v>152.28304123473043</v>
          </cell>
          <cell r="AA18">
            <v>169.17441460761512</v>
          </cell>
          <cell r="AB18">
            <v>172.23147948010646</v>
          </cell>
          <cell r="AE18">
            <v>9</v>
          </cell>
          <cell r="AF18">
            <v>7</v>
          </cell>
          <cell r="AG18">
            <v>8.9974293059125937E-2</v>
          </cell>
        </row>
        <row r="19">
          <cell r="B19" t="str">
            <v>10 Months</v>
          </cell>
          <cell r="L19">
            <v>416.45244215938288</v>
          </cell>
          <cell r="P19" t="str">
            <v>10 Months</v>
          </cell>
          <cell r="Q19">
            <v>61.629129809768614</v>
          </cell>
          <cell r="R19">
            <v>58.924871606956778</v>
          </cell>
          <cell r="S19">
            <v>61.832673723446739</v>
          </cell>
          <cell r="T19">
            <v>112.60854115470987</v>
          </cell>
          <cell r="U19">
            <v>112.79434524761514</v>
          </cell>
          <cell r="V19">
            <v>112.98045591727369</v>
          </cell>
          <cell r="W19">
            <v>127.31273287822934</v>
          </cell>
          <cell r="X19">
            <v>130.35663886275572</v>
          </cell>
          <cell r="Y19">
            <v>136.24875893935223</v>
          </cell>
          <cell r="Z19">
            <v>150.68956620322737</v>
          </cell>
          <cell r="AA19">
            <v>156.63398527000845</v>
          </cell>
          <cell r="AB19">
            <v>174.00796931068982</v>
          </cell>
          <cell r="AE19">
            <v>10</v>
          </cell>
          <cell r="AF19">
            <v>7.2</v>
          </cell>
          <cell r="AG19">
            <v>9.2544987146529534E-2</v>
          </cell>
          <cell r="AH19">
            <v>77.800000000000026</v>
          </cell>
        </row>
        <row r="20">
          <cell r="B20" t="str">
            <v>11 Months</v>
          </cell>
          <cell r="P20" t="str">
            <v>11 Months</v>
          </cell>
          <cell r="Q20">
            <v>416.45244215938288</v>
          </cell>
          <cell r="R20">
            <v>61.629129809768614</v>
          </cell>
          <cell r="S20">
            <v>58.924871606956778</v>
          </cell>
          <cell r="T20">
            <v>61.832673723446739</v>
          </cell>
          <cell r="U20">
            <v>112.60854115470987</v>
          </cell>
          <cell r="V20">
            <v>112.79434524761514</v>
          </cell>
          <cell r="W20">
            <v>112.98045591727369</v>
          </cell>
          <cell r="X20">
            <v>127.31273287822934</v>
          </cell>
          <cell r="Y20">
            <v>130.35663886275572</v>
          </cell>
          <cell r="Z20">
            <v>136.24875893935223</v>
          </cell>
          <cell r="AA20">
            <v>150.68956620322737</v>
          </cell>
          <cell r="AB20">
            <v>156.63398527000845</v>
          </cell>
          <cell r="AE20">
            <v>11</v>
          </cell>
          <cell r="AF20">
            <v>7.2</v>
          </cell>
          <cell r="AG20">
            <v>9.2544987146529534E-2</v>
          </cell>
        </row>
        <row r="21">
          <cell r="B21" t="str">
            <v>12 Months</v>
          </cell>
          <cell r="P21" t="str">
            <v>12 Months</v>
          </cell>
          <cell r="R21">
            <v>404.88431876606671</v>
          </cell>
          <cell r="S21">
            <v>59.917209537275042</v>
          </cell>
          <cell r="T21">
            <v>57.288069617874648</v>
          </cell>
          <cell r="U21">
            <v>60.115099453351</v>
          </cell>
          <cell r="V21">
            <v>109.48052612263459</v>
          </cell>
          <cell r="W21">
            <v>109.66116899073694</v>
          </cell>
          <cell r="X21">
            <v>109.84210991957164</v>
          </cell>
          <cell r="Y21">
            <v>123.77626807605631</v>
          </cell>
          <cell r="Z21">
            <v>126.73562111656805</v>
          </cell>
          <cell r="AA21">
            <v>132.46407119103691</v>
          </cell>
          <cell r="AB21">
            <v>146.50374491980438</v>
          </cell>
          <cell r="AE21">
            <v>12</v>
          </cell>
          <cell r="AF21">
            <v>7</v>
          </cell>
          <cell r="AG21">
            <v>8.9974293059125937E-2</v>
          </cell>
        </row>
        <row r="22">
          <cell r="B22" t="str">
            <v>13 Months</v>
          </cell>
          <cell r="P22" t="str">
            <v>13 Months</v>
          </cell>
          <cell r="S22">
            <v>381.74807197943426</v>
          </cell>
          <cell r="T22">
            <v>56.493368992287891</v>
          </cell>
          <cell r="U22">
            <v>54.014465639710373</v>
          </cell>
          <cell r="V22">
            <v>56.679950913159509</v>
          </cell>
          <cell r="W22">
            <v>103.22449605848404</v>
          </cell>
          <cell r="X22">
            <v>103.39481647698052</v>
          </cell>
          <cell r="Y22">
            <v>103.56541792416753</v>
          </cell>
          <cell r="Z22">
            <v>116.70333847171021</v>
          </cell>
          <cell r="AA22">
            <v>119.49358562419272</v>
          </cell>
          <cell r="AB22">
            <v>124.8946956944062</v>
          </cell>
          <cell r="AE22">
            <v>13</v>
          </cell>
          <cell r="AF22">
            <v>6.6</v>
          </cell>
          <cell r="AG22">
            <v>8.483290488431873E-2</v>
          </cell>
        </row>
        <row r="23">
          <cell r="B23" t="str">
            <v>14 Months</v>
          </cell>
          <cell r="P23" t="str">
            <v>14 Months</v>
          </cell>
          <cell r="T23">
            <v>318.12339331619529</v>
          </cell>
          <cell r="U23">
            <v>47.077807493573246</v>
          </cell>
          <cell r="V23">
            <v>45.01205469975865</v>
          </cell>
          <cell r="W23">
            <v>47.233292427632925</v>
          </cell>
          <cell r="X23">
            <v>86.020413382070032</v>
          </cell>
          <cell r="Y23">
            <v>86.162347064150453</v>
          </cell>
          <cell r="Z23">
            <v>86.304514936806285</v>
          </cell>
          <cell r="AA23">
            <v>97.252782059758516</v>
          </cell>
          <cell r="AB23">
            <v>99.577988020160603</v>
          </cell>
          <cell r="AE23">
            <v>14</v>
          </cell>
          <cell r="AF23">
            <v>5.5</v>
          </cell>
          <cell r="AG23">
            <v>7.0694087403598949E-2</v>
          </cell>
        </row>
        <row r="24">
          <cell r="B24" t="str">
            <v>15 Months</v>
          </cell>
          <cell r="P24" t="str">
            <v>15 Months</v>
          </cell>
          <cell r="U24">
            <v>231.36246786632381</v>
          </cell>
          <cell r="V24">
            <v>34.238405449871451</v>
          </cell>
          <cell r="W24">
            <v>32.736039781642653</v>
          </cell>
          <cell r="X24">
            <v>34.351485401914857</v>
          </cell>
          <cell r="Y24">
            <v>62.560300641505478</v>
          </cell>
          <cell r="Z24">
            <v>62.663525137563958</v>
          </cell>
          <cell r="AA24">
            <v>62.766919954040937</v>
          </cell>
          <cell r="AB24">
            <v>70.729296043460735</v>
          </cell>
          <cell r="AE24">
            <v>15</v>
          </cell>
          <cell r="AF24">
            <v>4</v>
          </cell>
          <cell r="AG24">
            <v>5.141388174807196E-2</v>
          </cell>
        </row>
        <row r="25">
          <cell r="B25" t="str">
            <v>16 Months</v>
          </cell>
          <cell r="P25" t="str">
            <v>16 Months</v>
          </cell>
          <cell r="V25">
            <v>173.52185089974287</v>
          </cell>
          <cell r="W25">
            <v>25.678804087403588</v>
          </cell>
          <cell r="X25">
            <v>24.552029836231988</v>
          </cell>
          <cell r="Y25">
            <v>25.763614051436139</v>
          </cell>
          <cell r="Z25">
            <v>46.920225481129108</v>
          </cell>
          <cell r="AA25">
            <v>46.997643853172967</v>
          </cell>
          <cell r="AB25">
            <v>47.075189965530704</v>
          </cell>
          <cell r="AE25">
            <v>16</v>
          </cell>
          <cell r="AF25">
            <v>3</v>
          </cell>
          <cell r="AG25">
            <v>3.856041131105397E-2</v>
          </cell>
        </row>
        <row r="26">
          <cell r="B26" t="str">
            <v>17 Months</v>
          </cell>
          <cell r="P26" t="str">
            <v>17 Months</v>
          </cell>
          <cell r="W26">
            <v>115.68123393316191</v>
          </cell>
          <cell r="X26">
            <v>17.119202724935725</v>
          </cell>
          <cell r="Y26">
            <v>16.368019890821326</v>
          </cell>
          <cell r="Z26">
            <v>17.175742700957429</v>
          </cell>
          <cell r="AA26">
            <v>31.280150320752739</v>
          </cell>
          <cell r="AB26">
            <v>31.331762568781979</v>
          </cell>
          <cell r="AE26">
            <v>17</v>
          </cell>
          <cell r="AF26">
            <v>2</v>
          </cell>
          <cell r="AG26">
            <v>2.570694087403598E-2</v>
          </cell>
        </row>
        <row r="27">
          <cell r="B27" t="str">
            <v>18 Months</v>
          </cell>
          <cell r="P27" t="str">
            <v>18 Months</v>
          </cell>
          <cell r="X27">
            <v>86.760925449871436</v>
          </cell>
          <cell r="Y27">
            <v>12.839402043701794</v>
          </cell>
          <cell r="Z27">
            <v>12.276014918115994</v>
          </cell>
          <cell r="AA27">
            <v>12.88180702571807</v>
          </cell>
          <cell r="AB27">
            <v>23.460112740564554</v>
          </cell>
          <cell r="AE27">
            <v>18</v>
          </cell>
          <cell r="AF27">
            <v>1.5</v>
          </cell>
          <cell r="AG27">
            <v>1.9280205655526985E-2</v>
          </cell>
        </row>
        <row r="28">
          <cell r="B28" t="str">
            <v>19 Months</v>
          </cell>
          <cell r="P28" t="str">
            <v>19 Months</v>
          </cell>
          <cell r="Y28">
            <v>69.408740359897152</v>
          </cell>
          <cell r="Z28">
            <v>10.271521634961434</v>
          </cell>
          <cell r="AA28">
            <v>9.8208119344927951</v>
          </cell>
          <cell r="AB28">
            <v>10.305445620574456</v>
          </cell>
          <cell r="AE28">
            <v>19</v>
          </cell>
          <cell r="AF28">
            <v>1.2</v>
          </cell>
          <cell r="AG28">
            <v>1.5424164524421588E-2</v>
          </cell>
        </row>
        <row r="29">
          <cell r="B29" t="str">
            <v>20 Months</v>
          </cell>
          <cell r="P29" t="str">
            <v>20 Months</v>
          </cell>
          <cell r="Z29">
            <v>52.05655526992286</v>
          </cell>
          <cell r="AA29">
            <v>7.7036412262210767</v>
          </cell>
          <cell r="AB29">
            <v>7.3656089508695972</v>
          </cell>
          <cell r="AE29">
            <v>20</v>
          </cell>
          <cell r="AF29">
            <v>0.9</v>
          </cell>
          <cell r="AG29">
            <v>1.1568123393316192E-2</v>
          </cell>
        </row>
        <row r="30">
          <cell r="B30" t="str">
            <v>Total Patient Drop-Outs</v>
          </cell>
          <cell r="C30">
            <v>52.05655526992286</v>
          </cell>
          <cell r="D30">
            <v>77.112381586118232</v>
          </cell>
          <cell r="E30">
            <v>104.39805603570247</v>
          </cell>
          <cell r="F30">
            <v>146.07053212678733</v>
          </cell>
          <cell r="G30">
            <v>227.29858180770779</v>
          </cell>
          <cell r="H30">
            <v>319.15848221867031</v>
          </cell>
          <cell r="I30">
            <v>450.47129857474908</v>
          </cell>
          <cell r="J30">
            <v>576.84867314941653</v>
          </cell>
          <cell r="K30">
            <v>680.04417956358725</v>
          </cell>
          <cell r="L30">
            <v>783.83950159654296</v>
          </cell>
          <cell r="P30" t="str">
            <v>Total Patient Drop-Outs</v>
          </cell>
          <cell r="Q30">
            <v>891.87532436878359</v>
          </cell>
          <cell r="R30">
            <v>1000.0436661789447</v>
          </cell>
          <cell r="S30">
            <v>1103.74444410414</v>
          </cell>
          <cell r="T30">
            <v>1171.6517556066519</v>
          </cell>
          <cell r="U30">
            <v>1214.4020710040077</v>
          </cell>
          <cell r="V30">
            <v>1279.2642164034869</v>
          </cell>
          <cell r="W30">
            <v>1341.0939112322997</v>
          </cell>
          <cell r="X30">
            <v>1422.7484559179313</v>
          </cell>
          <cell r="Y30">
            <v>1507.7799233879105</v>
          </cell>
          <cell r="Z30">
            <v>1587.6320281240182</v>
          </cell>
          <cell r="AA30">
            <v>1623.7597008916359</v>
          </cell>
          <cell r="AB30">
            <v>1699.1647344146727</v>
          </cell>
        </row>
        <row r="31">
          <cell r="B31" t="str">
            <v>Patients at Start of Period</v>
          </cell>
          <cell r="C31">
            <v>0</v>
          </cell>
          <cell r="D31">
            <v>4447.9434447300773</v>
          </cell>
          <cell r="E31">
            <v>5036.7680491439587</v>
          </cell>
          <cell r="F31">
            <v>5569.0859668612065</v>
          </cell>
          <cell r="G31">
            <v>6091.151825801664</v>
          </cell>
          <cell r="H31">
            <v>7080.651091471238</v>
          </cell>
          <cell r="I31">
            <v>7980.2981731781874</v>
          </cell>
          <cell r="J31">
            <v>8750.6434677095367</v>
          </cell>
          <cell r="K31">
            <v>9549.4796026054319</v>
          </cell>
          <cell r="L31">
            <v>10278.011326308844</v>
          </cell>
          <cell r="P31" t="str">
            <v>Patients at Start of Period</v>
          </cell>
          <cell r="Q31">
            <v>10966.415358806968</v>
          </cell>
          <cell r="R31">
            <v>11702.824513689724</v>
          </cell>
          <cell r="S31">
            <v>12395.298077233927</v>
          </cell>
          <cell r="T31">
            <v>13171.806412625852</v>
          </cell>
          <cell r="U31">
            <v>13914.384528955241</v>
          </cell>
          <cell r="V31">
            <v>14648.29642774411</v>
          </cell>
          <cell r="W31">
            <v>15351.537545022435</v>
          </cell>
          <cell r="X31">
            <v>15996.220101272524</v>
          </cell>
          <cell r="Y31">
            <v>16593.603597112291</v>
          </cell>
          <cell r="Z31">
            <v>17140.419076579063</v>
          </cell>
          <cell r="AA31">
            <v>17641.954131986095</v>
          </cell>
          <cell r="AB31">
            <v>18110.808640313338</v>
          </cell>
        </row>
        <row r="32">
          <cell r="B32" t="str">
            <v>Patients at End of Period</v>
          </cell>
          <cell r="C32">
            <v>4447.9434447300773</v>
          </cell>
          <cell r="D32">
            <v>5036.7680491439587</v>
          </cell>
          <cell r="E32">
            <v>5569.0859668612065</v>
          </cell>
          <cell r="F32">
            <v>6091.151825801664</v>
          </cell>
          <cell r="G32">
            <v>7080.651091471238</v>
          </cell>
          <cell r="H32">
            <v>7980.2981731781874</v>
          </cell>
          <cell r="I32">
            <v>8750.6434677095367</v>
          </cell>
          <cell r="J32">
            <v>9549.4796026054319</v>
          </cell>
          <cell r="K32">
            <v>10278.011326308844</v>
          </cell>
          <cell r="L32">
            <v>10966.415358806968</v>
          </cell>
          <cell r="P32" t="str">
            <v>Patients at End of Period</v>
          </cell>
          <cell r="Q32">
            <v>11702.824513689724</v>
          </cell>
          <cell r="R32">
            <v>12395.298077233927</v>
          </cell>
          <cell r="S32">
            <v>13171.806412625852</v>
          </cell>
          <cell r="T32">
            <v>13914.384528955241</v>
          </cell>
          <cell r="U32">
            <v>14648.29642774411</v>
          </cell>
          <cell r="V32">
            <v>15351.537545022435</v>
          </cell>
          <cell r="W32">
            <v>15996.220101272524</v>
          </cell>
          <cell r="X32">
            <v>16593.603597112291</v>
          </cell>
          <cell r="Y32">
            <v>17140.419076579063</v>
          </cell>
          <cell r="Z32">
            <v>17641.954131986095</v>
          </cell>
          <cell r="AA32">
            <v>18110.808640313338</v>
          </cell>
          <cell r="AB32">
            <v>18507.710928562756</v>
          </cell>
        </row>
        <row r="34">
          <cell r="B34" t="str">
            <v>Total Patient Days</v>
          </cell>
          <cell r="C34">
            <v>82509.350899742945</v>
          </cell>
          <cell r="D34">
            <v>131450.00183242085</v>
          </cell>
          <cell r="E34">
            <v>146351.83166713189</v>
          </cell>
          <cell r="F34">
            <v>160496.79843688456</v>
          </cell>
          <cell r="G34">
            <v>179945.42295666158</v>
          </cell>
          <cell r="H34">
            <v>205105.32511190866</v>
          </cell>
          <cell r="I34">
            <v>226644.72736962023</v>
          </cell>
          <cell r="J34">
            <v>246681.37251187017</v>
          </cell>
          <cell r="K34">
            <v>266585.24979247933</v>
          </cell>
          <cell r="L34">
            <v>284902.36485847033</v>
          </cell>
          <cell r="P34" t="str">
            <v>Total Patient Days</v>
          </cell>
          <cell r="Q34">
            <v>304256.21414927888</v>
          </cell>
          <cell r="R34">
            <v>322721.48581298249</v>
          </cell>
          <cell r="S34">
            <v>340512.77522210806</v>
          </cell>
          <cell r="T34">
            <v>360793.60723810934</v>
          </cell>
          <cell r="U34">
            <v>380830.17473145231</v>
          </cell>
          <cell r="V34">
            <v>400006.34598871687</v>
          </cell>
          <cell r="W34">
            <v>418008.22700002068</v>
          </cell>
          <cell r="X34">
            <v>434217.91484519071</v>
          </cell>
          <cell r="Y34">
            <v>449010.07333125081</v>
          </cell>
          <cell r="Z34">
            <v>462532.75108846836</v>
          </cell>
          <cell r="AA34">
            <v>475608.79808002932</v>
          </cell>
          <cell r="AB34">
            <v>486670.0973086626</v>
          </cell>
        </row>
        <row r="35">
          <cell r="B35" t="str">
            <v>Average Cost/Day</v>
          </cell>
          <cell r="C35">
            <v>146.66666666666666</v>
          </cell>
          <cell r="D35">
            <v>146.66666666666666</v>
          </cell>
          <cell r="E35">
            <v>146.66666666666666</v>
          </cell>
          <cell r="F35">
            <v>146.66666666666666</v>
          </cell>
          <cell r="G35">
            <v>146.66666666666666</v>
          </cell>
          <cell r="H35">
            <v>146.66666666666666</v>
          </cell>
          <cell r="I35">
            <v>146.66666666666666</v>
          </cell>
          <cell r="J35">
            <v>146.66666666666666</v>
          </cell>
          <cell r="K35">
            <v>146.66666666666666</v>
          </cell>
          <cell r="L35">
            <v>146.66666666666666</v>
          </cell>
          <cell r="P35" t="str">
            <v>Average Cost/Day</v>
          </cell>
          <cell r="Q35">
            <v>146.66666666666666</v>
          </cell>
          <cell r="R35">
            <v>146.66666666666666</v>
          </cell>
          <cell r="S35">
            <v>146.66666666666666</v>
          </cell>
          <cell r="T35">
            <v>146.66666666666666</v>
          </cell>
          <cell r="U35">
            <v>146.66666666666666</v>
          </cell>
          <cell r="V35">
            <v>146.66666666666666</v>
          </cell>
          <cell r="W35">
            <v>146.66666666666666</v>
          </cell>
          <cell r="X35">
            <v>146.66666666666666</v>
          </cell>
          <cell r="Y35">
            <v>146.66666666666666</v>
          </cell>
          <cell r="Z35">
            <v>146.66666666666666</v>
          </cell>
          <cell r="AA35">
            <v>146.66666666666666</v>
          </cell>
          <cell r="AB35">
            <v>146.66666666666666</v>
          </cell>
        </row>
        <row r="37">
          <cell r="B37" t="str">
            <v>Monthly Sales</v>
          </cell>
          <cell r="C37">
            <v>12101.371465295631</v>
          </cell>
          <cell r="D37">
            <v>19279.333602088391</v>
          </cell>
          <cell r="E37">
            <v>21464.935311179343</v>
          </cell>
          <cell r="F37">
            <v>23539.530437409736</v>
          </cell>
          <cell r="G37">
            <v>26391.995366977033</v>
          </cell>
          <cell r="H37">
            <v>30082.114349746604</v>
          </cell>
          <cell r="I37">
            <v>33241.226680877633</v>
          </cell>
          <cell r="J37">
            <v>36179.934635074285</v>
          </cell>
          <cell r="K37">
            <v>39099.169969563634</v>
          </cell>
          <cell r="L37">
            <v>41785.680179242314</v>
          </cell>
          <cell r="M37">
            <v>283165.29199745459</v>
          </cell>
          <cell r="P37" t="str">
            <v>Monthly Sales</v>
          </cell>
          <cell r="Q37">
            <v>44624.244741894232</v>
          </cell>
          <cell r="R37">
            <v>47332.484585904094</v>
          </cell>
          <cell r="S37">
            <v>49941.873699242511</v>
          </cell>
          <cell r="T37">
            <v>52916.39572825603</v>
          </cell>
          <cell r="U37">
            <v>55855.092293946334</v>
          </cell>
          <cell r="V37">
            <v>58667.597411678471</v>
          </cell>
          <cell r="W37">
            <v>61307.873293336364</v>
          </cell>
          <cell r="X37">
            <v>63685.294177294636</v>
          </cell>
          <cell r="Y37">
            <v>65854.810755250117</v>
          </cell>
          <cell r="Z37">
            <v>67838.136826308677</v>
          </cell>
          <cell r="AA37">
            <v>69755.957051737627</v>
          </cell>
          <cell r="AB37">
            <v>71378.280938603843</v>
          </cell>
          <cell r="AC37">
            <v>709158.04150345293</v>
          </cell>
        </row>
        <row r="38">
          <cell r="C38" t="str">
            <v>1Q04</v>
          </cell>
          <cell r="F38" t="str">
            <v>2Q04</v>
          </cell>
          <cell r="I38" t="str">
            <v>3Q04</v>
          </cell>
          <cell r="L38" t="str">
            <v>4Q04</v>
          </cell>
          <cell r="M38">
            <v>2004</v>
          </cell>
          <cell r="S38" t="str">
            <v>1Q05</v>
          </cell>
          <cell r="V38" t="str">
            <v>2Q05</v>
          </cell>
          <cell r="Y38" t="str">
            <v>3Q05</v>
          </cell>
          <cell r="AB38" t="str">
            <v>4Q05</v>
          </cell>
          <cell r="AC38">
            <v>2005</v>
          </cell>
        </row>
        <row r="39">
          <cell r="B39" t="str">
            <v>Front-line Sales</v>
          </cell>
          <cell r="C39">
            <v>12101.371465295631</v>
          </cell>
          <cell r="F39">
            <v>64283.799350677466</v>
          </cell>
          <cell r="I39">
            <v>89715.336397601262</v>
          </cell>
          <cell r="L39">
            <v>117064.78478388023</v>
          </cell>
          <cell r="M39">
            <v>283165.29199745459</v>
          </cell>
          <cell r="P39" t="str">
            <v>Total Sales</v>
          </cell>
          <cell r="S39">
            <v>141898.60302704084</v>
          </cell>
          <cell r="V39">
            <v>167439.08543388083</v>
          </cell>
          <cell r="Y39">
            <v>190847.97822588112</v>
          </cell>
          <cell r="AB39">
            <v>208972.37481665018</v>
          </cell>
          <cell r="AC39">
            <v>709158.04150345293</v>
          </cell>
        </row>
        <row r="41">
          <cell r="B41" t="str">
            <v>Relapsed / Refractory</v>
          </cell>
          <cell r="C41">
            <v>38047</v>
          </cell>
          <cell r="D41">
            <v>38078</v>
          </cell>
          <cell r="E41">
            <v>38108</v>
          </cell>
          <cell r="F41">
            <v>38139</v>
          </cell>
          <cell r="G41">
            <v>38169</v>
          </cell>
          <cell r="H41">
            <v>38200</v>
          </cell>
          <cell r="I41">
            <v>38231</v>
          </cell>
          <cell r="J41">
            <v>38261</v>
          </cell>
          <cell r="K41">
            <v>38292</v>
          </cell>
          <cell r="L41">
            <v>38322</v>
          </cell>
          <cell r="M41">
            <v>2004</v>
          </cell>
          <cell r="P41" t="str">
            <v>Relapsed / Refractory</v>
          </cell>
          <cell r="Q41">
            <v>38353</v>
          </cell>
          <cell r="R41">
            <v>38384</v>
          </cell>
          <cell r="S41">
            <v>38412</v>
          </cell>
          <cell r="T41">
            <v>38443</v>
          </cell>
          <cell r="U41">
            <v>38473</v>
          </cell>
          <cell r="V41">
            <v>38504</v>
          </cell>
          <cell r="W41">
            <v>38534</v>
          </cell>
          <cell r="X41">
            <v>38565</v>
          </cell>
          <cell r="Y41">
            <v>38596</v>
          </cell>
          <cell r="Z41">
            <v>38626</v>
          </cell>
          <cell r="AA41">
            <v>38657</v>
          </cell>
          <cell r="AB41">
            <v>38687</v>
          </cell>
          <cell r="AC41">
            <v>2005</v>
          </cell>
        </row>
        <row r="42">
          <cell r="B42" t="str">
            <v>Previously relapsed Pts Wainting for Therapy</v>
          </cell>
          <cell r="C42">
            <v>25000</v>
          </cell>
        </row>
        <row r="43">
          <cell r="B43" t="str">
            <v>New Relapsing Patients</v>
          </cell>
          <cell r="C43">
            <v>2593</v>
          </cell>
          <cell r="D43">
            <v>2597.2784499999998</v>
          </cell>
          <cell r="E43">
            <v>2601.5639594424997</v>
          </cell>
          <cell r="F43">
            <v>2605.8565399755798</v>
          </cell>
          <cell r="G43">
            <v>2610.1562032665393</v>
          </cell>
          <cell r="H43">
            <v>2614.4629610019288</v>
          </cell>
          <cell r="I43">
            <v>2618.7768248875818</v>
          </cell>
          <cell r="J43">
            <v>2623.0978066486459</v>
          </cell>
          <cell r="K43">
            <v>2627.4259180296158</v>
          </cell>
          <cell r="L43">
            <v>2631.7611707943643</v>
          </cell>
          <cell r="M43">
            <v>26123.379834046755</v>
          </cell>
          <cell r="P43" t="str">
            <v>New Relapsing Patients</v>
          </cell>
          <cell r="Q43">
            <v>2636.1035767261747</v>
          </cell>
          <cell r="R43">
            <v>2640.4531476277725</v>
          </cell>
          <cell r="S43">
            <v>2644.809895321358</v>
          </cell>
          <cell r="T43">
            <v>2649.173831648638</v>
          </cell>
          <cell r="U43">
            <v>2653.5449684708583</v>
          </cell>
          <cell r="V43">
            <v>2657.9233176688349</v>
          </cell>
          <cell r="W43">
            <v>2662.3088911429882</v>
          </cell>
          <cell r="X43">
            <v>2666.7017008133739</v>
          </cell>
          <cell r="Y43">
            <v>2671.1017586197158</v>
          </cell>
          <cell r="Z43">
            <v>2675.5090765214381</v>
          </cell>
          <cell r="AA43">
            <v>2679.9236664976984</v>
          </cell>
          <cell r="AB43">
            <v>2684.3455405474192</v>
          </cell>
          <cell r="AC43">
            <v>31921.899371606272</v>
          </cell>
        </row>
        <row r="44">
          <cell r="C44">
            <v>0.18</v>
          </cell>
          <cell r="D44">
            <v>0.34</v>
          </cell>
          <cell r="E44">
            <v>0.34</v>
          </cell>
          <cell r="F44">
            <v>0.34</v>
          </cell>
          <cell r="G44">
            <v>0.34</v>
          </cell>
          <cell r="H44">
            <v>0.34</v>
          </cell>
          <cell r="I44">
            <v>0.34</v>
          </cell>
          <cell r="J44">
            <v>0.36</v>
          </cell>
          <cell r="K44">
            <v>0.36</v>
          </cell>
          <cell r="L44">
            <v>0.36</v>
          </cell>
          <cell r="Q44">
            <v>0.4</v>
          </cell>
          <cell r="R44">
            <v>0.43</v>
          </cell>
          <cell r="S44">
            <v>0.47</v>
          </cell>
          <cell r="T44">
            <v>0.48</v>
          </cell>
          <cell r="U44">
            <v>0.49</v>
          </cell>
          <cell r="V44">
            <v>0.49</v>
          </cell>
          <cell r="W44">
            <v>0.5</v>
          </cell>
          <cell r="X44">
            <v>0.5</v>
          </cell>
          <cell r="Y44">
            <v>0.5</v>
          </cell>
          <cell r="Z44">
            <v>0.5</v>
          </cell>
          <cell r="AA44">
            <v>0.5</v>
          </cell>
          <cell r="AB44">
            <v>0.5</v>
          </cell>
          <cell r="AC44">
            <v>0.48014264355070313</v>
          </cell>
        </row>
        <row r="45">
          <cell r="B45" t="str">
            <v>New Patients Starting Therapy</v>
          </cell>
          <cell r="C45">
            <v>4600</v>
          </cell>
          <cell r="D45">
            <v>883.07467299999996</v>
          </cell>
          <cell r="E45">
            <v>884.53174621044991</v>
          </cell>
          <cell r="F45">
            <v>885.99122359169723</v>
          </cell>
          <cell r="G45">
            <v>887.45310911062336</v>
          </cell>
          <cell r="H45">
            <v>888.91740674065579</v>
          </cell>
          <cell r="I45">
            <v>890.38412046177791</v>
          </cell>
          <cell r="J45">
            <v>944.31521039351253</v>
          </cell>
          <cell r="K45">
            <v>945.8733304906616</v>
          </cell>
          <cell r="L45">
            <v>947.43402148597113</v>
          </cell>
          <cell r="M45">
            <v>12757.974841485349</v>
          </cell>
          <cell r="P45" t="str">
            <v>New Patients Starting Therapy</v>
          </cell>
          <cell r="Q45">
            <v>1054.4414306904698</v>
          </cell>
          <cell r="R45">
            <v>1135.3948534799422</v>
          </cell>
          <cell r="S45">
            <v>1243.0606508010383</v>
          </cell>
          <cell r="T45">
            <v>1271.6034391913463</v>
          </cell>
          <cell r="U45">
            <v>1300.2370345507206</v>
          </cell>
          <cell r="V45">
            <v>1302.3824256577291</v>
          </cell>
          <cell r="W45">
            <v>1331.1544455714941</v>
          </cell>
          <cell r="X45">
            <v>1333.350850406687</v>
          </cell>
          <cell r="Y45">
            <v>1335.5508793098579</v>
          </cell>
          <cell r="Z45">
            <v>1337.7545382607191</v>
          </cell>
          <cell r="AA45">
            <v>1339.9618332488492</v>
          </cell>
          <cell r="AB45">
            <v>1342.1727702737096</v>
          </cell>
          <cell r="AC45">
            <v>15327.065151442564</v>
          </cell>
        </row>
        <row r="46">
          <cell r="B46" t="str">
            <v>Failures</v>
          </cell>
          <cell r="P46" t="str">
            <v>Failures</v>
          </cell>
          <cell r="AE46" t="str">
            <v>Distribution of Failure Rates</v>
          </cell>
        </row>
        <row r="47">
          <cell r="B47" t="str">
            <v>1 Month</v>
          </cell>
          <cell r="C47">
            <v>8.9008176767992015</v>
          </cell>
          <cell r="D47">
            <v>1.708714491167842</v>
          </cell>
          <cell r="E47">
            <v>1.711533870078269</v>
          </cell>
          <cell r="F47">
            <v>1.7143579009638983</v>
          </cell>
          <cell r="G47">
            <v>1.7171865915004882</v>
          </cell>
          <cell r="H47">
            <v>1.7200199493764639</v>
          </cell>
          <cell r="I47">
            <v>1.7228579822929351</v>
          </cell>
          <cell r="J47">
            <v>1.8272125037262896</v>
          </cell>
          <cell r="K47">
            <v>1.8302274043574376</v>
          </cell>
          <cell r="L47">
            <v>1.8332472795746273</v>
          </cell>
          <cell r="P47" t="str">
            <v>1 Month</v>
          </cell>
          <cell r="Q47">
            <v>2.0403023750954725</v>
          </cell>
          <cell r="R47">
            <v>2.1969440395654583</v>
          </cell>
          <cell r="S47">
            <v>2.4052730899963914</v>
          </cell>
          <cell r="T47">
            <v>2.4605022542245636</v>
          </cell>
          <cell r="U47">
            <v>2.5159071263387016</v>
          </cell>
          <cell r="V47">
            <v>2.52005837309716</v>
          </cell>
          <cell r="W47">
            <v>2.5757310912375204</v>
          </cell>
          <cell r="X47">
            <v>2.579981047538062</v>
          </cell>
          <cell r="Y47">
            <v>2.5842380162664997</v>
          </cell>
          <cell r="Z47">
            <v>2.5885020089933395</v>
          </cell>
          <cell r="AA47">
            <v>2.5927730373081781</v>
          </cell>
          <cell r="AB47">
            <v>2.5970511128197362</v>
          </cell>
          <cell r="AE47">
            <v>1</v>
          </cell>
          <cell r="AF47">
            <v>0.62</v>
          </cell>
          <cell r="AG47">
            <v>1.9349603645215654E-3</v>
          </cell>
        </row>
        <row r="48">
          <cell r="B48" t="str">
            <v>2 Months</v>
          </cell>
          <cell r="D48">
            <v>34.454778103738839</v>
          </cell>
          <cell r="E48">
            <v>6.6143786754884211</v>
          </cell>
          <cell r="F48">
            <v>6.6252924003029765</v>
          </cell>
          <cell r="G48">
            <v>6.636224132763477</v>
          </cell>
          <cell r="H48">
            <v>6.6471739025825354</v>
          </cell>
          <cell r="I48">
            <v>6.6581417395217954</v>
          </cell>
          <cell r="J48">
            <v>6.6691276733920066</v>
          </cell>
          <cell r="K48">
            <v>7.0730806595856377</v>
          </cell>
          <cell r="L48">
            <v>7.0847512426739518</v>
          </cell>
          <cell r="P48" t="str">
            <v>2 Months</v>
          </cell>
          <cell r="Q48">
            <v>7.0964410822243638</v>
          </cell>
          <cell r="R48">
            <v>7.8979446777889253</v>
          </cell>
          <cell r="S48">
            <v>8.5042995079953219</v>
          </cell>
          <cell r="T48">
            <v>9.310734541921514</v>
          </cell>
          <cell r="U48">
            <v>9.5245248550628272</v>
          </cell>
          <cell r="V48">
            <v>9.7389953277627157</v>
          </cell>
          <cell r="W48">
            <v>9.7550646700535228</v>
          </cell>
          <cell r="X48">
            <v>9.9705719660807244</v>
          </cell>
          <cell r="Y48">
            <v>9.9870234098247561</v>
          </cell>
          <cell r="Z48">
            <v>10.003501998450966</v>
          </cell>
          <cell r="AA48">
            <v>10.020007776748411</v>
          </cell>
          <cell r="AB48">
            <v>10.036540789580044</v>
          </cell>
          <cell r="AE48">
            <v>2</v>
          </cell>
          <cell r="AF48">
            <v>2.4</v>
          </cell>
          <cell r="AG48">
            <v>7.4901691529867045E-3</v>
          </cell>
        </row>
        <row r="49">
          <cell r="B49" t="str">
            <v>3 Months</v>
          </cell>
          <cell r="E49">
            <v>117.72049185444104</v>
          </cell>
          <cell r="F49">
            <v>22.599127141252104</v>
          </cell>
          <cell r="G49">
            <v>22.636415701035169</v>
          </cell>
          <cell r="H49">
            <v>22.673765786941878</v>
          </cell>
          <cell r="I49">
            <v>22.711177500490326</v>
          </cell>
          <cell r="J49">
            <v>22.748650943366133</v>
          </cell>
          <cell r="K49">
            <v>22.786186217422689</v>
          </cell>
          <cell r="L49">
            <v>24.166358920250925</v>
          </cell>
          <cell r="P49" t="str">
            <v>3 Months</v>
          </cell>
          <cell r="Q49">
            <v>24.206233412469334</v>
          </cell>
          <cell r="R49">
            <v>24.246173697599907</v>
          </cell>
          <cell r="S49">
            <v>26.984644315778826</v>
          </cell>
          <cell r="T49">
            <v>29.056356652317348</v>
          </cell>
          <cell r="U49">
            <v>31.811676351565172</v>
          </cell>
          <cell r="V49">
            <v>32.542126588131325</v>
          </cell>
          <cell r="W49">
            <v>33.274900703189275</v>
          </cell>
          <cell r="X49">
            <v>33.329804289349532</v>
          </cell>
          <cell r="Y49">
            <v>34.066120884109139</v>
          </cell>
          <cell r="Z49">
            <v>34.122329983567916</v>
          </cell>
          <cell r="AA49">
            <v>34.1786318280408</v>
          </cell>
          <cell r="AB49">
            <v>34.235026570557068</v>
          </cell>
          <cell r="AE49">
            <v>3</v>
          </cell>
          <cell r="AF49">
            <v>8.1999999999999993</v>
          </cell>
          <cell r="AG49">
            <v>2.5591411272704572E-2</v>
          </cell>
        </row>
        <row r="50">
          <cell r="B50" t="str">
            <v>4 Months</v>
          </cell>
          <cell r="F50">
            <v>301.47930840771488</v>
          </cell>
          <cell r="G50">
            <v>57.875813410523683</v>
          </cell>
          <cell r="H50">
            <v>57.971308502651041</v>
          </cell>
          <cell r="I50">
            <v>58.066961161680425</v>
          </cell>
          <cell r="J50">
            <v>58.162771647597182</v>
          </cell>
          <cell r="K50">
            <v>58.258740220815717</v>
          </cell>
          <cell r="L50">
            <v>58.354867142180062</v>
          </cell>
          <cell r="P50" t="str">
            <v>4 Months</v>
          </cell>
          <cell r="Q50">
            <v>61.88945577137433</v>
          </cell>
          <cell r="R50">
            <v>61.991573373397081</v>
          </cell>
          <cell r="S50">
            <v>62.093859469463183</v>
          </cell>
          <cell r="T50">
            <v>69.107015930653091</v>
          </cell>
          <cell r="U50">
            <v>74.412620694959074</v>
          </cell>
          <cell r="V50">
            <v>81.468927241813248</v>
          </cell>
          <cell r="W50">
            <v>83.339592481799741</v>
          </cell>
          <cell r="X50">
            <v>85.216209117923768</v>
          </cell>
          <cell r="Y50">
            <v>85.356815862968318</v>
          </cell>
          <cell r="Z50">
            <v>87.242504703206336</v>
          </cell>
          <cell r="AA50">
            <v>87.386454835966617</v>
          </cell>
          <cell r="AB50">
            <v>87.53064248644597</v>
          </cell>
          <cell r="AE50">
            <v>4</v>
          </cell>
          <cell r="AF50">
            <v>21</v>
          </cell>
          <cell r="AG50">
            <v>6.5538980088633667E-2</v>
          </cell>
        </row>
        <row r="51">
          <cell r="B51" t="str">
            <v>5 Months</v>
          </cell>
          <cell r="G51">
            <v>674.73940453155228</v>
          </cell>
          <cell r="H51">
            <v>129.53158239498157</v>
          </cell>
          <cell r="I51">
            <v>129.74530950593328</v>
          </cell>
          <cell r="J51">
            <v>129.95938926661807</v>
          </cell>
          <cell r="K51">
            <v>130.17382225890796</v>
          </cell>
          <cell r="L51">
            <v>130.38860906563517</v>
          </cell>
          <cell r="P51" t="str">
            <v>5 Months</v>
          </cell>
          <cell r="Q51">
            <v>130.60375027059345</v>
          </cell>
          <cell r="R51">
            <v>138.51449625021871</v>
          </cell>
          <cell r="S51">
            <v>138.74304516903155</v>
          </cell>
          <cell r="T51">
            <v>138.97197119356045</v>
          </cell>
          <cell r="U51">
            <v>154.66808327336645</v>
          </cell>
          <cell r="V51">
            <v>166.54253203157504</v>
          </cell>
          <cell r="W51">
            <v>182.33521811262966</v>
          </cell>
          <cell r="X51">
            <v>186.52194507831368</v>
          </cell>
          <cell r="Y51">
            <v>190.72199183535318</v>
          </cell>
          <cell r="Z51">
            <v>191.03668312188145</v>
          </cell>
          <cell r="AA51">
            <v>195.25703433574751</v>
          </cell>
          <cell r="AB51">
            <v>195.57920844240147</v>
          </cell>
          <cell r="AE51">
            <v>5</v>
          </cell>
          <cell r="AF51">
            <v>47</v>
          </cell>
          <cell r="AG51">
            <v>0.14668247924598962</v>
          </cell>
        </row>
        <row r="52">
          <cell r="B52" t="str">
            <v>6 Months</v>
          </cell>
          <cell r="H52">
            <v>1162.8487610011857</v>
          </cell>
          <cell r="I52">
            <v>223.23528029773419</v>
          </cell>
          <cell r="J52">
            <v>223.60361851022543</v>
          </cell>
          <cell r="K52">
            <v>223.97256448076732</v>
          </cell>
          <cell r="L52">
            <v>224.34211921216055</v>
          </cell>
          <cell r="P52" t="str">
            <v>6 Months</v>
          </cell>
          <cell r="Q52">
            <v>224.71228370886058</v>
          </cell>
          <cell r="R52">
            <v>225.08305897698023</v>
          </cell>
          <cell r="S52">
            <v>238.71647226101524</v>
          </cell>
          <cell r="T52">
            <v>239.11035444024586</v>
          </cell>
          <cell r="U52">
            <v>239.50488652507227</v>
          </cell>
          <cell r="V52">
            <v>266.5556328753762</v>
          </cell>
          <cell r="W52">
            <v>287.02010839484211</v>
          </cell>
          <cell r="X52">
            <v>314.2372907898511</v>
          </cell>
          <cell r="Y52">
            <v>321.45271385837037</v>
          </cell>
          <cell r="Z52">
            <v>328.69109231199161</v>
          </cell>
          <cell r="AA52">
            <v>329.23343261430637</v>
          </cell>
          <cell r="AB52">
            <v>336.5068038552244</v>
          </cell>
          <cell r="AE52">
            <v>6</v>
          </cell>
          <cell r="AF52">
            <v>81</v>
          </cell>
          <cell r="AG52">
            <v>0.25279320891330126</v>
          </cell>
        </row>
        <row r="53">
          <cell r="B53" t="str">
            <v>7 Months</v>
          </cell>
          <cell r="I53">
            <v>1162.8487610011857</v>
          </cell>
          <cell r="J53">
            <v>223.23528029773419</v>
          </cell>
          <cell r="K53">
            <v>223.60361851022543</v>
          </cell>
          <cell r="L53">
            <v>223.97256448076732</v>
          </cell>
          <cell r="P53" t="str">
            <v>7 Months</v>
          </cell>
          <cell r="Q53">
            <v>224.34211921216055</v>
          </cell>
          <cell r="R53">
            <v>224.71228370886058</v>
          </cell>
          <cell r="S53">
            <v>225.08305897698023</v>
          </cell>
          <cell r="T53">
            <v>238.71647226101524</v>
          </cell>
          <cell r="U53">
            <v>239.11035444024586</v>
          </cell>
          <cell r="V53">
            <v>239.50488652507227</v>
          </cell>
          <cell r="W53">
            <v>266.5556328753762</v>
          </cell>
          <cell r="X53">
            <v>287.02010839484211</v>
          </cell>
          <cell r="Y53">
            <v>314.2372907898511</v>
          </cell>
          <cell r="Z53">
            <v>321.45271385837037</v>
          </cell>
          <cell r="AA53">
            <v>328.69109231199161</v>
          </cell>
          <cell r="AB53">
            <v>329.23343261430637</v>
          </cell>
          <cell r="AE53">
            <v>7</v>
          </cell>
          <cell r="AF53">
            <v>81</v>
          </cell>
          <cell r="AG53">
            <v>0.25279320891330126</v>
          </cell>
          <cell r="AH53">
            <v>320.42</v>
          </cell>
        </row>
        <row r="54">
          <cell r="B54" t="str">
            <v>8 Months</v>
          </cell>
          <cell r="J54">
            <v>674.73940453155228</v>
          </cell>
          <cell r="K54">
            <v>129.53158239498157</v>
          </cell>
          <cell r="L54">
            <v>129.74530950593328</v>
          </cell>
          <cell r="P54" t="str">
            <v>8 Months</v>
          </cell>
          <cell r="Q54">
            <v>129.95938926661807</v>
          </cell>
          <cell r="R54">
            <v>130.17382225890796</v>
          </cell>
          <cell r="S54">
            <v>130.38860906563517</v>
          </cell>
          <cell r="T54">
            <v>130.60375027059345</v>
          </cell>
          <cell r="U54">
            <v>138.51449625021871</v>
          </cell>
          <cell r="V54">
            <v>138.74304516903155</v>
          </cell>
          <cell r="W54">
            <v>138.97197119356045</v>
          </cell>
          <cell r="X54">
            <v>154.66808327336645</v>
          </cell>
          <cell r="Y54">
            <v>166.54253203157504</v>
          </cell>
          <cell r="Z54">
            <v>182.33521811262966</v>
          </cell>
          <cell r="AA54">
            <v>186.52194507831368</v>
          </cell>
          <cell r="AB54">
            <v>190.72199183535318</v>
          </cell>
          <cell r="AE54">
            <v>8</v>
          </cell>
          <cell r="AF54">
            <v>47</v>
          </cell>
          <cell r="AG54">
            <v>0.14668247924598962</v>
          </cell>
        </row>
        <row r="55">
          <cell r="B55" t="str">
            <v>9 Months</v>
          </cell>
          <cell r="K55">
            <v>301.47930840771488</v>
          </cell>
          <cell r="L55">
            <v>57.875813410523683</v>
          </cell>
          <cell r="P55" t="str">
            <v>9 Months</v>
          </cell>
          <cell r="Q55">
            <v>57.971308502651041</v>
          </cell>
          <cell r="R55">
            <v>58.066961161680425</v>
          </cell>
          <cell r="S55">
            <v>58.162771647597182</v>
          </cell>
          <cell r="T55">
            <v>58.258740220815717</v>
          </cell>
          <cell r="U55">
            <v>58.354867142180062</v>
          </cell>
          <cell r="V55">
            <v>61.88945577137433</v>
          </cell>
          <cell r="W55">
            <v>61.991573373397081</v>
          </cell>
          <cell r="X55">
            <v>62.093859469463183</v>
          </cell>
          <cell r="Y55">
            <v>69.107015930653091</v>
          </cell>
          <cell r="Z55">
            <v>74.412620694959074</v>
          </cell>
          <cell r="AA55">
            <v>81.468927241813248</v>
          </cell>
          <cell r="AB55">
            <v>83.339592481799741</v>
          </cell>
          <cell r="AE55">
            <v>9</v>
          </cell>
          <cell r="AF55">
            <v>21</v>
          </cell>
          <cell r="AG55">
            <v>6.5538980088633667E-2</v>
          </cell>
        </row>
        <row r="56">
          <cell r="B56" t="str">
            <v>10 Months</v>
          </cell>
          <cell r="L56">
            <v>117.72049185444104</v>
          </cell>
          <cell r="P56" t="str">
            <v>10 Months</v>
          </cell>
          <cell r="Q56">
            <v>22.599127141252104</v>
          </cell>
          <cell r="R56">
            <v>22.636415701035169</v>
          </cell>
          <cell r="S56">
            <v>22.673765786941878</v>
          </cell>
          <cell r="T56">
            <v>22.711177500490326</v>
          </cell>
          <cell r="U56">
            <v>22.748650943366133</v>
          </cell>
          <cell r="V56">
            <v>22.786186217422689</v>
          </cell>
          <cell r="W56">
            <v>24.166358920250925</v>
          </cell>
          <cell r="X56">
            <v>24.206233412469334</v>
          </cell>
          <cell r="Y56">
            <v>24.246173697599907</v>
          </cell>
          <cell r="Z56">
            <v>26.984644315778826</v>
          </cell>
          <cell r="AA56">
            <v>29.056356652317348</v>
          </cell>
          <cell r="AB56">
            <v>31.811676351565172</v>
          </cell>
          <cell r="AE56">
            <v>10</v>
          </cell>
          <cell r="AF56">
            <v>8.1999999999999993</v>
          </cell>
          <cell r="AG56">
            <v>2.5591411272704572E-2</v>
          </cell>
        </row>
        <row r="57">
          <cell r="P57" t="str">
            <v>11 Months</v>
          </cell>
          <cell r="Q57">
            <v>34.454778103738839</v>
          </cell>
          <cell r="R57">
            <v>6.6143786754884211</v>
          </cell>
          <cell r="S57">
            <v>6.6252924003029765</v>
          </cell>
          <cell r="T57">
            <v>6.636224132763477</v>
          </cell>
          <cell r="U57">
            <v>6.6471739025825354</v>
          </cell>
          <cell r="V57">
            <v>6.6581417395217954</v>
          </cell>
          <cell r="W57">
            <v>6.6691276733920066</v>
          </cell>
          <cell r="X57">
            <v>7.0730806595856377</v>
          </cell>
          <cell r="Y57">
            <v>7.0847512426739518</v>
          </cell>
          <cell r="Z57">
            <v>7.0964410822243638</v>
          </cell>
          <cell r="AA57">
            <v>7.8979446777889253</v>
          </cell>
          <cell r="AB57">
            <v>8.5042995079953219</v>
          </cell>
          <cell r="AE57">
            <v>11</v>
          </cell>
          <cell r="AF57">
            <v>2.4</v>
          </cell>
          <cell r="AG57">
            <v>7.4901691529867045E-3</v>
          </cell>
        </row>
        <row r="58">
          <cell r="P58" t="str">
            <v>12 Months</v>
          </cell>
          <cell r="R58">
            <v>8.6136945259347097</v>
          </cell>
          <cell r="S58">
            <v>1.6535946688721053</v>
          </cell>
          <cell r="T58">
            <v>1.6563231000757441</v>
          </cell>
          <cell r="U58">
            <v>1.6590560331908693</v>
          </cell>
          <cell r="V58">
            <v>1.6617934756456338</v>
          </cell>
          <cell r="W58">
            <v>1.6645354348804489</v>
          </cell>
          <cell r="X58">
            <v>1.6672819183480017</v>
          </cell>
          <cell r="Y58">
            <v>1.7682701648964094</v>
          </cell>
          <cell r="Z58">
            <v>1.771187810668488</v>
          </cell>
          <cell r="AA58">
            <v>1.7741102705560909</v>
          </cell>
          <cell r="AB58">
            <v>1.9744861694472313</v>
          </cell>
          <cell r="AE58">
            <v>12</v>
          </cell>
          <cell r="AF58">
            <v>0.6</v>
          </cell>
          <cell r="AG58">
            <v>1.8725422882466761E-3</v>
          </cell>
        </row>
        <row r="59">
          <cell r="B59" t="str">
            <v>Total Patient Drop-Outs</v>
          </cell>
          <cell r="C59">
            <v>8.9008176767992015</v>
          </cell>
          <cell r="D59">
            <v>36.163492594906678</v>
          </cell>
          <cell r="E59">
            <v>126.04640440000773</v>
          </cell>
          <cell r="F59">
            <v>332.41808585023387</v>
          </cell>
          <cell r="G59">
            <v>763.60504436737506</v>
          </cell>
          <cell r="H59">
            <v>1381.3926115377192</v>
          </cell>
          <cell r="I59">
            <v>1604.9884891888387</v>
          </cell>
          <cell r="J59">
            <v>1340.9454553742116</v>
          </cell>
          <cell r="K59">
            <v>1098.7091305547785</v>
          </cell>
          <cell r="L59">
            <v>975.48413211414072</v>
          </cell>
          <cell r="P59" t="str">
            <v>Total Patient Drop-Outs</v>
          </cell>
          <cell r="Q59">
            <v>919.8751888470382</v>
          </cell>
          <cell r="R59">
            <v>910.74774704745766</v>
          </cell>
          <cell r="S59">
            <v>922.03468635961008</v>
          </cell>
          <cell r="T59">
            <v>946.59962249867669</v>
          </cell>
          <cell r="U59">
            <v>979.4722975381485</v>
          </cell>
          <cell r="V59">
            <v>1030.6117813358239</v>
          </cell>
          <cell r="W59">
            <v>1098.3198149246091</v>
          </cell>
          <cell r="X59">
            <v>1168.5844494171315</v>
          </cell>
          <cell r="Y59">
            <v>1227.1549377241417</v>
          </cell>
          <cell r="Z59">
            <v>1267.7374400027222</v>
          </cell>
          <cell r="AA59">
            <v>1294.0787106608987</v>
          </cell>
          <cell r="AB59">
            <v>1312.0707522174955</v>
          </cell>
        </row>
        <row r="60">
          <cell r="B60" t="str">
            <v>Patients at Start of Period</v>
          </cell>
          <cell r="C60">
            <v>0</v>
          </cell>
          <cell r="D60">
            <v>4591.0991823232007</v>
          </cell>
          <cell r="E60">
            <v>5438.0103627282942</v>
          </cell>
          <cell r="F60">
            <v>6196.4957045387364</v>
          </cell>
          <cell r="G60">
            <v>6750.0688422801995</v>
          </cell>
          <cell r="H60">
            <v>6873.9169070234484</v>
          </cell>
          <cell r="I60">
            <v>6381.4417022263851</v>
          </cell>
          <cell r="J60">
            <v>5666.8373334993239</v>
          </cell>
          <cell r="K60">
            <v>5270.2070885186249</v>
          </cell>
          <cell r="L60">
            <v>5117.3712884545084</v>
          </cell>
          <cell r="P60" t="str">
            <v>Patients at Start of Period</v>
          </cell>
          <cell r="Q60">
            <v>5089.3211778263394</v>
          </cell>
          <cell r="R60">
            <v>5223.8874196697716</v>
          </cell>
          <cell r="S60">
            <v>5448.5345261022558</v>
          </cell>
          <cell r="T60">
            <v>5769.5604905436849</v>
          </cell>
          <cell r="U60">
            <v>6094.5643072363546</v>
          </cell>
          <cell r="V60">
            <v>6415.3290442489269</v>
          </cell>
          <cell r="W60">
            <v>6687.0996885708319</v>
          </cell>
          <cell r="X60">
            <v>6919.9343192177166</v>
          </cell>
          <cell r="Y60">
            <v>7084.7007202072718</v>
          </cell>
          <cell r="Z60">
            <v>7193.0966617929889</v>
          </cell>
          <cell r="AA60">
            <v>7263.1137600509865</v>
          </cell>
          <cell r="AB60">
            <v>7308.9968826389377</v>
          </cell>
        </row>
        <row r="61">
          <cell r="B61" t="str">
            <v>Patients at End of Period</v>
          </cell>
          <cell r="C61">
            <v>4591.0991823232007</v>
          </cell>
          <cell r="D61">
            <v>5438.0103627282942</v>
          </cell>
          <cell r="E61">
            <v>6196.4957045387364</v>
          </cell>
          <cell r="F61">
            <v>6750.0688422801995</v>
          </cell>
          <cell r="G61">
            <v>6873.9169070234484</v>
          </cell>
          <cell r="H61">
            <v>6381.4417022263851</v>
          </cell>
          <cell r="I61">
            <v>5666.8373334993239</v>
          </cell>
          <cell r="J61">
            <v>5270.2070885186249</v>
          </cell>
          <cell r="K61">
            <v>5117.3712884545084</v>
          </cell>
          <cell r="L61">
            <v>5089.3211778263394</v>
          </cell>
          <cell r="P61" t="str">
            <v>Patients at End of Period</v>
          </cell>
          <cell r="Q61">
            <v>5223.8874196697716</v>
          </cell>
          <cell r="R61">
            <v>5448.5345261022558</v>
          </cell>
          <cell r="S61">
            <v>5769.5604905436849</v>
          </cell>
          <cell r="T61">
            <v>6094.5643072363546</v>
          </cell>
          <cell r="U61">
            <v>6415.3290442489269</v>
          </cell>
          <cell r="V61">
            <v>6687.0996885708319</v>
          </cell>
          <cell r="W61">
            <v>6919.9343192177166</v>
          </cell>
          <cell r="X61">
            <v>7084.7007202072718</v>
          </cell>
          <cell r="Y61">
            <v>7193.0966617929889</v>
          </cell>
          <cell r="Z61">
            <v>7263.1137600509865</v>
          </cell>
          <cell r="AA61">
            <v>7308.9968826389377</v>
          </cell>
          <cell r="AB61">
            <v>7339.0989006951522</v>
          </cell>
        </row>
        <row r="63">
          <cell r="B63" t="str">
            <v>Total Patient Days</v>
          </cell>
          <cell r="C63">
            <v>85164.889832095359</v>
          </cell>
          <cell r="D63">
            <v>139344.90769040224</v>
          </cell>
          <cell r="E63">
            <v>160189.67694661734</v>
          </cell>
          <cell r="F63">
            <v>175667.75966879056</v>
          </cell>
          <cell r="G63">
            <v>179113.50410454167</v>
          </cell>
          <cell r="H63">
            <v>165302.16069089193</v>
          </cell>
          <cell r="I63">
            <v>145271.16432503134</v>
          </cell>
          <cell r="J63">
            <v>133353.85456209915</v>
          </cell>
          <cell r="K63">
            <v>129051.00245284176</v>
          </cell>
          <cell r="L63">
            <v>128242.11095577363</v>
          </cell>
          <cell r="P63" t="str">
            <v>Total Patient Days</v>
          </cell>
          <cell r="Q63">
            <v>130842.36961975202</v>
          </cell>
          <cell r="R63">
            <v>135948.1400244516</v>
          </cell>
          <cell r="S63">
            <v>142839.63094066753</v>
          </cell>
          <cell r="T63">
            <v>151510.16884278817</v>
          </cell>
          <cell r="U63">
            <v>160060.64586898161</v>
          </cell>
          <cell r="V63">
            <v>167637.93577383447</v>
          </cell>
          <cell r="W63">
            <v>173724.28653224508</v>
          </cell>
          <cell r="X63">
            <v>178304.68986718298</v>
          </cell>
          <cell r="Y63">
            <v>181306.6657965903</v>
          </cell>
          <cell r="Z63">
            <v>183233.9794806038</v>
          </cell>
          <cell r="AA63">
            <v>184485.48712349506</v>
          </cell>
          <cell r="AB63">
            <v>185295.06902684493</v>
          </cell>
        </row>
        <row r="64">
          <cell r="B64" t="str">
            <v>Average Cost/Day</v>
          </cell>
          <cell r="C64">
            <v>146.66666666666666</v>
          </cell>
          <cell r="D64">
            <v>146.66666666666666</v>
          </cell>
          <cell r="E64">
            <v>146.66666666666666</v>
          </cell>
          <cell r="F64">
            <v>146.66666666666666</v>
          </cell>
          <cell r="G64">
            <v>146.66666666666666</v>
          </cell>
          <cell r="H64">
            <v>146.66666666666666</v>
          </cell>
          <cell r="I64">
            <v>146.66666666666666</v>
          </cell>
          <cell r="J64">
            <v>146.66666666666666</v>
          </cell>
          <cell r="K64">
            <v>146.66666666666666</v>
          </cell>
          <cell r="L64">
            <v>146.66666666666666</v>
          </cell>
          <cell r="P64" t="str">
            <v>Average Cost/Day</v>
          </cell>
          <cell r="Q64">
            <v>146.66666666666666</v>
          </cell>
          <cell r="R64">
            <v>146.66666666666666</v>
          </cell>
          <cell r="S64">
            <v>146.66666666666666</v>
          </cell>
          <cell r="T64">
            <v>146.66666666666666</v>
          </cell>
          <cell r="U64">
            <v>146.66666666666666</v>
          </cell>
          <cell r="V64">
            <v>146.66666666666666</v>
          </cell>
          <cell r="W64">
            <v>146.66666666666666</v>
          </cell>
          <cell r="X64">
            <v>146.66666666666666</v>
          </cell>
          <cell r="Y64">
            <v>146.66666666666666</v>
          </cell>
          <cell r="Z64">
            <v>146.66666666666666</v>
          </cell>
          <cell r="AA64">
            <v>146.66666666666666</v>
          </cell>
          <cell r="AB64">
            <v>146.66666666666666</v>
          </cell>
        </row>
        <row r="66">
          <cell r="B66" t="str">
            <v>Monthly Sales</v>
          </cell>
          <cell r="C66">
            <v>12490.850508707319</v>
          </cell>
          <cell r="D66">
            <v>20437.253127925662</v>
          </cell>
          <cell r="E66">
            <v>23494.485952170544</v>
          </cell>
          <cell r="F66">
            <v>25764.604751422616</v>
          </cell>
          <cell r="G66">
            <v>26269.980601999443</v>
          </cell>
          <cell r="H66">
            <v>24244.316901330814</v>
          </cell>
          <cell r="I66">
            <v>21306.437434337928</v>
          </cell>
          <cell r="J66">
            <v>19558.56533577454</v>
          </cell>
          <cell r="K66">
            <v>18927.480359750123</v>
          </cell>
          <cell r="L66">
            <v>18808.84294018013</v>
          </cell>
          <cell r="M66">
            <v>211302.81791359911</v>
          </cell>
          <cell r="P66" t="str">
            <v>Monthly Sales</v>
          </cell>
          <cell r="Q66">
            <v>19190.21421089696</v>
          </cell>
          <cell r="R66">
            <v>19939.060536919569</v>
          </cell>
          <cell r="S66">
            <v>20949.812537964572</v>
          </cell>
          <cell r="T66">
            <v>22221.491430275597</v>
          </cell>
          <cell r="U66">
            <v>23475.5613941173</v>
          </cell>
          <cell r="V66">
            <v>24586.897246829056</v>
          </cell>
          <cell r="W66">
            <v>25479.562024729279</v>
          </cell>
          <cell r="X66">
            <v>26151.354513853501</v>
          </cell>
          <cell r="Y66">
            <v>26591.644316833244</v>
          </cell>
          <cell r="Z66">
            <v>26874.316990488554</v>
          </cell>
          <cell r="AA66">
            <v>27057.871444779274</v>
          </cell>
          <cell r="AB66">
            <v>27176.610123937255</v>
          </cell>
          <cell r="AC66">
            <v>289694.3967716241</v>
          </cell>
        </row>
        <row r="67">
          <cell r="C67" t="str">
            <v>1Q04</v>
          </cell>
          <cell r="F67" t="str">
            <v>2Q04</v>
          </cell>
          <cell r="I67" t="str">
            <v>3Q04</v>
          </cell>
          <cell r="L67" t="str">
            <v>4Q04</v>
          </cell>
          <cell r="M67">
            <v>2004</v>
          </cell>
          <cell r="S67" t="str">
            <v>1Q05</v>
          </cell>
          <cell r="V67" t="str">
            <v>2Q05</v>
          </cell>
          <cell r="Y67" t="str">
            <v>3Q05</v>
          </cell>
          <cell r="AB67" t="str">
            <v>4Q05</v>
          </cell>
          <cell r="AC67">
            <v>2005</v>
          </cell>
        </row>
        <row r="68">
          <cell r="B68" t="str">
            <v>Relapsed/Refractory Sales</v>
          </cell>
          <cell r="C68">
            <v>12490.850508707319</v>
          </cell>
          <cell r="F68">
            <v>69696.34383151881</v>
          </cell>
          <cell r="I68">
            <v>71820.734937668181</v>
          </cell>
          <cell r="L68">
            <v>57294.888635704789</v>
          </cell>
          <cell r="M68">
            <v>211302.81791359911</v>
          </cell>
          <cell r="P68" t="str">
            <v>Total Sales</v>
          </cell>
          <cell r="S68">
            <v>60079.087285781097</v>
          </cell>
          <cell r="V68">
            <v>70283.95007122196</v>
          </cell>
          <cell r="Y68">
            <v>78222.560855416028</v>
          </cell>
          <cell r="AB68">
            <v>81108.798559205083</v>
          </cell>
          <cell r="AC68">
            <v>289694.39677162416</v>
          </cell>
        </row>
        <row r="70">
          <cell r="C70" t="str">
            <v>1Q04</v>
          </cell>
          <cell r="F70" t="str">
            <v>2Q04</v>
          </cell>
          <cell r="I70" t="str">
            <v>3Q04</v>
          </cell>
          <cell r="L70" t="str">
            <v>4Q04</v>
          </cell>
          <cell r="M70">
            <v>2004</v>
          </cell>
          <cell r="S70" t="str">
            <v>1Q05</v>
          </cell>
          <cell r="V70" t="str">
            <v>2Q05</v>
          </cell>
          <cell r="Y70" t="str">
            <v>3Q05</v>
          </cell>
          <cell r="AB70" t="str">
            <v>4Q05</v>
          </cell>
          <cell r="AC70">
            <v>2005</v>
          </cell>
        </row>
        <row r="71">
          <cell r="B71" t="str">
            <v>Total Sales</v>
          </cell>
          <cell r="C71">
            <v>24592.22197400295</v>
          </cell>
          <cell r="F71">
            <v>133980.14318219628</v>
          </cell>
          <cell r="I71">
            <v>161536.07133526943</v>
          </cell>
          <cell r="L71">
            <v>174359.67341958501</v>
          </cell>
          <cell r="M71">
            <v>494468.10991105367</v>
          </cell>
          <cell r="P71" t="str">
            <v>Total Sales</v>
          </cell>
          <cell r="S71">
            <v>201977.69031282194</v>
          </cell>
          <cell r="V71">
            <v>237723.03550510277</v>
          </cell>
          <cell r="Y71">
            <v>269070.53908129712</v>
          </cell>
          <cell r="AB71">
            <v>290081.17337585526</v>
          </cell>
          <cell r="AC71">
            <v>998852.43827507715</v>
          </cell>
        </row>
        <row r="74">
          <cell r="B74" t="str">
            <v>New Diagnoses</v>
          </cell>
          <cell r="C74">
            <v>0.25</v>
          </cell>
          <cell r="D74">
            <v>0.3</v>
          </cell>
          <cell r="E74">
            <v>0.35</v>
          </cell>
          <cell r="F74">
            <v>0.4</v>
          </cell>
        </row>
        <row r="75">
          <cell r="B75" t="str">
            <v>Total Q3 Sales</v>
          </cell>
          <cell r="C75">
            <v>153979.96593385277</v>
          </cell>
          <cell r="D75">
            <v>156638.59668507241</v>
          </cell>
          <cell r="E75">
            <v>159297.22743629201</v>
          </cell>
          <cell r="F75">
            <v>161955.85818751174</v>
          </cell>
        </row>
        <row r="76">
          <cell r="B76" t="str">
            <v>Total Q4 Sales</v>
          </cell>
          <cell r="C76">
            <v>159919.35890491318</v>
          </cell>
          <cell r="D76">
            <v>167772.72580992253</v>
          </cell>
          <cell r="E76">
            <v>175626.09271493187</v>
          </cell>
          <cell r="F76">
            <v>183479.45961994119</v>
          </cell>
        </row>
        <row r="77">
          <cell r="B77" t="str">
            <v>FY2004</v>
          </cell>
          <cell r="C77">
            <v>471721.72845186933</v>
          </cell>
          <cell r="D77">
            <v>482233.7261080984</v>
          </cell>
          <cell r="E77">
            <v>492745.72376432741</v>
          </cell>
          <cell r="F77">
            <v>503257.72142055631</v>
          </cell>
        </row>
        <row r="79">
          <cell r="B79" t="str">
            <v>Relapsing</v>
          </cell>
          <cell r="C79">
            <v>0.25</v>
          </cell>
          <cell r="D79">
            <v>0.3</v>
          </cell>
          <cell r="E79">
            <v>0.35</v>
          </cell>
          <cell r="F79">
            <v>0.4</v>
          </cell>
        </row>
        <row r="80">
          <cell r="B80" t="str">
            <v>Total Q3 Sales</v>
          </cell>
          <cell r="C80">
            <v>149404.15650281997</v>
          </cell>
          <cell r="D80">
            <v>151725.76358521846</v>
          </cell>
          <cell r="E80">
            <v>154047.37066761701</v>
          </cell>
          <cell r="F80">
            <v>156368.9777500155</v>
          </cell>
        </row>
        <row r="81">
          <cell r="B81" t="str">
            <v>Total Q4 Sales</v>
          </cell>
          <cell r="C81">
            <v>153623.49900867679</v>
          </cell>
          <cell r="D81">
            <v>160172.05022159428</v>
          </cell>
          <cell r="E81">
            <v>166720.60143451183</v>
          </cell>
          <cell r="F81">
            <v>173269.15264742935</v>
          </cell>
        </row>
        <row r="82">
          <cell r="B82" t="str">
            <v>FY2004</v>
          </cell>
          <cell r="C82">
            <v>460850.0591246002</v>
          </cell>
          <cell r="D82">
            <v>469720.21741991618</v>
          </cell>
          <cell r="E82">
            <v>478590.37571523222</v>
          </cell>
          <cell r="F82">
            <v>487460.53401054826</v>
          </cell>
        </row>
        <row r="85">
          <cell r="B85" t="str">
            <v xml:space="preserve">Front-Line </v>
          </cell>
        </row>
        <row r="86">
          <cell r="C86" t="str">
            <v>Patients Start of Period</v>
          </cell>
          <cell r="D86" t="str">
            <v>New Patient Additions</v>
          </cell>
          <cell r="E86" t="str">
            <v>Drop-Outs</v>
          </cell>
          <cell r="F86" t="str">
            <v>Patients End of Period</v>
          </cell>
          <cell r="G86" t="str">
            <v>Total Patient Days</v>
          </cell>
          <cell r="H86" t="str">
            <v>Sales</v>
          </cell>
        </row>
        <row r="87">
          <cell r="B87" t="str">
            <v>March</v>
          </cell>
          <cell r="C87">
            <v>0</v>
          </cell>
          <cell r="D87">
            <v>4500</v>
          </cell>
          <cell r="E87">
            <v>52.05655526992286</v>
          </cell>
          <cell r="F87">
            <v>4447.9434447300773</v>
          </cell>
          <cell r="G87">
            <v>82509.350899742945</v>
          </cell>
          <cell r="H87">
            <v>12101.371465295631</v>
          </cell>
        </row>
        <row r="88">
          <cell r="B88" t="str">
            <v>April</v>
          </cell>
          <cell r="C88">
            <v>4447.9434447300773</v>
          </cell>
          <cell r="D88">
            <v>665.93698599999993</v>
          </cell>
          <cell r="E88">
            <v>77.112381586118232</v>
          </cell>
          <cell r="F88">
            <v>5036.7680491439587</v>
          </cell>
          <cell r="G88">
            <v>131450.00183242085</v>
          </cell>
          <cell r="H88">
            <v>19279.333602088391</v>
          </cell>
        </row>
        <row r="89">
          <cell r="B89" t="str">
            <v>May</v>
          </cell>
          <cell r="C89">
            <v>5036.7680491439587</v>
          </cell>
          <cell r="D89">
            <v>636.71597375294982</v>
          </cell>
          <cell r="E89">
            <v>104.39805603570247</v>
          </cell>
          <cell r="F89">
            <v>5569.0859668612065</v>
          </cell>
          <cell r="G89">
            <v>146351.83166713189</v>
          </cell>
          <cell r="H89">
            <v>21464.935311179343</v>
          </cell>
        </row>
        <row r="90">
          <cell r="B90" t="str">
            <v>June</v>
          </cell>
          <cell r="C90">
            <v>5569.0859668612065</v>
          </cell>
          <cell r="D90">
            <v>668.13639106724418</v>
          </cell>
          <cell r="E90">
            <v>146.07053212678733</v>
          </cell>
          <cell r="F90">
            <v>6091.151825801664</v>
          </cell>
          <cell r="G90">
            <v>160496.79843688456</v>
          </cell>
          <cell r="H90">
            <v>23539.530437409736</v>
          </cell>
        </row>
        <row r="91">
          <cell r="B91" t="str">
            <v xml:space="preserve">July </v>
          </cell>
          <cell r="C91">
            <v>6091.151825801664</v>
          </cell>
          <cell r="D91">
            <v>1216.7978474772819</v>
          </cell>
          <cell r="E91">
            <v>227.29858180770779</v>
          </cell>
          <cell r="F91">
            <v>7080.651091471238</v>
          </cell>
          <cell r="G91">
            <v>179945.42295666158</v>
          </cell>
          <cell r="H91">
            <v>26391.995366977033</v>
          </cell>
        </row>
        <row r="92">
          <cell r="B92" t="str">
            <v>August</v>
          </cell>
          <cell r="C92">
            <v>7080.651091471238</v>
          </cell>
          <cell r="D92">
            <v>1218.8055639256195</v>
          </cell>
          <cell r="E92">
            <v>319.15848221867031</v>
          </cell>
          <cell r="F92">
            <v>7980.2981731781874</v>
          </cell>
          <cell r="G92">
            <v>205105.32511190866</v>
          </cell>
          <cell r="H92">
            <v>30082.114349746604</v>
          </cell>
        </row>
        <row r="93">
          <cell r="B93" t="str">
            <v>September</v>
          </cell>
          <cell r="C93">
            <v>7980.2981731781874</v>
          </cell>
          <cell r="D93">
            <v>1220.8165931060967</v>
          </cell>
          <cell r="E93">
            <v>450.47129857474908</v>
          </cell>
          <cell r="F93">
            <v>8750.6434677095367</v>
          </cell>
          <cell r="G93">
            <v>226644.72736962023</v>
          </cell>
          <cell r="H93">
            <v>33241.226680877633</v>
          </cell>
        </row>
        <row r="94">
          <cell r="B94" t="str">
            <v>October</v>
          </cell>
          <cell r="C94">
            <v>8750.6434677095367</v>
          </cell>
          <cell r="D94">
            <v>1375.6848080453119</v>
          </cell>
          <cell r="E94">
            <v>576.84867314941653</v>
          </cell>
          <cell r="F94">
            <v>9549.4796026054319</v>
          </cell>
          <cell r="G94">
            <v>246681.37251187017</v>
          </cell>
          <cell r="H94">
            <v>36179.934635074285</v>
          </cell>
        </row>
        <row r="95">
          <cell r="B95" t="str">
            <v>November</v>
          </cell>
          <cell r="C95">
            <v>9549.4796026054319</v>
          </cell>
          <cell r="D95">
            <v>1408.5759032669996</v>
          </cell>
          <cell r="E95">
            <v>680.04417956358725</v>
          </cell>
          <cell r="F95">
            <v>10278.011326308844</v>
          </cell>
          <cell r="G95">
            <v>266585.24979247933</v>
          </cell>
          <cell r="H95">
            <v>39099.169969563634</v>
          </cell>
        </row>
        <row r="96">
          <cell r="B96" t="str">
            <v>December</v>
          </cell>
          <cell r="C96">
            <v>10278.011326308844</v>
          </cell>
          <cell r="D96">
            <v>1472.2435340946677</v>
          </cell>
          <cell r="E96">
            <v>783.83950159654296</v>
          </cell>
          <cell r="F96">
            <v>10966.415358806968</v>
          </cell>
          <cell r="G96">
            <v>284902.36485847033</v>
          </cell>
          <cell r="H96">
            <v>41785.680179242314</v>
          </cell>
        </row>
        <row r="97">
          <cell r="B97" t="str">
            <v>Relapsed/ Refractory</v>
          </cell>
        </row>
        <row r="98">
          <cell r="C98" t="str">
            <v>Patients Start of Period</v>
          </cell>
          <cell r="D98" t="str">
            <v>New Patient Additions</v>
          </cell>
          <cell r="E98" t="str">
            <v>Drop-Outs</v>
          </cell>
          <cell r="F98" t="str">
            <v>Patients End of Period</v>
          </cell>
          <cell r="G98" t="str">
            <v>Total Patient Days</v>
          </cell>
          <cell r="H98" t="str">
            <v>Sales</v>
          </cell>
        </row>
        <row r="99">
          <cell r="B99" t="str">
            <v>March</v>
          </cell>
          <cell r="C99">
            <v>0</v>
          </cell>
          <cell r="D99">
            <v>4600</v>
          </cell>
          <cell r="E99">
            <v>8.9008176767992015</v>
          </cell>
          <cell r="F99">
            <v>4591.0991823232007</v>
          </cell>
          <cell r="G99">
            <v>85164.889832095359</v>
          </cell>
          <cell r="H99">
            <v>12490.850508707319</v>
          </cell>
        </row>
        <row r="100">
          <cell r="B100" t="str">
            <v>April</v>
          </cell>
          <cell r="C100">
            <v>4591.0991823232007</v>
          </cell>
          <cell r="D100">
            <v>883.07467299999996</v>
          </cell>
          <cell r="E100">
            <v>36.163492594906678</v>
          </cell>
          <cell r="F100">
            <v>5438.0103627282942</v>
          </cell>
          <cell r="G100">
            <v>139344.90769040224</v>
          </cell>
          <cell r="H100">
            <v>20437.253127925662</v>
          </cell>
        </row>
        <row r="101">
          <cell r="B101" t="str">
            <v>May</v>
          </cell>
          <cell r="C101">
            <v>5438.0103627282942</v>
          </cell>
          <cell r="D101">
            <v>884.53174621044991</v>
          </cell>
          <cell r="E101">
            <v>126.04640440000773</v>
          </cell>
          <cell r="F101">
            <v>6196.4957045387364</v>
          </cell>
          <cell r="G101">
            <v>160189.67694661734</v>
          </cell>
          <cell r="H101">
            <v>23494.485952170544</v>
          </cell>
        </row>
        <row r="102">
          <cell r="B102" t="str">
            <v>June</v>
          </cell>
          <cell r="C102">
            <v>6196.4957045387364</v>
          </cell>
          <cell r="D102">
            <v>885.99122359169723</v>
          </cell>
          <cell r="E102">
            <v>332.41808585023387</v>
          </cell>
          <cell r="F102">
            <v>6750.0688422801995</v>
          </cell>
          <cell r="G102">
            <v>175667.75966879056</v>
          </cell>
          <cell r="H102">
            <v>25764.604751422616</v>
          </cell>
        </row>
        <row r="103">
          <cell r="B103" t="str">
            <v xml:space="preserve">July </v>
          </cell>
          <cell r="C103">
            <v>6750.0688422801995</v>
          </cell>
          <cell r="D103">
            <v>887.45310911062336</v>
          </cell>
          <cell r="E103">
            <v>763.60504436737506</v>
          </cell>
          <cell r="F103">
            <v>6873.9169070234484</v>
          </cell>
          <cell r="G103">
            <v>179113.50410454167</v>
          </cell>
          <cell r="H103">
            <v>26269.980601999443</v>
          </cell>
        </row>
        <row r="104">
          <cell r="B104" t="str">
            <v>August</v>
          </cell>
          <cell r="C104">
            <v>6873.9169070234484</v>
          </cell>
          <cell r="D104">
            <v>888.91740674065579</v>
          </cell>
          <cell r="E104">
            <v>1381.3926115377192</v>
          </cell>
          <cell r="F104">
            <v>6381.4417022263851</v>
          </cell>
          <cell r="G104">
            <v>165302.16069089193</v>
          </cell>
          <cell r="H104">
            <v>24244.316901330814</v>
          </cell>
        </row>
        <row r="105">
          <cell r="B105" t="str">
            <v>September</v>
          </cell>
          <cell r="C105">
            <v>6381.4417022263851</v>
          </cell>
          <cell r="D105">
            <v>890.38412046177791</v>
          </cell>
          <cell r="E105">
            <v>1604.9884891888387</v>
          </cell>
          <cell r="F105">
            <v>5666.8373334993239</v>
          </cell>
          <cell r="G105">
            <v>145271.16432503134</v>
          </cell>
          <cell r="H105">
            <v>21306.437434337928</v>
          </cell>
        </row>
        <row r="106">
          <cell r="B106" t="str">
            <v>October</v>
          </cell>
          <cell r="C106">
            <v>5666.8373334993239</v>
          </cell>
          <cell r="D106">
            <v>944.31521039351253</v>
          </cell>
          <cell r="E106">
            <v>1340.9454553742116</v>
          </cell>
          <cell r="F106">
            <v>5270.2070885186249</v>
          </cell>
          <cell r="G106">
            <v>133353.85456209915</v>
          </cell>
          <cell r="H106">
            <v>19558.56533577454</v>
          </cell>
        </row>
        <row r="107">
          <cell r="B107" t="str">
            <v>November</v>
          </cell>
          <cell r="C107">
            <v>5270.2070885186249</v>
          </cell>
          <cell r="D107">
            <v>945.8733304906616</v>
          </cell>
          <cell r="E107">
            <v>1098.7091305547785</v>
          </cell>
          <cell r="F107">
            <v>5117.3712884545084</v>
          </cell>
          <cell r="G107">
            <v>129051.00245284176</v>
          </cell>
          <cell r="H107">
            <v>18927.480359750123</v>
          </cell>
        </row>
        <row r="108">
          <cell r="B108" t="str">
            <v>December</v>
          </cell>
          <cell r="C108">
            <v>5117.3712884545084</v>
          </cell>
          <cell r="D108">
            <v>947.43402148597113</v>
          </cell>
          <cell r="E108">
            <v>975.48413211414072</v>
          </cell>
          <cell r="F108">
            <v>5089.3211778263394</v>
          </cell>
          <cell r="G108">
            <v>128242.11095577363</v>
          </cell>
          <cell r="H108">
            <v>18808.84294018013</v>
          </cell>
        </row>
        <row r="109">
          <cell r="B109" t="str">
            <v>Total Sales</v>
          </cell>
        </row>
        <row r="110">
          <cell r="B110" t="str">
            <v>2Q04</v>
          </cell>
          <cell r="C110">
            <v>133980.14318219628</v>
          </cell>
        </row>
        <row r="111">
          <cell r="B111" t="str">
            <v>3Q04</v>
          </cell>
          <cell r="C111">
            <v>161536.07133526943</v>
          </cell>
        </row>
        <row r="112">
          <cell r="B112" t="str">
            <v>4Q04</v>
          </cell>
          <cell r="C112">
            <v>174359.67341958501</v>
          </cell>
        </row>
        <row r="113">
          <cell r="B113">
            <v>2004</v>
          </cell>
          <cell r="C113">
            <v>494468.10991105367</v>
          </cell>
        </row>
      </sheetData>
      <sheetData sheetId="16" refreshError="1"/>
      <sheetData sheetId="17" refreshError="1">
        <row r="1">
          <cell r="A1" t="str">
            <v>Model data for companies: DNA.N</v>
          </cell>
          <cell r="HX1" t="str">
            <v>ElementName</v>
          </cell>
          <cell r="HY1" t="str">
            <v>ScaleOverride</v>
          </cell>
          <cell r="HZ1" t="str">
            <v>UnitOverride</v>
          </cell>
          <cell r="IA1" t="str">
            <v>ReverseSign</v>
          </cell>
          <cell r="IB1" t="str">
            <v>IsDrivingAssumption</v>
          </cell>
          <cell r="IC1" t="str">
            <v>SegmentID</v>
          </cell>
        </row>
        <row r="2">
          <cell r="A2" t="str">
            <v xml:space="preserve">Model Snapshot type:  </v>
          </cell>
          <cell r="G2" t="str">
            <v>1997-FY</v>
          </cell>
          <cell r="H2" t="str">
            <v>1998-FY</v>
          </cell>
          <cell r="I2" t="str">
            <v>1999-FY</v>
          </cell>
          <cell r="J2" t="str">
            <v>2000-FY</v>
          </cell>
          <cell r="K2" t="str">
            <v>2001-FY</v>
          </cell>
          <cell r="L2" t="str">
            <v>2002-FY</v>
          </cell>
        </row>
        <row r="3">
          <cell r="A3" t="str">
            <v>Default Currency: USD in Millions</v>
          </cell>
        </row>
        <row r="4">
          <cell r="A4" t="str">
            <v>Data as of 2/28/2005 1:22:21 PM</v>
          </cell>
          <cell r="G4" t="str">
            <v>data filled 1997-2002</v>
          </cell>
        </row>
        <row r="5">
          <cell r="A5" t="str">
            <v>Template v1.0</v>
          </cell>
          <cell r="L5" t="str">
            <v>Genentech (DNA.N) ()</v>
          </cell>
        </row>
        <row r="6">
          <cell r="G6" t="str">
            <v>1997-FY
1997-1-1
1997-12-31</v>
          </cell>
          <cell r="H6" t="str">
            <v>1998-FY
1998-1-1
1998-12-31</v>
          </cell>
          <cell r="I6" t="str">
            <v>1999-FY
1999-1-1
1999-12-31</v>
          </cell>
          <cell r="J6" t="str">
            <v>2000-FY
2000-1-1
2000-12-31</v>
          </cell>
          <cell r="K6" t="str">
            <v>2001-FY
2001-1-1
2002-12-31</v>
          </cell>
          <cell r="L6" t="str">
            <v>2002 (A)_x000D_
2002-1-1_x000D_
2002-12-31</v>
          </cell>
          <cell r="M6" t="str">
            <v>2003 (A)_x000D_
2003-1-1_x000D_
2003-12-31</v>
          </cell>
        </row>
        <row r="7">
          <cell r="A7" t="str">
            <v>Validation Formulas</v>
          </cell>
          <cell r="HY7">
            <v>0</v>
          </cell>
          <cell r="HZ7" t="str">
            <v>ms_eqr_gcim_String:ms_eqr_gcim_string</v>
          </cell>
          <cell r="IA7" t="b">
            <v>0</v>
          </cell>
          <cell r="IB7" t="b">
            <v>0</v>
          </cell>
        </row>
        <row r="18">
          <cell r="B18" t="str">
            <v>Balance Sheet Validation</v>
          </cell>
          <cell r="G18" t="b">
            <v>1</v>
          </cell>
          <cell r="H18" t="b">
            <v>1</v>
          </cell>
          <cell r="I18" t="b">
            <v>1</v>
          </cell>
          <cell r="J18" t="b">
            <v>1</v>
          </cell>
          <cell r="K18" t="b">
            <v>1</v>
          </cell>
          <cell r="L18" t="b">
            <v>1</v>
          </cell>
          <cell r="M18" t="b">
            <v>1</v>
          </cell>
          <cell r="HY18">
            <v>0</v>
          </cell>
          <cell r="HZ18" t="str">
            <v>ms_eqr_gcim_Boolean:ms_eqr_gcim_boolean</v>
          </cell>
          <cell r="IA18" t="b">
            <v>0</v>
          </cell>
          <cell r="IB18" t="b">
            <v>0</v>
          </cell>
        </row>
        <row r="29">
          <cell r="C29" t="str">
            <v>Assets</v>
          </cell>
          <cell r="G29">
            <v>2507.6120000000005</v>
          </cell>
          <cell r="H29">
            <v>2855.402</v>
          </cell>
          <cell r="I29">
            <v>6534.7819999999992</v>
          </cell>
          <cell r="J29">
            <v>6716.424</v>
          </cell>
          <cell r="K29">
            <v>7146.8890000000001</v>
          </cell>
          <cell r="L29">
            <v>6758.1189999999997</v>
          </cell>
          <cell r="M29">
            <v>8735.9628426585787</v>
          </cell>
          <cell r="HY29">
            <v>0</v>
          </cell>
          <cell r="HZ29" t="str">
            <v>ISO4217:USD</v>
          </cell>
          <cell r="IA29" t="b">
            <v>0</v>
          </cell>
          <cell r="IB29" t="b">
            <v>0</v>
          </cell>
        </row>
        <row r="40">
          <cell r="C40" t="str">
            <v>Liabilities and Equity</v>
          </cell>
          <cell r="G40">
            <v>2507.6120000000001</v>
          </cell>
          <cell r="H40">
            <v>2855.402</v>
          </cell>
          <cell r="I40">
            <v>6534.7819999999992</v>
          </cell>
          <cell r="J40">
            <v>6716.4240000000009</v>
          </cell>
          <cell r="K40">
            <v>7146.8889999999992</v>
          </cell>
          <cell r="L40">
            <v>6758.1189999999997</v>
          </cell>
          <cell r="M40">
            <v>8736.0156437000005</v>
          </cell>
          <cell r="HY40">
            <v>0</v>
          </cell>
          <cell r="HZ40" t="str">
            <v>ISO4217:USD</v>
          </cell>
          <cell r="IA40" t="b">
            <v>0</v>
          </cell>
          <cell r="IB40" t="b">
            <v>0</v>
          </cell>
        </row>
        <row r="51">
          <cell r="B51" t="str">
            <v>Changes in Shareholders Equity Validation</v>
          </cell>
          <cell r="G51" t="b">
            <v>1</v>
          </cell>
          <cell r="H51" t="b">
            <v>1</v>
          </cell>
          <cell r="I51" t="b">
            <v>1</v>
          </cell>
          <cell r="J51" t="b">
            <v>1</v>
          </cell>
          <cell r="K51" t="b">
            <v>1</v>
          </cell>
          <cell r="L51" t="b">
            <v>1</v>
          </cell>
          <cell r="M51" t="b">
            <v>1</v>
          </cell>
          <cell r="HY51">
            <v>0</v>
          </cell>
          <cell r="HZ51" t="str">
            <v>ms_eqr_gcim_Boolean:ms_eqr_gcim_boolean</v>
          </cell>
          <cell r="IA51" t="b">
            <v>0</v>
          </cell>
          <cell r="IB51" t="b">
            <v>0</v>
          </cell>
        </row>
        <row r="62">
          <cell r="C62" t="str">
            <v>Changes in Shareholders Equity</v>
          </cell>
          <cell r="G62">
            <v>230.16599999999994</v>
          </cell>
          <cell r="H62">
            <v>312.61999999999983</v>
          </cell>
          <cell r="I62">
            <v>2926.0119999999993</v>
          </cell>
          <cell r="J62">
            <v>404.34600000000012</v>
          </cell>
          <cell r="K62">
            <v>245.61100000000016</v>
          </cell>
          <cell r="L62">
            <v>-581.05699999999945</v>
          </cell>
          <cell r="M62">
            <v>1181.4782639664222</v>
          </cell>
          <cell r="HY62">
            <v>0</v>
          </cell>
          <cell r="HZ62" t="str">
            <v>ISO4217:USD</v>
          </cell>
          <cell r="IA62" t="b">
            <v>0</v>
          </cell>
          <cell r="IB62" t="b">
            <v>0</v>
          </cell>
        </row>
        <row r="73">
          <cell r="D73" t="str">
            <v>Net Income (Reported) Less Preferred Dividends</v>
          </cell>
          <cell r="G73">
            <v>129.04399999999993</v>
          </cell>
          <cell r="H73">
            <v>181.90899999999982</v>
          </cell>
          <cell r="I73">
            <v>-1157.4760000000001</v>
          </cell>
          <cell r="J73">
            <v>-74.240999999999914</v>
          </cell>
          <cell r="K73">
            <v>150.23100000000022</v>
          </cell>
          <cell r="L73">
            <v>63.665000000000532</v>
          </cell>
          <cell r="M73">
            <v>562.62846292500024</v>
          </cell>
          <cell r="HY73">
            <v>0</v>
          </cell>
          <cell r="HZ73" t="str">
            <v>ISO4217:USD</v>
          </cell>
          <cell r="IA73" t="b">
            <v>0</v>
          </cell>
          <cell r="IB73" t="b">
            <v>0</v>
          </cell>
        </row>
        <row r="74">
          <cell r="G74">
            <v>169.79499999999993</v>
          </cell>
          <cell r="H74">
            <v>252.65099999999981</v>
          </cell>
          <cell r="I74">
            <v>-1130.577</v>
          </cell>
          <cell r="J74">
            <v>3.9730000000000665</v>
          </cell>
          <cell r="K74">
            <v>282.98100000000022</v>
          </cell>
          <cell r="L74">
            <v>573.53200000000049</v>
          </cell>
          <cell r="M74">
            <v>784.22646292500019</v>
          </cell>
        </row>
        <row r="75">
          <cell r="G75">
            <v>-40.750999999999998</v>
          </cell>
          <cell r="H75">
            <v>-70.74199999999999</v>
          </cell>
          <cell r="I75">
            <v>-26.899000000000029</v>
          </cell>
          <cell r="J75">
            <v>-78.213999999999984</v>
          </cell>
          <cell r="K75">
            <v>-132.75</v>
          </cell>
          <cell r="L75">
            <v>-509.86699999999996</v>
          </cell>
          <cell r="M75">
            <v>-221.59799999999998</v>
          </cell>
        </row>
        <row r="84">
          <cell r="D84" t="str">
            <v>Change in Accumulated Other Comprehensive Income (Loss) or Other Reserves</v>
          </cell>
          <cell r="G84">
            <v>-0.11700000000000001</v>
          </cell>
          <cell r="H84">
            <v>5.431</v>
          </cell>
          <cell r="I84">
            <v>200.23600000000002</v>
          </cell>
          <cell r="J84">
            <v>72.119</v>
          </cell>
          <cell r="K84">
            <v>-19.896000000000001</v>
          </cell>
          <cell r="L84">
            <v>-43.08</v>
          </cell>
          <cell r="M84">
            <v>28.549801041422199</v>
          </cell>
          <cell r="HY84">
            <v>0</v>
          </cell>
          <cell r="HZ84" t="str">
            <v>ISO4217:USD</v>
          </cell>
          <cell r="IA84" t="b">
            <v>0</v>
          </cell>
          <cell r="IB84" t="b">
            <v>0</v>
          </cell>
        </row>
        <row r="95">
          <cell r="D95" t="str">
            <v>Change in Investment in Own Shares (Asset)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HY95">
            <v>0</v>
          </cell>
          <cell r="HZ95" t="str">
            <v>ISO4217:USD</v>
          </cell>
          <cell r="IA95" t="b">
            <v>0</v>
          </cell>
          <cell r="IB95" t="b">
            <v>0</v>
          </cell>
        </row>
        <row r="106">
          <cell r="B106" t="str">
            <v>Cash Flow Validation</v>
          </cell>
          <cell r="G106" t="b">
            <v>1</v>
          </cell>
          <cell r="H106" t="b">
            <v>1</v>
          </cell>
          <cell r="I106" t="b">
            <v>1</v>
          </cell>
          <cell r="J106" t="b">
            <v>1</v>
          </cell>
          <cell r="K106" t="b">
            <v>1</v>
          </cell>
          <cell r="L106" t="b">
            <v>1</v>
          </cell>
          <cell r="M106" t="b">
            <v>1</v>
          </cell>
          <cell r="HY106">
            <v>0</v>
          </cell>
          <cell r="HZ106" t="str">
            <v>ms_eqr_gcim_Boolean:ms_eqr_gcim_boolean</v>
          </cell>
          <cell r="IA106" t="b">
            <v>0</v>
          </cell>
          <cell r="IB106" t="b">
            <v>0</v>
          </cell>
        </row>
        <row r="117">
          <cell r="C117" t="str">
            <v>Aggregate Cash and Cash Equivalents for Validation</v>
          </cell>
          <cell r="F117">
            <v>207.26400000000001</v>
          </cell>
          <cell r="G117">
            <v>244.46899999999999</v>
          </cell>
          <cell r="H117">
            <v>281.16199999999998</v>
          </cell>
          <cell r="I117">
            <v>337.68200000000002</v>
          </cell>
          <cell r="J117">
            <v>551.38400000000001</v>
          </cell>
          <cell r="K117">
            <v>395.20299999999997</v>
          </cell>
          <cell r="L117">
            <v>208.13</v>
          </cell>
          <cell r="M117">
            <v>371.87784265857795</v>
          </cell>
          <cell r="HY117">
            <v>0</v>
          </cell>
          <cell r="HZ117" t="str">
            <v>ISO4217:USD</v>
          </cell>
          <cell r="IA117" t="b">
            <v>0</v>
          </cell>
          <cell r="IB117" t="b">
            <v>0</v>
          </cell>
        </row>
        <row r="128">
          <cell r="C128" t="str">
            <v>Changes in Cash and Cash Equivalents</v>
          </cell>
          <cell r="G128">
            <v>37.204999999999984</v>
          </cell>
          <cell r="H128">
            <v>36.693000000000012</v>
          </cell>
          <cell r="I128">
            <v>56.519999999999698</v>
          </cell>
          <cell r="J128">
            <v>213.702</v>
          </cell>
          <cell r="K128">
            <v>-156.18100000000004</v>
          </cell>
          <cell r="L128">
            <v>-187.07299999999987</v>
          </cell>
          <cell r="M128">
            <v>163.89584265857809</v>
          </cell>
          <cell r="HY128">
            <v>0</v>
          </cell>
          <cell r="HZ128" t="str">
            <v>ISO4217:USD</v>
          </cell>
          <cell r="IA128" t="b">
            <v>0</v>
          </cell>
          <cell r="IB128" t="b">
            <v>0</v>
          </cell>
        </row>
        <row r="129">
          <cell r="G129">
            <v>39.993000000000023</v>
          </cell>
          <cell r="H129">
            <v>172.93699999999998</v>
          </cell>
          <cell r="I129">
            <v>-218.41600000000022</v>
          </cell>
          <cell r="J129">
            <v>277.20500000000004</v>
          </cell>
          <cell r="K129">
            <v>369.18700000000001</v>
          </cell>
          <cell r="L129">
            <v>31.79299999999995</v>
          </cell>
          <cell r="M129">
            <v>530.46584265857791</v>
          </cell>
        </row>
        <row r="130">
          <cell r="G130">
            <v>-2.7880000000000393</v>
          </cell>
          <cell r="H130">
            <v>-136.24399999999997</v>
          </cell>
          <cell r="I130">
            <v>274.93599999999992</v>
          </cell>
          <cell r="J130">
            <v>-63.503000000000043</v>
          </cell>
          <cell r="K130">
            <v>-525.36800000000005</v>
          </cell>
          <cell r="L130">
            <v>-218.86599999999981</v>
          </cell>
          <cell r="M130">
            <v>-366.56999999999982</v>
          </cell>
        </row>
        <row r="131"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9">
          <cell r="B139" t="str">
            <v>Tax Rate Validation (must be between 0% and 100%)</v>
          </cell>
          <cell r="G139">
            <v>0.373</v>
          </cell>
          <cell r="H139">
            <v>0.37965018939169048</v>
          </cell>
          <cell r="I139">
            <v>0.51523455723542122</v>
          </cell>
          <cell r="J139">
            <v>0.59149257488044304</v>
          </cell>
          <cell r="K139">
            <v>0.40731343600036757</v>
          </cell>
          <cell r="L139">
            <v>0.37813035732293521</v>
          </cell>
          <cell r="M139">
            <v>0.32364976429312797</v>
          </cell>
          <cell r="HY139">
            <v>0</v>
          </cell>
          <cell r="HZ139" t="str">
            <v>ms_eqr_gcim_Boolean:ms_eqr_gcim_boolean</v>
          </cell>
          <cell r="IA139" t="b">
            <v>0</v>
          </cell>
          <cell r="IB139" t="b">
            <v>0</v>
          </cell>
        </row>
        <row r="140">
          <cell r="A140" t="str">
            <v>Tagged metrics</v>
          </cell>
          <cell r="HY140">
            <v>0</v>
          </cell>
          <cell r="HZ140" t="str">
            <v>ms_eqr_gcim_String:ms_eqr_gcim_string</v>
          </cell>
          <cell r="IA140" t="b">
            <v>0</v>
          </cell>
          <cell r="IB140" t="b">
            <v>0</v>
          </cell>
        </row>
        <row r="141">
          <cell r="B141" t="str">
            <v>Income statement</v>
          </cell>
          <cell r="HY141">
            <v>0</v>
          </cell>
          <cell r="HZ141" t="str">
            <v>ms_eqr_gcim_String:ms_eqr_gcim_string</v>
          </cell>
          <cell r="IA141" t="b">
            <v>0</v>
          </cell>
          <cell r="IB141" t="b">
            <v>0</v>
          </cell>
        </row>
        <row r="142">
          <cell r="C142" t="str">
            <v>Revenue, net</v>
          </cell>
          <cell r="G142">
            <v>706.476</v>
          </cell>
          <cell r="H142">
            <v>832.58999999999992</v>
          </cell>
          <cell r="I142">
            <v>1122.337</v>
          </cell>
          <cell r="J142">
            <v>1438.7070000000001</v>
          </cell>
          <cell r="K142">
            <v>1779.557</v>
          </cell>
          <cell r="L142">
            <v>2218.1080000000002</v>
          </cell>
          <cell r="M142">
            <v>3300.2629999999999</v>
          </cell>
          <cell r="HX142" t="str">
            <v>mstag:revenueNet</v>
          </cell>
          <cell r="HY142">
            <v>6</v>
          </cell>
          <cell r="HZ142" t="str">
            <v>ISO4217:USD</v>
          </cell>
          <cell r="IA142" t="b">
            <v>0</v>
          </cell>
          <cell r="IB142" t="b">
            <v>0</v>
          </cell>
        </row>
        <row r="143">
          <cell r="D143" t="str">
            <v>Revenue, net of discounts and allowances</v>
          </cell>
          <cell r="G143">
            <v>706.476</v>
          </cell>
          <cell r="H143">
            <v>832.58999999999992</v>
          </cell>
          <cell r="I143">
            <v>1122.337</v>
          </cell>
          <cell r="J143">
            <v>1438.7070000000001</v>
          </cell>
          <cell r="K143">
            <v>1779.557</v>
          </cell>
          <cell r="L143">
            <v>2218.1080000000002</v>
          </cell>
          <cell r="M143" t="str">
            <v/>
          </cell>
          <cell r="HX143" t="str">
            <v>mstag:revenueNetOfDiscountsAndAllowances</v>
          </cell>
          <cell r="HY143">
            <v>6</v>
          </cell>
          <cell r="HZ143" t="str">
            <v>ISO4217:USD</v>
          </cell>
          <cell r="IA143" t="b">
            <v>0</v>
          </cell>
          <cell r="IB143" t="b">
            <v>0</v>
          </cell>
        </row>
        <row r="144">
          <cell r="E144" t="str">
            <v>Revenue, gross</v>
          </cell>
          <cell r="G144">
            <v>706.476</v>
          </cell>
          <cell r="H144">
            <v>832.58999999999992</v>
          </cell>
          <cell r="I144">
            <v>1122.337</v>
          </cell>
          <cell r="J144">
            <v>1438.7070000000001</v>
          </cell>
          <cell r="K144">
            <v>1779.557</v>
          </cell>
          <cell r="L144">
            <v>2218.1080000000002</v>
          </cell>
          <cell r="HX144" t="str">
            <v>mstag:revenueGross</v>
          </cell>
          <cell r="HY144">
            <v>6</v>
          </cell>
          <cell r="HZ144" t="str">
            <v>ISO4217:USD</v>
          </cell>
          <cell r="IA144" t="b">
            <v>0</v>
          </cell>
          <cell r="IB144" t="b">
            <v>0</v>
          </cell>
        </row>
        <row r="145">
          <cell r="E145" t="str">
            <v>Sales discounts</v>
          </cell>
          <cell r="HX145" t="str">
            <v>mstag:salesDiscounts</v>
          </cell>
          <cell r="HY145">
            <v>6</v>
          </cell>
          <cell r="HZ145" t="str">
            <v>ISO4217:USD</v>
          </cell>
          <cell r="IA145" t="b">
            <v>0</v>
          </cell>
          <cell r="IB145" t="b">
            <v>0</v>
          </cell>
        </row>
        <row r="146">
          <cell r="E146" t="str">
            <v>Change in allowance for doubtful accounts, recurring</v>
          </cell>
          <cell r="HX146" t="str">
            <v>mstag:changeInAllowanceForDoubtfulAccountsRecurring</v>
          </cell>
          <cell r="HY146">
            <v>6</v>
          </cell>
          <cell r="HZ146" t="str">
            <v>ISO4217:USD</v>
          </cell>
          <cell r="IA146" t="b">
            <v>0</v>
          </cell>
          <cell r="IB146" t="b">
            <v>0</v>
          </cell>
        </row>
        <row r="147">
          <cell r="E147" t="str">
            <v>Change in allowance for doubtful accounts, one time</v>
          </cell>
          <cell r="HX147" t="str">
            <v>mstag:changeInAllowanceForDoubtfulAccountsOneTime</v>
          </cell>
          <cell r="HY147">
            <v>6</v>
          </cell>
          <cell r="HZ147" t="str">
            <v>ISO4217:USD</v>
          </cell>
          <cell r="IA147" t="b">
            <v>0</v>
          </cell>
          <cell r="IB147" t="b">
            <v>0</v>
          </cell>
        </row>
        <row r="148">
          <cell r="C148" t="str">
            <v>Revenue, region</v>
          </cell>
          <cell r="HX148" t="str">
            <v>mstag:revenueRegion</v>
          </cell>
          <cell r="HY148">
            <v>6</v>
          </cell>
          <cell r="HZ148" t="str">
            <v>ISO4217:USD</v>
          </cell>
          <cell r="IA148" t="b">
            <v>0</v>
          </cell>
          <cell r="IB148" t="b">
            <v>0</v>
          </cell>
        </row>
        <row r="149">
          <cell r="D149" t="str">
            <v>Revenue (Americas)</v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HX149" t="str">
            <v>mstag:americasRevenues</v>
          </cell>
          <cell r="HY149">
            <v>6</v>
          </cell>
          <cell r="HZ149" t="str">
            <v>ISO4217:USD</v>
          </cell>
          <cell r="IA149" t="b">
            <v>0</v>
          </cell>
          <cell r="IB149" t="b">
            <v>0</v>
          </cell>
        </row>
        <row r="150">
          <cell r="E150" t="str">
            <v>Revenue (North America)</v>
          </cell>
          <cell r="HX150" t="str">
            <v>mstag:northAmericaRevenues</v>
          </cell>
          <cell r="HY150">
            <v>6</v>
          </cell>
          <cell r="HZ150" t="str">
            <v>ISO4217:USD</v>
          </cell>
          <cell r="IA150" t="b">
            <v>0</v>
          </cell>
          <cell r="IB150" t="b">
            <v>0</v>
          </cell>
        </row>
        <row r="151">
          <cell r="E151" t="str">
            <v>Revenue (Latin America)</v>
          </cell>
          <cell r="HX151" t="str">
            <v>mstag:latinAmericaRevenues</v>
          </cell>
          <cell r="HY151">
            <v>6</v>
          </cell>
          <cell r="HZ151" t="str">
            <v>ISO4217:USD</v>
          </cell>
          <cell r="IA151" t="b">
            <v>0</v>
          </cell>
          <cell r="IB151" t="b">
            <v>0</v>
          </cell>
        </row>
        <row r="152">
          <cell r="D152" t="str">
            <v>Revenue (Europe, Middle East, and Africa)</v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HX152" t="str">
            <v>mstag:europeMiddleEastAndAfricaEmeaRevenues</v>
          </cell>
          <cell r="HY152">
            <v>6</v>
          </cell>
          <cell r="HZ152" t="str">
            <v>ISO4217:USD</v>
          </cell>
          <cell r="IA152" t="b">
            <v>0</v>
          </cell>
          <cell r="IB152" t="b">
            <v>0</v>
          </cell>
        </row>
        <row r="153">
          <cell r="E153" t="str">
            <v>Revenue (Europe)</v>
          </cell>
          <cell r="HX153" t="str">
            <v>mstag:europeRevenues</v>
          </cell>
          <cell r="HY153">
            <v>6</v>
          </cell>
          <cell r="HZ153" t="str">
            <v>ISO4217:USD</v>
          </cell>
          <cell r="IA153" t="b">
            <v>0</v>
          </cell>
          <cell r="IB153" t="b">
            <v>0</v>
          </cell>
        </row>
        <row r="154">
          <cell r="E154" t="str">
            <v>Revenue (Africa and Middle East)</v>
          </cell>
          <cell r="HX154" t="str">
            <v>mstag:africaAndMiddleEastRevenues</v>
          </cell>
          <cell r="HY154">
            <v>6</v>
          </cell>
          <cell r="HZ154" t="str">
            <v>ISO4217:USD</v>
          </cell>
          <cell r="IA154" t="b">
            <v>0</v>
          </cell>
          <cell r="IB154" t="b">
            <v>0</v>
          </cell>
        </row>
        <row r="155">
          <cell r="D155" t="str">
            <v>Revenue (Asia)</v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HX155" t="str">
            <v>mstag:asiaRevenues</v>
          </cell>
          <cell r="HY155">
            <v>6</v>
          </cell>
          <cell r="HZ155" t="str">
            <v>ISO4217:USD</v>
          </cell>
          <cell r="IA155" t="b">
            <v>0</v>
          </cell>
          <cell r="IB155" t="b">
            <v>0</v>
          </cell>
        </row>
        <row r="156">
          <cell r="E156" t="str">
            <v>Revenue (Japan)</v>
          </cell>
          <cell r="HX156" t="str">
            <v>mstag:japanRevenues</v>
          </cell>
          <cell r="HY156">
            <v>6</v>
          </cell>
          <cell r="HZ156" t="str">
            <v>ISO4217:USD</v>
          </cell>
          <cell r="IA156" t="b">
            <v>0</v>
          </cell>
          <cell r="IB156" t="b">
            <v>0</v>
          </cell>
        </row>
        <row r="157">
          <cell r="E157" t="str">
            <v>Revenue (Asia ex-Japan)</v>
          </cell>
          <cell r="HX157" t="str">
            <v>mstag:nonJapanAsiaRevenues</v>
          </cell>
          <cell r="HY157">
            <v>6</v>
          </cell>
          <cell r="HZ157" t="str">
            <v>ISO4217:USD</v>
          </cell>
          <cell r="IA157" t="b">
            <v>0</v>
          </cell>
          <cell r="IB157" t="b">
            <v>0</v>
          </cell>
        </row>
        <row r="158">
          <cell r="D158" t="str">
            <v>Other revenue, region</v>
          </cell>
          <cell r="HX158" t="str">
            <v>mstag:otherRevenueRegion</v>
          </cell>
          <cell r="HY158">
            <v>6</v>
          </cell>
          <cell r="HZ158" t="str">
            <v>ISO4217:USD</v>
          </cell>
          <cell r="IA158" t="b">
            <v>0</v>
          </cell>
          <cell r="IB158" t="b">
            <v>0</v>
          </cell>
        </row>
        <row r="159">
          <cell r="D159" t="str">
            <v>Intercompany eliminations</v>
          </cell>
          <cell r="HX159" t="str">
            <v>mstag:intercompanyEliminations</v>
          </cell>
          <cell r="HY159">
            <v>6</v>
          </cell>
          <cell r="HZ159" t="str">
            <v>ISO4217:USD</v>
          </cell>
          <cell r="IA159" t="b">
            <v>0</v>
          </cell>
          <cell r="IB159" t="b">
            <v>0</v>
          </cell>
        </row>
        <row r="160">
          <cell r="C160" t="str">
            <v>Royalty, licensee income</v>
          </cell>
          <cell r="G160">
            <v>241.11199999999999</v>
          </cell>
          <cell r="H160">
            <v>229.589</v>
          </cell>
          <cell r="I160">
            <v>189.26999999999998</v>
          </cell>
          <cell r="J160">
            <v>207.24100000000001</v>
          </cell>
          <cell r="K160">
            <v>264.47500000000002</v>
          </cell>
          <cell r="L160">
            <v>365.55</v>
          </cell>
          <cell r="HX160" t="str">
            <v>mstag:royaltyLicenseeIncome</v>
          </cell>
          <cell r="HY160">
            <v>6</v>
          </cell>
          <cell r="HZ160" t="str">
            <v>ISO4217:USD</v>
          </cell>
          <cell r="IA160" t="b">
            <v>0</v>
          </cell>
          <cell r="IB160" t="b">
            <v>0</v>
          </cell>
        </row>
        <row r="161">
          <cell r="C161" t="str">
            <v>Cost of sales, with depreciation</v>
          </cell>
          <cell r="G161">
            <v>102.536</v>
          </cell>
          <cell r="H161">
            <v>138.62299999999999</v>
          </cell>
          <cell r="I161">
            <v>285.54899999999998</v>
          </cell>
          <cell r="J161">
            <v>364.89199999999994</v>
          </cell>
          <cell r="K161">
            <v>354.44200000000001</v>
          </cell>
          <cell r="L161">
            <v>441.63</v>
          </cell>
          <cell r="M161">
            <v>480.2</v>
          </cell>
          <cell r="HX161" t="str">
            <v>mstag:costOfSalesWithDepreciation</v>
          </cell>
          <cell r="HY161">
            <v>6</v>
          </cell>
          <cell r="HZ161" t="str">
            <v>ISO4217:USD</v>
          </cell>
          <cell r="IA161" t="b">
            <v>0</v>
          </cell>
          <cell r="IB161" t="b">
            <v>0</v>
          </cell>
        </row>
        <row r="162">
          <cell r="C162" t="str">
            <v>Cost of sales, without depreciation</v>
          </cell>
          <cell r="HX162" t="str">
            <v>mstag:costOfSalesWithoutDepreciation</v>
          </cell>
          <cell r="HY162">
            <v>6</v>
          </cell>
          <cell r="HZ162" t="str">
            <v>ISO4217:USD</v>
          </cell>
          <cell r="IA162" t="b">
            <v>0</v>
          </cell>
          <cell r="IB162" t="b">
            <v>0</v>
          </cell>
        </row>
        <row r="163">
          <cell r="C163" t="str">
            <v>Cost of materials</v>
          </cell>
          <cell r="HX163" t="str">
            <v>mstag:costOfMaterials</v>
          </cell>
          <cell r="HY163">
            <v>6</v>
          </cell>
          <cell r="HZ163" t="str">
            <v>ISO4217:USD</v>
          </cell>
          <cell r="IA163" t="b">
            <v>0</v>
          </cell>
          <cell r="IB163" t="b">
            <v>0</v>
          </cell>
        </row>
        <row r="164">
          <cell r="C164" t="str">
            <v>Cost of services sold</v>
          </cell>
          <cell r="HX164" t="str">
            <v>mstag:costOfServicesSold</v>
          </cell>
          <cell r="HY164">
            <v>6</v>
          </cell>
          <cell r="HZ164" t="str">
            <v>ISO4217:USD</v>
          </cell>
          <cell r="IA164" t="b">
            <v>0</v>
          </cell>
          <cell r="IB164" t="b">
            <v>0</v>
          </cell>
        </row>
        <row r="165">
          <cell r="C165" t="str">
            <v>Selling, general, and administrative expenses</v>
          </cell>
          <cell r="G165">
            <v>470.923</v>
          </cell>
          <cell r="H165">
            <v>358.93099999999998</v>
          </cell>
          <cell r="I165">
            <v>393.65700000000004</v>
          </cell>
          <cell r="J165">
            <v>368.22399999999999</v>
          </cell>
          <cell r="K165">
            <v>446.90599999999995</v>
          </cell>
          <cell r="L165">
            <v>546.27599999999995</v>
          </cell>
          <cell r="M165">
            <v>794.88499999999999</v>
          </cell>
          <cell r="HX165" t="str">
            <v>mstag:sellingGeneralAndAdministrativeExpenses</v>
          </cell>
          <cell r="HY165">
            <v>6</v>
          </cell>
          <cell r="HZ165" t="str">
            <v>ISO4217:USD</v>
          </cell>
          <cell r="IA165" t="b">
            <v>0</v>
          </cell>
          <cell r="IB165" t="b">
            <v>0</v>
          </cell>
        </row>
        <row r="166">
          <cell r="D166" t="str">
            <v>Marketing and distribution costs</v>
          </cell>
          <cell r="G166">
            <v>41.8</v>
          </cell>
          <cell r="H166">
            <v>47.7</v>
          </cell>
          <cell r="I166">
            <v>80</v>
          </cell>
          <cell r="J166">
            <v>86.5</v>
          </cell>
          <cell r="K166">
            <v>91.9</v>
          </cell>
          <cell r="L166">
            <v>111.7</v>
          </cell>
          <cell r="M166" t="str">
            <v/>
          </cell>
          <cell r="HX166" t="str">
            <v>mstag:marketingAndDistributionCosts</v>
          </cell>
          <cell r="HY166">
            <v>6</v>
          </cell>
          <cell r="HZ166" t="str">
            <v>ISO4217:USD</v>
          </cell>
          <cell r="IA166" t="b">
            <v>0</v>
          </cell>
          <cell r="IB166" t="b">
            <v>0</v>
          </cell>
        </row>
        <row r="167">
          <cell r="E167" t="str">
            <v>Advertising costs</v>
          </cell>
          <cell r="G167">
            <v>41.8</v>
          </cell>
          <cell r="H167">
            <v>47.7</v>
          </cell>
          <cell r="I167">
            <v>80</v>
          </cell>
          <cell r="J167">
            <v>86.5</v>
          </cell>
          <cell r="K167">
            <v>91.9</v>
          </cell>
          <cell r="L167">
            <v>111.7</v>
          </cell>
          <cell r="HX167" t="str">
            <v>mstag:advertisingCosts</v>
          </cell>
          <cell r="HY167">
            <v>6</v>
          </cell>
          <cell r="HZ167" t="str">
            <v>ISO4217:USD</v>
          </cell>
          <cell r="IA167" t="b">
            <v>0</v>
          </cell>
          <cell r="IB167" t="b">
            <v>0</v>
          </cell>
        </row>
        <row r="168">
          <cell r="D168" t="str">
            <v>General and administrative expenses</v>
          </cell>
          <cell r="G168">
            <v>429.12299999999999</v>
          </cell>
          <cell r="H168">
            <v>311.23099999999999</v>
          </cell>
          <cell r="I168">
            <v>313.65700000000004</v>
          </cell>
          <cell r="J168">
            <v>281.72399999999999</v>
          </cell>
          <cell r="K168">
            <v>355.00599999999997</v>
          </cell>
          <cell r="L168">
            <v>434.57599999999996</v>
          </cell>
          <cell r="HX168" t="str">
            <v>mstag:generalAndAdministrativeExpenses</v>
          </cell>
          <cell r="HY168">
            <v>6</v>
          </cell>
          <cell r="HZ168" t="str">
            <v>ISO4217:USD</v>
          </cell>
          <cell r="IA168" t="b">
            <v>0</v>
          </cell>
          <cell r="IB168" t="b">
            <v>0</v>
          </cell>
        </row>
        <row r="169">
          <cell r="C169" t="str">
            <v>Stock compensation</v>
          </cell>
          <cell r="HX169" t="str">
            <v>mstag:stockCompensation</v>
          </cell>
          <cell r="HY169">
            <v>6</v>
          </cell>
          <cell r="HZ169" t="str">
            <v>ISO4217:USD</v>
          </cell>
          <cell r="IA169" t="b">
            <v>0</v>
          </cell>
          <cell r="IB169" t="b">
            <v>0</v>
          </cell>
        </row>
        <row r="170">
          <cell r="C170" t="str">
            <v>Employee expenses</v>
          </cell>
          <cell r="HX170" t="str">
            <v>mstag:employeeExpenses</v>
          </cell>
          <cell r="HY170">
            <v>6</v>
          </cell>
          <cell r="HZ170" t="str">
            <v>ISO4217:USD</v>
          </cell>
          <cell r="IA170" t="b">
            <v>0</v>
          </cell>
          <cell r="IB170" t="b">
            <v>0</v>
          </cell>
        </row>
        <row r="171">
          <cell r="C171" t="str">
            <v>Marketing costs</v>
          </cell>
          <cell r="HX171" t="str">
            <v>mstag:marketingCosts</v>
          </cell>
          <cell r="HY171">
            <v>6</v>
          </cell>
          <cell r="HZ171" t="str">
            <v>ISO4217:USD</v>
          </cell>
          <cell r="IA171" t="b">
            <v>0</v>
          </cell>
          <cell r="IB171" t="b">
            <v>0</v>
          </cell>
        </row>
        <row r="172">
          <cell r="C172" t="str">
            <v>Research and development</v>
          </cell>
          <cell r="G172">
            <v>269.85199999999998</v>
          </cell>
          <cell r="H172">
            <v>396.18599999999998</v>
          </cell>
          <cell r="I172">
            <v>367.33799999999997</v>
          </cell>
          <cell r="J172">
            <v>489.87900000000002</v>
          </cell>
          <cell r="K172">
            <v>526.23</v>
          </cell>
          <cell r="L172">
            <v>623.48199999999997</v>
          </cell>
          <cell r="M172">
            <v>721.96299999999997</v>
          </cell>
          <cell r="HX172" t="str">
            <v>mstag:researchAndDevelopment</v>
          </cell>
          <cell r="HY172">
            <v>6</v>
          </cell>
          <cell r="HZ172" t="str">
            <v>ISO4217:USD</v>
          </cell>
          <cell r="IA172" t="b">
            <v>0</v>
          </cell>
          <cell r="IB172" t="b">
            <v>0</v>
          </cell>
        </row>
        <row r="173">
          <cell r="C173" t="str">
            <v>Acquired in-process R and D, recurring</v>
          </cell>
          <cell r="HX173" t="str">
            <v>mstag:acquiredInProcessRAndDRecurring</v>
          </cell>
          <cell r="HY173">
            <v>6</v>
          </cell>
          <cell r="HZ173" t="str">
            <v>ISO4217:USD</v>
          </cell>
          <cell r="IA173" t="b">
            <v>0</v>
          </cell>
          <cell r="IB173" t="b">
            <v>0</v>
          </cell>
        </row>
        <row r="174">
          <cell r="C174" t="str">
            <v>Acquired in-process R and D, one time</v>
          </cell>
          <cell r="G174">
            <v>0</v>
          </cell>
          <cell r="H174">
            <v>0</v>
          </cell>
          <cell r="I174">
            <v>752.5</v>
          </cell>
          <cell r="J174">
            <v>0</v>
          </cell>
          <cell r="K174">
            <v>0</v>
          </cell>
          <cell r="L174">
            <v>0</v>
          </cell>
          <cell r="M174" t="str">
            <v/>
          </cell>
          <cell r="HX174" t="str">
            <v>mstag:acquiredInProcessRAndDOneTime</v>
          </cell>
          <cell r="HY174">
            <v>6</v>
          </cell>
          <cell r="HZ174" t="str">
            <v>ISO4217:USD</v>
          </cell>
          <cell r="IA174" t="b">
            <v>0</v>
          </cell>
          <cell r="IB174" t="b">
            <v>0</v>
          </cell>
        </row>
        <row r="175">
          <cell r="D175" t="str">
            <v>Acquired in-process R and D, one time, gross of tax</v>
          </cell>
          <cell r="G175">
            <v>0</v>
          </cell>
          <cell r="H175">
            <v>0</v>
          </cell>
          <cell r="I175">
            <v>1015.875</v>
          </cell>
          <cell r="J175">
            <v>0</v>
          </cell>
          <cell r="K175">
            <v>0</v>
          </cell>
          <cell r="L175">
            <v>0</v>
          </cell>
          <cell r="HX175" t="str">
            <v>mstag:acquiredInProcessRAndDOneTimeGrossOfTax</v>
          </cell>
          <cell r="HY175">
            <v>6</v>
          </cell>
          <cell r="HZ175" t="str">
            <v>ISO4217:USD</v>
          </cell>
          <cell r="IA175" t="b">
            <v>0</v>
          </cell>
          <cell r="IB175" t="b">
            <v>0</v>
          </cell>
        </row>
        <row r="176">
          <cell r="D176" t="str">
            <v>Tax on acquired in-process R and D, one time</v>
          </cell>
          <cell r="G176">
            <v>0</v>
          </cell>
          <cell r="H176">
            <v>0</v>
          </cell>
          <cell r="I176">
            <v>263.375</v>
          </cell>
          <cell r="J176">
            <v>0</v>
          </cell>
          <cell r="K176">
            <v>0</v>
          </cell>
          <cell r="L176">
            <v>0</v>
          </cell>
          <cell r="HX176" t="str">
            <v>mstag:taxOnAcquiredInProcessRAndDOneTime</v>
          </cell>
          <cell r="HY176">
            <v>6</v>
          </cell>
          <cell r="HZ176" t="str">
            <v>ISO4217:USD</v>
          </cell>
          <cell r="IA176" t="b">
            <v>0</v>
          </cell>
          <cell r="IB176" t="b">
            <v>0</v>
          </cell>
        </row>
        <row r="177">
          <cell r="C177" t="str">
            <v>Depreciation, in income statement</v>
          </cell>
          <cell r="HX177" t="str">
            <v>mstag:depreciationInIncomeStatement</v>
          </cell>
          <cell r="HY177">
            <v>6</v>
          </cell>
          <cell r="HZ177" t="str">
            <v>ISO4217:USD</v>
          </cell>
          <cell r="IA177" t="b">
            <v>0</v>
          </cell>
          <cell r="IB177" t="b">
            <v>0</v>
          </cell>
        </row>
        <row r="178">
          <cell r="C178" t="str">
            <v>Amortization of goodwill, in income statement</v>
          </cell>
          <cell r="G178">
            <v>0</v>
          </cell>
          <cell r="H178">
            <v>0</v>
          </cell>
          <cell r="I178">
            <v>76.599999999999994</v>
          </cell>
          <cell r="J178">
            <v>153.30000000000001</v>
          </cell>
          <cell r="K178">
            <v>153.30000000000001</v>
          </cell>
          <cell r="L178">
            <v>0</v>
          </cell>
          <cell r="M178" t="str">
            <v/>
          </cell>
          <cell r="HX178" t="str">
            <v>mstag:amortizationOfGoodwillInIncomeStatement</v>
          </cell>
          <cell r="HY178">
            <v>6</v>
          </cell>
          <cell r="HZ178" t="str">
            <v>ISO4217:USD</v>
          </cell>
          <cell r="IA178" t="b">
            <v>0</v>
          </cell>
          <cell r="IB178" t="b">
            <v>0</v>
          </cell>
        </row>
        <row r="179">
          <cell r="D179" t="str">
            <v>Amortization of goodwill, operating, in income statement</v>
          </cell>
          <cell r="G179">
            <v>0</v>
          </cell>
          <cell r="H179">
            <v>0</v>
          </cell>
          <cell r="I179">
            <v>76.599999999999994</v>
          </cell>
          <cell r="J179">
            <v>153.30000000000001</v>
          </cell>
          <cell r="K179">
            <v>153.30000000000001</v>
          </cell>
          <cell r="L179">
            <v>0</v>
          </cell>
          <cell r="HX179" t="str">
            <v>mstag:amortizationOfGoodwillOperatingInIncomeStatement</v>
          </cell>
          <cell r="HY179">
            <v>6</v>
          </cell>
          <cell r="HZ179" t="str">
            <v>ISO4217:USD</v>
          </cell>
          <cell r="IA179" t="b">
            <v>0</v>
          </cell>
          <cell r="IB179" t="b">
            <v>0</v>
          </cell>
        </row>
        <row r="180">
          <cell r="D180" t="str">
            <v>Amortization of goodwill, nonoperating, in income statement</v>
          </cell>
          <cell r="HX180" t="str">
            <v>mstag:amortizationOfGoodwillNonOperatingInIncomeStatement</v>
          </cell>
          <cell r="HY180">
            <v>6</v>
          </cell>
          <cell r="HZ180" t="str">
            <v>ISO4217:USD</v>
          </cell>
          <cell r="IA180" t="b">
            <v>0</v>
          </cell>
          <cell r="IB180" t="b">
            <v>0</v>
          </cell>
        </row>
        <row r="181">
          <cell r="C181" t="str">
            <v>Amortization of intangibles assumed to have indefinite life, in income statement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154.30000000000001</v>
          </cell>
          <cell r="HX181" t="str">
            <v>mstag:amortizationOfIntangiblesAssumedToHaveIndefiniteLifeIncomeStatement</v>
          </cell>
          <cell r="HY181">
            <v>6</v>
          </cell>
          <cell r="HZ181" t="str">
            <v>ISO4217:USD</v>
          </cell>
          <cell r="IA181" t="b">
            <v>0</v>
          </cell>
          <cell r="IB181" t="b">
            <v>0</v>
          </cell>
        </row>
        <row r="182">
          <cell r="C182" t="str">
            <v>Amortization of other intangibles, in income statement</v>
          </cell>
          <cell r="G182">
            <v>0</v>
          </cell>
          <cell r="H182">
            <v>0</v>
          </cell>
          <cell r="I182">
            <v>121.142</v>
          </cell>
          <cell r="J182">
            <v>222</v>
          </cell>
          <cell r="K182">
            <v>168.51599999999996</v>
          </cell>
          <cell r="L182">
            <v>155.71299999999999</v>
          </cell>
          <cell r="M182" t="str">
            <v/>
          </cell>
          <cell r="HX182" t="str">
            <v>mstag:amortizationOfOtherIntangiblesInIncomeStatement</v>
          </cell>
          <cell r="HY182">
            <v>6</v>
          </cell>
          <cell r="HZ182" t="str">
            <v>ISO4217:USD</v>
          </cell>
          <cell r="IA182" t="b">
            <v>0</v>
          </cell>
          <cell r="IB182" t="b">
            <v>0</v>
          </cell>
        </row>
        <row r="183">
          <cell r="D183" t="str">
            <v>Amortization of taxable other intangibles, in income statement</v>
          </cell>
          <cell r="G183">
            <v>0</v>
          </cell>
          <cell r="H183">
            <v>0</v>
          </cell>
          <cell r="I183">
            <v>121.142</v>
          </cell>
          <cell r="J183">
            <v>222</v>
          </cell>
          <cell r="K183">
            <v>168.51599999999996</v>
          </cell>
          <cell r="L183">
            <v>155.71299999999999</v>
          </cell>
          <cell r="HX183" t="str">
            <v>mstag:amortizationOfTaxableOtherIntangiblesInIncomeStatement</v>
          </cell>
          <cell r="HY183">
            <v>6</v>
          </cell>
          <cell r="HZ183" t="str">
            <v>ISO4217:USD</v>
          </cell>
          <cell r="IA183" t="b">
            <v>0</v>
          </cell>
          <cell r="IB183" t="b">
            <v>0</v>
          </cell>
        </row>
        <row r="184">
          <cell r="D184" t="str">
            <v>Amortization of nontaxable other intangibles, in income statement</v>
          </cell>
          <cell r="HX184" t="str">
            <v>mstag:amortizationOfNonTaxableOtherIntangiblesInIncomeStatement</v>
          </cell>
          <cell r="HY184">
            <v>6</v>
          </cell>
          <cell r="HZ184" t="str">
            <v>ISO4217:USD</v>
          </cell>
          <cell r="IA184" t="b">
            <v>0</v>
          </cell>
          <cell r="IB184" t="b">
            <v>0</v>
          </cell>
        </row>
        <row r="185">
          <cell r="C185" t="str">
            <v>Goodwill impairment</v>
          </cell>
          <cell r="HX185" t="str">
            <v>mstag:goodwillImpairment</v>
          </cell>
          <cell r="HY185">
            <v>6</v>
          </cell>
          <cell r="HZ185" t="str">
            <v>ISO4217:USD</v>
          </cell>
          <cell r="IA185" t="b">
            <v>0</v>
          </cell>
          <cell r="IB185" t="b">
            <v>0</v>
          </cell>
        </row>
        <row r="186">
          <cell r="C186" t="str">
            <v>Indefinite life intangible impairment</v>
          </cell>
          <cell r="HX186" t="str">
            <v>mstag:indefiniteLifeIntangibleImpairment</v>
          </cell>
          <cell r="HY186">
            <v>6</v>
          </cell>
          <cell r="HZ186" t="str">
            <v>ISO4217:USD</v>
          </cell>
          <cell r="IA186" t="b">
            <v>0</v>
          </cell>
          <cell r="IB186" t="b">
            <v>0</v>
          </cell>
        </row>
        <row r="187">
          <cell r="C187" t="str">
            <v>Asset impairment, nongoodwill, one time</v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HX187" t="str">
            <v>mstag:assetImpairmentNonGoodwillOneTimeIncomeStatement</v>
          </cell>
          <cell r="HY187">
            <v>6</v>
          </cell>
          <cell r="HZ187" t="str">
            <v>ISO4217:USD</v>
          </cell>
          <cell r="IA187" t="b">
            <v>0</v>
          </cell>
          <cell r="IB187" t="b">
            <v>0</v>
          </cell>
        </row>
        <row r="188">
          <cell r="D188" t="str">
            <v>Asset impairment, nongoodwill, one time, gross of tax</v>
          </cell>
          <cell r="HX188" t="str">
            <v>mstag:assetImpairmentNonGoodwillOneTimeGrossOfTax</v>
          </cell>
          <cell r="HY188">
            <v>6</v>
          </cell>
          <cell r="HZ188" t="str">
            <v>ISO4217:USD</v>
          </cell>
          <cell r="IA188" t="b">
            <v>0</v>
          </cell>
          <cell r="IB188" t="b">
            <v>0</v>
          </cell>
        </row>
        <row r="189">
          <cell r="D189" t="str">
            <v>Tax on asset impairment, nongoodwill, one time</v>
          </cell>
          <cell r="HX189" t="str">
            <v>mstag:taxOnAssetImpairmentNonGoodwillOneTime</v>
          </cell>
          <cell r="HY189">
            <v>6</v>
          </cell>
          <cell r="HZ189" t="str">
            <v>ISO4217:USD</v>
          </cell>
          <cell r="IA189" t="b">
            <v>0</v>
          </cell>
          <cell r="IB189" t="b">
            <v>0</v>
          </cell>
        </row>
        <row r="190">
          <cell r="C190" t="str">
            <v>Other operating expense (income)</v>
          </cell>
          <cell r="G190">
            <v>0</v>
          </cell>
          <cell r="H190">
            <v>0</v>
          </cell>
          <cell r="I190">
            <v>529.47199999999998</v>
          </cell>
          <cell r="J190">
            <v>128.81200000000001</v>
          </cell>
          <cell r="K190">
            <v>246.65700000000001</v>
          </cell>
          <cell r="L190">
            <v>350.72500000000002</v>
          </cell>
          <cell r="M190">
            <v>457.53399999999999</v>
          </cell>
          <cell r="HX190" t="str">
            <v>mstag:otherOperatingExpense</v>
          </cell>
          <cell r="HY190">
            <v>6</v>
          </cell>
          <cell r="HZ190" t="str">
            <v>ISO4217:USD</v>
          </cell>
          <cell r="IA190" t="b">
            <v>0</v>
          </cell>
          <cell r="IB190" t="b">
            <v>0</v>
          </cell>
        </row>
        <row r="191">
          <cell r="C191" t="str">
            <v>Interest and dividend income</v>
          </cell>
          <cell r="G191">
            <v>69.16</v>
          </cell>
          <cell r="H191">
            <v>88.763999999999996</v>
          </cell>
          <cell r="I191">
            <v>89.433999999999997</v>
          </cell>
          <cell r="J191">
            <v>90.408000000000001</v>
          </cell>
          <cell r="K191">
            <v>130.5</v>
          </cell>
          <cell r="L191">
            <v>101.4</v>
          </cell>
          <cell r="M191">
            <v>92.845462924999993</v>
          </cell>
          <cell r="HX191" t="str">
            <v>mstag:interestAndDividendIncome</v>
          </cell>
          <cell r="HY191">
            <v>6</v>
          </cell>
          <cell r="HZ191" t="str">
            <v>ISO4217:USD</v>
          </cell>
          <cell r="IA191" t="b">
            <v>0</v>
          </cell>
          <cell r="IB191" t="b">
            <v>0</v>
          </cell>
        </row>
        <row r="192">
          <cell r="D192" t="str">
            <v>Interest income</v>
          </cell>
          <cell r="G192">
            <v>69.16</v>
          </cell>
          <cell r="H192">
            <v>88.763999999999996</v>
          </cell>
          <cell r="I192">
            <v>89.433999999999997</v>
          </cell>
          <cell r="J192">
            <v>90.408000000000001</v>
          </cell>
          <cell r="K192">
            <v>130.5</v>
          </cell>
          <cell r="L192">
            <v>101.4</v>
          </cell>
          <cell r="HX192" t="str">
            <v>mstag:interestIncome</v>
          </cell>
          <cell r="HY192">
            <v>6</v>
          </cell>
          <cell r="HZ192" t="str">
            <v>ISO4217:USD</v>
          </cell>
          <cell r="IA192" t="b">
            <v>0</v>
          </cell>
          <cell r="IB192" t="b">
            <v>0</v>
          </cell>
        </row>
        <row r="193">
          <cell r="D193" t="str">
            <v>Dividend income</v>
          </cell>
          <cell r="HX193" t="str">
            <v>mstag:dividendIncome</v>
          </cell>
          <cell r="HY193">
            <v>6</v>
          </cell>
          <cell r="HZ193" t="str">
            <v>ISO4217:USD</v>
          </cell>
          <cell r="IA193" t="b">
            <v>0</v>
          </cell>
          <cell r="IB193" t="b">
            <v>0</v>
          </cell>
        </row>
        <row r="194">
          <cell r="C194" t="str">
            <v>Interest expense</v>
          </cell>
          <cell r="G194">
            <v>3.6419999999999999</v>
          </cell>
          <cell r="H194">
            <v>4.5519999999999996</v>
          </cell>
          <cell r="I194">
            <v>5.3599999999999994</v>
          </cell>
          <cell r="J194">
            <v>5.2759999999999998</v>
          </cell>
          <cell r="K194">
            <v>5.7</v>
          </cell>
          <cell r="L194">
            <v>0.8</v>
          </cell>
          <cell r="M194" t="str">
            <v/>
          </cell>
          <cell r="HX194" t="str">
            <v>mstag:interestExpense</v>
          </cell>
          <cell r="HY194">
            <v>6</v>
          </cell>
          <cell r="HZ194" t="str">
            <v>ISO4217:USD</v>
          </cell>
          <cell r="IA194" t="b">
            <v>0</v>
          </cell>
          <cell r="IB194" t="b">
            <v>0</v>
          </cell>
        </row>
        <row r="195">
          <cell r="D195" t="str">
            <v>Interest paid or payable</v>
          </cell>
          <cell r="G195">
            <v>7.5419999999999998</v>
          </cell>
          <cell r="H195">
            <v>7.5519999999999996</v>
          </cell>
          <cell r="I195">
            <v>7.4599999999999991</v>
          </cell>
          <cell r="J195">
            <v>7.476</v>
          </cell>
          <cell r="K195">
            <v>7.5</v>
          </cell>
          <cell r="L195">
            <v>1.8</v>
          </cell>
          <cell r="HX195" t="str">
            <v>mstag:interestPaid</v>
          </cell>
          <cell r="HY195">
            <v>6</v>
          </cell>
          <cell r="HZ195" t="str">
            <v>ISO4217:USD</v>
          </cell>
          <cell r="IA195" t="b">
            <v>0</v>
          </cell>
          <cell r="IB195" t="b">
            <v>0</v>
          </cell>
        </row>
        <row r="196">
          <cell r="D196" t="str">
            <v>Interest capitalized</v>
          </cell>
          <cell r="G196">
            <v>3.9</v>
          </cell>
          <cell r="H196">
            <v>3</v>
          </cell>
          <cell r="I196">
            <v>2.1</v>
          </cell>
          <cell r="J196">
            <v>2.2000000000000002</v>
          </cell>
          <cell r="K196">
            <v>1.8</v>
          </cell>
          <cell r="L196">
            <v>1</v>
          </cell>
          <cell r="HX196" t="str">
            <v>mstag:interestCapitalized</v>
          </cell>
          <cell r="HY196">
            <v>6</v>
          </cell>
          <cell r="HZ196" t="str">
            <v>ISO4217:USD</v>
          </cell>
          <cell r="IA196" t="b">
            <v>0</v>
          </cell>
          <cell r="IB196" t="b">
            <v>0</v>
          </cell>
        </row>
        <row r="197">
          <cell r="D197" t="str">
            <v>Net interest cost, FRS 17</v>
          </cell>
          <cell r="HX197" t="str">
            <v>mstag:netInterestCostFrs17</v>
          </cell>
          <cell r="HY197">
            <v>6</v>
          </cell>
          <cell r="HZ197" t="str">
            <v>ISO4217:USD</v>
          </cell>
          <cell r="IA197" t="b">
            <v>0</v>
          </cell>
          <cell r="IB197" t="b">
            <v>0</v>
          </cell>
        </row>
        <row r="198">
          <cell r="C198" t="str">
            <v>Income (losses) from investments, nonoperating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10.199999999999999</v>
          </cell>
          <cell r="L198">
            <v>7.1</v>
          </cell>
          <cell r="HX198" t="str">
            <v>mstag:incomeLossesFromInvestmentsNonOperating</v>
          </cell>
          <cell r="HY198">
            <v>6</v>
          </cell>
          <cell r="HZ198" t="str">
            <v>ISO4217:USD</v>
          </cell>
          <cell r="IA198" t="b">
            <v>0</v>
          </cell>
          <cell r="IB198" t="b">
            <v>0</v>
          </cell>
        </row>
        <row r="199">
          <cell r="C199" t="str">
            <v>Income (loss) from investments under the equity method, operating</v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HX199" t="str">
            <v>mstag:incomeLossFromInvestmentsAccountedForUnderTheEquityMethodOperatingIncomeStatement</v>
          </cell>
          <cell r="HY199">
            <v>6</v>
          </cell>
          <cell r="HZ199" t="str">
            <v>ISO4217:USD</v>
          </cell>
          <cell r="IA199" t="b">
            <v>0</v>
          </cell>
          <cell r="IB199" t="b">
            <v>0</v>
          </cell>
        </row>
        <row r="200">
          <cell r="D200" t="str">
            <v>Share of associate company's or joint venture's operating profit, pre-goodwill, pretax, and preinterest</v>
          </cell>
          <cell r="HX200" t="str">
            <v>mstag:shareOfAssociateCompanysOrJointVenturesOperatingProfitPreGoodwillPreTaxAndPreInterest</v>
          </cell>
          <cell r="HY200">
            <v>6</v>
          </cell>
          <cell r="HZ200" t="str">
            <v>ISO4217:USD</v>
          </cell>
          <cell r="IA200" t="b">
            <v>0</v>
          </cell>
          <cell r="IB200" t="b">
            <v>0</v>
          </cell>
        </row>
        <row r="201">
          <cell r="D201" t="str">
            <v>Share of associate company's or joint venture's operating profit, post-goodwill, pretax, and preinterest</v>
          </cell>
          <cell r="HX201" t="str">
            <v>mstag:shareOfAssociateCompanysOrJointVenturesOperatingProfitPostGoodwillPreTaxAndPreInterest</v>
          </cell>
          <cell r="HY201">
            <v>6</v>
          </cell>
          <cell r="HZ201" t="str">
            <v>ISO4217:USD</v>
          </cell>
          <cell r="IA201" t="b">
            <v>0</v>
          </cell>
          <cell r="IB201" t="b">
            <v>0</v>
          </cell>
        </row>
        <row r="202">
          <cell r="D202" t="str">
            <v>Share of associate company's or joint venture's amortization of goodwill</v>
          </cell>
          <cell r="HX202" t="str">
            <v>mstag:shareOfAssociateAmortizationOfGoodwill</v>
          </cell>
          <cell r="HY202">
            <v>6</v>
          </cell>
          <cell r="HZ202" t="str">
            <v>ISO4217:USD</v>
          </cell>
          <cell r="IA202" t="b">
            <v>0</v>
          </cell>
          <cell r="IB202" t="b">
            <v>0</v>
          </cell>
        </row>
        <row r="203">
          <cell r="D203" t="str">
            <v>Share of associate company's or joint venture's interest expense</v>
          </cell>
          <cell r="HX203" t="str">
            <v>mstag:jointVentureInterestExpense</v>
          </cell>
          <cell r="HY203">
            <v>6</v>
          </cell>
          <cell r="HZ203" t="str">
            <v>ISO4217:USD</v>
          </cell>
          <cell r="IA203" t="b">
            <v>0</v>
          </cell>
          <cell r="IB203" t="b">
            <v>0</v>
          </cell>
        </row>
        <row r="204">
          <cell r="D204" t="str">
            <v>Share of associate company's or joint venture's tax</v>
          </cell>
          <cell r="HX204" t="str">
            <v>mstag:shareOfAssociateCompanysOrJointVenturesTax</v>
          </cell>
          <cell r="HY204">
            <v>6</v>
          </cell>
          <cell r="HZ204" t="str">
            <v>ISO4217:USD</v>
          </cell>
          <cell r="IA204" t="b">
            <v>0</v>
          </cell>
          <cell r="IB204" t="b">
            <v>0</v>
          </cell>
        </row>
        <row r="205">
          <cell r="D205" t="str">
            <v>Other associate company or joint venture net income</v>
          </cell>
          <cell r="HX205" t="str">
            <v>mstag:otherJointVenureNetIncome</v>
          </cell>
          <cell r="HY205">
            <v>6</v>
          </cell>
          <cell r="HZ205" t="str">
            <v>ISO4217:USD</v>
          </cell>
          <cell r="IA205" t="b">
            <v>0</v>
          </cell>
          <cell r="IB205" t="b">
            <v>0</v>
          </cell>
        </row>
        <row r="206">
          <cell r="C206" t="str">
            <v>Income (loss) from investments under the equity method, operating, pretax</v>
          </cell>
          <cell r="HX206" t="str">
            <v>mstag:incomeLossFromInvestmentsUnderTheEquityMethodOperatingPreTax</v>
          </cell>
          <cell r="HY206">
            <v>6</v>
          </cell>
          <cell r="HZ206" t="str">
            <v>ISO4217:USD</v>
          </cell>
          <cell r="IA206" t="b">
            <v>0</v>
          </cell>
          <cell r="IB206" t="b">
            <v>0</v>
          </cell>
        </row>
        <row r="207">
          <cell r="C207" t="str">
            <v>Income (loss) from investments under the equity method, nonoperating</v>
          </cell>
          <cell r="HX207" t="str">
            <v>mstag:incomeLossFromInvestmentsAccountedForUnderTheEquityMethodNonOperatingIncomeStatement</v>
          </cell>
          <cell r="HY207">
            <v>6</v>
          </cell>
          <cell r="HZ207" t="str">
            <v>ISO4217:USD</v>
          </cell>
          <cell r="IA207" t="b">
            <v>0</v>
          </cell>
          <cell r="IB207" t="b">
            <v>0</v>
          </cell>
        </row>
        <row r="208">
          <cell r="C208" t="str">
            <v>Income (loss) from investments under the equity method, nonoperating, pretax</v>
          </cell>
          <cell r="HX208" t="str">
            <v>mstag:incomeLossFromInvestmentsUnderTheEquityMethodNonOperatingPreTax</v>
          </cell>
          <cell r="HY208">
            <v>6</v>
          </cell>
          <cell r="HZ208" t="str">
            <v>ISO4217:USD</v>
          </cell>
          <cell r="IA208" t="b">
            <v>0</v>
          </cell>
          <cell r="IB208" t="b">
            <v>0</v>
          </cell>
        </row>
        <row r="209">
          <cell r="C209" t="str">
            <v>Gains (losses) from sale of PPE and intangibles, recurring</v>
          </cell>
          <cell r="HX209" t="str">
            <v>mstag:gainsLossesFromSaleOfOperatingAssetsRecurringIncomeStatement</v>
          </cell>
          <cell r="HY209">
            <v>6</v>
          </cell>
          <cell r="HZ209" t="str">
            <v>ISO4217:USD</v>
          </cell>
          <cell r="IA209" t="b">
            <v>0</v>
          </cell>
          <cell r="IB209" t="b">
            <v>0</v>
          </cell>
        </row>
        <row r="210">
          <cell r="C210" t="str">
            <v>Gains (losses) from sale of PPE and intangibles, one time</v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HX210" t="str">
            <v>mstag:gainsLossesFromSaleOfOperatingAssetsOneTimeIncomeStatement</v>
          </cell>
          <cell r="HY210">
            <v>6</v>
          </cell>
          <cell r="HZ210" t="str">
            <v>ISO4217:USD</v>
          </cell>
          <cell r="IA210" t="b">
            <v>0</v>
          </cell>
          <cell r="IB210" t="b">
            <v>0</v>
          </cell>
        </row>
        <row r="211">
          <cell r="D211" t="str">
            <v>Gains (losses) from sale of PPE and intangibles, one time, gross of tax</v>
          </cell>
          <cell r="HX211" t="str">
            <v>mstag:gainsLossesFromSaleOfOperatingAssetsOneTimeGrossOfTax</v>
          </cell>
          <cell r="HY211">
            <v>6</v>
          </cell>
          <cell r="HZ211" t="str">
            <v>ISO4217:USD</v>
          </cell>
          <cell r="IA211" t="b">
            <v>0</v>
          </cell>
          <cell r="IB211" t="b">
            <v>0</v>
          </cell>
        </row>
        <row r="212">
          <cell r="D212" t="str">
            <v>Tax on gains (losses) from sale of PPE and intangibles, one time</v>
          </cell>
          <cell r="HX212" t="str">
            <v>mstag:taxOnGainsLossesFromSaleOfOperatingAssetsOneTime</v>
          </cell>
          <cell r="HY212">
            <v>6</v>
          </cell>
          <cell r="HZ212" t="str">
            <v>ISO4217:USD</v>
          </cell>
          <cell r="IA212" t="b">
            <v>0</v>
          </cell>
          <cell r="IB212" t="b">
            <v>0</v>
          </cell>
        </row>
        <row r="213">
          <cell r="C213" t="str">
            <v>Net monetary gains (losses) from inflationary accounting</v>
          </cell>
          <cell r="HX213" t="str">
            <v>mstag:netMonetaryGainsLossesFromInflationaryAccounting</v>
          </cell>
          <cell r="HY213">
            <v>6</v>
          </cell>
          <cell r="HZ213" t="str">
            <v>ISO4217:USD</v>
          </cell>
          <cell r="IA213" t="b">
            <v>0</v>
          </cell>
          <cell r="IB213" t="b">
            <v>0</v>
          </cell>
        </row>
        <row r="214">
          <cell r="C214" t="str">
            <v>Gain (loss) on redemption and extinguishment of debt</v>
          </cell>
          <cell r="HX214" t="str">
            <v>mstag:gainLossOnRedemptionAndExtinguishmentOfDebt</v>
          </cell>
          <cell r="HY214">
            <v>6</v>
          </cell>
          <cell r="HZ214" t="str">
            <v>ISO4217:USD</v>
          </cell>
          <cell r="IA214" t="b">
            <v>0</v>
          </cell>
          <cell r="IB214" t="b">
            <v>0</v>
          </cell>
        </row>
        <row r="215">
          <cell r="C215" t="str">
            <v>Foreign currency exchange gains (losses)</v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HX215" t="str">
            <v>mstag:foreignCurrencyExchangeGainsLosses</v>
          </cell>
          <cell r="HY215">
            <v>6</v>
          </cell>
          <cell r="HZ215" t="str">
            <v>ISO4217:USD</v>
          </cell>
          <cell r="IA215" t="b">
            <v>0</v>
          </cell>
          <cell r="IB215" t="b">
            <v>0</v>
          </cell>
        </row>
        <row r="216">
          <cell r="D216" t="str">
            <v>Foreign currency exchange gains (losses), operating</v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HX216" t="str">
            <v>mstag:foreignCurrencyExchangeGainsLossesOperating</v>
          </cell>
          <cell r="HY216">
            <v>6</v>
          </cell>
          <cell r="HZ216" t="str">
            <v>ISO4217:USD</v>
          </cell>
          <cell r="IA216" t="b">
            <v>0</v>
          </cell>
          <cell r="IB216" t="b">
            <v>0</v>
          </cell>
        </row>
        <row r="217">
          <cell r="E217" t="str">
            <v>Realized foreign currency exchange gains (losses) in net operating assets</v>
          </cell>
          <cell r="HX217" t="str">
            <v>mstag:realizedForeignCurrencyExchangeGainsLossesInNetOperatingAssets</v>
          </cell>
          <cell r="HY217">
            <v>6</v>
          </cell>
          <cell r="HZ217" t="str">
            <v>ISO4217:USD</v>
          </cell>
          <cell r="IA217" t="b">
            <v>0</v>
          </cell>
          <cell r="IB217" t="b">
            <v>0</v>
          </cell>
        </row>
        <row r="218">
          <cell r="E218" t="str">
            <v>Unrealized foreign currency exchange gains (losses) in net operating assets</v>
          </cell>
          <cell r="HX218" t="str">
            <v>mstag:unrealizedForeignCurrencyExchangeGainsLossesInNetOperatingAssets</v>
          </cell>
          <cell r="HY218">
            <v>6</v>
          </cell>
          <cell r="HZ218" t="str">
            <v>ISO4217:USD</v>
          </cell>
          <cell r="IA218" t="b">
            <v>0</v>
          </cell>
          <cell r="IB218" t="b">
            <v>0</v>
          </cell>
        </row>
        <row r="219">
          <cell r="D219" t="str">
            <v>Foreign currency exchange gains (losses), financing</v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HX219" t="str">
            <v>mstag:foreignCurrencyExchangeGainsLossesFinancing</v>
          </cell>
          <cell r="HY219">
            <v>6</v>
          </cell>
          <cell r="HZ219" t="str">
            <v>ISO4217:USD</v>
          </cell>
          <cell r="IA219" t="b">
            <v>0</v>
          </cell>
          <cell r="IB219" t="b">
            <v>0</v>
          </cell>
        </row>
        <row r="220">
          <cell r="E220" t="str">
            <v>Realized foreign currency exchange gains (losses) in net financing obligations</v>
          </cell>
          <cell r="HX220" t="str">
            <v>mstag:realizedForeignCurrencyExchangeGainsLossesInNetFinancingObligations</v>
          </cell>
          <cell r="HY220">
            <v>6</v>
          </cell>
          <cell r="HZ220" t="str">
            <v>ISO4217:USD</v>
          </cell>
          <cell r="IA220" t="b">
            <v>0</v>
          </cell>
          <cell r="IB220" t="b">
            <v>0</v>
          </cell>
        </row>
        <row r="221">
          <cell r="E221" t="str">
            <v>Unrealized foreign currency exchange gains (losses) in net financing obligations</v>
          </cell>
          <cell r="HX221" t="str">
            <v>mstag:unrealizedForeignCurrencyExchangeGainsLossesInNetFinancingObligations</v>
          </cell>
          <cell r="HY221">
            <v>6</v>
          </cell>
          <cell r="HZ221" t="str">
            <v>ISO4217:USD</v>
          </cell>
          <cell r="IA221" t="b">
            <v>0</v>
          </cell>
          <cell r="IB221" t="b">
            <v>0</v>
          </cell>
        </row>
        <row r="222">
          <cell r="C222" t="str">
            <v>Restructuring costs, recurring</v>
          </cell>
          <cell r="HX222" t="str">
            <v>mstag:restructuringCostsRecurring</v>
          </cell>
          <cell r="HY222">
            <v>6</v>
          </cell>
          <cell r="HZ222" t="str">
            <v>ISO4217:USD</v>
          </cell>
          <cell r="IA222" t="b">
            <v>0</v>
          </cell>
          <cell r="IB222" t="b">
            <v>0</v>
          </cell>
        </row>
        <row r="223">
          <cell r="C223" t="str">
            <v>Restructuring costs, one time</v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HX223" t="str">
            <v>mstag:restructuringCostsOneTime</v>
          </cell>
          <cell r="HY223">
            <v>6</v>
          </cell>
          <cell r="HZ223" t="str">
            <v>ISO4217:USD</v>
          </cell>
          <cell r="IA223" t="b">
            <v>0</v>
          </cell>
          <cell r="IB223" t="b">
            <v>0</v>
          </cell>
        </row>
        <row r="224">
          <cell r="D224" t="str">
            <v>Restructuring costs, one time, gross of tax</v>
          </cell>
          <cell r="HX224" t="str">
            <v>mstag:restructuringCostsOneTimeGrossOfTax</v>
          </cell>
          <cell r="HY224">
            <v>6</v>
          </cell>
          <cell r="HZ224" t="str">
            <v>ISO4217:USD</v>
          </cell>
          <cell r="IA224" t="b">
            <v>0</v>
          </cell>
          <cell r="IB224" t="b">
            <v>0</v>
          </cell>
        </row>
        <row r="225">
          <cell r="D225" t="str">
            <v>Tax on restructuring costs, one time</v>
          </cell>
          <cell r="HX225" t="str">
            <v>mstag:taxOnRestructuringCostsOneTime</v>
          </cell>
          <cell r="HY225">
            <v>6</v>
          </cell>
          <cell r="HZ225" t="str">
            <v>ISO4217:USD</v>
          </cell>
          <cell r="IA225" t="b">
            <v>0</v>
          </cell>
          <cell r="IB225" t="b">
            <v>0</v>
          </cell>
        </row>
        <row r="226">
          <cell r="C226" t="str">
            <v>Legal provision, recurring</v>
          </cell>
          <cell r="HX226" t="str">
            <v>mstag:legalProvisionRecurring</v>
          </cell>
          <cell r="HY226">
            <v>6</v>
          </cell>
          <cell r="HZ226" t="str">
            <v>ISO4217:USD</v>
          </cell>
          <cell r="IA226" t="b">
            <v>0</v>
          </cell>
          <cell r="IB226" t="b">
            <v>0</v>
          </cell>
        </row>
        <row r="227">
          <cell r="C227" t="str">
            <v>Legal provision, one time</v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HX227" t="str">
            <v>mstag:legalProvisionOneTime</v>
          </cell>
          <cell r="HY227">
            <v>6</v>
          </cell>
          <cell r="HZ227" t="str">
            <v>ISO4217:USD</v>
          </cell>
          <cell r="IA227" t="b">
            <v>0</v>
          </cell>
          <cell r="IB227" t="b">
            <v>0</v>
          </cell>
        </row>
        <row r="228">
          <cell r="D228" t="str">
            <v>Legal provision, one time, gross of tax</v>
          </cell>
          <cell r="HX228" t="str">
            <v>mstag:legalProvisionOneTimeGrossOfTax</v>
          </cell>
          <cell r="HY228">
            <v>6</v>
          </cell>
          <cell r="HZ228" t="str">
            <v>ISO4217:USD</v>
          </cell>
          <cell r="IA228" t="b">
            <v>0</v>
          </cell>
          <cell r="IB228" t="b">
            <v>0</v>
          </cell>
        </row>
        <row r="229">
          <cell r="D229" t="str">
            <v>Tax on legal provision, one time</v>
          </cell>
          <cell r="HX229" t="str">
            <v>mstag:taxOnLegalProvisionOneTime</v>
          </cell>
          <cell r="HY229">
            <v>6</v>
          </cell>
          <cell r="HZ229" t="str">
            <v>ISO4217:USD</v>
          </cell>
          <cell r="IA229" t="b">
            <v>0</v>
          </cell>
          <cell r="IB229" t="b">
            <v>0</v>
          </cell>
        </row>
        <row r="230">
          <cell r="C230" t="str">
            <v>Environmental provision, recurring</v>
          </cell>
          <cell r="HX230" t="str">
            <v>mstag:environmentalProvisionRecurring</v>
          </cell>
          <cell r="HY230">
            <v>6</v>
          </cell>
          <cell r="HZ230" t="str">
            <v>ISO4217:USD</v>
          </cell>
          <cell r="IA230" t="b">
            <v>0</v>
          </cell>
          <cell r="IB230" t="b">
            <v>0</v>
          </cell>
        </row>
        <row r="231">
          <cell r="C231" t="str">
            <v>Environmental provision, one time</v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HX231" t="str">
            <v>mstag:environmentalProvisionOneTime</v>
          </cell>
          <cell r="HY231">
            <v>6</v>
          </cell>
          <cell r="HZ231" t="str">
            <v>ISO4217:USD</v>
          </cell>
          <cell r="IA231" t="b">
            <v>0</v>
          </cell>
          <cell r="IB231" t="b">
            <v>0</v>
          </cell>
        </row>
        <row r="232">
          <cell r="D232" t="str">
            <v>Environmental provision, one time, gross of tax</v>
          </cell>
          <cell r="HX232" t="str">
            <v>mstag:environmentalProvisionOneTimeGrossOfTax</v>
          </cell>
          <cell r="HY232">
            <v>6</v>
          </cell>
          <cell r="HZ232" t="str">
            <v>ISO4217:USD</v>
          </cell>
          <cell r="IA232" t="b">
            <v>0</v>
          </cell>
          <cell r="IB232" t="b">
            <v>0</v>
          </cell>
        </row>
        <row r="233">
          <cell r="D233" t="str">
            <v>Tax on environmental provision, one time</v>
          </cell>
          <cell r="HX233" t="str">
            <v>mstag:taxOnEnvironmentalProvisionOneTime</v>
          </cell>
          <cell r="HY233">
            <v>6</v>
          </cell>
          <cell r="HZ233" t="str">
            <v>ISO4217:USD</v>
          </cell>
          <cell r="IA233" t="b">
            <v>0</v>
          </cell>
          <cell r="IB233" t="b">
            <v>0</v>
          </cell>
        </row>
        <row r="234">
          <cell r="C234" t="str">
            <v>Other provisions, recurring</v>
          </cell>
          <cell r="HX234" t="str">
            <v>mstag:otherProvisionsRecurring</v>
          </cell>
          <cell r="HY234">
            <v>6</v>
          </cell>
          <cell r="HZ234" t="str">
            <v>ISO4217:USD</v>
          </cell>
          <cell r="IA234" t="b">
            <v>0</v>
          </cell>
          <cell r="IB234" t="b">
            <v>0</v>
          </cell>
        </row>
        <row r="235">
          <cell r="C235" t="str">
            <v>Other provisions, one time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-129.1</v>
          </cell>
          <cell r="HX235" t="str">
            <v>mstag:otherProvisionsOneTime</v>
          </cell>
          <cell r="HY235">
            <v>6</v>
          </cell>
          <cell r="HZ235" t="str">
            <v>ISO4217:USD</v>
          </cell>
          <cell r="IA235" t="b">
            <v>0</v>
          </cell>
          <cell r="IB235" t="b">
            <v>0</v>
          </cell>
        </row>
        <row r="236">
          <cell r="D236" t="str">
            <v>Other provisions, one time, gross of tax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-115.8</v>
          </cell>
          <cell r="HX236" t="str">
            <v>mstag:otherProvisionsOneTimeGrossOfTax</v>
          </cell>
          <cell r="HY236">
            <v>6</v>
          </cell>
          <cell r="HZ236" t="str">
            <v>ISO4217:USD</v>
          </cell>
          <cell r="IA236" t="b">
            <v>0</v>
          </cell>
          <cell r="IB236" t="b">
            <v>0</v>
          </cell>
        </row>
        <row r="237">
          <cell r="D237" t="str">
            <v>Tax on other provisions, one time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13.3</v>
          </cell>
          <cell r="HX237" t="str">
            <v>mstag:taxOnOtherProvisionsOneTime</v>
          </cell>
          <cell r="HY237">
            <v>6</v>
          </cell>
          <cell r="HZ237" t="str">
            <v>ISO4217:USD</v>
          </cell>
          <cell r="IA237" t="b">
            <v>0</v>
          </cell>
          <cell r="IB237" t="b">
            <v>0</v>
          </cell>
        </row>
        <row r="238">
          <cell r="C238" t="str">
            <v>Pension settlement and curtailment gains (losses), one time</v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HX238" t="str">
            <v>mstag:pensionSettlementAndCurtailmentGainsLossesOneTime</v>
          </cell>
          <cell r="HY238">
            <v>6</v>
          </cell>
          <cell r="HZ238" t="str">
            <v>ISO4217:USD</v>
          </cell>
          <cell r="IA238" t="b">
            <v>0</v>
          </cell>
          <cell r="IB238" t="b">
            <v>0</v>
          </cell>
        </row>
        <row r="239">
          <cell r="D239" t="str">
            <v>Daiko Henjo: special settlement gain (loss) (Japan)</v>
          </cell>
          <cell r="HX239" t="str">
            <v>mstag:daikoHenjoSpecialSettlementGainLossJapan</v>
          </cell>
          <cell r="HY239">
            <v>6</v>
          </cell>
          <cell r="HZ239" t="str">
            <v>ISO4217:USD</v>
          </cell>
          <cell r="IA239" t="b">
            <v>0</v>
          </cell>
          <cell r="IB239" t="b">
            <v>0</v>
          </cell>
        </row>
        <row r="240">
          <cell r="D240" t="str">
            <v>Other pension settlement and curtailment gains (losses), one time</v>
          </cell>
          <cell r="HX240" t="str">
            <v>mstag:otherPensionSettlementAndCurtailmentGainsLossesOneTime</v>
          </cell>
          <cell r="HY240">
            <v>6</v>
          </cell>
          <cell r="HZ240" t="str">
            <v>ISO4217:USD</v>
          </cell>
          <cell r="IA240" t="b">
            <v>0</v>
          </cell>
          <cell r="IB240" t="b">
            <v>0</v>
          </cell>
        </row>
        <row r="241">
          <cell r="C241" t="str">
            <v>Other nonoperating income (expense)</v>
          </cell>
          <cell r="G241">
            <v>0</v>
          </cell>
          <cell r="H241">
            <v>0</v>
          </cell>
          <cell r="I241">
            <v>-230.00800000000001</v>
          </cell>
          <cell r="J241">
            <v>0</v>
          </cell>
          <cell r="K241">
            <v>0</v>
          </cell>
          <cell r="L241">
            <v>-543.90499999999997</v>
          </cell>
          <cell r="HX241" t="str">
            <v>mstag:otherNonOperatingIncomeExpense</v>
          </cell>
          <cell r="HY241">
            <v>6</v>
          </cell>
          <cell r="HZ241" t="str">
            <v>ISO4217:USD</v>
          </cell>
          <cell r="IA241" t="b">
            <v>0</v>
          </cell>
          <cell r="IB241" t="b">
            <v>0</v>
          </cell>
        </row>
        <row r="242">
          <cell r="C242" t="str">
            <v>Tax expense (income)</v>
          </cell>
          <cell r="G242">
            <v>40.750999999999998</v>
          </cell>
          <cell r="H242">
            <v>70.74199999999999</v>
          </cell>
          <cell r="I242">
            <v>-203.10899999999998</v>
          </cell>
          <cell r="J242">
            <v>20.413999999999987</v>
          </cell>
          <cell r="K242">
            <v>127.11199999999999</v>
          </cell>
          <cell r="L242">
            <v>-34.038000000000011</v>
          </cell>
          <cell r="M242">
            <v>303.69799999999998</v>
          </cell>
          <cell r="HX242" t="str">
            <v>mstag:taxExpenseIncome</v>
          </cell>
          <cell r="HY242">
            <v>6</v>
          </cell>
          <cell r="HZ242" t="str">
            <v>ISO4217:USD</v>
          </cell>
          <cell r="IA242" t="b">
            <v>0</v>
          </cell>
          <cell r="IB242" t="b">
            <v>0</v>
          </cell>
        </row>
        <row r="243">
          <cell r="D243" t="str">
            <v>Current income tax expense</v>
          </cell>
          <cell r="G243">
            <v>31.050999999999998</v>
          </cell>
          <cell r="H243">
            <v>40.948999999999998</v>
          </cell>
          <cell r="I243">
            <v>-38.971000000000004</v>
          </cell>
          <cell r="J243">
            <v>217.196</v>
          </cell>
          <cell r="K243">
            <v>97.754999999999995</v>
          </cell>
          <cell r="L243">
            <v>162.60599999999999</v>
          </cell>
          <cell r="HX243" t="str">
            <v>mstag:currentIncomeTax</v>
          </cell>
          <cell r="HY243">
            <v>6</v>
          </cell>
          <cell r="HZ243" t="str">
            <v>ISO4217:USD</v>
          </cell>
          <cell r="IA243" t="b">
            <v>0</v>
          </cell>
          <cell r="IB243" t="b">
            <v>0</v>
          </cell>
        </row>
        <row r="244">
          <cell r="D244" t="str">
            <v>Deferred income tax expense</v>
          </cell>
          <cell r="G244">
            <v>9.6999999999999993</v>
          </cell>
          <cell r="H244">
            <v>29.792999999999999</v>
          </cell>
          <cell r="I244">
            <v>-164.13799999999998</v>
          </cell>
          <cell r="J244">
            <v>-196.78200000000001</v>
          </cell>
          <cell r="K244">
            <v>29.356999999999999</v>
          </cell>
          <cell r="L244">
            <v>-196.64400000000001</v>
          </cell>
          <cell r="M244" t="str">
            <v/>
          </cell>
          <cell r="HX244" t="str">
            <v>mstag:deferredIncomeTax</v>
          </cell>
          <cell r="HY244">
            <v>6</v>
          </cell>
          <cell r="HZ244" t="str">
            <v>ISO4217:USD</v>
          </cell>
          <cell r="IA244" t="b">
            <v>0</v>
          </cell>
          <cell r="IB244" t="b">
            <v>0</v>
          </cell>
        </row>
        <row r="245">
          <cell r="E245" t="str">
            <v>Deferred income tax expense, benefit for NOLs</v>
          </cell>
          <cell r="HX245" t="str">
            <v>mstag:deferredIncomeTaxBenefitForNols</v>
          </cell>
          <cell r="HY245">
            <v>6</v>
          </cell>
          <cell r="HZ245" t="str">
            <v>ISO4217:USD</v>
          </cell>
          <cell r="IA245" t="b">
            <v>0</v>
          </cell>
          <cell r="IB245" t="b">
            <v>0</v>
          </cell>
        </row>
        <row r="246">
          <cell r="E246" t="str">
            <v>Other deferred income tax expense</v>
          </cell>
          <cell r="G246">
            <v>9.6999999999999993</v>
          </cell>
          <cell r="H246">
            <v>29.792999999999999</v>
          </cell>
          <cell r="I246">
            <v>-164.13799999999998</v>
          </cell>
          <cell r="J246">
            <v>-196.78200000000001</v>
          </cell>
          <cell r="K246">
            <v>29.356999999999999</v>
          </cell>
          <cell r="L246">
            <v>-196.64400000000001</v>
          </cell>
          <cell r="HX246" t="str">
            <v>mstag:otherDeferredIncomeTax</v>
          </cell>
          <cell r="HY246">
            <v>6</v>
          </cell>
          <cell r="HZ246" t="str">
            <v>ISO4217:USD</v>
          </cell>
          <cell r="IA246" t="b">
            <v>0</v>
          </cell>
          <cell r="IB246" t="b">
            <v>0</v>
          </cell>
        </row>
        <row r="247">
          <cell r="C247" t="str">
            <v>Minority interests in net income</v>
          </cell>
          <cell r="HX247" t="str">
            <v>mstag:minorityInterestsInNetIncome</v>
          </cell>
          <cell r="HY247">
            <v>6</v>
          </cell>
          <cell r="HZ247" t="str">
            <v>ISO4217:USD</v>
          </cell>
          <cell r="IA247" t="b">
            <v>0</v>
          </cell>
          <cell r="IB247" t="b">
            <v>0</v>
          </cell>
        </row>
        <row r="248">
          <cell r="C248" t="str">
            <v>Cumulative effect of change in accounting principle, net of tax</v>
          </cell>
          <cell r="G248">
            <v>0</v>
          </cell>
          <cell r="H248">
            <v>0</v>
          </cell>
          <cell r="I248">
            <v>0</v>
          </cell>
          <cell r="J248">
            <v>-57.8</v>
          </cell>
          <cell r="K248">
            <v>-5.6379999999999999</v>
          </cell>
          <cell r="L248">
            <v>0</v>
          </cell>
          <cell r="M248">
            <v>-47</v>
          </cell>
          <cell r="HX248" t="str">
            <v>mstag:cumulativeEffectOfChangeInAccountingPrincipleNetOfTax</v>
          </cell>
          <cell r="HY248">
            <v>6</v>
          </cell>
          <cell r="HZ248" t="str">
            <v>ISO4217:USD</v>
          </cell>
          <cell r="IA248" t="b">
            <v>0</v>
          </cell>
          <cell r="IB248" t="b">
            <v>0</v>
          </cell>
        </row>
        <row r="249">
          <cell r="C249" t="str">
            <v>Income (loss) from extraordinary items, net of tax</v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HX249" t="str">
            <v>mstag:incomeLossFromExtraordinaryItemsNetOfTax</v>
          </cell>
          <cell r="HY249">
            <v>6</v>
          </cell>
          <cell r="HZ249" t="str">
            <v>ISO4217:USD</v>
          </cell>
          <cell r="IA249" t="b">
            <v>0</v>
          </cell>
          <cell r="IB249" t="b">
            <v>0</v>
          </cell>
        </row>
        <row r="250">
          <cell r="D250" t="str">
            <v>Income (loss) from extraordinary items, pretax</v>
          </cell>
          <cell r="HX250" t="str">
            <v>mstag:incomeLossFromExtraordinaryItemsPretax</v>
          </cell>
          <cell r="HY250">
            <v>6</v>
          </cell>
          <cell r="HZ250" t="str">
            <v>ISO4217:USD</v>
          </cell>
          <cell r="IA250" t="b">
            <v>0</v>
          </cell>
          <cell r="IB250" t="b">
            <v>0</v>
          </cell>
        </row>
        <row r="251">
          <cell r="D251" t="str">
            <v>Tax on income (loss) from extraordinary items</v>
          </cell>
          <cell r="HX251" t="str">
            <v>mstag:taxOnIncomeLossFromExtraordinaryItems</v>
          </cell>
          <cell r="HY251">
            <v>6</v>
          </cell>
          <cell r="HZ251" t="str">
            <v>ISO4217:USD</v>
          </cell>
          <cell r="IA251" t="b">
            <v>0</v>
          </cell>
          <cell r="IB251" t="b">
            <v>0</v>
          </cell>
        </row>
        <row r="252">
          <cell r="C252" t="str">
            <v>Income (loss) from discontinued operations, net of tax</v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HX252" t="str">
            <v>mstag:incomeLossFromDiscontinuedOperationsNetOfTax</v>
          </cell>
          <cell r="HY252">
            <v>6</v>
          </cell>
          <cell r="HZ252" t="str">
            <v>ISO4217:USD</v>
          </cell>
          <cell r="IA252" t="b">
            <v>0</v>
          </cell>
          <cell r="IB252" t="b">
            <v>0</v>
          </cell>
        </row>
        <row r="253">
          <cell r="D253" t="str">
            <v>Income (loss) from discontinued operations, pretax</v>
          </cell>
          <cell r="HX253" t="str">
            <v>mstag:incomeLossFromDiscontinuedOperationsPretax</v>
          </cell>
          <cell r="HY253">
            <v>6</v>
          </cell>
          <cell r="HZ253" t="str">
            <v>ISO4217:USD</v>
          </cell>
          <cell r="IA253" t="b">
            <v>0</v>
          </cell>
          <cell r="IB253" t="b">
            <v>0</v>
          </cell>
        </row>
        <row r="254">
          <cell r="D254" t="str">
            <v>Tax on income (loss) from discontinued operations</v>
          </cell>
          <cell r="HX254" t="str">
            <v>mstag:taxOnIncomeLossFromDiscontinuedOperations</v>
          </cell>
          <cell r="HY254">
            <v>6</v>
          </cell>
          <cell r="HZ254" t="str">
            <v>ISO4217:USD</v>
          </cell>
          <cell r="IA254" t="b">
            <v>0</v>
          </cell>
          <cell r="IB254" t="b">
            <v>0</v>
          </cell>
        </row>
        <row r="255">
          <cell r="C255" t="str">
            <v>Preferred dividends paid</v>
          </cell>
          <cell r="HX255" t="str">
            <v>mstag:preferredDividendsPaid</v>
          </cell>
          <cell r="HY255">
            <v>6</v>
          </cell>
          <cell r="HZ255" t="str">
            <v>ISO4217:USD</v>
          </cell>
          <cell r="IA255" t="b">
            <v>0</v>
          </cell>
          <cell r="IB255" t="b">
            <v>0</v>
          </cell>
        </row>
        <row r="256">
          <cell r="C256" t="str">
            <v>Preferred dividends attributable to current period earnings</v>
          </cell>
          <cell r="HX256" t="str">
            <v>mstag:preferredDividendsAttributableToCurrentPeriodEarnings</v>
          </cell>
          <cell r="HY256">
            <v>6</v>
          </cell>
          <cell r="HZ256" t="str">
            <v>ISO4217:USD</v>
          </cell>
          <cell r="IA256" t="b">
            <v>0</v>
          </cell>
          <cell r="IB256" t="b">
            <v>0</v>
          </cell>
        </row>
        <row r="257">
          <cell r="C257" t="str">
            <v>Adjustment to net income for dilutive items</v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HX257" t="str">
            <v>mstag:adjustmentToNetIncomeForDilutiveItems</v>
          </cell>
          <cell r="HY257">
            <v>6</v>
          </cell>
          <cell r="HZ257" t="str">
            <v>ISO4217:USD</v>
          </cell>
          <cell r="IA257" t="b">
            <v>0</v>
          </cell>
          <cell r="IB257" t="b">
            <v>0</v>
          </cell>
        </row>
        <row r="258">
          <cell r="D258" t="str">
            <v>Impact of assumed conversion of preferred stock</v>
          </cell>
          <cell r="HX258" t="str">
            <v>mstag:impactOfAssumedConversionOfPreferredStock</v>
          </cell>
          <cell r="HY258">
            <v>6</v>
          </cell>
          <cell r="HZ258" t="str">
            <v>ISO4217:USD</v>
          </cell>
          <cell r="IA258" t="b">
            <v>0</v>
          </cell>
          <cell r="IB258" t="b">
            <v>0</v>
          </cell>
        </row>
        <row r="259">
          <cell r="D259" t="str">
            <v>Impact of assumed conversion of convertible bonds</v>
          </cell>
          <cell r="HX259" t="str">
            <v>mstag:impactOfAssumedConversionOfConvertibleBonds</v>
          </cell>
          <cell r="HY259">
            <v>6</v>
          </cell>
          <cell r="HZ259" t="str">
            <v>ISO4217:USD</v>
          </cell>
          <cell r="IA259" t="b">
            <v>0</v>
          </cell>
          <cell r="IB259" t="b">
            <v>0</v>
          </cell>
        </row>
        <row r="260">
          <cell r="D260" t="str">
            <v>Impact of stock options compensation</v>
          </cell>
          <cell r="HX260" t="str">
            <v>mstag:impactOfStockOptionsCompensation</v>
          </cell>
          <cell r="HY260">
            <v>6</v>
          </cell>
          <cell r="HZ260" t="str">
            <v>ISO4217:USD</v>
          </cell>
          <cell r="IA260" t="b">
            <v>0</v>
          </cell>
          <cell r="IB260" t="b">
            <v>0</v>
          </cell>
        </row>
        <row r="261">
          <cell r="C261" t="str">
            <v>Company-reported revenue</v>
          </cell>
          <cell r="HX261" t="str">
            <v>mstag:companyReportedRevenue</v>
          </cell>
          <cell r="HY261">
            <v>6</v>
          </cell>
          <cell r="HZ261" t="str">
            <v>ISO4217:USD</v>
          </cell>
          <cell r="IA261" t="b">
            <v>0</v>
          </cell>
          <cell r="IB261" t="b">
            <v>0</v>
          </cell>
        </row>
        <row r="262">
          <cell r="C262" t="str">
            <v>Japan-specific operating metrics</v>
          </cell>
          <cell r="HX262" t="str">
            <v>mstag:japanSpecificOperatingMetrics</v>
          </cell>
          <cell r="HY262">
            <v>6</v>
          </cell>
          <cell r="HZ262" t="str">
            <v>ISO4217:USD</v>
          </cell>
          <cell r="IA262" t="b">
            <v>0</v>
          </cell>
          <cell r="IB262" t="b">
            <v>0</v>
          </cell>
        </row>
        <row r="263">
          <cell r="D263" t="str">
            <v>Operating income (expense) classified by company as nonoperating (Japan)</v>
          </cell>
          <cell r="HX263" t="str">
            <v>mstag:operatingIncomeExpenseClassifiedByCompanyAsNonOperatingJapan</v>
          </cell>
          <cell r="HY263">
            <v>6</v>
          </cell>
          <cell r="HZ263" t="str">
            <v>ISO4217:USD</v>
          </cell>
          <cell r="IA263" t="b">
            <v>0</v>
          </cell>
          <cell r="IB263" t="b">
            <v>0</v>
          </cell>
        </row>
        <row r="264">
          <cell r="D264" t="str">
            <v>Operating income (expense) classified by company as extraordinary (Japan)</v>
          </cell>
          <cell r="HX264" t="str">
            <v>mstag:operatingIncomeExpenseClassifiedByCompanyAsExtraordinaryJapan</v>
          </cell>
          <cell r="HY264">
            <v>6</v>
          </cell>
          <cell r="HZ264" t="str">
            <v>ISO4217:USD</v>
          </cell>
          <cell r="IA264" t="b">
            <v>0</v>
          </cell>
          <cell r="IB264" t="b">
            <v>0</v>
          </cell>
        </row>
        <row r="265">
          <cell r="D265" t="str">
            <v>Nonoperating income (expense) classified by company as operating (Japan)</v>
          </cell>
          <cell r="HX265" t="str">
            <v>mstag:nonOperatingIncomeExpenseClassifiedByCompanyAsOperatingJapan</v>
          </cell>
          <cell r="HY265">
            <v>6</v>
          </cell>
          <cell r="HZ265" t="str">
            <v>ISO4217:USD</v>
          </cell>
          <cell r="IA265" t="b">
            <v>0</v>
          </cell>
          <cell r="IB265" t="b">
            <v>0</v>
          </cell>
        </row>
        <row r="266">
          <cell r="D266" t="str">
            <v>Nonoperating income (expense) classified by company as extraordinary (Japan)</v>
          </cell>
          <cell r="HX266" t="str">
            <v>mstag:recurringIncomeExpenseClassifiedByCompanyAsExtraordinaryJapan</v>
          </cell>
          <cell r="HY266">
            <v>6</v>
          </cell>
          <cell r="HZ266" t="str">
            <v>ISO4217:USD</v>
          </cell>
          <cell r="IA266" t="b">
            <v>0</v>
          </cell>
          <cell r="IB266" t="b">
            <v>0</v>
          </cell>
        </row>
        <row r="267">
          <cell r="D267" t="str">
            <v>One-time income (expense), gross of tax, classified by company as operating (Japan)</v>
          </cell>
          <cell r="HX267" t="str">
            <v>mstag:oneTimeIncomeExpenseGrossOfTaxClassifiedByCompanyAsOperatingJapan</v>
          </cell>
          <cell r="HY267">
            <v>6</v>
          </cell>
          <cell r="HZ267" t="str">
            <v>ISO4217:USD</v>
          </cell>
          <cell r="IA267" t="b">
            <v>0</v>
          </cell>
          <cell r="IB267" t="b">
            <v>0</v>
          </cell>
        </row>
        <row r="268">
          <cell r="D268" t="str">
            <v>One-time income (expense), gross of tax, classified by company as nonoperating (Japan)</v>
          </cell>
          <cell r="HX268" t="str">
            <v>mstag:oneTimeIncomeExpenseGrossOfTaxClassifiedByCompanyAsNonOperatingJapan</v>
          </cell>
          <cell r="HY268">
            <v>6</v>
          </cell>
          <cell r="HZ268" t="str">
            <v>ISO4217:USD</v>
          </cell>
          <cell r="IA268" t="b">
            <v>0</v>
          </cell>
          <cell r="IB268" t="b">
            <v>0</v>
          </cell>
        </row>
        <row r="269">
          <cell r="D269" t="str">
            <v>Recurring profit (Japan)</v>
          </cell>
          <cell r="HX269" t="str">
            <v>mstag:recurringProfitJapan</v>
          </cell>
          <cell r="HY269">
            <v>6</v>
          </cell>
          <cell r="HZ269" t="str">
            <v>ISO4217:USD</v>
          </cell>
          <cell r="IA269" t="b">
            <v>0</v>
          </cell>
          <cell r="IB269" t="b">
            <v>0</v>
          </cell>
        </row>
        <row r="270">
          <cell r="C270" t="str">
            <v>EPS adjusted for consensus</v>
          </cell>
          <cell r="HX270" t="str">
            <v>mstag:adjEpsForConsensus</v>
          </cell>
          <cell r="HY270">
            <v>0</v>
          </cell>
          <cell r="HZ270" t="str">
            <v>ISO4217:USD</v>
          </cell>
          <cell r="IA270" t="b">
            <v>0</v>
          </cell>
          <cell r="IB270" t="b">
            <v>0</v>
          </cell>
        </row>
        <row r="271">
          <cell r="C271" t="str">
            <v>Period-end diluted shares outstanding</v>
          </cell>
          <cell r="HX271" t="str">
            <v>mstag:periodEndDilutedSharesOutstanding</v>
          </cell>
          <cell r="HY271">
            <v>6</v>
          </cell>
          <cell r="HZ271" t="str">
            <v>ms_eqr_gcim_Decimal:ms_eqr_gcim_decimal</v>
          </cell>
          <cell r="IA271" t="b">
            <v>0</v>
          </cell>
          <cell r="IB271" t="b">
            <v>0</v>
          </cell>
        </row>
        <row r="272">
          <cell r="C272" t="str">
            <v>Period-end basic shares outstanding</v>
          </cell>
          <cell r="G272">
            <v>993.82235200000002</v>
          </cell>
          <cell r="H272">
            <v>1016.9171200000001</v>
          </cell>
          <cell r="I272">
            <v>1032.4410559999999</v>
          </cell>
          <cell r="J272">
            <v>1050.953542</v>
          </cell>
          <cell r="K272">
            <v>1056.6265719999999</v>
          </cell>
          <cell r="L272">
            <v>1025.6204499999999</v>
          </cell>
          <cell r="M272">
            <v>1049.4000000000001</v>
          </cell>
          <cell r="HX272" t="str">
            <v>mstag:periodEndBasicSharesOutstanding</v>
          </cell>
          <cell r="HY272">
            <v>6</v>
          </cell>
          <cell r="HZ272" t="str">
            <v>ms_eqr_gcim_Decimal:ms_eqr_gcim_decimal</v>
          </cell>
          <cell r="IA272" t="b">
            <v>0</v>
          </cell>
          <cell r="IB272" t="b">
            <v>0</v>
          </cell>
        </row>
        <row r="273">
          <cell r="C273" t="str">
            <v>Current diluted shares outstanding</v>
          </cell>
          <cell r="HX273" t="str">
            <v>mstag:currentDilutedSharesOutstanding</v>
          </cell>
          <cell r="HY273">
            <v>6</v>
          </cell>
          <cell r="HZ273" t="str">
            <v>ms_eqr_gcim_Decimal:ms_eqr_gcim_decimal</v>
          </cell>
          <cell r="IA273" t="b">
            <v>0</v>
          </cell>
          <cell r="IB273" t="b">
            <v>0</v>
          </cell>
        </row>
        <row r="274">
          <cell r="C274" t="str">
            <v>Current basic shares outstanding</v>
          </cell>
          <cell r="HX274" t="str">
            <v>mstag:currentBasicSharesOutstanding</v>
          </cell>
          <cell r="HY274">
            <v>6</v>
          </cell>
          <cell r="HZ274" t="str">
            <v>ms_eqr_gcim_Decimal:ms_eqr_gcim_decimal</v>
          </cell>
          <cell r="IA274" t="b">
            <v>0</v>
          </cell>
          <cell r="IB274" t="b">
            <v>0</v>
          </cell>
        </row>
        <row r="275">
          <cell r="C275" t="str">
            <v>Average diluted shares outstanding</v>
          </cell>
          <cell r="G275">
            <v>1011.176</v>
          </cell>
          <cell r="H275">
            <v>1038.9760000000001</v>
          </cell>
          <cell r="I275">
            <v>1026.704</v>
          </cell>
          <cell r="J275">
            <v>1044.3579999999999</v>
          </cell>
          <cell r="K275">
            <v>1070.5820000000001</v>
          </cell>
          <cell r="L275">
            <v>1048.816</v>
          </cell>
          <cell r="M275">
            <v>1054.3219999999999</v>
          </cell>
          <cell r="HX275" t="str">
            <v>mstag:averageDilutedSharesOutstanding</v>
          </cell>
          <cell r="HY275">
            <v>6</v>
          </cell>
          <cell r="HZ275" t="str">
            <v>ms_eqr_gcim_Decimal:ms_eqr_gcim_decimal</v>
          </cell>
          <cell r="IA275" t="b">
            <v>0</v>
          </cell>
          <cell r="IB275" t="b">
            <v>0</v>
          </cell>
        </row>
        <row r="276">
          <cell r="C276" t="str">
            <v>Number of preferred shares outstanding</v>
          </cell>
          <cell r="HX276" t="str">
            <v>mstag:numberOfPreferredSharesOutstanding</v>
          </cell>
          <cell r="HY276">
            <v>6</v>
          </cell>
          <cell r="HZ276" t="str">
            <v>ms_eqr_gcim_Decimal:ms_eqr_gcim_decimal</v>
          </cell>
          <cell r="IA276" t="b">
            <v>0</v>
          </cell>
          <cell r="IB276" t="b">
            <v>0</v>
          </cell>
        </row>
        <row r="277">
          <cell r="C277" t="str">
            <v>Average basic shares outstanding</v>
          </cell>
          <cell r="G277">
            <v>984.32</v>
          </cell>
          <cell r="H277">
            <v>1006.136</v>
          </cell>
          <cell r="I277">
            <v>1026.704</v>
          </cell>
          <cell r="J277">
            <v>1044.3579999999999</v>
          </cell>
          <cell r="K277">
            <v>1054.0440000000001</v>
          </cell>
          <cell r="L277">
            <v>1038.384</v>
          </cell>
          <cell r="M277">
            <v>1034.4565</v>
          </cell>
          <cell r="HX277" t="str">
            <v>mstag:averageBasicSharesOutstanding</v>
          </cell>
          <cell r="HY277">
            <v>6</v>
          </cell>
          <cell r="HZ277" t="str">
            <v>ms_eqr_gcim_Decimal:ms_eqr_gcim_decimal</v>
          </cell>
          <cell r="IA277" t="b">
            <v>0</v>
          </cell>
          <cell r="IB277" t="b">
            <v>0</v>
          </cell>
        </row>
        <row r="278">
          <cell r="C278" t="str">
            <v>ADR ratio</v>
          </cell>
          <cell r="HX278" t="str">
            <v>mstag:adrRatioNew</v>
          </cell>
          <cell r="HY278">
            <v>0</v>
          </cell>
          <cell r="HZ278" t="str">
            <v>ms_eqr_gcim_Decimal:ms_eqr_gcim_decimal</v>
          </cell>
          <cell r="IA278" t="b">
            <v>0</v>
          </cell>
          <cell r="IB278" t="b">
            <v>0</v>
          </cell>
        </row>
        <row r="279">
          <cell r="C279" t="str">
            <v>Current ADR ratio</v>
          </cell>
          <cell r="HX279" t="str">
            <v>mstag:currentAdrRatio</v>
          </cell>
          <cell r="HY279">
            <v>0</v>
          </cell>
          <cell r="HZ279" t="str">
            <v>ms_eqr_gcim_Decimal:ms_eqr_gcim_decimal</v>
          </cell>
          <cell r="IA279" t="b">
            <v>0</v>
          </cell>
          <cell r="IB279" t="b">
            <v>0</v>
          </cell>
        </row>
        <row r="280">
          <cell r="C280" t="str">
            <v>Analyst's average FX rate</v>
          </cell>
          <cell r="HX280" t="str">
            <v>mstag:analystsAverageFxRate</v>
          </cell>
          <cell r="HY280">
            <v>0</v>
          </cell>
          <cell r="HZ280" t="str">
            <v>ms_eqr_gcim_Decimal:ms_eqr_gcim_decimal</v>
          </cell>
          <cell r="IA280" t="b">
            <v>0</v>
          </cell>
          <cell r="IB280" t="b">
            <v>0</v>
          </cell>
        </row>
        <row r="281">
          <cell r="C281" t="str">
            <v>Analyst's period-end FX rate</v>
          </cell>
          <cell r="HX281" t="str">
            <v>mstag:analystsPeriodEndFxRate</v>
          </cell>
          <cell r="HY281">
            <v>0</v>
          </cell>
          <cell r="HZ281" t="str">
            <v>ms_eqr_gcim_Decimal:ms_eqr_gcim_decimal</v>
          </cell>
          <cell r="IA281" t="b">
            <v>0</v>
          </cell>
          <cell r="IB281" t="b">
            <v>0</v>
          </cell>
        </row>
        <row r="282">
          <cell r="C282" t="str">
            <v>Percent ownership</v>
          </cell>
          <cell r="HX282" t="str">
            <v>mstag:percentOwnership</v>
          </cell>
          <cell r="HY282">
            <v>0</v>
          </cell>
          <cell r="HZ282" t="str">
            <v>ms_eqr_gcim_Decimal:ms_eqr_gcim_decimal</v>
          </cell>
          <cell r="IA282" t="b">
            <v>0</v>
          </cell>
          <cell r="IB282" t="b">
            <v>0</v>
          </cell>
        </row>
        <row r="283">
          <cell r="C283" t="str">
            <v>Statutory tax rate</v>
          </cell>
          <cell r="G283">
            <v>0.373</v>
          </cell>
          <cell r="H283">
            <v>0.37965018939169048</v>
          </cell>
          <cell r="I283">
            <v>0.51523455723542122</v>
          </cell>
          <cell r="J283">
            <v>0.59149257488044304</v>
          </cell>
          <cell r="K283">
            <v>0.40731343600036757</v>
          </cell>
          <cell r="L283">
            <v>0.37813035732293521</v>
          </cell>
          <cell r="M283">
            <v>0.32364976429312797</v>
          </cell>
          <cell r="HX283" t="str">
            <v>mstag:statutoryTaxRate</v>
          </cell>
          <cell r="HY283">
            <v>0</v>
          </cell>
          <cell r="HZ283" t="str">
            <v>ms_eqr_gcim_Decimal:ms_eqr_gcim_decimal</v>
          </cell>
          <cell r="IA283" t="b">
            <v>0</v>
          </cell>
          <cell r="IB283" t="b">
            <v>0</v>
          </cell>
        </row>
        <row r="284">
          <cell r="C284" t="str">
            <v>Dividends per share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HX284" t="str">
            <v>mstag:dividendsPerShare</v>
          </cell>
          <cell r="HY284">
            <v>0</v>
          </cell>
          <cell r="HZ284" t="str">
            <v>ISO4217:USD</v>
          </cell>
          <cell r="IA284" t="b">
            <v>0</v>
          </cell>
          <cell r="IB284" t="b">
            <v>0</v>
          </cell>
        </row>
        <row r="285">
          <cell r="B285" t="str">
            <v>Balance sheet</v>
          </cell>
          <cell r="HY285">
            <v>0</v>
          </cell>
          <cell r="HZ285" t="str">
            <v>ms_eqr_gcim_String:ms_eqr_gcim_string</v>
          </cell>
          <cell r="IA285" t="b">
            <v>0</v>
          </cell>
          <cell r="IB285" t="b">
            <v>0</v>
          </cell>
        </row>
        <row r="286">
          <cell r="C286" t="str">
            <v>Assets</v>
          </cell>
          <cell r="M286">
            <v>8735.9628426585768</v>
          </cell>
          <cell r="HX286" t="str">
            <v>mstag:assets</v>
          </cell>
          <cell r="HY286">
            <v>6</v>
          </cell>
          <cell r="HZ286" t="str">
            <v>ISO4217:USD</v>
          </cell>
          <cell r="IA286" t="b">
            <v>0</v>
          </cell>
          <cell r="IB286" t="b">
            <v>0</v>
          </cell>
        </row>
        <row r="287">
          <cell r="D287" t="str">
            <v>Cash and cash equivalents</v>
          </cell>
          <cell r="F287">
            <v>207.26400000000001</v>
          </cell>
          <cell r="G287">
            <v>244.46899999999999</v>
          </cell>
          <cell r="H287">
            <v>281.16199999999998</v>
          </cell>
          <cell r="I287">
            <v>337.68200000000002</v>
          </cell>
          <cell r="J287">
            <v>551.38400000000001</v>
          </cell>
          <cell r="K287">
            <v>395.20299999999997</v>
          </cell>
          <cell r="L287">
            <v>208.13</v>
          </cell>
          <cell r="M287">
            <v>371.87784265857795</v>
          </cell>
          <cell r="HX287" t="str">
            <v>mstag:cashAndCashEquivalents</v>
          </cell>
          <cell r="HY287">
            <v>6</v>
          </cell>
          <cell r="HZ287" t="str">
            <v>ISO4217:USD</v>
          </cell>
          <cell r="IA287" t="b">
            <v>0</v>
          </cell>
          <cell r="IB287" t="b">
            <v>0</v>
          </cell>
        </row>
        <row r="288">
          <cell r="D288" t="str">
            <v>Restricted cash required for operations</v>
          </cell>
          <cell r="HX288" t="str">
            <v>mstag:restrictedCashRequiredForOperations</v>
          </cell>
          <cell r="HY288">
            <v>6</v>
          </cell>
          <cell r="HZ288" t="str">
            <v>ISO4217:USD</v>
          </cell>
          <cell r="IA288" t="b">
            <v>0</v>
          </cell>
          <cell r="IB288" t="b">
            <v>0</v>
          </cell>
        </row>
        <row r="289">
          <cell r="D289" t="str">
            <v>Trade receivables</v>
          </cell>
          <cell r="G289">
            <v>71.41500000000002</v>
          </cell>
          <cell r="H289">
            <v>79.411000000000001</v>
          </cell>
          <cell r="I289">
            <v>120.49700000000001</v>
          </cell>
          <cell r="J289">
            <v>162.12100000000001</v>
          </cell>
          <cell r="K289">
            <v>193.203</v>
          </cell>
          <cell r="L289">
            <v>242.90700000000004</v>
          </cell>
          <cell r="M289">
            <v>574.1</v>
          </cell>
          <cell r="HX289" t="str">
            <v>mstag:tradeReceivables</v>
          </cell>
          <cell r="HY289">
            <v>6</v>
          </cell>
          <cell r="HZ289" t="str">
            <v>ISO4217:USD</v>
          </cell>
          <cell r="IA289" t="b">
            <v>0</v>
          </cell>
          <cell r="IB289" t="b">
            <v>0</v>
          </cell>
        </row>
        <row r="290">
          <cell r="E290" t="str">
            <v>Trade receivables, current</v>
          </cell>
          <cell r="G290">
            <v>71.41500000000002</v>
          </cell>
          <cell r="H290">
            <v>79.411000000000001</v>
          </cell>
          <cell r="I290">
            <v>120.49700000000001</v>
          </cell>
          <cell r="J290">
            <v>162.12100000000001</v>
          </cell>
          <cell r="K290">
            <v>193.203</v>
          </cell>
          <cell r="L290">
            <v>242.90700000000004</v>
          </cell>
          <cell r="M290" t="str">
            <v/>
          </cell>
          <cell r="HX290" t="str">
            <v>mstag:tradeReceivablesCurrent</v>
          </cell>
          <cell r="HY290">
            <v>6</v>
          </cell>
          <cell r="HZ290" t="str">
            <v>ISO4217:USD</v>
          </cell>
          <cell r="IA290" t="b">
            <v>0</v>
          </cell>
          <cell r="IB290" t="b">
            <v>0</v>
          </cell>
        </row>
        <row r="291">
          <cell r="F291" t="str">
            <v>Trade receivables, gross, current</v>
          </cell>
          <cell r="G291">
            <v>80.241000000000014</v>
          </cell>
          <cell r="H291">
            <v>94.072000000000003</v>
          </cell>
          <cell r="I291">
            <v>136.26400000000001</v>
          </cell>
          <cell r="J291">
            <v>176.24700000000001</v>
          </cell>
          <cell r="K291">
            <v>210.54</v>
          </cell>
          <cell r="L291">
            <v>259.73400000000004</v>
          </cell>
          <cell r="HX291" t="str">
            <v>mstag:tradeReceivablesGrossCurrent</v>
          </cell>
          <cell r="HY291">
            <v>6</v>
          </cell>
          <cell r="HZ291" t="str">
            <v>ISO4217:USD</v>
          </cell>
          <cell r="IA291" t="b">
            <v>0</v>
          </cell>
          <cell r="IB291" t="b">
            <v>0</v>
          </cell>
        </row>
        <row r="292">
          <cell r="F292" t="str">
            <v>Allowance for doubtful accounts, current</v>
          </cell>
          <cell r="G292">
            <v>8.8260000000000005</v>
          </cell>
          <cell r="H292">
            <v>14.661</v>
          </cell>
          <cell r="I292">
            <v>15.766999999999999</v>
          </cell>
          <cell r="J292">
            <v>14.125999999999999</v>
          </cell>
          <cell r="K292">
            <v>17.337</v>
          </cell>
          <cell r="L292">
            <v>16.827000000000002</v>
          </cell>
          <cell r="HX292" t="str">
            <v>mstag:allowanceForDoubtfulAccountsCurrent</v>
          </cell>
          <cell r="HY292">
            <v>6</v>
          </cell>
          <cell r="HZ292" t="str">
            <v>ISO4217:USD</v>
          </cell>
          <cell r="IA292" t="b">
            <v>0</v>
          </cell>
          <cell r="IB292" t="b">
            <v>0</v>
          </cell>
        </row>
        <row r="293">
          <cell r="E293" t="str">
            <v>Trade receivables, noncurrent</v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HX293" t="str">
            <v>mstag:tradeReceivablesNonCurrent</v>
          </cell>
          <cell r="HY293">
            <v>6</v>
          </cell>
          <cell r="HZ293" t="str">
            <v>ISO4217:USD</v>
          </cell>
          <cell r="IA293" t="b">
            <v>0</v>
          </cell>
          <cell r="IB293" t="b">
            <v>0</v>
          </cell>
        </row>
        <row r="294">
          <cell r="F294" t="str">
            <v>Trade receivables, gross, noncurrent</v>
          </cell>
          <cell r="HX294" t="str">
            <v>mstag:tradeReceivablesGrossNonCurrent</v>
          </cell>
          <cell r="HY294">
            <v>6</v>
          </cell>
          <cell r="HZ294" t="str">
            <v>ISO4217:USD</v>
          </cell>
          <cell r="IA294" t="b">
            <v>0</v>
          </cell>
          <cell r="IB294" t="b">
            <v>0</v>
          </cell>
        </row>
        <row r="295">
          <cell r="F295" t="str">
            <v>Allowance for doubtful accounts, noncurrent</v>
          </cell>
          <cell r="HX295" t="str">
            <v>mstag:allowanceForDoubtfulAccountsNonCurrent</v>
          </cell>
          <cell r="HY295">
            <v>6</v>
          </cell>
          <cell r="HZ295" t="str">
            <v>ISO4217:USD</v>
          </cell>
          <cell r="IA295" t="b">
            <v>0</v>
          </cell>
          <cell r="IB295" t="b">
            <v>0</v>
          </cell>
        </row>
        <row r="296">
          <cell r="D296" t="str">
            <v>Finance lease receivables</v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HX296" t="str">
            <v>mstag:financeLeaseReceivables</v>
          </cell>
          <cell r="HY296">
            <v>6</v>
          </cell>
          <cell r="HZ296" t="str">
            <v>ISO4217:USD</v>
          </cell>
          <cell r="IA296" t="b">
            <v>0</v>
          </cell>
          <cell r="IB296" t="b">
            <v>0</v>
          </cell>
        </row>
        <row r="297">
          <cell r="E297" t="str">
            <v>Finance lease receivables, current</v>
          </cell>
          <cell r="HX297" t="str">
            <v>mstag:financeLeaseReceivablesCurrent</v>
          </cell>
          <cell r="HY297">
            <v>6</v>
          </cell>
          <cell r="HZ297" t="str">
            <v>ISO4217:USD</v>
          </cell>
          <cell r="IA297" t="b">
            <v>0</v>
          </cell>
          <cell r="IB297" t="b">
            <v>0</v>
          </cell>
        </row>
        <row r="298">
          <cell r="E298" t="str">
            <v>Finance lease receivables, noncurrent</v>
          </cell>
          <cell r="HX298" t="str">
            <v>mstag:financeLeaseReceivablesNonCurrent</v>
          </cell>
          <cell r="HY298">
            <v>6</v>
          </cell>
          <cell r="HZ298" t="str">
            <v>ISO4217:USD</v>
          </cell>
          <cell r="IA298" t="b">
            <v>0</v>
          </cell>
          <cell r="IB298" t="b">
            <v>0</v>
          </cell>
        </row>
        <row r="299">
          <cell r="D299" t="str">
            <v>Notes receivable</v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HX299" t="str">
            <v>mstag:notesReceivable</v>
          </cell>
          <cell r="HY299">
            <v>6</v>
          </cell>
          <cell r="HZ299" t="str">
            <v>ISO4217:USD</v>
          </cell>
          <cell r="IA299" t="b">
            <v>0</v>
          </cell>
          <cell r="IB299" t="b">
            <v>0</v>
          </cell>
        </row>
        <row r="300">
          <cell r="E300" t="str">
            <v>Notes receivable, current</v>
          </cell>
          <cell r="HX300" t="str">
            <v>mstag:notesReceivableCurrent</v>
          </cell>
          <cell r="HY300">
            <v>6</v>
          </cell>
          <cell r="HZ300" t="str">
            <v>ISO4217:USD</v>
          </cell>
          <cell r="IA300" t="b">
            <v>0</v>
          </cell>
          <cell r="IB300" t="b">
            <v>0</v>
          </cell>
        </row>
        <row r="301">
          <cell r="E301" t="str">
            <v>Notes receivable, noncurrent</v>
          </cell>
          <cell r="HX301" t="str">
            <v>mstag:notesReceivableNonCurrent</v>
          </cell>
          <cell r="HY301">
            <v>6</v>
          </cell>
          <cell r="HZ301" t="str">
            <v>ISO4217:USD</v>
          </cell>
          <cell r="IA301" t="b">
            <v>0</v>
          </cell>
          <cell r="IB301" t="b">
            <v>0</v>
          </cell>
        </row>
        <row r="302">
          <cell r="D302" t="str">
            <v>Unbilled receivables</v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HX302" t="str">
            <v>mstag:unbilledReceivables</v>
          </cell>
          <cell r="HY302">
            <v>6</v>
          </cell>
          <cell r="HZ302" t="str">
            <v>ISO4217:USD</v>
          </cell>
          <cell r="IA302" t="b">
            <v>0</v>
          </cell>
          <cell r="IB302" t="b">
            <v>0</v>
          </cell>
        </row>
        <row r="303">
          <cell r="E303" t="str">
            <v>Unbilled receivables, current</v>
          </cell>
          <cell r="HX303" t="str">
            <v>mstag:unbilledReceivablesCurrent</v>
          </cell>
          <cell r="HY303">
            <v>6</v>
          </cell>
          <cell r="HZ303" t="str">
            <v>ISO4217:USD</v>
          </cell>
          <cell r="IA303" t="b">
            <v>0</v>
          </cell>
          <cell r="IB303" t="b">
            <v>0</v>
          </cell>
        </row>
        <row r="304">
          <cell r="E304" t="str">
            <v>Unbilled receivables, noncurrent</v>
          </cell>
          <cell r="HX304" t="str">
            <v>mstag:unbilledReceivablesNonCurrent</v>
          </cell>
          <cell r="HY304">
            <v>6</v>
          </cell>
          <cell r="HZ304" t="str">
            <v>ISO4217:USD</v>
          </cell>
          <cell r="IA304" t="b">
            <v>0</v>
          </cell>
          <cell r="IB304" t="b">
            <v>0</v>
          </cell>
        </row>
        <row r="305">
          <cell r="D305" t="str">
            <v>Other receivables</v>
          </cell>
          <cell r="G305">
            <v>117.83000000000001</v>
          </cell>
          <cell r="H305">
            <v>70.33</v>
          </cell>
          <cell r="I305">
            <v>94.288000000000011</v>
          </cell>
          <cell r="J305">
            <v>99.561000000000007</v>
          </cell>
          <cell r="K305">
            <v>122.137</v>
          </cell>
          <cell r="L305">
            <v>175.57400000000001</v>
          </cell>
          <cell r="M305" t="str">
            <v/>
          </cell>
          <cell r="HX305" t="str">
            <v>mstag:otherReceivables</v>
          </cell>
          <cell r="HY305">
            <v>6</v>
          </cell>
          <cell r="HZ305" t="str">
            <v>ISO4217:USD</v>
          </cell>
          <cell r="IA305" t="b">
            <v>0</v>
          </cell>
          <cell r="IB305" t="b">
            <v>0</v>
          </cell>
        </row>
        <row r="306">
          <cell r="E306" t="str">
            <v>Other receivables, current</v>
          </cell>
          <cell r="G306">
            <v>117.83000000000001</v>
          </cell>
          <cell r="H306">
            <v>70.33</v>
          </cell>
          <cell r="I306">
            <v>94.288000000000011</v>
          </cell>
          <cell r="J306">
            <v>99.561000000000007</v>
          </cell>
          <cell r="K306">
            <v>122.137</v>
          </cell>
          <cell r="L306">
            <v>175.57400000000001</v>
          </cell>
          <cell r="HX306" t="str">
            <v>mstag:otherReceivablesCurrent</v>
          </cell>
          <cell r="HY306">
            <v>6</v>
          </cell>
          <cell r="HZ306" t="str">
            <v>ISO4217:USD</v>
          </cell>
          <cell r="IA306" t="b">
            <v>0</v>
          </cell>
          <cell r="IB306" t="b">
            <v>0</v>
          </cell>
        </row>
        <row r="307">
          <cell r="E307" t="str">
            <v>Other receivables, noncurrent</v>
          </cell>
          <cell r="HX307" t="str">
            <v>mstag:otherReceivablesNonCurrent</v>
          </cell>
          <cell r="HY307">
            <v>6</v>
          </cell>
          <cell r="HZ307" t="str">
            <v>ISO4217:USD</v>
          </cell>
          <cell r="IA307" t="b">
            <v>0</v>
          </cell>
          <cell r="IB307" t="b">
            <v>0</v>
          </cell>
        </row>
        <row r="308">
          <cell r="D308" t="str">
            <v>Prepaid expenses</v>
          </cell>
          <cell r="G308">
            <v>55.325000000000003</v>
          </cell>
          <cell r="H308">
            <v>17.036000000000001</v>
          </cell>
          <cell r="I308">
            <v>11.87</v>
          </cell>
          <cell r="J308">
            <v>31.431999999999999</v>
          </cell>
          <cell r="K308">
            <v>38.896000000000001</v>
          </cell>
          <cell r="L308">
            <v>50.741999999999997</v>
          </cell>
          <cell r="M308">
            <v>79.44</v>
          </cell>
          <cell r="HX308" t="str">
            <v>mstag:prepaidExpenses</v>
          </cell>
          <cell r="HY308">
            <v>6</v>
          </cell>
          <cell r="HZ308" t="str">
            <v>ISO4217:USD</v>
          </cell>
          <cell r="IA308" t="b">
            <v>0</v>
          </cell>
          <cell r="IB308" t="b">
            <v>0</v>
          </cell>
        </row>
        <row r="309">
          <cell r="E309" t="str">
            <v>Prepaid expenses, current</v>
          </cell>
          <cell r="G309">
            <v>55.325000000000003</v>
          </cell>
          <cell r="H309">
            <v>17.036000000000001</v>
          </cell>
          <cell r="I309">
            <v>11.87</v>
          </cell>
          <cell r="J309">
            <v>31.431999999999999</v>
          </cell>
          <cell r="K309">
            <v>38.896000000000001</v>
          </cell>
          <cell r="L309">
            <v>50.741999999999997</v>
          </cell>
          <cell r="HX309" t="str">
            <v>mstag:prepaidExpensesCurrent</v>
          </cell>
          <cell r="HY309">
            <v>6</v>
          </cell>
          <cell r="HZ309" t="str">
            <v>ISO4217:USD</v>
          </cell>
          <cell r="IA309" t="b">
            <v>0</v>
          </cell>
          <cell r="IB309" t="b">
            <v>0</v>
          </cell>
        </row>
        <row r="310">
          <cell r="E310" t="str">
            <v>Prepaid expenses, noncurrent</v>
          </cell>
          <cell r="HX310" t="str">
            <v>mstag:prepaidExpensesNonCurrent</v>
          </cell>
          <cell r="HY310">
            <v>6</v>
          </cell>
          <cell r="HZ310" t="str">
            <v>ISO4217:USD</v>
          </cell>
          <cell r="IA310" t="b">
            <v>0</v>
          </cell>
          <cell r="IB310" t="b">
            <v>0</v>
          </cell>
        </row>
        <row r="311">
          <cell r="D311" t="str">
            <v>Income tax receivable</v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HX311" t="str">
            <v>mstag:incomeTaxReceivable</v>
          </cell>
          <cell r="HY311">
            <v>6</v>
          </cell>
          <cell r="HZ311" t="str">
            <v>ISO4217:USD</v>
          </cell>
          <cell r="IA311" t="b">
            <v>0</v>
          </cell>
          <cell r="IB311" t="b">
            <v>0</v>
          </cell>
        </row>
        <row r="312">
          <cell r="E312" t="str">
            <v>Income tax receivable, operating</v>
          </cell>
          <cell r="HX312" t="str">
            <v>mstag:incomeTaxReceivableOperating</v>
          </cell>
          <cell r="HY312">
            <v>6</v>
          </cell>
          <cell r="HZ312" t="str">
            <v>ISO4217:USD</v>
          </cell>
          <cell r="IA312" t="b">
            <v>0</v>
          </cell>
          <cell r="IB312" t="b">
            <v>0</v>
          </cell>
        </row>
        <row r="313">
          <cell r="E313" t="str">
            <v>Income tax receivable, financing</v>
          </cell>
          <cell r="HX313" t="str">
            <v>mstag:incomeTaxReceivableFinancing</v>
          </cell>
          <cell r="HY313">
            <v>6</v>
          </cell>
          <cell r="HZ313" t="str">
            <v>ISO4217:USD</v>
          </cell>
          <cell r="IA313" t="b">
            <v>0</v>
          </cell>
          <cell r="IB313" t="b">
            <v>0</v>
          </cell>
        </row>
        <row r="314">
          <cell r="E314" t="str">
            <v>Income tax receivable, other</v>
          </cell>
          <cell r="HX314" t="str">
            <v>mstag:incomeTaxReceivableOther</v>
          </cell>
          <cell r="HY314">
            <v>6</v>
          </cell>
          <cell r="HZ314" t="str">
            <v>ISO4217:USD</v>
          </cell>
          <cell r="IA314" t="b">
            <v>0</v>
          </cell>
          <cell r="IB314" t="b">
            <v>0</v>
          </cell>
        </row>
        <row r="315">
          <cell r="D315" t="str">
            <v>Inventories</v>
          </cell>
          <cell r="G315">
            <v>116.026</v>
          </cell>
          <cell r="H315">
            <v>148.626</v>
          </cell>
          <cell r="I315">
            <v>275.245</v>
          </cell>
          <cell r="J315">
            <v>265.83000000000004</v>
          </cell>
          <cell r="K315">
            <v>356.94599999999997</v>
          </cell>
          <cell r="L315">
            <v>393.54200000000003</v>
          </cell>
          <cell r="M315">
            <v>469.64</v>
          </cell>
          <cell r="HX315" t="str">
            <v>mstag:inventories</v>
          </cell>
          <cell r="HY315">
            <v>6</v>
          </cell>
          <cell r="HZ315" t="str">
            <v>ISO4217:USD</v>
          </cell>
          <cell r="IA315" t="b">
            <v>0</v>
          </cell>
          <cell r="IB315" t="b">
            <v>0</v>
          </cell>
        </row>
        <row r="316">
          <cell r="E316" t="str">
            <v>Raw materials</v>
          </cell>
          <cell r="G316">
            <v>17.544</v>
          </cell>
          <cell r="H316">
            <v>21.414000000000001</v>
          </cell>
          <cell r="I316">
            <v>19.902999999999999</v>
          </cell>
          <cell r="J316">
            <v>17.620999999999999</v>
          </cell>
          <cell r="K316">
            <v>23.632999999999999</v>
          </cell>
          <cell r="L316">
            <v>30.181000000000001</v>
          </cell>
          <cell r="HX316" t="str">
            <v>mstag:rawMaterials</v>
          </cell>
          <cell r="HY316">
            <v>6</v>
          </cell>
          <cell r="HZ316" t="str">
            <v>ISO4217:USD</v>
          </cell>
          <cell r="IA316" t="b">
            <v>0</v>
          </cell>
          <cell r="IB316" t="b">
            <v>0</v>
          </cell>
        </row>
        <row r="317">
          <cell r="E317" t="str">
            <v>Production supplies</v>
          </cell>
          <cell r="HX317" t="str">
            <v>mstag:productionSupplies</v>
          </cell>
          <cell r="HY317">
            <v>6</v>
          </cell>
          <cell r="HZ317" t="str">
            <v>ISO4217:USD</v>
          </cell>
          <cell r="IA317" t="b">
            <v>0</v>
          </cell>
          <cell r="IB317" t="b">
            <v>0</v>
          </cell>
        </row>
        <row r="318">
          <cell r="E318" t="str">
            <v>Work in progress</v>
          </cell>
          <cell r="G318">
            <v>84.831000000000003</v>
          </cell>
          <cell r="H318">
            <v>106.383</v>
          </cell>
          <cell r="I318">
            <v>228.09200000000001</v>
          </cell>
          <cell r="J318">
            <v>233.12100000000001</v>
          </cell>
          <cell r="K318">
            <v>299.71699999999998</v>
          </cell>
          <cell r="L318">
            <v>329.81900000000002</v>
          </cell>
          <cell r="HX318" t="str">
            <v>mstag:workInProgress</v>
          </cell>
          <cell r="HY318">
            <v>6</v>
          </cell>
          <cell r="HZ318" t="str">
            <v>ISO4217:USD</v>
          </cell>
          <cell r="IA318" t="b">
            <v>0</v>
          </cell>
          <cell r="IB318" t="b">
            <v>0</v>
          </cell>
        </row>
        <row r="319">
          <cell r="E319" t="str">
            <v>Finished goods</v>
          </cell>
          <cell r="G319">
            <v>13.651</v>
          </cell>
          <cell r="H319">
            <v>20.829000000000001</v>
          </cell>
          <cell r="I319">
            <v>27.25</v>
          </cell>
          <cell r="J319">
            <v>15.087999999999999</v>
          </cell>
          <cell r="K319">
            <v>33.595999999999997</v>
          </cell>
          <cell r="L319">
            <v>33.542000000000002</v>
          </cell>
          <cell r="HX319" t="str">
            <v>mstag:finishedGoods</v>
          </cell>
          <cell r="HY319">
            <v>6</v>
          </cell>
          <cell r="HZ319" t="str">
            <v>ISO4217:USD</v>
          </cell>
          <cell r="IA319" t="b">
            <v>0</v>
          </cell>
          <cell r="IB319" t="b">
            <v>0</v>
          </cell>
        </row>
        <row r="320">
          <cell r="E320" t="str">
            <v>Other inventories</v>
          </cell>
          <cell r="HX320" t="str">
            <v>mstag:otherInventories</v>
          </cell>
          <cell r="HY320">
            <v>6</v>
          </cell>
          <cell r="HZ320" t="str">
            <v>ISO4217:USD</v>
          </cell>
          <cell r="IA320" t="b">
            <v>0</v>
          </cell>
          <cell r="IB320" t="b">
            <v>0</v>
          </cell>
        </row>
        <row r="321">
          <cell r="D321" t="str">
            <v>Property, plant, and equipment, net</v>
          </cell>
          <cell r="G321">
            <v>680.03399999999999</v>
          </cell>
          <cell r="H321">
            <v>696.68399999999997</v>
          </cell>
          <cell r="I321">
            <v>725.43099999999993</v>
          </cell>
          <cell r="J321">
            <v>734.43600000000004</v>
          </cell>
          <cell r="K321">
            <v>835.03599999999994</v>
          </cell>
          <cell r="L321">
            <v>1015.1449999999999</v>
          </cell>
          <cell r="M321">
            <v>3040.8</v>
          </cell>
          <cell r="HX321" t="str">
            <v>mstag:propertyPlantAndEquipmentNet</v>
          </cell>
          <cell r="HY321">
            <v>6</v>
          </cell>
          <cell r="HZ321" t="str">
            <v>ISO4217:USD</v>
          </cell>
          <cell r="IA321" t="b">
            <v>0</v>
          </cell>
          <cell r="IB321" t="b">
            <v>0</v>
          </cell>
        </row>
        <row r="322">
          <cell r="E322" t="str">
            <v>Property, plant, and equipment, gross</v>
          </cell>
          <cell r="G322">
            <v>1056.125</v>
          </cell>
          <cell r="H322">
            <v>1141.8989999999999</v>
          </cell>
          <cell r="I322">
            <v>1244.9269999999999</v>
          </cell>
          <cell r="J322">
            <v>1338.768</v>
          </cell>
          <cell r="K322">
            <v>1471.2629999999999</v>
          </cell>
          <cell r="L322">
            <v>1742.7569999999998</v>
          </cell>
          <cell r="M322" t="str">
            <v/>
          </cell>
          <cell r="HX322" t="str">
            <v>mstag:propertyPlantAndEquipmentGross</v>
          </cell>
          <cell r="HY322">
            <v>6</v>
          </cell>
          <cell r="HZ322" t="str">
            <v>ISO4217:USD</v>
          </cell>
          <cell r="IA322" t="b">
            <v>0</v>
          </cell>
          <cell r="IB322" t="b">
            <v>0</v>
          </cell>
        </row>
        <row r="323">
          <cell r="F323" t="str">
            <v>Property</v>
          </cell>
          <cell r="G323">
            <v>339.70800000000003</v>
          </cell>
          <cell r="H323">
            <v>378.13299999999998</v>
          </cell>
          <cell r="I323">
            <v>380.23599999999999</v>
          </cell>
          <cell r="J323">
            <v>392.11900000000003</v>
          </cell>
          <cell r="K323">
            <v>402.47300000000001</v>
          </cell>
          <cell r="L323">
            <v>422.79</v>
          </cell>
          <cell r="HX323" t="str">
            <v>mstag:property</v>
          </cell>
          <cell r="HY323">
            <v>6</v>
          </cell>
          <cell r="HZ323" t="str">
            <v>ISO4217:USD</v>
          </cell>
          <cell r="IA323" t="b">
            <v>0</v>
          </cell>
          <cell r="IB323" t="b">
            <v>0</v>
          </cell>
        </row>
        <row r="324">
          <cell r="F324" t="str">
            <v>Plant and equipment</v>
          </cell>
          <cell r="G324">
            <v>494.87400000000002</v>
          </cell>
          <cell r="H324">
            <v>607.36900000000003</v>
          </cell>
          <cell r="I324">
            <v>667.88400000000001</v>
          </cell>
          <cell r="J324">
            <v>761.69600000000003</v>
          </cell>
          <cell r="K324">
            <v>788.19799999999998</v>
          </cell>
          <cell r="L324">
            <v>880.62400000000002</v>
          </cell>
          <cell r="HX324" t="str">
            <v>mstag:plantAndEquipment</v>
          </cell>
          <cell r="HY324">
            <v>6</v>
          </cell>
          <cell r="HZ324" t="str">
            <v>ISO4217:USD</v>
          </cell>
          <cell r="IA324" t="b">
            <v>0</v>
          </cell>
          <cell r="IB324" t="b">
            <v>0</v>
          </cell>
        </row>
        <row r="325">
          <cell r="F325" t="str">
            <v>Land</v>
          </cell>
          <cell r="G325">
            <v>69.010000000000005</v>
          </cell>
          <cell r="H325">
            <v>69.436999999999998</v>
          </cell>
          <cell r="I325">
            <v>89.983000000000004</v>
          </cell>
          <cell r="J325">
            <v>90.274000000000001</v>
          </cell>
          <cell r="K325">
            <v>125.029</v>
          </cell>
          <cell r="L325">
            <v>149.53299999999999</v>
          </cell>
          <cell r="HX325" t="str">
            <v>mstag:land</v>
          </cell>
          <cell r="HY325">
            <v>6</v>
          </cell>
          <cell r="HZ325" t="str">
            <v>ISO4217:USD</v>
          </cell>
          <cell r="IA325" t="b">
            <v>0</v>
          </cell>
          <cell r="IB325" t="b">
            <v>0</v>
          </cell>
        </row>
        <row r="326">
          <cell r="F326" t="str">
            <v>Construction in progress</v>
          </cell>
          <cell r="G326">
            <v>152.53299999999999</v>
          </cell>
          <cell r="H326">
            <v>86.96</v>
          </cell>
          <cell r="I326">
            <v>106.824</v>
          </cell>
          <cell r="J326">
            <v>94.679000000000002</v>
          </cell>
          <cell r="K326">
            <v>155.56299999999999</v>
          </cell>
          <cell r="L326">
            <v>289.81</v>
          </cell>
          <cell r="HX326" t="str">
            <v>mstag:constructionInProgress</v>
          </cell>
          <cell r="HY326">
            <v>6</v>
          </cell>
          <cell r="HZ326" t="str">
            <v>ISO4217:USD</v>
          </cell>
          <cell r="IA326" t="b">
            <v>0</v>
          </cell>
          <cell r="IB326" t="b">
            <v>0</v>
          </cell>
        </row>
        <row r="327">
          <cell r="E327" t="str">
            <v>Accumulated depreciation</v>
          </cell>
          <cell r="G327">
            <v>376.09100000000001</v>
          </cell>
          <cell r="H327">
            <v>445.21499999999997</v>
          </cell>
          <cell r="I327">
            <v>519.49599999999998</v>
          </cell>
          <cell r="J327">
            <v>604.33199999999999</v>
          </cell>
          <cell r="K327">
            <v>636.22699999999998</v>
          </cell>
          <cell r="L327">
            <v>727.61199999999997</v>
          </cell>
          <cell r="HX327" t="str">
            <v>mstag:accumulatedDepreciation</v>
          </cell>
          <cell r="HY327">
            <v>6</v>
          </cell>
          <cell r="HZ327" t="str">
            <v>ISO4217:USD</v>
          </cell>
          <cell r="IA327" t="b">
            <v>0</v>
          </cell>
          <cell r="IB327" t="b">
            <v>0</v>
          </cell>
        </row>
        <row r="328">
          <cell r="D328" t="str">
            <v>Goodwill</v>
          </cell>
          <cell r="G328">
            <v>0</v>
          </cell>
          <cell r="H328">
            <v>0</v>
          </cell>
          <cell r="I328">
            <v>1609.0630000000001</v>
          </cell>
          <cell r="J328">
            <v>1455.7779999999998</v>
          </cell>
          <cell r="K328">
            <v>1302.4929999999999</v>
          </cell>
          <cell r="L328">
            <v>1315.019</v>
          </cell>
          <cell r="M328">
            <v>1315.09</v>
          </cell>
          <cell r="HX328" t="str">
            <v>mstag:goodwill</v>
          </cell>
          <cell r="HY328">
            <v>6</v>
          </cell>
          <cell r="HZ328" t="str">
            <v>ISO4217:USD</v>
          </cell>
          <cell r="IA328" t="b">
            <v>0</v>
          </cell>
          <cell r="IB328" t="b">
            <v>0</v>
          </cell>
        </row>
        <row r="329">
          <cell r="E329" t="str">
            <v>Gross goodwill</v>
          </cell>
          <cell r="G329">
            <v>0</v>
          </cell>
          <cell r="H329">
            <v>0</v>
          </cell>
          <cell r="I329">
            <v>2299.2719999999999</v>
          </cell>
          <cell r="J329">
            <v>2299.2719999999999</v>
          </cell>
          <cell r="K329">
            <v>1302.4929999999999</v>
          </cell>
          <cell r="L329">
            <v>1315.019</v>
          </cell>
          <cell r="HX329" t="str">
            <v>mstag:grossGoodwill</v>
          </cell>
          <cell r="HY329">
            <v>6</v>
          </cell>
          <cell r="HZ329" t="str">
            <v>ISO4217:USD</v>
          </cell>
          <cell r="IA329" t="b">
            <v>0</v>
          </cell>
          <cell r="IB329" t="b">
            <v>0</v>
          </cell>
        </row>
        <row r="330">
          <cell r="E330" t="str">
            <v>Accumulated amortization of goodwill</v>
          </cell>
          <cell r="G330">
            <v>0</v>
          </cell>
          <cell r="H330">
            <v>0</v>
          </cell>
          <cell r="I330">
            <v>690.20899999999995</v>
          </cell>
          <cell r="J330">
            <v>843.49400000000003</v>
          </cell>
          <cell r="K330">
            <v>0</v>
          </cell>
          <cell r="L330">
            <v>0</v>
          </cell>
          <cell r="HX330" t="str">
            <v>mstag:accumulatedAmortizationOfGoodwill</v>
          </cell>
          <cell r="HY330">
            <v>6</v>
          </cell>
          <cell r="HZ330" t="str">
            <v>ISO4217:USD</v>
          </cell>
          <cell r="IA330" t="b">
            <v>0</v>
          </cell>
          <cell r="IB330" t="b">
            <v>0</v>
          </cell>
        </row>
        <row r="331">
          <cell r="D331" t="str">
            <v>Other intangible assets</v>
          </cell>
          <cell r="G331">
            <v>0</v>
          </cell>
          <cell r="H331">
            <v>65.033000000000001</v>
          </cell>
          <cell r="I331">
            <v>1453.268</v>
          </cell>
          <cell r="J331">
            <v>1280.3589999999999</v>
          </cell>
          <cell r="K331">
            <v>1113.299</v>
          </cell>
          <cell r="L331">
            <v>927.53800000000001</v>
          </cell>
          <cell r="M331">
            <v>810.81</v>
          </cell>
          <cell r="HX331" t="str">
            <v>mstag:otherIntangibleAssets</v>
          </cell>
          <cell r="HY331">
            <v>6</v>
          </cell>
          <cell r="HZ331" t="str">
            <v>ISO4217:USD</v>
          </cell>
          <cell r="IA331" t="b">
            <v>0</v>
          </cell>
          <cell r="IB331" t="b">
            <v>0</v>
          </cell>
        </row>
        <row r="332">
          <cell r="E332" t="str">
            <v>Other finite life intangible assets</v>
          </cell>
          <cell r="G332">
            <v>0</v>
          </cell>
          <cell r="H332">
            <v>65.033000000000001</v>
          </cell>
          <cell r="I332">
            <v>1453.268</v>
          </cell>
          <cell r="J332">
            <v>1280.3589999999999</v>
          </cell>
          <cell r="K332">
            <v>1113.299</v>
          </cell>
          <cell r="L332">
            <v>927.53800000000001</v>
          </cell>
          <cell r="HX332" t="str">
            <v>mstag:otherFiniteLifeIntangibleAssets</v>
          </cell>
          <cell r="HY332">
            <v>6</v>
          </cell>
          <cell r="HZ332" t="str">
            <v>ISO4217:USD</v>
          </cell>
          <cell r="IA332" t="b">
            <v>0</v>
          </cell>
          <cell r="IB332" t="b">
            <v>0</v>
          </cell>
        </row>
        <row r="333">
          <cell r="E333" t="str">
            <v>Other indefinite life intangible assets</v>
          </cell>
          <cell r="HX333" t="str">
            <v>mstag:otherIndefiniteLifeIntangibleAssets</v>
          </cell>
          <cell r="HY333">
            <v>6</v>
          </cell>
          <cell r="HZ333" t="str">
            <v>ISO4217:USD</v>
          </cell>
          <cell r="IA333" t="b">
            <v>0</v>
          </cell>
          <cell r="IB333" t="b">
            <v>0</v>
          </cell>
        </row>
        <row r="334">
          <cell r="D334" t="str">
            <v>Investments, nonoperating</v>
          </cell>
          <cell r="G334">
            <v>1042.0409999999999</v>
          </cell>
          <cell r="H334">
            <v>1323.432</v>
          </cell>
          <cell r="I334">
            <v>1563.16</v>
          </cell>
          <cell r="J334">
            <v>1851.3900000000003</v>
          </cell>
          <cell r="K334">
            <v>2469.6880000000001</v>
          </cell>
          <cell r="L334">
            <v>1393.7280000000001</v>
          </cell>
          <cell r="M334">
            <v>1139.6199999999999</v>
          </cell>
          <cell r="HX334" t="str">
            <v>mstag:investmentsNonOperating</v>
          </cell>
          <cell r="HY334">
            <v>6</v>
          </cell>
          <cell r="HZ334" t="str">
            <v>ISO4217:USD</v>
          </cell>
          <cell r="IA334" t="b">
            <v>0</v>
          </cell>
          <cell r="IB334" t="b">
            <v>0</v>
          </cell>
        </row>
        <row r="335">
          <cell r="E335" t="str">
            <v>Short-term investments</v>
          </cell>
          <cell r="G335">
            <v>588.85299999999995</v>
          </cell>
          <cell r="H335">
            <v>606.54399999999998</v>
          </cell>
          <cell r="I335">
            <v>405.00299999999999</v>
          </cell>
          <cell r="J335">
            <v>642.47500000000002</v>
          </cell>
          <cell r="K335">
            <v>952.875</v>
          </cell>
          <cell r="L335">
            <v>826.44200000000001</v>
          </cell>
          <cell r="HX335" t="str">
            <v>mstag:shortTermInvestments</v>
          </cell>
          <cell r="HY335">
            <v>6</v>
          </cell>
          <cell r="HZ335" t="str">
            <v>ISO4217:USD</v>
          </cell>
          <cell r="IA335" t="b">
            <v>0</v>
          </cell>
          <cell r="IB335" t="b">
            <v>0</v>
          </cell>
        </row>
        <row r="336">
          <cell r="E336" t="str">
            <v>Long-term investments, nonoperating</v>
          </cell>
          <cell r="G336">
            <v>453.18799999999999</v>
          </cell>
          <cell r="H336">
            <v>716.88800000000003</v>
          </cell>
          <cell r="I336">
            <v>1158.1570000000002</v>
          </cell>
          <cell r="J336">
            <v>1208.9150000000002</v>
          </cell>
          <cell r="K336">
            <v>1516.8130000000001</v>
          </cell>
          <cell r="L336">
            <v>567.28599999999994</v>
          </cell>
          <cell r="HX336" t="str">
            <v>mstag:longTermInvestmentsNonOperating</v>
          </cell>
          <cell r="HY336">
            <v>6</v>
          </cell>
          <cell r="HZ336" t="str">
            <v>ISO4217:USD</v>
          </cell>
          <cell r="IA336" t="b">
            <v>0</v>
          </cell>
          <cell r="IB336" t="b">
            <v>0</v>
          </cell>
        </row>
        <row r="337">
          <cell r="D337" t="str">
            <v>Investments under the equity method, operating</v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HX337" t="str">
            <v>mstag:investmentsUnderTheEquityMethodOperating</v>
          </cell>
          <cell r="HY337">
            <v>6</v>
          </cell>
          <cell r="HZ337" t="str">
            <v>ISO4217:USD</v>
          </cell>
          <cell r="IA337" t="b">
            <v>0</v>
          </cell>
          <cell r="IB337" t="b">
            <v>0</v>
          </cell>
        </row>
        <row r="338">
          <cell r="E338" t="str">
            <v>Investments in subsidiaries</v>
          </cell>
          <cell r="HX338" t="str">
            <v>mstag:investmentsInSubsidiaries</v>
          </cell>
          <cell r="HY338">
            <v>6</v>
          </cell>
          <cell r="HZ338" t="str">
            <v>ISO4217:USD</v>
          </cell>
          <cell r="IA338" t="b">
            <v>0</v>
          </cell>
          <cell r="IB338" t="b">
            <v>0</v>
          </cell>
        </row>
        <row r="339">
          <cell r="E339" t="str">
            <v>Investments in associates</v>
          </cell>
          <cell r="HX339" t="str">
            <v>mstag:investmentsInAssociates</v>
          </cell>
          <cell r="HY339">
            <v>6</v>
          </cell>
          <cell r="HZ339" t="str">
            <v>ISO4217:USD</v>
          </cell>
          <cell r="IA339" t="b">
            <v>0</v>
          </cell>
          <cell r="IB339" t="b">
            <v>0</v>
          </cell>
        </row>
        <row r="340">
          <cell r="E340" t="str">
            <v>Investments in joint ventures</v>
          </cell>
          <cell r="HX340" t="str">
            <v>mstag:investmentsInJointVentures</v>
          </cell>
          <cell r="HY340">
            <v>6</v>
          </cell>
          <cell r="HZ340" t="str">
            <v>ISO4217:USD</v>
          </cell>
          <cell r="IA340" t="b">
            <v>0</v>
          </cell>
          <cell r="IB340" t="b">
            <v>0</v>
          </cell>
        </row>
        <row r="341">
          <cell r="D341" t="str">
            <v>Investments under the equity method, nonoperating</v>
          </cell>
          <cell r="HX341" t="str">
            <v>mstag:investmentsUnderTheEquityMethodNonOperating</v>
          </cell>
          <cell r="HY341">
            <v>6</v>
          </cell>
          <cell r="HZ341" t="str">
            <v>ISO4217:USD</v>
          </cell>
          <cell r="IA341" t="b">
            <v>0</v>
          </cell>
          <cell r="IB341" t="b">
            <v>0</v>
          </cell>
        </row>
        <row r="342">
          <cell r="D342" t="str">
            <v>Deferred tax assets</v>
          </cell>
          <cell r="G342">
            <v>0</v>
          </cell>
          <cell r="H342">
            <v>38.848999999999997</v>
          </cell>
          <cell r="I342">
            <v>81.921999999999997</v>
          </cell>
          <cell r="J342">
            <v>40.619</v>
          </cell>
          <cell r="K342">
            <v>139.56700000000001</v>
          </cell>
          <cell r="L342">
            <v>82.299000000000007</v>
          </cell>
          <cell r="M342">
            <v>121.88500000000001</v>
          </cell>
          <cell r="HX342" t="str">
            <v>mstag:deferredTaxAssets</v>
          </cell>
          <cell r="HY342">
            <v>6</v>
          </cell>
          <cell r="HZ342" t="str">
            <v>ISO4217:USD</v>
          </cell>
          <cell r="IA342" t="b">
            <v>0</v>
          </cell>
          <cell r="IB342" t="b">
            <v>0</v>
          </cell>
        </row>
        <row r="343">
          <cell r="E343" t="str">
            <v>Deferred tax assets, current</v>
          </cell>
          <cell r="G343">
            <v>0</v>
          </cell>
          <cell r="H343">
            <v>38.848999999999997</v>
          </cell>
          <cell r="I343">
            <v>81.921999999999997</v>
          </cell>
          <cell r="J343">
            <v>40.619</v>
          </cell>
          <cell r="K343">
            <v>139.56700000000001</v>
          </cell>
          <cell r="L343">
            <v>82.299000000000007</v>
          </cell>
          <cell r="HX343" t="str">
            <v>mstag:deferredTaxAssetsCurrent</v>
          </cell>
          <cell r="HY343">
            <v>6</v>
          </cell>
          <cell r="HZ343" t="str">
            <v>ISO4217:USD</v>
          </cell>
          <cell r="IA343" t="b">
            <v>0</v>
          </cell>
          <cell r="IB343" t="b">
            <v>0</v>
          </cell>
        </row>
        <row r="344">
          <cell r="E344" t="str">
            <v>Deferred tax assets, noncurrent</v>
          </cell>
          <cell r="HX344" t="str">
            <v>mstag:deferredTaxAssetsNonCurrent</v>
          </cell>
          <cell r="HY344">
            <v>6</v>
          </cell>
          <cell r="HZ344" t="str">
            <v>ISO4217:USD</v>
          </cell>
          <cell r="IA344" t="b">
            <v>0</v>
          </cell>
          <cell r="IB344" t="b">
            <v>0</v>
          </cell>
        </row>
        <row r="345">
          <cell r="D345" t="str">
            <v>Pension and other postretirement assets</v>
          </cell>
          <cell r="HX345" t="str">
            <v>mstag:pensionAndOtherPostRetirementAssets</v>
          </cell>
          <cell r="HY345">
            <v>6</v>
          </cell>
          <cell r="HZ345" t="str">
            <v>ISO4217:USD</v>
          </cell>
          <cell r="IA345" t="b">
            <v>0</v>
          </cell>
          <cell r="IB345" t="b">
            <v>0</v>
          </cell>
        </row>
        <row r="346">
          <cell r="D346" t="str">
            <v>Investment in own shares, asset</v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HX346" t="str">
            <v>mstag:investmentInOwnSharesAsset</v>
          </cell>
          <cell r="HY346">
            <v>6</v>
          </cell>
          <cell r="HZ346" t="str">
            <v>ISO4217:USD</v>
          </cell>
          <cell r="IA346" t="b">
            <v>0</v>
          </cell>
          <cell r="IB346" t="b">
            <v>0</v>
          </cell>
        </row>
        <row r="347">
          <cell r="E347" t="str">
            <v>Investment in ESOP trusts</v>
          </cell>
          <cell r="HX347" t="str">
            <v>mstag:investmentInEsopTrusts</v>
          </cell>
          <cell r="HY347">
            <v>6</v>
          </cell>
          <cell r="HZ347" t="str">
            <v>ISO4217:USD</v>
          </cell>
          <cell r="IA347" t="b">
            <v>0</v>
          </cell>
          <cell r="IB347" t="b">
            <v>0</v>
          </cell>
        </row>
        <row r="348">
          <cell r="D348" t="str">
            <v>Other assets, operating</v>
          </cell>
          <cell r="G348">
            <v>180.47200000000001</v>
          </cell>
          <cell r="H348">
            <v>134.839</v>
          </cell>
          <cell r="I348">
            <v>262.35599999999999</v>
          </cell>
          <cell r="J348">
            <v>243.51399999999998</v>
          </cell>
          <cell r="K348">
            <v>180.42099999999999</v>
          </cell>
          <cell r="L348">
            <v>953.49500000000012</v>
          </cell>
          <cell r="M348" t="str">
            <v/>
          </cell>
          <cell r="HX348" t="str">
            <v>mstag:otherAssets</v>
          </cell>
          <cell r="HY348">
            <v>6</v>
          </cell>
          <cell r="HZ348" t="str">
            <v>ISO4217:USD</v>
          </cell>
          <cell r="IA348" t="b">
            <v>0</v>
          </cell>
          <cell r="IB348" t="b">
            <v>0</v>
          </cell>
        </row>
        <row r="349">
          <cell r="E349" t="str">
            <v>Other assets, operating, current</v>
          </cell>
          <cell r="G349">
            <v>0</v>
          </cell>
          <cell r="H349">
            <v>0</v>
          </cell>
          <cell r="I349">
            <v>56.6</v>
          </cell>
          <cell r="J349">
            <v>56.6</v>
          </cell>
          <cell r="K349">
            <v>79.167000000000002</v>
          </cell>
          <cell r="L349">
            <v>789.74800000000005</v>
          </cell>
          <cell r="HX349" t="str">
            <v>mstag:otherAssetsOperatingCurrent</v>
          </cell>
          <cell r="HY349">
            <v>6</v>
          </cell>
          <cell r="HZ349" t="str">
            <v>ISO4217:USD</v>
          </cell>
          <cell r="IA349" t="b">
            <v>0</v>
          </cell>
          <cell r="IB349" t="b">
            <v>0</v>
          </cell>
        </row>
        <row r="350">
          <cell r="E350" t="str">
            <v>Other assets, operating, noncurrent</v>
          </cell>
          <cell r="G350">
            <v>180.47200000000001</v>
          </cell>
          <cell r="H350">
            <v>134.839</v>
          </cell>
          <cell r="I350">
            <v>205.756</v>
          </cell>
          <cell r="J350">
            <v>186.91399999999999</v>
          </cell>
          <cell r="K350">
            <v>101.254</v>
          </cell>
          <cell r="L350">
            <v>163.74700000000001</v>
          </cell>
          <cell r="HX350" t="str">
            <v>mstag:otherAssetsOperatingNonCurrent</v>
          </cell>
          <cell r="HY350">
            <v>6</v>
          </cell>
          <cell r="HZ350" t="str">
            <v>ISO4217:USD</v>
          </cell>
          <cell r="IA350" t="b">
            <v>0</v>
          </cell>
          <cell r="IB350" t="b">
            <v>0</v>
          </cell>
        </row>
        <row r="351">
          <cell r="D351" t="str">
            <v>Other assets, nonoperating</v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>
            <v>812.7</v>
          </cell>
          <cell r="HX351" t="str">
            <v>mstag:otherAssetsNonOperating</v>
          </cell>
          <cell r="HY351">
            <v>6</v>
          </cell>
          <cell r="HZ351" t="str">
            <v>ISO4217:USD</v>
          </cell>
          <cell r="IA351" t="b">
            <v>0</v>
          </cell>
          <cell r="IB351" t="b">
            <v>0</v>
          </cell>
        </row>
        <row r="352">
          <cell r="E352" t="str">
            <v>Other assets, nonoperating, current</v>
          </cell>
          <cell r="HX352" t="str">
            <v>mstag:otherAssetsNonOperatingCurrent</v>
          </cell>
          <cell r="HY352">
            <v>6</v>
          </cell>
          <cell r="HZ352" t="str">
            <v>ISO4217:USD</v>
          </cell>
          <cell r="IA352" t="b">
            <v>0</v>
          </cell>
          <cell r="IB352" t="b">
            <v>0</v>
          </cell>
        </row>
        <row r="353">
          <cell r="E353" t="str">
            <v>Other assets, nonoperating, noncurrent</v>
          </cell>
          <cell r="HX353" t="str">
            <v>mstag:otherAssetsNonOperatingNonCurrent</v>
          </cell>
          <cell r="HY353">
            <v>6</v>
          </cell>
          <cell r="HZ353" t="str">
            <v>ISO4217:USD</v>
          </cell>
          <cell r="IA353" t="b">
            <v>0</v>
          </cell>
          <cell r="IB353" t="b">
            <v>0</v>
          </cell>
        </row>
        <row r="354">
          <cell r="D354" t="str">
            <v>Assets of discontinued operations</v>
          </cell>
          <cell r="HX354" t="str">
            <v>mstag:assetsOfDiscontinuedOperations</v>
          </cell>
          <cell r="HY354">
            <v>6</v>
          </cell>
          <cell r="HZ354" t="str">
            <v>ISO4217:USD</v>
          </cell>
          <cell r="IA354" t="b">
            <v>0</v>
          </cell>
          <cell r="IB354" t="b">
            <v>0</v>
          </cell>
        </row>
        <row r="355">
          <cell r="C355" t="str">
            <v>Liabilities and equity</v>
          </cell>
          <cell r="M355">
            <v>8736.0156437000005</v>
          </cell>
          <cell r="HX355" t="str">
            <v>mstag:liabilitiesAndEquity</v>
          </cell>
          <cell r="HY355">
            <v>6</v>
          </cell>
          <cell r="HZ355" t="str">
            <v>ISO4217:USD</v>
          </cell>
          <cell r="IA355" t="b">
            <v>0</v>
          </cell>
          <cell r="IB355" t="b">
            <v>0</v>
          </cell>
        </row>
        <row r="356">
          <cell r="D356" t="str">
            <v>Trade and other payables</v>
          </cell>
          <cell r="G356">
            <v>48.991999999999997</v>
          </cell>
          <cell r="H356">
            <v>40.895000000000003</v>
          </cell>
          <cell r="I356">
            <v>33.122999999999998</v>
          </cell>
          <cell r="J356">
            <v>39.113999999999997</v>
          </cell>
          <cell r="K356">
            <v>33.347999999999999</v>
          </cell>
          <cell r="L356">
            <v>51.38</v>
          </cell>
          <cell r="M356">
            <v>59.7</v>
          </cell>
          <cell r="HX356" t="str">
            <v>mstag:tradeAndOtherPayables</v>
          </cell>
          <cell r="HY356">
            <v>6</v>
          </cell>
          <cell r="HZ356" t="str">
            <v>ISO4217:USD</v>
          </cell>
          <cell r="IA356" t="b">
            <v>0</v>
          </cell>
          <cell r="IB356" t="b">
            <v>0</v>
          </cell>
        </row>
        <row r="357">
          <cell r="E357" t="str">
            <v>Trade and other payables, current</v>
          </cell>
          <cell r="G357">
            <v>48.991999999999997</v>
          </cell>
          <cell r="H357">
            <v>40.895000000000003</v>
          </cell>
          <cell r="I357">
            <v>33.122999999999998</v>
          </cell>
          <cell r="J357">
            <v>39.113999999999997</v>
          </cell>
          <cell r="K357">
            <v>33.347999999999999</v>
          </cell>
          <cell r="L357">
            <v>51.38</v>
          </cell>
          <cell r="M357" t="str">
            <v/>
          </cell>
          <cell r="HX357" t="str">
            <v>mstag:tradeAndOtherPayablesCurrent</v>
          </cell>
          <cell r="HY357">
            <v>6</v>
          </cell>
          <cell r="HZ357" t="str">
            <v>ISO4217:USD</v>
          </cell>
          <cell r="IA357" t="b">
            <v>0</v>
          </cell>
          <cell r="IB357" t="b">
            <v>0</v>
          </cell>
        </row>
        <row r="358">
          <cell r="F358" t="str">
            <v>Trade payables, current</v>
          </cell>
          <cell r="G358">
            <v>48.991999999999997</v>
          </cell>
          <cell r="H358">
            <v>40.895000000000003</v>
          </cell>
          <cell r="I358">
            <v>33.122999999999998</v>
          </cell>
          <cell r="J358">
            <v>39.113999999999997</v>
          </cell>
          <cell r="K358">
            <v>33.347999999999999</v>
          </cell>
          <cell r="L358">
            <v>51.38</v>
          </cell>
          <cell r="HX358" t="str">
            <v>mstag:tradePayablesCurrent</v>
          </cell>
          <cell r="HY358">
            <v>6</v>
          </cell>
          <cell r="HZ358" t="str">
            <v>ISO4217:USD</v>
          </cell>
          <cell r="IA358" t="b">
            <v>0</v>
          </cell>
          <cell r="IB358" t="b">
            <v>0</v>
          </cell>
        </row>
        <row r="359">
          <cell r="F359" t="str">
            <v>Other payables, current</v>
          </cell>
          <cell r="HX359" t="str">
            <v>mstag:otherPayablesCurrent</v>
          </cell>
          <cell r="HY359">
            <v>6</v>
          </cell>
          <cell r="HZ359" t="str">
            <v>ISO4217:USD</v>
          </cell>
          <cell r="IA359" t="b">
            <v>0</v>
          </cell>
          <cell r="IB359" t="b">
            <v>0</v>
          </cell>
        </row>
        <row r="360">
          <cell r="E360" t="str">
            <v>Trade and other payables, noncurrent</v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HX360" t="str">
            <v>mstag:tradeAndOtherPayablesNonCurrent</v>
          </cell>
          <cell r="HY360">
            <v>6</v>
          </cell>
          <cell r="HZ360" t="str">
            <v>ISO4217:USD</v>
          </cell>
          <cell r="IA360" t="b">
            <v>0</v>
          </cell>
          <cell r="IB360" t="b">
            <v>0</v>
          </cell>
        </row>
        <row r="361">
          <cell r="F361" t="str">
            <v>Trade payables, noncurrent</v>
          </cell>
          <cell r="HX361" t="str">
            <v>mstag:tradePayablesNonCurrent</v>
          </cell>
          <cell r="HY361">
            <v>6</v>
          </cell>
          <cell r="HZ361" t="str">
            <v>ISO4217:USD</v>
          </cell>
          <cell r="IA361" t="b">
            <v>0</v>
          </cell>
          <cell r="IB361" t="b">
            <v>0</v>
          </cell>
        </row>
        <row r="362">
          <cell r="F362" t="str">
            <v>Other payables, noncurrent</v>
          </cell>
          <cell r="HX362" t="str">
            <v>mstag:otherPayablesNonCurrent</v>
          </cell>
          <cell r="HY362">
            <v>6</v>
          </cell>
          <cell r="HZ362" t="str">
            <v>ISO4217:USD</v>
          </cell>
          <cell r="IA362" t="b">
            <v>0</v>
          </cell>
          <cell r="IB362" t="b">
            <v>0</v>
          </cell>
        </row>
        <row r="363">
          <cell r="D363" t="str">
            <v>Dividends payable</v>
          </cell>
          <cell r="HX363" t="str">
            <v>mstag:dividendsPayable</v>
          </cell>
          <cell r="HY363">
            <v>6</v>
          </cell>
          <cell r="HZ363" t="str">
            <v>ISO4217:USD</v>
          </cell>
          <cell r="IA363" t="b">
            <v>0</v>
          </cell>
          <cell r="IB363" t="b">
            <v>0</v>
          </cell>
        </row>
        <row r="364">
          <cell r="D364" t="str">
            <v>Short-term borrowings, up to 1 year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149.69200000000001</v>
          </cell>
          <cell r="L364">
            <v>0</v>
          </cell>
          <cell r="HX364" t="str">
            <v>mstag:shortTermBorrowings</v>
          </cell>
          <cell r="HY364">
            <v>6</v>
          </cell>
          <cell r="HZ364" t="str">
            <v>ISO4217:USD</v>
          </cell>
          <cell r="IA364" t="b">
            <v>0</v>
          </cell>
          <cell r="IB364" t="b">
            <v>0</v>
          </cell>
        </row>
        <row r="365">
          <cell r="D365" t="str">
            <v>Other interest bearing liabilities</v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HX365" t="str">
            <v>mstag:otherInterestBearingLiabilities</v>
          </cell>
          <cell r="HY365">
            <v>6</v>
          </cell>
          <cell r="HZ365" t="str">
            <v>ISO4217:USD</v>
          </cell>
          <cell r="IA365" t="b">
            <v>0</v>
          </cell>
          <cell r="IB365" t="b">
            <v>0</v>
          </cell>
        </row>
        <row r="366">
          <cell r="E366" t="str">
            <v>Asset retirement obligations</v>
          </cell>
          <cell r="HX366" t="str">
            <v>mstag:assetRetirementObligations</v>
          </cell>
          <cell r="HY366">
            <v>6</v>
          </cell>
          <cell r="HZ366" t="str">
            <v>ISO4217:USD</v>
          </cell>
          <cell r="IA366" t="b">
            <v>0</v>
          </cell>
          <cell r="IB366" t="b">
            <v>0</v>
          </cell>
        </row>
        <row r="367">
          <cell r="E367" t="str">
            <v>Decommissioning, restoration, and similar liabilities</v>
          </cell>
          <cell r="HX367" t="str">
            <v>mstag:decommissioningRestorationAndSimilarLiabilities</v>
          </cell>
          <cell r="HY367">
            <v>6</v>
          </cell>
          <cell r="HZ367" t="str">
            <v>ISO4217:USD</v>
          </cell>
          <cell r="IA367" t="b">
            <v>0</v>
          </cell>
          <cell r="IB367" t="b">
            <v>0</v>
          </cell>
        </row>
        <row r="368">
          <cell r="E368" t="str">
            <v>Environmental liabilities, interest bearing</v>
          </cell>
          <cell r="HX368" t="str">
            <v>mstag:environmentalLiabilitiesInterestBearing</v>
          </cell>
          <cell r="HY368">
            <v>6</v>
          </cell>
          <cell r="HZ368" t="str">
            <v>ISO4217:USD</v>
          </cell>
          <cell r="IA368" t="b">
            <v>0</v>
          </cell>
          <cell r="IB368" t="b">
            <v>0</v>
          </cell>
        </row>
        <row r="369">
          <cell r="E369" t="str">
            <v>Other interest bearing provisions</v>
          </cell>
          <cell r="HX369" t="str">
            <v>mstag:otherInterestBearingProvisions</v>
          </cell>
          <cell r="HY369">
            <v>6</v>
          </cell>
          <cell r="HZ369" t="str">
            <v>ISO4217:USD</v>
          </cell>
          <cell r="IA369" t="b">
            <v>0</v>
          </cell>
          <cell r="IB369" t="b">
            <v>0</v>
          </cell>
        </row>
        <row r="370">
          <cell r="D370" t="str">
            <v>Income tax payable</v>
          </cell>
          <cell r="G370">
            <v>40.292999999999999</v>
          </cell>
          <cell r="H370">
            <v>46.447000000000003</v>
          </cell>
          <cell r="I370">
            <v>0</v>
          </cell>
          <cell r="J370">
            <v>29.021999999999998</v>
          </cell>
          <cell r="K370">
            <v>64.227000000000004</v>
          </cell>
          <cell r="L370">
            <v>85.405000000000001</v>
          </cell>
          <cell r="M370" t="str">
            <v/>
          </cell>
          <cell r="HX370" t="str">
            <v>mstag:incomeTaxPayable</v>
          </cell>
          <cell r="HY370">
            <v>6</v>
          </cell>
          <cell r="HZ370" t="str">
            <v>ISO4217:USD</v>
          </cell>
          <cell r="IA370" t="b">
            <v>0</v>
          </cell>
          <cell r="IB370" t="b">
            <v>0</v>
          </cell>
        </row>
        <row r="371">
          <cell r="E371" t="str">
            <v>Income tax payable, operating</v>
          </cell>
          <cell r="G371">
            <v>40.292999999999999</v>
          </cell>
          <cell r="H371">
            <v>46.447000000000003</v>
          </cell>
          <cell r="I371">
            <v>0</v>
          </cell>
          <cell r="J371">
            <v>29.021999999999998</v>
          </cell>
          <cell r="K371">
            <v>64.227000000000004</v>
          </cell>
          <cell r="L371">
            <v>85.405000000000001</v>
          </cell>
          <cell r="HX371" t="str">
            <v>mstag:incomeTaxPayableOperating</v>
          </cell>
          <cell r="HY371">
            <v>6</v>
          </cell>
          <cell r="HZ371" t="str">
            <v>ISO4217:USD</v>
          </cell>
          <cell r="IA371" t="b">
            <v>0</v>
          </cell>
          <cell r="IB371" t="b">
            <v>0</v>
          </cell>
        </row>
        <row r="372">
          <cell r="E372" t="str">
            <v>Income tax payable, financing</v>
          </cell>
          <cell r="HX372" t="str">
            <v>mstag:incomeTaxPayableFinancing</v>
          </cell>
          <cell r="HY372">
            <v>6</v>
          </cell>
          <cell r="HZ372" t="str">
            <v>ISO4217:USD</v>
          </cell>
          <cell r="IA372" t="b">
            <v>0</v>
          </cell>
          <cell r="IB372" t="b">
            <v>0</v>
          </cell>
        </row>
        <row r="373">
          <cell r="E373" t="str">
            <v>Income tax payable, other</v>
          </cell>
          <cell r="HX373" t="str">
            <v>mstag:incomeTaxPayableOther</v>
          </cell>
          <cell r="HY373">
            <v>6</v>
          </cell>
          <cell r="HZ373" t="str">
            <v>ISO4217:USD</v>
          </cell>
          <cell r="IA373" t="b">
            <v>0</v>
          </cell>
          <cell r="IB373" t="b">
            <v>0</v>
          </cell>
        </row>
        <row r="374">
          <cell r="D374" t="str">
            <v>Accrued expenses</v>
          </cell>
          <cell r="G374">
            <v>129.167</v>
          </cell>
          <cell r="H374">
            <v>115.401</v>
          </cell>
          <cell r="I374">
            <v>346.31399999999996</v>
          </cell>
          <cell r="J374">
            <v>258.94800000000004</v>
          </cell>
          <cell r="K374">
            <v>274.63800000000003</v>
          </cell>
          <cell r="L374">
            <v>366.18299999999999</v>
          </cell>
          <cell r="M374">
            <v>765.85</v>
          </cell>
          <cell r="HX374" t="str">
            <v>mstag:accruedExpenses</v>
          </cell>
          <cell r="HY374">
            <v>6</v>
          </cell>
          <cell r="HZ374" t="str">
            <v>ISO4217:USD</v>
          </cell>
          <cell r="IA374" t="b">
            <v>0</v>
          </cell>
          <cell r="IB374" t="b">
            <v>0</v>
          </cell>
        </row>
        <row r="375">
          <cell r="E375" t="str">
            <v>Payroll and benefits-related liabilities</v>
          </cell>
          <cell r="G375">
            <v>44.624000000000002</v>
          </cell>
          <cell r="H375">
            <v>47.057000000000002</v>
          </cell>
          <cell r="I375">
            <v>52.005000000000003</v>
          </cell>
          <cell r="J375">
            <v>56.027999999999999</v>
          </cell>
          <cell r="K375">
            <v>63.103000000000002</v>
          </cell>
          <cell r="L375">
            <v>77.238</v>
          </cell>
          <cell r="HX375" t="str">
            <v>mstag:payrollAndBenefitsRelatedLiabilities</v>
          </cell>
          <cell r="HY375">
            <v>6</v>
          </cell>
          <cell r="HZ375" t="str">
            <v>ISO4217:USD</v>
          </cell>
          <cell r="IA375" t="b">
            <v>0</v>
          </cell>
          <cell r="IB375" t="b">
            <v>0</v>
          </cell>
        </row>
        <row r="376">
          <cell r="E376" t="str">
            <v>Accrued taxes, other than income tax</v>
          </cell>
          <cell r="HX376" t="str">
            <v>mstag:accruedTaxesOtherThanIncomeTax</v>
          </cell>
          <cell r="HY376">
            <v>6</v>
          </cell>
          <cell r="HZ376" t="str">
            <v>ISO4217:USD</v>
          </cell>
          <cell r="IA376" t="b">
            <v>0</v>
          </cell>
          <cell r="IB376" t="b">
            <v>0</v>
          </cell>
        </row>
        <row r="377">
          <cell r="E377" t="str">
            <v>Other accrued expenses</v>
          </cell>
          <cell r="G377">
            <v>84.543000000000006</v>
          </cell>
          <cell r="H377">
            <v>68.343999999999994</v>
          </cell>
          <cell r="I377">
            <v>294.30899999999997</v>
          </cell>
          <cell r="J377">
            <v>202.92000000000002</v>
          </cell>
          <cell r="K377">
            <v>211.53500000000003</v>
          </cell>
          <cell r="L377">
            <v>288.94499999999999</v>
          </cell>
          <cell r="HX377" t="str">
            <v>mstag:otherAccruedExpenses</v>
          </cell>
          <cell r="HY377">
            <v>6</v>
          </cell>
          <cell r="HZ377" t="str">
            <v>ISO4217:USD</v>
          </cell>
          <cell r="IA377" t="b">
            <v>0</v>
          </cell>
          <cell r="IB377" t="b">
            <v>0</v>
          </cell>
        </row>
        <row r="378">
          <cell r="D378" t="str">
            <v>Long-term debt, greater than 1 year</v>
          </cell>
          <cell r="G378">
            <v>150</v>
          </cell>
          <cell r="H378">
            <v>149.99</v>
          </cell>
          <cell r="I378">
            <v>149.708</v>
          </cell>
          <cell r="J378">
            <v>149.69200000000001</v>
          </cell>
          <cell r="K378">
            <v>0</v>
          </cell>
          <cell r="L378">
            <v>0</v>
          </cell>
          <cell r="M378">
            <v>412.25</v>
          </cell>
          <cell r="HX378" t="str">
            <v>mstag:longTermDebt</v>
          </cell>
          <cell r="HY378">
            <v>6</v>
          </cell>
          <cell r="HZ378" t="str">
            <v>ISO4217:USD</v>
          </cell>
          <cell r="IA378" t="b">
            <v>0</v>
          </cell>
          <cell r="IB378" t="b">
            <v>0</v>
          </cell>
        </row>
        <row r="379">
          <cell r="E379" t="str">
            <v>Senior debt</v>
          </cell>
          <cell r="HX379" t="str">
            <v>mstag:seniorDebtCi</v>
          </cell>
          <cell r="HY379">
            <v>6</v>
          </cell>
          <cell r="HZ379" t="str">
            <v>ISO4217:USD</v>
          </cell>
          <cell r="IA379" t="b">
            <v>0</v>
          </cell>
          <cell r="IB379" t="b">
            <v>0</v>
          </cell>
        </row>
        <row r="380">
          <cell r="E380" t="str">
            <v>Subordinated debt</v>
          </cell>
          <cell r="HX380" t="str">
            <v>mstag:subordinatedDebtBalSheetCi</v>
          </cell>
          <cell r="HY380">
            <v>6</v>
          </cell>
          <cell r="HZ380" t="str">
            <v>ISO4217:USD</v>
          </cell>
          <cell r="IA380" t="b">
            <v>0</v>
          </cell>
          <cell r="IB380" t="b">
            <v>0</v>
          </cell>
        </row>
        <row r="381">
          <cell r="E381" t="str">
            <v>Capital lease obligations</v>
          </cell>
          <cell r="HX381" t="str">
            <v>mstag:capitalLeaseObligationsCi</v>
          </cell>
          <cell r="HY381">
            <v>6</v>
          </cell>
          <cell r="HZ381" t="str">
            <v>ISO4217:USD</v>
          </cell>
          <cell r="IA381" t="b">
            <v>0</v>
          </cell>
          <cell r="IB381" t="b">
            <v>0</v>
          </cell>
        </row>
        <row r="382">
          <cell r="E382" t="str">
            <v>Other long-term debt</v>
          </cell>
          <cell r="G382">
            <v>150</v>
          </cell>
          <cell r="H382">
            <v>149.99</v>
          </cell>
          <cell r="I382">
            <v>149.708</v>
          </cell>
          <cell r="J382">
            <v>149.69200000000001</v>
          </cell>
          <cell r="K382">
            <v>0</v>
          </cell>
          <cell r="L382">
            <v>0</v>
          </cell>
          <cell r="HX382" t="str">
            <v>mstag:otherLongTermDebtCi</v>
          </cell>
          <cell r="HY382">
            <v>6</v>
          </cell>
          <cell r="HZ382" t="str">
            <v>ISO4217:USD</v>
          </cell>
          <cell r="IA382" t="b">
            <v>0</v>
          </cell>
          <cell r="IB382" t="b">
            <v>0</v>
          </cell>
        </row>
        <row r="383">
          <cell r="D383" t="str">
            <v>Provisions and reserves</v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HX383" t="str">
            <v>mstag:provisionsAndReserves</v>
          </cell>
          <cell r="HY383">
            <v>6</v>
          </cell>
          <cell r="HZ383" t="str">
            <v>ISO4217:USD</v>
          </cell>
          <cell r="IA383" t="b">
            <v>0</v>
          </cell>
          <cell r="IB383" t="b">
            <v>0</v>
          </cell>
        </row>
        <row r="384">
          <cell r="E384" t="str">
            <v>Warranty provision</v>
          </cell>
          <cell r="HX384" t="str">
            <v>mstag:warrantyProvision</v>
          </cell>
          <cell r="HY384">
            <v>6</v>
          </cell>
          <cell r="HZ384" t="str">
            <v>ISO4217:USD</v>
          </cell>
          <cell r="IA384" t="b">
            <v>0</v>
          </cell>
          <cell r="IB384" t="b">
            <v>0</v>
          </cell>
        </row>
        <row r="385">
          <cell r="E385" t="str">
            <v>Restructuring provision</v>
          </cell>
          <cell r="HX385" t="str">
            <v>mstag:restructuringProvision</v>
          </cell>
          <cell r="HY385">
            <v>6</v>
          </cell>
          <cell r="HZ385" t="str">
            <v>ISO4217:USD</v>
          </cell>
          <cell r="IA385" t="b">
            <v>0</v>
          </cell>
          <cell r="IB385" t="b">
            <v>0</v>
          </cell>
        </row>
        <row r="386">
          <cell r="E386" t="str">
            <v>Legal proceedings provision</v>
          </cell>
          <cell r="HX386" t="str">
            <v>mstag:legalProceedingsProvision</v>
          </cell>
          <cell r="HY386">
            <v>6</v>
          </cell>
          <cell r="HZ386" t="str">
            <v>ISO4217:USD</v>
          </cell>
          <cell r="IA386" t="b">
            <v>0</v>
          </cell>
          <cell r="IB386" t="b">
            <v>0</v>
          </cell>
        </row>
        <row r="387">
          <cell r="E387" t="str">
            <v>Onerous contracts provision</v>
          </cell>
          <cell r="HX387" t="str">
            <v>mstag:onerousContractsProvision</v>
          </cell>
          <cell r="HY387">
            <v>6</v>
          </cell>
          <cell r="HZ387" t="str">
            <v>ISO4217:USD</v>
          </cell>
          <cell r="IA387" t="b">
            <v>0</v>
          </cell>
          <cell r="IB387" t="b">
            <v>0</v>
          </cell>
        </row>
        <row r="388">
          <cell r="E388" t="str">
            <v>Environmental liability</v>
          </cell>
          <cell r="HX388" t="str">
            <v>mstag:environmentalLiability</v>
          </cell>
          <cell r="HY388">
            <v>6</v>
          </cell>
          <cell r="HZ388" t="str">
            <v>ISO4217:USD</v>
          </cell>
          <cell r="IA388" t="b">
            <v>0</v>
          </cell>
          <cell r="IB388" t="b">
            <v>0</v>
          </cell>
        </row>
        <row r="389">
          <cell r="E389" t="str">
            <v>Asset retirement obligation</v>
          </cell>
          <cell r="HX389" t="str">
            <v>mstag:assetRetirementObligation</v>
          </cell>
          <cell r="HY389">
            <v>6</v>
          </cell>
          <cell r="HZ389" t="str">
            <v>ISO4217:USD</v>
          </cell>
          <cell r="IA389" t="b">
            <v>0</v>
          </cell>
          <cell r="IB389" t="b">
            <v>0</v>
          </cell>
        </row>
        <row r="390">
          <cell r="E390" t="str">
            <v>Other provisions</v>
          </cell>
          <cell r="HX390" t="str">
            <v>mstag:otherProvisions</v>
          </cell>
          <cell r="HY390">
            <v>6</v>
          </cell>
          <cell r="HZ390" t="str">
            <v>ISO4217:USD</v>
          </cell>
          <cell r="IA390" t="b">
            <v>0</v>
          </cell>
          <cell r="IB390" t="b">
            <v>0</v>
          </cell>
        </row>
        <row r="391">
          <cell r="D391" t="str">
            <v>Deferred tax liabilities</v>
          </cell>
          <cell r="G391">
            <v>0</v>
          </cell>
          <cell r="H391">
            <v>43.781999999999996</v>
          </cell>
          <cell r="I391">
            <v>626.46600000000001</v>
          </cell>
          <cell r="J391">
            <v>349.84800000000001</v>
          </cell>
          <cell r="K391">
            <v>447.80900000000003</v>
          </cell>
          <cell r="L391">
            <v>148.31399999999999</v>
          </cell>
          <cell r="M391">
            <v>26.055999999999997</v>
          </cell>
          <cell r="HX391" t="str">
            <v>mstag:deferredTaxLiabilities</v>
          </cell>
          <cell r="HY391">
            <v>6</v>
          </cell>
          <cell r="HZ391" t="str">
            <v>ISO4217:USD</v>
          </cell>
          <cell r="IA391" t="b">
            <v>0</v>
          </cell>
          <cell r="IB391" t="b">
            <v>0</v>
          </cell>
        </row>
        <row r="392">
          <cell r="E392" t="str">
            <v>Deferred tax liabilities, current</v>
          </cell>
          <cell r="HX392" t="str">
            <v>mstag:deferredTaxLiabilitiesCurrent</v>
          </cell>
          <cell r="HY392">
            <v>6</v>
          </cell>
          <cell r="HZ392" t="str">
            <v>ISO4217:USD</v>
          </cell>
          <cell r="IA392" t="b">
            <v>0</v>
          </cell>
          <cell r="IB392" t="b">
            <v>0</v>
          </cell>
        </row>
        <row r="393">
          <cell r="E393" t="str">
            <v>Deferred tax liabilities, noncurrent</v>
          </cell>
          <cell r="G393">
            <v>0</v>
          </cell>
          <cell r="H393">
            <v>43.781999999999996</v>
          </cell>
          <cell r="I393">
            <v>626.46600000000001</v>
          </cell>
          <cell r="J393">
            <v>349.84800000000001</v>
          </cell>
          <cell r="K393">
            <v>447.80900000000003</v>
          </cell>
          <cell r="L393">
            <v>148.31399999999999</v>
          </cell>
          <cell r="HX393" t="str">
            <v>mstag:deferredTaxLiabilitiesNonCurrent</v>
          </cell>
          <cell r="HY393">
            <v>6</v>
          </cell>
          <cell r="HZ393" t="str">
            <v>ISO4217:USD</v>
          </cell>
          <cell r="IA393" t="b">
            <v>0</v>
          </cell>
          <cell r="IB393" t="b">
            <v>0</v>
          </cell>
        </row>
        <row r="394">
          <cell r="D394" t="str">
            <v>Deferred revenue</v>
          </cell>
          <cell r="G394">
            <v>0</v>
          </cell>
          <cell r="H394">
            <v>0</v>
          </cell>
          <cell r="I394">
            <v>4.9719999999999995</v>
          </cell>
          <cell r="J394">
            <v>103.03299999999999</v>
          </cell>
          <cell r="K394">
            <v>87.575999999999993</v>
          </cell>
          <cell r="L394">
            <v>89.576999999999998</v>
          </cell>
          <cell r="M394">
            <v>328.68</v>
          </cell>
          <cell r="HX394" t="str">
            <v>mstag:deferredRevenue</v>
          </cell>
          <cell r="HY394">
            <v>6</v>
          </cell>
          <cell r="HZ394" t="str">
            <v>ISO4217:USD</v>
          </cell>
          <cell r="IA394" t="b">
            <v>0</v>
          </cell>
          <cell r="IB394" t="b">
            <v>0</v>
          </cell>
        </row>
        <row r="395">
          <cell r="E395" t="str">
            <v>Deferred revenue, current</v>
          </cell>
          <cell r="G395">
            <v>0</v>
          </cell>
          <cell r="H395">
            <v>0</v>
          </cell>
          <cell r="I395">
            <v>2</v>
          </cell>
          <cell r="J395">
            <v>15.433</v>
          </cell>
          <cell r="K395">
            <v>19.542999999999999</v>
          </cell>
          <cell r="L395">
            <v>20.044</v>
          </cell>
          <cell r="HX395" t="str">
            <v>mstag:deferredRevenueCurrent</v>
          </cell>
          <cell r="HY395">
            <v>6</v>
          </cell>
          <cell r="HZ395" t="str">
            <v>ISO4217:USD</v>
          </cell>
          <cell r="IA395" t="b">
            <v>0</v>
          </cell>
          <cell r="IB395" t="b">
            <v>0</v>
          </cell>
        </row>
        <row r="396">
          <cell r="E396" t="str">
            <v>Deferred revenue, noncurrent</v>
          </cell>
          <cell r="G396">
            <v>0</v>
          </cell>
          <cell r="H396">
            <v>0</v>
          </cell>
          <cell r="I396">
            <v>2.972</v>
          </cell>
          <cell r="J396">
            <v>87.6</v>
          </cell>
          <cell r="K396">
            <v>68.033000000000001</v>
          </cell>
          <cell r="L396">
            <v>69.533000000000001</v>
          </cell>
          <cell r="HX396" t="str">
            <v>mstag:deferredRevenueNonCurrent</v>
          </cell>
          <cell r="HY396">
            <v>6</v>
          </cell>
          <cell r="HZ396" t="str">
            <v>ISO4217:USD</v>
          </cell>
          <cell r="IA396" t="b">
            <v>0</v>
          </cell>
          <cell r="IB396" t="b">
            <v>0</v>
          </cell>
        </row>
        <row r="397">
          <cell r="D397" t="str">
            <v>Pension and other postretirement obligations</v>
          </cell>
          <cell r="HX397" t="str">
            <v>mstag:pensionAndOtherPostRetirementObligations</v>
          </cell>
          <cell r="HY397">
            <v>6</v>
          </cell>
          <cell r="HZ397" t="str">
            <v>ISO4217:USD</v>
          </cell>
          <cell r="IA397" t="b">
            <v>0</v>
          </cell>
          <cell r="IB397" t="b">
            <v>0</v>
          </cell>
        </row>
        <row r="398">
          <cell r="D398" t="str">
            <v>Deferred compensation</v>
          </cell>
          <cell r="HX398" t="str">
            <v>mstag:deferredCompensation</v>
          </cell>
          <cell r="HY398">
            <v>6</v>
          </cell>
          <cell r="HZ398" t="str">
            <v>ISO4217:USD</v>
          </cell>
          <cell r="IA398" t="b">
            <v>0</v>
          </cell>
          <cell r="IB398" t="b">
            <v>0</v>
          </cell>
        </row>
        <row r="399">
          <cell r="D399" t="str">
            <v>Other liabilities, operating</v>
          </cell>
          <cell r="G399">
            <v>107.93499999999999</v>
          </cell>
          <cell r="H399">
            <v>115.042</v>
          </cell>
          <cell r="I399">
            <v>104.34200000000001</v>
          </cell>
          <cell r="J399">
            <v>112.56399999999999</v>
          </cell>
          <cell r="K399">
            <v>169.78</v>
          </cell>
          <cell r="L399">
            <v>678.37599999999998</v>
          </cell>
          <cell r="M399" t="str">
            <v/>
          </cell>
          <cell r="HX399" t="str">
            <v>mstag:otherLiabilitiesOperating</v>
          </cell>
          <cell r="HY399">
            <v>6</v>
          </cell>
          <cell r="HZ399" t="str">
            <v>ISO4217:USD</v>
          </cell>
          <cell r="IA399" t="b">
            <v>0</v>
          </cell>
          <cell r="IB399" t="b">
            <v>0</v>
          </cell>
        </row>
        <row r="400">
          <cell r="E400" t="str">
            <v>Other liabilities, operating, current</v>
          </cell>
          <cell r="G400">
            <v>71.10499999999999</v>
          </cell>
          <cell r="H400">
            <v>88.584000000000003</v>
          </cell>
          <cell r="I400">
            <v>95.979000000000013</v>
          </cell>
          <cell r="J400">
            <v>110.77499999999999</v>
          </cell>
          <cell r="K400">
            <v>122.349</v>
          </cell>
          <cell r="L400">
            <v>123.648</v>
          </cell>
          <cell r="HX400" t="str">
            <v>mstag:otherLiabilitiesOperatingCurrent</v>
          </cell>
          <cell r="HY400">
            <v>6</v>
          </cell>
          <cell r="HZ400" t="str">
            <v>ISO4217:USD</v>
          </cell>
          <cell r="IA400" t="b">
            <v>0</v>
          </cell>
          <cell r="IB400" t="b">
            <v>0</v>
          </cell>
        </row>
        <row r="401">
          <cell r="E401" t="str">
            <v>Other liabilities, operating, noncurrent</v>
          </cell>
          <cell r="G401">
            <v>36.83</v>
          </cell>
          <cell r="H401">
            <v>26.457999999999998</v>
          </cell>
          <cell r="I401">
            <v>8.3629999999999995</v>
          </cell>
          <cell r="J401">
            <v>1.7889999999999999</v>
          </cell>
          <cell r="K401">
            <v>47.430999999999997</v>
          </cell>
          <cell r="L401">
            <v>554.72799999999995</v>
          </cell>
          <cell r="HX401" t="str">
            <v>mstag:otherLiabilitiesOperatingNonCurrent</v>
          </cell>
          <cell r="HY401">
            <v>6</v>
          </cell>
          <cell r="HZ401" t="str">
            <v>ISO4217:USD</v>
          </cell>
          <cell r="IA401" t="b">
            <v>0</v>
          </cell>
          <cell r="IB401" t="b">
            <v>0</v>
          </cell>
        </row>
        <row r="402">
          <cell r="D402" t="str">
            <v>Other liabilities, nonoperating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623.29</v>
          </cell>
          <cell r="HX402" t="str">
            <v>mstag:otherLiabilitiesNonOperating</v>
          </cell>
          <cell r="HY402">
            <v>6</v>
          </cell>
          <cell r="HZ402" t="str">
            <v>ISO4217:USD</v>
          </cell>
          <cell r="IA402" t="b">
            <v>0</v>
          </cell>
          <cell r="IB402" t="b">
            <v>0</v>
          </cell>
        </row>
        <row r="403">
          <cell r="E403" t="str">
            <v>Other liabilities, nonoperating, current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HX403" t="str">
            <v>mstag:otherLiabilitiesNonOperatingCurrent</v>
          </cell>
          <cell r="HY403">
            <v>6</v>
          </cell>
          <cell r="HZ403" t="str">
            <v>ISO4217:USD</v>
          </cell>
          <cell r="IA403" t="b">
            <v>0</v>
          </cell>
          <cell r="IB403" t="b">
            <v>0</v>
          </cell>
        </row>
        <row r="404">
          <cell r="E404" t="str">
            <v>Other liabilities, nonoperating, noncurrent</v>
          </cell>
          <cell r="HX404" t="str">
            <v>mstag:otherLiabilitiesNonOperatingNonCurrent</v>
          </cell>
          <cell r="HY404">
            <v>6</v>
          </cell>
          <cell r="HZ404" t="str">
            <v>ISO4217:USD</v>
          </cell>
          <cell r="IA404" t="b">
            <v>0</v>
          </cell>
          <cell r="IB404" t="b">
            <v>0</v>
          </cell>
        </row>
        <row r="405">
          <cell r="D405" t="str">
            <v>Liabilities of discontinued operations</v>
          </cell>
          <cell r="HX405" t="str">
            <v>mstag:liabilitiesOfDiscontinuedOperations</v>
          </cell>
          <cell r="HY405">
            <v>6</v>
          </cell>
          <cell r="HZ405" t="str">
            <v>ISO4217:USD</v>
          </cell>
          <cell r="IA405" t="b">
            <v>0</v>
          </cell>
          <cell r="IB405" t="b">
            <v>0</v>
          </cell>
        </row>
        <row r="406">
          <cell r="D406" t="str">
            <v>Minority interests in shareholders' equity</v>
          </cell>
          <cell r="HX406" t="str">
            <v>mstag:minorityInterestsInShareholdersEquity</v>
          </cell>
          <cell r="HY406">
            <v>6</v>
          </cell>
          <cell r="HZ406" t="str">
            <v>ISO4217:USD</v>
          </cell>
          <cell r="IA406" t="b">
            <v>0</v>
          </cell>
          <cell r="IB406" t="b">
            <v>0</v>
          </cell>
        </row>
        <row r="407">
          <cell r="D407" t="str">
            <v>Preferred equity</v>
          </cell>
          <cell r="HX407" t="str">
            <v>mstag:preferredEquity</v>
          </cell>
          <cell r="HY407">
            <v>6</v>
          </cell>
          <cell r="HZ407" t="str">
            <v>ISO4217:USD</v>
          </cell>
          <cell r="IA407" t="b">
            <v>0</v>
          </cell>
          <cell r="IB407" t="b">
            <v>0</v>
          </cell>
        </row>
        <row r="408">
          <cell r="D408" t="str">
            <v>Common equity</v>
          </cell>
          <cell r="F408">
            <v>1801.059</v>
          </cell>
          <cell r="G408">
            <v>2031.2250000000001</v>
          </cell>
          <cell r="H408">
            <v>2343.8449999999998</v>
          </cell>
          <cell r="I408">
            <v>5269.8569999999991</v>
          </cell>
          <cell r="J408">
            <v>5674.2030000000004</v>
          </cell>
          <cell r="K408">
            <v>5919.8189999999995</v>
          </cell>
          <cell r="L408">
            <v>5338.884</v>
          </cell>
          <cell r="M408">
            <v>6520.1896436999996</v>
          </cell>
          <cell r="HX408" t="str">
            <v>mstag:commonEquity</v>
          </cell>
          <cell r="HY408">
            <v>6</v>
          </cell>
          <cell r="HZ408" t="str">
            <v>ISO4217:USD</v>
          </cell>
          <cell r="IA408" t="b">
            <v>0</v>
          </cell>
          <cell r="IB408" t="b">
            <v>0</v>
          </cell>
        </row>
        <row r="409">
          <cell r="E409" t="str">
            <v>Total share capital</v>
          </cell>
          <cell r="G409">
            <v>1466.252</v>
          </cell>
          <cell r="H409">
            <v>1591.5319999999999</v>
          </cell>
          <cell r="I409">
            <v>6255.4699999999993</v>
          </cell>
          <cell r="J409">
            <v>6661.9380000000001</v>
          </cell>
          <cell r="K409">
            <v>6805.3969999999999</v>
          </cell>
          <cell r="L409">
            <v>6660.6080000000002</v>
          </cell>
          <cell r="M409">
            <v>7380.7550000000001</v>
          </cell>
          <cell r="HX409" t="str">
            <v>mstag:totalShareCapital</v>
          </cell>
          <cell r="HY409">
            <v>6</v>
          </cell>
          <cell r="HZ409" t="str">
            <v>ISO4217:USD</v>
          </cell>
          <cell r="IA409" t="b">
            <v>0</v>
          </cell>
          <cell r="IB409" t="b">
            <v>0</v>
          </cell>
        </row>
        <row r="410">
          <cell r="F410" t="str">
            <v>Common stock</v>
          </cell>
          <cell r="G410">
            <v>2.484</v>
          </cell>
          <cell r="H410">
            <v>2.5419999999999998</v>
          </cell>
          <cell r="I410">
            <v>10.324</v>
          </cell>
          <cell r="J410">
            <v>10.51</v>
          </cell>
          <cell r="K410">
            <v>10.566000000000001</v>
          </cell>
          <cell r="L410">
            <v>10.256</v>
          </cell>
          <cell r="M410">
            <v>10.494999999999999</v>
          </cell>
          <cell r="HX410" t="str">
            <v>mstag:commonStock</v>
          </cell>
          <cell r="HY410">
            <v>6</v>
          </cell>
          <cell r="HZ410" t="str">
            <v>ISO4217:USD</v>
          </cell>
          <cell r="IA410" t="b">
            <v>0</v>
          </cell>
          <cell r="IB410" t="b">
            <v>0</v>
          </cell>
        </row>
        <row r="411">
          <cell r="F411" t="str">
            <v>Additional paid in capital</v>
          </cell>
          <cell r="G411">
            <v>1463.768</v>
          </cell>
          <cell r="H411">
            <v>1588.99</v>
          </cell>
          <cell r="I411">
            <v>6245.1459999999997</v>
          </cell>
          <cell r="J411">
            <v>6651.4279999999999</v>
          </cell>
          <cell r="K411">
            <v>6794.8310000000001</v>
          </cell>
          <cell r="L411">
            <v>6650.3519999999999</v>
          </cell>
          <cell r="M411">
            <v>7370.26</v>
          </cell>
          <cell r="HX411" t="str">
            <v>mstag:additionalPaidInCapital</v>
          </cell>
          <cell r="HY411">
            <v>6</v>
          </cell>
          <cell r="HZ411" t="str">
            <v>ISO4217:USD</v>
          </cell>
          <cell r="IA411" t="b">
            <v>0</v>
          </cell>
          <cell r="IB411" t="b">
            <v>0</v>
          </cell>
        </row>
        <row r="412">
          <cell r="E412" t="str">
            <v>Retained earnings</v>
          </cell>
          <cell r="G412">
            <v>511.14100000000002</v>
          </cell>
          <cell r="H412">
            <v>693.05</v>
          </cell>
          <cell r="I412">
            <v>-1245.1120000000001</v>
          </cell>
          <cell r="J412">
            <v>-1319.3530000000001</v>
          </cell>
          <cell r="K412">
            <v>-1197.3</v>
          </cell>
          <cell r="L412">
            <v>-1590.366</v>
          </cell>
          <cell r="M412">
            <v>-1157.4679999999998</v>
          </cell>
          <cell r="HX412" t="str">
            <v>mstag:retainedEarnings</v>
          </cell>
          <cell r="HY412">
            <v>6</v>
          </cell>
          <cell r="HZ412" t="str">
            <v>ISO4217:USD</v>
          </cell>
          <cell r="IA412" t="b">
            <v>0</v>
          </cell>
          <cell r="IB412" t="b">
            <v>0</v>
          </cell>
        </row>
        <row r="413">
          <cell r="E413" t="str">
            <v>Accumulated other comprehensive income (loss) and reserves</v>
          </cell>
          <cell r="G413">
            <v>53.832000000000001</v>
          </cell>
          <cell r="H413">
            <v>59.262999999999998</v>
          </cell>
          <cell r="I413">
            <v>259.49900000000002</v>
          </cell>
          <cell r="J413">
            <v>331.61800000000005</v>
          </cell>
          <cell r="K413">
            <v>311.72199999999998</v>
          </cell>
          <cell r="L413">
            <v>268.642</v>
          </cell>
          <cell r="M413">
            <v>296.9026437</v>
          </cell>
          <cell r="HX413" t="str">
            <v>mstag:accumulatedOtherComprehensiveIncomeLossAndReserves</v>
          </cell>
          <cell r="HY413">
            <v>6</v>
          </cell>
          <cell r="HZ413" t="str">
            <v>ISO4217:USD</v>
          </cell>
          <cell r="IA413" t="b">
            <v>0</v>
          </cell>
          <cell r="IB413" t="b">
            <v>0</v>
          </cell>
        </row>
        <row r="414">
          <cell r="F414" t="str">
            <v>Cumulative translation adjustment</v>
          </cell>
          <cell r="HX414" t="str">
            <v>mstag:cumulativeTranslationAdjustment</v>
          </cell>
          <cell r="HY414">
            <v>6</v>
          </cell>
          <cell r="HZ414" t="str">
            <v>ISO4217:USD</v>
          </cell>
          <cell r="IA414" t="b">
            <v>0</v>
          </cell>
          <cell r="IB414" t="b">
            <v>0</v>
          </cell>
        </row>
        <row r="415">
          <cell r="F415" t="str">
            <v>Unrealized gains and losses on securities and other financial instruments</v>
          </cell>
          <cell r="G415">
            <v>53.832000000000001</v>
          </cell>
          <cell r="H415">
            <v>59.262999999999998</v>
          </cell>
          <cell r="I415">
            <v>259.49900000000002</v>
          </cell>
          <cell r="J415">
            <v>72.119</v>
          </cell>
          <cell r="K415">
            <v>303.89999999999998</v>
          </cell>
          <cell r="L415">
            <v>265.10000000000002</v>
          </cell>
          <cell r="HX415" t="str">
            <v>mstag:unrealizedGainsAndLossesOnSecuritiesAndOtherFinancialInstruments</v>
          </cell>
          <cell r="HY415">
            <v>6</v>
          </cell>
          <cell r="HZ415" t="str">
            <v>ISO4217:USD</v>
          </cell>
          <cell r="IA415" t="b">
            <v>0</v>
          </cell>
          <cell r="IB415" t="b">
            <v>0</v>
          </cell>
        </row>
        <row r="416">
          <cell r="F416" t="str">
            <v>Minimum pension liability</v>
          </cell>
          <cell r="HX416" t="str">
            <v>mstag:minimumPensionLiability</v>
          </cell>
          <cell r="HY416">
            <v>6</v>
          </cell>
          <cell r="HZ416" t="str">
            <v>ISO4217:USD</v>
          </cell>
          <cell r="IA416" t="b">
            <v>0</v>
          </cell>
          <cell r="IB416" t="b">
            <v>0</v>
          </cell>
        </row>
        <row r="417">
          <cell r="F417" t="str">
            <v>Cash flow hedges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7.8220000000000001</v>
          </cell>
          <cell r="L417">
            <v>3.5419999999999998</v>
          </cell>
          <cell r="HX417" t="str">
            <v>mstag:cashFlowHedges</v>
          </cell>
          <cell r="HY417">
            <v>6</v>
          </cell>
          <cell r="HZ417" t="str">
            <v>ISO4217:USD</v>
          </cell>
          <cell r="IA417" t="b">
            <v>0</v>
          </cell>
          <cell r="IB417" t="b">
            <v>0</v>
          </cell>
        </row>
        <row r="418">
          <cell r="F418" t="str">
            <v>Other accumulated OCI and reserves</v>
          </cell>
          <cell r="G418">
            <v>0</v>
          </cell>
          <cell r="H418">
            <v>0</v>
          </cell>
          <cell r="I418">
            <v>0</v>
          </cell>
          <cell r="J418">
            <v>259.49900000000002</v>
          </cell>
          <cell r="K418">
            <v>0</v>
          </cell>
          <cell r="L418">
            <v>0</v>
          </cell>
          <cell r="HX418" t="str">
            <v>mstag:otherAccumulatedOciAndReserves</v>
          </cell>
          <cell r="HY418">
            <v>6</v>
          </cell>
          <cell r="HZ418" t="str">
            <v>ISO4217:USD</v>
          </cell>
          <cell r="IA418" t="b">
            <v>0</v>
          </cell>
          <cell r="IB418" t="b">
            <v>0</v>
          </cell>
        </row>
        <row r="419">
          <cell r="F419" t="str">
            <v>Revaluation reserves</v>
          </cell>
          <cell r="HX419" t="str">
            <v>mstag:revaluationReserves</v>
          </cell>
          <cell r="HY419">
            <v>6</v>
          </cell>
          <cell r="HZ419" t="str">
            <v>ISO4217:USD</v>
          </cell>
          <cell r="IA419" t="b">
            <v>0</v>
          </cell>
          <cell r="IB419" t="b">
            <v>0</v>
          </cell>
        </row>
        <row r="420">
          <cell r="F420" t="str">
            <v>Unearned compensation reserve</v>
          </cell>
          <cell r="HX420" t="str">
            <v>mstag:unearnedCompensationReserve</v>
          </cell>
          <cell r="HY420">
            <v>6</v>
          </cell>
          <cell r="HZ420" t="str">
            <v>ISO4217:USD</v>
          </cell>
          <cell r="IA420" t="b">
            <v>0</v>
          </cell>
          <cell r="IB420" t="b">
            <v>0</v>
          </cell>
        </row>
        <row r="421">
          <cell r="E421" t="str">
            <v>Treasury stock and investment in own shares</v>
          </cell>
          <cell r="HX421" t="str">
            <v>mstag:treasuryStockAndInvestmentInOwnShares</v>
          </cell>
          <cell r="HY421">
            <v>6</v>
          </cell>
          <cell r="HZ421" t="str">
            <v>ISO4217:USD</v>
          </cell>
          <cell r="IA421" t="b">
            <v>0</v>
          </cell>
          <cell r="IB421" t="b">
            <v>0</v>
          </cell>
        </row>
        <row r="422">
          <cell r="E422" t="str">
            <v>Warrants and rights outstanding, equity</v>
          </cell>
          <cell r="HX422" t="str">
            <v>mstag:warrantsAndRightsOutstandingEquity</v>
          </cell>
          <cell r="HY422">
            <v>6</v>
          </cell>
          <cell r="HZ422" t="str">
            <v>ISO4217:USD</v>
          </cell>
          <cell r="IA422" t="b">
            <v>0</v>
          </cell>
          <cell r="IB422" t="b">
            <v>0</v>
          </cell>
        </row>
        <row r="423">
          <cell r="E423" t="str">
            <v>Other equity items</v>
          </cell>
          <cell r="HX423" t="str">
            <v>mstag:otherEquityItems</v>
          </cell>
          <cell r="HY423">
            <v>6</v>
          </cell>
          <cell r="HZ423" t="str">
            <v>ISO4217:USD</v>
          </cell>
          <cell r="IA423" t="b">
            <v>0</v>
          </cell>
          <cell r="IB423" t="b">
            <v>0</v>
          </cell>
        </row>
        <row r="424">
          <cell r="B424" t="str">
            <v>Cash flow</v>
          </cell>
          <cell r="HY424">
            <v>0</v>
          </cell>
          <cell r="HZ424" t="str">
            <v>ms_eqr_gcim_String:ms_eqr_gcim_string</v>
          </cell>
          <cell r="IA424" t="b">
            <v>0</v>
          </cell>
          <cell r="IB424" t="b">
            <v>0</v>
          </cell>
        </row>
        <row r="425">
          <cell r="C425" t="str">
            <v>Net income, reported, cash flow statement</v>
          </cell>
          <cell r="G425">
            <v>129.04400000000001</v>
          </cell>
          <cell r="H425">
            <v>181.90899999999999</v>
          </cell>
          <cell r="I425">
            <v>-1157.4760000000001</v>
          </cell>
          <cell r="J425">
            <v>-74.241</v>
          </cell>
          <cell r="K425">
            <v>150.23599999999999</v>
          </cell>
          <cell r="L425">
            <v>63.786999999999999</v>
          </cell>
          <cell r="M425">
            <v>562.45584265857804</v>
          </cell>
          <cell r="HX425" t="str">
            <v>mstag:netIncomeReported</v>
          </cell>
          <cell r="HY425">
            <v>6</v>
          </cell>
          <cell r="HZ425" t="str">
            <v>ISO4217:USD</v>
          </cell>
          <cell r="IA425" t="b">
            <v>0</v>
          </cell>
          <cell r="IB425" t="b">
            <v>0</v>
          </cell>
        </row>
        <row r="426">
          <cell r="C426" t="str">
            <v>Depreciation, cash flow statement</v>
          </cell>
          <cell r="G426">
            <v>65.533000000000001</v>
          </cell>
          <cell r="H426">
            <v>78.100999999999999</v>
          </cell>
          <cell r="I426">
            <v>90.282000000000011</v>
          </cell>
          <cell r="J426">
            <v>88.80400000000003</v>
          </cell>
          <cell r="K426">
            <v>96.290999999999997</v>
          </cell>
          <cell r="L426">
            <v>104.55499999999998</v>
          </cell>
          <cell r="M426">
            <v>125</v>
          </cell>
          <cell r="HX426" t="str">
            <v>mstag:depreciation</v>
          </cell>
          <cell r="HY426">
            <v>6</v>
          </cell>
          <cell r="HZ426" t="str">
            <v>ISO4217:USD</v>
          </cell>
          <cell r="IA426" t="b">
            <v>0</v>
          </cell>
          <cell r="IB426" t="b">
            <v>0</v>
          </cell>
        </row>
        <row r="427">
          <cell r="C427" t="str">
            <v>Amortization of goodwill, cash flow statement</v>
          </cell>
          <cell r="G427">
            <v>0</v>
          </cell>
          <cell r="H427">
            <v>0</v>
          </cell>
          <cell r="I427">
            <v>76.599999999999994</v>
          </cell>
          <cell r="J427">
            <v>211</v>
          </cell>
          <cell r="K427">
            <v>153.30000000000001</v>
          </cell>
          <cell r="L427">
            <v>0</v>
          </cell>
          <cell r="HX427" t="str">
            <v>mstag:amortizationOfGoodwillCashFlowStatement</v>
          </cell>
          <cell r="HY427">
            <v>6</v>
          </cell>
          <cell r="HZ427" t="str">
            <v>ISO4217:USD</v>
          </cell>
          <cell r="IA427" t="b">
            <v>0</v>
          </cell>
          <cell r="IB427" t="b">
            <v>0</v>
          </cell>
        </row>
        <row r="428">
          <cell r="C428" t="str">
            <v>Amortization of intangibles assumed to have indefinite life, cash flow statement</v>
          </cell>
          <cell r="G428">
            <v>0</v>
          </cell>
          <cell r="H428">
            <v>0</v>
          </cell>
          <cell r="I428">
            <v>113.8</v>
          </cell>
          <cell r="J428">
            <v>158</v>
          </cell>
          <cell r="K428">
            <v>169.8</v>
          </cell>
          <cell r="L428">
            <v>162.19999999999999</v>
          </cell>
          <cell r="M428">
            <v>170.4</v>
          </cell>
          <cell r="HX428" t="str">
            <v>mstag:amortizationOfIntangiblesAssumedToHaveIndefiniteLife</v>
          </cell>
          <cell r="HY428">
            <v>6</v>
          </cell>
          <cell r="HZ428" t="str">
            <v>ISO4217:USD</v>
          </cell>
          <cell r="IA428" t="b">
            <v>0</v>
          </cell>
          <cell r="IB428" t="b">
            <v>0</v>
          </cell>
        </row>
        <row r="429">
          <cell r="C429" t="str">
            <v>Amortization of other intangibles, cash flow statement</v>
          </cell>
          <cell r="G429">
            <v>0</v>
          </cell>
          <cell r="H429">
            <v>0</v>
          </cell>
          <cell r="I429">
            <v>0</v>
          </cell>
          <cell r="J429">
            <v>5.2</v>
          </cell>
          <cell r="K429">
            <v>8.6999999999999993</v>
          </cell>
          <cell r="L429">
            <v>8.1999999999999993</v>
          </cell>
          <cell r="M429" t="str">
            <v/>
          </cell>
          <cell r="HX429" t="str">
            <v>mstag:amortizationOfOtherIntangibles</v>
          </cell>
          <cell r="HY429">
            <v>6</v>
          </cell>
          <cell r="HZ429" t="str">
            <v>ISO4217:USD</v>
          </cell>
          <cell r="IA429" t="b">
            <v>0</v>
          </cell>
          <cell r="IB429" t="b">
            <v>0</v>
          </cell>
        </row>
        <row r="430">
          <cell r="D430" t="str">
            <v>Amortization of taxable other intangibles, cash flow statement</v>
          </cell>
          <cell r="HX430" t="str">
            <v>mstag:amortizationOfTaxableOtherIntangiblesCashFlowStatement</v>
          </cell>
          <cell r="HY430">
            <v>6</v>
          </cell>
          <cell r="HZ430" t="str">
            <v>ISO4217:USD</v>
          </cell>
          <cell r="IA430" t="b">
            <v>0</v>
          </cell>
          <cell r="IB430" t="b">
            <v>0</v>
          </cell>
        </row>
        <row r="431">
          <cell r="D431" t="str">
            <v>Amortization of nontaxable other intangibles, cash flow statement</v>
          </cell>
          <cell r="HX431" t="str">
            <v>mstag:amortizationOfNonTaxableOtherIntangiblesCashFlowStatement</v>
          </cell>
          <cell r="HY431">
            <v>6</v>
          </cell>
          <cell r="HZ431" t="str">
            <v>ISO4217:USD</v>
          </cell>
          <cell r="IA431" t="b">
            <v>0</v>
          </cell>
          <cell r="IB431" t="b">
            <v>0</v>
          </cell>
        </row>
        <row r="432">
          <cell r="C432" t="str">
            <v>Restructuring costs, recurring, cash flow statement</v>
          </cell>
          <cell r="HX432" t="str">
            <v>mstag:restructuringCostsRecurringCashFlowStatement</v>
          </cell>
          <cell r="HY432">
            <v>6</v>
          </cell>
          <cell r="HZ432" t="str">
            <v>ISO4217:USD</v>
          </cell>
          <cell r="IA432" t="b">
            <v>0</v>
          </cell>
          <cell r="IB432" t="b">
            <v>0</v>
          </cell>
        </row>
        <row r="433">
          <cell r="C433" t="str">
            <v>Restructuring costs, one time, cash flow statement</v>
          </cell>
          <cell r="HX433" t="str">
            <v>mstag:restructuringCostsOneTimeCashFlowStatement</v>
          </cell>
          <cell r="HY433">
            <v>6</v>
          </cell>
          <cell r="HZ433" t="str">
            <v>ISO4217:USD</v>
          </cell>
          <cell r="IA433" t="b">
            <v>0</v>
          </cell>
          <cell r="IB433" t="b">
            <v>0</v>
          </cell>
        </row>
        <row r="434">
          <cell r="C434" t="str">
            <v>Legal provision, recurring, cash flow statement</v>
          </cell>
          <cell r="HX434" t="str">
            <v>mstag:legalProvisionRecurringCashFlowStatement</v>
          </cell>
          <cell r="HY434">
            <v>6</v>
          </cell>
          <cell r="HZ434" t="str">
            <v>ISO4217:USD</v>
          </cell>
          <cell r="IA434" t="b">
            <v>0</v>
          </cell>
          <cell r="IB434" t="b">
            <v>0</v>
          </cell>
        </row>
        <row r="435">
          <cell r="C435" t="str">
            <v>Legal provision, one time, cash flow statement</v>
          </cell>
          <cell r="HX435" t="str">
            <v>mstag:legalProvisionOneTimeCashFlowStatement</v>
          </cell>
          <cell r="HY435">
            <v>6</v>
          </cell>
          <cell r="HZ435" t="str">
            <v>ISO4217:USD</v>
          </cell>
          <cell r="IA435" t="b">
            <v>0</v>
          </cell>
          <cell r="IB435" t="b">
            <v>0</v>
          </cell>
        </row>
        <row r="436">
          <cell r="C436" t="str">
            <v>Environmental provision, recurring, cash flow statement</v>
          </cell>
          <cell r="HX436" t="str">
            <v>mstag:environmentalProvisionRecurringCashFlowStatement</v>
          </cell>
          <cell r="HY436">
            <v>6</v>
          </cell>
          <cell r="HZ436" t="str">
            <v>ISO4217:USD</v>
          </cell>
          <cell r="IA436" t="b">
            <v>0</v>
          </cell>
          <cell r="IB436" t="b">
            <v>0</v>
          </cell>
        </row>
        <row r="437">
          <cell r="C437" t="str">
            <v>Environmental provision, one time, cash flow statement</v>
          </cell>
          <cell r="HX437" t="str">
            <v>mstag:environmentalProvisionOneTimeCashFlowStatement</v>
          </cell>
          <cell r="HY437">
            <v>6</v>
          </cell>
          <cell r="HZ437" t="str">
            <v>ISO4217:USD</v>
          </cell>
          <cell r="IA437" t="b">
            <v>0</v>
          </cell>
          <cell r="IB437" t="b">
            <v>0</v>
          </cell>
        </row>
        <row r="438">
          <cell r="C438" t="str">
            <v>Other provisions, recurring, cash flow statement</v>
          </cell>
          <cell r="HX438" t="str">
            <v>mstag:otherProvisionsRecurringCashFlowStatement</v>
          </cell>
          <cell r="HY438">
            <v>6</v>
          </cell>
          <cell r="HZ438" t="str">
            <v>ISO4217:USD</v>
          </cell>
          <cell r="IA438" t="b">
            <v>0</v>
          </cell>
          <cell r="IB438" t="b">
            <v>0</v>
          </cell>
        </row>
        <row r="439">
          <cell r="C439" t="str">
            <v>Other provisions, one time, cash flow statement</v>
          </cell>
          <cell r="HX439" t="str">
            <v>mstag:otherProvisionsOneTimeCashFlowStatement</v>
          </cell>
          <cell r="HY439">
            <v>6</v>
          </cell>
          <cell r="HZ439" t="str">
            <v>ISO4217:USD</v>
          </cell>
          <cell r="IA439" t="b">
            <v>0</v>
          </cell>
          <cell r="IB439" t="b">
            <v>0</v>
          </cell>
        </row>
        <row r="440">
          <cell r="C440" t="str">
            <v>Goodwill impairment, cash flow statement</v>
          </cell>
          <cell r="HX440" t="str">
            <v>mstag:goodwillImpairmentCashFlowStatement</v>
          </cell>
          <cell r="HY440">
            <v>6</v>
          </cell>
          <cell r="HZ440" t="str">
            <v>ISO4217:USD</v>
          </cell>
          <cell r="IA440" t="b">
            <v>0</v>
          </cell>
          <cell r="IB440" t="b">
            <v>0</v>
          </cell>
        </row>
        <row r="441">
          <cell r="C441" t="str">
            <v>Indefinite life intangible impairment, cash flow statement</v>
          </cell>
          <cell r="HX441" t="str">
            <v>mstag:indefiniteLifeIntangibleImpairmentCashFlowStatement</v>
          </cell>
          <cell r="HY441">
            <v>6</v>
          </cell>
          <cell r="HZ441" t="str">
            <v>ISO4217:USD</v>
          </cell>
          <cell r="IA441" t="b">
            <v>0</v>
          </cell>
          <cell r="IB441" t="b">
            <v>0</v>
          </cell>
        </row>
        <row r="442">
          <cell r="C442" t="str">
            <v>Asset impairment, nongoodwill, one time, cash flow statement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3.8</v>
          </cell>
          <cell r="HX442" t="str">
            <v>mstag:assetImpairmentNonGoodwillOneTime</v>
          </cell>
          <cell r="HY442">
            <v>6</v>
          </cell>
          <cell r="HZ442" t="str">
            <v>ISO4217:USD</v>
          </cell>
          <cell r="IA442" t="b">
            <v>0</v>
          </cell>
          <cell r="IB442" t="b">
            <v>0</v>
          </cell>
        </row>
        <row r="443">
          <cell r="C443" t="str">
            <v>Gains (losses) from sale of PPE and intangibles, recurring, cash flow statement</v>
          </cell>
          <cell r="G443">
            <v>-0.318</v>
          </cell>
          <cell r="H443">
            <v>-1.0149999999999999</v>
          </cell>
          <cell r="I443">
            <v>-0.88600000000000001</v>
          </cell>
          <cell r="J443">
            <v>-1.123</v>
          </cell>
          <cell r="K443">
            <v>-4.2110000000000003</v>
          </cell>
          <cell r="L443">
            <v>-15.882999999999999</v>
          </cell>
          <cell r="M443">
            <v>-10.76</v>
          </cell>
          <cell r="HX443" t="str">
            <v>mstag:gainsLossesFromSaleOfOperatingAssetsRecurring</v>
          </cell>
          <cell r="HY443">
            <v>6</v>
          </cell>
          <cell r="HZ443" t="str">
            <v>ISO4217:USD</v>
          </cell>
          <cell r="IA443" t="b">
            <v>0</v>
          </cell>
          <cell r="IB443" t="b">
            <v>0</v>
          </cell>
        </row>
        <row r="444">
          <cell r="C444" t="str">
            <v>Gains (losses) from sale of PPE and intangibles, one time, cash flow statement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20</v>
          </cell>
          <cell r="HX444" t="str">
            <v>mstag:gainsLossesFromSaleOfOperatingAssetsOneTime</v>
          </cell>
          <cell r="HY444">
            <v>6</v>
          </cell>
          <cell r="HZ444" t="str">
            <v>ISO4217:USD</v>
          </cell>
          <cell r="IA444" t="b">
            <v>0</v>
          </cell>
          <cell r="IB444" t="b">
            <v>0</v>
          </cell>
        </row>
        <row r="445">
          <cell r="C445" t="str">
            <v>Bonus paid to directors and corporate auditors (Japan)</v>
          </cell>
          <cell r="HX445" t="str">
            <v>mstag:bonusPaidToDirectorsAndCorporateAuditorsJapan</v>
          </cell>
          <cell r="HY445">
            <v>6</v>
          </cell>
          <cell r="HZ445" t="str">
            <v>ISO4217:USD</v>
          </cell>
          <cell r="IA445" t="b">
            <v>0</v>
          </cell>
          <cell r="IB445" t="b">
            <v>0</v>
          </cell>
        </row>
        <row r="446">
          <cell r="C446" t="str">
            <v>Bonus to directors and supervisors, cash flow statement (Taiwan)</v>
          </cell>
          <cell r="HX446" t="str">
            <v>mstag:bonusToDirectorsAndSupervisorsTaiwanCashFlow</v>
          </cell>
          <cell r="HY446">
            <v>6</v>
          </cell>
          <cell r="HZ446" t="str">
            <v>ISO4217:USD</v>
          </cell>
          <cell r="IA446" t="b">
            <v>0</v>
          </cell>
          <cell r="IB446" t="b">
            <v>0</v>
          </cell>
        </row>
        <row r="447">
          <cell r="C447" t="str">
            <v>Employee cash bonus, cash flow statement (Taiwan)</v>
          </cell>
          <cell r="HX447" t="str">
            <v>mstag:employeeCashBonusTaiwanCashFlow</v>
          </cell>
          <cell r="HY447">
            <v>6</v>
          </cell>
          <cell r="HZ447" t="str">
            <v>ISO4217:USD</v>
          </cell>
          <cell r="IA447" t="b">
            <v>0</v>
          </cell>
          <cell r="IB447" t="b">
            <v>0</v>
          </cell>
        </row>
        <row r="448">
          <cell r="C448" t="str">
            <v>Acquired in-process R and D, cash flow statement</v>
          </cell>
          <cell r="G448">
            <v>0</v>
          </cell>
          <cell r="H448">
            <v>0</v>
          </cell>
          <cell r="I448">
            <v>752.5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HX448" t="str">
            <v>mstag:acquiredInProcessRAndD</v>
          </cell>
          <cell r="HY448">
            <v>6</v>
          </cell>
          <cell r="HZ448" t="str">
            <v>ISO4217:USD</v>
          </cell>
          <cell r="IA448" t="b">
            <v>0</v>
          </cell>
          <cell r="IB448" t="b">
            <v>0</v>
          </cell>
        </row>
        <row r="449">
          <cell r="C449" t="str">
            <v>Capital expenditures</v>
          </cell>
          <cell r="G449">
            <v>154.90199999999999</v>
          </cell>
          <cell r="H449">
            <v>88.087999999999994</v>
          </cell>
          <cell r="I449">
            <v>95.007999999999996</v>
          </cell>
          <cell r="J449">
            <v>112.681</v>
          </cell>
          <cell r="K449">
            <v>213.351</v>
          </cell>
          <cell r="L449">
            <v>322.83199999999999</v>
          </cell>
          <cell r="M449">
            <v>321.95</v>
          </cell>
          <cell r="HX449" t="str">
            <v>mstag:capitalExpenditures</v>
          </cell>
          <cell r="HY449">
            <v>6</v>
          </cell>
          <cell r="HZ449" t="str">
            <v>ISO4217:USD</v>
          </cell>
          <cell r="IA449" t="b">
            <v>0</v>
          </cell>
          <cell r="IB449" t="b">
            <v>0</v>
          </cell>
        </row>
        <row r="450">
          <cell r="D450" t="str">
            <v>Capital expenditures, sustaining</v>
          </cell>
          <cell r="G450">
            <v>154.90199999999999</v>
          </cell>
          <cell r="H450">
            <v>88.087999999999994</v>
          </cell>
          <cell r="I450">
            <v>95.007999999999996</v>
          </cell>
          <cell r="J450">
            <v>112.681</v>
          </cell>
          <cell r="K450">
            <v>213.351</v>
          </cell>
          <cell r="L450">
            <v>322.83199999999999</v>
          </cell>
          <cell r="HX450" t="str">
            <v>mstag:capitalExpendituresMaintenance</v>
          </cell>
          <cell r="HY450">
            <v>6</v>
          </cell>
          <cell r="HZ450" t="str">
            <v>ISO4217:USD</v>
          </cell>
          <cell r="IA450" t="b">
            <v>0</v>
          </cell>
          <cell r="IB450" t="b">
            <v>0</v>
          </cell>
        </row>
        <row r="451">
          <cell r="D451" t="str">
            <v>Capital expenditures, growth</v>
          </cell>
          <cell r="HX451" t="str">
            <v>mstag:capitalExpendituresGrowth</v>
          </cell>
          <cell r="HY451">
            <v>6</v>
          </cell>
          <cell r="HZ451" t="str">
            <v>ISO4217:USD</v>
          </cell>
          <cell r="IA451" t="b">
            <v>0</v>
          </cell>
          <cell r="IB451" t="b">
            <v>0</v>
          </cell>
        </row>
        <row r="452">
          <cell r="C452" t="str">
            <v>Capital expenditures, related to lessor financing</v>
          </cell>
          <cell r="HX452" t="str">
            <v>mstag:capitalExpendituresRelatedToLessorFinancing</v>
          </cell>
          <cell r="HY452">
            <v>6</v>
          </cell>
          <cell r="HZ452" t="str">
            <v>ISO4217:USD</v>
          </cell>
          <cell r="IA452" t="b">
            <v>0</v>
          </cell>
          <cell r="IB452" t="b">
            <v>0</v>
          </cell>
        </row>
        <row r="453">
          <cell r="C453" t="str">
            <v>Unrealized foreign currency exchange gain (loss), cash flow statement</v>
          </cell>
          <cell r="HX453" t="str">
            <v>mstag:unrealizedForeignCurrencyExchangeGainLossCashFlowStatement</v>
          </cell>
          <cell r="HY453">
            <v>6</v>
          </cell>
          <cell r="HZ453" t="str">
            <v>ISO4217:USD</v>
          </cell>
          <cell r="IA453" t="b">
            <v>0</v>
          </cell>
          <cell r="IB453" t="b">
            <v>0</v>
          </cell>
        </row>
        <row r="454">
          <cell r="C454" t="str">
            <v>Proceeds from sale of PPE and intangible assets</v>
          </cell>
          <cell r="HX454" t="str">
            <v>mstag:proceedsFromSaleOfPpeAndIntangibleAssets</v>
          </cell>
          <cell r="HY454">
            <v>6</v>
          </cell>
          <cell r="HZ454" t="str">
            <v>ISO4217:USD</v>
          </cell>
          <cell r="IA454" t="b">
            <v>0</v>
          </cell>
          <cell r="IB454" t="b">
            <v>0</v>
          </cell>
        </row>
        <row r="455">
          <cell r="C455" t="str">
            <v>Amortization of discount (premium) on debt</v>
          </cell>
          <cell r="HX455" t="str">
            <v>mstag:amortizationOfDiscountPremiumOnDebtCashFlowStatement</v>
          </cell>
          <cell r="HY455">
            <v>6</v>
          </cell>
          <cell r="HZ455" t="str">
            <v>ISO4217:USD</v>
          </cell>
          <cell r="IA455" t="b">
            <v>0</v>
          </cell>
          <cell r="IB455" t="b">
            <v>0</v>
          </cell>
        </row>
        <row r="456">
          <cell r="C456" t="str">
            <v>Net pension and OPEB expense, cash flow statement</v>
          </cell>
          <cell r="HX456" t="str">
            <v>mstag:netPensionAndOpebExpenseCashFlowStatement</v>
          </cell>
          <cell r="HY456">
            <v>6</v>
          </cell>
          <cell r="HZ456" t="str">
            <v>ISO4217:USD</v>
          </cell>
          <cell r="IA456" t="b">
            <v>0</v>
          </cell>
          <cell r="IB456" t="b">
            <v>0</v>
          </cell>
        </row>
        <row r="457">
          <cell r="C457" t="str">
            <v>Net disposals (acquisitions)</v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HX457" t="str">
            <v>mstag:netDisposalsAcquisitions</v>
          </cell>
          <cell r="HY457">
            <v>6</v>
          </cell>
          <cell r="HZ457" t="str">
            <v>ISO4217:USD</v>
          </cell>
          <cell r="IA457" t="b">
            <v>0</v>
          </cell>
          <cell r="IB457" t="b">
            <v>0</v>
          </cell>
        </row>
        <row r="458">
          <cell r="D458" t="str">
            <v>Capital expenditures reflected in cost of acquisitions</v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HX458" t="str">
            <v>mstag:capitalExpendituresReflectedInCostOfAcquisitions</v>
          </cell>
          <cell r="HY458">
            <v>6</v>
          </cell>
          <cell r="HZ458" t="str">
            <v>ISO4217:USD</v>
          </cell>
          <cell r="IA458" t="b">
            <v>0</v>
          </cell>
          <cell r="IB458" t="b">
            <v>0</v>
          </cell>
        </row>
        <row r="459">
          <cell r="E459" t="str">
            <v>Capital expenditures reflected in cost of acquisitions, sustaining</v>
          </cell>
          <cell r="HX459" t="str">
            <v>mstag:capitalExpendituresReflectedInCostOfAcquisitionsMaintenance</v>
          </cell>
          <cell r="HY459">
            <v>6</v>
          </cell>
          <cell r="HZ459" t="str">
            <v>ISO4217:USD</v>
          </cell>
          <cell r="IA459" t="b">
            <v>0</v>
          </cell>
          <cell r="IB459" t="b">
            <v>0</v>
          </cell>
        </row>
        <row r="460">
          <cell r="E460" t="str">
            <v>Capital expenditures reflected in cost of acquisitions, growth</v>
          </cell>
          <cell r="HX460" t="str">
            <v>mstag:capitalExpendituresReflectedInCostOfAcquisitionsGrowth</v>
          </cell>
          <cell r="HY460">
            <v>6</v>
          </cell>
          <cell r="HZ460" t="str">
            <v>ISO4217:USD</v>
          </cell>
          <cell r="IA460" t="b">
            <v>0</v>
          </cell>
          <cell r="IB460" t="b">
            <v>0</v>
          </cell>
        </row>
        <row r="461">
          <cell r="D461" t="str">
            <v>Investment in intangible assets reflected in cost of acquisitions</v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HX461" t="str">
            <v>mstag:investmentInIntangibleAssetsReflectedInCostOfAcquisitions</v>
          </cell>
          <cell r="HY461">
            <v>6</v>
          </cell>
          <cell r="HZ461" t="str">
            <v>ISO4217:USD</v>
          </cell>
          <cell r="IA461" t="b">
            <v>0</v>
          </cell>
          <cell r="IB461" t="b">
            <v>0</v>
          </cell>
        </row>
        <row r="462">
          <cell r="E462" t="str">
            <v>Investment in intangible assets reflected in cost of acquisitions, sustaining</v>
          </cell>
          <cell r="HX462" t="str">
            <v>mstag:investmentInIntangibleAssetsReflectedInCostOfAcquisitionsMaintenance</v>
          </cell>
          <cell r="HY462">
            <v>6</v>
          </cell>
          <cell r="HZ462" t="str">
            <v>ISO4217:USD</v>
          </cell>
          <cell r="IA462" t="b">
            <v>0</v>
          </cell>
          <cell r="IB462" t="b">
            <v>0</v>
          </cell>
        </row>
        <row r="463">
          <cell r="E463" t="str">
            <v>Investment in intangible assets reflected in cost of acquisitions, growth</v>
          </cell>
          <cell r="HX463" t="str">
            <v>mstag:investmentInIntangibleAssetsReflectedInCostOfAcquisitionsGrowth</v>
          </cell>
          <cell r="HY463">
            <v>6</v>
          </cell>
          <cell r="HZ463" t="str">
            <v>ISO4217:USD</v>
          </cell>
          <cell r="IA463" t="b">
            <v>0</v>
          </cell>
          <cell r="IB463" t="b">
            <v>0</v>
          </cell>
        </row>
        <row r="464">
          <cell r="D464" t="str">
            <v>Premium (goodwill) on acquisitions</v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HX464" t="str">
            <v>mstag:premiumGoodwillOnAcquisions</v>
          </cell>
          <cell r="HY464">
            <v>6</v>
          </cell>
          <cell r="HZ464" t="str">
            <v>ISO4217:USD</v>
          </cell>
          <cell r="IA464" t="b">
            <v>0</v>
          </cell>
          <cell r="IB464" t="b">
            <v>0</v>
          </cell>
        </row>
        <row r="465">
          <cell r="E465" t="str">
            <v>Premium (goodwill) on acquisitions, sustaining</v>
          </cell>
          <cell r="HX465" t="str">
            <v>mstag:premiumGoodwillOnAcquisitionsSustaining</v>
          </cell>
          <cell r="HY465">
            <v>6</v>
          </cell>
          <cell r="HZ465" t="str">
            <v>ISO4217:USD</v>
          </cell>
          <cell r="IA465" t="b">
            <v>0</v>
          </cell>
          <cell r="IB465" t="b">
            <v>0</v>
          </cell>
        </row>
        <row r="466">
          <cell r="E466" t="str">
            <v>Premium (goodwill) on acquisitions, growth</v>
          </cell>
          <cell r="HX466" t="str">
            <v>mstag:premiumGoodwillOnAcquisitionsGrowth</v>
          </cell>
          <cell r="HY466">
            <v>6</v>
          </cell>
          <cell r="HZ466" t="str">
            <v>ISO4217:USD</v>
          </cell>
          <cell r="IA466" t="b">
            <v>0</v>
          </cell>
          <cell r="IB466" t="b">
            <v>0</v>
          </cell>
        </row>
        <row r="467">
          <cell r="D467" t="str">
            <v>Other assets (liabilities) acquired included in ending balance sheet totals</v>
          </cell>
          <cell r="HX467" t="str">
            <v>mstag:otherAssetsLiabilitiesIncludedInEndingBalanceSheetTotals</v>
          </cell>
          <cell r="HY467">
            <v>6</v>
          </cell>
          <cell r="HZ467" t="str">
            <v>ISO4217:USD</v>
          </cell>
          <cell r="IA467" t="b">
            <v>0</v>
          </cell>
          <cell r="IB467" t="b">
            <v>0</v>
          </cell>
        </row>
        <row r="468">
          <cell r="D468" t="str">
            <v>Acquired in-process R and D, acquisitions</v>
          </cell>
          <cell r="HX468" t="str">
            <v>mstag:acquiredInProcessRAndDAcquisitions</v>
          </cell>
          <cell r="HY468">
            <v>6</v>
          </cell>
          <cell r="HZ468" t="str">
            <v>ISO4217:USD</v>
          </cell>
          <cell r="IA468" t="b">
            <v>0</v>
          </cell>
          <cell r="IB468" t="b">
            <v>0</v>
          </cell>
        </row>
        <row r="469">
          <cell r="D469" t="str">
            <v>Principal debt acquired</v>
          </cell>
          <cell r="HX469" t="str">
            <v>mstag:principalDebtAcquired</v>
          </cell>
          <cell r="HY469">
            <v>6</v>
          </cell>
          <cell r="HZ469" t="str">
            <v>ISO4217:USD</v>
          </cell>
          <cell r="IA469" t="b">
            <v>0</v>
          </cell>
          <cell r="IB469" t="b">
            <v>0</v>
          </cell>
        </row>
        <row r="470">
          <cell r="D470" t="str">
            <v>Equity issued on acquisition</v>
          </cell>
          <cell r="HX470" t="str">
            <v>mstag:equityIssuedOnAcquisition</v>
          </cell>
          <cell r="HY470">
            <v>6</v>
          </cell>
          <cell r="HZ470" t="str">
            <v>ISO4217:USD</v>
          </cell>
          <cell r="IA470" t="b">
            <v>0</v>
          </cell>
          <cell r="IB470" t="b">
            <v>0</v>
          </cell>
        </row>
        <row r="471">
          <cell r="C471" t="str">
            <v>Investment in intangible assets</v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HX471" t="str">
            <v>mstag:investmentInIntangibleAssets</v>
          </cell>
          <cell r="HY471">
            <v>6</v>
          </cell>
          <cell r="HZ471" t="str">
            <v>ISO4217:USD</v>
          </cell>
          <cell r="IA471" t="b">
            <v>0</v>
          </cell>
          <cell r="IB471" t="b">
            <v>0</v>
          </cell>
        </row>
        <row r="472">
          <cell r="D472" t="str">
            <v>Investment in indefinite life intangibles</v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HX472" t="str">
            <v>mstag:investmentInIndefiniteLifeIntangibles</v>
          </cell>
          <cell r="HY472">
            <v>6</v>
          </cell>
          <cell r="HZ472" t="str">
            <v>ISO4217:USD</v>
          </cell>
          <cell r="IA472" t="b">
            <v>0</v>
          </cell>
          <cell r="IB472" t="b">
            <v>0</v>
          </cell>
        </row>
        <row r="473">
          <cell r="E473" t="str">
            <v>Investment in indefinite life intangibles, sustaining</v>
          </cell>
          <cell r="HX473" t="str">
            <v>mstag:investmentInIndefiniteLifeIntangiblesMaintenance</v>
          </cell>
          <cell r="HY473">
            <v>6</v>
          </cell>
          <cell r="HZ473" t="str">
            <v>ISO4217:USD</v>
          </cell>
          <cell r="IA473" t="b">
            <v>0</v>
          </cell>
          <cell r="IB473" t="b">
            <v>0</v>
          </cell>
        </row>
        <row r="474">
          <cell r="E474" t="str">
            <v>Investment in indefinite life intangibles, growth</v>
          </cell>
          <cell r="HX474" t="str">
            <v>mstag:investmentInIndefiniteLifeIntangiblesGrowth</v>
          </cell>
          <cell r="HY474">
            <v>6</v>
          </cell>
          <cell r="HZ474" t="str">
            <v>ISO4217:USD</v>
          </cell>
          <cell r="IA474" t="b">
            <v>0</v>
          </cell>
          <cell r="IB474" t="b">
            <v>0</v>
          </cell>
        </row>
        <row r="475">
          <cell r="D475" t="str">
            <v>Investment in definite life intangibles</v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HX475" t="str">
            <v>mstag:investmentInDefiniteLifeIntangibles</v>
          </cell>
          <cell r="HY475">
            <v>6</v>
          </cell>
          <cell r="HZ475" t="str">
            <v>ISO4217:USD</v>
          </cell>
          <cell r="IA475" t="b">
            <v>0</v>
          </cell>
          <cell r="IB475" t="b">
            <v>0</v>
          </cell>
        </row>
        <row r="476">
          <cell r="E476" t="str">
            <v>Investment in definite life intangibles, sustaining</v>
          </cell>
          <cell r="HX476" t="str">
            <v>mstag:investmentInDefiniteLifeIntangiblesMaintenance</v>
          </cell>
          <cell r="HY476">
            <v>6</v>
          </cell>
          <cell r="HZ476" t="str">
            <v>ISO4217:USD</v>
          </cell>
          <cell r="IA476" t="b">
            <v>0</v>
          </cell>
          <cell r="IB476" t="b">
            <v>0</v>
          </cell>
        </row>
        <row r="477">
          <cell r="E477" t="str">
            <v>Investment in definite life intangibles, growth</v>
          </cell>
          <cell r="HX477" t="str">
            <v>mstag:investmentInDefiniteLifeIntangiblesGrowth</v>
          </cell>
          <cell r="HY477">
            <v>6</v>
          </cell>
          <cell r="HZ477" t="str">
            <v>ISO4217:USD</v>
          </cell>
          <cell r="IA477" t="b">
            <v>0</v>
          </cell>
          <cell r="IB477" t="b">
            <v>0</v>
          </cell>
        </row>
        <row r="478">
          <cell r="C478" t="str">
            <v>Income (loss) from investments under the equity method, operating, cash flow statement</v>
          </cell>
          <cell r="HX478" t="str">
            <v>mstag:incomeLossFromInvestmentsAccountedForUnderTheEquityMethodOperating</v>
          </cell>
          <cell r="HY478">
            <v>6</v>
          </cell>
          <cell r="HZ478" t="str">
            <v>ISO4217:USD</v>
          </cell>
          <cell r="IA478" t="b">
            <v>0</v>
          </cell>
          <cell r="IB478" t="b">
            <v>0</v>
          </cell>
        </row>
        <row r="479">
          <cell r="C479" t="str">
            <v>Income (loss) from investments under the equity method, nonoperating, cash flow statement</v>
          </cell>
          <cell r="HX479" t="str">
            <v>mstag:incomeLossFromInvestmentsAccountedForUnderTheEquityMethodNonOperating</v>
          </cell>
          <cell r="HY479">
            <v>6</v>
          </cell>
          <cell r="HZ479" t="str">
            <v>ISO4217:USD</v>
          </cell>
          <cell r="IA479" t="b">
            <v>0</v>
          </cell>
          <cell r="IB479" t="b">
            <v>0</v>
          </cell>
        </row>
        <row r="480">
          <cell r="C480" t="str">
            <v>Dividends from investments under the equity method, operating, cash flow statement</v>
          </cell>
          <cell r="HX480" t="str">
            <v>mstag:dividendsFromInvestmentsAccountedForUnderTheEquityMethodOperating</v>
          </cell>
          <cell r="HY480">
            <v>6</v>
          </cell>
          <cell r="HZ480" t="str">
            <v>ISO4217:USD</v>
          </cell>
          <cell r="IA480" t="b">
            <v>0</v>
          </cell>
          <cell r="IB480" t="b">
            <v>0</v>
          </cell>
        </row>
        <row r="481">
          <cell r="C481" t="str">
            <v>Dividends from investments under the equity method, nonoperating, cash flow statement</v>
          </cell>
          <cell r="HX481" t="str">
            <v>mstag:dividendsFromInvestmentsAccountedForUnderTheEquityMethodNonOperating</v>
          </cell>
          <cell r="HY481">
            <v>6</v>
          </cell>
          <cell r="HZ481" t="str">
            <v>ISO4217:USD</v>
          </cell>
          <cell r="IA481" t="b">
            <v>0</v>
          </cell>
          <cell r="IB481" t="b">
            <v>0</v>
          </cell>
        </row>
        <row r="482">
          <cell r="C482" t="str">
            <v>Net increase in deferred tax liabilities (assets)</v>
          </cell>
          <cell r="G482">
            <v>19.66</v>
          </cell>
          <cell r="H482">
            <v>29.792000000000002</v>
          </cell>
          <cell r="I482">
            <v>-144.29500000000002</v>
          </cell>
          <cell r="J482">
            <v>-196.78200000000001</v>
          </cell>
          <cell r="K482">
            <v>29.356999999999999</v>
          </cell>
          <cell r="L482">
            <v>-196.64400000000001</v>
          </cell>
          <cell r="M482">
            <v>-149</v>
          </cell>
          <cell r="HX482" t="str">
            <v>mstag:deferredTax</v>
          </cell>
          <cell r="HY482">
            <v>6</v>
          </cell>
          <cell r="HZ482" t="str">
            <v>ISO4217:USD</v>
          </cell>
          <cell r="IA482" t="b">
            <v>0</v>
          </cell>
          <cell r="IB482" t="b">
            <v>0</v>
          </cell>
        </row>
        <row r="483">
          <cell r="D483" t="str">
            <v>Net decrease in deferred tax asset from exercise of ESOs in the period</v>
          </cell>
          <cell r="HX483" t="str">
            <v>mstag:netDecreaseInDeferredTaxAssetFromExerciseOfEsosInThePeriod</v>
          </cell>
          <cell r="HY483">
            <v>6</v>
          </cell>
          <cell r="HZ483" t="str">
            <v>ISO4217:USD</v>
          </cell>
          <cell r="IA483" t="b">
            <v>0</v>
          </cell>
          <cell r="IB483" t="b">
            <v>0</v>
          </cell>
        </row>
        <row r="484">
          <cell r="C484" t="str">
            <v>Net increase in income tax payable (receivable)</v>
          </cell>
          <cell r="HX484" t="str">
            <v>mstag:netIncreaseInIncomeTaxPayableReceivable</v>
          </cell>
          <cell r="HY484">
            <v>6</v>
          </cell>
          <cell r="HZ484" t="str">
            <v>ISO4217:USD</v>
          </cell>
          <cell r="IA484" t="b">
            <v>0</v>
          </cell>
          <cell r="IB484" t="b">
            <v>0</v>
          </cell>
        </row>
        <row r="485">
          <cell r="D485" t="str">
            <v>Net decrease in income tax payable due to tax benefit from exercise of ESOs</v>
          </cell>
          <cell r="HX485" t="str">
            <v>mstag:netDecreaseInIncomeTaxPayableDueToTaxBenefitFromExerciseOfEsos</v>
          </cell>
          <cell r="HY485">
            <v>6</v>
          </cell>
          <cell r="HZ485" t="str">
            <v>ISO4217:USD</v>
          </cell>
          <cell r="IA485" t="b">
            <v>0</v>
          </cell>
          <cell r="IB485" t="b">
            <v>0</v>
          </cell>
        </row>
        <row r="486">
          <cell r="C486" t="str">
            <v>Stock-based compensation charge, pretax</v>
          </cell>
          <cell r="HX486" t="str">
            <v>mstag:stockBasedCompensationChargePreTax</v>
          </cell>
          <cell r="HY486">
            <v>6</v>
          </cell>
          <cell r="HZ486" t="str">
            <v>ISO4217:USD</v>
          </cell>
          <cell r="IA486" t="b">
            <v>0</v>
          </cell>
          <cell r="IB486" t="b">
            <v>0</v>
          </cell>
        </row>
        <row r="487">
          <cell r="C487" t="str">
            <v>Tax benefit from exercise of ESOs</v>
          </cell>
          <cell r="G487">
            <v>0</v>
          </cell>
          <cell r="H487">
            <v>0</v>
          </cell>
          <cell r="I487">
            <v>119.15300000000001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HX487" t="str">
            <v>mstag:taxBenefitFromExerciseOfEsosCashFlowStatement</v>
          </cell>
          <cell r="HY487">
            <v>6</v>
          </cell>
          <cell r="HZ487" t="str">
            <v>ISO4217:USD</v>
          </cell>
          <cell r="IA487" t="b">
            <v>0</v>
          </cell>
          <cell r="IB487" t="b">
            <v>0</v>
          </cell>
        </row>
        <row r="488">
          <cell r="C488" t="str">
            <v>Net decrease in other assets, operating</v>
          </cell>
          <cell r="G488">
            <v>-61.529000000000003</v>
          </cell>
          <cell r="H488">
            <v>-17.151</v>
          </cell>
          <cell r="I488">
            <v>-23.551000000000002</v>
          </cell>
          <cell r="J488">
            <v>-55.603999999999999</v>
          </cell>
          <cell r="K488">
            <v>-10.105</v>
          </cell>
          <cell r="L488">
            <v>12.875</v>
          </cell>
          <cell r="M488">
            <v>-1110.23</v>
          </cell>
          <cell r="HX488" t="str">
            <v>mstag:netDecreaseInOtherAssets</v>
          </cell>
          <cell r="HY488">
            <v>6</v>
          </cell>
          <cell r="HZ488" t="str">
            <v>ISO4217:USD</v>
          </cell>
          <cell r="IA488" t="b">
            <v>0</v>
          </cell>
          <cell r="IB488" t="b">
            <v>0</v>
          </cell>
        </row>
        <row r="489">
          <cell r="C489" t="str">
            <v>Net decrease in trade receivables</v>
          </cell>
          <cell r="G489">
            <v>11.194000000000001</v>
          </cell>
          <cell r="H489">
            <v>33.767000000000003</v>
          </cell>
          <cell r="I489">
            <v>-70.994</v>
          </cell>
          <cell r="J489">
            <v>-103.863</v>
          </cell>
          <cell r="K489">
            <v>-59.512</v>
          </cell>
          <cell r="L489">
            <v>-107.483</v>
          </cell>
          <cell r="M489">
            <v>-146.1</v>
          </cell>
          <cell r="HX489" t="str">
            <v>mstag:netDecreaseInTradeReceivables</v>
          </cell>
          <cell r="HY489">
            <v>6</v>
          </cell>
          <cell r="HZ489" t="str">
            <v>ISO4217:USD</v>
          </cell>
          <cell r="IA489" t="b">
            <v>0</v>
          </cell>
          <cell r="IB489" t="b">
            <v>0</v>
          </cell>
        </row>
        <row r="490">
          <cell r="C490" t="str">
            <v>Net decrease in finance lease receivables</v>
          </cell>
          <cell r="HX490" t="str">
            <v>mstag:netDecreaseInFinanceLeaseReceivables</v>
          </cell>
          <cell r="HY490">
            <v>6</v>
          </cell>
          <cell r="HZ490" t="str">
            <v>ISO4217:USD</v>
          </cell>
          <cell r="IA490" t="b">
            <v>0</v>
          </cell>
          <cell r="IB490" t="b">
            <v>0</v>
          </cell>
        </row>
        <row r="491">
          <cell r="C491" t="str">
            <v>Net decrease in unbilled receivables</v>
          </cell>
          <cell r="HX491" t="str">
            <v>mstag:netDecreaseInUnbilledReceivables</v>
          </cell>
          <cell r="HY491">
            <v>6</v>
          </cell>
          <cell r="HZ491" t="str">
            <v>ISO4217:USD</v>
          </cell>
          <cell r="IA491" t="b">
            <v>0</v>
          </cell>
          <cell r="IB491" t="b">
            <v>0</v>
          </cell>
        </row>
        <row r="492">
          <cell r="C492" t="str">
            <v>Net decrease in other receivables</v>
          </cell>
          <cell r="HX492" t="str">
            <v>mstag:netDecreaseInOtherReceivables</v>
          </cell>
          <cell r="HY492">
            <v>6</v>
          </cell>
          <cell r="HZ492" t="str">
            <v>ISO4217:USD</v>
          </cell>
          <cell r="IA492" t="b">
            <v>0</v>
          </cell>
          <cell r="IB492" t="b">
            <v>0</v>
          </cell>
        </row>
        <row r="493">
          <cell r="C493" t="str">
            <v>Net decrease in prepaid expenses</v>
          </cell>
          <cell r="HX493" t="str">
            <v>mstag:netDecreaseInPrepaidExpenses</v>
          </cell>
          <cell r="HY493">
            <v>6</v>
          </cell>
          <cell r="HZ493" t="str">
            <v>ISO4217:USD</v>
          </cell>
          <cell r="IA493" t="b">
            <v>0</v>
          </cell>
          <cell r="IB493" t="b">
            <v>0</v>
          </cell>
        </row>
        <row r="494">
          <cell r="C494" t="str">
            <v>Net decrease in inventories</v>
          </cell>
          <cell r="G494">
            <v>-24.082999999999998</v>
          </cell>
          <cell r="H494">
            <v>-32.6</v>
          </cell>
          <cell r="I494">
            <v>59.561</v>
          </cell>
          <cell r="J494">
            <v>9.4149999999999991</v>
          </cell>
          <cell r="K494">
            <v>-91.116</v>
          </cell>
          <cell r="L494">
            <v>-36.595999999999997</v>
          </cell>
          <cell r="M494">
            <v>-93.26</v>
          </cell>
          <cell r="HX494" t="str">
            <v>mstag:netDecreaseInInventories</v>
          </cell>
          <cell r="HY494">
            <v>6</v>
          </cell>
          <cell r="HZ494" t="str">
            <v>ISO4217:USD</v>
          </cell>
          <cell r="IA494" t="b">
            <v>0</v>
          </cell>
          <cell r="IB494" t="b">
            <v>0</v>
          </cell>
        </row>
        <row r="495">
          <cell r="C495" t="str">
            <v>Net increase in trade and other payables</v>
          </cell>
          <cell r="G495">
            <v>32.896999999999998</v>
          </cell>
          <cell r="H495">
            <v>15.936999999999999</v>
          </cell>
          <cell r="I495">
            <v>166.41199999999998</v>
          </cell>
          <cell r="J495">
            <v>239.38800000000001</v>
          </cell>
          <cell r="K495">
            <v>124.774</v>
          </cell>
          <cell r="L495">
            <v>148.68100000000001</v>
          </cell>
          <cell r="M495">
            <v>463.6</v>
          </cell>
          <cell r="HX495" t="str">
            <v>mstag:netIncreaseInTradeAndOtherPayables</v>
          </cell>
          <cell r="HY495">
            <v>6</v>
          </cell>
          <cell r="HZ495" t="str">
            <v>ISO4217:USD</v>
          </cell>
          <cell r="IA495" t="b">
            <v>0</v>
          </cell>
          <cell r="IB495" t="b">
            <v>0</v>
          </cell>
        </row>
        <row r="496">
          <cell r="C496" t="str">
            <v>Net increase in deferred revenue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-15.457000000000001</v>
          </cell>
          <cell r="L496">
            <v>2.0009999999999999</v>
          </cell>
          <cell r="M496">
            <v>239.14500000000001</v>
          </cell>
          <cell r="HX496" t="str">
            <v>mstag:netIncreaseInDeferredRevenue</v>
          </cell>
          <cell r="HY496">
            <v>6</v>
          </cell>
          <cell r="HZ496" t="str">
            <v>ISO4217:USD</v>
          </cell>
          <cell r="IA496" t="b">
            <v>0</v>
          </cell>
          <cell r="IB496" t="b">
            <v>0</v>
          </cell>
        </row>
        <row r="497">
          <cell r="C497" t="str">
            <v>Net increase in accrued expenses</v>
          </cell>
          <cell r="HX497" t="str">
            <v>mstag:netIncreaseInAccruedExpenses</v>
          </cell>
          <cell r="HY497">
            <v>6</v>
          </cell>
          <cell r="HZ497" t="str">
            <v>ISO4217:USD</v>
          </cell>
          <cell r="IA497" t="b">
            <v>0</v>
          </cell>
          <cell r="IB497" t="b">
            <v>0</v>
          </cell>
        </row>
        <row r="498">
          <cell r="C498" t="str">
            <v>Net increase in deferred compensation</v>
          </cell>
          <cell r="HX498" t="str">
            <v>mstag:netIncreaseInDeferredCompensation</v>
          </cell>
          <cell r="HY498">
            <v>6</v>
          </cell>
          <cell r="HZ498" t="str">
            <v>ISO4217:USD</v>
          </cell>
          <cell r="IA498" t="b">
            <v>0</v>
          </cell>
          <cell r="IB498" t="b">
            <v>0</v>
          </cell>
        </row>
        <row r="499">
          <cell r="C499" t="str">
            <v>Proceeds from issuance and cash used to repay short term borrowings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-149.69200000000001</v>
          </cell>
          <cell r="M499">
            <v>0</v>
          </cell>
          <cell r="HX499" t="str">
            <v>mstag:proceedsFromIssuanceAndCashUsedToRepayShortTermBorrowings</v>
          </cell>
          <cell r="HY499">
            <v>6</v>
          </cell>
          <cell r="HZ499" t="str">
            <v>ISO4217:USD</v>
          </cell>
          <cell r="IA499" t="b">
            <v>0</v>
          </cell>
          <cell r="IB499" t="b">
            <v>0</v>
          </cell>
        </row>
        <row r="500">
          <cell r="C500" t="str">
            <v>Proceeds from issuance and cash used to repay long term debt</v>
          </cell>
          <cell r="HX500" t="str">
            <v>mstag:proceedsFromIssuanceAndCashUsedToRepayLongTermDebt</v>
          </cell>
          <cell r="HY500">
            <v>6</v>
          </cell>
          <cell r="HZ500" t="str">
            <v>ISO4217:USD</v>
          </cell>
          <cell r="IA500" t="b">
            <v>0</v>
          </cell>
          <cell r="IB500" t="b">
            <v>0</v>
          </cell>
        </row>
        <row r="501">
          <cell r="C501" t="str">
            <v>Net increase in other liabilities, operating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552.18499999999995</v>
          </cell>
          <cell r="HX501" t="str">
            <v>mstag:netIncreaseInOtherLiabilitiesOperating</v>
          </cell>
          <cell r="HY501">
            <v>6</v>
          </cell>
          <cell r="HZ501" t="str">
            <v>ISO4217:USD</v>
          </cell>
          <cell r="IA501" t="b">
            <v>0</v>
          </cell>
          <cell r="IB501" t="b">
            <v>0</v>
          </cell>
        </row>
        <row r="502">
          <cell r="C502" t="str">
            <v>Net increase in minority interests in shareholders' equity</v>
          </cell>
          <cell r="HX502" t="str">
            <v>mstag:netIncreaseInMinorityInterestsInShareholdersEquity</v>
          </cell>
          <cell r="HY502">
            <v>6</v>
          </cell>
          <cell r="HZ502" t="str">
            <v>ISO4217:USD</v>
          </cell>
          <cell r="IA502" t="b">
            <v>0</v>
          </cell>
          <cell r="IB502" t="b">
            <v>0</v>
          </cell>
        </row>
        <row r="503">
          <cell r="C503" t="str">
            <v>Net issuance of preferred stock</v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HX503" t="str">
            <v>mstag:netIssuanceOfPreferredStock</v>
          </cell>
          <cell r="HY503">
            <v>6</v>
          </cell>
          <cell r="HZ503" t="str">
            <v>ISO4217:USD</v>
          </cell>
          <cell r="IA503" t="b">
            <v>0</v>
          </cell>
          <cell r="IB503" t="b">
            <v>0</v>
          </cell>
        </row>
        <row r="504">
          <cell r="D504" t="str">
            <v>Issuances of preferred stock</v>
          </cell>
          <cell r="HX504" t="str">
            <v>mstag:issuancesOfPreferredStock</v>
          </cell>
          <cell r="HY504">
            <v>6</v>
          </cell>
          <cell r="HZ504" t="str">
            <v>ISO4217:USD</v>
          </cell>
          <cell r="IA504" t="b">
            <v>0</v>
          </cell>
          <cell r="IB504" t="b">
            <v>0</v>
          </cell>
        </row>
        <row r="505">
          <cell r="D505" t="str">
            <v>Redemptions, retirements and repurchases of preferred stock</v>
          </cell>
          <cell r="HX505" t="str">
            <v>mstag:redemptionsRetirementsAndRepurchasesOfPreferredStock</v>
          </cell>
          <cell r="HY505">
            <v>6</v>
          </cell>
          <cell r="HZ505" t="str">
            <v>ISO4217:USD</v>
          </cell>
          <cell r="IA505" t="b">
            <v>0</v>
          </cell>
          <cell r="IB505" t="b">
            <v>0</v>
          </cell>
        </row>
        <row r="506">
          <cell r="C506" t="str">
            <v>Proceeds from issuance/(funds used to repurchase) common stock</v>
          </cell>
          <cell r="G506">
            <v>87.259</v>
          </cell>
          <cell r="H506">
            <v>107.938</v>
          </cell>
          <cell r="I506">
            <v>160.203</v>
          </cell>
          <cell r="J506">
            <v>180.37899999999999</v>
          </cell>
          <cell r="K506">
            <v>67.162000000000006</v>
          </cell>
          <cell r="L506">
            <v>-618.58799999999997</v>
          </cell>
          <cell r="M506">
            <v>325.52</v>
          </cell>
          <cell r="HX506" t="str">
            <v>mstag:proceedsFromIssuanceFundsUsedToRepurchaseCommonStock</v>
          </cell>
          <cell r="HY506">
            <v>6</v>
          </cell>
          <cell r="HZ506" t="str">
            <v>ISO4217:USD</v>
          </cell>
          <cell r="IA506" t="b">
            <v>0</v>
          </cell>
          <cell r="IB506" t="b">
            <v>0</v>
          </cell>
        </row>
        <row r="507">
          <cell r="D507" t="str">
            <v>Proceeds from issuance of common stock</v>
          </cell>
          <cell r="G507">
            <v>87.259</v>
          </cell>
          <cell r="H507">
            <v>107.938</v>
          </cell>
          <cell r="I507">
            <v>160.203</v>
          </cell>
          <cell r="J507">
            <v>180.37899999999999</v>
          </cell>
          <cell r="K507">
            <v>106.866</v>
          </cell>
          <cell r="L507">
            <v>74.164000000000001</v>
          </cell>
          <cell r="HX507" t="str">
            <v>mstag:proceedsFromIssuanceOfCommonStock</v>
          </cell>
          <cell r="HY507">
            <v>6</v>
          </cell>
          <cell r="HZ507" t="str">
            <v>ISO4217:USD</v>
          </cell>
          <cell r="IA507" t="b">
            <v>0</v>
          </cell>
          <cell r="IB507" t="b">
            <v>0</v>
          </cell>
        </row>
        <row r="508">
          <cell r="D508" t="str">
            <v>Funds used to repurchase common stock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39.704000000000001</v>
          </cell>
          <cell r="L508">
            <v>692.75199999999995</v>
          </cell>
          <cell r="HX508" t="str">
            <v>mstag:fundsUsedToRepurchaseCommonStock</v>
          </cell>
          <cell r="HY508">
            <v>6</v>
          </cell>
          <cell r="HZ508" t="str">
            <v>ISO4217:USD</v>
          </cell>
          <cell r="IA508" t="b">
            <v>0</v>
          </cell>
          <cell r="IB508" t="b">
            <v>0</v>
          </cell>
        </row>
        <row r="509">
          <cell r="C509" t="str">
            <v>Cash dividends paid</v>
          </cell>
          <cell r="HX509" t="str">
            <v>mstag:cashDividendsPaid</v>
          </cell>
          <cell r="HY509">
            <v>6</v>
          </cell>
          <cell r="HZ509" t="str">
            <v>ISO4217:USD</v>
          </cell>
          <cell r="IA509" t="b">
            <v>0</v>
          </cell>
          <cell r="IB509" t="b">
            <v>0</v>
          </cell>
        </row>
        <row r="510">
          <cell r="C510" t="str">
            <v>Net decrease in notes receivable</v>
          </cell>
          <cell r="HX510" t="str">
            <v>mstag:netDecreaseInNotesReceivable</v>
          </cell>
          <cell r="HY510">
            <v>6</v>
          </cell>
          <cell r="HZ510" t="str">
            <v>ISO4217:USD</v>
          </cell>
          <cell r="IA510" t="b">
            <v>0</v>
          </cell>
          <cell r="IB510" t="b">
            <v>0</v>
          </cell>
        </row>
        <row r="511">
          <cell r="C511" t="str">
            <v>Net decrease in other assets, nonoperating</v>
          </cell>
          <cell r="HX511" t="str">
            <v>mstag:netDecreaseInOtherAssetsNonOperating</v>
          </cell>
          <cell r="HY511">
            <v>6</v>
          </cell>
          <cell r="HZ511" t="str">
            <v>ISO4217:USD</v>
          </cell>
          <cell r="IA511" t="b">
            <v>0</v>
          </cell>
          <cell r="IB511" t="b">
            <v>0</v>
          </cell>
        </row>
        <row r="512">
          <cell r="C512" t="str">
            <v>Net increase in dividends payable</v>
          </cell>
          <cell r="HX512" t="str">
            <v>mstag:netIncreaseInDividendsPayable</v>
          </cell>
          <cell r="HY512">
            <v>6</v>
          </cell>
          <cell r="HZ512" t="str">
            <v>ISO4217:USD</v>
          </cell>
          <cell r="IA512" t="b">
            <v>0</v>
          </cell>
          <cell r="IB512" t="b">
            <v>0</v>
          </cell>
        </row>
        <row r="513">
          <cell r="C513" t="str">
            <v>Net increase in other liabilities, nonoperating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56.1</v>
          </cell>
          <cell r="HX513" t="str">
            <v>mstag:netIncreaseInOtherLiabilitiesNonOperating</v>
          </cell>
          <cell r="HY513">
            <v>6</v>
          </cell>
          <cell r="HZ513" t="str">
            <v>ISO4217:USD</v>
          </cell>
          <cell r="IA513" t="b">
            <v>0</v>
          </cell>
          <cell r="IB513" t="b">
            <v>0</v>
          </cell>
        </row>
        <row r="514">
          <cell r="C514" t="str">
            <v>Contribution to pension and other post retirement plan assets</v>
          </cell>
          <cell r="HX514" t="str">
            <v>mstag:contributionToPensionAndOtherPostRetirementPlanAssets</v>
          </cell>
          <cell r="HY514">
            <v>6</v>
          </cell>
          <cell r="HZ514" t="str">
            <v>ISO4217:USD</v>
          </cell>
          <cell r="IA514" t="b">
            <v>0</v>
          </cell>
          <cell r="IB514" t="b">
            <v>0</v>
          </cell>
        </row>
        <row r="515">
          <cell r="C515" t="str">
            <v>Net increase in securitized assets, cash flow statement</v>
          </cell>
          <cell r="HX515" t="str">
            <v>mstag:netIncreaseInSecuritizedAssetsCashFlowStatement</v>
          </cell>
          <cell r="HY515">
            <v>6</v>
          </cell>
          <cell r="HZ515" t="str">
            <v>ISO4217:USD</v>
          </cell>
          <cell r="IA515" t="b">
            <v>0</v>
          </cell>
          <cell r="IB515" t="b">
            <v>0</v>
          </cell>
        </row>
        <row r="516">
          <cell r="C516" t="str">
            <v>Net decrease in investments, nonoperating</v>
          </cell>
          <cell r="G516">
            <v>-68.186000000000035</v>
          </cell>
          <cell r="H516">
            <v>-273.92699999999996</v>
          </cell>
          <cell r="I516">
            <v>8.4469999999999459</v>
          </cell>
          <cell r="J516">
            <v>-136.43600000000004</v>
          </cell>
          <cell r="K516">
            <v>-576.10900000000004</v>
          </cell>
          <cell r="L516">
            <v>174.39500000000021</v>
          </cell>
          <cell r="HX516" t="str">
            <v>mstag:netDecreaseInInvestmentsNonOperating</v>
          </cell>
          <cell r="HY516">
            <v>6</v>
          </cell>
          <cell r="HZ516" t="str">
            <v>ISO4217:USD</v>
          </cell>
          <cell r="IA516" t="b">
            <v>0</v>
          </cell>
          <cell r="IB516" t="b">
            <v>0</v>
          </cell>
        </row>
        <row r="517">
          <cell r="C517" t="str">
            <v>Net cash flow from discontinued operations</v>
          </cell>
          <cell r="HX517" t="str">
            <v>mstag:netCashFlowFromDiscontinuedOperations</v>
          </cell>
          <cell r="HY517">
            <v>6</v>
          </cell>
          <cell r="HZ517" t="str">
            <v>ISO4217:USD</v>
          </cell>
          <cell r="IA517" t="b">
            <v>0</v>
          </cell>
          <cell r="IB517" t="b">
            <v>0</v>
          </cell>
        </row>
        <row r="518">
          <cell r="C518" t="str">
            <v>Other cash flow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5.6379999999999999</v>
          </cell>
          <cell r="L518">
            <v>0</v>
          </cell>
          <cell r="M518">
            <v>47.655000000000001</v>
          </cell>
          <cell r="HX518" t="str">
            <v>mstag:otherCashFlow</v>
          </cell>
          <cell r="HY518">
            <v>6</v>
          </cell>
          <cell r="HZ518" t="str">
            <v>ISO4217:USD</v>
          </cell>
          <cell r="IA518" t="b">
            <v>0</v>
          </cell>
          <cell r="IB518" t="b">
            <v>0</v>
          </cell>
        </row>
        <row r="519">
          <cell r="C519" t="str">
            <v>Effect of foreign exchange rates on cash</v>
          </cell>
          <cell r="HX519" t="str">
            <v>mstag:effectOfForeignExchangeRatesOnCash</v>
          </cell>
          <cell r="HY519">
            <v>6</v>
          </cell>
          <cell r="HZ519" t="str">
            <v>ISO4217:USD</v>
          </cell>
          <cell r="IA519" t="b">
            <v>0</v>
          </cell>
          <cell r="IB519" t="b">
            <v>0</v>
          </cell>
        </row>
        <row r="520">
          <cell r="B520" t="str">
            <v>Changes in shareholders equity</v>
          </cell>
          <cell r="HY520">
            <v>0</v>
          </cell>
          <cell r="HZ520" t="str">
            <v>ms_eqr_gcim_String:ms_eqr_gcim_string</v>
          </cell>
          <cell r="IA520" t="b">
            <v>0</v>
          </cell>
          <cell r="IB520" t="b">
            <v>0</v>
          </cell>
        </row>
        <row r="521">
          <cell r="C521" t="str">
            <v>Common dividends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HX521" t="str">
            <v>mstag:commonDividends</v>
          </cell>
          <cell r="HY521">
            <v>6</v>
          </cell>
          <cell r="HZ521" t="str">
            <v>ISO4217:USD</v>
          </cell>
          <cell r="IA521" t="b">
            <v>0</v>
          </cell>
          <cell r="IB521" t="b">
            <v>0</v>
          </cell>
        </row>
        <row r="522">
          <cell r="C522" t="str">
            <v>Common dividends attributable to current-period earnings</v>
          </cell>
          <cell r="HX522" t="str">
            <v>mstag:commonDividendsAttributableToCurrentPeriodEarnings</v>
          </cell>
          <cell r="HY522">
            <v>6</v>
          </cell>
          <cell r="HZ522" t="str">
            <v>ISO4217:USD</v>
          </cell>
          <cell r="IA522" t="b">
            <v>0</v>
          </cell>
          <cell r="IB522" t="b">
            <v>0</v>
          </cell>
        </row>
        <row r="523">
          <cell r="C523" t="str">
            <v>Net issuance (repurchase) of common stock</v>
          </cell>
          <cell r="G523">
            <v>101.239</v>
          </cell>
          <cell r="H523">
            <v>125.28</v>
          </cell>
          <cell r="I523">
            <v>3883.2519999999995</v>
          </cell>
          <cell r="J523">
            <v>406.46800000000002</v>
          </cell>
          <cell r="K523">
            <v>115.27599999999998</v>
          </cell>
          <cell r="L523">
            <v>-601.64199999999994</v>
          </cell>
          <cell r="M523">
            <v>590.29999999999995</v>
          </cell>
          <cell r="HX523" t="str">
            <v>mstag:netIssuanceRepurchaseOfCommonStock</v>
          </cell>
          <cell r="HY523">
            <v>6</v>
          </cell>
          <cell r="HZ523" t="str">
            <v>ISO4217:USD</v>
          </cell>
          <cell r="IA523" t="b">
            <v>0</v>
          </cell>
          <cell r="IB523" t="b">
            <v>0</v>
          </cell>
        </row>
        <row r="524">
          <cell r="D524" t="str">
            <v>Issuance of common stock</v>
          </cell>
          <cell r="G524">
            <v>101.239</v>
          </cell>
          <cell r="H524">
            <v>125.28</v>
          </cell>
          <cell r="I524">
            <v>3883.2519999999995</v>
          </cell>
          <cell r="J524">
            <v>406.46800000000002</v>
          </cell>
          <cell r="K524">
            <v>154.97999999999999</v>
          </cell>
          <cell r="L524">
            <v>91.11</v>
          </cell>
          <cell r="M524" t="str">
            <v/>
          </cell>
          <cell r="HX524" t="str">
            <v>mstag:issuanceOfCommonStock</v>
          </cell>
          <cell r="HY524">
            <v>6</v>
          </cell>
          <cell r="HZ524" t="str">
            <v>ISO4217:USD</v>
          </cell>
          <cell r="IA524" t="b">
            <v>0</v>
          </cell>
          <cell r="IB524" t="b">
            <v>0</v>
          </cell>
        </row>
        <row r="525">
          <cell r="E525" t="str">
            <v>Share issuance related to employee stock purchase and option plans</v>
          </cell>
          <cell r="G525">
            <v>87.259</v>
          </cell>
          <cell r="H525">
            <v>107.94800000000001</v>
          </cell>
          <cell r="I525">
            <v>160.54500000000002</v>
          </cell>
          <cell r="J525">
            <v>180.39500000000001</v>
          </cell>
          <cell r="K525">
            <v>106.866</v>
          </cell>
          <cell r="L525">
            <v>74.164000000000001</v>
          </cell>
          <cell r="HX525" t="str">
            <v>mstag:shareIssuanceRelatedToEmployeeStockPurchaseAndOptionPlans</v>
          </cell>
          <cell r="HY525">
            <v>6</v>
          </cell>
          <cell r="HZ525" t="str">
            <v>ISO4217:USD</v>
          </cell>
          <cell r="IA525" t="b">
            <v>0</v>
          </cell>
          <cell r="IB525" t="b">
            <v>0</v>
          </cell>
        </row>
        <row r="526">
          <cell r="E526" t="str">
            <v>Other share issuance</v>
          </cell>
          <cell r="HX526" t="str">
            <v>mstag:otherShareIssuance</v>
          </cell>
          <cell r="HY526">
            <v>6</v>
          </cell>
          <cell r="HZ526" t="str">
            <v>ISO4217:USD</v>
          </cell>
          <cell r="IA526" t="b">
            <v>0</v>
          </cell>
          <cell r="IB526" t="b">
            <v>0</v>
          </cell>
        </row>
        <row r="527">
          <cell r="E527" t="str">
            <v>Amortization of deferred compensation expense</v>
          </cell>
          <cell r="HX527" t="str">
            <v>mstag:amortizationOfDeferredCompensationExpense</v>
          </cell>
          <cell r="HY527">
            <v>6</v>
          </cell>
          <cell r="HZ527" t="str">
            <v>ISO4217:USD</v>
          </cell>
          <cell r="IA527" t="b">
            <v>0</v>
          </cell>
          <cell r="IB527" t="b">
            <v>0</v>
          </cell>
        </row>
        <row r="528">
          <cell r="E528" t="str">
            <v>Tax benefit from exercise of employee stock options</v>
          </cell>
          <cell r="G528">
            <v>13.98</v>
          </cell>
          <cell r="H528">
            <v>17.332000000000001</v>
          </cell>
          <cell r="I528">
            <v>82.987000000000009</v>
          </cell>
          <cell r="J528">
            <v>226.07300000000001</v>
          </cell>
          <cell r="K528">
            <v>48.113999999999997</v>
          </cell>
          <cell r="L528">
            <v>16.946000000000002</v>
          </cell>
          <cell r="HX528" t="str">
            <v>mstag:taxBenefitFromExerciseOfEsos</v>
          </cell>
          <cell r="HY528">
            <v>6</v>
          </cell>
          <cell r="HZ528" t="str">
            <v>ISO4217:USD</v>
          </cell>
          <cell r="IA528" t="b">
            <v>0</v>
          </cell>
          <cell r="IB528" t="b">
            <v>0</v>
          </cell>
        </row>
        <row r="529">
          <cell r="E529" t="str">
            <v>Other changes in share capital</v>
          </cell>
          <cell r="G529">
            <v>0</v>
          </cell>
          <cell r="H529">
            <v>0</v>
          </cell>
          <cell r="I529">
            <v>3639.7199999999993</v>
          </cell>
          <cell r="J529">
            <v>0</v>
          </cell>
          <cell r="K529">
            <v>0</v>
          </cell>
          <cell r="L529">
            <v>0</v>
          </cell>
          <cell r="HX529" t="str">
            <v>mstag:otherChangesInShareCapital</v>
          </cell>
          <cell r="HY529">
            <v>6</v>
          </cell>
          <cell r="HZ529" t="str">
            <v>ISO4217:USD</v>
          </cell>
          <cell r="IA529" t="b">
            <v>0</v>
          </cell>
          <cell r="IB529" t="b">
            <v>0</v>
          </cell>
        </row>
        <row r="530">
          <cell r="D530" t="str">
            <v>Repurchase of common stock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39.704000000000001</v>
          </cell>
          <cell r="L530">
            <v>692.75199999999995</v>
          </cell>
          <cell r="HX530" t="str">
            <v>mstag:repurchaseOfCommonStock</v>
          </cell>
          <cell r="HY530">
            <v>6</v>
          </cell>
          <cell r="HZ530" t="str">
            <v>ISO4217:USD</v>
          </cell>
          <cell r="IA530" t="b">
            <v>0</v>
          </cell>
          <cell r="IB530" t="b">
            <v>0</v>
          </cell>
        </row>
        <row r="531">
          <cell r="C531" t="str">
            <v>Bonus to directors and corporate auditors (Japan)</v>
          </cell>
          <cell r="HX531" t="str">
            <v>mstag:bonusToDirectorsAndCorporateAuditorsJapan</v>
          </cell>
          <cell r="HY531">
            <v>6</v>
          </cell>
          <cell r="HZ531" t="str">
            <v>ISO4217:USD</v>
          </cell>
          <cell r="IA531" t="b">
            <v>0</v>
          </cell>
          <cell r="IB531" t="b">
            <v>0</v>
          </cell>
        </row>
        <row r="532">
          <cell r="C532" t="str">
            <v>Bonus to directors and supervisors (Taiwan)</v>
          </cell>
          <cell r="HX532" t="str">
            <v>mstag:bonusToDirectorsAndSupervisorsTaiwan</v>
          </cell>
          <cell r="HY532">
            <v>6</v>
          </cell>
          <cell r="HZ532" t="str">
            <v>ISO4217:USD</v>
          </cell>
          <cell r="IA532" t="b">
            <v>0</v>
          </cell>
          <cell r="IB532" t="b">
            <v>0</v>
          </cell>
        </row>
        <row r="533">
          <cell r="C533" t="str">
            <v>Employee cash bonus (Taiwan)</v>
          </cell>
          <cell r="HX533" t="str">
            <v>mstag:employeeCashBonusTaiwan</v>
          </cell>
          <cell r="HY533">
            <v>6</v>
          </cell>
          <cell r="HZ533" t="str">
            <v>ISO4217:USD</v>
          </cell>
          <cell r="IA533" t="b">
            <v>0</v>
          </cell>
          <cell r="IB533" t="b">
            <v>0</v>
          </cell>
        </row>
        <row r="534">
          <cell r="C534" t="str">
            <v>Employee stock bonus (Taiwan)</v>
          </cell>
          <cell r="HX534" t="str">
            <v>mstag:employeeStockBonusTaiwan</v>
          </cell>
          <cell r="HY534">
            <v>6</v>
          </cell>
          <cell r="HZ534" t="str">
            <v>ISO4217:USD</v>
          </cell>
          <cell r="IA534" t="b">
            <v>0</v>
          </cell>
          <cell r="IB534" t="b">
            <v>0</v>
          </cell>
        </row>
        <row r="535">
          <cell r="C535" t="str">
            <v>Change in accumulated other comprehensive income (loss) or other reserves</v>
          </cell>
          <cell r="G535">
            <v>-0.11700000000000001</v>
          </cell>
          <cell r="H535">
            <v>5.431</v>
          </cell>
          <cell r="I535">
            <v>200.23600000000002</v>
          </cell>
          <cell r="J535">
            <v>72.119</v>
          </cell>
          <cell r="K535">
            <v>-19.896000000000001</v>
          </cell>
          <cell r="L535">
            <v>-43.08</v>
          </cell>
          <cell r="M535">
            <v>28.549801041422199</v>
          </cell>
          <cell r="HX535" t="str">
            <v>mstag:changeInAccumulatedOtherComprehensiveIncomeLossOrOtherReserves</v>
          </cell>
          <cell r="HY535">
            <v>6</v>
          </cell>
          <cell r="HZ535" t="str">
            <v>ISO4217:USD</v>
          </cell>
          <cell r="IA535" t="b">
            <v>0</v>
          </cell>
          <cell r="IB535" t="b">
            <v>0</v>
          </cell>
        </row>
        <row r="536">
          <cell r="D536" t="str">
            <v>Change in unrealized gains (losses) on AFS securities</v>
          </cell>
          <cell r="G536">
            <v>-0.11700000000000001</v>
          </cell>
          <cell r="H536">
            <v>5.431</v>
          </cell>
          <cell r="I536">
            <v>220.57300000000001</v>
          </cell>
          <cell r="J536">
            <v>72.119</v>
          </cell>
          <cell r="K536">
            <v>-27.741</v>
          </cell>
          <cell r="L536">
            <v>-38.777999999999999</v>
          </cell>
          <cell r="HX536" t="str">
            <v>mstag:changeInUnrealizedGainsLossesOnAfsSecurities</v>
          </cell>
          <cell r="HY536">
            <v>6</v>
          </cell>
          <cell r="HZ536" t="str">
            <v>ISO4217:USD</v>
          </cell>
          <cell r="IA536" t="b">
            <v>0</v>
          </cell>
          <cell r="IB536" t="b">
            <v>0</v>
          </cell>
        </row>
        <row r="537">
          <cell r="D537" t="str">
            <v>Change in foreign currency translation</v>
          </cell>
          <cell r="HX537" t="str">
            <v>mstag:changeInForeignCurrencyTranslation</v>
          </cell>
          <cell r="HY537">
            <v>6</v>
          </cell>
          <cell r="HZ537" t="str">
            <v>ISO4217:USD</v>
          </cell>
          <cell r="IA537" t="b">
            <v>0</v>
          </cell>
          <cell r="IB537" t="b">
            <v>0</v>
          </cell>
        </row>
        <row r="538">
          <cell r="D538" t="str">
            <v>Change in minimum pension liability</v>
          </cell>
          <cell r="HX538" t="str">
            <v>mstag:changeInMinimumPensionLiability</v>
          </cell>
          <cell r="HY538">
            <v>6</v>
          </cell>
          <cell r="HZ538" t="str">
            <v>ISO4217:USD</v>
          </cell>
          <cell r="IA538" t="b">
            <v>0</v>
          </cell>
          <cell r="IB538" t="b">
            <v>0</v>
          </cell>
        </row>
        <row r="539">
          <cell r="D539" t="str">
            <v>Change in cash flow hedges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7.8449999999999998</v>
          </cell>
          <cell r="L539">
            <v>-4.3019999999999996</v>
          </cell>
          <cell r="HX539" t="str">
            <v>mstag:changeInCashFlowHedges</v>
          </cell>
          <cell r="HY539">
            <v>6</v>
          </cell>
          <cell r="HZ539" t="str">
            <v>ISO4217:USD</v>
          </cell>
          <cell r="IA539" t="b">
            <v>0</v>
          </cell>
          <cell r="IB539" t="b">
            <v>0</v>
          </cell>
        </row>
        <row r="540">
          <cell r="D540" t="str">
            <v>Other change in accumulated other comprehensive income (loss)</v>
          </cell>
          <cell r="G540">
            <v>0</v>
          </cell>
          <cell r="H540">
            <v>0</v>
          </cell>
          <cell r="I540">
            <v>-20.337</v>
          </cell>
          <cell r="J540">
            <v>0</v>
          </cell>
          <cell r="K540">
            <v>0</v>
          </cell>
          <cell r="L540">
            <v>0</v>
          </cell>
          <cell r="HX540" t="str">
            <v>mstag:otherChangeInAccumulatedOtherComprehensiveIncomeLoss</v>
          </cell>
          <cell r="HY540">
            <v>6</v>
          </cell>
          <cell r="HZ540" t="str">
            <v>ISO4217:USD</v>
          </cell>
          <cell r="IA540" t="b">
            <v>0</v>
          </cell>
          <cell r="IB540" t="b">
            <v>0</v>
          </cell>
        </row>
        <row r="541">
          <cell r="D541" t="str">
            <v>Change in revaluation reserves</v>
          </cell>
          <cell r="HX541" t="str">
            <v>mstag:changeInRevaluationReserves</v>
          </cell>
          <cell r="HY541">
            <v>6</v>
          </cell>
          <cell r="HZ541" t="str">
            <v>ISO4217:USD</v>
          </cell>
          <cell r="IA541" t="b">
            <v>0</v>
          </cell>
          <cell r="IB541" t="b">
            <v>0</v>
          </cell>
        </row>
        <row r="542">
          <cell r="D542" t="str">
            <v>Change in unearned compensation reserve</v>
          </cell>
          <cell r="HX542" t="str">
            <v>mstag:changeInUnearnedCompensationReserve</v>
          </cell>
          <cell r="HY542">
            <v>6</v>
          </cell>
          <cell r="HZ542" t="str">
            <v>ISO4217:USD</v>
          </cell>
          <cell r="IA542" t="b">
            <v>0</v>
          </cell>
          <cell r="IB542" t="b">
            <v>0</v>
          </cell>
        </row>
        <row r="543">
          <cell r="B543" t="str">
            <v>Operating metrics</v>
          </cell>
          <cell r="HY543">
            <v>0</v>
          </cell>
          <cell r="HZ543" t="str">
            <v>ms_eqr_gcim_String:ms_eqr_gcim_string</v>
          </cell>
          <cell r="IA543" t="b">
            <v>0</v>
          </cell>
          <cell r="IB543" t="b">
            <v>0</v>
          </cell>
        </row>
        <row r="544">
          <cell r="C544" t="str">
            <v>Cumulative unrecognized gain (loss) on other investments, gross of tax, operating</v>
          </cell>
          <cell r="HX544" t="str">
            <v>mstag:cumulativeUnrealizedGainLossOnOtherInvestmentsGrossOfTaxOperating</v>
          </cell>
          <cell r="HY544">
            <v>6</v>
          </cell>
          <cell r="HZ544" t="str">
            <v>ISO4217:USD</v>
          </cell>
          <cell r="IA544" t="b">
            <v>0</v>
          </cell>
          <cell r="IB544" t="b">
            <v>0</v>
          </cell>
        </row>
        <row r="545">
          <cell r="C545" t="str">
            <v>Cumulative unrecognized gain (loss) on other investments, gross of tax, nonoperating</v>
          </cell>
          <cell r="HX545" t="str">
            <v>mstag:cumulativeUnrealizedGainLossOnOtherInvestmentsGrossOfTaxNonOperating</v>
          </cell>
          <cell r="HY545">
            <v>6</v>
          </cell>
          <cell r="HZ545" t="str">
            <v>ISO4217:USD</v>
          </cell>
          <cell r="IA545" t="b">
            <v>0</v>
          </cell>
          <cell r="IB545" t="b">
            <v>0</v>
          </cell>
        </row>
        <row r="546">
          <cell r="C546" t="str">
            <v>Current period unrecognized gain (loss) on other investments, gross of tax, operating</v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HX546" t="str">
            <v>mstag:unrealizedGainLossOnOtherInvestmentsGrossOfTaxOperating</v>
          </cell>
          <cell r="HY546">
            <v>6</v>
          </cell>
          <cell r="HZ546" t="str">
            <v>ISO4217:USD</v>
          </cell>
          <cell r="IA546" t="b">
            <v>0</v>
          </cell>
          <cell r="IB546" t="b">
            <v>0</v>
          </cell>
        </row>
        <row r="547">
          <cell r="D547" t="str">
            <v>Current period unrecognized gain (loss) on other investments, gross of tax, operating, recurring</v>
          </cell>
          <cell r="HX547" t="str">
            <v>mstag:currentPeriodUnrecognizedGainLossOnOtherInvestmentsGrossOfTaxOperatingRecurring</v>
          </cell>
          <cell r="HY547">
            <v>6</v>
          </cell>
          <cell r="HZ547" t="str">
            <v>ISO4217:USD</v>
          </cell>
          <cell r="IA547" t="b">
            <v>0</v>
          </cell>
          <cell r="IB547" t="b">
            <v>0</v>
          </cell>
        </row>
        <row r="548">
          <cell r="D548" t="str">
            <v>Current period unrecognized gain (loss) on other investments, gross of tax, operating, one time</v>
          </cell>
          <cell r="HX548" t="str">
            <v>mstag:currentPeriodUnrecognizedGainLossOnOtherInvestmentsGrossOfTaxOperatingOneTime</v>
          </cell>
          <cell r="HY548">
            <v>6</v>
          </cell>
          <cell r="HZ548" t="str">
            <v>ISO4217:USD</v>
          </cell>
          <cell r="IA548" t="b">
            <v>0</v>
          </cell>
          <cell r="IB548" t="b">
            <v>0</v>
          </cell>
        </row>
        <row r="549">
          <cell r="C549" t="str">
            <v>Current period unrecognized gain (loss) on other investments, gross of tax, nonoperating</v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HX549" t="str">
            <v>mstag:unrealizedGainLossOnOtherInvestmentsGrossOfTaxNonOperating</v>
          </cell>
          <cell r="HY549">
            <v>6</v>
          </cell>
          <cell r="HZ549" t="str">
            <v>ISO4217:USD</v>
          </cell>
          <cell r="IA549" t="b">
            <v>0</v>
          </cell>
          <cell r="IB549" t="b">
            <v>0</v>
          </cell>
        </row>
        <row r="550">
          <cell r="D550" t="str">
            <v>Current period unrecognized gain (loss) on other investments, gross of tax, nonoperating, recurring</v>
          </cell>
          <cell r="HX550" t="str">
            <v>mstag:currentPeriodUnrecognizedGainLossOnOtherInvestmentsGrossOfTaxNonOperatingRecurring</v>
          </cell>
          <cell r="HY550">
            <v>6</v>
          </cell>
          <cell r="HZ550" t="str">
            <v>ISO4217:USD</v>
          </cell>
          <cell r="IA550" t="b">
            <v>0</v>
          </cell>
          <cell r="IB550" t="b">
            <v>0</v>
          </cell>
        </row>
        <row r="551">
          <cell r="D551" t="str">
            <v>Current period unrecognized gain (loss) on other investments, gross of tax, nonoperating, one time</v>
          </cell>
          <cell r="HX551" t="str">
            <v>mstag:currentPeriodUnrecognizedGainLossOnOtherInvestmentsGrossOfTaxNonOperatingOneTime</v>
          </cell>
          <cell r="HY551">
            <v>6</v>
          </cell>
          <cell r="HZ551" t="str">
            <v>ISO4217:USD</v>
          </cell>
          <cell r="IA551" t="b">
            <v>0</v>
          </cell>
          <cell r="IB551" t="b">
            <v>0</v>
          </cell>
        </row>
        <row r="552">
          <cell r="C552" t="str">
            <v>Distribution metrics</v>
          </cell>
          <cell r="HY552">
            <v>0</v>
          </cell>
          <cell r="HZ552" t="str">
            <v>ms_eqr_gcim_String:ms_eqr_gcim_string</v>
          </cell>
          <cell r="IA552" t="b">
            <v>0</v>
          </cell>
          <cell r="IB552" t="b">
            <v>0</v>
          </cell>
        </row>
        <row r="553">
          <cell r="D553" t="str">
            <v>Number of gas customers, average</v>
          </cell>
          <cell r="HX553" t="str">
            <v>mstag:numberOfGasCustomersAverage</v>
          </cell>
          <cell r="HY553">
            <v>6</v>
          </cell>
          <cell r="HZ553" t="str">
            <v>ms_eqr_gcim_Decimal:ms_eqr_gcim_decimal</v>
          </cell>
          <cell r="IA553" t="b">
            <v>0</v>
          </cell>
          <cell r="IB553" t="b">
            <v>0</v>
          </cell>
        </row>
        <row r="554">
          <cell r="D554" t="str">
            <v>Number of gas customers, end of period</v>
          </cell>
          <cell r="HX554" t="str">
            <v>mstag:numberOfGasCustomersEndOfPeriod</v>
          </cell>
          <cell r="HY554">
            <v>6</v>
          </cell>
          <cell r="HZ554" t="str">
            <v>ms_eqr_gcim_Decimal:ms_eqr_gcim_decimal</v>
          </cell>
          <cell r="IA554" t="b">
            <v>0</v>
          </cell>
          <cell r="IB554" t="b">
            <v>0</v>
          </cell>
        </row>
        <row r="555">
          <cell r="C555" t="str">
            <v>Heating degree days</v>
          </cell>
          <cell r="HX555" t="str">
            <v>mstag:heatingDegreeDays</v>
          </cell>
          <cell r="HY555">
            <v>6</v>
          </cell>
          <cell r="HZ555" t="str">
            <v>ms_eqr_gcim_Decimal:ms_eqr_gcim_decimal</v>
          </cell>
          <cell r="IA555" t="b">
            <v>0</v>
          </cell>
          <cell r="IB555" t="b">
            <v>0</v>
          </cell>
        </row>
        <row r="556">
          <cell r="C556" t="str">
            <v>Revenue concentration metrics</v>
          </cell>
          <cell r="HY556">
            <v>0</v>
          </cell>
          <cell r="HZ556" t="str">
            <v>ms_eqr_gcim_String:ms_eqr_gcim_string</v>
          </cell>
          <cell r="IA556" t="b">
            <v>0</v>
          </cell>
          <cell r="IB556" t="b">
            <v>0</v>
          </cell>
        </row>
        <row r="557">
          <cell r="D557" t="str">
            <v>Top 3 drugs as percent of total sales</v>
          </cell>
          <cell r="G557">
            <v>0.39169088733116775</v>
          </cell>
          <cell r="H557">
            <v>0.56714962385065482</v>
          </cell>
          <cell r="I557">
            <v>0.66307381387739395</v>
          </cell>
          <cell r="J557">
            <v>0.74051474614722679</v>
          </cell>
          <cell r="K557">
            <v>0.81215216019278214</v>
          </cell>
          <cell r="L557">
            <v>0.85288408208541333</v>
          </cell>
          <cell r="HX557" t="str">
            <v>mstag:top3DrugsAsPercentOfTotalSales</v>
          </cell>
          <cell r="HY557">
            <v>0</v>
          </cell>
          <cell r="HZ557" t="str">
            <v>ms_eqr_gcim_Decimal:ms_eqr_gcim_decimal</v>
          </cell>
          <cell r="IA557" t="b">
            <v>0</v>
          </cell>
          <cell r="IB557" t="b">
            <v>0</v>
          </cell>
        </row>
        <row r="558">
          <cell r="D558" t="str">
            <v>Top 10 drugs as percent of total sales</v>
          </cell>
          <cell r="HX558" t="str">
            <v>mstag:top10DrugsAsPercentOfTotalSales</v>
          </cell>
          <cell r="HY558">
            <v>0</v>
          </cell>
          <cell r="HZ558" t="str">
            <v>ms_eqr_gcim_Decimal:ms_eqr_gcim_decimal</v>
          </cell>
          <cell r="IA558" t="b">
            <v>0</v>
          </cell>
          <cell r="IB558" t="b">
            <v>0</v>
          </cell>
        </row>
        <row r="559">
          <cell r="D559" t="str">
            <v>Generic products as percent of total sales</v>
          </cell>
          <cell r="HX559" t="str">
            <v>mstag:genericProductsAsPercentOfTotalSales</v>
          </cell>
          <cell r="HY559">
            <v>0</v>
          </cell>
          <cell r="HZ559" t="str">
            <v>ms_eqr_gcim_Decimal:ms_eqr_gcim_decimal</v>
          </cell>
          <cell r="IA559" t="b">
            <v>0</v>
          </cell>
          <cell r="IB559" t="b">
            <v>0</v>
          </cell>
        </row>
        <row r="560">
          <cell r="D560" t="str">
            <v>Nongeneric (patented) products as percent of total sales</v>
          </cell>
          <cell r="HX560" t="str">
            <v>mstag:nonGenericPatentedProductsAsPercentOfTotalSales</v>
          </cell>
          <cell r="HY560">
            <v>0</v>
          </cell>
          <cell r="HZ560" t="str">
            <v>ms_eqr_gcim_Decimal:ms_eqr_gcim_decimal</v>
          </cell>
          <cell r="IA560" t="b">
            <v>0</v>
          </cell>
          <cell r="IB560" t="b">
            <v>0</v>
          </cell>
        </row>
        <row r="561">
          <cell r="D561" t="str">
            <v>Hospital products as percent of total sales</v>
          </cell>
          <cell r="HX561" t="str">
            <v>mstag:hospitalProductsAsPercentOfTotalSales</v>
          </cell>
          <cell r="HY561">
            <v>0</v>
          </cell>
          <cell r="HZ561" t="str">
            <v>ms_eqr_gcim_Decimal:ms_eqr_gcim_decimal</v>
          </cell>
          <cell r="IA561" t="b">
            <v>0</v>
          </cell>
          <cell r="IB561" t="b">
            <v>0</v>
          </cell>
        </row>
        <row r="562">
          <cell r="D562" t="str">
            <v>Primary care products as percent of total sales</v>
          </cell>
          <cell r="HX562" t="str">
            <v>mstag:primaryCareProductsAsPercentOfTotalSales</v>
          </cell>
          <cell r="HY562">
            <v>0</v>
          </cell>
          <cell r="HZ562" t="str">
            <v>ms_eqr_gcim_Decimal:ms_eqr_gcim_decimal</v>
          </cell>
          <cell r="IA562" t="b">
            <v>0</v>
          </cell>
          <cell r="IB562" t="b">
            <v>0</v>
          </cell>
        </row>
        <row r="563">
          <cell r="D563" t="str">
            <v>Pills/tablets/capsules as percent of total sales</v>
          </cell>
          <cell r="HX563" t="str">
            <v>mstag:pillstabletscapsulesAsPercentOfTotalSales</v>
          </cell>
          <cell r="HY563">
            <v>0</v>
          </cell>
          <cell r="HZ563" t="str">
            <v>ms_eqr_gcim_Decimal:ms_eqr_gcim_decimal</v>
          </cell>
          <cell r="IA563" t="b">
            <v>0</v>
          </cell>
          <cell r="IB563" t="b">
            <v>0</v>
          </cell>
        </row>
        <row r="564">
          <cell r="D564" t="str">
            <v>Biological products as percent of total sales</v>
          </cell>
          <cell r="HX564" t="str">
            <v>mstag:biologicalProductsAsPercentOfTotalSales</v>
          </cell>
          <cell r="HY564">
            <v>0</v>
          </cell>
          <cell r="HZ564" t="str">
            <v>ms_eqr_gcim_Decimal:ms_eqr_gcim_decimal</v>
          </cell>
          <cell r="IA564" t="b">
            <v>0</v>
          </cell>
          <cell r="IB564" t="b">
            <v>0</v>
          </cell>
        </row>
        <row r="565">
          <cell r="D565" t="str">
            <v>Chemical products as percent of total sales</v>
          </cell>
          <cell r="HX565" t="str">
            <v>mstag:chemicalProductsAsPercentOfTotalSales</v>
          </cell>
          <cell r="HY565">
            <v>0</v>
          </cell>
          <cell r="HZ565" t="str">
            <v>ms_eqr_gcim_Decimal:ms_eqr_gcim_decimal</v>
          </cell>
          <cell r="IA565" t="b">
            <v>0</v>
          </cell>
          <cell r="IB565" t="b">
            <v>0</v>
          </cell>
        </row>
        <row r="566">
          <cell r="D566" t="str">
            <v>Other products as a percent of total sales</v>
          </cell>
          <cell r="HX566" t="str">
            <v>mstag:otherProductsAsAPercentOfTotalSales</v>
          </cell>
          <cell r="HY566">
            <v>0</v>
          </cell>
          <cell r="HZ566" t="str">
            <v>ms_eqr_gcim_Decimal:ms_eqr_gcim_decimal</v>
          </cell>
          <cell r="IA566" t="b">
            <v>0</v>
          </cell>
          <cell r="IB566" t="b">
            <v>0</v>
          </cell>
        </row>
        <row r="567">
          <cell r="C567" t="str">
            <v>Pipeline segmentation</v>
          </cell>
          <cell r="HY567">
            <v>0</v>
          </cell>
          <cell r="HZ567" t="str">
            <v>ms_eqr_gcim_String:ms_eqr_gcim_string</v>
          </cell>
          <cell r="IA567" t="b">
            <v>0</v>
          </cell>
          <cell r="IB567" t="b">
            <v>0</v>
          </cell>
        </row>
        <row r="568">
          <cell r="D568" t="str">
            <v>Total number of drugs in Phase 1 trials</v>
          </cell>
          <cell r="G568">
            <v>2</v>
          </cell>
          <cell r="H568">
            <v>1</v>
          </cell>
          <cell r="I568">
            <v>1</v>
          </cell>
          <cell r="J568">
            <v>4</v>
          </cell>
          <cell r="K568">
            <v>1</v>
          </cell>
          <cell r="L568">
            <v>0</v>
          </cell>
          <cell r="HX568" t="str">
            <v>mstag:totalNumberOfDrugsInPhase1Trials</v>
          </cell>
          <cell r="HY568">
            <v>0</v>
          </cell>
          <cell r="HZ568" t="str">
            <v>ms_eqr_gcim_Decimal:ms_eqr_gcim_decimal</v>
          </cell>
          <cell r="IA568" t="b">
            <v>0</v>
          </cell>
          <cell r="IB568" t="b">
            <v>0</v>
          </cell>
        </row>
        <row r="569">
          <cell r="D569" t="str">
            <v>Total number of drugs in Phase 2 trials</v>
          </cell>
          <cell r="G569">
            <v>5</v>
          </cell>
          <cell r="H569">
            <v>7</v>
          </cell>
          <cell r="I569">
            <v>5</v>
          </cell>
          <cell r="J569">
            <v>4</v>
          </cell>
          <cell r="K569">
            <v>3</v>
          </cell>
          <cell r="L569">
            <v>2</v>
          </cell>
          <cell r="HX569" t="str">
            <v>mstag:totalNumberOfDrugsInPhase2Trials</v>
          </cell>
          <cell r="HY569">
            <v>0</v>
          </cell>
          <cell r="HZ569" t="str">
            <v>ms_eqr_gcim_Decimal:ms_eqr_gcim_decimal</v>
          </cell>
          <cell r="IA569" t="b">
            <v>0</v>
          </cell>
          <cell r="IB569" t="b">
            <v>0</v>
          </cell>
        </row>
        <row r="570">
          <cell r="D570" t="str">
            <v>Total number of drugs in Phase 3 trials</v>
          </cell>
          <cell r="G570">
            <v>9</v>
          </cell>
          <cell r="H570">
            <v>7</v>
          </cell>
          <cell r="I570">
            <v>5</v>
          </cell>
          <cell r="J570">
            <v>8</v>
          </cell>
          <cell r="K570">
            <v>6</v>
          </cell>
          <cell r="L570">
            <v>5</v>
          </cell>
          <cell r="HX570" t="str">
            <v>mstag:totalNumberOfDrugsInPhase3Trials</v>
          </cell>
          <cell r="HY570">
            <v>0</v>
          </cell>
          <cell r="HZ570" t="str">
            <v>ms_eqr_gcim_Decimal:ms_eqr_gcim_decimal</v>
          </cell>
          <cell r="IA570" t="b">
            <v>0</v>
          </cell>
          <cell r="IB570" t="b">
            <v>0</v>
          </cell>
        </row>
        <row r="571">
          <cell r="D571" t="str">
            <v>Total number of drugs in Phase 2 or 3 trials</v>
          </cell>
          <cell r="G571">
            <v>7</v>
          </cell>
          <cell r="H571">
            <v>8</v>
          </cell>
          <cell r="I571">
            <v>6</v>
          </cell>
          <cell r="J571">
            <v>8</v>
          </cell>
          <cell r="K571">
            <v>4</v>
          </cell>
          <cell r="L571">
            <v>2</v>
          </cell>
          <cell r="HX571" t="str">
            <v>mstag:totalNumberOfDrugsInPhase2Or3Trials</v>
          </cell>
          <cell r="HY571">
            <v>0</v>
          </cell>
          <cell r="HZ571" t="str">
            <v>ms_eqr_gcim_Decimal:ms_eqr_gcim_decimal</v>
          </cell>
          <cell r="IA571" t="b">
            <v>0</v>
          </cell>
          <cell r="IB571" t="b">
            <v>0</v>
          </cell>
        </row>
        <row r="572">
          <cell r="D572" t="str">
            <v>Total number of marketed products</v>
          </cell>
          <cell r="G572">
            <v>6</v>
          </cell>
          <cell r="H572">
            <v>7</v>
          </cell>
          <cell r="I572">
            <v>8</v>
          </cell>
          <cell r="J572">
            <v>9</v>
          </cell>
          <cell r="K572">
            <v>10</v>
          </cell>
          <cell r="L572">
            <v>10</v>
          </cell>
          <cell r="HX572" t="str">
            <v>mstag:totalNumberOfMarketedProducts</v>
          </cell>
          <cell r="HY572">
            <v>0</v>
          </cell>
          <cell r="HZ572" t="str">
            <v>ms_eqr_gcim_Decimal:ms_eqr_gcim_decimal</v>
          </cell>
          <cell r="IA572" t="b">
            <v>0</v>
          </cell>
          <cell r="IB572" t="b">
            <v>0</v>
          </cell>
        </row>
        <row r="573">
          <cell r="D573" t="str">
            <v>Percent Phase 2</v>
          </cell>
          <cell r="G573">
            <v>0.3125</v>
          </cell>
          <cell r="H573">
            <v>0.46666666666666667</v>
          </cell>
          <cell r="I573">
            <v>0.45454545454545453</v>
          </cell>
          <cell r="J573">
            <v>0.25</v>
          </cell>
          <cell r="K573">
            <v>0.3</v>
          </cell>
          <cell r="L573">
            <v>0.4</v>
          </cell>
          <cell r="HX573" t="str">
            <v>mstag:percentPhase2</v>
          </cell>
          <cell r="HY573">
            <v>0</v>
          </cell>
          <cell r="HZ573" t="str">
            <v>ms_eqr_gcim_Decimal:ms_eqr_gcim_decimal</v>
          </cell>
          <cell r="IA573" t="b">
            <v>0</v>
          </cell>
          <cell r="IB573" t="b">
            <v>0</v>
          </cell>
        </row>
        <row r="574">
          <cell r="D574" t="str">
            <v>Percent Phase 3</v>
          </cell>
          <cell r="G574">
            <v>0.5625</v>
          </cell>
          <cell r="H574">
            <v>0.46666666666666667</v>
          </cell>
          <cell r="I574">
            <v>0.45454545454545453</v>
          </cell>
          <cell r="J574">
            <v>0.5</v>
          </cell>
          <cell r="K574">
            <v>0.6</v>
          </cell>
          <cell r="L574">
            <v>0.7142857142857143</v>
          </cell>
          <cell r="HX574" t="str">
            <v>mstag:percentPhase3</v>
          </cell>
          <cell r="HY574">
            <v>0</v>
          </cell>
          <cell r="HZ574" t="str">
            <v>ms_eqr_gcim_Decimal:ms_eqr_gcim_decimal</v>
          </cell>
          <cell r="IA574" t="b">
            <v>0</v>
          </cell>
          <cell r="IB574" t="b">
            <v>0</v>
          </cell>
        </row>
        <row r="575">
          <cell r="C575" t="str">
            <v>Estimated net option expense if reported</v>
          </cell>
          <cell r="HX575" t="str">
            <v>mstag:estimatedNetOptionExpenseIfReported</v>
          </cell>
          <cell r="HY575">
            <v>6</v>
          </cell>
          <cell r="HZ575" t="str">
            <v>ISO4217:USD</v>
          </cell>
          <cell r="IA575" t="b">
            <v>0</v>
          </cell>
          <cell r="IB575" t="b">
            <v>0</v>
          </cell>
        </row>
        <row r="576">
          <cell r="C576" t="str">
            <v>Unrecorded goodwill from poolings, write-offs, and cumulative amortization</v>
          </cell>
          <cell r="G576">
            <v>0</v>
          </cell>
          <cell r="H576">
            <v>0</v>
          </cell>
          <cell r="I576">
            <v>690.20899999999995</v>
          </cell>
          <cell r="J576">
            <v>843.49400000000003</v>
          </cell>
          <cell r="K576">
            <v>843.49400000000003</v>
          </cell>
          <cell r="L576">
            <v>843.49400000000003</v>
          </cell>
          <cell r="M576">
            <v>843.49400000000003</v>
          </cell>
          <cell r="HX576" t="str">
            <v>mstag:unrecordedGoodwillFromPoolingAndAmortizedOrWrittenOffGoodwill</v>
          </cell>
          <cell r="HY576">
            <v>6</v>
          </cell>
          <cell r="HZ576" t="str">
            <v>ISO4217:USD</v>
          </cell>
          <cell r="IA576" t="b">
            <v>0</v>
          </cell>
          <cell r="IB576" t="b">
            <v>0</v>
          </cell>
        </row>
        <row r="577">
          <cell r="D577" t="str">
            <v>Unrecorded goodwill from poolings</v>
          </cell>
          <cell r="HX577" t="str">
            <v>mstag:unrecordedGoodwillFromPoolings</v>
          </cell>
          <cell r="HY577">
            <v>6</v>
          </cell>
          <cell r="HZ577" t="str">
            <v>ISO4217:USD</v>
          </cell>
          <cell r="IA577" t="b">
            <v>0</v>
          </cell>
          <cell r="IB577" t="b">
            <v>0</v>
          </cell>
        </row>
        <row r="578">
          <cell r="D578" t="str">
            <v>Nonimpairment write-offs</v>
          </cell>
          <cell r="HX578" t="str">
            <v>mstag:nonImpairmentWriteOffs</v>
          </cell>
          <cell r="HY578">
            <v>6</v>
          </cell>
          <cell r="HZ578" t="str">
            <v>ISO4217:USD</v>
          </cell>
          <cell r="IA578" t="b">
            <v>0</v>
          </cell>
          <cell r="IB578" t="b">
            <v>0</v>
          </cell>
        </row>
        <row r="579">
          <cell r="D579" t="str">
            <v>Cumulative goodwill impairments reported</v>
          </cell>
          <cell r="HX579" t="str">
            <v>mstag:cumulativeGoodwillImpairmentsReported</v>
          </cell>
          <cell r="HY579">
            <v>6</v>
          </cell>
          <cell r="HZ579" t="str">
            <v>ISO4217:USD</v>
          </cell>
          <cell r="IA579" t="b">
            <v>0</v>
          </cell>
          <cell r="IB579" t="b">
            <v>0</v>
          </cell>
        </row>
        <row r="580">
          <cell r="D580" t="str">
            <v>Cumulative amortization</v>
          </cell>
          <cell r="HX580" t="str">
            <v>mstag:cumulativeAmortization</v>
          </cell>
          <cell r="HY580">
            <v>6</v>
          </cell>
          <cell r="HZ580" t="str">
            <v>ISO4217:USD</v>
          </cell>
          <cell r="IA580" t="b">
            <v>0</v>
          </cell>
          <cell r="IB580" t="b">
            <v>0</v>
          </cell>
        </row>
        <row r="581">
          <cell r="C581" t="str">
            <v>Analyst estimated goodwill impairments</v>
          </cell>
          <cell r="HX581" t="str">
            <v>mstag:analystEstimatedGoodwillImpairments</v>
          </cell>
          <cell r="HY581">
            <v>6</v>
          </cell>
          <cell r="HZ581" t="str">
            <v>ISO4217:USD</v>
          </cell>
          <cell r="IA581" t="b">
            <v>0</v>
          </cell>
          <cell r="IB581" t="b">
            <v>0</v>
          </cell>
        </row>
        <row r="582">
          <cell r="C582" t="str">
            <v>Cumulative indefinite life intangible amortization and impairments reported</v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HX582" t="str">
            <v>mstag:cumulativeIndefiniteLifeIntangibleAmortizationAndImpairmentsReported</v>
          </cell>
          <cell r="HY582">
            <v>6</v>
          </cell>
          <cell r="HZ582" t="str">
            <v>ISO4217:USD</v>
          </cell>
          <cell r="IA582" t="b">
            <v>0</v>
          </cell>
          <cell r="IB582" t="b">
            <v>0</v>
          </cell>
        </row>
        <row r="583">
          <cell r="D583" t="str">
            <v>Cumulative indefinite life intangible amortization</v>
          </cell>
          <cell r="HX583" t="str">
            <v>mstag:cumulativeIndefiniteLifeIntangibleAmortization</v>
          </cell>
          <cell r="HY583">
            <v>6</v>
          </cell>
          <cell r="HZ583" t="str">
            <v>ISO4217:USD</v>
          </cell>
          <cell r="IA583" t="b">
            <v>0</v>
          </cell>
          <cell r="IB583" t="b">
            <v>0</v>
          </cell>
        </row>
        <row r="584">
          <cell r="D584" t="str">
            <v>Cumulative indefinite life intangible impairments reported</v>
          </cell>
          <cell r="HX584" t="str">
            <v>mstag:cumulativeIndefiniteLifeIntangibleImpairmentsReported</v>
          </cell>
          <cell r="HY584">
            <v>6</v>
          </cell>
          <cell r="HZ584" t="str">
            <v>ISO4217:USD</v>
          </cell>
          <cell r="IA584" t="b">
            <v>0</v>
          </cell>
          <cell r="IB584" t="b">
            <v>0</v>
          </cell>
        </row>
        <row r="585">
          <cell r="C585" t="str">
            <v>Adjustment for cash taxes paid</v>
          </cell>
          <cell r="HX585" t="str">
            <v>mstag:adjustmentForCashTaxesPaid</v>
          </cell>
          <cell r="HY585">
            <v>6</v>
          </cell>
          <cell r="HZ585" t="str">
            <v>ISO4217:USD</v>
          </cell>
          <cell r="IA585" t="b">
            <v>0</v>
          </cell>
          <cell r="IB585" t="b">
            <v>0</v>
          </cell>
        </row>
        <row r="586">
          <cell r="C586" t="str">
            <v>Net cash used (from) one-time items</v>
          </cell>
          <cell r="HX586" t="str">
            <v>mstag:netCashUsedFromOneTimeItems</v>
          </cell>
          <cell r="HY586">
            <v>6</v>
          </cell>
          <cell r="HZ586" t="str">
            <v>ISO4217:USD</v>
          </cell>
          <cell r="IA586" t="b">
            <v>0</v>
          </cell>
          <cell r="IB586" t="b">
            <v>0</v>
          </cell>
        </row>
        <row r="587">
          <cell r="C587" t="str">
            <v>Net increase in beginning net operating assets from change in consolidation of investments</v>
          </cell>
          <cell r="HX587" t="str">
            <v>mstag:adjustmentToNetOperatingAssetsFor1stTimeConsolidationOfInvestments</v>
          </cell>
          <cell r="HY587">
            <v>6</v>
          </cell>
          <cell r="HZ587" t="str">
            <v>ISO4217:USD</v>
          </cell>
          <cell r="IA587" t="b">
            <v>0</v>
          </cell>
          <cell r="IB587" t="b">
            <v>0</v>
          </cell>
        </row>
        <row r="588">
          <cell r="C588" t="str">
            <v>Net increase in beginning net deferred tax assets (operating) from change in consolidation of investments</v>
          </cell>
          <cell r="HX588" t="str">
            <v>mstag:adjustmentToNetDeferredTaxAssetsOperatingFor1stTimeConsolidationOfInvestments</v>
          </cell>
          <cell r="HY588">
            <v>6</v>
          </cell>
          <cell r="HZ588" t="str">
            <v>ISO4217:USD</v>
          </cell>
          <cell r="IA588" t="b">
            <v>0</v>
          </cell>
          <cell r="IB588" t="b">
            <v>0</v>
          </cell>
        </row>
        <row r="589">
          <cell r="C589" t="str">
            <v>Net increase in beginning net deferred tax assets (financing) from change in consolidation of investments</v>
          </cell>
          <cell r="HX589" t="str">
            <v>mstag:adjustmentToNetDeferredTaxAssetsFinancingFor1stTimeConsolidationOfInvestments</v>
          </cell>
          <cell r="HY589">
            <v>6</v>
          </cell>
          <cell r="HZ589" t="str">
            <v>ISO4217:USD</v>
          </cell>
          <cell r="IA589" t="b">
            <v>0</v>
          </cell>
          <cell r="IB589" t="b">
            <v>0</v>
          </cell>
        </row>
        <row r="590">
          <cell r="C590" t="str">
            <v>Net increase in beginning net debt from change in consolidation of investments</v>
          </cell>
          <cell r="HX590" t="str">
            <v>mstag:adjustmentToNetDebtFor1stTimeConsolidationOfInvestments</v>
          </cell>
          <cell r="HY590">
            <v>6</v>
          </cell>
          <cell r="HZ590" t="str">
            <v>ISO4217:USD</v>
          </cell>
          <cell r="IA590" t="b">
            <v>0</v>
          </cell>
          <cell r="IB590" t="b">
            <v>0</v>
          </cell>
        </row>
        <row r="591">
          <cell r="C591" t="str">
            <v>Net decrease in beginning net operating assets from discontinued operations</v>
          </cell>
          <cell r="HX591" t="str">
            <v>mstag:adjustmentToNetOperatingAssetsForDiscontinuedOperations</v>
          </cell>
          <cell r="HY591">
            <v>6</v>
          </cell>
          <cell r="HZ591" t="str">
            <v>ISO4217:USD</v>
          </cell>
          <cell r="IA591" t="b">
            <v>0</v>
          </cell>
          <cell r="IB591" t="b">
            <v>0</v>
          </cell>
        </row>
        <row r="592">
          <cell r="C592" t="str">
            <v>Net decrease in beginning net deferred tax assets (operating) from discontinued operations</v>
          </cell>
          <cell r="HX592" t="str">
            <v>mstag:adjustmentToNetDeferredTaxAssetsOperatingForDiscontinuedOperations</v>
          </cell>
          <cell r="HY592">
            <v>6</v>
          </cell>
          <cell r="HZ592" t="str">
            <v>ISO4217:USD</v>
          </cell>
          <cell r="IA592" t="b">
            <v>0</v>
          </cell>
          <cell r="IB592" t="b">
            <v>0</v>
          </cell>
        </row>
        <row r="593">
          <cell r="C593" t="str">
            <v>Net decrease in beginning net deferred tax assets (financing) from discontinued operations</v>
          </cell>
          <cell r="HX593" t="str">
            <v>mstag:adjustmentToNetDeferredTaxAssetsFinancingForDiscontinuedOperations</v>
          </cell>
          <cell r="HY593">
            <v>6</v>
          </cell>
          <cell r="HZ593" t="str">
            <v>ISO4217:USD</v>
          </cell>
          <cell r="IA593" t="b">
            <v>0</v>
          </cell>
          <cell r="IB593" t="b">
            <v>0</v>
          </cell>
        </row>
        <row r="594">
          <cell r="C594" t="str">
            <v>Net decrease in beginning net debt from discontinued operations</v>
          </cell>
          <cell r="HX594" t="str">
            <v>mstag:adjustmentToNetDebtForDiscontinuedOperations</v>
          </cell>
          <cell r="HY594">
            <v>6</v>
          </cell>
          <cell r="HZ594" t="str">
            <v>ISO4217:USD</v>
          </cell>
          <cell r="IA594" t="b">
            <v>0</v>
          </cell>
          <cell r="IB594" t="b">
            <v>0</v>
          </cell>
        </row>
        <row r="595">
          <cell r="C595" t="str">
            <v>Risk free rate</v>
          </cell>
          <cell r="HX595" t="str">
            <v>mstag:riskFreeRate</v>
          </cell>
          <cell r="HY595">
            <v>0</v>
          </cell>
          <cell r="HZ595" t="str">
            <v>ms_eqr_gcim_Decimal:ms_eqr_gcim_decimal</v>
          </cell>
          <cell r="IA595" t="b">
            <v>0</v>
          </cell>
          <cell r="IB595" t="b">
            <v>0</v>
          </cell>
        </row>
        <row r="596">
          <cell r="C596" t="str">
            <v>Beta</v>
          </cell>
          <cell r="HX596" t="str">
            <v>mstag:beta</v>
          </cell>
          <cell r="HY596">
            <v>0</v>
          </cell>
          <cell r="HZ596" t="str">
            <v>ms_eqr_gcim_Decimal:ms_eqr_gcim_decimal</v>
          </cell>
          <cell r="IA596" t="b">
            <v>0</v>
          </cell>
          <cell r="IB596" t="b">
            <v>0</v>
          </cell>
        </row>
        <row r="597">
          <cell r="C597" t="str">
            <v>Equity risk premium</v>
          </cell>
          <cell r="HX597" t="str">
            <v>mstag:equityRiskPremium</v>
          </cell>
          <cell r="HY597">
            <v>0</v>
          </cell>
          <cell r="HZ597" t="str">
            <v>ms_eqr_gcim_Decimal:ms_eqr_gcim_decimal</v>
          </cell>
          <cell r="IA597" t="b">
            <v>0</v>
          </cell>
          <cell r="IB597" t="b">
            <v>0</v>
          </cell>
        </row>
        <row r="598">
          <cell r="C598" t="str">
            <v>Weighted average cost of capital (WACC)</v>
          </cell>
          <cell r="HX598" t="str">
            <v>mstag:weightedAverageCostOfCapitalWacc</v>
          </cell>
          <cell r="HY598">
            <v>0</v>
          </cell>
          <cell r="HZ598" t="str">
            <v>ms_eqr_gcim_Decimal:ms_eqr_gcim_decimal</v>
          </cell>
          <cell r="IA598" t="b">
            <v>0</v>
          </cell>
          <cell r="IB598" t="b">
            <v>0</v>
          </cell>
        </row>
        <row r="599">
          <cell r="C599" t="str">
            <v>Market value of investments, nonoperating</v>
          </cell>
          <cell r="HX599" t="str">
            <v>mstag:marketValueOfInvestmentsNonOperating</v>
          </cell>
          <cell r="HY599">
            <v>6</v>
          </cell>
          <cell r="HZ599" t="str">
            <v>ISO4217:USD</v>
          </cell>
          <cell r="IA599" t="b">
            <v>0</v>
          </cell>
          <cell r="IB599" t="b">
            <v>0</v>
          </cell>
        </row>
        <row r="600">
          <cell r="C600" t="str">
            <v>Market value of short- and long-term debt</v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HX600" t="str">
            <v>mstag:marketValueOfShortAndLongTermDebt</v>
          </cell>
          <cell r="HY600">
            <v>6</v>
          </cell>
          <cell r="HZ600" t="str">
            <v>ISO4217:USD</v>
          </cell>
          <cell r="IA600" t="b">
            <v>0</v>
          </cell>
          <cell r="IB600" t="b">
            <v>0</v>
          </cell>
        </row>
        <row r="601">
          <cell r="D601" t="str">
            <v>Market value of short-term borrowings</v>
          </cell>
          <cell r="HX601" t="str">
            <v>mstag:marketValueOfShortTermBorrowings</v>
          </cell>
          <cell r="HY601">
            <v>6</v>
          </cell>
          <cell r="HZ601" t="str">
            <v>ISO4217:USD</v>
          </cell>
          <cell r="IA601" t="b">
            <v>0</v>
          </cell>
          <cell r="IB601" t="b">
            <v>0</v>
          </cell>
        </row>
        <row r="602">
          <cell r="D602" t="str">
            <v>Market value of long-term debt</v>
          </cell>
          <cell r="HX602" t="str">
            <v>mstag:marketValueOfLongTermDebt</v>
          </cell>
          <cell r="HY602">
            <v>6</v>
          </cell>
          <cell r="HZ602" t="str">
            <v>ISO4217:USD</v>
          </cell>
          <cell r="IA602" t="b">
            <v>0</v>
          </cell>
          <cell r="IB602" t="b">
            <v>0</v>
          </cell>
        </row>
        <row r="603">
          <cell r="C603" t="str">
            <v>Market value of preferred equity</v>
          </cell>
          <cell r="HX603" t="str">
            <v>mstag:marketValueOfPreferredEquity</v>
          </cell>
          <cell r="HY603">
            <v>6</v>
          </cell>
          <cell r="HZ603" t="str">
            <v>ISO4217:USD</v>
          </cell>
          <cell r="IA603" t="b">
            <v>0</v>
          </cell>
          <cell r="IB603" t="b">
            <v>0</v>
          </cell>
        </row>
        <row r="604">
          <cell r="C604" t="str">
            <v>Market value of trust preferred securities</v>
          </cell>
          <cell r="HX604" t="str">
            <v>mstag:marketValueOfTrustPreferredSecurities</v>
          </cell>
          <cell r="HY604">
            <v>6</v>
          </cell>
          <cell r="HZ604" t="str">
            <v>ISO4217:USD</v>
          </cell>
          <cell r="IA604" t="b">
            <v>0</v>
          </cell>
          <cell r="IB604" t="b">
            <v>0</v>
          </cell>
        </row>
        <row r="605">
          <cell r="C605" t="str">
            <v>Market value of minority interests in shareholders' equity</v>
          </cell>
          <cell r="HX605" t="str">
            <v>mstag:marketValueOfMinorityInterestsInShareholdersEquity</v>
          </cell>
          <cell r="HY605">
            <v>6</v>
          </cell>
          <cell r="HZ605" t="str">
            <v>ISO4217:USD</v>
          </cell>
          <cell r="IA605" t="b">
            <v>0</v>
          </cell>
          <cell r="IB605" t="b">
            <v>0</v>
          </cell>
        </row>
        <row r="606">
          <cell r="C606" t="str">
            <v>Share of market value of associates accounted for under the equity method (operating)</v>
          </cell>
          <cell r="HX606" t="str">
            <v>mstag:shareOfMarketValueOfAssociatesAccountedForUnderTheEquityMethodOperating</v>
          </cell>
          <cell r="HY606">
            <v>6</v>
          </cell>
          <cell r="HZ606" t="str">
            <v>ISO4217:USD</v>
          </cell>
          <cell r="IA606" t="b">
            <v>0</v>
          </cell>
          <cell r="IB606" t="b">
            <v>0</v>
          </cell>
        </row>
        <row r="607">
          <cell r="C607" t="str">
            <v>Share of market value of associates accounted for under the equity method (nonoperating)</v>
          </cell>
          <cell r="HX607" t="str">
            <v>mstag:shareOfMarketValueOfAssociatesAccountedForUnderTheEquityMethodNonOperating</v>
          </cell>
          <cell r="HY607">
            <v>6</v>
          </cell>
          <cell r="HZ607" t="str">
            <v>ISO4217:USD</v>
          </cell>
          <cell r="IA607" t="b">
            <v>0</v>
          </cell>
          <cell r="IB607" t="b">
            <v>0</v>
          </cell>
        </row>
        <row r="608">
          <cell r="C608" t="str">
            <v>Equity share of market value of excluded significant investments</v>
          </cell>
          <cell r="HX608" t="str">
            <v>mstag:equityShareOfMarketValueOfExcludedSignificantInvestments</v>
          </cell>
          <cell r="HY608">
            <v>6</v>
          </cell>
          <cell r="HZ608" t="str">
            <v>ISO4217:USD</v>
          </cell>
          <cell r="IA608" t="b">
            <v>0</v>
          </cell>
          <cell r="IB608" t="b">
            <v>0</v>
          </cell>
        </row>
        <row r="609">
          <cell r="C609" t="str">
            <v>Equity share of book value of excluded significant investments</v>
          </cell>
          <cell r="HX609" t="str">
            <v>mstag:equityShareOfBookValueOfExcludedSignificantInvestments</v>
          </cell>
          <cell r="HY609">
            <v>6</v>
          </cell>
          <cell r="HZ609" t="str">
            <v>ISO4217:USD</v>
          </cell>
          <cell r="IA609" t="b">
            <v>0</v>
          </cell>
          <cell r="IB609" t="b">
            <v>0</v>
          </cell>
        </row>
        <row r="610">
          <cell r="C610" t="str">
            <v>After tax earnings from excluded significant investments</v>
          </cell>
          <cell r="HX610" t="str">
            <v>mstag:afterTaxEarningsFromExcludedSignificantInvestments</v>
          </cell>
          <cell r="HY610">
            <v>6</v>
          </cell>
          <cell r="HZ610" t="str">
            <v>ISO4217:USD</v>
          </cell>
          <cell r="IA610" t="b">
            <v>0</v>
          </cell>
          <cell r="IB610" t="b">
            <v>0</v>
          </cell>
        </row>
        <row r="611">
          <cell r="C611" t="str">
            <v>Current market value of investments, nonoperating</v>
          </cell>
          <cell r="HX611" t="str">
            <v>mstag:currentMarketValueOfInvestmentsNonOperating</v>
          </cell>
          <cell r="HY611">
            <v>6</v>
          </cell>
          <cell r="HZ611" t="str">
            <v>ISO4217:USD</v>
          </cell>
          <cell r="IA611" t="b">
            <v>0</v>
          </cell>
          <cell r="IB611" t="b">
            <v>0</v>
          </cell>
        </row>
        <row r="612">
          <cell r="C612" t="str">
            <v>Current market value of short- and long-term debt</v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HX612" t="str">
            <v>mstag:currentMarketValueOfShortAndLongTermDebt</v>
          </cell>
          <cell r="HY612">
            <v>6</v>
          </cell>
          <cell r="HZ612" t="str">
            <v>ISO4217:USD</v>
          </cell>
          <cell r="IA612" t="b">
            <v>0</v>
          </cell>
          <cell r="IB612" t="b">
            <v>0</v>
          </cell>
        </row>
        <row r="613">
          <cell r="D613" t="str">
            <v>Current market value of short-term borrowings</v>
          </cell>
          <cell r="HX613" t="str">
            <v>mstag:currentMarketValueOfShortTermBorrowings</v>
          </cell>
          <cell r="HY613">
            <v>6</v>
          </cell>
          <cell r="HZ613" t="str">
            <v>ISO4217:USD</v>
          </cell>
          <cell r="IA613" t="b">
            <v>0</v>
          </cell>
          <cell r="IB613" t="b">
            <v>0</v>
          </cell>
        </row>
        <row r="614">
          <cell r="D614" t="str">
            <v>Current market value of long-term debt</v>
          </cell>
          <cell r="HX614" t="str">
            <v>mstag:currentMarketValueOfLongTermDebt</v>
          </cell>
          <cell r="HY614">
            <v>6</v>
          </cell>
          <cell r="HZ614" t="str">
            <v>ISO4217:USD</v>
          </cell>
          <cell r="IA614" t="b">
            <v>0</v>
          </cell>
          <cell r="IB614" t="b">
            <v>0</v>
          </cell>
        </row>
        <row r="615">
          <cell r="C615" t="str">
            <v>Current market value of preferred equity</v>
          </cell>
          <cell r="HX615" t="str">
            <v>mstag:currentMarketValueOfPreferredEquity</v>
          </cell>
          <cell r="HY615">
            <v>6</v>
          </cell>
          <cell r="HZ615" t="str">
            <v>ISO4217:USD</v>
          </cell>
          <cell r="IA615" t="b">
            <v>0</v>
          </cell>
          <cell r="IB615" t="b">
            <v>0</v>
          </cell>
        </row>
        <row r="616">
          <cell r="C616" t="str">
            <v>Current market value of trust preferred securities</v>
          </cell>
          <cell r="HX616" t="str">
            <v>mstag:currentMarketValueOfTrustPreferredSecurities</v>
          </cell>
          <cell r="HY616">
            <v>6</v>
          </cell>
          <cell r="HZ616" t="str">
            <v>ISO4217:USD</v>
          </cell>
          <cell r="IA616" t="b">
            <v>0</v>
          </cell>
          <cell r="IB616" t="b">
            <v>0</v>
          </cell>
        </row>
        <row r="617">
          <cell r="C617" t="str">
            <v>Current market value of minority interests in shareholders equity</v>
          </cell>
          <cell r="HX617" t="str">
            <v>mstag:currentMarketValueOfMinorityInterestsInShareholdersEquity</v>
          </cell>
          <cell r="HY617">
            <v>6</v>
          </cell>
          <cell r="HZ617" t="str">
            <v>ISO4217:USD</v>
          </cell>
          <cell r="IA617" t="b">
            <v>0</v>
          </cell>
          <cell r="IB617" t="b">
            <v>0</v>
          </cell>
        </row>
        <row r="618">
          <cell r="C618" t="str">
            <v>Current share of market value of associates accounted for under the equity method, operating</v>
          </cell>
          <cell r="HX618" t="str">
            <v>mstag:currentShareOfMarketValueOfAssociatesAccountedForUnderTheEquityMethodOperating</v>
          </cell>
          <cell r="HY618">
            <v>6</v>
          </cell>
          <cell r="HZ618" t="str">
            <v>ISO4217:USD</v>
          </cell>
          <cell r="IA618" t="b">
            <v>0</v>
          </cell>
          <cell r="IB618" t="b">
            <v>0</v>
          </cell>
        </row>
        <row r="619">
          <cell r="C619" t="str">
            <v>Current share of market value of associates accounted for under the equity method, nonoperating</v>
          </cell>
          <cell r="HX619" t="str">
            <v>mstag:currentShareOfMarketValueOfAssociatesAccountedForUnderTheEquityMethodNonOperating</v>
          </cell>
          <cell r="HY619">
            <v>6</v>
          </cell>
          <cell r="HZ619" t="str">
            <v>ISO4217:USD</v>
          </cell>
          <cell r="IA619" t="b">
            <v>0</v>
          </cell>
          <cell r="IB619" t="b">
            <v>0</v>
          </cell>
        </row>
        <row r="620">
          <cell r="C620" t="str">
            <v>Market value of convertible debt included in dilutive securities</v>
          </cell>
          <cell r="HX620" t="str">
            <v>mstag:convertibleDebtIncludedInDilutiveSecurities</v>
          </cell>
          <cell r="HY620">
            <v>6</v>
          </cell>
          <cell r="HZ620" t="str">
            <v>ISO4217:USD</v>
          </cell>
          <cell r="IA620" t="b">
            <v>0</v>
          </cell>
          <cell r="IB620" t="b">
            <v>0</v>
          </cell>
        </row>
        <row r="621">
          <cell r="C621" t="str">
            <v>Market value of convertible preferred equity included in dilutive securities</v>
          </cell>
          <cell r="HX621" t="str">
            <v>mstag:convertiblePreferredEquityIncludedInDilutiveSecurities</v>
          </cell>
          <cell r="HY621">
            <v>6</v>
          </cell>
          <cell r="HZ621" t="str">
            <v>ISO4217:USD</v>
          </cell>
          <cell r="IA621" t="b">
            <v>0</v>
          </cell>
          <cell r="IB621" t="b">
            <v>0</v>
          </cell>
        </row>
        <row r="622">
          <cell r="C622" t="str">
            <v>Book value of convertible debt included in dilutive securities</v>
          </cell>
          <cell r="HX622" t="str">
            <v>mstag:bookValueOfConvertibleDebtIncludedInDilutiveSecurities</v>
          </cell>
          <cell r="HY622">
            <v>6</v>
          </cell>
          <cell r="HZ622" t="str">
            <v>ISO4217:USD</v>
          </cell>
          <cell r="IA622" t="b">
            <v>0</v>
          </cell>
          <cell r="IB622" t="b">
            <v>0</v>
          </cell>
        </row>
        <row r="623">
          <cell r="C623" t="str">
            <v>Book value of convertible preferred equity included in dilutive securities</v>
          </cell>
          <cell r="HX623" t="str">
            <v>mstag:bookValueOfConvertiblePreferredEquityIncludedInDilutiveSecurities</v>
          </cell>
          <cell r="HY623">
            <v>6</v>
          </cell>
          <cell r="HZ623" t="str">
            <v>ISO4217:USD</v>
          </cell>
          <cell r="IA623" t="b">
            <v>0</v>
          </cell>
          <cell r="IB623" t="b">
            <v>0</v>
          </cell>
        </row>
        <row r="624">
          <cell r="C624" t="str">
            <v>Market value of excluded minority interests in shareholders' equity</v>
          </cell>
          <cell r="HX624" t="str">
            <v>mstag:marketValueOfExcludedMinorityInterestsInShareholdersEquity</v>
          </cell>
          <cell r="HY624">
            <v>6</v>
          </cell>
          <cell r="HZ624" t="str">
            <v>ISO4217:USD</v>
          </cell>
          <cell r="IA624" t="b">
            <v>0</v>
          </cell>
          <cell r="IB624" t="b">
            <v>0</v>
          </cell>
        </row>
        <row r="625">
          <cell r="C625" t="str">
            <v>Book value of excluded minority interests in shareholders' equity</v>
          </cell>
          <cell r="HX625" t="str">
            <v>mstag:bookValueOfExcludedMinorityInterestsInShareholdersEquity</v>
          </cell>
          <cell r="HY625">
            <v>6</v>
          </cell>
          <cell r="HZ625" t="str">
            <v>ISO4217:USD</v>
          </cell>
          <cell r="IA625" t="b">
            <v>0</v>
          </cell>
          <cell r="IB625" t="b">
            <v>0</v>
          </cell>
        </row>
        <row r="626">
          <cell r="C626" t="str">
            <v>Percentage of EBITDA attributable to entities with excluded minority interest</v>
          </cell>
          <cell r="HX626" t="str">
            <v>mstag:percentageOfEbitdaAttributableToEntitiesWithExcludedMinorityInterest</v>
          </cell>
          <cell r="HY626">
            <v>0</v>
          </cell>
          <cell r="HZ626" t="str">
            <v>ms_eqr_gcim_Decimal:ms_eqr_gcim_decimal</v>
          </cell>
          <cell r="IA626" t="b">
            <v>0</v>
          </cell>
          <cell r="IB626" t="b">
            <v>0</v>
          </cell>
        </row>
        <row r="627">
          <cell r="C627" t="str">
            <v>Minority share in entities with excluded minority interest (%)</v>
          </cell>
          <cell r="HX627" t="str">
            <v>mstag:minorityShareInEntitiesWithExcludedMinorityInterestPercent</v>
          </cell>
          <cell r="HY627">
            <v>6</v>
          </cell>
          <cell r="HZ627" t="str">
            <v>ms_eqr_gcim_Decimal:ms_eqr_gcim_decimal</v>
          </cell>
          <cell r="IA627" t="b">
            <v>0</v>
          </cell>
          <cell r="IB627" t="b">
            <v>0</v>
          </cell>
        </row>
        <row r="628">
          <cell r="C628" t="str">
            <v>Net financial obligations of entities with excluded minority interest</v>
          </cell>
          <cell r="HX628" t="str">
            <v>mstag:netFinancialObligationsOfEntitiesWithExcludedMinorityInterest</v>
          </cell>
          <cell r="HY628">
            <v>6</v>
          </cell>
          <cell r="HZ628" t="str">
            <v>ISO4217:USD</v>
          </cell>
          <cell r="IA628" t="b">
            <v>0</v>
          </cell>
          <cell r="IB628" t="b">
            <v>0</v>
          </cell>
        </row>
        <row r="629">
          <cell r="C629" t="str">
            <v>Net financial obligations of entities consolidated using the equity method included in majority EV</v>
          </cell>
          <cell r="HX629" t="str">
            <v>mstag:netFinancialObligationsOfEntitiesConsolidatedUsingTheEquityMethodIncludedInMajorityEv</v>
          </cell>
          <cell r="HY629">
            <v>6</v>
          </cell>
          <cell r="HZ629" t="str">
            <v>ISO4217:USD</v>
          </cell>
          <cell r="IA629" t="b">
            <v>0</v>
          </cell>
          <cell r="IB629" t="b">
            <v>0</v>
          </cell>
        </row>
        <row r="630">
          <cell r="C630" t="str">
            <v>Majority share of entities consolidated using the equity method included in majority EV (%)</v>
          </cell>
          <cell r="HX630" t="str">
            <v>mstag:majorityShareOfEntitiesConsolidatedUsingTheEquityMethodIncludedInMajorityEvPercent</v>
          </cell>
          <cell r="HY630">
            <v>0</v>
          </cell>
          <cell r="HZ630" t="str">
            <v>ms_eqr_gcim_Decimal:ms_eqr_gcim_decimal</v>
          </cell>
          <cell r="IA630" t="b">
            <v>0</v>
          </cell>
          <cell r="IB630" t="b">
            <v>0</v>
          </cell>
        </row>
        <row r="631">
          <cell r="C631" t="str">
            <v>EBITDA of entities consolidated using the equity method included in majority EBITDA</v>
          </cell>
          <cell r="HX631" t="str">
            <v>mstag:ebitdaOfEntitiesConsolidatedUsingTheEquityMethodIncludedInMajorityEbitda</v>
          </cell>
          <cell r="HY631">
            <v>6</v>
          </cell>
          <cell r="HZ631" t="str">
            <v>ISO4217:USD</v>
          </cell>
          <cell r="IA631" t="b">
            <v>0</v>
          </cell>
          <cell r="IB631" t="b">
            <v>0</v>
          </cell>
        </row>
        <row r="632">
          <cell r="C632" t="str">
            <v>Market value of investments accounted for using the equity method excluded from majority EV</v>
          </cell>
          <cell r="HX632" t="str">
            <v>mstag:marketValueOfInvestmentsAccountedForUsingTheEquityMethodExcludedFromMajorityEv</v>
          </cell>
          <cell r="HY632">
            <v>6</v>
          </cell>
          <cell r="HZ632" t="str">
            <v>ISO4217:USD</v>
          </cell>
          <cell r="IA632" t="b">
            <v>0</v>
          </cell>
          <cell r="IB632" t="b">
            <v>0</v>
          </cell>
        </row>
        <row r="633">
          <cell r="C633" t="str">
            <v>Book value of investments accounted for using the equity method excluded from majority EV</v>
          </cell>
          <cell r="HX633" t="str">
            <v>mstag:bookValueOfInvestmentsAccountedForUsingTheEquityMethodExcludedFromMajorityEv</v>
          </cell>
          <cell r="HY633">
            <v>6</v>
          </cell>
          <cell r="HZ633" t="str">
            <v>ISO4217:USD</v>
          </cell>
          <cell r="IA633" t="b">
            <v>0</v>
          </cell>
          <cell r="IB633" t="b">
            <v>0</v>
          </cell>
        </row>
        <row r="634">
          <cell r="C634" t="str">
            <v>Current market value of investments accounted for using the equity method excluded from majority EV</v>
          </cell>
          <cell r="HX634" t="str">
            <v>mstag:currentMarketValueOfInvestmentsAccountedForUsingTheEquityMethodExcludedFromMajorityEv</v>
          </cell>
          <cell r="HY634">
            <v>6</v>
          </cell>
          <cell r="HZ634" t="str">
            <v>ISO4217:USD</v>
          </cell>
          <cell r="IA634" t="b">
            <v>0</v>
          </cell>
          <cell r="IB634" t="b">
            <v>0</v>
          </cell>
        </row>
        <row r="635">
          <cell r="C635" t="str">
            <v>Current market value of excluded minority interests in shareholders' equity</v>
          </cell>
          <cell r="HX635" t="str">
            <v>mstag:currentMarketValueOfExcludedMinorityInterestsInShareholdersEquity</v>
          </cell>
          <cell r="HY635">
            <v>6</v>
          </cell>
          <cell r="HZ635" t="str">
            <v>ISO4217:USD</v>
          </cell>
          <cell r="IA635" t="b">
            <v>0</v>
          </cell>
          <cell r="IB635" t="b">
            <v>0</v>
          </cell>
        </row>
        <row r="636">
          <cell r="C636" t="str">
            <v>LIFO reserve</v>
          </cell>
          <cell r="HX636" t="str">
            <v>mstag:lifoReserve</v>
          </cell>
          <cell r="HY636">
            <v>6</v>
          </cell>
          <cell r="HZ636" t="str">
            <v>ISO4217:USD</v>
          </cell>
          <cell r="IA636" t="b">
            <v>0</v>
          </cell>
          <cell r="IB636" t="b">
            <v>0</v>
          </cell>
        </row>
        <row r="637">
          <cell r="C637" t="str">
            <v>Change in LIFO reserve</v>
          </cell>
          <cell r="HX637" t="str">
            <v>mstag:changeInLifoReserve</v>
          </cell>
          <cell r="HY637">
            <v>6</v>
          </cell>
          <cell r="HZ637" t="str">
            <v>ISO4217:USD</v>
          </cell>
          <cell r="IA637" t="b">
            <v>0</v>
          </cell>
          <cell r="IB637" t="b">
            <v>0</v>
          </cell>
        </row>
        <row r="638">
          <cell r="C638" t="str">
            <v>Inventory obsolescence reserve</v>
          </cell>
          <cell r="HX638" t="str">
            <v>mstag:inventoryObsolescenceReserve</v>
          </cell>
          <cell r="HY638">
            <v>6</v>
          </cell>
          <cell r="HZ638" t="str">
            <v>ISO4217:USD</v>
          </cell>
          <cell r="IA638" t="b">
            <v>0</v>
          </cell>
          <cell r="IB638" t="b">
            <v>0</v>
          </cell>
        </row>
        <row r="639">
          <cell r="C639" t="str">
            <v>Taxes</v>
          </cell>
          <cell r="HY639">
            <v>0</v>
          </cell>
          <cell r="HZ639" t="str">
            <v>ms_eqr_gcim_String:ms_eqr_gcim_string</v>
          </cell>
          <cell r="IA639" t="b">
            <v>0</v>
          </cell>
          <cell r="IB639" t="b">
            <v>0</v>
          </cell>
        </row>
        <row r="640">
          <cell r="D640" t="str">
            <v>Deferred tax assets, operating</v>
          </cell>
          <cell r="G640">
            <v>202.113</v>
          </cell>
          <cell r="H640">
            <v>221.36500000000001</v>
          </cell>
          <cell r="I640">
            <v>337.589</v>
          </cell>
          <cell r="J640">
            <v>546.26900000000001</v>
          </cell>
          <cell r="K640">
            <v>511.61599999999999</v>
          </cell>
          <cell r="L640">
            <v>683.36400000000003</v>
          </cell>
          <cell r="HX640" t="str">
            <v>mstag:deferredTaxAssetsOperating</v>
          </cell>
          <cell r="HY640">
            <v>6</v>
          </cell>
          <cell r="HZ640" t="str">
            <v>ISO4217:USD</v>
          </cell>
          <cell r="IA640" t="b">
            <v>0</v>
          </cell>
          <cell r="IB640" t="b">
            <v>0</v>
          </cell>
        </row>
        <row r="641">
          <cell r="D641" t="str">
            <v>Deferred tax assets, financing</v>
          </cell>
          <cell r="HX641" t="str">
            <v>mstag:deferredTaxAssetsFinancing</v>
          </cell>
          <cell r="HY641">
            <v>6</v>
          </cell>
          <cell r="HZ641" t="str">
            <v>ISO4217:USD</v>
          </cell>
          <cell r="IA641" t="b">
            <v>0</v>
          </cell>
          <cell r="IB641" t="b">
            <v>0</v>
          </cell>
        </row>
        <row r="642">
          <cell r="D642" t="str">
            <v>Deferred tax assets, other</v>
          </cell>
          <cell r="HX642" t="str">
            <v>mstag:deferredTaxAssetsOther</v>
          </cell>
          <cell r="HY642">
            <v>6</v>
          </cell>
          <cell r="HZ642" t="str">
            <v>ISO4217:USD</v>
          </cell>
          <cell r="IA642" t="b">
            <v>0</v>
          </cell>
          <cell r="IB642" t="b">
            <v>0</v>
          </cell>
        </row>
        <row r="643">
          <cell r="D643" t="str">
            <v>Valuation allowance in deferred taxes</v>
          </cell>
          <cell r="G643">
            <v>48.508000000000003</v>
          </cell>
          <cell r="H643">
            <v>62.844000000000001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HX643" t="str">
            <v>mstag:valuationAllowanceInDeferredTaxes</v>
          </cell>
          <cell r="HY643">
            <v>6</v>
          </cell>
          <cell r="HZ643" t="str">
            <v>ISO4217:USD</v>
          </cell>
          <cell r="IA643" t="b">
            <v>0</v>
          </cell>
          <cell r="IB643" t="b">
            <v>0</v>
          </cell>
        </row>
        <row r="644">
          <cell r="D644" t="str">
            <v>Deferred tax liabilities, operating</v>
          </cell>
          <cell r="G644">
            <v>82.396000000000001</v>
          </cell>
          <cell r="H644">
            <v>117.104</v>
          </cell>
          <cell r="I644">
            <v>882.13300000000004</v>
          </cell>
          <cell r="J644">
            <v>855.49800000000005</v>
          </cell>
          <cell r="K644">
            <v>819.85799999999995</v>
          </cell>
          <cell r="L644">
            <v>768.57899999999995</v>
          </cell>
          <cell r="HX644" t="str">
            <v>mstag:deferredTaxLiabilitiesOperating</v>
          </cell>
          <cell r="HY644">
            <v>6</v>
          </cell>
          <cell r="HZ644" t="str">
            <v>ISO4217:USD</v>
          </cell>
          <cell r="IA644" t="b">
            <v>0</v>
          </cell>
          <cell r="IB644" t="b">
            <v>0</v>
          </cell>
        </row>
        <row r="645">
          <cell r="D645" t="str">
            <v>Deferred tax liabilities, financing</v>
          </cell>
          <cell r="HX645" t="str">
            <v>mstag:deferredTaxLiabilitiesFinancing</v>
          </cell>
          <cell r="HY645">
            <v>6</v>
          </cell>
          <cell r="HZ645" t="str">
            <v>ISO4217:USD</v>
          </cell>
          <cell r="IA645" t="b">
            <v>0</v>
          </cell>
          <cell r="IB645" t="b">
            <v>0</v>
          </cell>
        </row>
        <row r="646">
          <cell r="D646" t="str">
            <v>Deferred tax liabilities, other</v>
          </cell>
          <cell r="HX646" t="str">
            <v>mstag:deferredTaxLiabilitiesOther</v>
          </cell>
          <cell r="HY646">
            <v>6</v>
          </cell>
          <cell r="HZ646" t="str">
            <v>ISO4217:USD</v>
          </cell>
          <cell r="IA646" t="b">
            <v>0</v>
          </cell>
          <cell r="IB646" t="b">
            <v>0</v>
          </cell>
        </row>
        <row r="647">
          <cell r="D647" t="str">
            <v>Cash taxes paid</v>
          </cell>
          <cell r="G647">
            <v>15.474</v>
          </cell>
          <cell r="H647">
            <v>26.189</v>
          </cell>
          <cell r="I647">
            <v>18.739999999999998</v>
          </cell>
          <cell r="J647">
            <v>-5.0049999999999999</v>
          </cell>
          <cell r="K647">
            <v>36.450000000000003</v>
          </cell>
          <cell r="L647">
            <v>128.108</v>
          </cell>
          <cell r="HX647" t="str">
            <v>mstag:cashTaxesPaid</v>
          </cell>
          <cell r="HY647">
            <v>6</v>
          </cell>
          <cell r="HZ647" t="str">
            <v>ISO4217:USD</v>
          </cell>
          <cell r="IA647" t="b">
            <v>0</v>
          </cell>
          <cell r="IB647" t="b">
            <v>0</v>
          </cell>
        </row>
        <row r="648">
          <cell r="D648" t="str">
            <v>Fair value of NOL</v>
          </cell>
          <cell r="HX648" t="str">
            <v>mstag:fairValueOfNol</v>
          </cell>
          <cell r="HY648">
            <v>6</v>
          </cell>
          <cell r="HZ648" t="str">
            <v>ISO4217:USD</v>
          </cell>
          <cell r="IA648" t="b">
            <v>0</v>
          </cell>
          <cell r="IB648" t="b">
            <v>0</v>
          </cell>
        </row>
        <row r="649">
          <cell r="D649" t="str">
            <v>Dividend tax credit (%)</v>
          </cell>
          <cell r="HX649" t="str">
            <v>mstag:dividendTaxCreditPercent</v>
          </cell>
          <cell r="HY649">
            <v>0</v>
          </cell>
          <cell r="HZ649" t="str">
            <v>ms_eqr_gcim_Decimal:ms_eqr_gcim_decimal</v>
          </cell>
          <cell r="IA649" t="b">
            <v>0</v>
          </cell>
          <cell r="IB649" t="b">
            <v>0</v>
          </cell>
        </row>
        <row r="650">
          <cell r="C650" t="str">
            <v>Dividend franking percentage</v>
          </cell>
          <cell r="HX650" t="str">
            <v>mstag:dividendFrankingPercentage</v>
          </cell>
          <cell r="HY650">
            <v>0</v>
          </cell>
          <cell r="HZ650" t="str">
            <v>ms_eqr_gcim_Decimal:ms_eqr_gcim_decimal</v>
          </cell>
          <cell r="IA650" t="b">
            <v>0</v>
          </cell>
          <cell r="IB650" t="b">
            <v>0</v>
          </cell>
        </row>
        <row r="651">
          <cell r="C651" t="str">
            <v>Tax withheld on dividends paid</v>
          </cell>
          <cell r="HX651" t="str">
            <v>mstag:taxWithheldOnDividendsPaid</v>
          </cell>
          <cell r="HY651">
            <v>6</v>
          </cell>
          <cell r="HZ651" t="str">
            <v>ISO4217:USD</v>
          </cell>
          <cell r="IA651" t="b">
            <v>0</v>
          </cell>
          <cell r="IB651" t="b">
            <v>0</v>
          </cell>
        </row>
        <row r="652">
          <cell r="C652" t="str">
            <v>Special dividends paid</v>
          </cell>
          <cell r="HX652" t="str">
            <v>mstag:specialDividendsPaid</v>
          </cell>
          <cell r="HY652">
            <v>6</v>
          </cell>
          <cell r="HZ652" t="str">
            <v>ISO4217:USD</v>
          </cell>
          <cell r="IA652" t="b">
            <v>0</v>
          </cell>
          <cell r="IB652" t="b">
            <v>0</v>
          </cell>
        </row>
        <row r="653">
          <cell r="C653" t="str">
            <v>Off balance sheet</v>
          </cell>
          <cell r="HY653">
            <v>0</v>
          </cell>
          <cell r="HZ653" t="str">
            <v>ms_eqr_gcim_String:ms_eqr_gcim_string</v>
          </cell>
          <cell r="IA653" t="b">
            <v>0</v>
          </cell>
          <cell r="IB653" t="b">
            <v>0</v>
          </cell>
        </row>
        <row r="654">
          <cell r="D654" t="str">
            <v>Securitized assets</v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HX654" t="str">
            <v>mstag:securitizedAssetsNonFinancialServices</v>
          </cell>
          <cell r="HY654">
            <v>6</v>
          </cell>
          <cell r="HZ654" t="str">
            <v>ISO4217:USD</v>
          </cell>
          <cell r="IA654" t="b">
            <v>0</v>
          </cell>
          <cell r="IB654" t="b">
            <v>0</v>
          </cell>
        </row>
        <row r="655">
          <cell r="E655" t="str">
            <v>Securitized receivables</v>
          </cell>
          <cell r="HX655" t="str">
            <v>mstag:securitizedReceivablesNonFinancialServices</v>
          </cell>
          <cell r="HY655">
            <v>6</v>
          </cell>
          <cell r="HZ655" t="str">
            <v>ISO4217:USD</v>
          </cell>
          <cell r="IA655" t="b">
            <v>0</v>
          </cell>
          <cell r="IB655" t="b">
            <v>0</v>
          </cell>
        </row>
        <row r="656">
          <cell r="D656" t="str">
            <v>Commitments and contingencies</v>
          </cell>
          <cell r="HX656" t="str">
            <v>mstag:commitmentsAndContingencies</v>
          </cell>
          <cell r="HY656">
            <v>6</v>
          </cell>
          <cell r="HZ656" t="str">
            <v>ISO4217:USD</v>
          </cell>
          <cell r="IA656" t="b">
            <v>0</v>
          </cell>
          <cell r="IB656" t="b">
            <v>0</v>
          </cell>
        </row>
        <row r="657">
          <cell r="D657" t="str">
            <v>Unguaranteed residual value in sales-financed leases</v>
          </cell>
          <cell r="HX657" t="str">
            <v>mstag:unguaranteedResidualValueInSalesFinancedLeases</v>
          </cell>
          <cell r="HY657">
            <v>6</v>
          </cell>
          <cell r="HZ657" t="str">
            <v>ISO4217:USD</v>
          </cell>
          <cell r="IA657" t="b">
            <v>0</v>
          </cell>
          <cell r="IB657" t="b">
            <v>0</v>
          </cell>
        </row>
        <row r="658">
          <cell r="C658" t="str">
            <v>Total number of employees</v>
          </cell>
          <cell r="G658">
            <v>3242</v>
          </cell>
          <cell r="H658">
            <v>3389</v>
          </cell>
          <cell r="I658">
            <v>3883</v>
          </cell>
          <cell r="J658">
            <v>4459</v>
          </cell>
          <cell r="K658">
            <v>4950</v>
          </cell>
          <cell r="L658">
            <v>5252</v>
          </cell>
          <cell r="HX658" t="str">
            <v>mstag:totalNumberOfEmployees</v>
          </cell>
          <cell r="HY658">
            <v>0</v>
          </cell>
          <cell r="HZ658" t="str">
            <v>ms_eqr_gcim_Decimal:ms_eqr_gcim_decimal</v>
          </cell>
          <cell r="IA658" t="b">
            <v>0</v>
          </cell>
          <cell r="IB658" t="b">
            <v>0</v>
          </cell>
        </row>
        <row r="659">
          <cell r="C659" t="str">
            <v>Average number of employees</v>
          </cell>
          <cell r="G659" t="str">
            <v>ND</v>
          </cell>
          <cell r="H659">
            <v>3315.5</v>
          </cell>
          <cell r="I659">
            <v>3636</v>
          </cell>
          <cell r="J659">
            <v>4171</v>
          </cell>
          <cell r="K659">
            <v>4704.5</v>
          </cell>
          <cell r="L659">
            <v>5101</v>
          </cell>
          <cell r="HX659" t="str">
            <v>mstag:averageNumberOfEmployees</v>
          </cell>
          <cell r="HY659">
            <v>0</v>
          </cell>
          <cell r="HZ659" t="str">
            <v>ms_eqr_gcim_Decimal:ms_eqr_gcim_decimal</v>
          </cell>
          <cell r="IA659" t="b">
            <v>0</v>
          </cell>
          <cell r="IB659" t="b">
            <v>0</v>
          </cell>
        </row>
        <row r="660">
          <cell r="C660" t="str">
            <v>Net effect of revaluation reserves on book value</v>
          </cell>
          <cell r="HX660" t="str">
            <v>mstag:netEffectOfRevaluationReservesOnBookValue</v>
          </cell>
          <cell r="HY660">
            <v>6</v>
          </cell>
          <cell r="HZ660" t="str">
            <v>ISO4217:USD</v>
          </cell>
          <cell r="IA660" t="b">
            <v>0</v>
          </cell>
          <cell r="IB660" t="b">
            <v>0</v>
          </cell>
        </row>
        <row r="661">
          <cell r="C661" t="str">
            <v>Interest on other interest-bearing liabilities</v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HX661" t="str">
            <v>mstag:interestOnOtherInterestBearingLiabilities</v>
          </cell>
          <cell r="HY661">
            <v>6</v>
          </cell>
          <cell r="HZ661" t="str">
            <v>ISO4217:USD</v>
          </cell>
          <cell r="IA661" t="b">
            <v>0</v>
          </cell>
          <cell r="IB661" t="b">
            <v>0</v>
          </cell>
        </row>
        <row r="662">
          <cell r="D662" t="str">
            <v>Interest on other interest-bearing liabilities reported as finance costs</v>
          </cell>
          <cell r="HX662" t="str">
            <v>mstag:interestOnOtherInterestBearingLiabilitiesReportedAsFinanceCosts</v>
          </cell>
          <cell r="HY662">
            <v>6</v>
          </cell>
          <cell r="HZ662" t="str">
            <v>ISO4217:USD</v>
          </cell>
          <cell r="IA662" t="b">
            <v>0</v>
          </cell>
          <cell r="IB662" t="b">
            <v>0</v>
          </cell>
        </row>
        <row r="663">
          <cell r="D663" t="str">
            <v>Interest on other interest-bearing liabilities reported as operating costs</v>
          </cell>
          <cell r="HX663" t="str">
            <v>mstag:interestOnOtherInterestBearingLiabilitiesReportedAsOperatingCosts</v>
          </cell>
          <cell r="HY663">
            <v>6</v>
          </cell>
          <cell r="HZ663" t="str">
            <v>ISO4217:USD</v>
          </cell>
          <cell r="IA663" t="b">
            <v>0</v>
          </cell>
          <cell r="IB663" t="b">
            <v>0</v>
          </cell>
        </row>
        <row r="664">
          <cell r="B664" t="str">
            <v>Pensions and other postretirement benefit plans</v>
          </cell>
          <cell r="HY664">
            <v>0</v>
          </cell>
          <cell r="HZ664" t="str">
            <v>ms_eqr_gcim_String:ms_eqr_gcim_string</v>
          </cell>
          <cell r="IA664" t="b">
            <v>0</v>
          </cell>
          <cell r="IB664" t="b">
            <v>0</v>
          </cell>
        </row>
        <row r="665">
          <cell r="C665" t="str">
            <v>Pensions (interest and returns classified by company as operating)</v>
          </cell>
          <cell r="HY665">
            <v>0</v>
          </cell>
          <cell r="HZ665" t="str">
            <v>ms_eqr_gcim_String:ms_eqr_gcim_string</v>
          </cell>
          <cell r="IA665" t="b">
            <v>0</v>
          </cell>
          <cell r="IB665" t="b">
            <v>0</v>
          </cell>
        </row>
        <row r="666">
          <cell r="D666" t="str">
            <v>Net periodic pension expense (pensions)</v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HX666" t="str">
            <v>mstag:netPeriodicPensionExpensePensions</v>
          </cell>
          <cell r="HY666">
            <v>6</v>
          </cell>
          <cell r="HZ666" t="str">
            <v>ISO4217:USD</v>
          </cell>
          <cell r="IA666" t="b">
            <v>0</v>
          </cell>
          <cell r="IB666" t="b">
            <v>0</v>
          </cell>
        </row>
        <row r="667">
          <cell r="E667" t="str">
            <v>Service cost (pensions)</v>
          </cell>
          <cell r="HX667" t="str">
            <v>mstag:serviceCostPensions</v>
          </cell>
          <cell r="HY667">
            <v>6</v>
          </cell>
          <cell r="HZ667" t="str">
            <v>ISO4217:USD</v>
          </cell>
          <cell r="IA667" t="b">
            <v>0</v>
          </cell>
          <cell r="IB667" t="b">
            <v>0</v>
          </cell>
        </row>
        <row r="668">
          <cell r="E668" t="str">
            <v>Interest cost (pensions)</v>
          </cell>
          <cell r="HX668" t="str">
            <v>mstag:interestCostPensions</v>
          </cell>
          <cell r="HY668">
            <v>6</v>
          </cell>
          <cell r="HZ668" t="str">
            <v>ISO4217:USD</v>
          </cell>
          <cell r="IA668" t="b">
            <v>0</v>
          </cell>
          <cell r="IB668" t="b">
            <v>0</v>
          </cell>
        </row>
        <row r="669">
          <cell r="E669" t="str">
            <v>Expected return on plan assets (pensions)</v>
          </cell>
          <cell r="HX669" t="str">
            <v>mstag:expectedReturnOnPlanAssetsPensions</v>
          </cell>
          <cell r="HY669">
            <v>6</v>
          </cell>
          <cell r="HZ669" t="str">
            <v>ISO4217:USD</v>
          </cell>
          <cell r="IA669" t="b">
            <v>0</v>
          </cell>
          <cell r="IB669" t="b">
            <v>0</v>
          </cell>
        </row>
        <row r="670">
          <cell r="E670" t="str">
            <v>Amortization of prior service cost (pensions)</v>
          </cell>
          <cell r="HX670" t="str">
            <v>mstag:amortizationOfPriorServiceCostPensions</v>
          </cell>
          <cell r="HY670">
            <v>6</v>
          </cell>
          <cell r="HZ670" t="str">
            <v>ISO4217:USD</v>
          </cell>
          <cell r="IA670" t="b">
            <v>0</v>
          </cell>
          <cell r="IB670" t="b">
            <v>0</v>
          </cell>
        </row>
        <row r="671">
          <cell r="E671" t="str">
            <v>Net actuarial gain (loss) recognized (pensions)</v>
          </cell>
          <cell r="HX671" t="str">
            <v>mstag:netActuarialGainLossRecognizedPensions</v>
          </cell>
          <cell r="HY671">
            <v>6</v>
          </cell>
          <cell r="HZ671" t="str">
            <v>ISO4217:USD</v>
          </cell>
          <cell r="IA671" t="b">
            <v>0</v>
          </cell>
          <cell r="IB671" t="b">
            <v>0</v>
          </cell>
        </row>
        <row r="672">
          <cell r="E672" t="str">
            <v>Nonrecurring pension items</v>
          </cell>
          <cell r="HX672" t="str">
            <v>mstag:nonRecurringPensionItems</v>
          </cell>
          <cell r="HY672">
            <v>6</v>
          </cell>
          <cell r="HZ672" t="str">
            <v>ISO4217:USD</v>
          </cell>
          <cell r="IA672" t="b">
            <v>0</v>
          </cell>
          <cell r="IB672" t="b">
            <v>0</v>
          </cell>
        </row>
        <row r="673">
          <cell r="E673" t="str">
            <v>Other net pension expense</v>
          </cell>
          <cell r="HX673" t="str">
            <v>mstag:otherNetPensionExpense</v>
          </cell>
          <cell r="HY673">
            <v>6</v>
          </cell>
          <cell r="HZ673" t="str">
            <v>ISO4217:USD</v>
          </cell>
          <cell r="IA673" t="b">
            <v>0</v>
          </cell>
          <cell r="IB673" t="b">
            <v>0</v>
          </cell>
        </row>
        <row r="674">
          <cell r="D674" t="str">
            <v>Net benefits paid to retirees (pensions)</v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HX674" t="str">
            <v>mstag:netBenefitsPaidToRetireesPensions</v>
          </cell>
          <cell r="HY674">
            <v>6</v>
          </cell>
          <cell r="HZ674" t="str">
            <v>ISO4217:USD</v>
          </cell>
          <cell r="IA674" t="b">
            <v>0</v>
          </cell>
          <cell r="IB674" t="b">
            <v>0</v>
          </cell>
        </row>
        <row r="675">
          <cell r="E675" t="str">
            <v>Benefits paid to retirees, in obligation (pensions)</v>
          </cell>
          <cell r="HX675" t="str">
            <v>mstag:benefitsPaidToRetireesPensions</v>
          </cell>
          <cell r="HY675">
            <v>6</v>
          </cell>
          <cell r="HZ675" t="str">
            <v>ISO4217:USD</v>
          </cell>
          <cell r="IA675" t="b">
            <v>0</v>
          </cell>
          <cell r="IB675" t="b">
            <v>0</v>
          </cell>
        </row>
        <row r="676">
          <cell r="E676" t="str">
            <v>Benefits paid to retirees, in assets (pensions)</v>
          </cell>
          <cell r="HX676" t="str">
            <v>mstag:benefitsPaidToRetireesInAssetsPensions</v>
          </cell>
          <cell r="HY676">
            <v>6</v>
          </cell>
          <cell r="HZ676" t="str">
            <v>ISO4217:USD</v>
          </cell>
          <cell r="IA676" t="b">
            <v>0</v>
          </cell>
          <cell r="IB676" t="b">
            <v>0</v>
          </cell>
        </row>
        <row r="677">
          <cell r="D677" t="str">
            <v>Actual return on plan assets (pensions)</v>
          </cell>
          <cell r="HX677" t="str">
            <v>mstag:actualReturnOnPlanAssetsPensions</v>
          </cell>
          <cell r="HY677">
            <v>6</v>
          </cell>
          <cell r="HZ677" t="str">
            <v>ISO4217:USD</v>
          </cell>
          <cell r="IA677" t="b">
            <v>0</v>
          </cell>
          <cell r="IB677" t="b">
            <v>0</v>
          </cell>
        </row>
        <row r="678">
          <cell r="D678" t="str">
            <v>Contribution to plan assets (pensions)</v>
          </cell>
          <cell r="HX678" t="str">
            <v>mstag:contributionToPlanAssetsPensions</v>
          </cell>
          <cell r="HY678">
            <v>6</v>
          </cell>
          <cell r="HZ678" t="str">
            <v>ISO4217:USD</v>
          </cell>
          <cell r="IA678" t="b">
            <v>0</v>
          </cell>
          <cell r="IB678" t="b">
            <v>0</v>
          </cell>
        </row>
        <row r="679">
          <cell r="D679" t="str">
            <v>Projected benefit obligation (pensions)</v>
          </cell>
          <cell r="HX679" t="str">
            <v>mstag:projectedBenefitObligationPensions</v>
          </cell>
          <cell r="HY679">
            <v>6</v>
          </cell>
          <cell r="HZ679" t="str">
            <v>ISO4217:USD</v>
          </cell>
          <cell r="IA679" t="b">
            <v>0</v>
          </cell>
          <cell r="IB679" t="b">
            <v>0</v>
          </cell>
        </row>
        <row r="680">
          <cell r="D680" t="str">
            <v>Plan assets at fair value (pensions)</v>
          </cell>
          <cell r="HX680" t="str">
            <v>mstag:planAssetsAtFairValuePensions</v>
          </cell>
          <cell r="HY680">
            <v>6</v>
          </cell>
          <cell r="HZ680" t="str">
            <v>ISO4217:USD</v>
          </cell>
          <cell r="IA680" t="b">
            <v>0</v>
          </cell>
          <cell r="IB680" t="b">
            <v>0</v>
          </cell>
        </row>
        <row r="681">
          <cell r="D681" t="str">
            <v>Net pension prepaid asset (accrued liability)</v>
          </cell>
          <cell r="HX681" t="str">
            <v>mstag:netPensionPrepaidAssetAccruedLiability</v>
          </cell>
          <cell r="HY681">
            <v>6</v>
          </cell>
          <cell r="HZ681" t="str">
            <v>ISO4217:USD</v>
          </cell>
          <cell r="IA681" t="b">
            <v>0</v>
          </cell>
          <cell r="IB681" t="b">
            <v>0</v>
          </cell>
        </row>
        <row r="682">
          <cell r="D682" t="str">
            <v>Intangible asset (pensions)</v>
          </cell>
          <cell r="HX682" t="str">
            <v>mstag:intangibleAssetPensions</v>
          </cell>
          <cell r="HY682">
            <v>6</v>
          </cell>
          <cell r="HZ682" t="str">
            <v>ISO4217:USD</v>
          </cell>
          <cell r="IA682" t="b">
            <v>0</v>
          </cell>
          <cell r="IB682" t="b">
            <v>0</v>
          </cell>
        </row>
        <row r="683">
          <cell r="D683" t="str">
            <v>Accumulated other comprehensive income (pensions)</v>
          </cell>
          <cell r="HX683" t="str">
            <v>mstag:accumulatedOtherComprehensiveIncomePensions</v>
          </cell>
          <cell r="HY683">
            <v>6</v>
          </cell>
          <cell r="HZ683" t="str">
            <v>ISO4217:USD</v>
          </cell>
          <cell r="IA683" t="b">
            <v>0</v>
          </cell>
          <cell r="IB683" t="b">
            <v>0</v>
          </cell>
        </row>
        <row r="684">
          <cell r="D684" t="str">
            <v>Weighted average discount rate (pensions)</v>
          </cell>
          <cell r="HX684" t="str">
            <v>mstag:weightedAverageDiscountRatePensions</v>
          </cell>
          <cell r="HY684">
            <v>0</v>
          </cell>
          <cell r="HZ684" t="str">
            <v>ms_eqr_gcim_Decimal:ms_eqr_gcim_decimal</v>
          </cell>
          <cell r="IA684" t="b">
            <v>0</v>
          </cell>
          <cell r="IB684" t="b">
            <v>0</v>
          </cell>
        </row>
        <row r="685">
          <cell r="D685" t="str">
            <v>Expected long-term rate of return on plan assets (pensions)</v>
          </cell>
          <cell r="HX685" t="str">
            <v>mstag:expectedLongTermRateOfReturnOnPlanAssetsPensions</v>
          </cell>
          <cell r="HY685">
            <v>0</v>
          </cell>
          <cell r="HZ685" t="str">
            <v>ms_eqr_gcim_Decimal:ms_eqr_gcim_decimal</v>
          </cell>
          <cell r="IA685" t="b">
            <v>0</v>
          </cell>
          <cell r="IB685" t="b">
            <v>0</v>
          </cell>
        </row>
        <row r="686">
          <cell r="D686" t="str">
            <v>Rate of increase in future compensation levels</v>
          </cell>
          <cell r="HX686" t="str">
            <v>mstag:rateOfIncreaseInFutureCompensationLevels</v>
          </cell>
          <cell r="HY686">
            <v>0</v>
          </cell>
          <cell r="HZ686" t="str">
            <v>ms_eqr_gcim_Decimal:ms_eqr_gcim_decimal</v>
          </cell>
          <cell r="IA686" t="b">
            <v>0</v>
          </cell>
          <cell r="IB686" t="b">
            <v>0</v>
          </cell>
        </row>
        <row r="687">
          <cell r="C687" t="str">
            <v>Pensions (interest and returns classified by company as financing)</v>
          </cell>
          <cell r="HY687">
            <v>0</v>
          </cell>
          <cell r="HZ687" t="str">
            <v>ms_eqr_gcim_String:ms_eqr_gcim_string</v>
          </cell>
          <cell r="IA687" t="b">
            <v>0</v>
          </cell>
          <cell r="IB687" t="b">
            <v>0</v>
          </cell>
        </row>
        <row r="688">
          <cell r="D688" t="str">
            <v>Net periodic pension expense (pensions)</v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HX688" t="str">
            <v>mstag:netPeriodicPensionExpensePensionsClassifiedAsFinancing</v>
          </cell>
          <cell r="HY688">
            <v>0</v>
          </cell>
          <cell r="HZ688" t="str">
            <v>ISO4217:USD</v>
          </cell>
          <cell r="IA688" t="b">
            <v>0</v>
          </cell>
          <cell r="IB688" t="b">
            <v>0</v>
          </cell>
        </row>
        <row r="689">
          <cell r="E689" t="str">
            <v>Service cost (pensions)</v>
          </cell>
          <cell r="HX689" t="str">
            <v>mstag:serviceCostPensionsClassifiedAsFinancing</v>
          </cell>
          <cell r="HY689">
            <v>0</v>
          </cell>
          <cell r="HZ689" t="str">
            <v>ISO4217:USD</v>
          </cell>
          <cell r="IA689" t="b">
            <v>0</v>
          </cell>
          <cell r="IB689" t="b">
            <v>0</v>
          </cell>
        </row>
        <row r="690">
          <cell r="E690" t="str">
            <v>Interest cost (pensions)</v>
          </cell>
          <cell r="HX690" t="str">
            <v>mstag:interestCostPensionsClassifiedAsFinancing</v>
          </cell>
          <cell r="HY690">
            <v>0</v>
          </cell>
          <cell r="HZ690" t="str">
            <v>ISO4217:USD</v>
          </cell>
          <cell r="IA690" t="b">
            <v>0</v>
          </cell>
          <cell r="IB690" t="b">
            <v>0</v>
          </cell>
        </row>
        <row r="691">
          <cell r="E691" t="str">
            <v>Expected return on plan assets (pensions)</v>
          </cell>
          <cell r="HX691" t="str">
            <v>mstag:expectedReturnOnPlanAssetsPensionsClassifiedAsFinancing</v>
          </cell>
          <cell r="HY691">
            <v>0</v>
          </cell>
          <cell r="HZ691" t="str">
            <v>ISO4217:USD</v>
          </cell>
          <cell r="IA691" t="b">
            <v>0</v>
          </cell>
          <cell r="IB691" t="b">
            <v>0</v>
          </cell>
        </row>
        <row r="692">
          <cell r="E692" t="str">
            <v>Amortization of prior service cost (pensions)</v>
          </cell>
          <cell r="HX692" t="str">
            <v>mstag:amortizationOfPriorServiceCostPensionsClassifiedAsFinancing</v>
          </cell>
          <cell r="HY692">
            <v>0</v>
          </cell>
          <cell r="HZ692" t="str">
            <v>ISO4217:USD</v>
          </cell>
          <cell r="IA692" t="b">
            <v>0</v>
          </cell>
          <cell r="IB692" t="b">
            <v>0</v>
          </cell>
        </row>
        <row r="693">
          <cell r="E693" t="str">
            <v>Net actuarial gain (loss) recognized (pensions)</v>
          </cell>
          <cell r="HX693" t="str">
            <v>mstag:netActuarialGainLossRecognizedPensionsClassifiedAsFinancing</v>
          </cell>
          <cell r="HY693">
            <v>0</v>
          </cell>
          <cell r="HZ693" t="str">
            <v>ISO4217:USD</v>
          </cell>
          <cell r="IA693" t="b">
            <v>0</v>
          </cell>
          <cell r="IB693" t="b">
            <v>0</v>
          </cell>
        </row>
        <row r="694">
          <cell r="E694" t="str">
            <v>Nonrecurring pension items</v>
          </cell>
          <cell r="HX694" t="str">
            <v>mstag:nonRecurringPensionItemsClassifiedAsFinancing</v>
          </cell>
          <cell r="HY694">
            <v>0</v>
          </cell>
          <cell r="HZ694" t="str">
            <v>ISO4217:USD</v>
          </cell>
          <cell r="IA694" t="b">
            <v>0</v>
          </cell>
          <cell r="IB694" t="b">
            <v>0</v>
          </cell>
        </row>
        <row r="695">
          <cell r="E695" t="str">
            <v>Other net pension expense</v>
          </cell>
          <cell r="HX695" t="str">
            <v>mstag:otherNetPensionExpenseClassifiedAsFinancing</v>
          </cell>
          <cell r="HY695">
            <v>0</v>
          </cell>
          <cell r="HZ695" t="str">
            <v>ISO4217:USD</v>
          </cell>
          <cell r="IA695" t="b">
            <v>0</v>
          </cell>
          <cell r="IB695" t="b">
            <v>0</v>
          </cell>
        </row>
        <row r="696">
          <cell r="D696" t="str">
            <v>Net benefits paid to retirees (pensions)</v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HX696" t="str">
            <v>mstag:netBenefitsPaidToRetireesPensionsAsFinancing</v>
          </cell>
          <cell r="HY696">
            <v>6</v>
          </cell>
          <cell r="HZ696" t="str">
            <v>ISO4217:USD</v>
          </cell>
          <cell r="IA696" t="b">
            <v>0</v>
          </cell>
          <cell r="IB696" t="b">
            <v>0</v>
          </cell>
        </row>
        <row r="697">
          <cell r="E697" t="str">
            <v>Benefits paid to retirees, in obligation (pensions)</v>
          </cell>
          <cell r="HX697" t="str">
            <v>mstag:benefitsPaidToRetireesPensionsClassifiedAsFinancing</v>
          </cell>
          <cell r="HY697">
            <v>0</v>
          </cell>
          <cell r="HZ697" t="str">
            <v>ISO4217:USD</v>
          </cell>
          <cell r="IA697" t="b">
            <v>0</v>
          </cell>
          <cell r="IB697" t="b">
            <v>0</v>
          </cell>
        </row>
        <row r="698">
          <cell r="E698" t="str">
            <v>Benefits paid to retirees, in assets (pensions)</v>
          </cell>
          <cell r="HX698" t="str">
            <v>mstag:benefitsPaidToRetireesInAssetsPensionsAsFinancing</v>
          </cell>
          <cell r="HY698">
            <v>6</v>
          </cell>
          <cell r="HZ698" t="str">
            <v>ISO4217:USD</v>
          </cell>
          <cell r="IA698" t="b">
            <v>0</v>
          </cell>
          <cell r="IB698" t="b">
            <v>0</v>
          </cell>
        </row>
        <row r="699">
          <cell r="D699" t="str">
            <v>Actual return on plan assets (pensions)</v>
          </cell>
          <cell r="HX699" t="str">
            <v>mstag:actualReturnOnPlanAssetsPensionsClassifiedAsFinancing</v>
          </cell>
          <cell r="HY699">
            <v>0</v>
          </cell>
          <cell r="HZ699" t="str">
            <v>ISO4217:USD</v>
          </cell>
          <cell r="IA699" t="b">
            <v>0</v>
          </cell>
          <cell r="IB699" t="b">
            <v>0</v>
          </cell>
        </row>
        <row r="700">
          <cell r="D700" t="str">
            <v>Contribution to plan assets (pensions)</v>
          </cell>
          <cell r="HX700" t="str">
            <v>mstag:contributionToPlanAssetsPensionsClassifiedAsFinancing</v>
          </cell>
          <cell r="HY700">
            <v>0</v>
          </cell>
          <cell r="HZ700" t="str">
            <v>ISO4217:USD</v>
          </cell>
          <cell r="IA700" t="b">
            <v>0</v>
          </cell>
          <cell r="IB700" t="b">
            <v>0</v>
          </cell>
        </row>
        <row r="701">
          <cell r="D701" t="str">
            <v>Projected benefit obligation (pensions)</v>
          </cell>
          <cell r="HX701" t="str">
            <v>mstag:projectedBenefitObligationPensionsClassifiedAsFinancing</v>
          </cell>
          <cell r="HY701">
            <v>0</v>
          </cell>
          <cell r="HZ701" t="str">
            <v>ISO4217:USD</v>
          </cell>
          <cell r="IA701" t="b">
            <v>0</v>
          </cell>
          <cell r="IB701" t="b">
            <v>0</v>
          </cell>
        </row>
        <row r="702">
          <cell r="D702" t="str">
            <v>Plan assets at fair value (pensions)</v>
          </cell>
          <cell r="HX702" t="str">
            <v>mstag:planAssetsAtFairValuePensionsClassifiedAsFinancing</v>
          </cell>
          <cell r="HY702">
            <v>0</v>
          </cell>
          <cell r="HZ702" t="str">
            <v>ISO4217:USD</v>
          </cell>
          <cell r="IA702" t="b">
            <v>0</v>
          </cell>
          <cell r="IB702" t="b">
            <v>0</v>
          </cell>
        </row>
        <row r="703">
          <cell r="D703" t="str">
            <v>Net pension prepaid asset (accrued liability)</v>
          </cell>
          <cell r="HX703" t="str">
            <v>mstag:netPensionPrepaidAssetAccruedLiabilityClassifiedAsFinancing</v>
          </cell>
          <cell r="HY703">
            <v>0</v>
          </cell>
          <cell r="HZ703" t="str">
            <v>ISO4217:USD</v>
          </cell>
          <cell r="IA703" t="b">
            <v>0</v>
          </cell>
          <cell r="IB703" t="b">
            <v>0</v>
          </cell>
        </row>
        <row r="704">
          <cell r="D704" t="str">
            <v>Intangible asset (pensions)</v>
          </cell>
          <cell r="HX704" t="str">
            <v>mstag:intangibleAssetPensionsClassifiedAsFinancing</v>
          </cell>
          <cell r="HY704">
            <v>0</v>
          </cell>
          <cell r="HZ704" t="str">
            <v>ISO4217:USD</v>
          </cell>
          <cell r="IA704" t="b">
            <v>0</v>
          </cell>
          <cell r="IB704" t="b">
            <v>0</v>
          </cell>
        </row>
        <row r="705">
          <cell r="D705" t="str">
            <v>Accumulated other comprehensive income (pensions)</v>
          </cell>
          <cell r="HX705" t="str">
            <v>mstag:accumulatedOtherComprehensiveIncomePensionsClassifiedAsFinancing</v>
          </cell>
          <cell r="HY705">
            <v>0</v>
          </cell>
          <cell r="HZ705" t="str">
            <v>ISO4217:USD</v>
          </cell>
          <cell r="IA705" t="b">
            <v>0</v>
          </cell>
          <cell r="IB705" t="b">
            <v>0</v>
          </cell>
        </row>
        <row r="706">
          <cell r="D706" t="str">
            <v>Weighted average discount rate (pensions)</v>
          </cell>
          <cell r="HX706" t="str">
            <v>mstag:weightedAverageDiscountRatePensionsClassifiedAsFinancing</v>
          </cell>
          <cell r="HY706">
            <v>0</v>
          </cell>
          <cell r="HZ706" t="str">
            <v>ms_eqr_gcim_Decimal:ms_eqr_gcim_decimal</v>
          </cell>
          <cell r="IA706" t="b">
            <v>0</v>
          </cell>
          <cell r="IB706" t="b">
            <v>0</v>
          </cell>
        </row>
        <row r="707">
          <cell r="D707" t="str">
            <v>Expected long-term rate of return on plan assets (pensions)</v>
          </cell>
          <cell r="HX707" t="str">
            <v>mstag:expectedLongTermRateOfReturnOnPlanAssetsPensionsClassifiedAsFinancing</v>
          </cell>
          <cell r="HY707">
            <v>0</v>
          </cell>
          <cell r="HZ707" t="str">
            <v>ms_eqr_gcim_Decimal:ms_eqr_gcim_decimal</v>
          </cell>
          <cell r="IA707" t="b">
            <v>0</v>
          </cell>
          <cell r="IB707" t="b">
            <v>0</v>
          </cell>
        </row>
        <row r="708">
          <cell r="D708" t="str">
            <v>Rate of increase in future compensation levels</v>
          </cell>
          <cell r="HX708" t="str">
            <v>mstag:rateOfIncreaseInFutureCompensationLevelsClassifiedAsFinancing</v>
          </cell>
          <cell r="HY708">
            <v>0</v>
          </cell>
          <cell r="HZ708" t="str">
            <v>ms_eqr_gcim_Decimal:ms_eqr_gcim_decimal</v>
          </cell>
          <cell r="IA708" t="b">
            <v>0</v>
          </cell>
          <cell r="IB708" t="b">
            <v>0</v>
          </cell>
        </row>
        <row r="709">
          <cell r="C709" t="str">
            <v>Pensions (companies reporting under SSAP 24)</v>
          </cell>
          <cell r="HY709">
            <v>0</v>
          </cell>
          <cell r="HZ709" t="str">
            <v>ms_eqr_gcim_String:ms_eqr_gcim_string</v>
          </cell>
          <cell r="IA709" t="b">
            <v>0</v>
          </cell>
          <cell r="IB709" t="b">
            <v>0</v>
          </cell>
        </row>
        <row r="710">
          <cell r="D710" t="str">
            <v>Net periodic pension expense (pensions)</v>
          </cell>
          <cell r="HX710" t="str">
            <v>mstag:netPeriodicPensionExpensePensionsUnderSSAP24</v>
          </cell>
          <cell r="HY710">
            <v>0</v>
          </cell>
          <cell r="HZ710" t="str">
            <v>ISO4217:USD</v>
          </cell>
          <cell r="IA710" t="b">
            <v>0</v>
          </cell>
          <cell r="IB710" t="b">
            <v>0</v>
          </cell>
        </row>
        <row r="711">
          <cell r="D711" t="str">
            <v>Service cost (pensions)</v>
          </cell>
          <cell r="HX711" t="str">
            <v>mstag:serviceCostPensionsUnderSSAP24</v>
          </cell>
          <cell r="HY711">
            <v>0</v>
          </cell>
          <cell r="HZ711" t="str">
            <v>ISO4217:USD</v>
          </cell>
          <cell r="IA711" t="b">
            <v>0</v>
          </cell>
          <cell r="IB711" t="b">
            <v>0</v>
          </cell>
        </row>
        <row r="712">
          <cell r="D712" t="str">
            <v>Prior service cost (pensions)</v>
          </cell>
          <cell r="HX712" t="str">
            <v>mstag:priorServiceCostPensionsUnderSSAP24</v>
          </cell>
          <cell r="HY712">
            <v>0</v>
          </cell>
          <cell r="HZ712" t="str">
            <v>ISO4217:USD</v>
          </cell>
          <cell r="IA712" t="b">
            <v>0</v>
          </cell>
          <cell r="IB712" t="b">
            <v>0</v>
          </cell>
        </row>
        <row r="713">
          <cell r="D713" t="str">
            <v>Interest cost (pensions)</v>
          </cell>
          <cell r="HX713" t="str">
            <v>mstag:interestCostPensionsUnderSSAP24</v>
          </cell>
          <cell r="HY713">
            <v>0</v>
          </cell>
          <cell r="HZ713" t="str">
            <v>ISO4217:USD</v>
          </cell>
          <cell r="IA713" t="b">
            <v>0</v>
          </cell>
          <cell r="IB713" t="b">
            <v>0</v>
          </cell>
        </row>
        <row r="714">
          <cell r="D714" t="str">
            <v>Expected return on plan assets (pensions)</v>
          </cell>
          <cell r="HX714" t="str">
            <v>mstag:expectedReturnOnPlanAssetsPensionsUnderSSAP24</v>
          </cell>
          <cell r="HY714">
            <v>0</v>
          </cell>
          <cell r="HZ714" t="str">
            <v>ISO4217:USD</v>
          </cell>
          <cell r="IA714" t="b">
            <v>0</v>
          </cell>
          <cell r="IB714" t="b">
            <v>0</v>
          </cell>
        </row>
        <row r="715">
          <cell r="C715" t="str">
            <v>Other postemployment benefits</v>
          </cell>
          <cell r="HY715">
            <v>0</v>
          </cell>
          <cell r="HZ715" t="str">
            <v>ms_eqr_gcim_String:ms_eqr_gcim_string</v>
          </cell>
          <cell r="IA715" t="b">
            <v>0</v>
          </cell>
          <cell r="IB715" t="b">
            <v>0</v>
          </cell>
        </row>
        <row r="716">
          <cell r="D716" t="str">
            <v>Net periodic expense (OPEB)</v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HX716" t="str">
            <v>mstag:netPeriodicExpenseOpeb</v>
          </cell>
          <cell r="HY716">
            <v>6</v>
          </cell>
          <cell r="HZ716" t="str">
            <v>ISO4217:USD</v>
          </cell>
          <cell r="IA716" t="b">
            <v>0</v>
          </cell>
          <cell r="IB716" t="b">
            <v>0</v>
          </cell>
        </row>
        <row r="717">
          <cell r="E717" t="str">
            <v>Service cost (OPEB)</v>
          </cell>
          <cell r="HX717" t="str">
            <v>mstag:serviceCostOpeb</v>
          </cell>
          <cell r="HY717">
            <v>6</v>
          </cell>
          <cell r="HZ717" t="str">
            <v>ISO4217:USD</v>
          </cell>
          <cell r="IA717" t="b">
            <v>0</v>
          </cell>
          <cell r="IB717" t="b">
            <v>0</v>
          </cell>
        </row>
        <row r="718">
          <cell r="E718" t="str">
            <v>Interest cost (OPEB)</v>
          </cell>
          <cell r="HX718" t="str">
            <v>mstag:interestCostOpeb</v>
          </cell>
          <cell r="HY718">
            <v>6</v>
          </cell>
          <cell r="HZ718" t="str">
            <v>ISO4217:USD</v>
          </cell>
          <cell r="IA718" t="b">
            <v>0</v>
          </cell>
          <cell r="IB718" t="b">
            <v>0</v>
          </cell>
        </row>
        <row r="719">
          <cell r="E719" t="str">
            <v>Expected return on plan assets (OPEB)</v>
          </cell>
          <cell r="HX719" t="str">
            <v>mstag:expectedReturnOnPlanAssetsOpeb</v>
          </cell>
          <cell r="HY719">
            <v>6</v>
          </cell>
          <cell r="HZ719" t="str">
            <v>ISO4217:USD</v>
          </cell>
          <cell r="IA719" t="b">
            <v>0</v>
          </cell>
          <cell r="IB719" t="b">
            <v>0</v>
          </cell>
        </row>
        <row r="720">
          <cell r="E720" t="str">
            <v>Amortization of prior service cost (OPEB)</v>
          </cell>
          <cell r="HX720" t="str">
            <v>mstag:amortizationOfPriorServiceCostOpeb</v>
          </cell>
          <cell r="HY720">
            <v>6</v>
          </cell>
          <cell r="HZ720" t="str">
            <v>ISO4217:USD</v>
          </cell>
          <cell r="IA720" t="b">
            <v>0</v>
          </cell>
          <cell r="IB720" t="b">
            <v>0</v>
          </cell>
        </row>
        <row r="721">
          <cell r="E721" t="str">
            <v>Net actuarial gain (loss) recognized (OPEB)</v>
          </cell>
          <cell r="HX721" t="str">
            <v>mstag:netActuarialGainLossRecognizedOpeb</v>
          </cell>
          <cell r="HY721">
            <v>6</v>
          </cell>
          <cell r="HZ721" t="str">
            <v>ISO4217:USD</v>
          </cell>
          <cell r="IA721" t="b">
            <v>0</v>
          </cell>
          <cell r="IB721" t="b">
            <v>0</v>
          </cell>
        </row>
        <row r="722">
          <cell r="E722" t="str">
            <v>Nonrecurring OPEB items</v>
          </cell>
          <cell r="HX722" t="str">
            <v>mstag:nonRecurringOpebItems</v>
          </cell>
          <cell r="HY722">
            <v>6</v>
          </cell>
          <cell r="HZ722" t="str">
            <v>ISO4217:USD</v>
          </cell>
          <cell r="IA722" t="b">
            <v>0</v>
          </cell>
          <cell r="IB722" t="b">
            <v>0</v>
          </cell>
        </row>
        <row r="723">
          <cell r="E723" t="str">
            <v>Other net expense (OPEB)</v>
          </cell>
          <cell r="HX723" t="str">
            <v>mstag:otherNetExpenseOpeb</v>
          </cell>
          <cell r="HY723">
            <v>6</v>
          </cell>
          <cell r="HZ723" t="str">
            <v>ISO4217:USD</v>
          </cell>
          <cell r="IA723" t="b">
            <v>0</v>
          </cell>
          <cell r="IB723" t="b">
            <v>0</v>
          </cell>
        </row>
        <row r="724">
          <cell r="D724" t="str">
            <v>Net benefits paid to retirees (OPEB)</v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HX724" t="str">
            <v>mstag:netBenefitsPaidToRetireesOpeb</v>
          </cell>
          <cell r="HY724">
            <v>6</v>
          </cell>
          <cell r="HZ724" t="str">
            <v>ISO4217:USD</v>
          </cell>
          <cell r="IA724" t="b">
            <v>0</v>
          </cell>
          <cell r="IB724" t="b">
            <v>0</v>
          </cell>
        </row>
        <row r="725">
          <cell r="E725" t="str">
            <v>Benefits paid to retirees, in obligation (OPEB)</v>
          </cell>
          <cell r="HX725" t="str">
            <v>mstag:benefitsPaidToRetireesOpeb</v>
          </cell>
          <cell r="HY725">
            <v>6</v>
          </cell>
          <cell r="HZ725" t="str">
            <v>ISO4217:USD</v>
          </cell>
          <cell r="IA725" t="b">
            <v>0</v>
          </cell>
          <cell r="IB725" t="b">
            <v>0</v>
          </cell>
        </row>
        <row r="726">
          <cell r="E726" t="str">
            <v>Benefits paid to retirees, in assets (OPEB)</v>
          </cell>
          <cell r="HX726" t="str">
            <v>mstag:benefitsPaidToRetireesInAssetsOpeb</v>
          </cell>
          <cell r="HY726">
            <v>6</v>
          </cell>
          <cell r="HZ726" t="str">
            <v>ISO4217:USD</v>
          </cell>
          <cell r="IA726" t="b">
            <v>0</v>
          </cell>
          <cell r="IB726" t="b">
            <v>0</v>
          </cell>
        </row>
        <row r="727">
          <cell r="D727" t="str">
            <v>Actual return on plan assets (OPEB)</v>
          </cell>
          <cell r="HX727" t="str">
            <v>mstag:actualReturnOnPlanAssetsOpeb</v>
          </cell>
          <cell r="HY727">
            <v>6</v>
          </cell>
          <cell r="HZ727" t="str">
            <v>ISO4217:USD</v>
          </cell>
          <cell r="IA727" t="b">
            <v>0</v>
          </cell>
          <cell r="IB727" t="b">
            <v>0</v>
          </cell>
        </row>
        <row r="728">
          <cell r="D728" t="str">
            <v>Contribution to plan assets (OPEB)</v>
          </cell>
          <cell r="HX728" t="str">
            <v>mstag:contributionToPlanAssetsOpeb</v>
          </cell>
          <cell r="HY728">
            <v>6</v>
          </cell>
          <cell r="HZ728" t="str">
            <v>ISO4217:USD</v>
          </cell>
          <cell r="IA728" t="b">
            <v>0</v>
          </cell>
          <cell r="IB728" t="b">
            <v>0</v>
          </cell>
        </row>
        <row r="729">
          <cell r="D729" t="str">
            <v>Projected benefit obligation (OPEB)</v>
          </cell>
          <cell r="HX729" t="str">
            <v>mstag:projectedBenefitObligationOpeb</v>
          </cell>
          <cell r="HY729">
            <v>6</v>
          </cell>
          <cell r="HZ729" t="str">
            <v>ISO4217:USD</v>
          </cell>
          <cell r="IA729" t="b">
            <v>0</v>
          </cell>
          <cell r="IB729" t="b">
            <v>0</v>
          </cell>
        </row>
        <row r="730">
          <cell r="D730" t="str">
            <v>Plan assets at fair value (OPEB)</v>
          </cell>
          <cell r="HX730" t="str">
            <v>mstag:planAssetsAtFairValueOpeb</v>
          </cell>
          <cell r="HY730">
            <v>6</v>
          </cell>
          <cell r="HZ730" t="str">
            <v>ISO4217:USD</v>
          </cell>
          <cell r="IA730" t="b">
            <v>0</v>
          </cell>
          <cell r="IB730" t="b">
            <v>0</v>
          </cell>
        </row>
        <row r="731">
          <cell r="D731" t="str">
            <v>Net OPEB assets (liabilities) recognized in the balance sheet</v>
          </cell>
          <cell r="HX731" t="str">
            <v>mstag:netOpebAssetsLiabilitiesRecognizedInTheBalanceSheet</v>
          </cell>
          <cell r="HY731">
            <v>6</v>
          </cell>
          <cell r="HZ731" t="str">
            <v>ISO4217:USD</v>
          </cell>
          <cell r="IA731" t="b">
            <v>0</v>
          </cell>
          <cell r="IB731" t="b">
            <v>0</v>
          </cell>
        </row>
        <row r="732">
          <cell r="D732" t="str">
            <v>Weighted average discount rate (OPEB)</v>
          </cell>
          <cell r="HX732" t="str">
            <v>mstag:weightedAverageDiscountRateOpeb</v>
          </cell>
          <cell r="HY732">
            <v>0</v>
          </cell>
          <cell r="HZ732" t="str">
            <v>ms_eqr_gcim_Decimal:ms_eqr_gcim_decimal</v>
          </cell>
          <cell r="IA732" t="b">
            <v>0</v>
          </cell>
          <cell r="IB732" t="b">
            <v>0</v>
          </cell>
        </row>
        <row r="733">
          <cell r="D733" t="str">
            <v>Expected long term rate of return on plan assets (OPEB)</v>
          </cell>
          <cell r="HX733" t="str">
            <v>mstag:expectedLongTermRateOfReturnOnPlanAssetsOpeb</v>
          </cell>
          <cell r="HY733">
            <v>0</v>
          </cell>
          <cell r="HZ733" t="str">
            <v>ms_eqr_gcim_Decimal:ms_eqr_gcim_decimal</v>
          </cell>
          <cell r="IA733" t="b">
            <v>0</v>
          </cell>
          <cell r="IB733" t="b">
            <v>0</v>
          </cell>
        </row>
        <row r="734">
          <cell r="D734" t="str">
            <v>Expected rate of healthcare cost increase, short term</v>
          </cell>
          <cell r="HX734" t="str">
            <v>mstag:expectedRateOfHealthCareCostIncreaseShortTerm</v>
          </cell>
          <cell r="HY734">
            <v>0</v>
          </cell>
          <cell r="HZ734" t="str">
            <v>ms_eqr_gcim_Decimal:ms_eqr_gcim_decimal</v>
          </cell>
          <cell r="IA734" t="b">
            <v>0</v>
          </cell>
          <cell r="IB734" t="b">
            <v>0</v>
          </cell>
        </row>
        <row r="735">
          <cell r="D735" t="str">
            <v>Expected rate of healthcare cost increase, long term</v>
          </cell>
          <cell r="HX735" t="str">
            <v>mstag:expectedRateOfHealthCareCostIncreaseLongTerm</v>
          </cell>
          <cell r="HY735">
            <v>0</v>
          </cell>
          <cell r="HZ735" t="str">
            <v>ms_eqr_gcim_Decimal:ms_eqr_gcim_decimal</v>
          </cell>
          <cell r="IA735" t="b">
            <v>0</v>
          </cell>
          <cell r="IB735" t="b">
            <v>0</v>
          </cell>
        </row>
        <row r="737">
          <cell r="M737" t="str">
            <v>Values in the System :</v>
          </cell>
        </row>
        <row r="738">
          <cell r="M738">
            <v>63</v>
          </cell>
        </row>
        <row r="741">
          <cell r="A741" t="str">
            <v>Additional Data Items to be collected (these items are not in the taxonomy)</v>
          </cell>
        </row>
        <row r="742">
          <cell r="B742" t="str">
            <v>Leases</v>
          </cell>
        </row>
        <row r="743">
          <cell r="C743" t="str">
            <v>Year 1 Minimum Rental Payment</v>
          </cell>
          <cell r="G743">
            <v>15.068</v>
          </cell>
          <cell r="H743">
            <v>25.855</v>
          </cell>
          <cell r="I743">
            <v>33.090000000000003</v>
          </cell>
          <cell r="J743">
            <v>47.545000000000002</v>
          </cell>
          <cell r="K743">
            <v>4.8</v>
          </cell>
          <cell r="L743">
            <v>4.8</v>
          </cell>
          <cell r="M743">
            <v>6.5</v>
          </cell>
        </row>
        <row r="744">
          <cell r="C744" t="str">
            <v>Year 2 Minimum Rental Payment</v>
          </cell>
          <cell r="G744">
            <v>15.622</v>
          </cell>
          <cell r="H744">
            <v>23.591000000000001</v>
          </cell>
          <cell r="I744">
            <v>31.873000000000001</v>
          </cell>
          <cell r="J744">
            <v>48.029000000000003</v>
          </cell>
          <cell r="K744">
            <v>3</v>
          </cell>
          <cell r="L744">
            <v>3.3</v>
          </cell>
          <cell r="M744">
            <v>6.9</v>
          </cell>
        </row>
        <row r="745">
          <cell r="C745" t="str">
            <v>Year 3 Minimum Rental Payment</v>
          </cell>
          <cell r="G745">
            <v>15.196</v>
          </cell>
          <cell r="H745">
            <v>22.47</v>
          </cell>
          <cell r="I745">
            <v>28.492999999999999</v>
          </cell>
          <cell r="J745">
            <v>46.418999999999997</v>
          </cell>
          <cell r="K745">
            <v>1.7</v>
          </cell>
          <cell r="L745">
            <v>3.1</v>
          </cell>
          <cell r="M745">
            <v>5.8</v>
          </cell>
        </row>
        <row r="746">
          <cell r="C746" t="str">
            <v>Year 4 Minimum Rental Payment</v>
          </cell>
          <cell r="G746">
            <v>14.95</v>
          </cell>
          <cell r="H746">
            <v>19.626999999999999</v>
          </cell>
          <cell r="I746">
            <v>27.497</v>
          </cell>
          <cell r="J746">
            <v>41.847999999999999</v>
          </cell>
          <cell r="K746">
            <v>1.6</v>
          </cell>
          <cell r="L746">
            <v>2.6</v>
          </cell>
          <cell r="M746">
            <v>5.8</v>
          </cell>
        </row>
        <row r="747">
          <cell r="C747" t="str">
            <v>Year 5 Minimum Rental Payment</v>
          </cell>
          <cell r="G747">
            <v>14.968999999999999</v>
          </cell>
          <cell r="H747">
            <v>18.637</v>
          </cell>
          <cell r="I747">
            <v>24.611000000000001</v>
          </cell>
          <cell r="J747">
            <v>32.972999999999999</v>
          </cell>
          <cell r="K747">
            <v>1.6</v>
          </cell>
          <cell r="L747">
            <v>2.4</v>
          </cell>
          <cell r="M747">
            <v>5.8</v>
          </cell>
        </row>
        <row r="748">
          <cell r="C748" t="str">
            <v>Reported Cummulative Payments beyond Year 5</v>
          </cell>
          <cell r="G748">
            <v>14.759</v>
          </cell>
          <cell r="H748">
            <v>36.707000000000001</v>
          </cell>
          <cell r="I748">
            <v>23.83</v>
          </cell>
          <cell r="J748">
            <v>1.7310000000000001</v>
          </cell>
          <cell r="K748">
            <v>4.3</v>
          </cell>
          <cell r="L748">
            <v>5.2</v>
          </cell>
          <cell r="M748">
            <v>24.1</v>
          </cell>
        </row>
        <row r="749">
          <cell r="C749" t="str">
            <v>Current year minmum rental payment</v>
          </cell>
        </row>
        <row r="751">
          <cell r="C751" t="str">
            <v>Foot Working:</v>
          </cell>
        </row>
        <row r="752">
          <cell r="B752" t="str">
            <v>A</v>
          </cell>
          <cell r="C752" t="str">
            <v>Income statement</v>
          </cell>
        </row>
        <row r="753">
          <cell r="C753">
            <v>1</v>
          </cell>
          <cell r="D753" t="str">
            <v>Revenue, gross</v>
          </cell>
        </row>
        <row r="754">
          <cell r="F754" t="str">
            <v>Product sales</v>
          </cell>
          <cell r="G754">
            <v>584.88900000000001</v>
          </cell>
          <cell r="H754">
            <v>717.79499999999996</v>
          </cell>
          <cell r="I754">
            <v>1039.095</v>
          </cell>
          <cell r="J754">
            <v>1278.3440000000001</v>
          </cell>
          <cell r="K754">
            <v>1742.8969999999999</v>
          </cell>
          <cell r="L754">
            <v>2163.665</v>
          </cell>
        </row>
        <row r="755">
          <cell r="F755" t="str">
            <v>Contract revenue</v>
          </cell>
          <cell r="G755">
            <v>121.587</v>
          </cell>
          <cell r="H755">
            <v>114.795</v>
          </cell>
          <cell r="I755">
            <v>83.242000000000004</v>
          </cell>
          <cell r="J755">
            <v>160.363</v>
          </cell>
          <cell r="K755">
            <v>36.659999999999997</v>
          </cell>
          <cell r="L755">
            <v>54.442999999999998</v>
          </cell>
        </row>
        <row r="756">
          <cell r="G756">
            <v>706.476</v>
          </cell>
          <cell r="H756">
            <v>832.58999999999992</v>
          </cell>
          <cell r="I756">
            <v>1122.337</v>
          </cell>
          <cell r="J756">
            <v>1438.7070000000001</v>
          </cell>
          <cell r="K756">
            <v>1779.557</v>
          </cell>
          <cell r="L756">
            <v>2218.1080000000002</v>
          </cell>
        </row>
        <row r="759">
          <cell r="C759">
            <v>2</v>
          </cell>
          <cell r="D759" t="str">
            <v>Cost of sales, without depreciation</v>
          </cell>
          <cell r="G759">
            <v>102.536</v>
          </cell>
          <cell r="H759">
            <v>138.62299999999999</v>
          </cell>
          <cell r="I759">
            <v>285.54899999999998</v>
          </cell>
          <cell r="J759">
            <v>364.892</v>
          </cell>
          <cell r="K759">
            <v>354.44200000000001</v>
          </cell>
          <cell r="L759">
            <v>441.63</v>
          </cell>
        </row>
        <row r="760">
          <cell r="F760" t="str">
            <v>Less: Depreciation</v>
          </cell>
          <cell r="G760">
            <v>-65.533000000000001</v>
          </cell>
          <cell r="H760">
            <v>-78.100999999999999</v>
          </cell>
          <cell r="I760">
            <v>-90.281999999999996</v>
          </cell>
          <cell r="J760">
            <v>-88.804000000000002</v>
          </cell>
          <cell r="K760">
            <v>-96.290999999999997</v>
          </cell>
          <cell r="L760">
            <v>-104.55500000000001</v>
          </cell>
        </row>
        <row r="761">
          <cell r="G761">
            <v>37.003</v>
          </cell>
          <cell r="H761">
            <v>60.521999999999991</v>
          </cell>
          <cell r="I761">
            <v>195.267</v>
          </cell>
          <cell r="J761">
            <v>276.08799999999997</v>
          </cell>
          <cell r="K761">
            <v>258.15100000000001</v>
          </cell>
          <cell r="L761">
            <v>337.07499999999999</v>
          </cell>
        </row>
        <row r="764">
          <cell r="C764">
            <v>2</v>
          </cell>
          <cell r="D764" t="str">
            <v>General and administrative expenses</v>
          </cell>
          <cell r="G764">
            <v>470.923</v>
          </cell>
          <cell r="H764">
            <v>358.93099999999998</v>
          </cell>
          <cell r="I764">
            <v>393.65700000000004</v>
          </cell>
          <cell r="J764">
            <v>368.22399999999999</v>
          </cell>
          <cell r="K764">
            <v>446.90600000000001</v>
          </cell>
          <cell r="L764">
            <v>546.27599999999995</v>
          </cell>
        </row>
        <row r="765">
          <cell r="F765" t="str">
            <v>Less: Advertisement charges</v>
          </cell>
          <cell r="G765">
            <v>-41.8</v>
          </cell>
          <cell r="H765">
            <v>-47.7</v>
          </cell>
          <cell r="I765">
            <v>-80</v>
          </cell>
          <cell r="J765">
            <v>-86.5</v>
          </cell>
          <cell r="K765">
            <v>-91.9</v>
          </cell>
          <cell r="L765">
            <v>-111.7</v>
          </cell>
        </row>
        <row r="766">
          <cell r="G766">
            <v>429.12299999999999</v>
          </cell>
          <cell r="H766">
            <v>311.23099999999999</v>
          </cell>
          <cell r="I766">
            <v>313.65700000000004</v>
          </cell>
          <cell r="J766">
            <v>281.72399999999999</v>
          </cell>
          <cell r="K766">
            <v>355.00599999999997</v>
          </cell>
          <cell r="L766">
            <v>434.57599999999996</v>
          </cell>
        </row>
        <row r="767">
          <cell r="C767">
            <v>3</v>
          </cell>
          <cell r="D767" t="str">
            <v>Statutory Tax Rate</v>
          </cell>
        </row>
        <row r="768">
          <cell r="E768" t="str">
            <v>For 2002 , the statutory tax rate is as follows:</v>
          </cell>
        </row>
        <row r="769">
          <cell r="E769">
            <v>1</v>
          </cell>
          <cell r="F769" t="str">
            <v>Tax at U.S. statutory rate of 35%</v>
          </cell>
          <cell r="H769">
            <v>88.427999999999997</v>
          </cell>
          <cell r="I769">
            <v>-578.83100000000002</v>
          </cell>
          <cell r="J769">
            <v>1.391</v>
          </cell>
          <cell r="K769">
            <v>99.045000000000002</v>
          </cell>
          <cell r="L769">
            <v>10412</v>
          </cell>
        </row>
        <row r="770">
          <cell r="E770">
            <v>2</v>
          </cell>
          <cell r="F770" t="str">
            <v>State taxes</v>
          </cell>
          <cell r="H770">
            <v>7.4909999999999997</v>
          </cell>
          <cell r="I770">
            <v>-17.552999999999997</v>
          </cell>
          <cell r="J770">
            <v>0.95899999999999996</v>
          </cell>
          <cell r="K770">
            <v>16.219000000000001</v>
          </cell>
          <cell r="L770">
            <v>837</v>
          </cell>
        </row>
        <row r="771">
          <cell r="F771" t="str">
            <v>Total (A)</v>
          </cell>
          <cell r="H771">
            <v>95.918999999999997</v>
          </cell>
          <cell r="I771">
            <v>-596.38400000000001</v>
          </cell>
          <cell r="J771">
            <v>2.35</v>
          </cell>
          <cell r="K771">
            <v>115.26400000000001</v>
          </cell>
          <cell r="L771">
            <v>11249</v>
          </cell>
        </row>
        <row r="773">
          <cell r="F773" t="str">
            <v>Profit before taxes                                                                            (B)</v>
          </cell>
          <cell r="H773">
            <v>252.65100000000001</v>
          </cell>
          <cell r="I773">
            <v>-1157.5</v>
          </cell>
          <cell r="J773">
            <v>3.9729999999999999</v>
          </cell>
          <cell r="K773">
            <v>282.98599999999999</v>
          </cell>
          <cell r="L773">
            <v>29749</v>
          </cell>
        </row>
        <row r="775">
          <cell r="F775" t="str">
            <v>statutory tax rate  (A/B)*100</v>
          </cell>
          <cell r="H775">
            <v>0.37965018939169048</v>
          </cell>
          <cell r="I775">
            <v>0.51523455723542122</v>
          </cell>
          <cell r="J775">
            <v>0.59149257488044304</v>
          </cell>
          <cell r="K775">
            <v>0.40731343600036757</v>
          </cell>
          <cell r="L775">
            <v>0.37813035732293521</v>
          </cell>
        </row>
        <row r="777">
          <cell r="C777" t="str">
            <v>Reclassification</v>
          </cell>
        </row>
        <row r="778">
          <cell r="C778">
            <v>4</v>
          </cell>
          <cell r="D778" t="str">
            <v>Contract and other  (as disclosed in the respective year's financials)</v>
          </cell>
          <cell r="I778">
            <v>83.242000000000004</v>
          </cell>
        </row>
        <row r="779">
          <cell r="F779" t="str">
            <v>Add: Reclassification in 2000</v>
          </cell>
          <cell r="I779">
            <v>-20.337</v>
          </cell>
        </row>
        <row r="780">
          <cell r="I780">
            <v>103.57899999999999</v>
          </cell>
        </row>
        <row r="782">
          <cell r="C782">
            <v>5</v>
          </cell>
          <cell r="D782" t="str">
            <v>Amortization of taxable other intangible(as disclosed in the respective year's financials)</v>
          </cell>
          <cell r="I782">
            <v>197.74199999999999</v>
          </cell>
        </row>
        <row r="783">
          <cell r="F783" t="str">
            <v>Add: Reclassification in 2000</v>
          </cell>
          <cell r="I783">
            <v>-0.67799999999999727</v>
          </cell>
        </row>
        <row r="784">
          <cell r="I784">
            <v>198.42</v>
          </cell>
          <cell r="K784">
            <v>0</v>
          </cell>
          <cell r="L784">
            <v>0</v>
          </cell>
        </row>
        <row r="786">
          <cell r="C786">
            <v>6</v>
          </cell>
          <cell r="D786" t="str">
            <v>Current Tax (as disclosed in the respective year's financials)</v>
          </cell>
          <cell r="I786">
            <v>-203.10900000000004</v>
          </cell>
        </row>
        <row r="787">
          <cell r="F787" t="str">
            <v>Add: Reclassification in 2000</v>
          </cell>
          <cell r="I787">
            <v>-6.7</v>
          </cell>
        </row>
        <row r="788">
          <cell r="I788">
            <v>-196.40900000000005</v>
          </cell>
        </row>
        <row r="790">
          <cell r="B790" t="str">
            <v>B</v>
          </cell>
          <cell r="C790" t="str">
            <v>Balance Sheet Validation</v>
          </cell>
        </row>
        <row r="791">
          <cell r="C791">
            <v>6</v>
          </cell>
          <cell r="D791" t="str">
            <v>Other receivables, current</v>
          </cell>
        </row>
        <row r="792">
          <cell r="F792" t="str">
            <v>Accounts receivable − royalties</v>
          </cell>
          <cell r="L792">
            <v>116.423</v>
          </cell>
        </row>
        <row r="793">
          <cell r="F793" t="str">
            <v>Accounts receivable − related parties</v>
          </cell>
          <cell r="G793">
            <v>73.444000000000003</v>
          </cell>
          <cell r="H793">
            <v>22.85</v>
          </cell>
          <cell r="I793">
            <v>33.234000000000002</v>
          </cell>
          <cell r="J793">
            <v>36.298999999999999</v>
          </cell>
          <cell r="K793">
            <v>66.867000000000004</v>
          </cell>
          <cell r="L793">
            <v>0</v>
          </cell>
        </row>
        <row r="794">
          <cell r="F794" t="str">
            <v>Accounts receivable − other</v>
          </cell>
          <cell r="G794">
            <v>44.386000000000003</v>
          </cell>
          <cell r="H794">
            <v>47.48</v>
          </cell>
          <cell r="I794">
            <v>61.054000000000002</v>
          </cell>
          <cell r="J794">
            <v>63.262</v>
          </cell>
          <cell r="K794">
            <v>55.27</v>
          </cell>
          <cell r="L794">
            <v>59.151000000000003</v>
          </cell>
        </row>
        <row r="795">
          <cell r="G795">
            <v>117.83000000000001</v>
          </cell>
          <cell r="H795">
            <v>70.33</v>
          </cell>
          <cell r="I795">
            <v>94.288000000000011</v>
          </cell>
          <cell r="J795">
            <v>99.561000000000007</v>
          </cell>
          <cell r="K795">
            <v>122.137</v>
          </cell>
          <cell r="L795">
            <v>175.57400000000001</v>
          </cell>
        </row>
        <row r="796">
          <cell r="C796">
            <v>7</v>
          </cell>
          <cell r="D796" t="str">
            <v>Other assets, operating, noncurrent</v>
          </cell>
        </row>
        <row r="797">
          <cell r="F797" t="str">
            <v>Leasehold improvements</v>
          </cell>
          <cell r="G797">
            <v>3.27</v>
          </cell>
          <cell r="H797">
            <v>3.5649999999999999</v>
          </cell>
          <cell r="I797">
            <v>4.6550000000000002</v>
          </cell>
          <cell r="J797">
            <v>18.456</v>
          </cell>
          <cell r="K797">
            <v>30.632000000000001</v>
          </cell>
          <cell r="L797">
            <v>53.588999999999999</v>
          </cell>
        </row>
        <row r="798">
          <cell r="F798" t="str">
            <v>Other long−term assets</v>
          </cell>
          <cell r="G798">
            <v>177.202</v>
          </cell>
          <cell r="H798">
            <v>131.274</v>
          </cell>
          <cell r="I798">
            <v>201.101</v>
          </cell>
          <cell r="J798">
            <v>168.458</v>
          </cell>
          <cell r="K798">
            <v>70.622</v>
          </cell>
          <cell r="L798">
            <v>110.158</v>
          </cell>
        </row>
        <row r="799">
          <cell r="G799">
            <v>180.47200000000001</v>
          </cell>
          <cell r="H799">
            <v>134.839</v>
          </cell>
          <cell r="I799">
            <v>205.756</v>
          </cell>
          <cell r="J799">
            <v>186.91399999999999</v>
          </cell>
          <cell r="K799">
            <v>101.254</v>
          </cell>
          <cell r="L799">
            <v>163.74700000000001</v>
          </cell>
        </row>
        <row r="800">
          <cell r="C800">
            <v>8</v>
          </cell>
          <cell r="D800" t="str">
            <v>Other accrued expenses</v>
          </cell>
        </row>
        <row r="801">
          <cell r="F801" t="str">
            <v>Accrued royalties</v>
          </cell>
          <cell r="G801">
            <v>23.905000000000001</v>
          </cell>
          <cell r="H801">
            <v>23.391999999999999</v>
          </cell>
          <cell r="I801">
            <v>37.692</v>
          </cell>
          <cell r="J801">
            <v>34.811</v>
          </cell>
          <cell r="K801">
            <v>69.66</v>
          </cell>
          <cell r="L801">
            <v>87.081999999999994</v>
          </cell>
        </row>
        <row r="802">
          <cell r="F802" t="str">
            <v>Accrued clinical and other studies</v>
          </cell>
          <cell r="G802">
            <v>47.268999999999998</v>
          </cell>
          <cell r="H802">
            <v>35.534999999999997</v>
          </cell>
          <cell r="I802">
            <v>18.012</v>
          </cell>
          <cell r="J802">
            <v>35.625999999999998</v>
          </cell>
          <cell r="K802">
            <v>42.433999999999997</v>
          </cell>
          <cell r="L802">
            <v>59.33</v>
          </cell>
        </row>
        <row r="803">
          <cell r="F803" t="str">
            <v>Accrued marketing and promotion costs</v>
          </cell>
          <cell r="G803">
            <v>13.369</v>
          </cell>
          <cell r="H803">
            <v>9.4169999999999998</v>
          </cell>
          <cell r="I803">
            <v>17.896999999999998</v>
          </cell>
          <cell r="J803">
            <v>21.228999999999999</v>
          </cell>
          <cell r="K803">
            <v>28.395</v>
          </cell>
          <cell r="L803">
            <v>39.100999999999999</v>
          </cell>
        </row>
        <row r="804">
          <cell r="F804" t="str">
            <v>Accrued collaborations</v>
          </cell>
          <cell r="G804">
            <v>0</v>
          </cell>
          <cell r="H804">
            <v>0</v>
          </cell>
          <cell r="I804">
            <v>20.707999999999998</v>
          </cell>
          <cell r="J804">
            <v>111.254</v>
          </cell>
          <cell r="K804">
            <v>71.046000000000006</v>
          </cell>
          <cell r="L804">
            <v>103.432</v>
          </cell>
        </row>
        <row r="805">
          <cell r="F805" t="str">
            <v>Accrued legal settlement</v>
          </cell>
          <cell r="H805">
            <v>0</v>
          </cell>
          <cell r="I805">
            <v>200</v>
          </cell>
          <cell r="J805">
            <v>0</v>
          </cell>
          <cell r="K805">
            <v>0</v>
          </cell>
          <cell r="L805">
            <v>0</v>
          </cell>
        </row>
        <row r="806">
          <cell r="G806">
            <v>84.543000000000006</v>
          </cell>
          <cell r="H806">
            <v>68.343999999999994</v>
          </cell>
          <cell r="I806">
            <v>294.30899999999997</v>
          </cell>
          <cell r="J806">
            <v>202.92000000000002</v>
          </cell>
          <cell r="K806">
            <v>211.53500000000003</v>
          </cell>
          <cell r="L806">
            <v>288.94499999999999</v>
          </cell>
        </row>
        <row r="807">
          <cell r="C807">
            <v>9</v>
          </cell>
          <cell r="D807" t="str">
            <v>Other liabilities, operating, current</v>
          </cell>
        </row>
        <row r="808">
          <cell r="F808" t="str">
            <v>Hedge payable</v>
          </cell>
          <cell r="G808">
            <v>0</v>
          </cell>
          <cell r="H808">
            <v>5.42</v>
          </cell>
          <cell r="I808">
            <v>33.499000000000002</v>
          </cell>
          <cell r="J808">
            <v>32.171999999999997</v>
          </cell>
        </row>
        <row r="809">
          <cell r="F809" t="str">
            <v>Other</v>
          </cell>
          <cell r="G809">
            <v>55.677999999999997</v>
          </cell>
          <cell r="H809">
            <v>72.218999999999994</v>
          </cell>
          <cell r="I809">
            <v>47.52</v>
          </cell>
          <cell r="J809">
            <v>66.337999999999994</v>
          </cell>
        </row>
        <row r="810">
          <cell r="F810" t="str">
            <v>Accrued liabilities − related parties</v>
          </cell>
          <cell r="G810">
            <v>15.427</v>
          </cell>
          <cell r="H810">
            <v>10.945</v>
          </cell>
          <cell r="I810">
            <v>14.96</v>
          </cell>
          <cell r="J810">
            <v>12.265000000000001</v>
          </cell>
        </row>
        <row r="811">
          <cell r="G811">
            <v>71.10499999999999</v>
          </cell>
          <cell r="H811">
            <v>88.584000000000003</v>
          </cell>
          <cell r="I811">
            <v>95.979000000000013</v>
          </cell>
          <cell r="J811">
            <v>110.77499999999999</v>
          </cell>
        </row>
        <row r="812">
          <cell r="B812" t="str">
            <v>C</v>
          </cell>
          <cell r="C812" t="str">
            <v>Cash Flow Validation</v>
          </cell>
        </row>
        <row r="813">
          <cell r="C813">
            <v>10</v>
          </cell>
          <cell r="D813" t="str">
            <v>Net decrease in investments, nonoperating</v>
          </cell>
        </row>
        <row r="814">
          <cell r="F814" t="str">
            <v>Gain on sales of securities available−for−sale and other</v>
          </cell>
          <cell r="G814">
            <v>-13.202999999999999</v>
          </cell>
          <cell r="H814">
            <v>-9.5419999999999998</v>
          </cell>
          <cell r="I814">
            <v>-19.375</v>
          </cell>
          <cell r="J814">
            <v>-132.30699999999999</v>
          </cell>
          <cell r="K814">
            <v>-39.398000000000003</v>
          </cell>
          <cell r="L814">
            <v>-53.71</v>
          </cell>
        </row>
        <row r="815">
          <cell r="F815" t="str">
            <v>Loss on sales of securities available−for−sale</v>
          </cell>
          <cell r="G815">
            <v>2.0960000000000001</v>
          </cell>
          <cell r="H815">
            <v>1.8089999999999999</v>
          </cell>
          <cell r="I815">
            <v>1.8050000000000002</v>
          </cell>
          <cell r="J815">
            <v>3.9569999999999999</v>
          </cell>
          <cell r="K815">
            <v>2.0110000000000001</v>
          </cell>
          <cell r="L815">
            <v>5.8680000000000003</v>
          </cell>
        </row>
        <row r="816">
          <cell r="F816" t="str">
            <v>Write−down of securities available−for−sale</v>
          </cell>
          <cell r="G816">
            <v>4</v>
          </cell>
          <cell r="H816">
            <v>20.248999999999999</v>
          </cell>
          <cell r="I816">
            <v>13.422000000000001</v>
          </cell>
          <cell r="J816">
            <v>4.8</v>
          </cell>
          <cell r="K816">
            <v>27.504000000000001</v>
          </cell>
          <cell r="L816">
            <v>40.759</v>
          </cell>
        </row>
        <row r="817">
          <cell r="F817" t="str">
            <v>Investments in trading securities</v>
          </cell>
          <cell r="G817">
            <v>-109.13200000000001</v>
          </cell>
          <cell r="H817">
            <v>12.725</v>
          </cell>
          <cell r="I817">
            <v>-10.158999999999999</v>
          </cell>
          <cell r="J817">
            <v>-20.963000000000001</v>
          </cell>
          <cell r="K817">
            <v>-85.712000000000003</v>
          </cell>
          <cell r="L817">
            <v>-121.986</v>
          </cell>
        </row>
        <row r="818">
          <cell r="F818" t="str">
            <v>Purchases of securities available−for−sale</v>
          </cell>
          <cell r="G818">
            <v>-512.72699999999998</v>
          </cell>
          <cell r="H818">
            <v>-800.78800000000001</v>
          </cell>
          <cell r="I818">
            <v>-595.06799999999998</v>
          </cell>
          <cell r="J818">
            <v>-560.40499999999997</v>
          </cell>
          <cell r="K818">
            <v>-1559.23</v>
          </cell>
          <cell r="L818">
            <v>-806.44399999999996</v>
          </cell>
        </row>
        <row r="819">
          <cell r="F819" t="str">
            <v>Proceeds from sales and maturities of securities available−for−sale</v>
          </cell>
          <cell r="G819">
            <v>410.39499999999998</v>
          </cell>
          <cell r="H819">
            <v>430.93599999999998</v>
          </cell>
          <cell r="I819">
            <v>627.06299999999999</v>
          </cell>
          <cell r="J819">
            <v>574.14499999999998</v>
          </cell>
          <cell r="K819">
            <v>1084.546</v>
          </cell>
          <cell r="L819">
            <v>1746.1980000000001</v>
          </cell>
        </row>
        <row r="820">
          <cell r="F820" t="str">
            <v>Purchases of nonmarketable equity securities</v>
          </cell>
          <cell r="G820">
            <v>0</v>
          </cell>
          <cell r="H820">
            <v>-29.044</v>
          </cell>
          <cell r="I820">
            <v>-52.957999999999998</v>
          </cell>
          <cell r="J820">
            <v>-5.6630000000000003</v>
          </cell>
          <cell r="K820">
            <v>-5.83</v>
          </cell>
          <cell r="L820">
            <v>-6.29</v>
          </cell>
        </row>
        <row r="821">
          <cell r="F821" t="str">
            <v>Transfer to restricted cash</v>
          </cell>
          <cell r="G821">
            <v>0</v>
          </cell>
          <cell r="H821">
            <v>0</v>
          </cell>
          <cell r="I821">
            <v>-56.6</v>
          </cell>
          <cell r="J821">
            <v>0</v>
          </cell>
          <cell r="K821">
            <v>0</v>
          </cell>
          <cell r="L821">
            <v>-630</v>
          </cell>
        </row>
        <row r="822">
          <cell r="F822" t="str">
            <v>Write−down of nonmarketable securities</v>
          </cell>
          <cell r="G822">
            <v>0</v>
          </cell>
          <cell r="H822">
            <v>16.689</v>
          </cell>
          <cell r="I822">
            <v>0.432</v>
          </cell>
          <cell r="J822">
            <v>0</v>
          </cell>
          <cell r="K822">
            <v>0</v>
          </cell>
          <cell r="L822">
            <v>0</v>
          </cell>
        </row>
        <row r="823">
          <cell r="F823" t="str">
            <v>Purchases of securities held−to−maturity</v>
          </cell>
          <cell r="G823">
            <v>-304.93200000000002</v>
          </cell>
          <cell r="H823">
            <v>-327.69</v>
          </cell>
          <cell r="I823">
            <v>-186.61199999999999</v>
          </cell>
          <cell r="J823">
            <v>0</v>
          </cell>
          <cell r="K823">
            <v>0</v>
          </cell>
          <cell r="L823">
            <v>0</v>
          </cell>
        </row>
        <row r="824">
          <cell r="F824" t="str">
            <v>Proceeds from maturities of securities held−to−maturity</v>
          </cell>
          <cell r="G824">
            <v>455.31700000000001</v>
          </cell>
          <cell r="H824">
            <v>410.72899999999998</v>
          </cell>
          <cell r="I824">
            <v>286.49699999999996</v>
          </cell>
          <cell r="J824">
            <v>0</v>
          </cell>
          <cell r="K824">
            <v>0</v>
          </cell>
          <cell r="L824">
            <v>0</v>
          </cell>
        </row>
        <row r="825">
          <cell r="G825">
            <v>-68.186000000000035</v>
          </cell>
          <cell r="H825">
            <v>-273.92699999999996</v>
          </cell>
          <cell r="I825">
            <v>8.4469999999999459</v>
          </cell>
          <cell r="J825">
            <v>-136.43600000000004</v>
          </cell>
          <cell r="K825">
            <v>-576.10900000000004</v>
          </cell>
          <cell r="L825">
            <v>174.39500000000021</v>
          </cell>
        </row>
        <row r="827">
          <cell r="B827" t="str">
            <v>D</v>
          </cell>
          <cell r="C827" t="str">
            <v>Changes in Shareholders Equity Validation</v>
          </cell>
        </row>
        <row r="828">
          <cell r="C828">
            <v>11</v>
          </cell>
          <cell r="D828" t="str">
            <v>Other changes in share capital</v>
          </cell>
        </row>
        <row r="829">
          <cell r="E829" t="str">
            <v>A</v>
          </cell>
          <cell r="F829" t="str">
            <v>Period from January 1 to June 30, 1999</v>
          </cell>
        </row>
        <row r="830">
          <cell r="F830" t="str">
            <v xml:space="preserve"> - Change in Special common Stock</v>
          </cell>
          <cell r="I830">
            <v>-4.1619999999999999</v>
          </cell>
        </row>
        <row r="831">
          <cell r="F831" t="str">
            <v xml:space="preserve"> - Change in common stock</v>
          </cell>
          <cell r="I831">
            <v>4.0540000000000003</v>
          </cell>
        </row>
        <row r="832">
          <cell r="F832" t="str">
            <v xml:space="preserve"> - Changes in Additional Paid - Capital</v>
          </cell>
          <cell r="I832">
            <v>5361.9719999999998</v>
          </cell>
        </row>
        <row r="833">
          <cell r="F833" t="str">
            <v xml:space="preserve"> - Amortization of good−will, intangibles and fair value adjustment to inventories, net of tax</v>
          </cell>
          <cell r="I833">
            <v>-500.5</v>
          </cell>
        </row>
        <row r="834">
          <cell r="F834" t="str">
            <v xml:space="preserve"> - In−process research and development</v>
          </cell>
          <cell r="I834">
            <v>-1221.644</v>
          </cell>
        </row>
        <row r="835">
          <cell r="F835" t="str">
            <v>Total (A + B)</v>
          </cell>
          <cell r="I835">
            <v>3639.7199999999993</v>
          </cell>
        </row>
        <row r="837">
          <cell r="D837" t="str">
            <v>Calculation of Top 3 drugs as percent of total sales</v>
          </cell>
        </row>
        <row r="838">
          <cell r="F838" t="str">
            <v>Rituxan</v>
          </cell>
          <cell r="G838">
            <v>5.5</v>
          </cell>
          <cell r="H838">
            <v>162.6</v>
          </cell>
          <cell r="I838">
            <v>279.39999999999998</v>
          </cell>
          <cell r="J838">
            <v>444.1</v>
          </cell>
          <cell r="K838">
            <v>818.6</v>
          </cell>
          <cell r="L838">
            <v>1162.9000000000001</v>
          </cell>
        </row>
        <row r="839">
          <cell r="F839" t="str">
            <v>Herceptin</v>
          </cell>
          <cell r="G839">
            <v>0</v>
          </cell>
          <cell r="H839">
            <v>30.5</v>
          </cell>
          <cell r="I839">
            <v>188.4</v>
          </cell>
          <cell r="J839">
            <v>275.89999999999998</v>
          </cell>
          <cell r="K839">
            <v>346.7</v>
          </cell>
          <cell r="L839">
            <v>385.2</v>
          </cell>
        </row>
        <row r="840">
          <cell r="F840" t="str">
            <v>Growth Hormone</v>
          </cell>
          <cell r="G840">
            <v>223.6</v>
          </cell>
          <cell r="H840">
            <v>214</v>
          </cell>
          <cell r="I840">
            <v>221.2</v>
          </cell>
          <cell r="J840">
            <v>226.6</v>
          </cell>
          <cell r="K840">
            <v>250.2</v>
          </cell>
          <cell r="L840">
            <v>297.2</v>
          </cell>
        </row>
        <row r="841">
          <cell r="F841" t="str">
            <v>Total (A)</v>
          </cell>
          <cell r="G841">
            <v>229.1</v>
          </cell>
          <cell r="H841">
            <v>407.1</v>
          </cell>
          <cell r="I841">
            <v>689</v>
          </cell>
          <cell r="J841">
            <v>946.6</v>
          </cell>
          <cell r="K841">
            <v>1415.5</v>
          </cell>
          <cell r="L841">
            <v>1845.3000000000002</v>
          </cell>
        </row>
        <row r="843">
          <cell r="F843" t="str">
            <v>Total Product sales (B)</v>
          </cell>
          <cell r="G843">
            <v>584.9</v>
          </cell>
          <cell r="H843">
            <v>717.8</v>
          </cell>
          <cell r="I843">
            <v>1039.0999999999999</v>
          </cell>
          <cell r="J843">
            <v>1278.3</v>
          </cell>
          <cell r="K843">
            <v>1742.9</v>
          </cell>
          <cell r="L843">
            <v>2163.6</v>
          </cell>
        </row>
        <row r="845">
          <cell r="F845" t="str">
            <v>Percent       (A/B)*100</v>
          </cell>
          <cell r="G845">
            <v>0.39169088733116775</v>
          </cell>
          <cell r="H845">
            <v>0.56714962385065482</v>
          </cell>
          <cell r="I845">
            <v>0.66307381387739395</v>
          </cell>
          <cell r="J845">
            <v>0.74051474614722679</v>
          </cell>
          <cell r="K845">
            <v>0.81215216019278214</v>
          </cell>
          <cell r="L845">
            <v>0.85288408208541333</v>
          </cell>
        </row>
      </sheetData>
      <sheetData sheetId="18" refreshError="1">
        <row r="2">
          <cell r="B2" t="str">
            <v>Rituxan - Adoption Rates</v>
          </cell>
        </row>
        <row r="3">
          <cell r="B3" t="str">
            <v>Rolling 4 Quarter Averages</v>
          </cell>
          <cell r="C3" t="str">
            <v>3Q03</v>
          </cell>
          <cell r="D3" t="str">
            <v>1Q04</v>
          </cell>
          <cell r="E3" t="str">
            <v>2Q04</v>
          </cell>
          <cell r="F3" t="str">
            <v>3Q04</v>
          </cell>
          <cell r="G3" t="str">
            <v>4Q04</v>
          </cell>
          <cell r="H3" t="str">
            <v>2Q05</v>
          </cell>
          <cell r="I3" t="str">
            <v>3Q05</v>
          </cell>
          <cell r="L3" t="str">
            <v>Phase I/II PTK787 with FOLFOX4</v>
          </cell>
          <cell r="O3" t="str">
            <v>Phase I/II PTK787 with FOLFIRI</v>
          </cell>
        </row>
        <row r="4">
          <cell r="B4" t="str">
            <v>Overall NHL &amp; CLL</v>
          </cell>
          <cell r="C4">
            <v>0.7</v>
          </cell>
          <cell r="D4">
            <v>0.68</v>
          </cell>
          <cell r="E4">
            <v>0.7</v>
          </cell>
          <cell r="F4">
            <v>0.72</v>
          </cell>
          <cell r="G4">
            <v>0.75</v>
          </cell>
          <cell r="H4">
            <v>0.78</v>
          </cell>
          <cell r="I4">
            <v>0.8</v>
          </cell>
          <cell r="L4" t="str">
            <v>n=28</v>
          </cell>
          <cell r="O4" t="str">
            <v>n=16</v>
          </cell>
        </row>
        <row r="5">
          <cell r="B5" t="str">
            <v>NHL</v>
          </cell>
          <cell r="L5" t="str">
            <v>Dose ranges</v>
          </cell>
          <cell r="M5" t="str">
            <v>500-2,000 mg</v>
          </cell>
          <cell r="O5" t="str">
            <v>Dose ranges</v>
          </cell>
          <cell r="P5" t="str">
            <v>500-1,250 mg</v>
          </cell>
        </row>
        <row r="6">
          <cell r="B6" t="str">
            <v>Front-line Indolent</v>
          </cell>
          <cell r="C6">
            <v>0.8</v>
          </cell>
          <cell r="D6">
            <v>0.76</v>
          </cell>
          <cell r="E6">
            <v>0.8</v>
          </cell>
          <cell r="F6">
            <v>0.85</v>
          </cell>
          <cell r="G6">
            <v>0.85</v>
          </cell>
          <cell r="H6">
            <v>0.87</v>
          </cell>
          <cell r="I6">
            <v>0.89</v>
          </cell>
          <cell r="L6" t="str">
            <v>MTD</v>
          </cell>
          <cell r="M6" t="str">
            <v>1,250 mg</v>
          </cell>
          <cell r="O6" t="str">
            <v>MTD</v>
          </cell>
          <cell r="P6" t="str">
            <v>1,250 mg</v>
          </cell>
        </row>
        <row r="7">
          <cell r="B7" t="str">
            <v>Relapsed indolent</v>
          </cell>
          <cell r="C7">
            <v>0.76</v>
          </cell>
          <cell r="D7">
            <v>0.75</v>
          </cell>
          <cell r="E7">
            <v>0.76</v>
          </cell>
          <cell r="F7">
            <v>0.77</v>
          </cell>
          <cell r="G7">
            <v>0.77</v>
          </cell>
          <cell r="H7">
            <v>0.75</v>
          </cell>
          <cell r="I7">
            <v>0.77</v>
          </cell>
          <cell r="L7" t="str">
            <v>CR</v>
          </cell>
          <cell r="M7" t="str">
            <v>1 (4%)</v>
          </cell>
          <cell r="O7" t="str">
            <v>CR</v>
          </cell>
          <cell r="P7">
            <v>0</v>
          </cell>
        </row>
        <row r="8">
          <cell r="B8" t="str">
            <v>Front-line aggressive</v>
          </cell>
          <cell r="C8">
            <v>0.81</v>
          </cell>
          <cell r="D8">
            <v>0.82</v>
          </cell>
          <cell r="E8">
            <v>0.81</v>
          </cell>
          <cell r="F8">
            <v>0.83</v>
          </cell>
          <cell r="G8">
            <v>0.83</v>
          </cell>
          <cell r="H8">
            <v>0.87</v>
          </cell>
          <cell r="I8">
            <v>0.87</v>
          </cell>
          <cell r="L8" t="str">
            <v>PR</v>
          </cell>
          <cell r="M8" t="str">
            <v>14 (50%)</v>
          </cell>
          <cell r="O8" t="str">
            <v>PR</v>
          </cell>
          <cell r="P8" t="str">
            <v>4 (33%)</v>
          </cell>
        </row>
        <row r="9">
          <cell r="B9" t="str">
            <v>Relapsed aggressive</v>
          </cell>
          <cell r="C9">
            <v>0.55000000000000004</v>
          </cell>
          <cell r="D9">
            <v>0.55000000000000004</v>
          </cell>
          <cell r="E9">
            <v>0.55000000000000004</v>
          </cell>
          <cell r="F9">
            <v>0.56000000000000005</v>
          </cell>
          <cell r="G9">
            <v>0.64</v>
          </cell>
          <cell r="H9">
            <v>0.64</v>
          </cell>
          <cell r="I9">
            <v>0.67</v>
          </cell>
          <cell r="L9" t="str">
            <v>SD</v>
          </cell>
          <cell r="M9" t="str">
            <v>9 (32%)</v>
          </cell>
          <cell r="O9" t="str">
            <v>SD</v>
          </cell>
          <cell r="P9" t="str">
            <v>5 (42%)</v>
          </cell>
        </row>
        <row r="10">
          <cell r="B10" t="str">
            <v>CLL</v>
          </cell>
          <cell r="L10" t="str">
            <v>median PFS</v>
          </cell>
          <cell r="M10" t="str">
            <v>11 months</v>
          </cell>
          <cell r="O10" t="str">
            <v>median TTP</v>
          </cell>
          <cell r="P10" t="str">
            <v>6.7 months</v>
          </cell>
        </row>
        <row r="11">
          <cell r="B11" t="str">
            <v>Front-line CLL</v>
          </cell>
          <cell r="C11">
            <v>0.52</v>
          </cell>
          <cell r="D11">
            <v>0.46</v>
          </cell>
          <cell r="E11">
            <v>0.52</v>
          </cell>
          <cell r="F11">
            <v>0.56999999999999995</v>
          </cell>
          <cell r="G11">
            <v>0.63</v>
          </cell>
          <cell r="H11">
            <v>0.65</v>
          </cell>
          <cell r="I11">
            <v>0.69</v>
          </cell>
          <cell r="L11" t="str">
            <v>median OS</v>
          </cell>
          <cell r="M11" t="str">
            <v>16.6 months</v>
          </cell>
          <cell r="O11" t="str">
            <v>median OS</v>
          </cell>
          <cell r="P11" t="str">
            <v>&gt;9 months</v>
          </cell>
        </row>
        <row r="12">
          <cell r="B12" t="str">
            <v>Relapsed CLL</v>
          </cell>
          <cell r="C12">
            <v>0.55000000000000004</v>
          </cell>
          <cell r="D12">
            <v>0.57999999999999996</v>
          </cell>
          <cell r="E12">
            <v>0.55000000000000004</v>
          </cell>
          <cell r="F12">
            <v>0.55000000000000004</v>
          </cell>
          <cell r="G12">
            <v>0.56999999999999995</v>
          </cell>
          <cell r="H12">
            <v>0.67</v>
          </cell>
          <cell r="I12">
            <v>0.68</v>
          </cell>
          <cell r="L12" t="str">
            <v>Adverse events:</v>
          </cell>
          <cell r="M12" t="str">
            <v>Ataxia</v>
          </cell>
          <cell r="O12" t="str">
            <v>Adverse events:</v>
          </cell>
          <cell r="P12" t="str">
            <v>hypertension</v>
          </cell>
        </row>
        <row r="13">
          <cell r="B13" t="str">
            <v>MDs using maintenance</v>
          </cell>
          <cell r="C13">
            <v>0.59</v>
          </cell>
          <cell r="D13">
            <v>0.55000000000000004</v>
          </cell>
          <cell r="E13">
            <v>0.59</v>
          </cell>
          <cell r="F13">
            <v>0.62</v>
          </cell>
          <cell r="G13">
            <v>0.65</v>
          </cell>
          <cell r="H13">
            <v>0.7</v>
          </cell>
          <cell r="I13">
            <v>0.75</v>
          </cell>
          <cell r="M13" t="str">
            <v>neutropenia</v>
          </cell>
          <cell r="P13" t="str">
            <v>fatigue</v>
          </cell>
        </row>
        <row r="14">
          <cell r="B14" t="str">
            <v>Patients receiving maint.</v>
          </cell>
          <cell r="C14">
            <v>0.09</v>
          </cell>
          <cell r="F14">
            <v>0.1</v>
          </cell>
          <cell r="G14">
            <v>0.15</v>
          </cell>
          <cell r="H14">
            <v>0.19</v>
          </cell>
          <cell r="I14">
            <v>0.2</v>
          </cell>
          <cell r="M14" t="str">
            <v>thrombocytopenia</v>
          </cell>
          <cell r="P14" t="str">
            <v>dizziness</v>
          </cell>
        </row>
        <row r="15">
          <cell r="S15" t="str">
            <v>AC + Taxotere + Herceptin</v>
          </cell>
          <cell r="T15" t="str">
            <v>Taxotere + carboplatin + Herceptin</v>
          </cell>
          <cell r="U15" t="str">
            <v>AC + Taxotere (control)</v>
          </cell>
        </row>
        <row r="16">
          <cell r="R16" t="str">
            <v>Reduction in Disease Recurrence (Primary Endpoint)</v>
          </cell>
          <cell r="S16" t="str">
            <v>51%*</v>
          </cell>
          <cell r="T16" t="str">
            <v>39%*</v>
          </cell>
          <cell r="U16" t="str">
            <v>-</v>
          </cell>
        </row>
        <row r="17">
          <cell r="R17" t="str">
            <v>Clinicallly Significant Cardiac Adverse Events</v>
          </cell>
          <cell r="S17">
            <v>2.3E-2</v>
          </cell>
          <cell r="T17">
            <v>1.2999999999999999E-2</v>
          </cell>
          <cell r="U17">
            <v>1.2999999999999999E-2</v>
          </cell>
        </row>
        <row r="18">
          <cell r="L18" t="str">
            <v>Ph II RCC data</v>
          </cell>
          <cell r="R18" t="str">
            <v>Note: * Statistically significant; AC = doxorubicin plus cyclophosphamide</v>
          </cell>
        </row>
        <row r="19">
          <cell r="B19" t="str">
            <v>Avastin - Adoption Rates</v>
          </cell>
          <cell r="L19" t="str">
            <v>Avastin</v>
          </cell>
          <cell r="M19" t="str">
            <v>10mg</v>
          </cell>
          <cell r="N19" t="str">
            <v>3mg</v>
          </cell>
          <cell r="O19" t="str">
            <v>Placebo</v>
          </cell>
        </row>
        <row r="20">
          <cell r="B20" t="str">
            <v>Colorectal cancer</v>
          </cell>
          <cell r="C20" t="str">
            <v>3Q04</v>
          </cell>
          <cell r="D20" t="str">
            <v>4Q04</v>
          </cell>
          <cell r="E20" t="str">
            <v>1Q05</v>
          </cell>
          <cell r="F20" t="str">
            <v>2Q05</v>
          </cell>
          <cell r="G20" t="str">
            <v>3Q05</v>
          </cell>
          <cell r="H20" t="str">
            <v>3Q05</v>
          </cell>
          <cell r="I20" t="str">
            <v>3Q05</v>
          </cell>
          <cell r="L20" t="str">
            <v>n=</v>
          </cell>
          <cell r="M20">
            <v>39</v>
          </cell>
          <cell r="N20">
            <v>37</v>
          </cell>
          <cell r="O20">
            <v>40</v>
          </cell>
        </row>
        <row r="21">
          <cell r="B21" t="str">
            <v xml:space="preserve">Front-line </v>
          </cell>
          <cell r="C21">
            <v>0.4</v>
          </cell>
          <cell r="D21">
            <v>0.55000000000000004</v>
          </cell>
          <cell r="E21">
            <v>0.61</v>
          </cell>
          <cell r="F21">
            <v>0.64</v>
          </cell>
          <cell r="G21">
            <v>0.67</v>
          </cell>
          <cell r="H21">
            <v>0.67</v>
          </cell>
          <cell r="I21">
            <v>0.67</v>
          </cell>
          <cell r="L21" t="str">
            <v>TTP</v>
          </cell>
          <cell r="M21">
            <v>4.8</v>
          </cell>
          <cell r="N21">
            <v>3</v>
          </cell>
          <cell r="O21">
            <v>2.5</v>
          </cell>
        </row>
        <row r="22">
          <cell r="B22" t="str">
            <v>Refractory</v>
          </cell>
          <cell r="D22">
            <v>0.37</v>
          </cell>
          <cell r="E22">
            <v>0.47</v>
          </cell>
          <cell r="F22">
            <v>0.35</v>
          </cell>
          <cell r="G22">
            <v>0.4</v>
          </cell>
          <cell r="H22">
            <v>0.4</v>
          </cell>
          <cell r="I22">
            <v>0.4</v>
          </cell>
          <cell r="L22" t="str">
            <v>progression free</v>
          </cell>
        </row>
        <row r="23">
          <cell r="L23" t="str">
            <v>4 months</v>
          </cell>
          <cell r="M23">
            <v>0.64</v>
          </cell>
          <cell r="N23">
            <v>0.39</v>
          </cell>
          <cell r="O23">
            <v>0.2</v>
          </cell>
        </row>
        <row r="24">
          <cell r="B24" t="str">
            <v>Avastin - Off label use</v>
          </cell>
          <cell r="L24" t="str">
            <v>8 months</v>
          </cell>
          <cell r="M24">
            <v>0.3</v>
          </cell>
          <cell r="N24">
            <v>0.14000000000000001</v>
          </cell>
          <cell r="O24">
            <v>0.05</v>
          </cell>
        </row>
        <row r="25">
          <cell r="C25" t="str">
            <v>2Q05</v>
          </cell>
          <cell r="D25" t="str">
            <v>3Q05</v>
          </cell>
          <cell r="L25" t="str">
            <v>RR</v>
          </cell>
          <cell r="M25">
            <v>0.1</v>
          </cell>
          <cell r="N25">
            <v>0</v>
          </cell>
          <cell r="O25">
            <v>0</v>
          </cell>
        </row>
        <row r="26">
          <cell r="B26" t="str">
            <v>Avastin sales</v>
          </cell>
          <cell r="C26">
            <v>245</v>
          </cell>
          <cell r="D26">
            <v>325</v>
          </cell>
        </row>
        <row r="27">
          <cell r="B27" t="str">
            <v>% of Avastin sales</v>
          </cell>
          <cell r="C27">
            <v>0.1</v>
          </cell>
          <cell r="D27">
            <v>0.15</v>
          </cell>
        </row>
        <row r="28">
          <cell r="B28" t="str">
            <v>Off-label sales</v>
          </cell>
          <cell r="C28">
            <v>24.5</v>
          </cell>
          <cell r="D28">
            <v>48.75</v>
          </cell>
          <cell r="L28" t="str">
            <v>Ph II pancreatic data</v>
          </cell>
        </row>
        <row r="29">
          <cell r="L29" t="str">
            <v>Pancreatic CA</v>
          </cell>
          <cell r="M29" t="str">
            <v>Gem + 10mg Avastin</v>
          </cell>
        </row>
        <row r="30">
          <cell r="L30" t="str">
            <v>n=</v>
          </cell>
          <cell r="M30">
            <v>52</v>
          </cell>
        </row>
        <row r="31">
          <cell r="B31" t="str">
            <v>Lucentis Phase III results</v>
          </cell>
          <cell r="L31" t="str">
            <v>PFS</v>
          </cell>
          <cell r="M31" t="str">
            <v>5.4 mos</v>
          </cell>
        </row>
        <row r="32">
          <cell r="B32" t="str">
            <v>ANCHOR</v>
          </cell>
          <cell r="C32" t="str">
            <v>0.3 mg</v>
          </cell>
          <cell r="D32" t="str">
            <v>0.5 mg</v>
          </cell>
          <cell r="E32" t="str">
            <v>Visudyne</v>
          </cell>
          <cell r="L32" t="str">
            <v>median survival</v>
          </cell>
          <cell r="M32" t="str">
            <v>8.8 mos</v>
          </cell>
        </row>
        <row r="33">
          <cell r="B33" t="str">
            <v>Maintenance of vision</v>
          </cell>
          <cell r="C33">
            <v>0.94</v>
          </cell>
          <cell r="D33">
            <v>0.96</v>
          </cell>
          <cell r="E33">
            <v>0.64</v>
          </cell>
          <cell r="L33" t="str">
            <v>6-month survival</v>
          </cell>
          <cell r="M33">
            <v>0.77</v>
          </cell>
        </row>
        <row r="34">
          <cell r="B34" t="str">
            <v>Change in visual acuity</v>
          </cell>
          <cell r="C34" t="str">
            <v>improved</v>
          </cell>
          <cell r="D34" t="str">
            <v>improved</v>
          </cell>
          <cell r="E34" t="str">
            <v>declined</v>
          </cell>
        </row>
        <row r="35">
          <cell r="B35" t="str">
            <v>Cererbrovascular events</v>
          </cell>
          <cell r="C35" t="str">
            <v>equal</v>
          </cell>
          <cell r="D35" t="str">
            <v>equal</v>
          </cell>
          <cell r="E35" t="str">
            <v>equal</v>
          </cell>
          <cell r="L35" t="str">
            <v>PR</v>
          </cell>
          <cell r="M35">
            <v>0.21</v>
          </cell>
        </row>
        <row r="36">
          <cell r="B36" t="str">
            <v>Myocardial infarction</v>
          </cell>
          <cell r="C36" t="str">
            <v>-</v>
          </cell>
          <cell r="D36" t="str">
            <v>higher</v>
          </cell>
          <cell r="E36" t="str">
            <v>-</v>
          </cell>
          <cell r="L36" t="str">
            <v>SD</v>
          </cell>
          <cell r="M36">
            <v>0.46</v>
          </cell>
        </row>
        <row r="38">
          <cell r="B38" t="str">
            <v>MARINA</v>
          </cell>
          <cell r="C38" t="str">
            <v>0.3 mg</v>
          </cell>
          <cell r="D38" t="str">
            <v>0.5 mg</v>
          </cell>
          <cell r="E38" t="str">
            <v>Sham</v>
          </cell>
        </row>
        <row r="39">
          <cell r="B39" t="str">
            <v>Maintenance of vision</v>
          </cell>
          <cell r="C39">
            <v>0.95</v>
          </cell>
          <cell r="D39">
            <v>0.95</v>
          </cell>
          <cell r="E39">
            <v>0.62</v>
          </cell>
        </row>
        <row r="40">
          <cell r="B40" t="str">
            <v>Letters gained</v>
          </cell>
          <cell r="C40" t="str">
            <v>+6.5</v>
          </cell>
          <cell r="D40" t="str">
            <v>+7.2</v>
          </cell>
          <cell r="E40" t="str">
            <v>-10.5</v>
          </cell>
        </row>
        <row r="41">
          <cell r="B41" t="str">
            <v>Cererbrovascular events</v>
          </cell>
          <cell r="C41">
            <v>1</v>
          </cell>
          <cell r="D41">
            <v>3</v>
          </cell>
          <cell r="E41">
            <v>1</v>
          </cell>
        </row>
        <row r="42">
          <cell r="B42" t="str">
            <v>Myocardial infarction</v>
          </cell>
          <cell r="C42">
            <v>1</v>
          </cell>
          <cell r="D42">
            <v>1</v>
          </cell>
          <cell r="E42">
            <v>1</v>
          </cell>
        </row>
        <row r="46">
          <cell r="B46" t="str">
            <v>Macugen + Visudyne Phase II data</v>
          </cell>
        </row>
        <row r="48">
          <cell r="C48" t="str">
            <v>Macugen + Visudyne</v>
          </cell>
          <cell r="D48" t="str">
            <v>Lucentis + Visudyne</v>
          </cell>
        </row>
        <row r="49">
          <cell r="B49" t="str">
            <v>Patients</v>
          </cell>
          <cell r="C49" t="str">
            <v>10* (100%)</v>
          </cell>
        </row>
        <row r="50">
          <cell r="B50" t="str">
            <v>Stable vision or better</v>
          </cell>
          <cell r="C50" t="str">
            <v>9 (90%)</v>
          </cell>
        </row>
        <row r="51">
          <cell r="B51" t="str">
            <v>At least 15 letter gain</v>
          </cell>
          <cell r="C51" t="str">
            <v>6 (60%)</v>
          </cell>
        </row>
        <row r="52">
          <cell r="B52" t="str">
            <v>Patients needing further Visudyne therapy after 3 months</v>
          </cell>
          <cell r="C52" t="str">
            <v>4 (40%)</v>
          </cell>
        </row>
        <row r="53">
          <cell r="B53" t="str">
            <v>Note: * 11 patients treated q monthly for 3 months; 10 patients were evaluated</v>
          </cell>
        </row>
      </sheetData>
      <sheetData sheetId="19" refreshError="1"/>
      <sheetData sheetId="20" refreshError="1"/>
      <sheetData sheetId="21" refreshError="1">
        <row r="4">
          <cell r="D4" t="str">
            <v>(For Marketing Pack)</v>
          </cell>
        </row>
        <row r="6">
          <cell r="F6" t="str">
            <v>2005A</v>
          </cell>
          <cell r="H6" t="str">
            <v>2006E</v>
          </cell>
          <cell r="J6" t="str">
            <v>2007E</v>
          </cell>
          <cell r="L6" t="str">
            <v>2008E</v>
          </cell>
        </row>
        <row r="7">
          <cell r="D7" t="str">
            <v>Rituxan</v>
          </cell>
          <cell r="F7">
            <v>1989.431</v>
          </cell>
          <cell r="H7">
            <v>2357</v>
          </cell>
          <cell r="J7">
            <v>2711.0807564833267</v>
          </cell>
          <cell r="L7">
            <v>2933.6966005063991</v>
          </cell>
        </row>
        <row r="8">
          <cell r="D8" t="str">
            <v>Avastin</v>
          </cell>
          <cell r="F8">
            <v>1216.7529999999999</v>
          </cell>
          <cell r="H8">
            <v>1993.36</v>
          </cell>
          <cell r="J8">
            <v>2925.9611602894643</v>
          </cell>
          <cell r="L8">
            <v>3882.0494573955039</v>
          </cell>
        </row>
        <row r="9">
          <cell r="D9" t="str">
            <v>Herceptin</v>
          </cell>
          <cell r="F9">
            <v>763.86799999999994</v>
          </cell>
          <cell r="H9">
            <v>1380</v>
          </cell>
          <cell r="J9">
            <v>1581.6482618585742</v>
          </cell>
          <cell r="L9">
            <v>1676.8953104490511</v>
          </cell>
        </row>
        <row r="10">
          <cell r="D10" t="str">
            <v>Xolair</v>
          </cell>
          <cell r="F10">
            <v>323.79700000000003</v>
          </cell>
          <cell r="H10">
            <v>423</v>
          </cell>
          <cell r="J10">
            <v>496.67639851943272</v>
          </cell>
          <cell r="L10">
            <v>549.18117450569844</v>
          </cell>
        </row>
        <row r="11">
          <cell r="D11" t="str">
            <v>Total Revenues</v>
          </cell>
          <cell r="F11">
            <v>6633.4230000000007</v>
          </cell>
          <cell r="H11">
            <v>9120.36</v>
          </cell>
          <cell r="J11">
            <v>11279.125121683228</v>
          </cell>
          <cell r="L11">
            <v>13104.186311101828</v>
          </cell>
        </row>
        <row r="12">
          <cell r="D12" t="str">
            <v>EPS</v>
          </cell>
          <cell r="F12">
            <v>1.2834315032439099</v>
          </cell>
          <cell r="H12">
            <v>1.9766562870511628</v>
          </cell>
          <cell r="J12">
            <v>2.6131703146035923</v>
          </cell>
          <cell r="L12">
            <v>3.2657035401917991</v>
          </cell>
        </row>
        <row r="13">
          <cell r="D13" t="str">
            <v>Consensus</v>
          </cell>
          <cell r="F13">
            <v>1.28</v>
          </cell>
          <cell r="H13">
            <v>1.81</v>
          </cell>
          <cell r="J13">
            <v>2.4500000000000002</v>
          </cell>
          <cell r="L13">
            <v>3.12</v>
          </cell>
        </row>
      </sheetData>
      <sheetData sheetId="22" refreshError="1"/>
      <sheetData sheetId="23" refreshError="1"/>
      <sheetData sheetId="24" refreshError="1">
        <row r="6">
          <cell r="D6" t="str">
            <v>Biogen Idec Oceanside Plant</v>
          </cell>
          <cell r="E6" t="str">
            <v>Vacaville Expansion</v>
          </cell>
        </row>
        <row r="7">
          <cell r="C7" t="str">
            <v>Current</v>
          </cell>
          <cell r="D7">
            <v>2007</v>
          </cell>
          <cell r="E7">
            <v>2009</v>
          </cell>
          <cell r="F7" t="str">
            <v>Total</v>
          </cell>
        </row>
        <row r="8">
          <cell r="B8" t="str">
            <v>clear</v>
          </cell>
          <cell r="D8">
            <v>280</v>
          </cell>
          <cell r="E8">
            <v>370</v>
          </cell>
          <cell r="F8">
            <v>0</v>
          </cell>
        </row>
        <row r="9">
          <cell r="B9" t="str">
            <v>green</v>
          </cell>
          <cell r="C9">
            <v>280</v>
          </cell>
          <cell r="D9">
            <v>90</v>
          </cell>
          <cell r="E9">
            <v>200</v>
          </cell>
          <cell r="F9">
            <v>570</v>
          </cell>
        </row>
        <row r="12">
          <cell r="I12" t="str">
            <v>Ex-US Exposure</v>
          </cell>
        </row>
        <row r="13">
          <cell r="I13" t="str">
            <v>Sales to Collab.</v>
          </cell>
          <cell r="J13">
            <v>2005</v>
          </cell>
          <cell r="K13" t="str">
            <v>1Q06</v>
          </cell>
        </row>
        <row r="14">
          <cell r="I14" t="str">
            <v>Total</v>
          </cell>
          <cell r="J14">
            <v>326.39999999999998</v>
          </cell>
          <cell r="K14">
            <v>75</v>
          </cell>
        </row>
        <row r="15">
          <cell r="I15" t="str">
            <v>Avastin</v>
          </cell>
          <cell r="J15">
            <v>84.031999999999996</v>
          </cell>
          <cell r="K15">
            <v>18</v>
          </cell>
        </row>
        <row r="16">
          <cell r="I16" t="str">
            <v>Herceptin</v>
          </cell>
          <cell r="J16">
            <v>16.621000000000002</v>
          </cell>
          <cell r="K16">
            <v>5</v>
          </cell>
        </row>
        <row r="17">
          <cell r="I17" t="str">
            <v>Rituxan</v>
          </cell>
          <cell r="J17">
            <v>157.9</v>
          </cell>
          <cell r="K17">
            <v>32</v>
          </cell>
        </row>
        <row r="18">
          <cell r="I18" t="str">
            <v>Nutropin</v>
          </cell>
          <cell r="J18">
            <v>4.8</v>
          </cell>
          <cell r="K18">
            <v>1</v>
          </cell>
        </row>
        <row r="19">
          <cell r="I19" t="str">
            <v>Pulmozyme</v>
          </cell>
          <cell r="J19">
            <v>35.4</v>
          </cell>
          <cell r="K19">
            <v>13</v>
          </cell>
        </row>
        <row r="20">
          <cell r="I20" t="str">
            <v>Raptiva</v>
          </cell>
          <cell r="J20">
            <v>14.9</v>
          </cell>
          <cell r="K20">
            <v>2</v>
          </cell>
        </row>
        <row r="21">
          <cell r="I21" t="str">
            <v>Thrombolytics</v>
          </cell>
          <cell r="J21">
            <v>8.3000000000000007</v>
          </cell>
          <cell r="K21">
            <v>3</v>
          </cell>
        </row>
        <row r="22">
          <cell r="I22" t="str">
            <v>Xolair</v>
          </cell>
          <cell r="J22">
            <v>7</v>
          </cell>
          <cell r="K22">
            <v>1</v>
          </cell>
        </row>
        <row r="23">
          <cell r="I23" t="str">
            <v>Other</v>
          </cell>
          <cell r="J23">
            <v>27</v>
          </cell>
          <cell r="K23">
            <v>0</v>
          </cell>
        </row>
        <row r="24">
          <cell r="I24" t="str">
            <v>Royalties</v>
          </cell>
        </row>
        <row r="25">
          <cell r="I25" t="str">
            <v>% Roche</v>
          </cell>
          <cell r="J25">
            <v>0.53</v>
          </cell>
          <cell r="K25">
            <v>0.57999999999999996</v>
          </cell>
        </row>
        <row r="26">
          <cell r="I26" t="str">
            <v>ex-US Royalties</v>
          </cell>
          <cell r="J26">
            <v>495.60140999999999</v>
          </cell>
          <cell r="K26">
            <v>165.88</v>
          </cell>
        </row>
        <row r="27">
          <cell r="I27" t="str">
            <v>Total</v>
          </cell>
          <cell r="J27">
            <v>822.00140999999996</v>
          </cell>
          <cell r="K27">
            <v>240.88</v>
          </cell>
        </row>
        <row r="28">
          <cell r="I28" t="str">
            <v>Total Rev</v>
          </cell>
          <cell r="J28">
            <v>6633.4230000000007</v>
          </cell>
          <cell r="K28">
            <v>1986</v>
          </cell>
        </row>
        <row r="29">
          <cell r="I29" t="str">
            <v>% ex-US</v>
          </cell>
          <cell r="J29">
            <v>0.12391813547847015</v>
          </cell>
          <cell r="K29">
            <v>0.12128902316213494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TaxoPres"/>
      <sheetName val="LOG"/>
      <sheetName val="Changes to Model"/>
      <sheetName val="MS Est. Vs Actual"/>
      <sheetName val="Quarterly"/>
      <sheetName val="mwareValPrintout"/>
      <sheetName val="Annual"/>
      <sheetName val="Balance Sheet "/>
      <sheetName val="Model_Template"/>
      <sheetName val="Cashflow"/>
      <sheetName val="DCF Valuation"/>
      <sheetName val="US RA Model"/>
      <sheetName val="US Epo Model"/>
      <sheetName val="Int'l Epo Model"/>
      <sheetName val="ProcritAranesp"/>
      <sheetName val="__FDSCACHE__"/>
      <sheetName val="CSFs"/>
      <sheetName val="ESO"/>
      <sheetName val="Figures"/>
      <sheetName val="Marketing"/>
      <sheetName val="mwareDates"/>
      <sheetName val="NY UPLOAD shadow"/>
      <sheetName val="mwareSettings"/>
      <sheetName val="mStartup"/>
      <sheetName val="MainCode"/>
    </sheetNames>
    <sheetDataSet>
      <sheetData sheetId="0" refreshError="1"/>
      <sheetData sheetId="1" refreshError="1"/>
      <sheetData sheetId="2" refreshError="1">
        <row r="2">
          <cell r="B2" t="str">
            <v>Changes To Model</v>
          </cell>
        </row>
        <row r="3">
          <cell r="C3">
            <v>2003</v>
          </cell>
          <cell r="E3">
            <v>2004</v>
          </cell>
          <cell r="G3">
            <v>2005</v>
          </cell>
          <cell r="I3">
            <v>2006</v>
          </cell>
          <cell r="K3">
            <v>2007</v>
          </cell>
          <cell r="M3">
            <v>2008</v>
          </cell>
          <cell r="O3" t="str">
            <v>Comments</v>
          </cell>
        </row>
        <row r="4">
          <cell r="B4" t="str">
            <v>Aranesp</v>
          </cell>
          <cell r="O4" t="str">
            <v>Modestly decreasing estimates in outer years due to slowing EU growth (FOBs are likely to mute growth further)</v>
          </cell>
        </row>
        <row r="5">
          <cell r="B5" t="str">
            <v xml:space="preserve">   Current</v>
          </cell>
          <cell r="E5">
            <v>2472.9</v>
          </cell>
          <cell r="G5">
            <v>3273</v>
          </cell>
          <cell r="I5">
            <v>3913</v>
          </cell>
          <cell r="K5">
            <v>4350</v>
          </cell>
          <cell r="M5">
            <v>4725</v>
          </cell>
        </row>
        <row r="6">
          <cell r="B6" t="str">
            <v xml:space="preserve">   Prior</v>
          </cell>
          <cell r="E6">
            <v>2472.9</v>
          </cell>
          <cell r="G6">
            <v>3273</v>
          </cell>
          <cell r="I6">
            <v>3950</v>
          </cell>
          <cell r="K6">
            <v>4525</v>
          </cell>
          <cell r="M6">
            <v>4915</v>
          </cell>
        </row>
        <row r="7">
          <cell r="B7" t="str">
            <v>Epogen</v>
          </cell>
          <cell r="O7" t="str">
            <v>Company expects product to stabilize in mid 2006</v>
          </cell>
        </row>
        <row r="8">
          <cell r="B8" t="str">
            <v xml:space="preserve">   Current</v>
          </cell>
          <cell r="E8">
            <v>2600.6</v>
          </cell>
          <cell r="G8">
            <v>2455</v>
          </cell>
          <cell r="I8">
            <v>2514</v>
          </cell>
          <cell r="K8">
            <v>2572.1174973954289</v>
          </cell>
          <cell r="M8">
            <v>2632.2299063233218</v>
          </cell>
        </row>
        <row r="9">
          <cell r="B9" t="str">
            <v xml:space="preserve">   Prior</v>
          </cell>
          <cell r="E9">
            <v>2600.6</v>
          </cell>
          <cell r="G9">
            <v>2455</v>
          </cell>
          <cell r="I9">
            <v>2520</v>
          </cell>
          <cell r="K9">
            <v>2626.2090016806937</v>
          </cell>
          <cell r="M9">
            <v>2700.9100577285003</v>
          </cell>
        </row>
        <row r="10">
          <cell r="B10" t="str">
            <v>Neulasta</v>
          </cell>
        </row>
        <row r="11">
          <cell r="B11" t="str">
            <v xml:space="preserve">   Current</v>
          </cell>
          <cell r="E11">
            <v>1739.6</v>
          </cell>
          <cell r="G11">
            <v>2288</v>
          </cell>
          <cell r="I11">
            <v>2603</v>
          </cell>
          <cell r="K11">
            <v>2889.3300000000004</v>
          </cell>
          <cell r="M11">
            <v>3149.3697000000006</v>
          </cell>
        </row>
        <row r="12">
          <cell r="B12" t="str">
            <v xml:space="preserve">   Prior</v>
          </cell>
          <cell r="E12">
            <v>1739.6</v>
          </cell>
          <cell r="G12">
            <v>2288</v>
          </cell>
          <cell r="I12">
            <v>2675</v>
          </cell>
          <cell r="K12">
            <v>3022.75</v>
          </cell>
          <cell r="M12">
            <v>3234.3424999999997</v>
          </cell>
        </row>
        <row r="13">
          <cell r="B13" t="str">
            <v>Neupogen</v>
          </cell>
        </row>
        <row r="14">
          <cell r="B14" t="str">
            <v xml:space="preserve">   Current</v>
          </cell>
          <cell r="E14">
            <v>1175.1999999999998</v>
          </cell>
          <cell r="G14">
            <v>1216</v>
          </cell>
          <cell r="I14">
            <v>1188</v>
          </cell>
          <cell r="K14">
            <v>1188</v>
          </cell>
          <cell r="M14">
            <v>1188</v>
          </cell>
        </row>
        <row r="15">
          <cell r="B15" t="str">
            <v xml:space="preserve">   Prior</v>
          </cell>
          <cell r="E15">
            <v>1175.2</v>
          </cell>
          <cell r="G15">
            <v>1216</v>
          </cell>
          <cell r="I15">
            <v>1240</v>
          </cell>
          <cell r="K15">
            <v>1240</v>
          </cell>
          <cell r="M15">
            <v>1240</v>
          </cell>
        </row>
        <row r="16">
          <cell r="B16" t="str">
            <v>Enbrel</v>
          </cell>
          <cell r="O16" t="str">
            <v xml:space="preserve">Weak trends of past several quarters continue into 2006.  lowering forward estimates as Humira compeition grows in derm and multiple new entrants begin to crowd rheumatology. </v>
          </cell>
        </row>
        <row r="17">
          <cell r="B17" t="str">
            <v xml:space="preserve">   Current</v>
          </cell>
          <cell r="E17">
            <v>1900.3</v>
          </cell>
          <cell r="G17">
            <v>2573</v>
          </cell>
          <cell r="I17">
            <v>2793</v>
          </cell>
          <cell r="K17">
            <v>3016.8307284116399</v>
          </cell>
          <cell r="M17">
            <v>3233.3473223083402</v>
          </cell>
        </row>
        <row r="18">
          <cell r="B18" t="str">
            <v xml:space="preserve">   Prior</v>
          </cell>
          <cell r="E18">
            <v>1900.3</v>
          </cell>
          <cell r="G18">
            <v>2573</v>
          </cell>
          <cell r="I18">
            <v>3020</v>
          </cell>
          <cell r="K18">
            <v>3292.3139849108829</v>
          </cell>
          <cell r="M18">
            <v>3541.0791290486823</v>
          </cell>
        </row>
        <row r="19">
          <cell r="B19" t="str">
            <v>Panitumumab</v>
          </cell>
        </row>
        <row r="20">
          <cell r="B20" t="str">
            <v xml:space="preserve">   Current</v>
          </cell>
          <cell r="E20">
            <v>0</v>
          </cell>
          <cell r="G20">
            <v>0</v>
          </cell>
          <cell r="I20">
            <v>35</v>
          </cell>
          <cell r="K20">
            <v>225</v>
          </cell>
          <cell r="M20">
            <v>475</v>
          </cell>
        </row>
        <row r="21">
          <cell r="B21" t="str">
            <v xml:space="preserve">   Prior</v>
          </cell>
          <cell r="E21">
            <v>0</v>
          </cell>
          <cell r="G21">
            <v>0</v>
          </cell>
          <cell r="I21">
            <v>40</v>
          </cell>
          <cell r="K21">
            <v>260</v>
          </cell>
          <cell r="M21">
            <v>500</v>
          </cell>
        </row>
        <row r="22">
          <cell r="B22" t="str">
            <v>Total Revenues ($MM)</v>
          </cell>
          <cell r="O22" t="str">
            <v>2006 guidance: $13.9B-$14.4B</v>
          </cell>
        </row>
        <row r="23">
          <cell r="B23" t="str">
            <v xml:space="preserve">   Current</v>
          </cell>
          <cell r="C23">
            <v>8356</v>
          </cell>
          <cell r="E23">
            <v>10549.9</v>
          </cell>
          <cell r="G23">
            <v>12430</v>
          </cell>
          <cell r="I23">
            <v>13779</v>
          </cell>
          <cell r="K23">
            <v>15089.778225807069</v>
          </cell>
          <cell r="M23">
            <v>16371.308428631663</v>
          </cell>
        </row>
        <row r="24">
          <cell r="B24" t="str">
            <v xml:space="preserve">   Prior</v>
          </cell>
          <cell r="C24">
            <v>8356</v>
          </cell>
          <cell r="E24">
            <v>10549.9</v>
          </cell>
          <cell r="G24">
            <v>12430</v>
          </cell>
          <cell r="I24">
            <v>14220</v>
          </cell>
          <cell r="K24">
            <v>15846.422986591579</v>
          </cell>
          <cell r="M24">
            <v>17265.642986777184</v>
          </cell>
        </row>
        <row r="25">
          <cell r="B25" t="str">
            <v>SG&amp;A ($MM)</v>
          </cell>
          <cell r="O25" t="str">
            <v>2006 Guidance: ~10% growth</v>
          </cell>
        </row>
        <row r="26">
          <cell r="B26" t="str">
            <v xml:space="preserve">   Current</v>
          </cell>
          <cell r="C26">
            <v>1952.6</v>
          </cell>
          <cell r="E26">
            <v>2556</v>
          </cell>
          <cell r="G26">
            <v>2792</v>
          </cell>
          <cell r="I26">
            <v>3027.1130000000003</v>
          </cell>
          <cell r="K26">
            <v>3266.9369858872305</v>
          </cell>
          <cell r="M26">
            <v>3544.388274798755</v>
          </cell>
        </row>
        <row r="27">
          <cell r="B27" t="str">
            <v xml:space="preserve">   Prior</v>
          </cell>
          <cell r="C27">
            <v>1952.6</v>
          </cell>
          <cell r="E27">
            <v>2556</v>
          </cell>
          <cell r="G27">
            <v>2792</v>
          </cell>
          <cell r="I27">
            <v>3075.85</v>
          </cell>
          <cell r="K27">
            <v>3422.8273651037807</v>
          </cell>
          <cell r="M27">
            <v>4100.5902093595814</v>
          </cell>
        </row>
        <row r="28">
          <cell r="B28" t="str">
            <v>R&amp;D ($MM)</v>
          </cell>
          <cell r="O28" t="str">
            <v xml:space="preserve">2006 Guidance: 30-40% YoY growth.  </v>
          </cell>
        </row>
        <row r="29">
          <cell r="B29" t="str">
            <v xml:space="preserve">   Current</v>
          </cell>
          <cell r="C29">
            <v>1655.4</v>
          </cell>
          <cell r="E29">
            <v>2028</v>
          </cell>
          <cell r="G29">
            <v>2302</v>
          </cell>
          <cell r="I29">
            <v>3009</v>
          </cell>
          <cell r="K29">
            <v>3327.2960987904589</v>
          </cell>
          <cell r="M29">
            <v>3601.6878542989657</v>
          </cell>
        </row>
        <row r="30">
          <cell r="B30" t="str">
            <v xml:space="preserve">   Prior</v>
          </cell>
          <cell r="C30">
            <v>1655.4</v>
          </cell>
          <cell r="E30">
            <v>2028</v>
          </cell>
          <cell r="G30">
            <v>2302</v>
          </cell>
          <cell r="I30">
            <v>3085</v>
          </cell>
          <cell r="K30">
            <v>3406.9809421171894</v>
          </cell>
          <cell r="M30">
            <v>3712.1132421570946</v>
          </cell>
        </row>
        <row r="31">
          <cell r="B31" t="str">
            <v>Interest, Other Income</v>
          </cell>
        </row>
        <row r="32">
          <cell r="B32" t="str">
            <v xml:space="preserve">   Current</v>
          </cell>
          <cell r="C32">
            <v>113.4</v>
          </cell>
          <cell r="D32">
            <v>-0.21359223300970864</v>
          </cell>
          <cell r="E32">
            <v>99.7</v>
          </cell>
          <cell r="F32">
            <v>0</v>
          </cell>
          <cell r="G32">
            <v>157</v>
          </cell>
          <cell r="H32">
            <v>0</v>
          </cell>
          <cell r="I32">
            <v>329</v>
          </cell>
          <cell r="J32">
            <v>0</v>
          </cell>
          <cell r="K32">
            <v>210.7171588806757</v>
          </cell>
          <cell r="L32">
            <v>0</v>
          </cell>
          <cell r="M32">
            <v>265.32581027251831</v>
          </cell>
        </row>
        <row r="33">
          <cell r="B33" t="str">
            <v xml:space="preserve">   Prior</v>
          </cell>
          <cell r="C33">
            <v>113.4</v>
          </cell>
          <cell r="E33">
            <v>99.7</v>
          </cell>
          <cell r="F33">
            <v>0</v>
          </cell>
          <cell r="G33">
            <v>157</v>
          </cell>
          <cell r="H33">
            <v>0</v>
          </cell>
          <cell r="I33">
            <v>150</v>
          </cell>
          <cell r="J33">
            <v>0</v>
          </cell>
          <cell r="K33">
            <v>315.22233834199102</v>
          </cell>
          <cell r="L33">
            <v>0</v>
          </cell>
          <cell r="M33">
            <v>365.3511463110907</v>
          </cell>
        </row>
        <row r="34">
          <cell r="B34" t="str">
            <v xml:space="preserve">Net Income ($MM) </v>
          </cell>
        </row>
        <row r="35">
          <cell r="B35" t="str">
            <v xml:space="preserve">   Current</v>
          </cell>
          <cell r="C35">
            <v>2595.2999999999993</v>
          </cell>
          <cell r="E35">
            <v>3106.7999999999993</v>
          </cell>
          <cell r="G35">
            <v>4023</v>
          </cell>
          <cell r="I35">
            <v>4335.4931825000003</v>
          </cell>
          <cell r="K35">
            <v>4671.2119694975627</v>
          </cell>
          <cell r="M35">
            <v>5157.5244034755797</v>
          </cell>
        </row>
        <row r="36">
          <cell r="B36" t="str">
            <v xml:space="preserve">   Prior</v>
          </cell>
          <cell r="C36">
            <v>2595.2999999999993</v>
          </cell>
          <cell r="E36">
            <v>3106.8</v>
          </cell>
          <cell r="G36">
            <v>4023</v>
          </cell>
          <cell r="I36">
            <v>4374.7203599999993</v>
          </cell>
          <cell r="K36">
            <v>5087.6113248185175</v>
          </cell>
          <cell r="M36">
            <v>5324.9044680685165</v>
          </cell>
        </row>
        <row r="37">
          <cell r="B37" t="str">
            <v>EPS, diluted</v>
          </cell>
          <cell r="O37" t="str">
            <v>2006 guidance: $3.60-$3.70;  Our number increases as we include the accretive effects of recent convertible debt deal (and corresponding increase in the share buyback program)</v>
          </cell>
        </row>
        <row r="38">
          <cell r="B38" t="str">
            <v xml:space="preserve">   Current</v>
          </cell>
          <cell r="C38">
            <v>1.9281575037147096</v>
          </cell>
          <cell r="D38">
            <v>0.26723815197704903</v>
          </cell>
          <cell r="E38">
            <v>2.36950115525927</v>
          </cell>
          <cell r="F38">
            <v>0.22889398334642563</v>
          </cell>
          <cell r="G38">
            <v>3.2027027027027026</v>
          </cell>
          <cell r="H38">
            <v>0.35163584773701628</v>
          </cell>
          <cell r="I38">
            <v>3.6698689952539394</v>
          </cell>
          <cell r="J38">
            <v>0.14586626856030183</v>
          </cell>
          <cell r="K38">
            <v>4.1013211403748855</v>
          </cell>
          <cell r="L38">
            <v>0.11756608905629107</v>
          </cell>
          <cell r="M38">
            <v>4.6347096976234399</v>
          </cell>
        </row>
        <row r="39">
          <cell r="B39" t="str">
            <v xml:space="preserve">   Prior</v>
          </cell>
          <cell r="C39">
            <v>1.93</v>
          </cell>
          <cell r="E39">
            <v>2.36950115525927</v>
          </cell>
          <cell r="F39">
            <v>0.22889398334642563</v>
          </cell>
          <cell r="G39">
            <v>3.2027027027027026</v>
          </cell>
          <cell r="H39">
            <v>0.35163584773701628</v>
          </cell>
          <cell r="I39">
            <v>3.5527748531150061</v>
          </cell>
          <cell r="J39">
            <v>0.10930522839877832</v>
          </cell>
          <cell r="K39">
            <v>4.2311682835580111</v>
          </cell>
          <cell r="L39">
            <v>0.19094748710242704</v>
          </cell>
          <cell r="M39">
            <v>4.52644990794027</v>
          </cell>
        </row>
        <row r="40">
          <cell r="B40" t="str">
            <v>EPS, diluted (incl options expense)</v>
          </cell>
        </row>
        <row r="41">
          <cell r="B41" t="str">
            <v xml:space="preserve">   Current</v>
          </cell>
          <cell r="C41">
            <v>1288.4000000000001</v>
          </cell>
          <cell r="D41">
            <v>0.11694841785869103</v>
          </cell>
          <cell r="E41">
            <v>1270.6500000000001</v>
          </cell>
          <cell r="F41">
            <v>-1.3776777398323503E-2</v>
          </cell>
          <cell r="H41">
            <v>0</v>
          </cell>
          <cell r="I41">
            <v>3.4469575326902331</v>
          </cell>
          <cell r="J41">
            <v>0</v>
          </cell>
          <cell r="K41">
            <v>3.8627394026015285</v>
          </cell>
          <cell r="L41">
            <v>0</v>
          </cell>
          <cell r="M41">
            <v>4.3704543642262941</v>
          </cell>
        </row>
        <row r="42">
          <cell r="B42" t="str">
            <v xml:space="preserve">   Prior</v>
          </cell>
          <cell r="C42">
            <v>1.93</v>
          </cell>
          <cell r="E42">
            <v>2.36950115525927</v>
          </cell>
          <cell r="F42">
            <v>0.22889398334642563</v>
          </cell>
          <cell r="H42">
            <v>0</v>
          </cell>
          <cell r="I42">
            <v>3.445528989912801</v>
          </cell>
          <cell r="J42">
            <v>0</v>
          </cell>
          <cell r="K42">
            <v>4.0830286251359063</v>
          </cell>
          <cell r="L42">
            <v>0</v>
          </cell>
          <cell r="M42">
            <v>4.3555918887894087</v>
          </cell>
        </row>
        <row r="43">
          <cell r="B43" t="str">
            <v>Basic Shares Outstanding</v>
          </cell>
        </row>
        <row r="44">
          <cell r="B44" t="str">
            <v xml:space="preserve">   Current</v>
          </cell>
          <cell r="C44">
            <v>1288.4000000000001</v>
          </cell>
          <cell r="D44">
            <v>0.11694841785869103</v>
          </cell>
          <cell r="E44">
            <v>1270.6500000000001</v>
          </cell>
          <cell r="F44">
            <v>-1.3776777398323503E-2</v>
          </cell>
          <cell r="G44">
            <v>1236</v>
          </cell>
          <cell r="H44">
            <v>-2.726950773226311E-2</v>
          </cell>
          <cell r="I44">
            <v>1161.7770232500002</v>
          </cell>
          <cell r="J44">
            <v>-6.0050952063106622E-2</v>
          </cell>
          <cell r="K44">
            <v>1120.8980000000001</v>
          </cell>
          <cell r="L44">
            <v>-3.5186634295489405E-2</v>
          </cell>
          <cell r="M44">
            <v>1095.4242875</v>
          </cell>
        </row>
        <row r="45">
          <cell r="B45" t="str">
            <v xml:space="preserve">   Prior</v>
          </cell>
          <cell r="C45">
            <v>1288.4000000000001</v>
          </cell>
          <cell r="D45">
            <v>1288.8</v>
          </cell>
          <cell r="E45">
            <v>1270.6500000000001</v>
          </cell>
          <cell r="F45">
            <v>-1.3776777398323503E-2</v>
          </cell>
          <cell r="G45">
            <v>1236</v>
          </cell>
          <cell r="H45">
            <v>-2.726950773226311E-2</v>
          </cell>
          <cell r="I45">
            <v>1210.68759275</v>
          </cell>
          <cell r="J45">
            <v>-2.0479293891585759E-2</v>
          </cell>
          <cell r="K45">
            <v>1186.1795999999999</v>
          </cell>
          <cell r="L45">
            <v>-2.0243036186016972E-2</v>
          </cell>
          <cell r="M45">
            <v>1161.278558</v>
          </cell>
        </row>
        <row r="46">
          <cell r="B46" t="str">
            <v>Diluted Shares Outstanding</v>
          </cell>
        </row>
        <row r="47">
          <cell r="B47" t="str">
            <v xml:space="preserve">   Current</v>
          </cell>
          <cell r="C47">
            <v>1346</v>
          </cell>
          <cell r="D47">
            <v>0.16688339835283927</v>
          </cell>
          <cell r="E47">
            <v>1320.05</v>
          </cell>
          <cell r="F47">
            <v>-1.9279346210995585E-2</v>
          </cell>
          <cell r="G47">
            <v>1258</v>
          </cell>
          <cell r="H47">
            <v>-4.7005795235028902E-2</v>
          </cell>
          <cell r="I47">
            <v>1173.37546275</v>
          </cell>
          <cell r="J47">
            <v>-6.726910751192372E-2</v>
          </cell>
          <cell r="K47">
            <v>1139.9282839554037</v>
          </cell>
          <cell r="L47">
            <v>-2.8505094793960795E-2</v>
          </cell>
          <cell r="M47">
            <v>1113.6672499945955</v>
          </cell>
        </row>
        <row r="48">
          <cell r="B48" t="str">
            <v xml:space="preserve">   Prior</v>
          </cell>
          <cell r="C48">
            <v>1346</v>
          </cell>
          <cell r="D48">
            <v>1321.4</v>
          </cell>
          <cell r="E48">
            <v>1320.05</v>
          </cell>
          <cell r="F48">
            <v>-1.9279346210995585E-2</v>
          </cell>
          <cell r="G48">
            <v>1258</v>
          </cell>
          <cell r="H48">
            <v>-4.7005795235028902E-2</v>
          </cell>
          <cell r="I48">
            <v>1224.4789892499998</v>
          </cell>
          <cell r="J48">
            <v>-2.6646272456279929E-2</v>
          </cell>
          <cell r="K48">
            <v>1203.3582650456426</v>
          </cell>
          <cell r="L48">
            <v>-1.724874366141127E-2</v>
          </cell>
          <cell r="M48">
            <v>1177.2812195978543</v>
          </cell>
        </row>
        <row r="49">
          <cell r="B49" t="str">
            <v>Cash Flow (Burn)</v>
          </cell>
          <cell r="O49" t="str">
            <v>Expect major future use of cash to remain share buybacks.</v>
          </cell>
        </row>
        <row r="50">
          <cell r="B50" t="str">
            <v xml:space="preserve">   Current</v>
          </cell>
          <cell r="C50">
            <v>2209.7999999999993</v>
          </cell>
          <cell r="E50">
            <v>2361</v>
          </cell>
          <cell r="G50">
            <v>4044</v>
          </cell>
          <cell r="I50">
            <v>1546.8396302380957</v>
          </cell>
          <cell r="K50">
            <v>3846.2174306950965</v>
          </cell>
          <cell r="M50">
            <v>4301.980800635979</v>
          </cell>
        </row>
        <row r="51">
          <cell r="B51" t="str">
            <v xml:space="preserve">   Prior</v>
          </cell>
          <cell r="C51">
            <v>2209.8000000000002</v>
          </cell>
          <cell r="E51">
            <v>2361</v>
          </cell>
          <cell r="G51">
            <v>4044</v>
          </cell>
          <cell r="I51">
            <v>1991.8408502380951</v>
          </cell>
          <cell r="K51">
            <v>4169.2864625840475</v>
          </cell>
          <cell r="M51">
            <v>4542.0155215014902</v>
          </cell>
        </row>
      </sheetData>
      <sheetData sheetId="3" refreshError="1">
        <row r="2">
          <cell r="B2" t="str">
            <v>Earnings Snapshot</v>
          </cell>
        </row>
        <row r="3">
          <cell r="C3" t="str">
            <v>1Q05</v>
          </cell>
          <cell r="D3" t="str">
            <v>1Q06</v>
          </cell>
          <cell r="E3" t="str">
            <v>1Q06</v>
          </cell>
          <cell r="F3" t="str">
            <v>% var.</v>
          </cell>
          <cell r="G3" t="str">
            <v>Y/Y</v>
          </cell>
        </row>
        <row r="4">
          <cell r="C4" t="str">
            <v>Actual</v>
          </cell>
          <cell r="D4" t="str">
            <v>MS Est</v>
          </cell>
          <cell r="E4" t="str">
            <v>Actual</v>
          </cell>
          <cell r="F4" t="str">
            <v>from est.</v>
          </cell>
          <cell r="G4" t="str">
            <v>% chg.</v>
          </cell>
          <cell r="H4" t="str">
            <v>Comments</v>
          </cell>
        </row>
        <row r="5">
          <cell r="B5" t="str">
            <v>Revenues:</v>
          </cell>
        </row>
        <row r="6">
          <cell r="B6" t="str">
            <v>Epogen</v>
          </cell>
          <cell r="C6">
            <v>583</v>
          </cell>
          <cell r="D6">
            <v>610</v>
          </cell>
          <cell r="E6">
            <v>604</v>
          </cell>
          <cell r="F6">
            <v>-9.8360655737704805E-3</v>
          </cell>
          <cell r="G6">
            <v>3.6020583190394584E-2</v>
          </cell>
        </row>
        <row r="7">
          <cell r="B7" t="str">
            <v xml:space="preserve">Aranesp - US </v>
          </cell>
          <cell r="C7">
            <v>447</v>
          </cell>
          <cell r="D7">
            <v>615</v>
          </cell>
          <cell r="E7">
            <v>596</v>
          </cell>
          <cell r="F7">
            <v>-3.0894308943089421E-2</v>
          </cell>
          <cell r="G7">
            <v>0.33333333333333326</v>
          </cell>
          <cell r="H7" t="str">
            <v xml:space="preserve">Consistent with weak IMS trends for 1Q, as physician inventory drawdowns likely weighed on early quarter results.  Wholesale inventories ended 1Q modestly below trend. </v>
          </cell>
        </row>
        <row r="8">
          <cell r="B8" t="str">
            <v>Aranesp - ex US</v>
          </cell>
          <cell r="C8">
            <v>276</v>
          </cell>
          <cell r="D8">
            <v>310</v>
          </cell>
          <cell r="E8">
            <v>297</v>
          </cell>
          <cell r="F8">
            <v>-4.1935483870967794E-2</v>
          </cell>
          <cell r="G8">
            <v>7.6086956521739024E-2</v>
          </cell>
        </row>
        <row r="9">
          <cell r="B9" t="str">
            <v>Neupogen -WW</v>
          </cell>
          <cell r="C9">
            <v>294</v>
          </cell>
          <cell r="D9">
            <v>310</v>
          </cell>
          <cell r="E9">
            <v>288</v>
          </cell>
          <cell r="F9">
            <v>-7.096774193548383E-2</v>
          </cell>
          <cell r="G9">
            <v>-2.0408163265306145E-2</v>
          </cell>
        </row>
        <row r="10">
          <cell r="B10" t="str">
            <v>Neulasta - WW</v>
          </cell>
          <cell r="C10">
            <v>501</v>
          </cell>
          <cell r="D10">
            <v>640</v>
          </cell>
          <cell r="E10">
            <v>608</v>
          </cell>
          <cell r="F10">
            <v>-5.0000000000000044E-2</v>
          </cell>
          <cell r="G10">
            <v>0.21357285429141726</v>
          </cell>
          <cell r="H10" t="str">
            <v xml:space="preserve">Consistent with weak IMS trends for 1Q, as physician inventory drawdowns likely weighed on early quarter results.  Wholesale inventories ended 1Q modestly below trend. </v>
          </cell>
        </row>
        <row r="11">
          <cell r="B11" t="str">
            <v>Enbrel</v>
          </cell>
          <cell r="C11">
            <v>592</v>
          </cell>
          <cell r="D11">
            <v>710</v>
          </cell>
          <cell r="E11">
            <v>658</v>
          </cell>
          <cell r="F11">
            <v>-7.3239436619718323E-2</v>
          </cell>
          <cell r="G11">
            <v>0.1114864864864864</v>
          </cell>
          <cell r="H11" t="str">
            <v>Weakness due to competitive pressures in anti-TNF market with slowing market growth and meaningful share loss</v>
          </cell>
        </row>
        <row r="12">
          <cell r="B12" t="str">
            <v>Sensipar</v>
          </cell>
          <cell r="C12">
            <v>25</v>
          </cell>
          <cell r="D12">
            <v>56</v>
          </cell>
          <cell r="E12">
            <v>61</v>
          </cell>
          <cell r="F12">
            <v>8.9285714285714191E-2</v>
          </cell>
        </row>
        <row r="13">
          <cell r="B13" t="str">
            <v>Other Revenue</v>
          </cell>
          <cell r="C13">
            <v>111</v>
          </cell>
          <cell r="D13">
            <v>110</v>
          </cell>
          <cell r="E13">
            <v>92</v>
          </cell>
          <cell r="F13">
            <v>-0.16363636363636369</v>
          </cell>
          <cell r="G13">
            <v>-0.1711711711711712</v>
          </cell>
        </row>
        <row r="14">
          <cell r="B14" t="str">
            <v>Total Revenues</v>
          </cell>
          <cell r="C14">
            <v>2833</v>
          </cell>
          <cell r="D14">
            <v>3376</v>
          </cell>
          <cell r="E14">
            <v>3217</v>
          </cell>
          <cell r="F14">
            <v>-4.7097156398104301E-2</v>
          </cell>
          <cell r="G14">
            <v>0.13554535827744441</v>
          </cell>
        </row>
        <row r="15">
          <cell r="B15" t="str">
            <v>Operating Expenses:</v>
          </cell>
        </row>
        <row r="16">
          <cell r="B16" t="str">
            <v xml:space="preserve">   Cost of Product Revenue</v>
          </cell>
          <cell r="C16">
            <v>489</v>
          </cell>
          <cell r="D16">
            <v>559.34100000000001</v>
          </cell>
          <cell r="E16">
            <v>552</v>
          </cell>
          <cell r="F16">
            <v>-1.312437314625603E-2</v>
          </cell>
          <cell r="G16">
            <v>0.12883435582822078</v>
          </cell>
        </row>
        <row r="17">
          <cell r="B17" t="str">
            <v xml:space="preserve">   R&amp;D</v>
          </cell>
          <cell r="C17">
            <v>521</v>
          </cell>
          <cell r="D17">
            <v>675</v>
          </cell>
          <cell r="E17">
            <v>624</v>
          </cell>
          <cell r="F17">
            <v>-7.5555555555555598E-2</v>
          </cell>
          <cell r="G17">
            <v>0.19769673704414581</v>
          </cell>
          <cell r="H17" t="str">
            <v>R&amp;D expected to ramp significantly over rest of year</v>
          </cell>
        </row>
        <row r="18">
          <cell r="B18" t="str">
            <v xml:space="preserve">   SG&amp;A</v>
          </cell>
          <cell r="C18">
            <v>577</v>
          </cell>
          <cell r="D18">
            <v>666.76</v>
          </cell>
          <cell r="E18">
            <v>652</v>
          </cell>
          <cell r="F18">
            <v>-2.21369008338832E-2</v>
          </cell>
          <cell r="G18">
            <v>0.12998266897746968</v>
          </cell>
        </row>
        <row r="19">
          <cell r="B19" t="str">
            <v>Total Operating Expenses</v>
          </cell>
          <cell r="C19">
            <v>1587</v>
          </cell>
          <cell r="D19">
            <v>1901.1009999999999</v>
          </cell>
          <cell r="E19">
            <v>1828</v>
          </cell>
          <cell r="F19">
            <v>-3.8451928645558464E-2</v>
          </cell>
          <cell r="G19">
            <v>0.15185885318210457</v>
          </cell>
        </row>
        <row r="20">
          <cell r="B20" t="str">
            <v>Operating Income (Loss)</v>
          </cell>
          <cell r="C20">
            <v>1246</v>
          </cell>
          <cell r="D20">
            <v>1474.8990000000001</v>
          </cell>
          <cell r="E20">
            <v>1389</v>
          </cell>
          <cell r="F20">
            <v>-5.8240598169773006E-2</v>
          </cell>
          <cell r="G20">
            <v>0.1147672552166934</v>
          </cell>
        </row>
        <row r="21">
          <cell r="B21" t="str">
            <v xml:space="preserve">   Net Other Income</v>
          </cell>
          <cell r="C21">
            <v>10</v>
          </cell>
          <cell r="D21">
            <v>-4</v>
          </cell>
          <cell r="E21">
            <v>80</v>
          </cell>
          <cell r="F21">
            <v>-21</v>
          </cell>
          <cell r="G21">
            <v>7</v>
          </cell>
          <cell r="H21" t="str">
            <v>Significant increase to interest income following debt offering</v>
          </cell>
        </row>
        <row r="22">
          <cell r="B22" t="str">
            <v xml:space="preserve">   Tax Rate</v>
          </cell>
          <cell r="C22">
            <v>332</v>
          </cell>
          <cell r="D22">
            <v>353.01576</v>
          </cell>
          <cell r="E22">
            <v>368</v>
          </cell>
          <cell r="F22">
            <v>4.2446376898300553E-2</v>
          </cell>
          <cell r="G22">
            <v>0.10843373493975905</v>
          </cell>
        </row>
        <row r="23">
          <cell r="B23" t="str">
            <v xml:space="preserve">Net Income (Loss)                   </v>
          </cell>
          <cell r="C23">
            <v>924</v>
          </cell>
          <cell r="D23">
            <v>1117.8832400000001</v>
          </cell>
          <cell r="E23">
            <v>1101</v>
          </cell>
          <cell r="F23">
            <v>-1.5102865304609248E-2</v>
          </cell>
          <cell r="G23">
            <v>0.19155844155844148</v>
          </cell>
        </row>
        <row r="24">
          <cell r="B24" t="str">
            <v>EPS, Basic</v>
          </cell>
          <cell r="C24">
            <v>0.73979183346677346</v>
          </cell>
          <cell r="D24">
            <v>0.90958766476810426</v>
          </cell>
          <cell r="E24">
            <v>0.91597337770382692</v>
          </cell>
          <cell r="F24">
            <v>7.0204480371340861E-3</v>
          </cell>
          <cell r="G24">
            <v>0.23815016098709929</v>
          </cell>
        </row>
        <row r="25">
          <cell r="B25" t="str">
            <v>EPS, Diluted</v>
          </cell>
          <cell r="C25">
            <v>0.72024709302325585</v>
          </cell>
          <cell r="D25">
            <v>0.90014741753821415</v>
          </cell>
          <cell r="E25">
            <v>0.90691927512355852</v>
          </cell>
          <cell r="F25">
            <v>7.5230539502790794E-3</v>
          </cell>
          <cell r="G25">
            <v>0.25917797365448769</v>
          </cell>
        </row>
        <row r="26">
          <cell r="B26" t="str">
            <v>Consensus EPS</v>
          </cell>
          <cell r="D26">
            <v>0.88</v>
          </cell>
        </row>
        <row r="27">
          <cell r="B27" t="str">
            <v xml:space="preserve">Basic Shares Outstanding </v>
          </cell>
          <cell r="C27">
            <v>1249</v>
          </cell>
          <cell r="D27">
            <v>1229</v>
          </cell>
          <cell r="E27">
            <v>1202</v>
          </cell>
          <cell r="F27">
            <v>-2.1969080553295384E-2</v>
          </cell>
          <cell r="G27">
            <v>-3.7630104083266613E-2</v>
          </cell>
          <cell r="H27" t="str">
            <v>Company purchased 47 M shares in 1Q</v>
          </cell>
        </row>
        <row r="28">
          <cell r="B28" t="str">
            <v>Diluted Shares Outstanding</v>
          </cell>
          <cell r="C28">
            <v>1290</v>
          </cell>
          <cell r="D28">
            <v>1243</v>
          </cell>
          <cell r="E28">
            <v>1214</v>
          </cell>
          <cell r="F28">
            <v>-2.3330651649235756E-2</v>
          </cell>
          <cell r="G28">
            <v>-5.8914728682170514E-2</v>
          </cell>
        </row>
        <row r="30">
          <cell r="B30" t="str">
            <v>Source: Company data and Morgan Stanley Research</v>
          </cell>
        </row>
      </sheetData>
      <sheetData sheetId="4" refreshError="1">
        <row r="1">
          <cell r="B1" t="str">
            <v>Amgen Quarterly Income Statement</v>
          </cell>
        </row>
        <row r="2">
          <cell r="B2" t="str">
            <v>(Dollars in millions except per-share data)</v>
          </cell>
        </row>
        <row r="4">
          <cell r="C4" t="str">
            <v>1Q02A</v>
          </cell>
          <cell r="D4" t="str">
            <v>2Q02A</v>
          </cell>
          <cell r="E4" t="str">
            <v>3Q02A</v>
          </cell>
          <cell r="F4" t="str">
            <v>4Q02A</v>
          </cell>
          <cell r="G4" t="str">
            <v>2002A</v>
          </cell>
          <cell r="I4" t="str">
            <v>1Q03A</v>
          </cell>
          <cell r="K4" t="str">
            <v>2Q03A</v>
          </cell>
          <cell r="M4" t="str">
            <v>3Q03A</v>
          </cell>
          <cell r="O4" t="str">
            <v>4Q03A</v>
          </cell>
          <cell r="Q4" t="str">
            <v>2003A</v>
          </cell>
          <cell r="T4" t="str">
            <v>1Q04A</v>
          </cell>
          <cell r="U4" t="str">
            <v>% chg</v>
          </cell>
          <cell r="V4" t="str">
            <v>2Q04A</v>
          </cell>
          <cell r="W4" t="str">
            <v>% chg</v>
          </cell>
          <cell r="X4" t="str">
            <v>3Q04A</v>
          </cell>
          <cell r="Y4" t="str">
            <v>% chg</v>
          </cell>
          <cell r="Z4" t="str">
            <v>4Q04A</v>
          </cell>
          <cell r="AA4" t="str">
            <v>% chg</v>
          </cell>
          <cell r="AB4" t="str">
            <v>2004A</v>
          </cell>
          <cell r="AC4" t="str">
            <v>% chg</v>
          </cell>
          <cell r="AF4" t="str">
            <v>1Q05A</v>
          </cell>
          <cell r="AG4" t="str">
            <v>% chg</v>
          </cell>
          <cell r="AH4" t="str">
            <v>2Q05A</v>
          </cell>
          <cell r="AI4" t="str">
            <v>% chg</v>
          </cell>
          <cell r="AJ4" t="str">
            <v>3Q05A</v>
          </cell>
          <cell r="AK4" t="str">
            <v>% chg</v>
          </cell>
          <cell r="AL4" t="str">
            <v>4Q05A</v>
          </cell>
          <cell r="AM4" t="str">
            <v>% chg</v>
          </cell>
          <cell r="AN4" t="str">
            <v>2005A</v>
          </cell>
          <cell r="AO4" t="str">
            <v>% chg</v>
          </cell>
          <cell r="AR4" t="str">
            <v>1Q06A</v>
          </cell>
          <cell r="AS4" t="str">
            <v>% chg</v>
          </cell>
          <cell r="AT4" t="str">
            <v>2Q06E</v>
          </cell>
          <cell r="AU4" t="str">
            <v>% chg</v>
          </cell>
          <cell r="AV4" t="str">
            <v>3Q06E</v>
          </cell>
          <cell r="AW4" t="str">
            <v>% chg</v>
          </cell>
          <cell r="AX4" t="str">
            <v>4Q06E</v>
          </cell>
          <cell r="AY4" t="str">
            <v>% chg</v>
          </cell>
          <cell r="AZ4" t="str">
            <v>2006E</v>
          </cell>
          <cell r="BA4" t="str">
            <v>% chg</v>
          </cell>
          <cell r="BB4" t="str">
            <v>guidance</v>
          </cell>
        </row>
        <row r="5">
          <cell r="B5" t="str">
            <v>Epogen</v>
          </cell>
          <cell r="C5">
            <v>512</v>
          </cell>
          <cell r="D5">
            <v>570</v>
          </cell>
          <cell r="E5">
            <v>558</v>
          </cell>
          <cell r="F5">
            <v>620</v>
          </cell>
          <cell r="G5">
            <v>2260</v>
          </cell>
          <cell r="I5">
            <v>547.1</v>
          </cell>
          <cell r="K5">
            <v>611.1</v>
          </cell>
          <cell r="M5">
            <v>625.9</v>
          </cell>
          <cell r="O5">
            <v>650.59999999999991</v>
          </cell>
          <cell r="Q5">
            <v>2434.6999999999998</v>
          </cell>
          <cell r="T5">
            <v>590</v>
          </cell>
          <cell r="U5">
            <v>7.8413452750868196E-2</v>
          </cell>
          <cell r="V5">
            <v>632.6</v>
          </cell>
          <cell r="W5">
            <v>3.5182457862870331E-2</v>
          </cell>
          <cell r="X5">
            <v>681</v>
          </cell>
          <cell r="Y5">
            <v>8.8033232145710238E-2</v>
          </cell>
          <cell r="Z5">
            <v>697</v>
          </cell>
          <cell r="AA5">
            <v>7.1318782662158187E-2</v>
          </cell>
          <cell r="AB5">
            <v>2600.6</v>
          </cell>
          <cell r="AC5">
            <v>6.8139811886474666E-2</v>
          </cell>
          <cell r="AF5">
            <v>583</v>
          </cell>
          <cell r="AG5">
            <v>-1.1864406779661052E-2</v>
          </cell>
          <cell r="AH5">
            <v>647</v>
          </cell>
          <cell r="AI5">
            <v>2.2763199494151065E-2</v>
          </cell>
          <cell r="AJ5">
            <v>599</v>
          </cell>
          <cell r="AK5">
            <v>-0.1204111600587372</v>
          </cell>
          <cell r="AL5">
            <v>626</v>
          </cell>
          <cell r="AM5">
            <v>-0.10186513629842175</v>
          </cell>
          <cell r="AN5">
            <v>2455</v>
          </cell>
          <cell r="AO5">
            <v>-5.598707990463736E-2</v>
          </cell>
          <cell r="AR5">
            <v>604</v>
          </cell>
          <cell r="AS5">
            <v>3.6020583190394584E-2</v>
          </cell>
          <cell r="AT5">
            <v>630</v>
          </cell>
          <cell r="AU5">
            <v>-2.6275115919629055E-2</v>
          </cell>
          <cell r="AV5">
            <v>640</v>
          </cell>
          <cell r="AW5">
            <v>6.8447412353923154E-2</v>
          </cell>
          <cell r="AX5">
            <v>640</v>
          </cell>
          <cell r="AY5">
            <v>2.2364217252396124E-2</v>
          </cell>
          <cell r="AZ5">
            <v>2514</v>
          </cell>
          <cell r="BA5">
            <v>2.4032586558044855E-2</v>
          </cell>
        </row>
        <row r="6">
          <cell r="B6" t="str">
            <v xml:space="preserve">Aranesp - US </v>
          </cell>
          <cell r="F6">
            <v>150</v>
          </cell>
          <cell r="I6">
            <v>157.9</v>
          </cell>
          <cell r="K6">
            <v>216.6</v>
          </cell>
          <cell r="M6">
            <v>283.89999999999998</v>
          </cell>
          <cell r="O6">
            <v>321.5</v>
          </cell>
          <cell r="Q6">
            <v>979.9</v>
          </cell>
          <cell r="T6">
            <v>329.6</v>
          </cell>
          <cell r="V6">
            <v>380.7</v>
          </cell>
          <cell r="X6">
            <v>374</v>
          </cell>
          <cell r="Z6">
            <v>449</v>
          </cell>
          <cell r="AA6">
            <v>0.39657853810264387</v>
          </cell>
          <cell r="AB6">
            <v>1533.3</v>
          </cell>
          <cell r="AF6">
            <v>447</v>
          </cell>
          <cell r="AG6">
            <v>0.3561893203883495</v>
          </cell>
          <cell r="AH6">
            <v>536</v>
          </cell>
          <cell r="AI6">
            <v>0.40793275545048591</v>
          </cell>
          <cell r="AJ6">
            <v>542</v>
          </cell>
          <cell r="AK6">
            <v>0.44919786096256686</v>
          </cell>
          <cell r="AL6">
            <v>579</v>
          </cell>
          <cell r="AM6">
            <v>0.28953229398663693</v>
          </cell>
          <cell r="AN6">
            <v>2104</v>
          </cell>
          <cell r="AO6">
            <v>0.37220374355964259</v>
          </cell>
          <cell r="AR6">
            <v>596</v>
          </cell>
          <cell r="AS6">
            <v>0.33333333333333326</v>
          </cell>
          <cell r="AT6">
            <v>645</v>
          </cell>
          <cell r="AU6">
            <v>0.20335820895522394</v>
          </cell>
          <cell r="AV6">
            <v>665</v>
          </cell>
          <cell r="AW6">
            <v>0.22693726937269365</v>
          </cell>
          <cell r="AX6">
            <v>690</v>
          </cell>
          <cell r="AY6">
            <v>0.19170984455958551</v>
          </cell>
          <cell r="AZ6">
            <v>2596</v>
          </cell>
          <cell r="BA6">
            <v>0.23384030418250945</v>
          </cell>
        </row>
        <row r="7">
          <cell r="B7" t="str">
            <v>Aranesp - ex US</v>
          </cell>
          <cell r="F7">
            <v>57</v>
          </cell>
          <cell r="I7">
            <v>96.9</v>
          </cell>
          <cell r="K7">
            <v>131.1</v>
          </cell>
          <cell r="M7">
            <v>154.4</v>
          </cell>
          <cell r="O7">
            <v>181.5</v>
          </cell>
          <cell r="Q7">
            <v>563.9</v>
          </cell>
          <cell r="T7">
            <v>213</v>
          </cell>
          <cell r="V7">
            <v>236.6</v>
          </cell>
          <cell r="X7">
            <v>234</v>
          </cell>
          <cell r="Z7">
            <v>256</v>
          </cell>
          <cell r="AA7">
            <v>0.41046831955922869</v>
          </cell>
          <cell r="AB7">
            <v>939.6</v>
          </cell>
          <cell r="AF7">
            <v>276</v>
          </cell>
          <cell r="AG7">
            <v>0.29577464788732399</v>
          </cell>
          <cell r="AH7">
            <v>301</v>
          </cell>
          <cell r="AI7">
            <v>0.27218934911242609</v>
          </cell>
          <cell r="AJ7">
            <v>298</v>
          </cell>
          <cell r="AK7">
            <v>0.27350427350427342</v>
          </cell>
          <cell r="AL7">
            <v>294</v>
          </cell>
          <cell r="AM7">
            <v>0.1484375</v>
          </cell>
          <cell r="AN7">
            <v>1169</v>
          </cell>
          <cell r="AO7">
            <v>0.2441464452958706</v>
          </cell>
          <cell r="AR7">
            <v>297</v>
          </cell>
          <cell r="AS7">
            <v>7.6086956521739024E-2</v>
          </cell>
          <cell r="AT7">
            <v>320</v>
          </cell>
          <cell r="AU7">
            <v>6.3122923588039948E-2</v>
          </cell>
          <cell r="AV7">
            <v>340</v>
          </cell>
          <cell r="AW7">
            <v>0.14093959731543615</v>
          </cell>
          <cell r="AX7">
            <v>360</v>
          </cell>
          <cell r="AY7">
            <v>0.22448979591836737</v>
          </cell>
          <cell r="AZ7">
            <v>1317</v>
          </cell>
          <cell r="BA7">
            <v>0.1266039349871686</v>
          </cell>
        </row>
        <row r="8">
          <cell r="B8" t="str">
            <v>Aranesp-WW</v>
          </cell>
          <cell r="C8">
            <v>39</v>
          </cell>
          <cell r="D8">
            <v>56</v>
          </cell>
          <cell r="E8">
            <v>114</v>
          </cell>
          <cell r="F8">
            <v>207</v>
          </cell>
          <cell r="G8">
            <v>416</v>
          </cell>
          <cell r="I8">
            <v>254.8</v>
          </cell>
          <cell r="K8">
            <v>347.7</v>
          </cell>
          <cell r="M8">
            <v>438.29999999999995</v>
          </cell>
          <cell r="O8">
            <v>503</v>
          </cell>
          <cell r="Q8">
            <v>1543.8</v>
          </cell>
          <cell r="T8">
            <v>542.6</v>
          </cell>
          <cell r="U8">
            <v>1.1295133437990579</v>
          </cell>
          <cell r="V8">
            <v>617.29999999999995</v>
          </cell>
          <cell r="W8">
            <v>0.77538107563991931</v>
          </cell>
          <cell r="X8">
            <v>608</v>
          </cell>
          <cell r="Y8">
            <v>0.38717773214693141</v>
          </cell>
          <cell r="Z8">
            <v>705</v>
          </cell>
          <cell r="AA8">
            <v>0.40159045725646125</v>
          </cell>
          <cell r="AB8">
            <v>2472.9</v>
          </cell>
          <cell r="AC8">
            <v>0.60182666148464836</v>
          </cell>
          <cell r="AF8">
            <v>723</v>
          </cell>
          <cell r="AG8">
            <v>0.33247327681533356</v>
          </cell>
          <cell r="AH8">
            <v>837</v>
          </cell>
          <cell r="AI8">
            <v>0.35590474647659165</v>
          </cell>
          <cell r="AJ8">
            <v>840</v>
          </cell>
          <cell r="AK8">
            <v>0.38157894736842102</v>
          </cell>
          <cell r="AL8">
            <v>873</v>
          </cell>
          <cell r="AM8">
            <v>0.23829787234042543</v>
          </cell>
          <cell r="AN8">
            <v>3273</v>
          </cell>
          <cell r="AO8">
            <v>0.32354725221399971</v>
          </cell>
          <cell r="AR8">
            <v>893</v>
          </cell>
          <cell r="AS8">
            <v>0.23513139695712315</v>
          </cell>
          <cell r="AT8">
            <v>965</v>
          </cell>
          <cell r="AU8">
            <v>0.15292712066905612</v>
          </cell>
          <cell r="AV8">
            <v>1005</v>
          </cell>
          <cell r="AW8">
            <v>0.1964285714285714</v>
          </cell>
          <cell r="AX8">
            <v>1050</v>
          </cell>
          <cell r="AY8">
            <v>0.20274914089347074</v>
          </cell>
          <cell r="AZ8">
            <v>3913</v>
          </cell>
          <cell r="BA8">
            <v>0.19553926061717086</v>
          </cell>
        </row>
        <row r="9">
          <cell r="B9" t="str">
            <v xml:space="preserve">    Neupogen - US</v>
          </cell>
          <cell r="M9">
            <v>227.9</v>
          </cell>
          <cell r="O9">
            <v>225.3</v>
          </cell>
          <cell r="Q9">
            <v>880.5</v>
          </cell>
          <cell r="T9">
            <v>172.3</v>
          </cell>
          <cell r="V9">
            <v>194.5</v>
          </cell>
          <cell r="X9">
            <v>207</v>
          </cell>
          <cell r="Y9">
            <v>-9.1706888986397561E-2</v>
          </cell>
          <cell r="Z9">
            <v>204</v>
          </cell>
          <cell r="AA9">
            <v>-9.4540612516644473E-2</v>
          </cell>
          <cell r="AB9">
            <v>777.8</v>
          </cell>
          <cell r="AC9">
            <v>-0.11663827370812041</v>
          </cell>
          <cell r="AF9">
            <v>182</v>
          </cell>
          <cell r="AG9">
            <v>5.6297156123041203E-2</v>
          </cell>
          <cell r="AH9">
            <v>208</v>
          </cell>
          <cell r="AI9">
            <v>6.9408740359897081E-2</v>
          </cell>
          <cell r="AJ9">
            <v>205</v>
          </cell>
          <cell r="AK9">
            <v>-9.6618357487923134E-3</v>
          </cell>
          <cell r="AL9">
            <v>210</v>
          </cell>
          <cell r="AM9">
            <v>2.9411764705882248E-2</v>
          </cell>
          <cell r="AN9">
            <v>805</v>
          </cell>
          <cell r="AO9">
            <v>3.4970429416302462E-2</v>
          </cell>
          <cell r="AR9">
            <v>191</v>
          </cell>
          <cell r="AS9">
            <v>4.9450549450549497E-2</v>
          </cell>
          <cell r="AT9">
            <v>201</v>
          </cell>
          <cell r="AV9">
            <v>210</v>
          </cell>
          <cell r="AX9">
            <v>206.99999999999997</v>
          </cell>
          <cell r="AZ9">
            <v>809</v>
          </cell>
        </row>
        <row r="10">
          <cell r="B10" t="str">
            <v xml:space="preserve">    Neupogen - ex US</v>
          </cell>
          <cell r="M10">
            <v>102.5</v>
          </cell>
          <cell r="O10">
            <v>96.2</v>
          </cell>
          <cell r="Q10">
            <v>386.2</v>
          </cell>
          <cell r="T10">
            <v>96.7</v>
          </cell>
          <cell r="V10">
            <v>100.7</v>
          </cell>
          <cell r="X10">
            <v>95</v>
          </cell>
          <cell r="Y10">
            <v>-7.3170731707317027E-2</v>
          </cell>
          <cell r="Z10">
            <v>105</v>
          </cell>
          <cell r="AA10">
            <v>9.1476091476091481E-2</v>
          </cell>
          <cell r="AB10">
            <v>397.4</v>
          </cell>
          <cell r="AC10">
            <v>2.9000517866390352E-2</v>
          </cell>
          <cell r="AF10">
            <v>112</v>
          </cell>
          <cell r="AG10">
            <v>0.15822130299896586</v>
          </cell>
          <cell r="AH10">
            <v>104</v>
          </cell>
          <cell r="AI10">
            <v>3.2770605759682159E-2</v>
          </cell>
          <cell r="AJ10">
            <v>100</v>
          </cell>
          <cell r="AK10">
            <v>5.2631578947368363E-2</v>
          </cell>
          <cell r="AL10">
            <v>95</v>
          </cell>
          <cell r="AM10">
            <v>-9.5238095238095233E-2</v>
          </cell>
          <cell r="AN10">
            <v>411</v>
          </cell>
          <cell r="AO10">
            <v>3.4222445898339338E-2</v>
          </cell>
          <cell r="AR10">
            <v>97</v>
          </cell>
          <cell r="AS10">
            <v>-0.1339285714285714</v>
          </cell>
          <cell r="AT10">
            <v>98.999999999999986</v>
          </cell>
          <cell r="AV10">
            <v>90.000000000000014</v>
          </cell>
          <cell r="AX10">
            <v>93.000000000000014</v>
          </cell>
          <cell r="AZ10">
            <v>379</v>
          </cell>
        </row>
        <row r="11">
          <cell r="B11" t="str">
            <v>Neupogen -WW</v>
          </cell>
          <cell r="C11">
            <v>355</v>
          </cell>
          <cell r="D11">
            <v>363</v>
          </cell>
          <cell r="E11">
            <v>332</v>
          </cell>
          <cell r="F11">
            <v>329</v>
          </cell>
          <cell r="G11">
            <v>1379</v>
          </cell>
          <cell r="I11">
            <v>284</v>
          </cell>
          <cell r="K11">
            <v>330.8</v>
          </cell>
          <cell r="M11">
            <v>330.4</v>
          </cell>
          <cell r="O11">
            <v>321.5</v>
          </cell>
          <cell r="Q11">
            <v>1266.7</v>
          </cell>
          <cell r="T11">
            <v>269</v>
          </cell>
          <cell r="U11">
            <v>-5.2816901408450745E-2</v>
          </cell>
          <cell r="V11">
            <v>295.2</v>
          </cell>
          <cell r="W11">
            <v>-0.10761789600967353</v>
          </cell>
          <cell r="X11">
            <v>302</v>
          </cell>
          <cell r="Y11">
            <v>-8.5956416464890939E-2</v>
          </cell>
          <cell r="Z11">
            <v>309</v>
          </cell>
          <cell r="AA11">
            <v>-3.8880248833592534E-2</v>
          </cell>
          <cell r="AB11">
            <v>1175.1999999999998</v>
          </cell>
          <cell r="AC11">
            <v>-7.2234941185758461E-2</v>
          </cell>
          <cell r="AF11">
            <v>294</v>
          </cell>
          <cell r="AG11">
            <v>9.2936802973977661E-2</v>
          </cell>
          <cell r="AH11">
            <v>312</v>
          </cell>
          <cell r="AI11">
            <v>5.6910569105691033E-2</v>
          </cell>
          <cell r="AJ11">
            <v>305</v>
          </cell>
          <cell r="AK11">
            <v>9.9337748344370258E-3</v>
          </cell>
          <cell r="AL11">
            <v>305</v>
          </cell>
          <cell r="AM11">
            <v>-1.2944983818770184E-2</v>
          </cell>
          <cell r="AN11">
            <v>1216</v>
          </cell>
          <cell r="AO11">
            <v>3.4717494894486167E-2</v>
          </cell>
          <cell r="AR11">
            <v>288</v>
          </cell>
          <cell r="AS11">
            <v>-2.0408163265306145E-2</v>
          </cell>
          <cell r="AT11">
            <v>300</v>
          </cell>
          <cell r="AU11">
            <v>-3.8461538461538436E-2</v>
          </cell>
          <cell r="AV11">
            <v>300</v>
          </cell>
          <cell r="AW11">
            <v>-1.6393442622950838E-2</v>
          </cell>
          <cell r="AX11">
            <v>300</v>
          </cell>
          <cell r="AY11">
            <v>-1.6393442622950838E-2</v>
          </cell>
          <cell r="AZ11">
            <v>1188</v>
          </cell>
          <cell r="BA11">
            <v>-2.3026315789473673E-2</v>
          </cell>
        </row>
        <row r="12">
          <cell r="B12" t="str">
            <v xml:space="preserve">    Neulasta - US</v>
          </cell>
          <cell r="M12">
            <v>304.3</v>
          </cell>
          <cell r="O12">
            <v>328</v>
          </cell>
          <cell r="Q12">
            <v>1175.7</v>
          </cell>
          <cell r="T12">
            <v>336.3</v>
          </cell>
          <cell r="V12">
            <v>362.2</v>
          </cell>
          <cell r="X12">
            <v>384</v>
          </cell>
          <cell r="Y12">
            <v>0.26191258626355562</v>
          </cell>
          <cell r="Z12">
            <v>394</v>
          </cell>
          <cell r="AA12">
            <v>0.20121951219512191</v>
          </cell>
          <cell r="AB12">
            <v>1476.5</v>
          </cell>
          <cell r="AC12">
            <v>0.25584758016500797</v>
          </cell>
          <cell r="AF12">
            <v>416</v>
          </cell>
          <cell r="AG12">
            <v>0.23699078203984536</v>
          </cell>
          <cell r="AH12">
            <v>490</v>
          </cell>
          <cell r="AI12">
            <v>0.35284373274434011</v>
          </cell>
          <cell r="AJ12">
            <v>475</v>
          </cell>
          <cell r="AK12">
            <v>0.23697916666666674</v>
          </cell>
          <cell r="AL12">
            <v>519</v>
          </cell>
          <cell r="AM12">
            <v>0.31725888324873086</v>
          </cell>
          <cell r="AN12">
            <v>1900</v>
          </cell>
          <cell r="AO12">
            <v>0.28682695563833382</v>
          </cell>
          <cell r="AR12">
            <v>497</v>
          </cell>
          <cell r="AS12">
            <v>0.19471153846153855</v>
          </cell>
          <cell r="AT12">
            <v>531.19999999999993</v>
          </cell>
          <cell r="AV12">
            <v>543.59375</v>
          </cell>
          <cell r="AX12">
            <v>572.69999999999993</v>
          </cell>
          <cell r="AZ12">
            <v>2144.4937499999996</v>
          </cell>
        </row>
        <row r="13">
          <cell r="B13" t="str">
            <v xml:space="preserve">    Neulasta - ex US</v>
          </cell>
          <cell r="M13">
            <v>22.6</v>
          </cell>
          <cell r="O13">
            <v>38.700000000000003</v>
          </cell>
          <cell r="Q13">
            <v>79.3</v>
          </cell>
          <cell r="T13">
            <v>58.4</v>
          </cell>
          <cell r="V13">
            <v>63.7</v>
          </cell>
          <cell r="X13">
            <v>66</v>
          </cell>
          <cell r="Y13">
            <v>1.9203539823008846</v>
          </cell>
          <cell r="Z13">
            <v>75</v>
          </cell>
          <cell r="AA13">
            <v>0.9379844961240309</v>
          </cell>
          <cell r="AB13">
            <v>263.10000000000002</v>
          </cell>
          <cell r="AC13">
            <v>2.3177805800756626</v>
          </cell>
          <cell r="AF13">
            <v>85</v>
          </cell>
          <cell r="AG13">
            <v>0.45547945205479445</v>
          </cell>
          <cell r="AH13">
            <v>97</v>
          </cell>
          <cell r="AI13">
            <v>0.52276295133437989</v>
          </cell>
          <cell r="AJ13">
            <v>102</v>
          </cell>
          <cell r="AK13">
            <v>0.54545454545454541</v>
          </cell>
          <cell r="AL13">
            <v>104</v>
          </cell>
          <cell r="AM13">
            <v>0.38666666666666671</v>
          </cell>
          <cell r="AN13">
            <v>388</v>
          </cell>
          <cell r="AO13">
            <v>0.47472443937666275</v>
          </cell>
          <cell r="AR13">
            <v>111</v>
          </cell>
          <cell r="AS13">
            <v>0.30588235294117649</v>
          </cell>
          <cell r="AT13">
            <v>108.80000000000003</v>
          </cell>
          <cell r="AV13">
            <v>121.40624999999999</v>
          </cell>
          <cell r="AX13">
            <v>117.30000000000003</v>
          </cell>
          <cell r="AZ13">
            <v>458.50625000000002</v>
          </cell>
        </row>
        <row r="14">
          <cell r="B14" t="str">
            <v>Neulasta - WW</v>
          </cell>
          <cell r="C14">
            <v>0</v>
          </cell>
          <cell r="D14">
            <v>110</v>
          </cell>
          <cell r="E14">
            <v>142</v>
          </cell>
          <cell r="F14">
            <v>212</v>
          </cell>
          <cell r="G14">
            <v>464</v>
          </cell>
          <cell r="I14">
            <v>257.89999999999998</v>
          </cell>
          <cell r="K14">
            <v>303.5</v>
          </cell>
          <cell r="M14">
            <v>326.90000000000003</v>
          </cell>
          <cell r="O14">
            <v>366.7</v>
          </cell>
          <cell r="Q14">
            <v>1255</v>
          </cell>
          <cell r="T14">
            <v>394.7</v>
          </cell>
          <cell r="U14">
            <v>0.53043815432338115</v>
          </cell>
          <cell r="V14">
            <v>425.9</v>
          </cell>
          <cell r="W14">
            <v>0.40329489291598009</v>
          </cell>
          <cell r="X14">
            <v>450</v>
          </cell>
          <cell r="Y14">
            <v>0.37656775772407447</v>
          </cell>
          <cell r="Z14">
            <v>469</v>
          </cell>
          <cell r="AA14">
            <v>0.27897463866921202</v>
          </cell>
          <cell r="AB14">
            <v>1739.6</v>
          </cell>
          <cell r="AC14">
            <v>0.38613545816733064</v>
          </cell>
          <cell r="AF14">
            <v>501</v>
          </cell>
          <cell r="AG14">
            <v>0.26931846972384088</v>
          </cell>
          <cell r="AH14">
            <v>587</v>
          </cell>
          <cell r="AI14">
            <v>0.37825780699694778</v>
          </cell>
          <cell r="AJ14">
            <v>577</v>
          </cell>
          <cell r="AK14">
            <v>0.28222222222222215</v>
          </cell>
          <cell r="AL14">
            <v>623</v>
          </cell>
          <cell r="AM14">
            <v>0.32835820895522394</v>
          </cell>
          <cell r="AN14">
            <v>2288</v>
          </cell>
          <cell r="AO14">
            <v>0.31524488388135219</v>
          </cell>
          <cell r="AR14">
            <v>608</v>
          </cell>
          <cell r="AS14">
            <v>0.21357285429141726</v>
          </cell>
          <cell r="AT14">
            <v>640</v>
          </cell>
          <cell r="AU14">
            <v>9.028960817717202E-2</v>
          </cell>
          <cell r="AV14">
            <v>665</v>
          </cell>
          <cell r="AW14">
            <v>0.15251299826689779</v>
          </cell>
          <cell r="AX14">
            <v>690</v>
          </cell>
          <cell r="AY14">
            <v>0.1075441412520064</v>
          </cell>
          <cell r="AZ14">
            <v>2603</v>
          </cell>
          <cell r="BA14">
            <v>0.13767482517482521</v>
          </cell>
        </row>
        <row r="15">
          <cell r="B15" t="str">
            <v>Enbrel</v>
          </cell>
          <cell r="C15">
            <v>0</v>
          </cell>
          <cell r="D15">
            <v>0</v>
          </cell>
          <cell r="E15">
            <v>158</v>
          </cell>
          <cell r="F15">
            <v>204</v>
          </cell>
          <cell r="G15">
            <v>362</v>
          </cell>
          <cell r="I15">
            <v>274</v>
          </cell>
          <cell r="K15">
            <v>304</v>
          </cell>
          <cell r="M15">
            <v>341.6</v>
          </cell>
          <cell r="O15">
            <v>380.4</v>
          </cell>
          <cell r="Q15">
            <v>1300</v>
          </cell>
          <cell r="T15">
            <v>397.3</v>
          </cell>
          <cell r="U15">
            <v>0.44999999999999996</v>
          </cell>
          <cell r="V15">
            <v>440</v>
          </cell>
          <cell r="W15">
            <v>0.44736842105263164</v>
          </cell>
          <cell r="X15">
            <v>496</v>
          </cell>
          <cell r="Y15">
            <v>0.45199063231850101</v>
          </cell>
          <cell r="Z15">
            <v>567</v>
          </cell>
          <cell r="AA15">
            <v>0.49053627760252372</v>
          </cell>
          <cell r="AB15">
            <v>1900.3</v>
          </cell>
          <cell r="AC15">
            <v>0.46176923076923071</v>
          </cell>
          <cell r="AF15">
            <v>592</v>
          </cell>
          <cell r="AG15">
            <v>0.49005789076264783</v>
          </cell>
          <cell r="AH15">
            <v>639</v>
          </cell>
          <cell r="AI15">
            <v>0.45227272727272738</v>
          </cell>
          <cell r="AJ15">
            <v>668</v>
          </cell>
          <cell r="AK15">
            <v>0.34677419354838701</v>
          </cell>
          <cell r="AL15">
            <v>674</v>
          </cell>
          <cell r="AM15">
            <v>0.18871252204585542</v>
          </cell>
          <cell r="AN15">
            <v>2573</v>
          </cell>
          <cell r="AO15">
            <v>0.35399673735725945</v>
          </cell>
          <cell r="AR15">
            <v>658</v>
          </cell>
          <cell r="AS15">
            <v>0.1114864864864864</v>
          </cell>
          <cell r="AT15">
            <v>680</v>
          </cell>
          <cell r="AU15">
            <v>6.4162754303599412E-2</v>
          </cell>
          <cell r="AV15">
            <v>715</v>
          </cell>
          <cell r="AW15">
            <v>7.0359281437125665E-2</v>
          </cell>
          <cell r="AX15">
            <v>740</v>
          </cell>
          <cell r="AY15">
            <v>9.7922848664688367E-2</v>
          </cell>
          <cell r="AZ15">
            <v>2793</v>
          </cell>
          <cell r="BA15">
            <v>8.5503303536727637E-2</v>
          </cell>
        </row>
        <row r="16">
          <cell r="B16" t="str">
            <v>Sensipar</v>
          </cell>
          <cell r="I16">
            <v>0</v>
          </cell>
          <cell r="K16">
            <v>0</v>
          </cell>
          <cell r="M16">
            <v>0</v>
          </cell>
          <cell r="O16">
            <v>0</v>
          </cell>
          <cell r="Q16">
            <v>0</v>
          </cell>
          <cell r="T16">
            <v>0</v>
          </cell>
          <cell r="V16">
            <v>7</v>
          </cell>
          <cell r="X16">
            <v>10</v>
          </cell>
          <cell r="Z16">
            <v>18</v>
          </cell>
          <cell r="AB16">
            <v>35</v>
          </cell>
          <cell r="AF16">
            <v>25</v>
          </cell>
          <cell r="AH16">
            <v>35</v>
          </cell>
          <cell r="AI16">
            <v>4</v>
          </cell>
          <cell r="AJ16">
            <v>40</v>
          </cell>
          <cell r="AK16">
            <v>3</v>
          </cell>
          <cell r="AL16">
            <v>51</v>
          </cell>
          <cell r="AM16">
            <v>1.8333333333333335</v>
          </cell>
          <cell r="AN16">
            <v>151</v>
          </cell>
          <cell r="AO16">
            <v>3.3142857142857141</v>
          </cell>
          <cell r="AR16">
            <v>61</v>
          </cell>
          <cell r="AS16">
            <v>1.44</v>
          </cell>
          <cell r="AT16">
            <v>65</v>
          </cell>
          <cell r="AU16">
            <v>0.85714285714285721</v>
          </cell>
          <cell r="AV16">
            <v>73</v>
          </cell>
          <cell r="AW16">
            <v>0.82499999999999996</v>
          </cell>
          <cell r="AX16">
            <v>84</v>
          </cell>
          <cell r="AY16">
            <v>0.64705882352941169</v>
          </cell>
          <cell r="AZ16">
            <v>283</v>
          </cell>
          <cell r="BA16">
            <v>0.8741721854304636</v>
          </cell>
        </row>
        <row r="17">
          <cell r="B17" t="str">
            <v>Panitumumab</v>
          </cell>
          <cell r="AX17">
            <v>35</v>
          </cell>
          <cell r="AZ17">
            <v>35</v>
          </cell>
        </row>
        <row r="18">
          <cell r="B18" t="str">
            <v>Palifermin</v>
          </cell>
          <cell r="AF18">
            <v>4</v>
          </cell>
          <cell r="AH18">
            <v>7</v>
          </cell>
          <cell r="AJ18">
            <v>8</v>
          </cell>
          <cell r="AL18">
            <v>13</v>
          </cell>
          <cell r="AN18">
            <v>32</v>
          </cell>
          <cell r="AR18">
            <v>13</v>
          </cell>
          <cell r="AT18">
            <v>18</v>
          </cell>
          <cell r="AU18">
            <v>1.5714285714285716</v>
          </cell>
          <cell r="AV18">
            <v>20</v>
          </cell>
          <cell r="AW18">
            <v>1.5</v>
          </cell>
          <cell r="AX18">
            <v>22</v>
          </cell>
          <cell r="AY18">
            <v>0.69230769230769229</v>
          </cell>
          <cell r="AZ18">
            <v>73</v>
          </cell>
        </row>
        <row r="19">
          <cell r="B19" t="str">
            <v xml:space="preserve">Other </v>
          </cell>
          <cell r="C19">
            <v>2.6</v>
          </cell>
          <cell r="D19">
            <v>16.2</v>
          </cell>
          <cell r="E19">
            <v>41.8</v>
          </cell>
          <cell r="F19">
            <v>49.6</v>
          </cell>
          <cell r="G19">
            <v>110.19999999999999</v>
          </cell>
          <cell r="I19">
            <v>18.100000000000001</v>
          </cell>
          <cell r="K19">
            <v>19.399999999999999</v>
          </cell>
          <cell r="M19">
            <v>15</v>
          </cell>
          <cell r="O19">
            <v>15.5</v>
          </cell>
          <cell r="Q19">
            <v>68</v>
          </cell>
          <cell r="T19">
            <v>14.2</v>
          </cell>
          <cell r="U19">
            <v>-0.21546961325966862</v>
          </cell>
          <cell r="V19">
            <v>13</v>
          </cell>
          <cell r="W19">
            <v>-0.32989690721649478</v>
          </cell>
          <cell r="X19">
            <v>13</v>
          </cell>
          <cell r="Y19">
            <v>-0.1333333333333333</v>
          </cell>
          <cell r="Z19">
            <v>13</v>
          </cell>
          <cell r="AA19">
            <v>-0.16129032258064513</v>
          </cell>
          <cell r="AB19">
            <v>53.2</v>
          </cell>
          <cell r="AC19">
            <v>-0.21764705882352942</v>
          </cell>
          <cell r="AF19">
            <v>13</v>
          </cell>
          <cell r="AG19">
            <v>-8.4507042253521125E-2</v>
          </cell>
          <cell r="AH19">
            <v>8</v>
          </cell>
          <cell r="AI19">
            <v>-0.38461538461538458</v>
          </cell>
          <cell r="AJ19">
            <v>12</v>
          </cell>
          <cell r="AK19">
            <v>-7.6923076923076872E-2</v>
          </cell>
          <cell r="AL19">
            <v>3</v>
          </cell>
          <cell r="AM19">
            <v>-0.76923076923076916</v>
          </cell>
          <cell r="AN19">
            <v>34</v>
          </cell>
          <cell r="AO19">
            <v>-0.36090225563909772</v>
          </cell>
          <cell r="AR19">
            <v>2</v>
          </cell>
          <cell r="AS19">
            <v>-0.84615384615384615</v>
          </cell>
          <cell r="AT19">
            <v>5</v>
          </cell>
          <cell r="AU19">
            <v>-0.375</v>
          </cell>
          <cell r="AV19">
            <v>5</v>
          </cell>
          <cell r="AW19">
            <v>-0.58333333333333326</v>
          </cell>
          <cell r="AX19">
            <v>5</v>
          </cell>
          <cell r="AY19">
            <v>0.66666666666666674</v>
          </cell>
          <cell r="AZ19">
            <v>17</v>
          </cell>
          <cell r="BA19">
            <v>-0.5</v>
          </cell>
        </row>
        <row r="20">
          <cell r="B20" t="str">
            <v>Total Product Sales</v>
          </cell>
          <cell r="C20">
            <v>908.6</v>
          </cell>
          <cell r="D20">
            <v>1115.2</v>
          </cell>
          <cell r="E20">
            <v>1345.8</v>
          </cell>
          <cell r="F20">
            <v>1621.6</v>
          </cell>
          <cell r="G20">
            <v>4991.2</v>
          </cell>
          <cell r="I20">
            <v>1635.8999999999996</v>
          </cell>
          <cell r="K20">
            <v>1916.5</v>
          </cell>
          <cell r="M20">
            <v>2078.1000000000004</v>
          </cell>
          <cell r="O20">
            <v>2237.6999999999998</v>
          </cell>
          <cell r="Q20">
            <v>7868.2</v>
          </cell>
          <cell r="T20">
            <v>2207.8000000000002</v>
          </cell>
          <cell r="U20">
            <v>0.34959349593495981</v>
          </cell>
          <cell r="V20">
            <v>2431</v>
          </cell>
          <cell r="W20">
            <v>0.26845812679363412</v>
          </cell>
          <cell r="X20">
            <v>2560</v>
          </cell>
          <cell r="Y20">
            <v>0.23189451903180758</v>
          </cell>
          <cell r="Z20">
            <v>2778</v>
          </cell>
          <cell r="AA20">
            <v>0.24145327791929216</v>
          </cell>
          <cell r="AB20">
            <v>9976.7999999999993</v>
          </cell>
          <cell r="AC20">
            <v>0.26799013751556888</v>
          </cell>
          <cell r="AF20">
            <v>2735</v>
          </cell>
          <cell r="AG20">
            <v>0.23878974544795706</v>
          </cell>
          <cell r="AH20">
            <v>3072</v>
          </cell>
          <cell r="AI20">
            <v>0.26367749897161663</v>
          </cell>
          <cell r="AJ20">
            <v>3049</v>
          </cell>
          <cell r="AK20">
            <v>0.19101562499999991</v>
          </cell>
          <cell r="AL20">
            <v>3168</v>
          </cell>
          <cell r="AM20">
            <v>0.14038876889848817</v>
          </cell>
          <cell r="AN20">
            <v>12022</v>
          </cell>
          <cell r="AO20">
            <v>0.20499558976826249</v>
          </cell>
          <cell r="AR20">
            <v>3127</v>
          </cell>
          <cell r="AS20">
            <v>0.1433272394881171</v>
          </cell>
          <cell r="AT20">
            <v>3303</v>
          </cell>
          <cell r="AU20">
            <v>7.51953125E-2</v>
          </cell>
          <cell r="AV20">
            <v>3423</v>
          </cell>
          <cell r="AW20">
            <v>0.12266316825188595</v>
          </cell>
          <cell r="AX20">
            <v>3566</v>
          </cell>
          <cell r="AY20">
            <v>0.12563131313131315</v>
          </cell>
          <cell r="AZ20">
            <v>13419</v>
          </cell>
          <cell r="BA20">
            <v>0.11620362668441198</v>
          </cell>
        </row>
        <row r="21">
          <cell r="B21" t="str">
            <v>Corporate Partner Rev.</v>
          </cell>
          <cell r="C21">
            <v>31.5</v>
          </cell>
          <cell r="D21">
            <v>53.9</v>
          </cell>
          <cell r="E21">
            <v>62.8</v>
          </cell>
          <cell r="F21">
            <v>52.1</v>
          </cell>
          <cell r="G21">
            <v>200.3</v>
          </cell>
          <cell r="I21">
            <v>33.9</v>
          </cell>
          <cell r="K21">
            <v>32.700000000000003</v>
          </cell>
          <cell r="M21">
            <v>28.8</v>
          </cell>
          <cell r="O21">
            <v>9.3000000000000007</v>
          </cell>
          <cell r="Q21">
            <v>104.69999999999999</v>
          </cell>
          <cell r="T21">
            <v>35</v>
          </cell>
          <cell r="U21">
            <v>3.2448377581121068E-2</v>
          </cell>
          <cell r="V21">
            <v>43.9</v>
          </cell>
          <cell r="W21">
            <v>0.34250764525993871</v>
          </cell>
          <cell r="X21">
            <v>38</v>
          </cell>
          <cell r="Y21">
            <v>0.31944444444444442</v>
          </cell>
          <cell r="Z21">
            <v>21</v>
          </cell>
          <cell r="AA21">
            <v>1.258064516129032</v>
          </cell>
          <cell r="AB21">
            <v>137.9</v>
          </cell>
          <cell r="AC21">
            <v>0.31709646609360087</v>
          </cell>
          <cell r="AF21">
            <v>0</v>
          </cell>
          <cell r="AG21">
            <v>-1</v>
          </cell>
          <cell r="AH21">
            <v>0</v>
          </cell>
          <cell r="AI21">
            <v>-1</v>
          </cell>
          <cell r="AK21">
            <v>-1</v>
          </cell>
          <cell r="AM21">
            <v>-1</v>
          </cell>
          <cell r="AN21">
            <v>0</v>
          </cell>
          <cell r="AO21">
            <v>-1</v>
          </cell>
          <cell r="AR21">
            <v>0</v>
          </cell>
          <cell r="AS21" t="e">
            <v>#DIV/0!</v>
          </cell>
          <cell r="AT21">
            <v>0</v>
          </cell>
          <cell r="AU21" t="e">
            <v>#DIV/0!</v>
          </cell>
          <cell r="AW21" t="e">
            <v>#DIV/0!</v>
          </cell>
          <cell r="AY21" t="e">
            <v>#DIV/0!</v>
          </cell>
          <cell r="AZ21">
            <v>0</v>
          </cell>
          <cell r="BA21" t="e">
            <v>#DIV/0!</v>
          </cell>
        </row>
        <row r="22">
          <cell r="B22" t="str">
            <v>Royalties/Corporate Partner</v>
          </cell>
          <cell r="C22">
            <v>68.400000000000006</v>
          </cell>
          <cell r="D22">
            <v>80</v>
          </cell>
          <cell r="E22">
            <v>90.7</v>
          </cell>
          <cell r="F22">
            <v>92.4</v>
          </cell>
          <cell r="G22">
            <v>331.5</v>
          </cell>
          <cell r="I22">
            <v>91.4</v>
          </cell>
          <cell r="K22">
            <v>91.9</v>
          </cell>
          <cell r="M22">
            <v>100.5</v>
          </cell>
          <cell r="O22">
            <v>99.3</v>
          </cell>
          <cell r="Q22">
            <v>383.1</v>
          </cell>
          <cell r="T22">
            <v>100.2</v>
          </cell>
          <cell r="U22">
            <v>9.6280087527352176E-2</v>
          </cell>
          <cell r="V22">
            <v>110</v>
          </cell>
          <cell r="W22">
            <v>0.19695321001088129</v>
          </cell>
          <cell r="X22">
            <v>115</v>
          </cell>
          <cell r="Y22">
            <v>0.14427860696517403</v>
          </cell>
          <cell r="Z22">
            <v>110</v>
          </cell>
          <cell r="AA22">
            <v>0.10775427995971798</v>
          </cell>
          <cell r="AB22">
            <v>435.2</v>
          </cell>
          <cell r="AC22">
            <v>0.13599582354476625</v>
          </cell>
          <cell r="AF22">
            <v>98</v>
          </cell>
          <cell r="AG22">
            <v>-2.1956087824351322E-2</v>
          </cell>
          <cell r="AH22">
            <v>100</v>
          </cell>
          <cell r="AI22">
            <v>-9.0909090909090939E-2</v>
          </cell>
          <cell r="AJ22">
            <v>107</v>
          </cell>
          <cell r="AK22">
            <v>-6.956521739130439E-2</v>
          </cell>
          <cell r="AL22">
            <v>103</v>
          </cell>
          <cell r="AM22">
            <v>-6.3636363636363602E-2</v>
          </cell>
          <cell r="AN22">
            <v>408</v>
          </cell>
          <cell r="AO22">
            <v>-6.25E-2</v>
          </cell>
          <cell r="AR22">
            <v>90</v>
          </cell>
          <cell r="AS22">
            <v>-8.1632653061224469E-2</v>
          </cell>
          <cell r="AT22">
            <v>90</v>
          </cell>
          <cell r="AU22">
            <v>-9.9999999999999978E-2</v>
          </cell>
          <cell r="AV22">
            <v>90</v>
          </cell>
          <cell r="AW22">
            <v>-0.15887850467289721</v>
          </cell>
          <cell r="AX22">
            <v>90</v>
          </cell>
          <cell r="AY22">
            <v>-0.12621359223300976</v>
          </cell>
          <cell r="AZ22">
            <v>360</v>
          </cell>
          <cell r="BA22">
            <v>-0.11764705882352944</v>
          </cell>
        </row>
        <row r="23">
          <cell r="B23" t="str">
            <v>Total Revenues</v>
          </cell>
          <cell r="C23">
            <v>1008.5</v>
          </cell>
          <cell r="D23">
            <v>1249.1000000000001</v>
          </cell>
          <cell r="E23">
            <v>1499.3</v>
          </cell>
          <cell r="F23">
            <v>1766.1</v>
          </cell>
          <cell r="G23">
            <v>5523</v>
          </cell>
          <cell r="I23">
            <v>1761.1999999999998</v>
          </cell>
          <cell r="K23">
            <v>2041.1000000000001</v>
          </cell>
          <cell r="M23">
            <v>2207.4000000000005</v>
          </cell>
          <cell r="O23">
            <v>2346.3000000000002</v>
          </cell>
          <cell r="Q23">
            <v>8356</v>
          </cell>
          <cell r="T23">
            <v>2343</v>
          </cell>
          <cell r="U23">
            <v>0.33034294799000685</v>
          </cell>
          <cell r="V23">
            <v>2584.9</v>
          </cell>
          <cell r="W23">
            <v>0.26642496692959683</v>
          </cell>
          <cell r="X23">
            <v>2713</v>
          </cell>
          <cell r="Y23">
            <v>0.22904774848237719</v>
          </cell>
          <cell r="Z23">
            <v>2909</v>
          </cell>
          <cell r="AA23">
            <v>0.23982440438136621</v>
          </cell>
          <cell r="AB23">
            <v>10549.9</v>
          </cell>
          <cell r="AC23">
            <v>0.26255385351842975</v>
          </cell>
          <cell r="AF23">
            <v>2833</v>
          </cell>
          <cell r="AG23">
            <v>8574.9360605018901</v>
          </cell>
          <cell r="AH23">
            <v>3172</v>
          </cell>
          <cell r="AI23">
            <v>0.22712677473016352</v>
          </cell>
          <cell r="AJ23">
            <v>3156</v>
          </cell>
          <cell r="AK23">
            <v>0.16328787320309623</v>
          </cell>
          <cell r="AL23">
            <v>3271</v>
          </cell>
          <cell r="AM23">
            <v>0.12444138879339972</v>
          </cell>
          <cell r="AN23">
            <v>12430</v>
          </cell>
          <cell r="AO23">
            <v>0.17821022000208542</v>
          </cell>
          <cell r="AR23">
            <v>3217</v>
          </cell>
          <cell r="AS23">
            <v>0.13554535827744441</v>
          </cell>
          <cell r="AT23">
            <v>3393</v>
          </cell>
          <cell r="AU23">
            <v>6.9672131147541005E-2</v>
          </cell>
          <cell r="AV23">
            <v>3513</v>
          </cell>
          <cell r="AW23">
            <v>0.1131178707224334</v>
          </cell>
          <cell r="AX23">
            <v>3656</v>
          </cell>
          <cell r="AY23">
            <v>0.11770100886579038</v>
          </cell>
          <cell r="AZ23">
            <v>13779</v>
          </cell>
          <cell r="BA23">
            <v>0.10852775543041027</v>
          </cell>
        </row>
        <row r="24">
          <cell r="B24" t="str">
            <v>Operating Expenses:</v>
          </cell>
          <cell r="AC24">
            <v>11921.386999999999</v>
          </cell>
        </row>
        <row r="25">
          <cell r="B25" t="str">
            <v xml:space="preserve">   Cost of Sales</v>
          </cell>
          <cell r="C25">
            <v>103.6</v>
          </cell>
          <cell r="D25">
            <v>131.9</v>
          </cell>
          <cell r="E25">
            <v>226.4</v>
          </cell>
          <cell r="F25">
            <v>278.39999999999998</v>
          </cell>
          <cell r="G25">
            <v>740.3</v>
          </cell>
          <cell r="I25">
            <v>283.3</v>
          </cell>
          <cell r="K25">
            <v>329.1</v>
          </cell>
          <cell r="M25">
            <v>340</v>
          </cell>
          <cell r="O25">
            <v>388.3</v>
          </cell>
          <cell r="Q25">
            <v>1340.7</v>
          </cell>
          <cell r="T25">
            <v>371.5</v>
          </cell>
          <cell r="U25">
            <v>0.31133074479350498</v>
          </cell>
          <cell r="V25">
            <v>435</v>
          </cell>
          <cell r="W25">
            <v>0.32178669097538726</v>
          </cell>
          <cell r="X25">
            <v>447</v>
          </cell>
          <cell r="Y25">
            <v>0.31470588235294117</v>
          </cell>
          <cell r="Z25">
            <v>476</v>
          </cell>
          <cell r="AA25">
            <v>0.22585629667782636</v>
          </cell>
          <cell r="AB25">
            <v>1729.5</v>
          </cell>
          <cell r="AC25">
            <v>0.28999776236294461</v>
          </cell>
          <cell r="AF25">
            <v>489</v>
          </cell>
          <cell r="AG25">
            <v>0.31628532974428003</v>
          </cell>
          <cell r="AH25">
            <v>530</v>
          </cell>
          <cell r="AI25">
            <v>0.21839080459770122</v>
          </cell>
          <cell r="AJ25">
            <v>505</v>
          </cell>
          <cell r="AK25">
            <v>0.12975391498881428</v>
          </cell>
          <cell r="AL25">
            <v>511</v>
          </cell>
          <cell r="AM25">
            <v>7.3529411764705843E-2</v>
          </cell>
          <cell r="AN25">
            <v>2035</v>
          </cell>
          <cell r="AO25">
            <v>0.17664064758600762</v>
          </cell>
          <cell r="AR25">
            <v>552</v>
          </cell>
          <cell r="AS25">
            <v>0.12883435582822078</v>
          </cell>
          <cell r="AT25">
            <v>561.51</v>
          </cell>
          <cell r="AU25">
            <v>5.9452830188679195E-2</v>
          </cell>
          <cell r="AV25">
            <v>573.35250000000008</v>
          </cell>
          <cell r="AW25">
            <v>0.13535148514851492</v>
          </cell>
          <cell r="AX25">
            <v>588.39</v>
          </cell>
          <cell r="AY25">
            <v>0.15144814090019576</v>
          </cell>
          <cell r="AZ25">
            <v>2275.2525000000001</v>
          </cell>
          <cell r="BA25">
            <v>0.11806019656019662</v>
          </cell>
        </row>
        <row r="26">
          <cell r="B26" t="str">
            <v xml:space="preserve">   % of Product Revenues</v>
          </cell>
          <cell r="C26">
            <v>0.11402157164869028</v>
          </cell>
          <cell r="D26">
            <v>0.11827474892395982</v>
          </cell>
          <cell r="E26">
            <v>0.16822707683162433</v>
          </cell>
          <cell r="F26">
            <v>0.17168228909718797</v>
          </cell>
          <cell r="G26">
            <v>0.1483210450392691</v>
          </cell>
          <cell r="I26">
            <v>0.17018155143957453</v>
          </cell>
          <cell r="K26">
            <v>0.16916253587268457</v>
          </cell>
          <cell r="M26">
            <v>0.16149367210432608</v>
          </cell>
          <cell r="O26">
            <v>0.17138132904321401</v>
          </cell>
          <cell r="Q26">
            <v>0.1679799700058463</v>
          </cell>
          <cell r="T26">
            <v>0.16826705317510643</v>
          </cell>
          <cell r="V26">
            <v>0.17893870835047307</v>
          </cell>
          <cell r="X26">
            <v>0.17460937500000001</v>
          </cell>
          <cell r="Z26">
            <v>0.17134629229661627</v>
          </cell>
          <cell r="AB26">
            <v>0.17335217705075778</v>
          </cell>
          <cell r="AF26">
            <v>0.17879341864716636</v>
          </cell>
          <cell r="AH26">
            <v>0.17252604166666666</v>
          </cell>
          <cell r="AJ26">
            <v>0.16562807477861594</v>
          </cell>
          <cell r="AL26">
            <v>0.16130050505050506</v>
          </cell>
          <cell r="AN26">
            <v>0.16927299950091498</v>
          </cell>
          <cell r="AR26">
            <v>0.17652702270546849</v>
          </cell>
          <cell r="AT26">
            <v>0.17</v>
          </cell>
          <cell r="AV26">
            <v>0.16750000000000001</v>
          </cell>
          <cell r="AX26">
            <v>0.16500000000000001</v>
          </cell>
          <cell r="AZ26">
            <v>0.16955454951933827</v>
          </cell>
        </row>
        <row r="27">
          <cell r="B27" t="str">
            <v xml:space="preserve">   R&amp;D</v>
          </cell>
          <cell r="C27">
            <v>203.4</v>
          </cell>
          <cell r="D27">
            <v>233.6</v>
          </cell>
          <cell r="E27">
            <v>312.60000000000002</v>
          </cell>
          <cell r="F27">
            <v>367</v>
          </cell>
          <cell r="G27">
            <v>1116.5999999999999</v>
          </cell>
          <cell r="I27">
            <v>351.3</v>
          </cell>
          <cell r="K27">
            <v>393.7</v>
          </cell>
          <cell r="M27">
            <v>407.5</v>
          </cell>
          <cell r="O27">
            <v>502.9</v>
          </cell>
          <cell r="Q27">
            <v>1655.4</v>
          </cell>
          <cell r="T27">
            <v>432.9</v>
          </cell>
          <cell r="U27">
            <v>0.23228010247651576</v>
          </cell>
          <cell r="V27">
            <v>460.4</v>
          </cell>
          <cell r="W27">
            <v>0.16941833883667767</v>
          </cell>
          <cell r="X27">
            <v>495</v>
          </cell>
          <cell r="Y27">
            <v>0.21472392638036819</v>
          </cell>
          <cell r="Z27">
            <v>608</v>
          </cell>
          <cell r="AA27">
            <v>0.20898787035195876</v>
          </cell>
          <cell r="AB27">
            <v>1996.3</v>
          </cell>
          <cell r="AC27">
            <v>0.20593210100277859</v>
          </cell>
          <cell r="AF27">
            <v>521</v>
          </cell>
          <cell r="AG27">
            <v>0.20351120351120366</v>
          </cell>
          <cell r="AH27">
            <v>564</v>
          </cell>
          <cell r="AI27">
            <v>0.22502172024326672</v>
          </cell>
          <cell r="AJ27">
            <v>559</v>
          </cell>
          <cell r="AK27">
            <v>0.12929292929292924</v>
          </cell>
          <cell r="AL27">
            <v>658</v>
          </cell>
          <cell r="AM27">
            <v>8.2236842105263053E-2</v>
          </cell>
          <cell r="AN27">
            <v>2302</v>
          </cell>
          <cell r="AO27">
            <v>0.15313329659870756</v>
          </cell>
          <cell r="AR27">
            <v>624</v>
          </cell>
          <cell r="AS27">
            <v>0.19769673704414581</v>
          </cell>
          <cell r="AT27">
            <v>725</v>
          </cell>
          <cell r="AU27">
            <v>0.28546099290780136</v>
          </cell>
          <cell r="AV27">
            <v>785</v>
          </cell>
          <cell r="AW27">
            <v>0.40429338103756707</v>
          </cell>
          <cell r="AX27">
            <v>875</v>
          </cell>
          <cell r="AY27">
            <v>0.32978723404255317</v>
          </cell>
          <cell r="AZ27">
            <v>3009</v>
          </cell>
          <cell r="BA27">
            <v>0.30712423979148573</v>
          </cell>
        </row>
        <row r="28">
          <cell r="B28" t="str">
            <v xml:space="preserve">   % of Total Revenues</v>
          </cell>
          <cell r="G28">
            <v>0.20217273221075502</v>
          </cell>
          <cell r="Q28">
            <v>0.19810914313068456</v>
          </cell>
          <cell r="T28">
            <v>0.18476312419974392</v>
          </cell>
          <cell r="V28">
            <v>0.17811133892993924</v>
          </cell>
          <cell r="X28">
            <v>0.18245484703280501</v>
          </cell>
          <cell r="Z28">
            <v>0.20900653145410794</v>
          </cell>
          <cell r="AB28">
            <v>0.18922454241272429</v>
          </cell>
          <cell r="AF28">
            <v>0.18390398870455349</v>
          </cell>
          <cell r="AH28">
            <v>0.17780580075662042</v>
          </cell>
          <cell r="AJ28">
            <v>0.17712294043092522</v>
          </cell>
          <cell r="AL28">
            <v>0.20116172424335066</v>
          </cell>
          <cell r="AN28">
            <v>0.18519710378117457</v>
          </cell>
          <cell r="AR28">
            <v>0.19396953683556109</v>
          </cell>
          <cell r="AT28">
            <v>0.21367521367521367</v>
          </cell>
          <cell r="AV28">
            <v>0.22345573583831482</v>
          </cell>
          <cell r="AX28">
            <v>0.23933260393873085</v>
          </cell>
          <cell r="AZ28">
            <v>0.21837578924450252</v>
          </cell>
        </row>
        <row r="29">
          <cell r="B29" t="str">
            <v xml:space="preserve">   SG&amp;A</v>
          </cell>
          <cell r="C29">
            <v>245.8</v>
          </cell>
          <cell r="D29">
            <v>320.5</v>
          </cell>
          <cell r="E29">
            <v>394.9</v>
          </cell>
          <cell r="F29">
            <v>500.9</v>
          </cell>
          <cell r="G29">
            <v>1462.1</v>
          </cell>
          <cell r="I29">
            <v>390.1</v>
          </cell>
          <cell r="K29">
            <v>453.5</v>
          </cell>
          <cell r="M29">
            <v>483</v>
          </cell>
          <cell r="O29">
            <v>626</v>
          </cell>
          <cell r="Q29">
            <v>1952.6</v>
          </cell>
          <cell r="T29">
            <v>512.4</v>
          </cell>
          <cell r="U29">
            <v>0.31350935657523693</v>
          </cell>
          <cell r="V29">
            <v>586.70000000000005</v>
          </cell>
          <cell r="W29">
            <v>0.29371554575523717</v>
          </cell>
          <cell r="X29">
            <v>635</v>
          </cell>
          <cell r="Y29">
            <v>0.31469979296066253</v>
          </cell>
          <cell r="Z29">
            <v>813</v>
          </cell>
          <cell r="AA29">
            <v>0.29872204472843444</v>
          </cell>
          <cell r="AB29">
            <v>2547.1</v>
          </cell>
          <cell r="AC29">
            <v>0.30446584041790437</v>
          </cell>
          <cell r="AF29">
            <v>577</v>
          </cell>
          <cell r="AG29">
            <v>0.12607338017174086</v>
          </cell>
          <cell r="AH29">
            <v>646</v>
          </cell>
          <cell r="AI29">
            <v>0.10107380262485077</v>
          </cell>
          <cell r="AJ29">
            <v>656</v>
          </cell>
          <cell r="AK29">
            <v>3.3070866141732269E-2</v>
          </cell>
          <cell r="AL29">
            <v>913</v>
          </cell>
          <cell r="AM29">
            <v>0.12300123001230023</v>
          </cell>
          <cell r="AN29">
            <v>2792</v>
          </cell>
          <cell r="AO29">
            <v>9.6148561108711839E-2</v>
          </cell>
          <cell r="AR29">
            <v>652</v>
          </cell>
          <cell r="AS29">
            <v>0.12998266897746968</v>
          </cell>
          <cell r="AT29">
            <v>695.56499999999994</v>
          </cell>
          <cell r="AU29">
            <v>7.6726006191950358E-2</v>
          </cell>
          <cell r="AV29">
            <v>772.86</v>
          </cell>
          <cell r="AW29">
            <v>0.1781402439024391</v>
          </cell>
          <cell r="AX29">
            <v>906.68799999999999</v>
          </cell>
          <cell r="AY29">
            <v>-6.9134720700986252E-3</v>
          </cell>
          <cell r="AZ29">
            <v>3027.1130000000003</v>
          </cell>
          <cell r="BA29">
            <v>8.4209527220630465E-2</v>
          </cell>
        </row>
        <row r="30">
          <cell r="B30" t="str">
            <v xml:space="preserve">   % of Total Revenues</v>
          </cell>
          <cell r="G30">
            <v>0.26472931377874342</v>
          </cell>
          <cell r="Q30">
            <v>0.23367640019147917</v>
          </cell>
          <cell r="T30">
            <v>0.21869398207426374</v>
          </cell>
          <cell r="V30">
            <v>0.22697202986575885</v>
          </cell>
          <cell r="X30">
            <v>0.23405823811279028</v>
          </cell>
          <cell r="Z30">
            <v>0.27947748367136471</v>
          </cell>
          <cell r="AB30">
            <v>0.2414335680906928</v>
          </cell>
          <cell r="AF30">
            <v>0.20367102012001412</v>
          </cell>
          <cell r="AH30">
            <v>0.20365699873896595</v>
          </cell>
          <cell r="AJ30">
            <v>0.20785804816223066</v>
          </cell>
          <cell r="AL30">
            <v>0.27911953531030265</v>
          </cell>
          <cell r="AN30">
            <v>0.2246178600160901</v>
          </cell>
          <cell r="AR30">
            <v>0.20267329810382345</v>
          </cell>
          <cell r="AT30">
            <v>0.20499999999999999</v>
          </cell>
          <cell r="AV30">
            <v>0.22</v>
          </cell>
          <cell r="AX30">
            <v>0.248</v>
          </cell>
          <cell r="AZ30">
            <v>0.21969032585819001</v>
          </cell>
        </row>
        <row r="31">
          <cell r="B31" t="str">
            <v xml:space="preserve">   Loss of Affiliates, Net</v>
          </cell>
          <cell r="C31">
            <v>-1.7</v>
          </cell>
          <cell r="D31">
            <v>-1.7</v>
          </cell>
          <cell r="E31">
            <v>-3.4</v>
          </cell>
          <cell r="F31">
            <v>-5.8</v>
          </cell>
          <cell r="G31">
            <v>-12.6</v>
          </cell>
          <cell r="I31">
            <v>-9.6</v>
          </cell>
          <cell r="K31">
            <v>-12.3</v>
          </cell>
          <cell r="M31">
            <v>36.200000000000003</v>
          </cell>
          <cell r="O31">
            <v>-10</v>
          </cell>
          <cell r="Q31">
            <v>4.3000000000000043</v>
          </cell>
          <cell r="T31">
            <v>0</v>
          </cell>
          <cell r="U31">
            <v>-1</v>
          </cell>
          <cell r="V31">
            <v>0</v>
          </cell>
          <cell r="W31">
            <v>-1</v>
          </cell>
          <cell r="X31">
            <v>0</v>
          </cell>
          <cell r="Y31">
            <v>-1</v>
          </cell>
          <cell r="Z31">
            <v>0</v>
          </cell>
          <cell r="AA31">
            <v>-1</v>
          </cell>
          <cell r="AB31">
            <v>0</v>
          </cell>
          <cell r="AC31">
            <v>-1</v>
          </cell>
          <cell r="AF31">
            <v>0</v>
          </cell>
          <cell r="AH31">
            <v>0</v>
          </cell>
          <cell r="AJ31">
            <v>0</v>
          </cell>
          <cell r="AL31">
            <v>0</v>
          </cell>
          <cell r="AN31">
            <v>0</v>
          </cell>
          <cell r="AR31">
            <v>0</v>
          </cell>
          <cell r="AT31">
            <v>0</v>
          </cell>
          <cell r="AV31">
            <v>0</v>
          </cell>
          <cell r="AX31">
            <v>0</v>
          </cell>
          <cell r="AZ31">
            <v>0</v>
          </cell>
        </row>
        <row r="32">
          <cell r="B32" t="str">
            <v xml:space="preserve">   Other </v>
          </cell>
          <cell r="C32">
            <v>0</v>
          </cell>
          <cell r="D32">
            <v>0</v>
          </cell>
          <cell r="E32">
            <v>-35.5</v>
          </cell>
          <cell r="F32">
            <v>0</v>
          </cell>
          <cell r="G32">
            <v>0</v>
          </cell>
          <cell r="K32">
            <v>-24</v>
          </cell>
          <cell r="Q32">
            <v>-24</v>
          </cell>
          <cell r="T32">
            <v>0</v>
          </cell>
          <cell r="V32">
            <v>0</v>
          </cell>
          <cell r="X32">
            <v>0</v>
          </cell>
          <cell r="Z32">
            <v>0</v>
          </cell>
          <cell r="AB32">
            <v>0</v>
          </cell>
          <cell r="AF32">
            <v>0</v>
          </cell>
          <cell r="AH32">
            <v>0</v>
          </cell>
          <cell r="AJ32">
            <v>0</v>
          </cell>
          <cell r="AL32">
            <v>0</v>
          </cell>
          <cell r="AN32">
            <v>0</v>
          </cell>
          <cell r="AR32">
            <v>0</v>
          </cell>
          <cell r="AT32">
            <v>0</v>
          </cell>
          <cell r="AV32">
            <v>0</v>
          </cell>
          <cell r="AX32">
            <v>0</v>
          </cell>
          <cell r="AZ32">
            <v>0</v>
          </cell>
        </row>
        <row r="33">
          <cell r="B33" t="str">
            <v xml:space="preserve">   Options Expense</v>
          </cell>
        </row>
        <row r="34">
          <cell r="B34" t="str">
            <v>Total Operating Expenses</v>
          </cell>
          <cell r="C34">
            <v>551.1</v>
          </cell>
          <cell r="D34">
            <v>684.3</v>
          </cell>
          <cell r="E34">
            <v>895</v>
          </cell>
          <cell r="F34">
            <v>1140.5</v>
          </cell>
          <cell r="G34">
            <v>3461.6</v>
          </cell>
          <cell r="I34">
            <v>1015.1</v>
          </cell>
          <cell r="K34">
            <v>1140</v>
          </cell>
          <cell r="M34">
            <v>1266.7</v>
          </cell>
          <cell r="O34">
            <v>1507.2</v>
          </cell>
          <cell r="Q34">
            <v>4929.0000000000009</v>
          </cell>
          <cell r="T34">
            <v>1316.8</v>
          </cell>
          <cell r="U34">
            <v>0.76491086985658807</v>
          </cell>
          <cell r="V34">
            <v>1482.1</v>
          </cell>
          <cell r="W34">
            <v>0.64476750638108937</v>
          </cell>
          <cell r="X34">
            <v>1577</v>
          </cell>
          <cell r="Y34">
            <v>0.67641118316147453</v>
          </cell>
          <cell r="Z34">
            <v>1897</v>
          </cell>
          <cell r="AA34">
            <v>1.2607555714455962</v>
          </cell>
          <cell r="AB34">
            <v>6272.9</v>
          </cell>
          <cell r="AC34">
            <v>0.83043478260869508</v>
          </cell>
          <cell r="AF34">
            <v>1587</v>
          </cell>
          <cell r="AG34">
            <v>0.20519441069258804</v>
          </cell>
          <cell r="AH34">
            <v>1740</v>
          </cell>
          <cell r="AI34">
            <v>0.17400985088725474</v>
          </cell>
          <cell r="AJ34">
            <v>1720</v>
          </cell>
          <cell r="AK34">
            <v>9.0678503487634732E-2</v>
          </cell>
          <cell r="AL34">
            <v>2082</v>
          </cell>
          <cell r="AM34">
            <v>9.7522403795466506E-2</v>
          </cell>
          <cell r="AN34">
            <v>7129</v>
          </cell>
          <cell r="AO34">
            <v>0.13647595211146357</v>
          </cell>
          <cell r="AR34">
            <v>1828</v>
          </cell>
          <cell r="AS34">
            <v>0.15185885318210457</v>
          </cell>
          <cell r="AT34">
            <v>1982.0749999999998</v>
          </cell>
          <cell r="AU34">
            <v>0.1391235632183907</v>
          </cell>
          <cell r="AV34">
            <v>2131.2125000000001</v>
          </cell>
          <cell r="AW34">
            <v>0.23907703488372101</v>
          </cell>
          <cell r="AX34">
            <v>2370.078</v>
          </cell>
          <cell r="AY34">
            <v>0.13836599423631113</v>
          </cell>
          <cell r="AZ34">
            <v>8311.3654999999999</v>
          </cell>
          <cell r="BA34">
            <v>0.16585292467386736</v>
          </cell>
        </row>
        <row r="35">
          <cell r="B35" t="str">
            <v xml:space="preserve">Operating Income (Loss) </v>
          </cell>
          <cell r="C35">
            <v>457.4</v>
          </cell>
          <cell r="D35">
            <v>564.80000000000018</v>
          </cell>
          <cell r="E35">
            <v>604.29999999999995</v>
          </cell>
          <cell r="F35">
            <v>625.59999999999991</v>
          </cell>
          <cell r="G35">
            <v>2061.4</v>
          </cell>
          <cell r="I35">
            <v>746.0999999999998</v>
          </cell>
          <cell r="K35">
            <v>901.10000000000014</v>
          </cell>
          <cell r="M35">
            <v>940.7000000000005</v>
          </cell>
          <cell r="O35">
            <v>839.10000000000014</v>
          </cell>
          <cell r="Q35">
            <v>3427.0000000000009</v>
          </cell>
          <cell r="T35">
            <v>1026.2</v>
          </cell>
          <cell r="U35">
            <v>0.3754188446588933</v>
          </cell>
          <cell r="V35">
            <v>1102.8000000000002</v>
          </cell>
          <cell r="W35">
            <v>0.22383753190544886</v>
          </cell>
          <cell r="X35">
            <v>1136</v>
          </cell>
          <cell r="Y35">
            <v>0.20761135324758095</v>
          </cell>
          <cell r="Z35">
            <v>1012</v>
          </cell>
          <cell r="AA35">
            <v>0.20605410558932169</v>
          </cell>
          <cell r="AB35">
            <v>4277</v>
          </cell>
          <cell r="AC35">
            <v>0.24803034724248585</v>
          </cell>
          <cell r="AF35">
            <v>1246</v>
          </cell>
          <cell r="AG35">
            <v>0.2141882673942701</v>
          </cell>
          <cell r="AH35">
            <v>1432</v>
          </cell>
          <cell r="AI35">
            <v>0.29851287631483481</v>
          </cell>
          <cell r="AJ35">
            <v>1436</v>
          </cell>
          <cell r="AK35">
            <v>0.2640845070422535</v>
          </cell>
          <cell r="AL35">
            <v>1189</v>
          </cell>
          <cell r="AM35">
            <v>0.17490118577075098</v>
          </cell>
          <cell r="AN35">
            <v>5301</v>
          </cell>
          <cell r="AO35">
            <v>0.23942015431377128</v>
          </cell>
          <cell r="AR35">
            <v>1389</v>
          </cell>
          <cell r="AS35">
            <v>0.1147672552166934</v>
          </cell>
          <cell r="AT35">
            <v>1410.9250000000002</v>
          </cell>
          <cell r="AU35">
            <v>-1.4717178770949579E-2</v>
          </cell>
          <cell r="AV35">
            <v>1381.7874999999999</v>
          </cell>
          <cell r="AW35">
            <v>-3.7752437325905386E-2</v>
          </cell>
          <cell r="AX35">
            <v>1285.922</v>
          </cell>
          <cell r="AY35">
            <v>8.1515559293523943E-2</v>
          </cell>
          <cell r="AZ35">
            <v>5467.6345000000001</v>
          </cell>
          <cell r="BA35">
            <v>3.143454065270701E-2</v>
          </cell>
        </row>
        <row r="36">
          <cell r="B36" t="str">
            <v xml:space="preserve">   Interest, Other Income</v>
          </cell>
          <cell r="C36">
            <v>43.7</v>
          </cell>
          <cell r="D36">
            <v>45.5</v>
          </cell>
          <cell r="E36">
            <v>23.7</v>
          </cell>
          <cell r="F36">
            <v>31.299999999999983</v>
          </cell>
          <cell r="G36">
            <v>144.19999999999999</v>
          </cell>
          <cell r="I36">
            <v>32.799999999999997</v>
          </cell>
          <cell r="K36">
            <v>40.4</v>
          </cell>
          <cell r="M36">
            <v>17.2</v>
          </cell>
          <cell r="O36">
            <v>23</v>
          </cell>
          <cell r="Q36">
            <v>113.39999999999999</v>
          </cell>
          <cell r="T36">
            <v>28.6</v>
          </cell>
          <cell r="U36">
            <v>-0.12804878048780477</v>
          </cell>
          <cell r="V36">
            <v>17.600000000000001</v>
          </cell>
          <cell r="W36">
            <v>-0.5643564356435643</v>
          </cell>
          <cell r="X36">
            <v>22.5</v>
          </cell>
          <cell r="Y36">
            <v>0.30813953488372103</v>
          </cell>
          <cell r="Z36">
            <v>31</v>
          </cell>
          <cell r="AA36">
            <v>0.34782608695652173</v>
          </cell>
          <cell r="AB36">
            <v>99.7</v>
          </cell>
          <cell r="AC36">
            <v>-0.120811287477954</v>
          </cell>
          <cell r="AF36">
            <v>45</v>
          </cell>
          <cell r="AH36">
            <v>20</v>
          </cell>
          <cell r="AJ36">
            <v>48</v>
          </cell>
          <cell r="AL36">
            <v>44</v>
          </cell>
          <cell r="AN36">
            <v>157</v>
          </cell>
          <cell r="AR36">
            <v>114</v>
          </cell>
          <cell r="AT36">
            <v>80</v>
          </cell>
          <cell r="AV36">
            <v>70</v>
          </cell>
          <cell r="AX36">
            <v>65</v>
          </cell>
          <cell r="AZ36">
            <v>329</v>
          </cell>
        </row>
        <row r="37">
          <cell r="B37" t="str">
            <v xml:space="preserve">   Interest, Other Expense</v>
          </cell>
          <cell r="C37">
            <v>-7</v>
          </cell>
          <cell r="D37">
            <v>-12.7</v>
          </cell>
          <cell r="E37">
            <v>-11.6</v>
          </cell>
          <cell r="F37">
            <v>-12.900000000000002</v>
          </cell>
          <cell r="G37">
            <v>-44.2</v>
          </cell>
          <cell r="I37">
            <v>-6.9</v>
          </cell>
          <cell r="K37">
            <v>-8.8000000000000007</v>
          </cell>
          <cell r="M37">
            <v>-7.8</v>
          </cell>
          <cell r="O37">
            <v>-8</v>
          </cell>
          <cell r="Q37">
            <v>-31.5</v>
          </cell>
          <cell r="T37">
            <v>-7.5</v>
          </cell>
          <cell r="U37">
            <v>8.6956521739130377E-2</v>
          </cell>
          <cell r="V37">
            <v>-7.5</v>
          </cell>
          <cell r="W37">
            <v>-0.14772727272727282</v>
          </cell>
          <cell r="X37">
            <v>-7.5</v>
          </cell>
          <cell r="Y37">
            <v>-3.8461538461538436E-2</v>
          </cell>
          <cell r="Z37">
            <v>-30</v>
          </cell>
          <cell r="AA37">
            <v>2.75</v>
          </cell>
          <cell r="AB37">
            <v>-52.5</v>
          </cell>
          <cell r="AC37">
            <v>0.66666666666666674</v>
          </cell>
          <cell r="AF37">
            <v>-35</v>
          </cell>
          <cell r="AH37">
            <v>-34</v>
          </cell>
          <cell r="AJ37">
            <v>-34</v>
          </cell>
          <cell r="AL37">
            <v>-34</v>
          </cell>
          <cell r="AN37">
            <v>-137</v>
          </cell>
          <cell r="AR37">
            <v>-34</v>
          </cell>
          <cell r="AT37">
            <v>-34</v>
          </cell>
          <cell r="AV37">
            <v>-34</v>
          </cell>
          <cell r="AX37">
            <v>-34</v>
          </cell>
          <cell r="AZ37">
            <v>-136</v>
          </cell>
        </row>
        <row r="38">
          <cell r="B38" t="str">
            <v xml:space="preserve">  One-Time Gains / (Charges)</v>
          </cell>
          <cell r="C38">
            <v>0</v>
          </cell>
          <cell r="D38">
            <v>0</v>
          </cell>
          <cell r="E38">
            <v>-2991.8</v>
          </cell>
          <cell r="F38">
            <v>0</v>
          </cell>
          <cell r="G38">
            <v>-2991.8</v>
          </cell>
          <cell r="I38" t="e">
            <v>#REF!</v>
          </cell>
          <cell r="K38" t="e">
            <v>#REF!</v>
          </cell>
          <cell r="M38" t="e">
            <v>#REF!</v>
          </cell>
          <cell r="O38" t="e">
            <v>#REF!</v>
          </cell>
          <cell r="Q38" t="e">
            <v>#REF!</v>
          </cell>
          <cell r="V38">
            <v>0</v>
          </cell>
          <cell r="X38">
            <v>0</v>
          </cell>
          <cell r="AH38">
            <v>0</v>
          </cell>
          <cell r="AJ38">
            <v>0</v>
          </cell>
          <cell r="AO38" t="e">
            <v>#DIV/0!</v>
          </cell>
          <cell r="AT38">
            <v>0</v>
          </cell>
          <cell r="AV38">
            <v>0</v>
          </cell>
          <cell r="BA38" t="e">
            <v>#DIV/0!</v>
          </cell>
        </row>
        <row r="39">
          <cell r="B39" t="str">
            <v xml:space="preserve">  Other Adjustments</v>
          </cell>
          <cell r="E39">
            <v>-11.5</v>
          </cell>
          <cell r="F39">
            <v>-36.5</v>
          </cell>
          <cell r="G39">
            <v>-48</v>
          </cell>
          <cell r="I39" t="e">
            <v>#REF!</v>
          </cell>
          <cell r="K39" t="e">
            <v>#REF!</v>
          </cell>
          <cell r="M39" t="e">
            <v>#REF!</v>
          </cell>
          <cell r="O39" t="e">
            <v>#REF!</v>
          </cell>
          <cell r="Q39" t="e">
            <v>#REF!</v>
          </cell>
          <cell r="T39">
            <v>0</v>
          </cell>
          <cell r="V39">
            <v>0</v>
          </cell>
          <cell r="X39">
            <v>0</v>
          </cell>
          <cell r="Z39">
            <v>0</v>
          </cell>
          <cell r="AB39">
            <v>0</v>
          </cell>
          <cell r="AF39">
            <v>0</v>
          </cell>
          <cell r="AH39">
            <v>0</v>
          </cell>
          <cell r="AJ39">
            <v>0</v>
          </cell>
          <cell r="AL39">
            <v>0</v>
          </cell>
          <cell r="AN39">
            <v>0</v>
          </cell>
          <cell r="AO39" t="e">
            <v>#DIV/0!</v>
          </cell>
          <cell r="AR39">
            <v>0</v>
          </cell>
          <cell r="AT39">
            <v>0</v>
          </cell>
          <cell r="AV39">
            <v>0</v>
          </cell>
          <cell r="AX39">
            <v>0</v>
          </cell>
          <cell r="AZ39">
            <v>0</v>
          </cell>
          <cell r="BA39" t="e">
            <v>#DIV/0!</v>
          </cell>
        </row>
        <row r="40">
          <cell r="B40" t="str">
            <v xml:space="preserve">Pretax Income (Loss) </v>
          </cell>
          <cell r="C40">
            <v>494.09999999999997</v>
          </cell>
          <cell r="D40">
            <v>597.60000000000014</v>
          </cell>
          <cell r="E40">
            <v>616.4</v>
          </cell>
          <cell r="F40">
            <v>643.99999999999989</v>
          </cell>
          <cell r="G40">
            <v>2161.4</v>
          </cell>
          <cell r="I40">
            <v>771.99999999999977</v>
          </cell>
          <cell r="K40">
            <v>932.70000000000016</v>
          </cell>
          <cell r="M40">
            <v>950.10000000000059</v>
          </cell>
          <cell r="O40">
            <v>854.10000000000014</v>
          </cell>
          <cell r="Q40">
            <v>3508.900000000001</v>
          </cell>
          <cell r="T40">
            <v>1047.3</v>
          </cell>
          <cell r="U40">
            <v>0.35660621761658073</v>
          </cell>
          <cell r="V40">
            <v>1112.9000000000001</v>
          </cell>
          <cell r="W40">
            <v>0.19320253028840995</v>
          </cell>
          <cell r="X40">
            <v>1151</v>
          </cell>
          <cell r="Y40">
            <v>0.21145142616566592</v>
          </cell>
          <cell r="Z40">
            <v>1013</v>
          </cell>
          <cell r="AA40">
            <v>0.18604378878351469</v>
          </cell>
          <cell r="AB40">
            <v>4324.2</v>
          </cell>
          <cell r="AC40">
            <v>0.23235201915130066</v>
          </cell>
          <cell r="AF40">
            <v>1256</v>
          </cell>
          <cell r="AG40">
            <v>0.19927432445335636</v>
          </cell>
          <cell r="AH40">
            <v>1418</v>
          </cell>
          <cell r="AI40">
            <v>0.27414862072063961</v>
          </cell>
          <cell r="AJ40">
            <v>1450</v>
          </cell>
          <cell r="AK40">
            <v>0.2597741094700261</v>
          </cell>
          <cell r="AL40">
            <v>1199</v>
          </cell>
          <cell r="AM40">
            <v>0.18361303060217171</v>
          </cell>
          <cell r="AN40">
            <v>5321</v>
          </cell>
          <cell r="AO40">
            <v>0.23051662735303635</v>
          </cell>
          <cell r="AR40">
            <v>1469</v>
          </cell>
          <cell r="AS40">
            <v>0.16958598726114649</v>
          </cell>
          <cell r="AT40">
            <v>1456.9250000000002</v>
          </cell>
          <cell r="AU40">
            <v>2.7450634696756016E-2</v>
          </cell>
          <cell r="AV40">
            <v>1417.7874999999999</v>
          </cell>
          <cell r="AW40">
            <v>-2.2215517241379379E-2</v>
          </cell>
          <cell r="AX40">
            <v>1316.922</v>
          </cell>
          <cell r="AY40">
            <v>9.8350291909925058E-2</v>
          </cell>
          <cell r="AZ40">
            <v>5660.6345000000001</v>
          </cell>
          <cell r="BA40">
            <v>6.3829073482428056E-2</v>
          </cell>
        </row>
        <row r="41">
          <cell r="B41" t="str">
            <v xml:space="preserve">   Provision For Income Taxes</v>
          </cell>
          <cell r="C41">
            <v>153.19999999999999</v>
          </cell>
          <cell r="D41">
            <v>185.2</v>
          </cell>
          <cell r="E41">
            <v>155.6</v>
          </cell>
          <cell r="F41">
            <v>172.7</v>
          </cell>
          <cell r="G41">
            <v>707.4</v>
          </cell>
          <cell r="I41">
            <v>194.8</v>
          </cell>
          <cell r="K41">
            <v>241.5</v>
          </cell>
          <cell r="M41">
            <v>254.1</v>
          </cell>
          <cell r="O41">
            <v>223.2</v>
          </cell>
          <cell r="Q41">
            <v>913.59999999999991</v>
          </cell>
          <cell r="T41">
            <v>295</v>
          </cell>
          <cell r="U41">
            <v>0.51437371663244336</v>
          </cell>
          <cell r="V41">
            <v>304.3</v>
          </cell>
          <cell r="W41">
            <v>0.26004140786749486</v>
          </cell>
          <cell r="X41">
            <v>312</v>
          </cell>
          <cell r="Y41">
            <v>0.22786304604486429</v>
          </cell>
          <cell r="Z41">
            <v>264</v>
          </cell>
          <cell r="AA41">
            <v>0.18279569892473124</v>
          </cell>
          <cell r="AB41">
            <v>1175.3</v>
          </cell>
          <cell r="AC41">
            <v>0.28644921190893169</v>
          </cell>
          <cell r="AF41">
            <v>332</v>
          </cell>
          <cell r="AG41">
            <v>0.12542372881355934</v>
          </cell>
          <cell r="AH41">
            <v>314</v>
          </cell>
          <cell r="AI41">
            <v>3.1876437725928408E-2</v>
          </cell>
          <cell r="AJ41">
            <v>381</v>
          </cell>
          <cell r="AK41">
            <v>0.22115384615384626</v>
          </cell>
          <cell r="AL41">
            <v>271</v>
          </cell>
          <cell r="AM41">
            <v>2.6515151515151603E-2</v>
          </cell>
          <cell r="AN41">
            <v>1298</v>
          </cell>
          <cell r="AO41">
            <v>0.10439887688249816</v>
          </cell>
          <cell r="AR41">
            <v>368</v>
          </cell>
          <cell r="AS41">
            <v>0.10843373493975905</v>
          </cell>
          <cell r="AT41">
            <v>331.45043750000008</v>
          </cell>
          <cell r="AU41">
            <v>5.5574641719745577E-2</v>
          </cell>
          <cell r="AV41">
            <v>326.09112499999998</v>
          </cell>
          <cell r="AW41">
            <v>-0.14411778215223103</v>
          </cell>
          <cell r="AX41">
            <v>299.59975500000002</v>
          </cell>
          <cell r="AY41">
            <v>0.10553415129151289</v>
          </cell>
          <cell r="AZ41">
            <v>1325.1413175</v>
          </cell>
          <cell r="BA41">
            <v>2.0910105932203438E-2</v>
          </cell>
        </row>
        <row r="42">
          <cell r="B42" t="str">
            <v xml:space="preserve">   Effective Tax Rate</v>
          </cell>
          <cell r="C42">
            <v>0.3100586925723538</v>
          </cell>
          <cell r="D42">
            <v>0.30990629183400259</v>
          </cell>
          <cell r="E42">
            <v>0.25243348475016225</v>
          </cell>
          <cell r="F42">
            <v>0.26816770186335409</v>
          </cell>
          <cell r="G42">
            <v>0.32728786897381323</v>
          </cell>
          <cell r="I42">
            <v>0.25233160621761669</v>
          </cell>
          <cell r="K42">
            <v>0.25892569958185907</v>
          </cell>
          <cell r="M42">
            <v>0.26744553204925781</v>
          </cell>
          <cell r="O42">
            <v>0.26132771338250788</v>
          </cell>
          <cell r="Q42">
            <v>0.26036649662287314</v>
          </cell>
          <cell r="T42">
            <v>0.2816766924472453</v>
          </cell>
          <cell r="V42">
            <v>0.27342977805732771</v>
          </cell>
          <cell r="X42">
            <v>0.27106863596872283</v>
          </cell>
          <cell r="Z42">
            <v>0.26061204343534056</v>
          </cell>
          <cell r="AB42">
            <v>0.27179593913325006</v>
          </cell>
          <cell r="AF42">
            <v>0.2643312101910828</v>
          </cell>
          <cell r="AH42">
            <v>0.22143864598025387</v>
          </cell>
          <cell r="AJ42">
            <v>0.26275862068965516</v>
          </cell>
          <cell r="AL42">
            <v>0.22602168473728107</v>
          </cell>
          <cell r="AN42">
            <v>0.24393910919000189</v>
          </cell>
          <cell r="AR42">
            <v>0.25051055139550715</v>
          </cell>
          <cell r="AT42">
            <v>0.22750000000000001</v>
          </cell>
          <cell r="AV42">
            <v>0.23</v>
          </cell>
          <cell r="AX42">
            <v>0.22750000000000001</v>
          </cell>
          <cell r="AZ42">
            <v>0.2340976647582528</v>
          </cell>
          <cell r="BB42" t="str">
            <v>&lt;24%</v>
          </cell>
        </row>
        <row r="43">
          <cell r="B43" t="str">
            <v>Net Income (Loss), pro forma</v>
          </cell>
          <cell r="C43">
            <v>340.9</v>
          </cell>
          <cell r="D43">
            <v>412.40000000000015</v>
          </cell>
          <cell r="E43">
            <v>460.79999999999995</v>
          </cell>
          <cell r="F43">
            <v>471.2999999999999</v>
          </cell>
          <cell r="G43">
            <v>1454</v>
          </cell>
          <cell r="I43">
            <v>577.19999999999982</v>
          </cell>
          <cell r="K43">
            <v>691.20000000000016</v>
          </cell>
          <cell r="M43">
            <v>696.00000000000057</v>
          </cell>
          <cell r="O43">
            <v>630.90000000000009</v>
          </cell>
          <cell r="Q43">
            <v>2595.3000000000011</v>
          </cell>
          <cell r="T43">
            <v>752.3</v>
          </cell>
          <cell r="U43">
            <v>0.30336105336105379</v>
          </cell>
          <cell r="V43">
            <v>808.60000000000014</v>
          </cell>
          <cell r="W43">
            <v>0.16984953703703698</v>
          </cell>
          <cell r="X43">
            <v>839</v>
          </cell>
          <cell r="Y43">
            <v>0.20545977011494165</v>
          </cell>
          <cell r="Z43">
            <v>749</v>
          </cell>
          <cell r="AA43">
            <v>0.18719289903312708</v>
          </cell>
          <cell r="AB43">
            <v>3148.8999999999996</v>
          </cell>
          <cell r="AC43">
            <v>0.21330867337109316</v>
          </cell>
          <cell r="AF43">
            <v>924</v>
          </cell>
          <cell r="AG43">
            <v>0.22823341751960657</v>
          </cell>
          <cell r="AH43">
            <v>1104</v>
          </cell>
          <cell r="AI43">
            <v>0.36532278011377661</v>
          </cell>
          <cell r="AJ43">
            <v>1069</v>
          </cell>
          <cell r="AK43">
            <v>0.27413587604290823</v>
          </cell>
          <cell r="AL43">
            <v>928</v>
          </cell>
          <cell r="AM43">
            <v>0.23898531375166887</v>
          </cell>
          <cell r="AN43">
            <v>4023</v>
          </cell>
          <cell r="AO43">
            <v>0.27758899933310066</v>
          </cell>
          <cell r="AR43">
            <v>1101</v>
          </cell>
          <cell r="AS43">
            <v>0.19155844155844148</v>
          </cell>
          <cell r="AT43">
            <v>1125.4745625</v>
          </cell>
          <cell r="AU43">
            <v>1.9451596467391363E-2</v>
          </cell>
          <cell r="AV43">
            <v>1091.696375</v>
          </cell>
          <cell r="AW43">
            <v>2.123140785781108E-2</v>
          </cell>
          <cell r="AX43">
            <v>1017.3222450000001</v>
          </cell>
          <cell r="AY43">
            <v>9.6252419181034554E-2</v>
          </cell>
          <cell r="AZ43">
            <v>4335.4931825000003</v>
          </cell>
          <cell r="BA43">
            <v>7.7676654859557548E-2</v>
          </cell>
        </row>
        <row r="45">
          <cell r="B45" t="str">
            <v>EPS, basic</v>
          </cell>
          <cell r="C45">
            <v>0.32665772326561904</v>
          </cell>
          <cell r="D45">
            <v>0.39707298286154458</v>
          </cell>
          <cell r="E45">
            <v>0.37110413143271315</v>
          </cell>
          <cell r="F45">
            <v>0.36654223051796542</v>
          </cell>
          <cell r="G45">
            <v>1.2605114867793672</v>
          </cell>
          <cell r="I45">
            <v>0.44726850058116996</v>
          </cell>
          <cell r="K45">
            <v>0.53668763102725381</v>
          </cell>
          <cell r="M45">
            <v>0.53978594695207116</v>
          </cell>
          <cell r="O45">
            <v>0.49081997821689749</v>
          </cell>
          <cell r="Q45">
            <v>2.0143588947531827</v>
          </cell>
          <cell r="T45">
            <v>0.58801000468969822</v>
          </cell>
          <cell r="V45">
            <v>0.63759659359722454</v>
          </cell>
          <cell r="X45">
            <v>0.65959119496855345</v>
          </cell>
          <cell r="Z45">
            <v>0.59303246239113228</v>
          </cell>
          <cell r="AB45">
            <v>2.4781804588202885</v>
          </cell>
          <cell r="AF45">
            <v>0.73979183346677346</v>
          </cell>
          <cell r="AH45">
            <v>0.89537712895377131</v>
          </cell>
          <cell r="AJ45">
            <v>0.86699107866991076</v>
          </cell>
          <cell r="AL45">
            <v>0.75508543531326278</v>
          </cell>
          <cell r="AM45">
            <v>3.2572454764037184</v>
          </cell>
          <cell r="AN45">
            <v>3.2548543689320391</v>
          </cell>
          <cell r="AR45">
            <v>0.91597337770382692</v>
          </cell>
          <cell r="AT45">
            <v>0.97029524410955836</v>
          </cell>
          <cell r="AV45">
            <v>0.95068117137336827</v>
          </cell>
          <cell r="AX45">
            <v>0.89486262735353794</v>
          </cell>
          <cell r="AZ45">
            <v>3.731777351192334</v>
          </cell>
        </row>
        <row r="46">
          <cell r="B46" t="str">
            <v>EPS, diluted</v>
          </cell>
          <cell r="C46">
            <v>0.3187350313190862</v>
          </cell>
          <cell r="D46">
            <v>0.37997702038587561</v>
          </cell>
          <cell r="E46">
            <v>0.37522650398647012</v>
          </cell>
          <cell r="F46">
            <v>0.35358375389639296</v>
          </cell>
          <cell r="G46">
            <v>1.2782618118768962</v>
          </cell>
          <cell r="I46">
            <v>0.4313791762352765</v>
          </cell>
          <cell r="K46">
            <v>0.5169404231625836</v>
          </cell>
          <cell r="M46">
            <v>0.52015635432895657</v>
          </cell>
          <cell r="O46">
            <v>0.4746408582089553</v>
          </cell>
          <cell r="Q46">
            <v>1.9433692421991091</v>
          </cell>
          <cell r="T46">
            <v>0.56841932457786115</v>
          </cell>
          <cell r="V46">
            <v>0.61752959702511956</v>
          </cell>
          <cell r="X46">
            <v>0.63948390151515144</v>
          </cell>
          <cell r="Z46">
            <v>0.57566316793893124</v>
          </cell>
          <cell r="AB46">
            <v>2.4009507215635768</v>
          </cell>
          <cell r="AF46">
            <v>0.72024709302325585</v>
          </cell>
          <cell r="AH46">
            <v>0.88400000000000001</v>
          </cell>
          <cell r="AJ46">
            <v>0.85652522017614086</v>
          </cell>
          <cell r="AL46">
            <v>0.74658085277554309</v>
          </cell>
          <cell r="AN46">
            <v>3.2027027027027026</v>
          </cell>
          <cell r="AR46">
            <v>0.90691927512355852</v>
          </cell>
          <cell r="AS46">
            <v>0.25917797365448769</v>
          </cell>
          <cell r="AT46">
            <v>0.9607041873308807</v>
          </cell>
          <cell r="AU46">
            <v>8.6769442681991826E-2</v>
          </cell>
          <cell r="AV46">
            <v>0.9412839934026267</v>
          </cell>
          <cell r="AW46">
            <v>9.8956541185156954E-2</v>
          </cell>
          <cell r="AX46">
            <v>0.8860171977586101</v>
          </cell>
          <cell r="AY46">
            <v>0.18676656984262108</v>
          </cell>
          <cell r="AZ46">
            <v>3.6698689952539394</v>
          </cell>
          <cell r="BA46">
            <v>0.14586626856030183</v>
          </cell>
          <cell r="BB46" t="str">
            <v>3.60-3.70</v>
          </cell>
        </row>
        <row r="48">
          <cell r="B48" t="str">
            <v xml:space="preserve">  Options expense</v>
          </cell>
          <cell r="AR48">
            <v>68</v>
          </cell>
          <cell r="AT48">
            <v>69.372624999999999</v>
          </cell>
          <cell r="AV48">
            <v>74.592437500000017</v>
          </cell>
          <cell r="AX48">
            <v>82.952730000000003</v>
          </cell>
          <cell r="AZ48">
            <v>294.91779250000002</v>
          </cell>
        </row>
        <row r="49">
          <cell r="B49" t="str">
            <v>% of operating expense</v>
          </cell>
          <cell r="AR49">
            <v>3.7199124726477024E-2</v>
          </cell>
          <cell r="AT49">
            <v>3.5000000000000003E-2</v>
          </cell>
          <cell r="AV49">
            <v>3.5000000000000003E-2</v>
          </cell>
          <cell r="AX49">
            <v>3.5000000000000003E-2</v>
          </cell>
          <cell r="AZ49">
            <v>3.5483675035107048E-2</v>
          </cell>
        </row>
        <row r="50">
          <cell r="B50" t="str">
            <v>Net Income (incl options exp)</v>
          </cell>
          <cell r="AR50">
            <v>1050.0347174948945</v>
          </cell>
          <cell r="AT50">
            <v>1071.8842096875001</v>
          </cell>
          <cell r="AV50">
            <v>1034.260198125</v>
          </cell>
          <cell r="AX50">
            <v>953.24126107500001</v>
          </cell>
          <cell r="AZ50">
            <v>4040.5753900000004</v>
          </cell>
        </row>
        <row r="52">
          <cell r="B52" t="str">
            <v>EPS, diluted (incl option exp)</v>
          </cell>
          <cell r="AR52">
            <v>0.8676518883415435</v>
          </cell>
          <cell r="AT52">
            <v>0.92221351610314906</v>
          </cell>
          <cell r="AV52">
            <v>0.8994791153375481</v>
          </cell>
          <cell r="AX52">
            <v>0.83905724506666113</v>
          </cell>
          <cell r="AZ52">
            <v>3.5315180425397048</v>
          </cell>
        </row>
        <row r="53">
          <cell r="B53" t="str">
            <v>EPS, Reported GAAP</v>
          </cell>
          <cell r="C53">
            <v>0.32665772326561904</v>
          </cell>
          <cell r="D53">
            <v>0.39707298286154458</v>
          </cell>
          <cell r="E53">
            <v>-2.0951920753805271</v>
          </cell>
          <cell r="F53">
            <v>0.30074661689220716</v>
          </cell>
          <cell r="G53">
            <v>-1.467706978760295</v>
          </cell>
          <cell r="I53">
            <v>0.38225493994575732</v>
          </cell>
          <cell r="K53">
            <v>0.47146517586769165</v>
          </cell>
          <cell r="M53">
            <v>0.4747169225996592</v>
          </cell>
          <cell r="O53">
            <v>0.42547067060837096</v>
          </cell>
          <cell r="Q53">
            <v>1.7537255510710965</v>
          </cell>
          <cell r="T53">
            <v>0.53947162732530862</v>
          </cell>
          <cell r="V53">
            <v>0.58989118435577992</v>
          </cell>
          <cell r="X53">
            <v>0.18600628930817609</v>
          </cell>
          <cell r="Z53">
            <v>0.54758511480601746</v>
          </cell>
          <cell r="AB53">
            <v>1.8498406327470192</v>
          </cell>
          <cell r="AF53">
            <v>0.68374699759807844</v>
          </cell>
          <cell r="AH53">
            <v>0.85482562854825628</v>
          </cell>
          <cell r="AJ53">
            <v>0.78588807785888082</v>
          </cell>
          <cell r="AL53">
            <v>0.67046379170056958</v>
          </cell>
          <cell r="AN53">
            <v>2.9724919093851132</v>
          </cell>
          <cell r="AR53">
            <v>0.8327787021630616</v>
          </cell>
          <cell r="AT53">
            <v>0.38232872888881225</v>
          </cell>
          <cell r="AV53">
            <v>0.92281463432093214</v>
          </cell>
          <cell r="AX53">
            <v>0.86671461012885487</v>
          </cell>
          <cell r="AZ53">
            <v>3.1196891571852658</v>
          </cell>
        </row>
        <row r="54">
          <cell r="B54" t="str">
            <v>EPS, Reported GAAP -Diluted</v>
          </cell>
          <cell r="C54">
            <v>0.3187350313190862</v>
          </cell>
          <cell r="D54">
            <v>0.37997702038587561</v>
          </cell>
          <cell r="E54">
            <v>-2.0910697028267697</v>
          </cell>
          <cell r="F54">
            <v>0.29079616298055505</v>
          </cell>
          <cell r="G54">
            <v>-1.4499566536627657</v>
          </cell>
          <cell r="I54">
            <v>0.36922642417956869</v>
          </cell>
          <cell r="K54">
            <v>0.4545796213808464</v>
          </cell>
          <cell r="M54">
            <v>0.45791138066622195</v>
          </cell>
          <cell r="O54">
            <v>0.41195429104477616</v>
          </cell>
          <cell r="Q54">
            <v>1.6938893016344732</v>
          </cell>
          <cell r="T54">
            <v>0.52181519699812373</v>
          </cell>
          <cell r="V54">
            <v>0.57161626318585423</v>
          </cell>
          <cell r="X54">
            <v>0.18312026515151514</v>
          </cell>
          <cell r="Z54">
            <v>0.53184637404580148</v>
          </cell>
          <cell r="AB54">
            <v>1.7961251467747434</v>
          </cell>
          <cell r="AF54">
            <v>0.66598352713178288</v>
          </cell>
          <cell r="AH54">
            <v>0.84399999999999997</v>
          </cell>
          <cell r="AJ54">
            <v>0.77646116893514805</v>
          </cell>
          <cell r="AL54">
            <v>0.66291230893000808</v>
          </cell>
          <cell r="AN54">
            <v>2.9252782193958664</v>
          </cell>
          <cell r="AR54">
            <v>0.82183908045977017</v>
          </cell>
          <cell r="AS54">
            <v>0.23402313567606758</v>
          </cell>
          <cell r="AT54">
            <v>0.31933311495420447</v>
          </cell>
          <cell r="AU54">
            <v>-0.62164322872724587</v>
          </cell>
          <cell r="AV54">
            <v>0.9136929081167714</v>
          </cell>
          <cell r="AW54">
            <v>0.17673998993384976</v>
          </cell>
          <cell r="AX54">
            <v>0.85814741464158462</v>
          </cell>
          <cell r="AY54">
            <v>0.29451120922268159</v>
          </cell>
          <cell r="AZ54">
            <v>3.0888520320730564</v>
          </cell>
          <cell r="BA54">
            <v>5.5917352268452403E-2</v>
          </cell>
        </row>
        <row r="55">
          <cell r="B55" t="str">
            <v xml:space="preserve">Basic Shares Outstanding </v>
          </cell>
          <cell r="C55">
            <v>1043.5999999999999</v>
          </cell>
          <cell r="D55">
            <v>1038.5999999999999</v>
          </cell>
          <cell r="E55">
            <v>1241.7</v>
          </cell>
          <cell r="F55">
            <v>1285.8</v>
          </cell>
          <cell r="G55">
            <v>1153.5</v>
          </cell>
          <cell r="I55">
            <v>1290.5</v>
          </cell>
          <cell r="K55">
            <v>1287.9000000000001</v>
          </cell>
          <cell r="M55">
            <v>1289.4000000000001</v>
          </cell>
          <cell r="O55">
            <v>1285.4000000000001</v>
          </cell>
          <cell r="Q55">
            <v>1288.4000000000001</v>
          </cell>
          <cell r="T55">
            <v>1279.4000000000001</v>
          </cell>
          <cell r="U55">
            <v>-8.6013173188685954E-3</v>
          </cell>
          <cell r="V55">
            <v>1268.2</v>
          </cell>
          <cell r="W55">
            <v>-1.5296218650516336E-2</v>
          </cell>
          <cell r="X55">
            <v>1272</v>
          </cell>
          <cell r="Y55">
            <v>-1.349464867380179E-2</v>
          </cell>
          <cell r="Z55">
            <v>1263</v>
          </cell>
          <cell r="AA55">
            <v>-1.7426482028940482E-2</v>
          </cell>
          <cell r="AB55">
            <v>1270.6500000000001</v>
          </cell>
          <cell r="AC55">
            <v>-1.3776777398323503E-2</v>
          </cell>
          <cell r="AF55">
            <v>1249</v>
          </cell>
          <cell r="AG55">
            <v>-2.3761138033453255E-2</v>
          </cell>
          <cell r="AH55">
            <v>1233</v>
          </cell>
          <cell r="AI55">
            <v>-2.7755874467749631E-2</v>
          </cell>
          <cell r="AJ55">
            <v>1233</v>
          </cell>
          <cell r="AK55">
            <v>-3.0660377358490587E-2</v>
          </cell>
          <cell r="AL55">
            <v>1229</v>
          </cell>
          <cell r="AM55">
            <v>-2.6920031670625511E-2</v>
          </cell>
          <cell r="AN55">
            <v>1236</v>
          </cell>
          <cell r="AO55">
            <v>-2.726950773226311E-2</v>
          </cell>
          <cell r="AR55">
            <v>1202</v>
          </cell>
          <cell r="AS55">
            <v>-3.7630104083266613E-2</v>
          </cell>
          <cell r="AT55">
            <v>1159.93</v>
          </cell>
          <cell r="AU55">
            <v>-5.926196269261963E-2</v>
          </cell>
          <cell r="AV55">
            <v>1148.3307</v>
          </cell>
          <cell r="AW55">
            <v>-6.86693430656935E-2</v>
          </cell>
          <cell r="AX55">
            <v>1136.847393</v>
          </cell>
          <cell r="AY55">
            <v>-7.4981779495524759E-2</v>
          </cell>
          <cell r="AZ55">
            <v>1161.7770232500002</v>
          </cell>
          <cell r="BA55">
            <v>-6.0050952063106622E-2</v>
          </cell>
        </row>
        <row r="56">
          <cell r="B56" t="str">
            <v>Diluted Shares Outstanding</v>
          </cell>
          <cell r="C56">
            <v>1085.5999999999999</v>
          </cell>
          <cell r="D56">
            <v>1098.8</v>
          </cell>
          <cell r="E56">
            <v>1241.7</v>
          </cell>
          <cell r="F56">
            <v>1347.4</v>
          </cell>
          <cell r="G56">
            <v>1153.5</v>
          </cell>
          <cell r="I56">
            <v>1349.9</v>
          </cell>
          <cell r="K56">
            <v>1347</v>
          </cell>
          <cell r="M56">
            <v>1347.9</v>
          </cell>
          <cell r="O56">
            <v>1340</v>
          </cell>
          <cell r="Q56">
            <v>1346</v>
          </cell>
          <cell r="T56">
            <v>1332.5</v>
          </cell>
          <cell r="U56">
            <v>-1.2889843692125424E-2</v>
          </cell>
          <cell r="V56">
            <v>1317.7</v>
          </cell>
          <cell r="W56">
            <v>-2.1752041573867786E-2</v>
          </cell>
          <cell r="X56">
            <v>1320</v>
          </cell>
          <cell r="Y56">
            <v>-2.069886490095707E-2</v>
          </cell>
          <cell r="Z56">
            <v>1310</v>
          </cell>
          <cell r="AA56">
            <v>-2.2388059701492491E-2</v>
          </cell>
          <cell r="AB56">
            <v>1320.05</v>
          </cell>
          <cell r="AC56">
            <v>-1.9279346210995585E-2</v>
          </cell>
          <cell r="AF56">
            <v>1290</v>
          </cell>
          <cell r="AG56">
            <v>-3.1894934333958735E-2</v>
          </cell>
          <cell r="AH56">
            <v>1250</v>
          </cell>
          <cell r="AI56">
            <v>-5.1377400015177987E-2</v>
          </cell>
          <cell r="AJ56">
            <v>1249</v>
          </cell>
          <cell r="AK56">
            <v>-5.3787878787878829E-2</v>
          </cell>
          <cell r="AL56">
            <v>1243</v>
          </cell>
          <cell r="AM56">
            <v>-5.1145038167938917E-2</v>
          </cell>
          <cell r="AN56">
            <v>1258</v>
          </cell>
          <cell r="AO56">
            <v>-4.7005795235028902E-2</v>
          </cell>
          <cell r="AR56">
            <v>1214</v>
          </cell>
          <cell r="AS56">
            <v>-5.8914728682170514E-2</v>
          </cell>
          <cell r="AT56">
            <v>1171.51</v>
          </cell>
          <cell r="AU56">
            <v>-6.2791999999999959E-2</v>
          </cell>
          <cell r="AV56">
            <v>1159.7948999999999</v>
          </cell>
          <cell r="AW56">
            <v>-7.1421216973578949E-2</v>
          </cell>
          <cell r="AX56">
            <v>1148.1969509999999</v>
          </cell>
          <cell r="AY56">
            <v>-7.6269548672566412E-2</v>
          </cell>
          <cell r="AZ56">
            <v>1173.37546275</v>
          </cell>
          <cell r="BA56">
            <v>-6.726910751192372E-2</v>
          </cell>
        </row>
        <row r="58">
          <cell r="B58" t="str">
            <v>Amortization of Acquired Intangibles</v>
          </cell>
          <cell r="E58">
            <v>70.599999999999994</v>
          </cell>
          <cell r="F58">
            <v>84.6</v>
          </cell>
          <cell r="G58">
            <v>155.19999999999999</v>
          </cell>
          <cell r="I58">
            <v>83.9</v>
          </cell>
          <cell r="K58">
            <v>84</v>
          </cell>
          <cell r="M58">
            <v>83.9</v>
          </cell>
          <cell r="O58">
            <v>84</v>
          </cell>
          <cell r="Q58">
            <v>335.8</v>
          </cell>
          <cell r="T58">
            <v>-98.1</v>
          </cell>
          <cell r="V58">
            <v>-96.100000000000009</v>
          </cell>
          <cell r="X58">
            <v>-100</v>
          </cell>
          <cell r="Z58">
            <v>-93</v>
          </cell>
          <cell r="AB58">
            <v>-387.2</v>
          </cell>
          <cell r="AF58">
            <v>-87</v>
          </cell>
          <cell r="AH58">
            <v>-87</v>
          </cell>
          <cell r="AJ58">
            <v>-86</v>
          </cell>
          <cell r="AL58">
            <v>-87</v>
          </cell>
          <cell r="AN58">
            <v>-347</v>
          </cell>
          <cell r="AR58">
            <v>-87</v>
          </cell>
          <cell r="AT58">
            <v>-87</v>
          </cell>
          <cell r="AV58">
            <v>-87</v>
          </cell>
          <cell r="AX58">
            <v>-87</v>
          </cell>
          <cell r="AZ58">
            <v>-97</v>
          </cell>
        </row>
        <row r="59">
          <cell r="B59" t="str">
            <v>Write off of IPR&amp;D</v>
          </cell>
          <cell r="E59">
            <v>2991.8</v>
          </cell>
          <cell r="G59">
            <v>2991.8</v>
          </cell>
          <cell r="X59">
            <v>-554</v>
          </cell>
          <cell r="AB59">
            <v>-554</v>
          </cell>
          <cell r="AN59">
            <v>0</v>
          </cell>
          <cell r="AT59">
            <v>-650</v>
          </cell>
          <cell r="AZ59">
            <v>-650</v>
          </cell>
        </row>
        <row r="60">
          <cell r="B60" t="str">
            <v>legal settlements</v>
          </cell>
          <cell r="AN60">
            <v>-49</v>
          </cell>
        </row>
        <row r="61">
          <cell r="B61" t="str">
            <v>COGS</v>
          </cell>
          <cell r="X61">
            <v>4</v>
          </cell>
          <cell r="AJ61">
            <v>-47</v>
          </cell>
          <cell r="AN61">
            <v>-47</v>
          </cell>
        </row>
        <row r="62">
          <cell r="B62" t="str">
            <v>R&amp;D</v>
          </cell>
          <cell r="X62">
            <v>8</v>
          </cell>
          <cell r="AF62">
            <v>-3</v>
          </cell>
          <cell r="AH62">
            <v>-3</v>
          </cell>
          <cell r="AJ62">
            <v>-3</v>
          </cell>
          <cell r="AL62">
            <v>-3</v>
          </cell>
          <cell r="AN62">
            <v>-12</v>
          </cell>
        </row>
        <row r="63">
          <cell r="B63" t="str">
            <v>SG&amp;A</v>
          </cell>
          <cell r="X63">
            <v>4</v>
          </cell>
          <cell r="AL63">
            <v>2</v>
          </cell>
          <cell r="AN63">
            <v>2</v>
          </cell>
        </row>
        <row r="64">
          <cell r="B64" t="str">
            <v>Interest expense</v>
          </cell>
          <cell r="AF64">
            <v>-20</v>
          </cell>
          <cell r="AN64">
            <v>0</v>
          </cell>
        </row>
        <row r="65">
          <cell r="B65" t="str">
            <v>Tax provision</v>
          </cell>
          <cell r="T65">
            <v>36</v>
          </cell>
          <cell r="V65">
            <v>35.6</v>
          </cell>
          <cell r="X65">
            <v>35.6</v>
          </cell>
          <cell r="Z65">
            <v>35.6</v>
          </cell>
          <cell r="AB65">
            <v>142.79999999999998</v>
          </cell>
          <cell r="AF65">
            <v>40</v>
          </cell>
          <cell r="AH65">
            <v>40</v>
          </cell>
          <cell r="AJ65">
            <v>36</v>
          </cell>
          <cell r="AL65">
            <v>-16</v>
          </cell>
          <cell r="AN65">
            <v>104</v>
          </cell>
          <cell r="AR65">
            <v>55</v>
          </cell>
          <cell r="AT65">
            <v>55</v>
          </cell>
          <cell r="AV65">
            <v>55</v>
          </cell>
          <cell r="AX65">
            <v>55</v>
          </cell>
          <cell r="AZ65">
            <v>35.89</v>
          </cell>
        </row>
        <row r="66">
          <cell r="B66" t="str">
            <v>implied tax rate</v>
          </cell>
          <cell r="T66">
            <v>-0.3669724770642202</v>
          </cell>
          <cell r="V66">
            <v>-0.37044745057232048</v>
          </cell>
          <cell r="X66">
            <v>-0.35600000000000004</v>
          </cell>
          <cell r="Z66">
            <v>-0.3827956989247312</v>
          </cell>
          <cell r="AB66">
            <v>-0.36880165289256195</v>
          </cell>
          <cell r="AF66">
            <v>-0.45977011494252873</v>
          </cell>
          <cell r="AH66">
            <v>-0.45977011494252873</v>
          </cell>
          <cell r="AJ66">
            <v>-0.41860465116279072</v>
          </cell>
          <cell r="AL66">
            <v>0.18390804597701149</v>
          </cell>
          <cell r="AN66">
            <v>-0.29971181556195964</v>
          </cell>
          <cell r="AR66">
            <v>-0.63218390804597702</v>
          </cell>
          <cell r="AT66">
            <v>-0.63218390804597702</v>
          </cell>
          <cell r="AV66">
            <v>-0.63218390804597702</v>
          </cell>
          <cell r="AX66">
            <v>-0.63218390804597702</v>
          </cell>
        </row>
        <row r="67">
          <cell r="B67" t="str">
            <v>GAAP net income</v>
          </cell>
          <cell r="AR67">
            <v>1001</v>
          </cell>
          <cell r="AT67">
            <v>374.10193750000008</v>
          </cell>
          <cell r="AV67">
            <v>985.10393750000003</v>
          </cell>
          <cell r="AX67">
            <v>902.36951500000009</v>
          </cell>
          <cell r="AZ67">
            <v>3329.4653900000003</v>
          </cell>
        </row>
        <row r="68">
          <cell r="B68" t="str">
            <v>GAAP diluted share count</v>
          </cell>
          <cell r="AR68">
            <v>1218</v>
          </cell>
          <cell r="AT68">
            <v>1171.51</v>
          </cell>
          <cell r="AV68">
            <v>1159.7948999999999</v>
          </cell>
          <cell r="AX68">
            <v>1148.1969509999999</v>
          </cell>
          <cell r="AZ68">
            <v>1173.37546275</v>
          </cell>
        </row>
        <row r="69">
          <cell r="AR69">
            <v>1.0133111480865225</v>
          </cell>
        </row>
        <row r="70">
          <cell r="B70" t="str">
            <v>Convertible interest add-back</v>
          </cell>
          <cell r="C70">
            <v>5.1187500000000004</v>
          </cell>
          <cell r="D70">
            <v>5.1187500000000004</v>
          </cell>
          <cell r="E70">
            <v>5.1187500000000004</v>
          </cell>
          <cell r="F70">
            <v>5.1187500000000004</v>
          </cell>
          <cell r="G70">
            <v>20.475000000000001</v>
          </cell>
          <cell r="I70">
            <v>5.1187500000000004</v>
          </cell>
          <cell r="K70">
            <v>5.1187500000000004</v>
          </cell>
          <cell r="M70">
            <v>5.1187500000000004</v>
          </cell>
          <cell r="O70">
            <v>5.1187500000000004</v>
          </cell>
          <cell r="Q70">
            <v>20.475000000000001</v>
          </cell>
          <cell r="T70">
            <v>5.1187500000000004</v>
          </cell>
          <cell r="V70">
            <v>5.1187500000000004</v>
          </cell>
          <cell r="X70">
            <v>5.1187500000000004</v>
          </cell>
          <cell r="Z70">
            <v>5.1187500000000004</v>
          </cell>
          <cell r="AB70">
            <v>20.475000000000001</v>
          </cell>
          <cell r="AF70">
            <v>5.1187500000000004</v>
          </cell>
          <cell r="AH70">
            <v>1</v>
          </cell>
          <cell r="AJ70">
            <v>0.8</v>
          </cell>
          <cell r="AN70">
            <v>6</v>
          </cell>
          <cell r="AR70">
            <v>0</v>
          </cell>
          <cell r="AT70">
            <v>0</v>
          </cell>
          <cell r="AV70">
            <v>0</v>
          </cell>
          <cell r="AX70">
            <v>0</v>
          </cell>
          <cell r="AZ70">
            <v>0</v>
          </cell>
        </row>
        <row r="72">
          <cell r="B72" t="str">
            <v>EPS, GAAP</v>
          </cell>
          <cell r="Q72">
            <v>1.6938893016344732</v>
          </cell>
        </row>
        <row r="74">
          <cell r="B74" t="str">
            <v>CHECK GAAP</v>
          </cell>
          <cell r="E74">
            <v>3957.4</v>
          </cell>
        </row>
      </sheetData>
      <sheetData sheetId="5" refreshError="1"/>
      <sheetData sheetId="6" refreshError="1">
        <row r="1">
          <cell r="B1" t="str">
            <v>Amgen Annual Income Statement</v>
          </cell>
          <cell r="AO1" t="str">
            <v>ElementName</v>
          </cell>
          <cell r="AP1" t="str">
            <v>ScaleOverride</v>
          </cell>
          <cell r="AQ1" t="str">
            <v>UnitOverride</v>
          </cell>
          <cell r="AR1" t="str">
            <v>ReverseSign</v>
          </cell>
          <cell r="AS1" t="str">
            <v>IsDrivingAssumption</v>
          </cell>
          <cell r="AT1" t="str">
            <v>SegmentID</v>
          </cell>
        </row>
        <row r="2">
          <cell r="B2" t="str">
            <v>(Dollars in thousands except per-share data)</v>
          </cell>
        </row>
        <row r="4">
          <cell r="C4" t="str">
            <v>1993</v>
          </cell>
          <cell r="E4" t="str">
            <v>1994</v>
          </cell>
          <cell r="G4" t="str">
            <v>1995</v>
          </cell>
          <cell r="I4" t="str">
            <v>1996</v>
          </cell>
          <cell r="K4" t="str">
            <v>1997</v>
          </cell>
          <cell r="M4" t="str">
            <v>1998</v>
          </cell>
          <cell r="O4" t="str">
            <v>1999</v>
          </cell>
          <cell r="Q4" t="str">
            <v>2000</v>
          </cell>
          <cell r="S4" t="str">
            <v>2001A</v>
          </cell>
          <cell r="U4" t="str">
            <v>2002A</v>
          </cell>
          <cell r="W4" t="str">
            <v>2003A</v>
          </cell>
          <cell r="X4" t="str">
            <v>% chg</v>
          </cell>
          <cell r="Y4" t="str">
            <v>2004A</v>
          </cell>
          <cell r="Z4" t="str">
            <v>% chg</v>
          </cell>
          <cell r="AA4" t="str">
            <v>2005A</v>
          </cell>
          <cell r="AB4" t="str">
            <v>% chg</v>
          </cell>
          <cell r="AC4" t="str">
            <v>2006E</v>
          </cell>
          <cell r="AD4" t="str">
            <v>% chg</v>
          </cell>
          <cell r="AE4" t="str">
            <v>2007E</v>
          </cell>
          <cell r="AF4" t="str">
            <v>% chg</v>
          </cell>
          <cell r="AG4" t="str">
            <v>2008E</v>
          </cell>
          <cell r="AH4" t="str">
            <v>% chg</v>
          </cell>
          <cell r="AI4" t="str">
            <v>2009E</v>
          </cell>
          <cell r="AJ4" t="str">
            <v>% chg</v>
          </cell>
          <cell r="AK4" t="str">
            <v>2010E</v>
          </cell>
          <cell r="AL4" t="str">
            <v>% chg</v>
          </cell>
        </row>
        <row r="5">
          <cell r="B5" t="str">
            <v>Epogen</v>
          </cell>
          <cell r="C5">
            <v>586.9</v>
          </cell>
          <cell r="E5">
            <v>720.6</v>
          </cell>
          <cell r="G5">
            <v>882.6</v>
          </cell>
          <cell r="I5">
            <v>1071.9000000000001</v>
          </cell>
          <cell r="K5">
            <v>1160.8</v>
          </cell>
          <cell r="M5">
            <v>1382.1</v>
          </cell>
          <cell r="O5">
            <v>1759.1</v>
          </cell>
          <cell r="Q5">
            <v>1962.2</v>
          </cell>
          <cell r="S5">
            <v>2108.5</v>
          </cell>
          <cell r="U5">
            <v>2260.6</v>
          </cell>
          <cell r="W5">
            <v>2434.6999999999998</v>
          </cell>
          <cell r="X5">
            <v>7.701495178271256E-2</v>
          </cell>
          <cell r="Y5">
            <v>2600.6</v>
          </cell>
          <cell r="Z5">
            <v>6.8139811886474666E-2</v>
          </cell>
          <cell r="AA5">
            <v>2455</v>
          </cell>
          <cell r="AB5">
            <v>-5.598707990463736E-2</v>
          </cell>
          <cell r="AC5">
            <v>2514</v>
          </cell>
          <cell r="AD5">
            <v>2.4032586558044855E-2</v>
          </cell>
          <cell r="AE5">
            <v>2572.1174973954289</v>
          </cell>
          <cell r="AF5">
            <v>2.3117540730083208E-2</v>
          </cell>
          <cell r="AG5">
            <v>2632.2299063233218</v>
          </cell>
          <cell r="AH5">
            <v>2.3370786516853759E-2</v>
          </cell>
          <cell r="AI5">
            <v>2708.8786464932482</v>
          </cell>
          <cell r="AJ5">
            <v>2.9119318181818343E-2</v>
          </cell>
          <cell r="AK5">
            <v>2787.6683168398231</v>
          </cell>
          <cell r="AL5">
            <v>2.9085714285714159E-2</v>
          </cell>
        </row>
        <row r="6">
          <cell r="B6" t="str">
            <v>Aranesp - US</v>
          </cell>
          <cell r="S6">
            <v>27</v>
          </cell>
          <cell r="U6">
            <v>284.7</v>
          </cell>
          <cell r="W6">
            <v>979.9</v>
          </cell>
          <cell r="Y6">
            <v>1533.3</v>
          </cell>
          <cell r="AA6">
            <v>2104</v>
          </cell>
          <cell r="AB6">
            <v>0.37220374355964259</v>
          </cell>
          <cell r="AC6">
            <v>2596</v>
          </cell>
          <cell r="AD6">
            <v>0.23384030418250945</v>
          </cell>
          <cell r="AE6">
            <v>2975</v>
          </cell>
          <cell r="AF6">
            <v>0.14599383667180277</v>
          </cell>
          <cell r="AG6">
            <v>3300</v>
          </cell>
          <cell r="AH6">
            <v>0.10924369747899165</v>
          </cell>
          <cell r="AI6">
            <v>3600</v>
          </cell>
          <cell r="AJ6">
            <v>9.0909090909090828E-2</v>
          </cell>
          <cell r="AK6">
            <v>3850</v>
          </cell>
          <cell r="AL6">
            <v>6.944444444444442E-2</v>
          </cell>
        </row>
        <row r="7">
          <cell r="B7" t="str">
            <v>Aranesp, Intl.</v>
          </cell>
          <cell r="S7">
            <v>14.5</v>
          </cell>
          <cell r="U7">
            <v>130.9</v>
          </cell>
          <cell r="W7">
            <v>563.9</v>
          </cell>
          <cell r="Y7">
            <v>939.6</v>
          </cell>
          <cell r="AA7">
            <v>1169</v>
          </cell>
          <cell r="AB7">
            <v>0.2441464452958706</v>
          </cell>
          <cell r="AC7">
            <v>1317</v>
          </cell>
          <cell r="AD7">
            <v>0.1266039349871686</v>
          </cell>
          <cell r="AE7">
            <v>1375</v>
          </cell>
          <cell r="AF7">
            <v>4.4039483675019087E-2</v>
          </cell>
          <cell r="AG7">
            <v>1425</v>
          </cell>
          <cell r="AH7">
            <v>3.6363636363636376E-2</v>
          </cell>
          <cell r="AI7">
            <v>1450</v>
          </cell>
          <cell r="AJ7">
            <v>1.7543859649122862E-2</v>
          </cell>
          <cell r="AK7">
            <v>1485</v>
          </cell>
          <cell r="AL7">
            <v>2.4137931034482696E-2</v>
          </cell>
        </row>
        <row r="8">
          <cell r="B8" t="str">
            <v>Aranesp</v>
          </cell>
          <cell r="C8">
            <v>0</v>
          </cell>
          <cell r="E8">
            <v>0</v>
          </cell>
          <cell r="G8">
            <v>0</v>
          </cell>
          <cell r="I8">
            <v>0</v>
          </cell>
          <cell r="K8">
            <v>0</v>
          </cell>
          <cell r="M8">
            <v>0</v>
          </cell>
          <cell r="O8">
            <v>0</v>
          </cell>
          <cell r="Q8">
            <v>0</v>
          </cell>
          <cell r="S8">
            <v>41.5</v>
          </cell>
          <cell r="U8">
            <v>415.6</v>
          </cell>
          <cell r="W8">
            <v>1543.8</v>
          </cell>
          <cell r="X8">
            <v>2.7146294513955724</v>
          </cell>
          <cell r="Y8">
            <v>2472.9</v>
          </cell>
          <cell r="Z8">
            <v>0.60182666148464836</v>
          </cell>
          <cell r="AA8">
            <v>3273</v>
          </cell>
          <cell r="AB8">
            <v>0.32354725221399971</v>
          </cell>
          <cell r="AC8">
            <v>3913</v>
          </cell>
          <cell r="AD8">
            <v>0.19553926061717086</v>
          </cell>
          <cell r="AE8">
            <v>4350</v>
          </cell>
          <cell r="AF8">
            <v>0.1116790186557628</v>
          </cell>
          <cell r="AG8">
            <v>4725</v>
          </cell>
          <cell r="AH8">
            <v>8.6206896551724199E-2</v>
          </cell>
          <cell r="AI8">
            <v>5050</v>
          </cell>
          <cell r="AJ8">
            <v>6.8783068783068835E-2</v>
          </cell>
          <cell r="AK8">
            <v>5335</v>
          </cell>
          <cell r="AL8">
            <v>5.6435643564356486E-2</v>
          </cell>
        </row>
        <row r="9">
          <cell r="B9" t="str">
            <v>Neupogen, U.S.</v>
          </cell>
          <cell r="C9">
            <v>545.5</v>
          </cell>
          <cell r="E9">
            <v>617.20000000000005</v>
          </cell>
          <cell r="G9">
            <v>661.8</v>
          </cell>
          <cell r="I9">
            <v>731.6</v>
          </cell>
          <cell r="K9">
            <v>790</v>
          </cell>
          <cell r="M9">
            <v>853.2</v>
          </cell>
          <cell r="O9">
            <v>921.45600000000013</v>
          </cell>
          <cell r="Q9">
            <v>985.95792000000017</v>
          </cell>
          <cell r="S9">
            <v>1050.5999999999999</v>
          </cell>
          <cell r="U9">
            <v>1041.7</v>
          </cell>
          <cell r="W9">
            <v>880.5</v>
          </cell>
          <cell r="X9">
            <v>-0.15474704809446105</v>
          </cell>
          <cell r="Y9">
            <v>777.8</v>
          </cell>
          <cell r="AA9">
            <v>805</v>
          </cell>
          <cell r="AB9">
            <v>3.4970429416302462E-2</v>
          </cell>
          <cell r="AC9">
            <v>809</v>
          </cell>
          <cell r="AD9">
            <v>4.9689440993789802E-3</v>
          </cell>
          <cell r="AE9">
            <v>819.71999999999991</v>
          </cell>
          <cell r="AF9">
            <v>1.3250927070457275E-2</v>
          </cell>
          <cell r="AG9">
            <v>831.59999999999991</v>
          </cell>
          <cell r="AH9">
            <v>1.449275362318847E-2</v>
          </cell>
          <cell r="AI9">
            <v>831.59999999999991</v>
          </cell>
          <cell r="AJ9">
            <v>0</v>
          </cell>
          <cell r="AK9">
            <v>831.59999999999991</v>
          </cell>
          <cell r="AL9">
            <v>0</v>
          </cell>
        </row>
        <row r="10">
          <cell r="B10" t="str">
            <v>Neupogen, Intl.</v>
          </cell>
          <cell r="C10">
            <v>173.9</v>
          </cell>
          <cell r="E10">
            <v>211.7</v>
          </cell>
          <cell r="G10">
            <v>274.2</v>
          </cell>
          <cell r="I10">
            <v>284.7</v>
          </cell>
          <cell r="K10">
            <v>294.66449999999998</v>
          </cell>
          <cell r="M10">
            <v>309.39772499999998</v>
          </cell>
          <cell r="O10">
            <v>324.86761124999998</v>
          </cell>
          <cell r="Q10">
            <v>341.1109918125</v>
          </cell>
          <cell r="S10">
            <v>295.8</v>
          </cell>
          <cell r="U10">
            <v>337.9</v>
          </cell>
          <cell r="W10">
            <v>386.2</v>
          </cell>
          <cell r="X10">
            <v>0.14294169872743412</v>
          </cell>
          <cell r="Y10">
            <v>397.4</v>
          </cell>
          <cell r="AA10">
            <v>411</v>
          </cell>
          <cell r="AB10">
            <v>3.4222445898339338E-2</v>
          </cell>
          <cell r="AC10">
            <v>379</v>
          </cell>
          <cell r="AD10">
            <v>-7.7858880778588824E-2</v>
          </cell>
          <cell r="AE10">
            <v>368.28000000000009</v>
          </cell>
          <cell r="AF10">
            <v>-2.828496042216333E-2</v>
          </cell>
          <cell r="AG10">
            <v>356.40000000000003</v>
          </cell>
          <cell r="AH10">
            <v>-3.2258064516129115E-2</v>
          </cell>
          <cell r="AI10">
            <v>356.40000000000003</v>
          </cell>
          <cell r="AJ10">
            <v>0</v>
          </cell>
          <cell r="AK10">
            <v>356.40000000000003</v>
          </cell>
          <cell r="AL10">
            <v>0</v>
          </cell>
        </row>
        <row r="11">
          <cell r="B11" t="str">
            <v>Neupogen</v>
          </cell>
          <cell r="C11">
            <v>719.4</v>
          </cell>
          <cell r="E11">
            <v>828.90000000000009</v>
          </cell>
          <cell r="G11">
            <v>936</v>
          </cell>
          <cell r="I11">
            <v>1016.3</v>
          </cell>
          <cell r="K11">
            <v>1055.7</v>
          </cell>
          <cell r="M11">
            <v>1116.5999999999999</v>
          </cell>
          <cell r="O11">
            <v>1256.5999999999999</v>
          </cell>
          <cell r="Q11">
            <v>1223.7</v>
          </cell>
          <cell r="S11">
            <v>1346.3999999999999</v>
          </cell>
          <cell r="U11">
            <v>1379.6</v>
          </cell>
          <cell r="W11">
            <v>1266.7</v>
          </cell>
          <cell r="X11">
            <v>-8.1835314583937224E-2</v>
          </cell>
          <cell r="Y11">
            <v>1175.1999999999998</v>
          </cell>
          <cell r="Z11">
            <v>-7.2234941185758461E-2</v>
          </cell>
          <cell r="AA11">
            <v>1216</v>
          </cell>
          <cell r="AB11">
            <v>3.4717494894486167E-2</v>
          </cell>
          <cell r="AC11">
            <v>1188</v>
          </cell>
          <cell r="AD11">
            <v>-2.3026315789473673E-2</v>
          </cell>
          <cell r="AE11">
            <v>1188</v>
          </cell>
          <cell r="AF11">
            <v>0</v>
          </cell>
          <cell r="AG11">
            <v>1188</v>
          </cell>
          <cell r="AH11">
            <v>0</v>
          </cell>
          <cell r="AI11">
            <v>1188</v>
          </cell>
          <cell r="AJ11">
            <v>0</v>
          </cell>
          <cell r="AK11">
            <v>1188</v>
          </cell>
          <cell r="AL11">
            <v>0</v>
          </cell>
        </row>
        <row r="12">
          <cell r="B12" t="str">
            <v>Neulasta, U.S.</v>
          </cell>
          <cell r="Y12">
            <v>1476.5</v>
          </cell>
          <cell r="AA12">
            <v>1900</v>
          </cell>
          <cell r="AB12">
            <v>0.28682695563833382</v>
          </cell>
          <cell r="AC12">
            <v>2144.4937499999996</v>
          </cell>
          <cell r="AD12">
            <v>0.1286809210526314</v>
          </cell>
          <cell r="AE12">
            <v>2613.9768510000004</v>
          </cell>
          <cell r="AF12">
            <v>0.2189249099000643</v>
          </cell>
          <cell r="AG12">
            <v>2737.4321432400006</v>
          </cell>
          <cell r="AH12">
            <v>4.7228915662650639E-2</v>
          </cell>
          <cell r="AI12">
            <v>2764.1387982960005</v>
          </cell>
          <cell r="AJ12">
            <v>9.7560975609756184E-3</v>
          </cell>
          <cell r="AK12">
            <v>2764.1387982960005</v>
          </cell>
          <cell r="AL12">
            <v>0</v>
          </cell>
        </row>
        <row r="13">
          <cell r="B13" t="str">
            <v>Neulasta, Intl.</v>
          </cell>
          <cell r="Y13">
            <v>263.10000000000002</v>
          </cell>
          <cell r="AA13">
            <v>388</v>
          </cell>
          <cell r="AB13">
            <v>0.47472443937666275</v>
          </cell>
          <cell r="AC13">
            <v>458.50625000000002</v>
          </cell>
          <cell r="AD13">
            <v>0.18171713917525789</v>
          </cell>
          <cell r="AE13">
            <v>535.39284900000018</v>
          </cell>
          <cell r="AF13">
            <v>0.16768931503114759</v>
          </cell>
          <cell r="AG13">
            <v>600.89973876000033</v>
          </cell>
          <cell r="AH13">
            <v>0.12235294117647078</v>
          </cell>
          <cell r="AI13">
            <v>691.034699574</v>
          </cell>
          <cell r="AJ13">
            <v>0.14999999999999947</v>
          </cell>
          <cell r="AK13">
            <v>691.034699574</v>
          </cell>
          <cell r="AL13">
            <v>0</v>
          </cell>
        </row>
        <row r="14">
          <cell r="B14" t="str">
            <v>Neulasta</v>
          </cell>
          <cell r="C14">
            <v>0</v>
          </cell>
          <cell r="E14">
            <v>0</v>
          </cell>
          <cell r="G14">
            <v>0</v>
          </cell>
          <cell r="I14">
            <v>0</v>
          </cell>
          <cell r="K14">
            <v>0</v>
          </cell>
          <cell r="M14">
            <v>0</v>
          </cell>
          <cell r="O14">
            <v>0</v>
          </cell>
          <cell r="Q14">
            <v>0</v>
          </cell>
          <cell r="S14">
            <v>0</v>
          </cell>
          <cell r="U14">
            <v>463.5</v>
          </cell>
          <cell r="W14">
            <v>1255</v>
          </cell>
          <cell r="X14">
            <v>1.7076591154261056</v>
          </cell>
          <cell r="Y14">
            <v>1739.6</v>
          </cell>
          <cell r="Z14">
            <v>0.38613545816733064</v>
          </cell>
          <cell r="AA14">
            <v>2288</v>
          </cell>
          <cell r="AB14">
            <v>0.31524488388135219</v>
          </cell>
          <cell r="AC14">
            <v>2603</v>
          </cell>
          <cell r="AD14">
            <v>0.13767482517482521</v>
          </cell>
          <cell r="AE14">
            <v>2889.3300000000004</v>
          </cell>
          <cell r="AF14">
            <v>0.11</v>
          </cell>
          <cell r="AG14">
            <v>3149.3697000000006</v>
          </cell>
          <cell r="AH14">
            <v>0.09</v>
          </cell>
          <cell r="AI14">
            <v>3338.3318820000009</v>
          </cell>
          <cell r="AJ14">
            <v>0.06</v>
          </cell>
          <cell r="AK14">
            <v>3455.1734978700006</v>
          </cell>
          <cell r="AL14">
            <v>3.5000000000000003E-2</v>
          </cell>
        </row>
        <row r="15">
          <cell r="B15" t="str">
            <v xml:space="preserve">Enbrel </v>
          </cell>
          <cell r="C15">
            <v>0</v>
          </cell>
          <cell r="E15">
            <v>0</v>
          </cell>
          <cell r="G15">
            <v>0</v>
          </cell>
          <cell r="I15">
            <v>0</v>
          </cell>
          <cell r="K15">
            <v>0</v>
          </cell>
          <cell r="M15">
            <v>0</v>
          </cell>
          <cell r="O15">
            <v>0</v>
          </cell>
          <cell r="Q15">
            <v>0</v>
          </cell>
          <cell r="S15">
            <v>0</v>
          </cell>
          <cell r="U15">
            <v>362.09999999999997</v>
          </cell>
          <cell r="W15">
            <v>1300</v>
          </cell>
          <cell r="X15">
            <v>2.5901684617508978</v>
          </cell>
          <cell r="Y15">
            <v>1900.3</v>
          </cell>
          <cell r="Z15">
            <v>0.46176923076923071</v>
          </cell>
          <cell r="AA15">
            <v>2573</v>
          </cell>
          <cell r="AB15">
            <v>0.35399673735725945</v>
          </cell>
          <cell r="AC15">
            <v>2793</v>
          </cell>
          <cell r="AD15">
            <v>8.5503303536727637E-2</v>
          </cell>
          <cell r="AE15">
            <v>3016.8307284116399</v>
          </cell>
          <cell r="AF15">
            <v>8.013989560030077E-2</v>
          </cell>
          <cell r="AG15">
            <v>3233.3473223083402</v>
          </cell>
          <cell r="AH15">
            <v>7.1769553345373271E-2</v>
          </cell>
          <cell r="AI15">
            <v>3421.4242764919281</v>
          </cell>
          <cell r="AJ15">
            <v>5.8167878497295655E-2</v>
          </cell>
          <cell r="AK15">
            <v>3609.367628534259</v>
          </cell>
          <cell r="AL15">
            <v>5.4931320074408818E-2</v>
          </cell>
          <cell r="AM15">
            <v>0.19989101492097358</v>
          </cell>
          <cell r="AN15">
            <v>7.0035697760095078E-2</v>
          </cell>
        </row>
        <row r="16">
          <cell r="B16" t="str">
            <v>Sensipar</v>
          </cell>
          <cell r="C16">
            <v>0</v>
          </cell>
          <cell r="E16">
            <v>0</v>
          </cell>
          <cell r="G16">
            <v>0</v>
          </cell>
          <cell r="I16">
            <v>0</v>
          </cell>
          <cell r="K16">
            <v>0</v>
          </cell>
          <cell r="M16">
            <v>0</v>
          </cell>
          <cell r="O16">
            <v>0</v>
          </cell>
          <cell r="Q16">
            <v>0</v>
          </cell>
          <cell r="S16">
            <v>0</v>
          </cell>
          <cell r="U16">
            <v>0</v>
          </cell>
          <cell r="W16">
            <v>0</v>
          </cell>
          <cell r="Y16">
            <v>35</v>
          </cell>
          <cell r="Z16" t="str">
            <v>NM</v>
          </cell>
          <cell r="AA16">
            <v>151</v>
          </cell>
          <cell r="AB16">
            <v>3.3142857142857141</v>
          </cell>
          <cell r="AC16">
            <v>283</v>
          </cell>
          <cell r="AD16">
            <v>0.8741721854304636</v>
          </cell>
          <cell r="AE16">
            <v>382.05</v>
          </cell>
          <cell r="AF16">
            <v>0.35</v>
          </cell>
          <cell r="AG16">
            <v>458.46</v>
          </cell>
          <cell r="AH16">
            <v>0.2</v>
          </cell>
          <cell r="AI16">
            <v>495.13679999999999</v>
          </cell>
          <cell r="AJ16">
            <v>0.08</v>
          </cell>
          <cell r="AK16">
            <v>519.89364</v>
          </cell>
          <cell r="AL16">
            <v>0.05</v>
          </cell>
        </row>
        <row r="17">
          <cell r="B17" t="str">
            <v>Palifermin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K17">
            <v>0</v>
          </cell>
          <cell r="M17">
            <v>0</v>
          </cell>
          <cell r="O17">
            <v>0</v>
          </cell>
          <cell r="Q17">
            <v>0</v>
          </cell>
          <cell r="S17">
            <v>0</v>
          </cell>
          <cell r="U17">
            <v>0</v>
          </cell>
          <cell r="W17">
            <v>0</v>
          </cell>
          <cell r="Y17">
            <v>0</v>
          </cell>
          <cell r="Z17" t="str">
            <v>NM</v>
          </cell>
          <cell r="AA17">
            <v>32</v>
          </cell>
          <cell r="AC17">
            <v>73</v>
          </cell>
          <cell r="AE17">
            <v>98.550000000000011</v>
          </cell>
          <cell r="AF17">
            <v>0.35</v>
          </cell>
          <cell r="AG17">
            <v>123.18750000000001</v>
          </cell>
          <cell r="AH17">
            <v>0.25</v>
          </cell>
          <cell r="AI17">
            <v>166.30312500000002</v>
          </cell>
          <cell r="AJ17">
            <v>0.35</v>
          </cell>
          <cell r="AK17">
            <v>224.50921875000006</v>
          </cell>
          <cell r="AL17">
            <v>0.35</v>
          </cell>
        </row>
        <row r="18">
          <cell r="B18" t="str">
            <v>Panitumumab</v>
          </cell>
          <cell r="U18">
            <v>0</v>
          </cell>
          <cell r="W18">
            <v>0</v>
          </cell>
          <cell r="Y18">
            <v>0</v>
          </cell>
          <cell r="Z18" t="str">
            <v>NM</v>
          </cell>
          <cell r="AA18">
            <v>0</v>
          </cell>
          <cell r="AC18">
            <v>35</v>
          </cell>
          <cell r="AE18">
            <v>225</v>
          </cell>
          <cell r="AG18">
            <v>475</v>
          </cell>
          <cell r="AI18">
            <v>700</v>
          </cell>
          <cell r="AK18">
            <v>850</v>
          </cell>
        </row>
        <row r="19">
          <cell r="B19" t="str">
            <v>AMG162</v>
          </cell>
          <cell r="AC19">
            <v>0</v>
          </cell>
          <cell r="AG19">
            <v>0</v>
          </cell>
          <cell r="AI19">
            <v>350</v>
          </cell>
          <cell r="AK19">
            <v>850</v>
          </cell>
        </row>
        <row r="20">
          <cell r="B20" t="str">
            <v xml:space="preserve">Other </v>
          </cell>
          <cell r="C20">
            <v>0</v>
          </cell>
          <cell r="E20">
            <v>0</v>
          </cell>
          <cell r="G20">
            <v>0</v>
          </cell>
          <cell r="I20">
            <v>0</v>
          </cell>
          <cell r="K20">
            <v>3.3</v>
          </cell>
          <cell r="M20">
            <v>15.8</v>
          </cell>
          <cell r="O20">
            <v>27.1</v>
          </cell>
          <cell r="Q20">
            <v>16.3</v>
          </cell>
          <cell r="S20">
            <v>14.600000000000001</v>
          </cell>
          <cell r="U20">
            <v>109.8</v>
          </cell>
          <cell r="W20">
            <v>68</v>
          </cell>
          <cell r="X20">
            <v>-0.38069216757741342</v>
          </cell>
          <cell r="Y20">
            <v>53.2</v>
          </cell>
          <cell r="Z20">
            <v>-0.21764705882352942</v>
          </cell>
          <cell r="AA20">
            <v>34</v>
          </cell>
          <cell r="AB20">
            <v>-0.36090225563909772</v>
          </cell>
          <cell r="AC20">
            <v>17</v>
          </cell>
          <cell r="AD20">
            <v>-0.5</v>
          </cell>
          <cell r="AE20">
            <v>18.700000000000003</v>
          </cell>
          <cell r="AF20">
            <v>0.1</v>
          </cell>
          <cell r="AG20">
            <v>65.450000000000017</v>
          </cell>
          <cell r="AH20">
            <v>2.5</v>
          </cell>
          <cell r="AI20">
            <v>196.35000000000005</v>
          </cell>
          <cell r="AJ20">
            <v>2</v>
          </cell>
          <cell r="AK20">
            <v>392.7000000000001</v>
          </cell>
          <cell r="AL20">
            <v>1</v>
          </cell>
        </row>
        <row r="21">
          <cell r="B21" t="str">
            <v>Total Product Sales</v>
          </cell>
          <cell r="C21">
            <v>1306.3</v>
          </cell>
          <cell r="E21">
            <v>1549.5</v>
          </cell>
          <cell r="G21">
            <v>1818.6</v>
          </cell>
          <cell r="I21">
            <v>2088.1999999999998</v>
          </cell>
          <cell r="K21">
            <v>2219.8000000000002</v>
          </cell>
          <cell r="M21">
            <v>2514.5</v>
          </cell>
          <cell r="O21">
            <v>3042.7999999999997</v>
          </cell>
          <cell r="Q21">
            <v>3202.2</v>
          </cell>
          <cell r="S21">
            <v>3511</v>
          </cell>
          <cell r="U21">
            <v>4991.1999999999989</v>
          </cell>
          <cell r="W21">
            <v>7868.2</v>
          </cell>
          <cell r="X21">
            <v>0.57641448950152308</v>
          </cell>
          <cell r="Y21">
            <v>9976.7999999999993</v>
          </cell>
          <cell r="Z21">
            <v>0.26799013751556888</v>
          </cell>
          <cell r="AA21">
            <v>12022</v>
          </cell>
          <cell r="AB21">
            <v>0.20499558976826249</v>
          </cell>
          <cell r="AC21">
            <v>13419</v>
          </cell>
          <cell r="AD21">
            <v>0.11620362668441198</v>
          </cell>
          <cell r="AE21">
            <v>14740.578225807069</v>
          </cell>
          <cell r="AF21">
            <v>9.8485596974966061E-2</v>
          </cell>
          <cell r="AG21">
            <v>16050.044428631663</v>
          </cell>
          <cell r="AH21">
            <v>8.883411374813277E-2</v>
          </cell>
          <cell r="AI21">
            <v>17614.424729985178</v>
          </cell>
          <cell r="AJ21">
            <v>9.7468907846935071E-2</v>
          </cell>
          <cell r="AK21">
            <v>19212.312301994083</v>
          </cell>
          <cell r="AL21">
            <v>9.0714717994099914E-2</v>
          </cell>
        </row>
        <row r="22">
          <cell r="B22" t="str">
            <v>Corporate Partner Rev.</v>
          </cell>
          <cell r="C22">
            <v>48.6</v>
          </cell>
          <cell r="E22">
            <v>70.400000000000006</v>
          </cell>
          <cell r="G22">
            <v>85.2</v>
          </cell>
          <cell r="I22">
            <v>109.9</v>
          </cell>
          <cell r="K22">
            <v>125.9</v>
          </cell>
          <cell r="M22">
            <v>127.9</v>
          </cell>
          <cell r="O22">
            <v>161.4</v>
          </cell>
          <cell r="Q22">
            <v>246.2</v>
          </cell>
          <cell r="S22">
            <v>252</v>
          </cell>
          <cell r="U22">
            <v>200.3</v>
          </cell>
          <cell r="W22">
            <v>104.69999999999999</v>
          </cell>
          <cell r="X22">
            <v>-0.47728407388916638</v>
          </cell>
          <cell r="Y22">
            <v>137.9</v>
          </cell>
          <cell r="Z22">
            <v>0.31709646609360087</v>
          </cell>
          <cell r="AA22">
            <v>0</v>
          </cell>
          <cell r="AC22">
            <v>0</v>
          </cell>
          <cell r="AE22">
            <v>0</v>
          </cell>
          <cell r="AG22">
            <v>0</v>
          </cell>
          <cell r="AI22">
            <v>0</v>
          </cell>
          <cell r="AK22">
            <v>0</v>
          </cell>
        </row>
        <row r="23">
          <cell r="B23" t="str">
            <v>Royalties</v>
          </cell>
          <cell r="C23">
            <v>18.899999999999999</v>
          </cell>
          <cell r="E23">
            <v>27.9</v>
          </cell>
          <cell r="G23">
            <v>36.1</v>
          </cell>
          <cell r="I23">
            <v>41.7</v>
          </cell>
          <cell r="K23">
            <v>55.3</v>
          </cell>
          <cell r="M23">
            <v>75.900000000000006</v>
          </cell>
          <cell r="O23">
            <v>135.9</v>
          </cell>
          <cell r="Q23">
            <v>181</v>
          </cell>
          <cell r="S23">
            <v>252.7</v>
          </cell>
          <cell r="U23">
            <v>331.5</v>
          </cell>
          <cell r="W23">
            <v>383.1</v>
          </cell>
          <cell r="X23">
            <v>0.15565610859728518</v>
          </cell>
          <cell r="Y23">
            <v>435.2</v>
          </cell>
          <cell r="Z23">
            <v>0.13599582354476625</v>
          </cell>
          <cell r="AA23">
            <v>408</v>
          </cell>
          <cell r="AB23">
            <v>-6.25E-2</v>
          </cell>
          <cell r="AC23">
            <v>360</v>
          </cell>
          <cell r="AD23">
            <v>-0.11764705882352944</v>
          </cell>
          <cell r="AE23">
            <v>349.2</v>
          </cell>
          <cell r="AF23">
            <v>-0.03</v>
          </cell>
          <cell r="AG23">
            <v>321.26400000000001</v>
          </cell>
          <cell r="AH23">
            <v>-0.08</v>
          </cell>
          <cell r="AI23">
            <v>305.20080000000002</v>
          </cell>
          <cell r="AJ23">
            <v>-0.05</v>
          </cell>
          <cell r="AK23">
            <v>289.94076000000001</v>
          </cell>
          <cell r="AL23">
            <v>-0.05</v>
          </cell>
        </row>
        <row r="24">
          <cell r="B24" t="str">
            <v>Total Revenues</v>
          </cell>
          <cell r="C24">
            <v>1373.8</v>
          </cell>
          <cell r="D24" t="e">
            <v>#DIV/0!</v>
          </cell>
          <cell r="E24">
            <v>1647.8</v>
          </cell>
          <cell r="F24">
            <v>0.19944678992575349</v>
          </cell>
          <cell r="G24">
            <v>1939.8999999999999</v>
          </cell>
          <cell r="H24">
            <v>0.17726665857506974</v>
          </cell>
          <cell r="I24">
            <v>2239.7999999999997</v>
          </cell>
          <cell r="J24">
            <v>0.15459559771122211</v>
          </cell>
          <cell r="K24">
            <v>2401</v>
          </cell>
          <cell r="L24">
            <v>7.1970711670684917E-2</v>
          </cell>
          <cell r="M24">
            <v>2718.2</v>
          </cell>
          <cell r="N24">
            <v>0.13211162015826727</v>
          </cell>
          <cell r="O24">
            <v>3340.1</v>
          </cell>
          <cell r="P24">
            <v>0.22879111176513867</v>
          </cell>
          <cell r="Q24">
            <v>3629.3999999999996</v>
          </cell>
          <cell r="R24">
            <v>8.6614173228346303E-2</v>
          </cell>
          <cell r="S24">
            <v>4015.7</v>
          </cell>
          <cell r="T24">
            <v>0.10643632556345417</v>
          </cell>
          <cell r="U24">
            <v>5522.9999999999991</v>
          </cell>
          <cell r="V24">
            <v>0.37535174440321728</v>
          </cell>
          <cell r="W24">
            <v>8356</v>
          </cell>
          <cell r="X24">
            <v>0.51294586275574883</v>
          </cell>
          <cell r="Y24">
            <v>10549.9</v>
          </cell>
          <cell r="Z24">
            <v>0.26255385351842975</v>
          </cell>
          <cell r="AA24">
            <v>12430</v>
          </cell>
          <cell r="AB24">
            <v>0.17821022000208542</v>
          </cell>
          <cell r="AC24">
            <v>13779</v>
          </cell>
          <cell r="AD24">
            <v>0.10852775543041027</v>
          </cell>
          <cell r="AE24">
            <v>15089.778225807069</v>
          </cell>
          <cell r="AF24">
            <v>9.5128690457004783E-2</v>
          </cell>
          <cell r="AG24">
            <v>16371.308428631663</v>
          </cell>
          <cell r="AH24">
            <v>8.4927040255162511E-2</v>
          </cell>
          <cell r="AI24">
            <v>17919.625529985176</v>
          </cell>
          <cell r="AJ24">
            <v>9.4575037059693612E-2</v>
          </cell>
          <cell r="AK24">
            <v>19502.253061994084</v>
          </cell>
          <cell r="AL24">
            <v>8.8318114090089272E-2</v>
          </cell>
          <cell r="AO24" t="str">
            <v>mstag:revenueNet</v>
          </cell>
          <cell r="AP24">
            <v>6</v>
          </cell>
          <cell r="AQ24" t="str">
            <v>ISO4217:USD</v>
          </cell>
          <cell r="AR24" t="b">
            <v>0</v>
          </cell>
          <cell r="AS24" t="b">
            <v>0</v>
          </cell>
        </row>
        <row r="25">
          <cell r="B25" t="str">
            <v>Operating Expenses:</v>
          </cell>
        </row>
        <row r="26">
          <cell r="B26" t="str">
            <v xml:space="preserve">   Cost of Sales</v>
          </cell>
          <cell r="C26">
            <v>220</v>
          </cell>
          <cell r="E26">
            <v>238.1</v>
          </cell>
          <cell r="G26">
            <v>272.89999999999998</v>
          </cell>
          <cell r="I26">
            <v>283.2</v>
          </cell>
          <cell r="K26">
            <v>300.8</v>
          </cell>
          <cell r="M26">
            <v>345.2</v>
          </cell>
          <cell r="O26">
            <v>402.1</v>
          </cell>
          <cell r="Q26">
            <v>408.4</v>
          </cell>
          <cell r="S26">
            <v>443</v>
          </cell>
          <cell r="U26">
            <v>735.7</v>
          </cell>
          <cell r="W26">
            <v>1340.7</v>
          </cell>
          <cell r="X26">
            <v>0.82234606497213525</v>
          </cell>
          <cell r="Y26">
            <v>1731</v>
          </cell>
          <cell r="Z26">
            <v>0.29111658089057957</v>
          </cell>
          <cell r="AA26">
            <v>2035</v>
          </cell>
          <cell r="AB26">
            <v>0.17562102830733672</v>
          </cell>
          <cell r="AC26">
            <v>2275.2525000000001</v>
          </cell>
          <cell r="AD26">
            <v>0.11806019656019662</v>
          </cell>
          <cell r="AE26">
            <v>2471.3026127583394</v>
          </cell>
          <cell r="AF26">
            <v>8.6166310226376774E-2</v>
          </cell>
          <cell r="AG26">
            <v>2663.674218929084</v>
          </cell>
          <cell r="AH26">
            <v>7.7842189450052501E-2</v>
          </cell>
          <cell r="AI26">
            <v>2921.8139905241542</v>
          </cell>
          <cell r="AJ26">
            <v>9.6911164946760664E-2</v>
          </cell>
          <cell r="AK26">
            <v>3229.9239384968482</v>
          </cell>
          <cell r="AL26">
            <v>0.10545159581408581</v>
          </cell>
          <cell r="AO26" t="str">
            <v>mstag:costOfSalesWithDepreciation</v>
          </cell>
          <cell r="AP26">
            <v>6</v>
          </cell>
          <cell r="AQ26" t="str">
            <v>ISO4217:USD</v>
          </cell>
          <cell r="AR26" t="b">
            <v>0</v>
          </cell>
          <cell r="AS26" t="b">
            <v>0</v>
          </cell>
        </row>
        <row r="27">
          <cell r="B27" t="str">
            <v xml:space="preserve">   % of Product Revenues</v>
          </cell>
          <cell r="C27">
            <v>0.16841460613947792</v>
          </cell>
          <cell r="E27">
            <v>0.15366247176508552</v>
          </cell>
          <cell r="G27">
            <v>0.15006048608819972</v>
          </cell>
          <cell r="I27">
            <v>0.13561919356383489</v>
          </cell>
          <cell r="K27">
            <v>0.1355077033967024</v>
          </cell>
          <cell r="M27">
            <v>0.13728375422549213</v>
          </cell>
          <cell r="O27">
            <v>0.13214802155909033</v>
          </cell>
          <cell r="Q27">
            <v>0.1275373180938105</v>
          </cell>
          <cell r="S27">
            <v>0.12617487895186558</v>
          </cell>
          <cell r="U27">
            <v>0.14739942298445269</v>
          </cell>
          <cell r="W27">
            <v>0.1703947535649831</v>
          </cell>
          <cell r="Y27">
            <v>0.17335217705075778</v>
          </cell>
          <cell r="AA27">
            <v>0.16927299950091498</v>
          </cell>
          <cell r="AC27">
            <v>0.16955454951933827</v>
          </cell>
          <cell r="AE27">
            <v>0.1676530306275032</v>
          </cell>
          <cell r="AG27">
            <v>0.16596055112329516</v>
          </cell>
          <cell r="AI27">
            <v>0.1658762085797969</v>
          </cell>
          <cell r="AK27">
            <v>0.16811739720479185</v>
          </cell>
        </row>
        <row r="28">
          <cell r="B28" t="str">
            <v xml:space="preserve">   R&amp;D</v>
          </cell>
          <cell r="C28">
            <v>255.3</v>
          </cell>
          <cell r="E28">
            <v>323.60000000000002</v>
          </cell>
          <cell r="G28">
            <v>451.7</v>
          </cell>
          <cell r="I28">
            <v>528.29999999999995</v>
          </cell>
          <cell r="K28">
            <v>630.79999999999995</v>
          </cell>
          <cell r="M28">
            <v>663.3</v>
          </cell>
          <cell r="O28">
            <v>822.8</v>
          </cell>
          <cell r="Q28">
            <v>845</v>
          </cell>
          <cell r="S28">
            <v>865</v>
          </cell>
          <cell r="U28">
            <v>1116.5999999999999</v>
          </cell>
          <cell r="W28">
            <v>1655.4</v>
          </cell>
          <cell r="X28">
            <v>0.48253627082213879</v>
          </cell>
          <cell r="Y28">
            <v>2028</v>
          </cell>
          <cell r="Z28">
            <v>0.22508155128669793</v>
          </cell>
          <cell r="AA28">
            <v>2302</v>
          </cell>
          <cell r="AB28">
            <v>0.13510848126232733</v>
          </cell>
          <cell r="AC28">
            <v>3009</v>
          </cell>
          <cell r="AD28">
            <v>0.30712423979148573</v>
          </cell>
          <cell r="AE28">
            <v>3327.2960987904589</v>
          </cell>
          <cell r="AF28">
            <v>0.10578135553022894</v>
          </cell>
          <cell r="AG28">
            <v>3601.6878542989657</v>
          </cell>
          <cell r="AH28">
            <v>8.2466888236443436E-2</v>
          </cell>
          <cell r="AI28">
            <v>3897.5185527717758</v>
          </cell>
          <cell r="AJ28">
            <v>8.2136684365833545E-2</v>
          </cell>
          <cell r="AK28">
            <v>4192.984408328728</v>
          </cell>
          <cell r="AL28">
            <v>7.5808710479858377E-2</v>
          </cell>
          <cell r="AO28" t="str">
            <v>mstag:researchAndDevelopment</v>
          </cell>
          <cell r="AP28">
            <v>6</v>
          </cell>
          <cell r="AQ28" t="str">
            <v>ISO4217:USD</v>
          </cell>
          <cell r="AR28" t="b">
            <v>0</v>
          </cell>
          <cell r="AS28" t="b">
            <v>0</v>
          </cell>
        </row>
        <row r="29">
          <cell r="B29" t="str">
            <v xml:space="preserve">   % of Total Revenues</v>
          </cell>
          <cell r="C29">
            <v>0.18583491046731695</v>
          </cell>
          <cell r="E29">
            <v>0.19638305619614033</v>
          </cell>
          <cell r="G29">
            <v>0.23284705397185423</v>
          </cell>
          <cell r="I29">
            <v>0.23586927404232522</v>
          </cell>
          <cell r="K29">
            <v>0.26272386505622658</v>
          </cell>
          <cell r="M29">
            <v>0.24402177911853432</v>
          </cell>
          <cell r="O29">
            <v>0.24633992994221729</v>
          </cell>
          <cell r="Q29">
            <v>0.23282085193144875</v>
          </cell>
          <cell r="S29">
            <v>0.21540453719152328</v>
          </cell>
          <cell r="U29">
            <v>0.20217273221075505</v>
          </cell>
          <cell r="W29">
            <v>0.19810914313068456</v>
          </cell>
          <cell r="Y29">
            <v>0.19222931023042872</v>
          </cell>
          <cell r="AA29">
            <v>0.21</v>
          </cell>
          <cell r="AC29">
            <v>0.21837578924450252</v>
          </cell>
          <cell r="AE29">
            <v>0.2205</v>
          </cell>
          <cell r="AG29">
            <v>0.22</v>
          </cell>
          <cell r="AI29">
            <v>0.2175</v>
          </cell>
          <cell r="AK29">
            <v>0.215</v>
          </cell>
        </row>
        <row r="30">
          <cell r="B30" t="str">
            <v xml:space="preserve">   SG&amp;A</v>
          </cell>
          <cell r="C30">
            <v>114.3</v>
          </cell>
          <cell r="E30">
            <v>122.9</v>
          </cell>
          <cell r="G30">
            <v>418.4</v>
          </cell>
          <cell r="I30">
            <v>470.6</v>
          </cell>
          <cell r="K30">
            <v>483.8</v>
          </cell>
          <cell r="M30">
            <v>515.4</v>
          </cell>
          <cell r="O30">
            <v>654.29999999999995</v>
          </cell>
          <cell r="Q30">
            <v>826.9</v>
          </cell>
          <cell r="S30">
            <v>970.7</v>
          </cell>
          <cell r="U30">
            <v>1462.1</v>
          </cell>
          <cell r="W30">
            <v>1952.6</v>
          </cell>
          <cell r="X30">
            <v>0.3354763696053622</v>
          </cell>
          <cell r="Y30">
            <v>2556</v>
          </cell>
          <cell r="Z30">
            <v>0.30902386561507744</v>
          </cell>
          <cell r="AA30">
            <v>2792</v>
          </cell>
          <cell r="AB30">
            <v>9.2331768388106417E-2</v>
          </cell>
          <cell r="AC30">
            <v>3027.1130000000003</v>
          </cell>
          <cell r="AD30">
            <v>8.4209527220630465E-2</v>
          </cell>
          <cell r="AE30">
            <v>3266.9369858872305</v>
          </cell>
          <cell r="AF30">
            <v>7.9225316625851194E-2</v>
          </cell>
          <cell r="AG30">
            <v>3544.388274798755</v>
          </cell>
          <cell r="AH30">
            <v>8.4927040255162511E-2</v>
          </cell>
          <cell r="AI30">
            <v>4255.911063371479</v>
          </cell>
          <cell r="AJ30">
            <v>0.20074628776756209</v>
          </cell>
          <cell r="AK30">
            <v>4875.5632654985211</v>
          </cell>
          <cell r="AL30">
            <v>0.14559801483167312</v>
          </cell>
          <cell r="AO30" t="str">
            <v>mstag:sellingGeneralAndAdministrativeExpenses</v>
          </cell>
          <cell r="AP30">
            <v>6</v>
          </cell>
          <cell r="AQ30" t="str">
            <v>ISO4217:USD</v>
          </cell>
          <cell r="AR30" t="b">
            <v>0</v>
          </cell>
          <cell r="AS30" t="b">
            <v>0</v>
          </cell>
        </row>
        <row r="31">
          <cell r="B31" t="str">
            <v xml:space="preserve">   % of Total Revenues</v>
          </cell>
          <cell r="C31">
            <v>8.3199883534721214E-2</v>
          </cell>
          <cell r="E31">
            <v>7.4584294210462435E-2</v>
          </cell>
          <cell r="G31">
            <v>0.21568122068147844</v>
          </cell>
          <cell r="I31">
            <v>0.21010804536119301</v>
          </cell>
          <cell r="K31">
            <v>0.2014993752603082</v>
          </cell>
          <cell r="M31">
            <v>0.18961077183430211</v>
          </cell>
          <cell r="O31">
            <v>0.19589233855273794</v>
          </cell>
          <cell r="Q31">
            <v>0.22783380173031356</v>
          </cell>
          <cell r="S31">
            <v>0.2417262245685684</v>
          </cell>
          <cell r="U31">
            <v>0.26472931377874348</v>
          </cell>
          <cell r="W31">
            <v>0.23367640019147917</v>
          </cell>
          <cell r="Y31">
            <v>0.24227717798272971</v>
          </cell>
          <cell r="AA31">
            <v>0.23</v>
          </cell>
          <cell r="AC31">
            <v>0.21969032585819001</v>
          </cell>
          <cell r="AE31">
            <v>0.2165</v>
          </cell>
          <cell r="AG31">
            <v>0.2165</v>
          </cell>
          <cell r="AI31">
            <v>0.23749999999999999</v>
          </cell>
          <cell r="AK31">
            <v>0.25</v>
          </cell>
        </row>
        <row r="32">
          <cell r="B32" t="str">
            <v xml:space="preserve">   Loss of Affiliates, Net</v>
          </cell>
          <cell r="C32">
            <v>12.6</v>
          </cell>
          <cell r="E32">
            <v>31.2</v>
          </cell>
          <cell r="G32">
            <v>53.3</v>
          </cell>
          <cell r="I32">
            <v>52.8</v>
          </cell>
          <cell r="K32">
            <v>36.1</v>
          </cell>
          <cell r="M32">
            <v>28.6</v>
          </cell>
          <cell r="O32">
            <v>16.8</v>
          </cell>
          <cell r="Q32">
            <v>23.9</v>
          </cell>
          <cell r="S32">
            <v>2.7</v>
          </cell>
          <cell r="U32">
            <v>-12.6</v>
          </cell>
          <cell r="W32">
            <v>4.3</v>
          </cell>
          <cell r="X32" t="str">
            <v>NM</v>
          </cell>
          <cell r="Y32">
            <v>0</v>
          </cell>
          <cell r="AA32">
            <v>0</v>
          </cell>
          <cell r="AC32">
            <v>0</v>
          </cell>
          <cell r="AE32">
            <v>0</v>
          </cell>
          <cell r="AG32">
            <v>0</v>
          </cell>
          <cell r="AI32">
            <v>0</v>
          </cell>
          <cell r="AK32">
            <v>0</v>
          </cell>
          <cell r="AO32" t="str">
            <v>mstag:otherOperatingExpense</v>
          </cell>
          <cell r="AP32">
            <v>6</v>
          </cell>
          <cell r="AQ32" t="str">
            <v>ISO4217:USD</v>
          </cell>
          <cell r="AR32" t="b">
            <v>0</v>
          </cell>
          <cell r="AS32" t="b">
            <v>0</v>
          </cell>
        </row>
        <row r="33">
          <cell r="B33" t="str">
            <v xml:space="preserve">   Other </v>
          </cell>
          <cell r="C33">
            <v>-13.9</v>
          </cell>
          <cell r="E33">
            <v>116.4</v>
          </cell>
          <cell r="G33">
            <v>0</v>
          </cell>
          <cell r="I33">
            <v>0</v>
          </cell>
          <cell r="K33">
            <v>157</v>
          </cell>
          <cell r="M33">
            <v>-23</v>
          </cell>
          <cell r="O33">
            <v>-49</v>
          </cell>
          <cell r="Q33">
            <v>-18.8</v>
          </cell>
          <cell r="S33">
            <v>203.1</v>
          </cell>
          <cell r="U33">
            <v>-141.30000000000001</v>
          </cell>
          <cell r="W33">
            <v>-24</v>
          </cell>
          <cell r="Y33">
            <v>0</v>
          </cell>
          <cell r="AA33">
            <v>0</v>
          </cell>
          <cell r="AC33">
            <v>0</v>
          </cell>
          <cell r="AE33">
            <v>0</v>
          </cell>
          <cell r="AG33">
            <v>0</v>
          </cell>
          <cell r="AI33">
            <v>0</v>
          </cell>
          <cell r="AK33">
            <v>0</v>
          </cell>
          <cell r="AO33" t="str">
            <v>mstag:otherOperatingExpense</v>
          </cell>
          <cell r="AP33">
            <v>6</v>
          </cell>
          <cell r="AQ33" t="str">
            <v>ISO4217:USD</v>
          </cell>
          <cell r="AR33" t="b">
            <v>0</v>
          </cell>
          <cell r="AS33" t="b">
            <v>0</v>
          </cell>
        </row>
        <row r="34">
          <cell r="B34" t="str">
            <v>Total Operating Expenses</v>
          </cell>
          <cell r="C34">
            <v>588.29999999999995</v>
          </cell>
          <cell r="E34">
            <v>832.2</v>
          </cell>
          <cell r="G34">
            <v>1196.3</v>
          </cell>
          <cell r="I34">
            <v>1334.8999999999999</v>
          </cell>
          <cell r="K34">
            <v>1608.4999999999998</v>
          </cell>
          <cell r="M34">
            <v>1529.5</v>
          </cell>
          <cell r="O34">
            <v>1847</v>
          </cell>
          <cell r="Q34">
            <v>2085.4</v>
          </cell>
          <cell r="S34">
            <v>2484.5</v>
          </cell>
          <cell r="U34">
            <v>3160.5</v>
          </cell>
          <cell r="W34">
            <v>4929.0000000000009</v>
          </cell>
          <cell r="X34">
            <v>0.55956336022781228</v>
          </cell>
          <cell r="Y34">
            <v>6315</v>
          </cell>
          <cell r="Z34">
            <v>0.28119293974436976</v>
          </cell>
          <cell r="AA34">
            <v>7129</v>
          </cell>
          <cell r="AB34">
            <v>0.12889944576405377</v>
          </cell>
          <cell r="AC34">
            <v>8311.3654999999999</v>
          </cell>
          <cell r="AD34">
            <v>0.16585292467386736</v>
          </cell>
          <cell r="AE34">
            <v>9065.5356974360293</v>
          </cell>
          <cell r="AF34">
            <v>9.073962605013941E-2</v>
          </cell>
          <cell r="AG34">
            <v>9809.7503480268042</v>
          </cell>
          <cell r="AH34">
            <v>8.2092738413821253E-2</v>
          </cell>
          <cell r="AI34">
            <v>11075.243606667409</v>
          </cell>
          <cell r="AJ34">
            <v>0.12900361515266834</v>
          </cell>
          <cell r="AK34">
            <v>12298.471612324098</v>
          </cell>
          <cell r="AL34">
            <v>0.11044705192040127</v>
          </cell>
        </row>
        <row r="35">
          <cell r="B35" t="str">
            <v xml:space="preserve">Operating Income (Loss) </v>
          </cell>
          <cell r="C35">
            <v>785.5</v>
          </cell>
          <cell r="E35">
            <v>815.59999999999991</v>
          </cell>
          <cell r="G35">
            <v>743.59999999999991</v>
          </cell>
          <cell r="I35">
            <v>904.89999999999986</v>
          </cell>
          <cell r="K35">
            <v>792.50000000000023</v>
          </cell>
          <cell r="M35">
            <v>1188.6999999999998</v>
          </cell>
          <cell r="O35">
            <v>1493.1</v>
          </cell>
          <cell r="Q35">
            <v>1543.9999999999995</v>
          </cell>
          <cell r="S35">
            <v>1531.1999999999998</v>
          </cell>
          <cell r="U35">
            <v>2362.4999999999991</v>
          </cell>
          <cell r="W35">
            <v>3426.9999999999991</v>
          </cell>
          <cell r="X35">
            <v>0.45058201058201086</v>
          </cell>
          <cell r="Y35">
            <v>4234.8999999999996</v>
          </cell>
          <cell r="Z35">
            <v>0.23574555004377018</v>
          </cell>
          <cell r="AA35">
            <v>5301</v>
          </cell>
          <cell r="AB35">
            <v>0.25174148149897291</v>
          </cell>
          <cell r="AC35">
            <v>5467.6345000000001</v>
          </cell>
          <cell r="AD35">
            <v>3.143454065270701E-2</v>
          </cell>
          <cell r="AE35">
            <v>6024.24252837104</v>
          </cell>
          <cell r="AF35">
            <v>0.10180051873822937</v>
          </cell>
          <cell r="AG35">
            <v>6561.5580806048583</v>
          </cell>
          <cell r="AH35">
            <v>8.919221789350984E-2</v>
          </cell>
          <cell r="AI35">
            <v>6844.3819233177674</v>
          </cell>
          <cell r="AJ35">
            <v>4.3103153128964955E-2</v>
          </cell>
          <cell r="AK35">
            <v>7203.7814496699866</v>
          </cell>
          <cell r="AL35">
            <v>5.2510150716136961E-2</v>
          </cell>
        </row>
        <row r="36">
          <cell r="B36" t="str">
            <v>Operatin Margins</v>
          </cell>
          <cell r="C36">
            <v>0.57177172805357401</v>
          </cell>
          <cell r="E36">
            <v>0.49496298094428931</v>
          </cell>
          <cell r="G36">
            <v>0.38331872776947262</v>
          </cell>
          <cell r="I36">
            <v>0.40400928654344137</v>
          </cell>
          <cell r="K36">
            <v>0.33007080383173687</v>
          </cell>
          <cell r="M36">
            <v>0.43731145611066141</v>
          </cell>
          <cell r="O36">
            <v>0.44702254423520255</v>
          </cell>
          <cell r="Q36">
            <v>0.42541466909130976</v>
          </cell>
          <cell r="S36">
            <v>0.38130338421694843</v>
          </cell>
          <cell r="U36">
            <v>0.42775665399239532</v>
          </cell>
          <cell r="W36">
            <v>0.41012446146481557</v>
          </cell>
          <cell r="Y36">
            <v>0.40141612716708214</v>
          </cell>
          <cell r="AA36">
            <v>0.42646822204344326</v>
          </cell>
          <cell r="AC36">
            <v>0.39680923869656726</v>
          </cell>
          <cell r="AE36">
            <v>0.39922671083847799</v>
          </cell>
          <cell r="AG36">
            <v>0.40079619226581775</v>
          </cell>
          <cell r="AI36">
            <v>0.38194893703916755</v>
          </cell>
          <cell r="AK36">
            <v>0.36938201072309373</v>
          </cell>
        </row>
        <row r="37">
          <cell r="B37" t="str">
            <v xml:space="preserve">   Interest, Other Income</v>
          </cell>
          <cell r="C37">
            <v>27.2</v>
          </cell>
          <cell r="E37">
            <v>21.5</v>
          </cell>
          <cell r="G37">
            <v>66.099999999999994</v>
          </cell>
          <cell r="I37">
            <v>63.6</v>
          </cell>
          <cell r="K37">
            <v>72.599999999999994</v>
          </cell>
          <cell r="M37">
            <v>45.7</v>
          </cell>
          <cell r="O37">
            <v>88.3</v>
          </cell>
          <cell r="Q37">
            <v>146.19999999999999</v>
          </cell>
          <cell r="S37">
            <v>168.7</v>
          </cell>
          <cell r="U37">
            <v>144.19999999999999</v>
          </cell>
          <cell r="W37">
            <v>113.4</v>
          </cell>
          <cell r="X37">
            <v>-0.21359223300970864</v>
          </cell>
          <cell r="Y37">
            <v>99.7</v>
          </cell>
          <cell r="AA37">
            <v>157</v>
          </cell>
          <cell r="AC37">
            <v>329</v>
          </cell>
          <cell r="AE37">
            <v>210.7171588806757</v>
          </cell>
          <cell r="AG37">
            <v>265.32581027251831</v>
          </cell>
          <cell r="AI37">
            <v>323.62060238808283</v>
          </cell>
          <cell r="AK37">
            <v>403.8061044023068</v>
          </cell>
          <cell r="AO37" t="str">
            <v>mstag:interestAndDividendIncome</v>
          </cell>
          <cell r="AP37">
            <v>6</v>
          </cell>
          <cell r="AQ37" t="str">
            <v>ISO4217:USD</v>
          </cell>
          <cell r="AR37" t="b">
            <v>0</v>
          </cell>
          <cell r="AS37" t="b">
            <v>0</v>
          </cell>
        </row>
        <row r="38">
          <cell r="B38" t="str">
            <v xml:space="preserve">   Interest, Other Expense</v>
          </cell>
          <cell r="C38">
            <v>-6.2</v>
          </cell>
          <cell r="E38">
            <v>-12</v>
          </cell>
          <cell r="G38">
            <v>-15.3</v>
          </cell>
          <cell r="I38">
            <v>-6.2</v>
          </cell>
          <cell r="K38">
            <v>-3.7</v>
          </cell>
          <cell r="M38">
            <v>-10</v>
          </cell>
          <cell r="O38">
            <v>-15.2</v>
          </cell>
          <cell r="Q38">
            <v>-15.9</v>
          </cell>
          <cell r="S38">
            <v>-13.6</v>
          </cell>
          <cell r="U38">
            <v>-44.2</v>
          </cell>
          <cell r="W38">
            <v>-31.5</v>
          </cell>
          <cell r="X38">
            <v>-0.28733031674208154</v>
          </cell>
          <cell r="Y38">
            <v>-52.5</v>
          </cell>
          <cell r="AA38">
            <v>-137</v>
          </cell>
          <cell r="AC38">
            <v>-136</v>
          </cell>
          <cell r="AE38">
            <v>-128.80025000000001</v>
          </cell>
          <cell r="AG38">
            <v>-128.80025000000001</v>
          </cell>
          <cell r="AI38">
            <v>-88.888750000000002</v>
          </cell>
          <cell r="AK38">
            <v>-88.888750000000002</v>
          </cell>
          <cell r="AO38" t="str">
            <v>mstag:interestExpense</v>
          </cell>
          <cell r="AP38">
            <v>6</v>
          </cell>
          <cell r="AQ38" t="str">
            <v>ISO4217:USD</v>
          </cell>
          <cell r="AR38" t="b">
            <v>1</v>
          </cell>
          <cell r="AS38" t="b">
            <v>0</v>
          </cell>
        </row>
        <row r="39">
          <cell r="B39" t="str">
            <v xml:space="preserve">Pretax Income (Loss) </v>
          </cell>
          <cell r="C39">
            <v>806.5</v>
          </cell>
          <cell r="E39">
            <v>825.09999999999991</v>
          </cell>
          <cell r="G39">
            <v>794.4</v>
          </cell>
          <cell r="I39">
            <v>962.29999999999984</v>
          </cell>
          <cell r="K39">
            <v>861.4000000000002</v>
          </cell>
          <cell r="M39">
            <v>1224.3999999999999</v>
          </cell>
          <cell r="O39">
            <v>1566.1999999999998</v>
          </cell>
          <cell r="Q39">
            <v>1674.2999999999995</v>
          </cell>
          <cell r="S39">
            <v>1686.3</v>
          </cell>
          <cell r="U39">
            <v>2462.4999999999991</v>
          </cell>
          <cell r="V39">
            <v>0.46029769317440494</v>
          </cell>
          <cell r="W39">
            <v>3508.8999999999992</v>
          </cell>
          <cell r="X39">
            <v>0.42493401015228449</v>
          </cell>
          <cell r="Y39">
            <v>4282.0999999999995</v>
          </cell>
          <cell r="Z39">
            <v>0.2203539570805666</v>
          </cell>
          <cell r="AA39">
            <v>5321</v>
          </cell>
          <cell r="AB39">
            <v>0.24261460498353626</v>
          </cell>
          <cell r="AC39">
            <v>5660.6345000000001</v>
          </cell>
          <cell r="AD39">
            <v>6.3829073482428056E-2</v>
          </cell>
          <cell r="AE39">
            <v>6106.1594372517156</v>
          </cell>
          <cell r="AF39">
            <v>7.8705830106451158E-2</v>
          </cell>
          <cell r="AG39">
            <v>6698.0836408773766</v>
          </cell>
          <cell r="AH39">
            <v>9.6938871267350457E-2</v>
          </cell>
          <cell r="AI39">
            <v>7079.1137757058505</v>
          </cell>
          <cell r="AJ39">
            <v>5.6886440250328629E-2</v>
          </cell>
          <cell r="AK39">
            <v>7518.6988040722936</v>
          </cell>
          <cell r="AL39">
            <v>6.2096053587246125E-2</v>
          </cell>
        </row>
        <row r="40">
          <cell r="B40" t="str">
            <v xml:space="preserve">   Provision For Income Taxes</v>
          </cell>
          <cell r="C40">
            <v>217.8</v>
          </cell>
          <cell r="E40">
            <v>268.60000000000002</v>
          </cell>
          <cell r="G40">
            <v>256.7</v>
          </cell>
          <cell r="I40">
            <v>282.5</v>
          </cell>
          <cell r="K40">
            <v>217.1</v>
          </cell>
          <cell r="M40">
            <v>361.2</v>
          </cell>
          <cell r="O40">
            <v>469.8</v>
          </cell>
          <cell r="Q40">
            <v>535.79999999999995</v>
          </cell>
          <cell r="S40">
            <v>566.6</v>
          </cell>
          <cell r="U40">
            <v>707.4</v>
          </cell>
          <cell r="W40">
            <v>913.6</v>
          </cell>
          <cell r="X40">
            <v>0.29148996324568843</v>
          </cell>
          <cell r="Y40">
            <v>1175.3</v>
          </cell>
          <cell r="AA40">
            <v>1298</v>
          </cell>
          <cell r="AC40">
            <v>1325.1413175</v>
          </cell>
          <cell r="AE40">
            <v>1434.9474677541532</v>
          </cell>
          <cell r="AG40">
            <v>1540.5592374017967</v>
          </cell>
          <cell r="AI40">
            <v>1592.8005995338165</v>
          </cell>
          <cell r="AK40">
            <v>1687.9478815142299</v>
          </cell>
          <cell r="AO40" t="str">
            <v>mstag:taxExpenseIncome</v>
          </cell>
          <cell r="AP40">
            <v>6</v>
          </cell>
          <cell r="AQ40" t="str">
            <v>ISO4217:USD</v>
          </cell>
          <cell r="AR40" t="b">
            <v>0</v>
          </cell>
          <cell r="AS40" t="b">
            <v>0</v>
          </cell>
        </row>
        <row r="41">
          <cell r="B41" t="str">
            <v xml:space="preserve">   Effective Tax Rate</v>
          </cell>
          <cell r="C41">
            <v>0.27005579665220086</v>
          </cell>
          <cell r="E41">
            <v>0.32553629863046912</v>
          </cell>
          <cell r="G41">
            <v>0.32313695871097681</v>
          </cell>
          <cell r="I41">
            <v>0.29356749454432096</v>
          </cell>
          <cell r="K41">
            <v>0.25203157650336655</v>
          </cell>
          <cell r="M41">
            <v>0.29500163345311992</v>
          </cell>
          <cell r="O41">
            <v>0.29996169071638362</v>
          </cell>
          <cell r="Q41">
            <v>0.32001433434868309</v>
          </cell>
          <cell r="S41">
            <v>0.33600189764573329</v>
          </cell>
          <cell r="U41">
            <v>0.28726903553299504</v>
          </cell>
          <cell r="W41">
            <v>0.28792033027638597</v>
          </cell>
          <cell r="Y41">
            <v>0.27179593913325006</v>
          </cell>
          <cell r="AA41">
            <v>0.24393910919000189</v>
          </cell>
          <cell r="AC41">
            <v>0.2340976647582528</v>
          </cell>
          <cell r="AE41">
            <v>0.23499999999999999</v>
          </cell>
          <cell r="AG41">
            <v>0.23</v>
          </cell>
          <cell r="AI41">
            <v>0.22500000000000001</v>
          </cell>
          <cell r="AK41">
            <v>0.22450000000000001</v>
          </cell>
        </row>
        <row r="42">
          <cell r="B42" t="str">
            <v>Net Income (Loss)</v>
          </cell>
          <cell r="C42">
            <v>588.70000000000005</v>
          </cell>
          <cell r="E42">
            <v>556.49999999999989</v>
          </cell>
          <cell r="G42">
            <v>537.70000000000005</v>
          </cell>
          <cell r="I42">
            <v>679.79999999999984</v>
          </cell>
          <cell r="K42">
            <v>644.30000000000018</v>
          </cell>
          <cell r="M42">
            <v>863.19999999999982</v>
          </cell>
          <cell r="O42">
            <v>1096.3999999999999</v>
          </cell>
          <cell r="Q42">
            <v>1138.4999999999995</v>
          </cell>
          <cell r="S42">
            <v>1119.6999999999998</v>
          </cell>
          <cell r="U42">
            <v>1755.099999999999</v>
          </cell>
          <cell r="W42">
            <v>2595.2999999999993</v>
          </cell>
          <cell r="X42">
            <v>0.47871916130135084</v>
          </cell>
          <cell r="Y42">
            <v>3106.7999999999993</v>
          </cell>
          <cell r="Z42">
            <v>0.19708704196046711</v>
          </cell>
          <cell r="AA42">
            <v>4023</v>
          </cell>
          <cell r="AB42">
            <v>0.29490150637311729</v>
          </cell>
          <cell r="AC42">
            <v>4335.4931825000003</v>
          </cell>
          <cell r="AD42">
            <v>7.7676654859557548E-2</v>
          </cell>
          <cell r="AE42">
            <v>4671.2119694975627</v>
          </cell>
          <cell r="AF42">
            <v>7.7434970570977812E-2</v>
          </cell>
          <cell r="AG42">
            <v>5157.5244034755797</v>
          </cell>
          <cell r="AH42">
            <v>0.1041084063736728</v>
          </cell>
          <cell r="AI42">
            <v>5486.3131761720342</v>
          </cell>
          <cell r="AJ42">
            <v>6.3749339212993084E-2</v>
          </cell>
          <cell r="AK42">
            <v>5830.7509225580634</v>
          </cell>
          <cell r="AL42">
            <v>6.2781276847625023E-2</v>
          </cell>
        </row>
        <row r="44">
          <cell r="B44" t="str">
            <v>EPS, basic</v>
          </cell>
          <cell r="C44">
            <v>0.51244777158774379</v>
          </cell>
          <cell r="E44">
            <v>0.49758583690987113</v>
          </cell>
          <cell r="G44">
            <v>0.47889205557534742</v>
          </cell>
          <cell r="I44">
            <v>0.64156285390713463</v>
          </cell>
          <cell r="K44">
            <v>0.60990155244225686</v>
          </cell>
          <cell r="M44">
            <v>0.84644047852520088</v>
          </cell>
          <cell r="O44">
            <v>1.0731134383870018</v>
          </cell>
          <cell r="Q44">
            <v>1.1057692307692304</v>
          </cell>
          <cell r="S44">
            <v>1.0709708273553322</v>
          </cell>
          <cell r="U44">
            <v>1.5215431296055475</v>
          </cell>
          <cell r="W44">
            <v>2.0143588947531814</v>
          </cell>
          <cell r="X44">
            <v>0.32389207743022963</v>
          </cell>
          <cell r="Y44">
            <v>2.4450478101758937</v>
          </cell>
          <cell r="Z44">
            <v>0.21380942420168103</v>
          </cell>
          <cell r="AA44">
            <v>3.2548543689320391</v>
          </cell>
          <cell r="AB44">
            <v>0.33120275005906286</v>
          </cell>
          <cell r="AC44">
            <v>3.731777351192334</v>
          </cell>
          <cell r="AD44">
            <v>0.14652667314783119</v>
          </cell>
          <cell r="AE44">
            <v>4.1673836241099211</v>
          </cell>
          <cell r="AF44">
            <v>0.11672890205478281</v>
          </cell>
          <cell r="AG44">
            <v>4.7082436114742245</v>
          </cell>
          <cell r="AH44">
            <v>0.12978406505108375</v>
          </cell>
          <cell r="AI44">
            <v>5.1215025778275436</v>
          </cell>
          <cell r="AJ44">
            <v>8.7773488471621697E-2</v>
          </cell>
          <cell r="AK44">
            <v>5.5598159963447911</v>
          </cell>
          <cell r="AL44">
            <v>8.5582973327951173E-2</v>
          </cell>
        </row>
        <row r="45">
          <cell r="B45" t="str">
            <v>EPS, diluted</v>
          </cell>
          <cell r="C45">
            <v>0.50996188496188499</v>
          </cell>
          <cell r="D45" t="e">
            <v>#DIV/0!</v>
          </cell>
          <cell r="E45">
            <v>0.49300141743444359</v>
          </cell>
          <cell r="F45">
            <v>-3.3258304252893445E-2</v>
          </cell>
          <cell r="G45">
            <v>0.49676644493717664</v>
          </cell>
          <cell r="H45">
            <v>7.6369506650226793E-3</v>
          </cell>
          <cell r="I45">
            <v>0.6054506590666191</v>
          </cell>
          <cell r="J45">
            <v>0.21878332410955648</v>
          </cell>
          <cell r="K45">
            <v>0.58658048069919899</v>
          </cell>
          <cell r="L45">
            <v>-3.1167161328242599E-2</v>
          </cell>
          <cell r="M45">
            <v>0.81665089877010388</v>
          </cell>
          <cell r="N45">
            <v>0.3922231060206145</v>
          </cell>
          <cell r="O45">
            <v>1.0167856811647964</v>
          </cell>
          <cell r="P45">
            <v>0.24506773052732855</v>
          </cell>
          <cell r="Q45">
            <v>1.0495989674564392</v>
          </cell>
          <cell r="R45">
            <v>3.227158574268385E-2</v>
          </cell>
          <cell r="S45">
            <v>1.0327430363401584</v>
          </cell>
          <cell r="T45">
            <v>-1.6059401389398209E-2</v>
          </cell>
          <cell r="U45">
            <v>1.5215431296055475</v>
          </cell>
          <cell r="V45">
            <v>0.47330272494269443</v>
          </cell>
          <cell r="W45">
            <v>1.9281575037147096</v>
          </cell>
          <cell r="X45">
            <v>0.26723815197704903</v>
          </cell>
          <cell r="Y45">
            <v>2.36950115525927</v>
          </cell>
          <cell r="Z45">
            <v>0.22889398334642563</v>
          </cell>
          <cell r="AA45">
            <v>3.2027027027027026</v>
          </cell>
          <cell r="AB45">
            <v>0.35163584773701628</v>
          </cell>
          <cell r="AC45">
            <v>3.6698689952539394</v>
          </cell>
          <cell r="AD45">
            <v>0.14586626856030183</v>
          </cell>
          <cell r="AE45">
            <v>4.1013211403748855</v>
          </cell>
          <cell r="AF45">
            <v>0.11756608905629107</v>
          </cell>
          <cell r="AG45">
            <v>4.6347096976234399</v>
          </cell>
          <cell r="AH45">
            <v>0.13005286320978016</v>
          </cell>
          <cell r="AI45">
            <v>5.0526778224740756</v>
          </cell>
          <cell r="AJ45">
            <v>9.0182158564312997E-2</v>
          </cell>
          <cell r="AK45">
            <v>5.4875839896915242</v>
          </cell>
          <cell r="AL45">
            <v>8.607439114423765E-2</v>
          </cell>
          <cell r="AM45">
            <v>0.1311025203958521</v>
          </cell>
          <cell r="AO45" t="str">
            <v>mstag:adjEpsForConsensus</v>
          </cell>
          <cell r="AP45">
            <v>0</v>
          </cell>
          <cell r="AQ45" t="str">
            <v>ISO4217:USD</v>
          </cell>
          <cell r="AR45" t="b">
            <v>0</v>
          </cell>
          <cell r="AS45" t="b">
            <v>0</v>
          </cell>
        </row>
        <row r="47">
          <cell r="B47" t="str">
            <v xml:space="preserve">  Options expense</v>
          </cell>
          <cell r="AC47">
            <v>294.91779250000002</v>
          </cell>
          <cell r="AE47">
            <v>271.96607092308085</v>
          </cell>
          <cell r="AG47">
            <v>294.29251044080411</v>
          </cell>
          <cell r="AI47">
            <v>332.25730820002224</v>
          </cell>
          <cell r="AK47">
            <v>368.95414836972293</v>
          </cell>
          <cell r="AO47" t="str">
            <v>mstag:stockCompensation</v>
          </cell>
          <cell r="AP47">
            <v>6</v>
          </cell>
          <cell r="AQ47" t="str">
            <v>ISO4217:USD</v>
          </cell>
          <cell r="AR47" t="b">
            <v>0</v>
          </cell>
          <cell r="AS47" t="b">
            <v>0</v>
          </cell>
        </row>
        <row r="48">
          <cell r="B48" t="str">
            <v>% of operating expense</v>
          </cell>
          <cell r="AC48">
            <v>3.5483675035107048E-2</v>
          </cell>
          <cell r="AE48">
            <v>0.03</v>
          </cell>
          <cell r="AG48">
            <v>0.03</v>
          </cell>
          <cell r="AI48">
            <v>0.03</v>
          </cell>
          <cell r="AK48">
            <v>0.03</v>
          </cell>
        </row>
        <row r="49">
          <cell r="B49" t="str">
            <v>Net Income (incl options exp)</v>
          </cell>
          <cell r="AC49">
            <v>4040.5753900000004</v>
          </cell>
          <cell r="AE49">
            <v>4399.2458985744815</v>
          </cell>
          <cell r="AG49">
            <v>4863.2318930347756</v>
          </cell>
          <cell r="AI49">
            <v>5154.0558679720116</v>
          </cell>
          <cell r="AK49">
            <v>5461.7967741883404</v>
          </cell>
        </row>
        <row r="51">
          <cell r="B51" t="str">
            <v>EPS, diluted (incl option exp)</v>
          </cell>
          <cell r="AC51">
            <v>3.4469575326902331</v>
          </cell>
          <cell r="AE51">
            <v>3.8627394026015285</v>
          </cell>
          <cell r="AG51">
            <v>4.3704543642262941</v>
          </cell>
          <cell r="AI51">
            <v>4.7469048950237553</v>
          </cell>
          <cell r="AK51">
            <v>5.1405825659124416</v>
          </cell>
        </row>
        <row r="52">
          <cell r="B52" t="str">
            <v>EPS, GAAP, Diluted (incl option exp)</v>
          </cell>
          <cell r="C52">
            <v>0.50996188496188499</v>
          </cell>
          <cell r="E52">
            <v>0.49300141743444359</v>
          </cell>
          <cell r="G52">
            <v>0.49676644493717664</v>
          </cell>
          <cell r="I52">
            <v>0.6054506590666191</v>
          </cell>
          <cell r="K52">
            <v>0.58658048069919899</v>
          </cell>
          <cell r="M52">
            <v>0.81665089877010388</v>
          </cell>
          <cell r="O52">
            <v>1.0167856811647964</v>
          </cell>
          <cell r="Q52">
            <v>1.0495989674564392</v>
          </cell>
          <cell r="S52">
            <v>1.0327430363401584</v>
          </cell>
          <cell r="U52">
            <v>-1.2066753359341147</v>
          </cell>
          <cell r="W52">
            <v>1.6939078751857348</v>
          </cell>
          <cell r="Y52">
            <v>1.8057346312639668</v>
          </cell>
          <cell r="AA52">
            <v>2.9252782193958664</v>
          </cell>
          <cell r="AC52">
            <v>2.8409196338463318</v>
          </cell>
          <cell r="AE52">
            <v>3.6709641803555715</v>
          </cell>
          <cell r="AG52">
            <v>4.1741569513311401</v>
          </cell>
          <cell r="AI52">
            <v>4.5457203972860176</v>
          </cell>
          <cell r="AK52">
            <v>4.9349798329237098</v>
          </cell>
        </row>
        <row r="54">
          <cell r="B54" t="str">
            <v xml:space="preserve">Basic Shares Outstanding </v>
          </cell>
          <cell r="C54">
            <v>1148.8</v>
          </cell>
          <cell r="E54">
            <v>1118.4000000000001</v>
          </cell>
          <cell r="G54">
            <v>1122.8</v>
          </cell>
          <cell r="I54">
            <v>1059.5999999999999</v>
          </cell>
          <cell r="K54">
            <v>1056.4000000000001</v>
          </cell>
          <cell r="M54">
            <v>1019.8</v>
          </cell>
          <cell r="O54">
            <v>1021.7</v>
          </cell>
          <cell r="Q54">
            <v>1029.5999999999999</v>
          </cell>
          <cell r="S54">
            <v>1045.5</v>
          </cell>
          <cell r="U54">
            <v>1153.5</v>
          </cell>
          <cell r="W54">
            <v>1288.4000000000001</v>
          </cell>
          <cell r="X54">
            <v>0.11694841785869103</v>
          </cell>
          <cell r="Y54">
            <v>1270.6500000000001</v>
          </cell>
          <cell r="Z54">
            <v>-1.3776777398323503E-2</v>
          </cell>
          <cell r="AA54">
            <v>1236</v>
          </cell>
          <cell r="AB54">
            <v>-2.726950773226311E-2</v>
          </cell>
          <cell r="AC54">
            <v>1161.7770232500002</v>
          </cell>
          <cell r="AD54">
            <v>-6.0050952063106622E-2</v>
          </cell>
          <cell r="AE54">
            <v>1120.8980000000001</v>
          </cell>
          <cell r="AF54">
            <v>-3.5186634295489405E-2</v>
          </cell>
          <cell r="AG54">
            <v>1095.4242875</v>
          </cell>
          <cell r="AH54">
            <v>-2.2726164646560298E-2</v>
          </cell>
          <cell r="AI54">
            <v>1071.23116562</v>
          </cell>
          <cell r="AJ54">
            <v>-2.2085617560310022E-2</v>
          </cell>
          <cell r="AK54">
            <v>1048.7309159855999</v>
          </cell>
          <cell r="AL54">
            <v>-2.1004102901895583E-2</v>
          </cell>
          <cell r="AM54" t="str">
            <v>CAGR</v>
          </cell>
          <cell r="AN54" t="str">
            <v>Target PEG</v>
          </cell>
          <cell r="AO54" t="str">
            <v>mstag:averageBasicSharesOutstanding</v>
          </cell>
          <cell r="AP54">
            <v>6</v>
          </cell>
          <cell r="AQ54" t="str">
            <v>ms_eqr_gcim_Decimal:ms_eqr_gcim_decimal</v>
          </cell>
          <cell r="AR54" t="b">
            <v>0</v>
          </cell>
          <cell r="AS54" t="b">
            <v>0</v>
          </cell>
        </row>
        <row r="55">
          <cell r="B55" t="str">
            <v>Diluted Shares Outstanding</v>
          </cell>
          <cell r="C55">
            <v>1154.4000000000001</v>
          </cell>
          <cell r="E55">
            <v>1128.8</v>
          </cell>
          <cell r="G55">
            <v>1082.4000000000001</v>
          </cell>
          <cell r="I55">
            <v>1122.8</v>
          </cell>
          <cell r="K55">
            <v>1098.4000000000001</v>
          </cell>
          <cell r="M55">
            <v>1057</v>
          </cell>
          <cell r="O55">
            <v>1078.3</v>
          </cell>
          <cell r="Q55">
            <v>1084.7</v>
          </cell>
          <cell r="S55">
            <v>1084.2</v>
          </cell>
          <cell r="U55">
            <v>1153.5</v>
          </cell>
          <cell r="W55">
            <v>1346</v>
          </cell>
          <cell r="X55">
            <v>0.16688339835283927</v>
          </cell>
          <cell r="Y55">
            <v>1320.05</v>
          </cell>
          <cell r="Z55">
            <v>-1.9279346210995585E-2</v>
          </cell>
          <cell r="AA55">
            <v>1258</v>
          </cell>
          <cell r="AB55">
            <v>-4.7005795235028902E-2</v>
          </cell>
          <cell r="AC55">
            <v>1173.37546275</v>
          </cell>
          <cell r="AD55">
            <v>-6.726910751192372E-2</v>
          </cell>
          <cell r="AE55">
            <v>1139.9282839554037</v>
          </cell>
          <cell r="AF55">
            <v>-2.8505094793960795E-2</v>
          </cell>
          <cell r="AG55">
            <v>1113.6672499945955</v>
          </cell>
          <cell r="AH55">
            <v>-2.3037443960672532E-2</v>
          </cell>
          <cell r="AI55">
            <v>1086.6145376915538</v>
          </cell>
          <cell r="AJ55">
            <v>-2.4291557736992875E-2</v>
          </cell>
          <cell r="AK55">
            <v>1063.2640764166335</v>
          </cell>
          <cell r="AL55">
            <v>-2.1489185414845347E-2</v>
          </cell>
          <cell r="AM55">
            <v>0.11371203000907149</v>
          </cell>
          <cell r="AN55">
            <v>1.6</v>
          </cell>
          <cell r="AO55" t="str">
            <v>mstag:averageDilutedSharesOutstanding</v>
          </cell>
          <cell r="AP55">
            <v>6</v>
          </cell>
          <cell r="AQ55" t="str">
            <v>ms_eqr_gcim_Decimal:ms_eqr_gcim_decimal</v>
          </cell>
          <cell r="AR55" t="b">
            <v>0</v>
          </cell>
          <cell r="AS55" t="b">
            <v>0</v>
          </cell>
        </row>
        <row r="56">
          <cell r="AN56" t="str">
            <v>Traget PE</v>
          </cell>
        </row>
        <row r="57">
          <cell r="AN57">
            <v>18.193924801451438</v>
          </cell>
        </row>
        <row r="58">
          <cell r="W58" t="str">
            <v>2003-FY</v>
          </cell>
          <cell r="Y58" t="str">
            <v>2004-FY</v>
          </cell>
          <cell r="AA58" t="str">
            <v>2005-FY</v>
          </cell>
          <cell r="AC58" t="str">
            <v>2006-FY</v>
          </cell>
          <cell r="AE58" t="str">
            <v>2007-FY</v>
          </cell>
          <cell r="AG58" t="str">
            <v>2008-FY</v>
          </cell>
          <cell r="AI58" t="str">
            <v>2009-FY</v>
          </cell>
          <cell r="AK58" t="str">
            <v>2010-FY</v>
          </cell>
        </row>
        <row r="59">
          <cell r="AN59" t="str">
            <v>2005 Target</v>
          </cell>
        </row>
        <row r="60">
          <cell r="B60" t="str">
            <v>Reconciliation to GAAP earnings/loss</v>
          </cell>
          <cell r="AN60">
            <v>58.269732134378252</v>
          </cell>
        </row>
        <row r="61">
          <cell r="B61" t="str">
            <v>Adjustments to pro-forma earnings:</v>
          </cell>
        </row>
        <row r="62">
          <cell r="B62" t="str">
            <v xml:space="preserve">   Amortization of intangible assets</v>
          </cell>
          <cell r="C62">
            <v>0</v>
          </cell>
          <cell r="E62">
            <v>0</v>
          </cell>
          <cell r="G62">
            <v>0</v>
          </cell>
          <cell r="I62">
            <v>0</v>
          </cell>
          <cell r="K62">
            <v>0</v>
          </cell>
          <cell r="M62">
            <v>0</v>
          </cell>
          <cell r="O62">
            <v>0</v>
          </cell>
          <cell r="Q62">
            <v>0</v>
          </cell>
          <cell r="S62">
            <v>0</v>
          </cell>
          <cell r="U62">
            <v>-155.19999999999999</v>
          </cell>
          <cell r="W62">
            <v>-335.8</v>
          </cell>
          <cell r="Y62">
            <v>-333</v>
          </cell>
          <cell r="AA62">
            <v>-347</v>
          </cell>
          <cell r="AC62">
            <v>-97</v>
          </cell>
          <cell r="AE62">
            <v>-347</v>
          </cell>
          <cell r="AG62">
            <v>-347</v>
          </cell>
          <cell r="AI62">
            <v>-347</v>
          </cell>
          <cell r="AK62">
            <v>-347</v>
          </cell>
          <cell r="AO62" t="str">
            <v>mstag:amortizationOfIntangiblesAssumedToHaveIndefiniteLifeIncomeStatement</v>
          </cell>
          <cell r="AP62">
            <v>6</v>
          </cell>
          <cell r="AQ62" t="str">
            <v>ISO4217:USD</v>
          </cell>
          <cell r="AR62" t="b">
            <v>1</v>
          </cell>
          <cell r="AS62" t="b">
            <v>0</v>
          </cell>
        </row>
        <row r="63">
          <cell r="B63" t="str">
            <v xml:space="preserve">   Write-off of acquired in-process R&amp;D</v>
          </cell>
          <cell r="C63">
            <v>0</v>
          </cell>
          <cell r="E63">
            <v>0</v>
          </cell>
          <cell r="G63">
            <v>0</v>
          </cell>
          <cell r="I63">
            <v>0</v>
          </cell>
          <cell r="K63">
            <v>0</v>
          </cell>
          <cell r="M63">
            <v>0</v>
          </cell>
          <cell r="O63">
            <v>0</v>
          </cell>
          <cell r="Q63">
            <v>0</v>
          </cell>
          <cell r="S63">
            <v>0</v>
          </cell>
          <cell r="U63">
            <v>-2991.8</v>
          </cell>
          <cell r="W63">
            <v>0</v>
          </cell>
          <cell r="Y63">
            <v>-554</v>
          </cell>
          <cell r="AA63">
            <v>0</v>
          </cell>
          <cell r="AC63">
            <v>-650</v>
          </cell>
          <cell r="AE63">
            <v>0</v>
          </cell>
          <cell r="AG63">
            <v>0</v>
          </cell>
          <cell r="AI63">
            <v>0</v>
          </cell>
          <cell r="AK63">
            <v>0</v>
          </cell>
          <cell r="AO63" t="str">
            <v>mstag:acquiredInProcessRAndDOneTime</v>
          </cell>
          <cell r="AP63">
            <v>6</v>
          </cell>
          <cell r="AQ63" t="str">
            <v>ISO4217:USD</v>
          </cell>
          <cell r="AR63" t="b">
            <v>1</v>
          </cell>
          <cell r="AS63" t="b">
            <v>0</v>
          </cell>
        </row>
        <row r="64">
          <cell r="B64" t="str">
            <v xml:space="preserve">   Legal Settlement</v>
          </cell>
          <cell r="AA64">
            <v>-49</v>
          </cell>
          <cell r="AO64" t="str">
            <v>mstag:otherProvisionsOneTime</v>
          </cell>
          <cell r="AP64">
            <v>6</v>
          </cell>
          <cell r="AQ64" t="str">
            <v>ISO4217:USD</v>
          </cell>
          <cell r="AR64" t="b">
            <v>1</v>
          </cell>
          <cell r="AS64" t="b">
            <v>0</v>
          </cell>
        </row>
        <row r="65">
          <cell r="B65" t="str">
            <v xml:space="preserve">   COGS</v>
          </cell>
          <cell r="AA65">
            <v>-47</v>
          </cell>
          <cell r="AO65" t="str">
            <v>mstag:otherProvisionsOneTime</v>
          </cell>
          <cell r="AP65">
            <v>6</v>
          </cell>
          <cell r="AQ65" t="str">
            <v>ISO4217:USD</v>
          </cell>
          <cell r="AR65" t="b">
            <v>1</v>
          </cell>
          <cell r="AS65" t="b">
            <v>0</v>
          </cell>
        </row>
        <row r="66">
          <cell r="B66" t="str">
            <v xml:space="preserve">   R&amp;D</v>
          </cell>
          <cell r="AA66">
            <v>-12</v>
          </cell>
          <cell r="AO66" t="str">
            <v>mstag:otherProvisionsOneTime</v>
          </cell>
          <cell r="AP66">
            <v>6</v>
          </cell>
          <cell r="AQ66" t="str">
            <v>ISO4217:USD</v>
          </cell>
          <cell r="AR66" t="b">
            <v>1</v>
          </cell>
          <cell r="AS66" t="b">
            <v>0</v>
          </cell>
        </row>
        <row r="67">
          <cell r="B67" t="str">
            <v xml:space="preserve">   SG&amp;A</v>
          </cell>
          <cell r="AA67">
            <v>2</v>
          </cell>
          <cell r="AO67" t="str">
            <v>mstag:otherProvisionsOneTime</v>
          </cell>
          <cell r="AP67">
            <v>6</v>
          </cell>
          <cell r="AQ67" t="str">
            <v>ISO4217:USD</v>
          </cell>
          <cell r="AR67" t="b">
            <v>1</v>
          </cell>
          <cell r="AS67" t="b">
            <v>0</v>
          </cell>
        </row>
        <row r="68">
          <cell r="B68" t="str">
            <v xml:space="preserve">   Interest expense</v>
          </cell>
          <cell r="AA68">
            <v>0</v>
          </cell>
          <cell r="AO68" t="str">
            <v>mstag:otherProvisionsOneTime</v>
          </cell>
          <cell r="AP68">
            <v>6</v>
          </cell>
          <cell r="AQ68" t="str">
            <v>ISO4217:USD</v>
          </cell>
          <cell r="AR68" t="b">
            <v>1</v>
          </cell>
          <cell r="AS68" t="b">
            <v>0</v>
          </cell>
        </row>
        <row r="69">
          <cell r="B69" t="str">
            <v xml:space="preserve">   Tax effects of adjustments</v>
          </cell>
          <cell r="C69">
            <v>0</v>
          </cell>
          <cell r="E69">
            <v>0</v>
          </cell>
          <cell r="G69">
            <v>0</v>
          </cell>
          <cell r="I69">
            <v>0</v>
          </cell>
          <cell r="K69">
            <v>0</v>
          </cell>
          <cell r="M69">
            <v>0</v>
          </cell>
          <cell r="O69">
            <v>0</v>
          </cell>
          <cell r="Q69">
            <v>0</v>
          </cell>
          <cell r="S69">
            <v>0</v>
          </cell>
          <cell r="U69">
            <v>0</v>
          </cell>
          <cell r="W69">
            <v>0</v>
          </cell>
          <cell r="Y69">
            <v>142.79999999999998</v>
          </cell>
          <cell r="AA69">
            <v>104</v>
          </cell>
          <cell r="AC69">
            <v>35.89</v>
          </cell>
          <cell r="AE69">
            <v>128.38999999999999</v>
          </cell>
          <cell r="AG69">
            <v>128.38999999999999</v>
          </cell>
          <cell r="AI69">
            <v>128.38999999999999</v>
          </cell>
          <cell r="AK69">
            <v>128.38999999999999</v>
          </cell>
          <cell r="AO69" t="str">
            <v>mstag:taxOnIncomeLossFromExtraordinaryItems</v>
          </cell>
          <cell r="AP69">
            <v>6</v>
          </cell>
          <cell r="AQ69" t="str">
            <v>ISO4217:USD</v>
          </cell>
          <cell r="AR69" t="b">
            <v>1</v>
          </cell>
          <cell r="AS69" t="b">
            <v>0</v>
          </cell>
        </row>
        <row r="70">
          <cell r="B70" t="str">
            <v>GAAP Net Income</v>
          </cell>
          <cell r="C70">
            <v>588.70000000000005</v>
          </cell>
          <cell r="E70">
            <v>556.49999999999989</v>
          </cell>
          <cell r="G70">
            <v>537.70000000000005</v>
          </cell>
          <cell r="I70">
            <v>679.79999999999984</v>
          </cell>
          <cell r="K70">
            <v>644.30000000000018</v>
          </cell>
          <cell r="M70">
            <v>863.19999999999982</v>
          </cell>
          <cell r="O70">
            <v>1096.3999999999999</v>
          </cell>
          <cell r="Q70">
            <v>1138.4999999999995</v>
          </cell>
          <cell r="S70">
            <v>1119.6999999999998</v>
          </cell>
          <cell r="U70">
            <v>-1391.9000000000012</v>
          </cell>
          <cell r="W70">
            <v>2259.4999999999991</v>
          </cell>
          <cell r="Y70">
            <v>2362.5999999999995</v>
          </cell>
          <cell r="AA70">
            <v>3674</v>
          </cell>
          <cell r="AC70">
            <v>3329.4653900000003</v>
          </cell>
          <cell r="AE70">
            <v>4180.6358985744819</v>
          </cell>
          <cell r="AG70">
            <v>4644.6218930347759</v>
          </cell>
          <cell r="AI70">
            <v>4935.4458679720119</v>
          </cell>
          <cell r="AK70">
            <v>5243.1867741883407</v>
          </cell>
        </row>
        <row r="71">
          <cell r="B71" t="str">
            <v>GAAP (loss) EPS</v>
          </cell>
          <cell r="W71">
            <v>1.7537255510710952</v>
          </cell>
          <cell r="Y71">
            <v>1.8593633179868565</v>
          </cell>
          <cell r="AA71">
            <v>2.9724919093851132</v>
          </cell>
          <cell r="AC71">
            <v>2.8658385588363804</v>
          </cell>
          <cell r="AE71">
            <v>3.7297201873627048</v>
          </cell>
          <cell r="AG71">
            <v>4.2400209179539265</v>
          </cell>
          <cell r="AI71">
            <v>4.607265010923677</v>
          </cell>
          <cell r="AK71">
            <v>4.9995539315828985</v>
          </cell>
        </row>
        <row r="72">
          <cell r="B72" t="str">
            <v>GAAP (loss) EPS diluted</v>
          </cell>
          <cell r="C72">
            <v>0.50996188496188499</v>
          </cell>
          <cell r="E72">
            <v>0.49300141743444359</v>
          </cell>
          <cell r="G72">
            <v>0.49676644493717664</v>
          </cell>
          <cell r="I72">
            <v>0.6054506590666191</v>
          </cell>
          <cell r="K72">
            <v>0.58658048069919899</v>
          </cell>
          <cell r="M72">
            <v>0.81665089877010388</v>
          </cell>
          <cell r="O72">
            <v>1.0167856811647964</v>
          </cell>
          <cell r="Q72">
            <v>1.0495989674564392</v>
          </cell>
          <cell r="S72">
            <v>1.0327430363401584</v>
          </cell>
          <cell r="U72">
            <v>-1.2066753359341147</v>
          </cell>
          <cell r="W72">
            <v>1.6939078751857348</v>
          </cell>
          <cell r="Y72">
            <v>1.8057346312639668</v>
          </cell>
          <cell r="AA72">
            <v>2.9252782193958664</v>
          </cell>
          <cell r="AC72">
            <v>2.8409196338463318</v>
          </cell>
          <cell r="AE72">
            <v>3.6709641803555715</v>
          </cell>
          <cell r="AG72">
            <v>4.1741569513311401</v>
          </cell>
          <cell r="AI72">
            <v>4.5457203972860176</v>
          </cell>
          <cell r="AK72">
            <v>4.9349798329237098</v>
          </cell>
        </row>
        <row r="73">
          <cell r="B73" t="str">
            <v>Current Actual Basic Share Count</v>
          </cell>
          <cell r="U73">
            <v>1268.2</v>
          </cell>
          <cell r="AO73" t="str">
            <v>mstag:currentBasicSharesOutstanding</v>
          </cell>
          <cell r="AP73">
            <v>6</v>
          </cell>
          <cell r="AQ73" t="str">
            <v>ms_eqr_gcim_Decimal:ms_eqr_gcim_decimal</v>
          </cell>
          <cell r="AR73" t="b">
            <v>0</v>
          </cell>
          <cell r="AS73" t="b">
            <v>0</v>
          </cell>
        </row>
        <row r="74">
          <cell r="B74" t="str">
            <v>Current Actual Diluted Share Count</v>
          </cell>
          <cell r="U74">
            <v>1317.7</v>
          </cell>
          <cell r="AO74" t="str">
            <v>mstag:currentDilutedSharesOutstanding</v>
          </cell>
          <cell r="AP74">
            <v>6</v>
          </cell>
          <cell r="AQ74" t="str">
            <v>ms_eqr_gcim_Decimal:ms_eqr_gcim_decimal</v>
          </cell>
          <cell r="AR74" t="b">
            <v>0</v>
          </cell>
          <cell r="AS74" t="b">
            <v>0</v>
          </cell>
        </row>
        <row r="75">
          <cell r="B75" t="str">
            <v>INTEREST CALCULATIONS</v>
          </cell>
        </row>
        <row r="76">
          <cell r="B76" t="str">
            <v>Cash and Equivalents</v>
          </cell>
          <cell r="U76">
            <v>3663.0499999999997</v>
          </cell>
          <cell r="W76">
            <v>4893.3999999999996</v>
          </cell>
          <cell r="Y76">
            <v>5465.4500000000007</v>
          </cell>
          <cell r="AA76">
            <v>5531.5</v>
          </cell>
          <cell r="AC76">
            <v>4977.6425651190475</v>
          </cell>
          <cell r="AE76">
            <v>5267.9289720168927</v>
          </cell>
          <cell r="AG76">
            <v>6633.1452568129571</v>
          </cell>
          <cell r="AI76">
            <v>8090.5150597020702</v>
          </cell>
          <cell r="AK76">
            <v>10095.15261005767</v>
          </cell>
        </row>
        <row r="77">
          <cell r="B77" t="str">
            <v>Return on assets</v>
          </cell>
          <cell r="U77">
            <v>3.9366102018809461E-2</v>
          </cell>
          <cell r="W77">
            <v>2.3174071197940085E-2</v>
          </cell>
          <cell r="Y77">
            <v>0.02</v>
          </cell>
          <cell r="AA77">
            <v>2.7699999999999999E-2</v>
          </cell>
          <cell r="AC77">
            <v>3.5000000000000003E-2</v>
          </cell>
          <cell r="AE77">
            <v>0.04</v>
          </cell>
          <cell r="AG77">
            <v>0.04</v>
          </cell>
          <cell r="AI77">
            <v>0.04</v>
          </cell>
          <cell r="AK77">
            <v>0.04</v>
          </cell>
        </row>
        <row r="78">
          <cell r="B78" t="str">
            <v>Interst Income</v>
          </cell>
          <cell r="C78">
            <v>27.2</v>
          </cell>
          <cell r="E78">
            <v>21.5</v>
          </cell>
          <cell r="G78">
            <v>66.099999999999994</v>
          </cell>
          <cell r="I78">
            <v>63.6</v>
          </cell>
          <cell r="K78">
            <v>72.599999999999994</v>
          </cell>
          <cell r="M78">
            <v>45.7</v>
          </cell>
          <cell r="O78">
            <v>88.3</v>
          </cell>
          <cell r="Q78">
            <v>146.19999999999999</v>
          </cell>
          <cell r="S78">
            <v>168.7</v>
          </cell>
          <cell r="U78">
            <v>144.19999999999999</v>
          </cell>
          <cell r="W78">
            <v>113.4</v>
          </cell>
          <cell r="Y78">
            <v>109.30900000000001</v>
          </cell>
          <cell r="AA78">
            <v>153.22254999999998</v>
          </cell>
          <cell r="AC78">
            <v>174.21748977916667</v>
          </cell>
          <cell r="AE78">
            <v>210.7171588806757</v>
          </cell>
          <cell r="AG78">
            <v>265.32581027251831</v>
          </cell>
          <cell r="AI78">
            <v>323.62060238808283</v>
          </cell>
          <cell r="AK78">
            <v>403.8061044023068</v>
          </cell>
        </row>
        <row r="79">
          <cell r="B79" t="str">
            <v>Test</v>
          </cell>
          <cell r="U79">
            <v>144.19999999999999</v>
          </cell>
          <cell r="W79">
            <v>113.4</v>
          </cell>
          <cell r="Y79">
            <v>99.7</v>
          </cell>
          <cell r="AA79">
            <v>157</v>
          </cell>
          <cell r="AC79">
            <v>329</v>
          </cell>
          <cell r="AE79">
            <v>210.7171588806757</v>
          </cell>
          <cell r="AG79">
            <v>265.32581027251831</v>
          </cell>
          <cell r="AI79">
            <v>323.62060238808283</v>
          </cell>
          <cell r="AK79">
            <v>403.8061044023068</v>
          </cell>
        </row>
        <row r="80">
          <cell r="B80" t="str">
            <v>Interest Bearing Obligations</v>
          </cell>
        </row>
        <row r="81">
          <cell r="B81" t="str">
            <v>Convertible Bond - 30 year</v>
          </cell>
          <cell r="W81">
            <v>2880</v>
          </cell>
          <cell r="Y81">
            <v>2912.4</v>
          </cell>
          <cell r="AA81">
            <v>1759</v>
          </cell>
          <cell r="AC81">
            <v>1778.7887499999999</v>
          </cell>
          <cell r="AE81">
            <v>1798.5774999999999</v>
          </cell>
          <cell r="AG81">
            <v>1818.3662499999998</v>
          </cell>
          <cell r="AI81">
            <v>1838.1549999999997</v>
          </cell>
          <cell r="AK81">
            <v>1857.9437499999997</v>
          </cell>
        </row>
        <row r="82">
          <cell r="B82" t="str">
            <v>Interest Rate</v>
          </cell>
          <cell r="W82">
            <v>1.125E-2</v>
          </cell>
          <cell r="Y82">
            <v>1.125E-2</v>
          </cell>
          <cell r="AA82">
            <v>1.125E-2</v>
          </cell>
          <cell r="AC82">
            <v>1.125E-2</v>
          </cell>
          <cell r="AE82">
            <v>1.125E-2</v>
          </cell>
          <cell r="AG82">
            <v>1.125E-2</v>
          </cell>
          <cell r="AI82">
            <v>1.125E-2</v>
          </cell>
          <cell r="AK82">
            <v>1.125E-2</v>
          </cell>
        </row>
        <row r="83">
          <cell r="B83" t="str">
            <v>Interest Expense</v>
          </cell>
          <cell r="W83">
            <v>32.4</v>
          </cell>
          <cell r="Y83">
            <v>32.4</v>
          </cell>
          <cell r="AA83">
            <v>19.78875</v>
          </cell>
          <cell r="AC83">
            <v>19.78875</v>
          </cell>
          <cell r="AE83">
            <v>19.78875</v>
          </cell>
          <cell r="AG83">
            <v>19.78875</v>
          </cell>
          <cell r="AI83">
            <v>19.78875</v>
          </cell>
          <cell r="AK83">
            <v>19.78875</v>
          </cell>
        </row>
        <row r="84">
          <cell r="B84" t="str">
            <v>Convertible Bond - 2011</v>
          </cell>
          <cell r="AC84">
            <v>2500</v>
          </cell>
          <cell r="AE84">
            <v>2500</v>
          </cell>
          <cell r="AG84">
            <v>2500</v>
          </cell>
          <cell r="AI84">
            <v>2500</v>
          </cell>
          <cell r="AK84">
            <v>2500</v>
          </cell>
        </row>
        <row r="85">
          <cell r="B85" t="str">
            <v>Interest Rate</v>
          </cell>
          <cell r="AC85">
            <v>1.25E-3</v>
          </cell>
          <cell r="AE85">
            <v>1.25E-3</v>
          </cell>
          <cell r="AG85">
            <v>1.25E-3</v>
          </cell>
          <cell r="AI85">
            <v>1.25E-3</v>
          </cell>
          <cell r="AK85">
            <v>1.25E-3</v>
          </cell>
        </row>
        <row r="86">
          <cell r="B86" t="str">
            <v>Interest Expense</v>
          </cell>
          <cell r="AC86">
            <v>3.125</v>
          </cell>
          <cell r="AE86">
            <v>3.125</v>
          </cell>
          <cell r="AG86">
            <v>3.125</v>
          </cell>
          <cell r="AI86">
            <v>3.125</v>
          </cell>
          <cell r="AK86">
            <v>3.125</v>
          </cell>
        </row>
        <row r="87">
          <cell r="B87" t="str">
            <v>Convertible Bond - 2013</v>
          </cell>
          <cell r="AC87">
            <v>2500</v>
          </cell>
          <cell r="AE87">
            <v>2500</v>
          </cell>
          <cell r="AG87">
            <v>2500</v>
          </cell>
          <cell r="AI87">
            <v>2500</v>
          </cell>
          <cell r="AK87">
            <v>2500</v>
          </cell>
        </row>
        <row r="88">
          <cell r="B88" t="str">
            <v>Interest Rate</v>
          </cell>
          <cell r="AC88">
            <v>3.7499999999999999E-3</v>
          </cell>
          <cell r="AE88">
            <v>3.7499999999999999E-3</v>
          </cell>
          <cell r="AG88">
            <v>3.7499999999999999E-3</v>
          </cell>
          <cell r="AI88">
            <v>3.7499999999999999E-3</v>
          </cell>
          <cell r="AK88">
            <v>3.7499999999999999E-3</v>
          </cell>
        </row>
        <row r="89">
          <cell r="B89" t="str">
            <v>Interest Expense</v>
          </cell>
          <cell r="AC89">
            <v>9.375</v>
          </cell>
          <cell r="AE89">
            <v>9.375</v>
          </cell>
          <cell r="AG89">
            <v>9.375</v>
          </cell>
          <cell r="AI89">
            <v>9.375</v>
          </cell>
          <cell r="AK89">
            <v>9.375</v>
          </cell>
        </row>
        <row r="90">
          <cell r="B90" t="str">
            <v>6.5% Debt</v>
          </cell>
          <cell r="W90">
            <v>100</v>
          </cell>
          <cell r="Y90">
            <v>100</v>
          </cell>
          <cell r="AA90">
            <v>100</v>
          </cell>
          <cell r="AC90">
            <v>100</v>
          </cell>
          <cell r="AE90">
            <v>0</v>
          </cell>
          <cell r="AG90">
            <v>0</v>
          </cell>
          <cell r="AI90">
            <v>0</v>
          </cell>
          <cell r="AK90">
            <v>0</v>
          </cell>
        </row>
        <row r="91">
          <cell r="B91" t="str">
            <v>Interest Rate</v>
          </cell>
          <cell r="W91">
            <v>6.5000000000000002E-2</v>
          </cell>
          <cell r="Y91">
            <v>6.5000000000000002E-2</v>
          </cell>
          <cell r="AA91">
            <v>6.5000000000000002E-2</v>
          </cell>
          <cell r="AC91">
            <v>6.5000000000000002E-2</v>
          </cell>
          <cell r="AE91">
            <v>6.5000000000000002E-2</v>
          </cell>
          <cell r="AG91">
            <v>6.5000000000000002E-2</v>
          </cell>
          <cell r="AI91">
            <v>6.5000000000000002E-2</v>
          </cell>
          <cell r="AK91">
            <v>6.5000000000000002E-2</v>
          </cell>
        </row>
        <row r="92">
          <cell r="B92" t="str">
            <v>Interest Expense</v>
          </cell>
          <cell r="W92">
            <v>6.5</v>
          </cell>
          <cell r="Y92">
            <v>6.5</v>
          </cell>
          <cell r="AA92">
            <v>6.5</v>
          </cell>
          <cell r="AC92">
            <v>6.5</v>
          </cell>
          <cell r="AE92">
            <v>0</v>
          </cell>
          <cell r="AG92">
            <v>0</v>
          </cell>
          <cell r="AI92">
            <v>0</v>
          </cell>
          <cell r="AK92">
            <v>0</v>
          </cell>
        </row>
        <row r="93">
          <cell r="B93" t="str">
            <v>8.1% Debt</v>
          </cell>
          <cell r="W93">
            <v>100</v>
          </cell>
          <cell r="Y93">
            <v>100</v>
          </cell>
          <cell r="AA93">
            <v>100</v>
          </cell>
          <cell r="AC93">
            <v>100</v>
          </cell>
          <cell r="AE93">
            <v>100</v>
          </cell>
          <cell r="AG93">
            <v>100</v>
          </cell>
          <cell r="AI93">
            <v>100</v>
          </cell>
          <cell r="AK93">
            <v>100</v>
          </cell>
        </row>
        <row r="94">
          <cell r="B94" t="str">
            <v>Interest Rate</v>
          </cell>
          <cell r="W94">
            <v>8.1000000000000003E-2</v>
          </cell>
          <cell r="Y94">
            <v>8.1000000000000003E-2</v>
          </cell>
          <cell r="AA94">
            <v>8.1000000000000003E-2</v>
          </cell>
          <cell r="AC94">
            <v>8.1000000000000003E-2</v>
          </cell>
          <cell r="AE94">
            <v>8.1000000000000003E-2</v>
          </cell>
          <cell r="AG94">
            <v>8.1000000000000003E-2</v>
          </cell>
          <cell r="AI94">
            <v>8.1000000000000003E-2</v>
          </cell>
          <cell r="AK94">
            <v>8.1000000000000003E-2</v>
          </cell>
        </row>
        <row r="95">
          <cell r="B95" t="str">
            <v>Interest Expense</v>
          </cell>
          <cell r="W95">
            <v>8.1</v>
          </cell>
          <cell r="Y95">
            <v>8.1</v>
          </cell>
          <cell r="AA95">
            <v>8.1</v>
          </cell>
          <cell r="AC95">
            <v>8.1</v>
          </cell>
          <cell r="AE95">
            <v>8.1</v>
          </cell>
          <cell r="AG95">
            <v>8.1</v>
          </cell>
          <cell r="AI95">
            <v>8.1</v>
          </cell>
          <cell r="AK95">
            <v>8.1</v>
          </cell>
        </row>
        <row r="96">
          <cell r="B96" t="str">
            <v>Senior Notes</v>
          </cell>
          <cell r="Y96">
            <v>2000</v>
          </cell>
          <cell r="AA96">
            <v>1998</v>
          </cell>
          <cell r="AC96">
            <v>1998</v>
          </cell>
          <cell r="AE96">
            <v>1998</v>
          </cell>
          <cell r="AG96">
            <v>1998</v>
          </cell>
          <cell r="AI96">
            <v>1000</v>
          </cell>
          <cell r="AK96">
            <v>1000</v>
          </cell>
        </row>
        <row r="97">
          <cell r="B97" t="str">
            <v>Interest Rate</v>
          </cell>
          <cell r="Y97">
            <v>4.4249999999999998E-2</v>
          </cell>
          <cell r="AA97">
            <v>4.4249999999999998E-2</v>
          </cell>
          <cell r="AC97">
            <v>4.4249999999999998E-2</v>
          </cell>
          <cell r="AE97">
            <v>4.4249999999999998E-2</v>
          </cell>
          <cell r="AG97">
            <v>4.4249999999999998E-2</v>
          </cell>
          <cell r="AI97">
            <v>4.8500000000000001E-2</v>
          </cell>
          <cell r="AK97">
            <v>4.8500000000000001E-2</v>
          </cell>
        </row>
        <row r="98">
          <cell r="B98" t="str">
            <v>Interest Expense</v>
          </cell>
          <cell r="C98">
            <v>785.5</v>
          </cell>
          <cell r="E98">
            <v>815.59999999999991</v>
          </cell>
          <cell r="G98">
            <v>743.59999999999991</v>
          </cell>
          <cell r="I98">
            <v>904.89999999999986</v>
          </cell>
          <cell r="K98">
            <v>792.50000000000023</v>
          </cell>
          <cell r="M98">
            <v>1188.6999999999998</v>
          </cell>
          <cell r="O98">
            <v>1493.1</v>
          </cell>
          <cell r="Q98">
            <v>1543.9999999999995</v>
          </cell>
          <cell r="S98">
            <v>1531.1999999999998</v>
          </cell>
          <cell r="Y98">
            <v>8.85</v>
          </cell>
          <cell r="AA98">
            <v>88.41149999999999</v>
          </cell>
          <cell r="AC98">
            <v>88.41149999999999</v>
          </cell>
          <cell r="AE98">
            <v>88.41149999999999</v>
          </cell>
          <cell r="AG98">
            <v>88.41149999999999</v>
          </cell>
          <cell r="AI98">
            <v>48.5</v>
          </cell>
          <cell r="AK98">
            <v>48.5</v>
          </cell>
        </row>
        <row r="99">
          <cell r="B99" t="str">
            <v>Total Interest</v>
          </cell>
          <cell r="W99">
            <v>47</v>
          </cell>
          <cell r="Y99">
            <v>47</v>
          </cell>
          <cell r="AA99">
            <v>122.80024999999999</v>
          </cell>
          <cell r="AC99">
            <v>135.30025000000001</v>
          </cell>
          <cell r="AE99">
            <v>128.80025000000001</v>
          </cell>
          <cell r="AG99">
            <v>128.80025000000001</v>
          </cell>
          <cell r="AI99">
            <v>88.888750000000002</v>
          </cell>
          <cell r="AK99">
            <v>88.888750000000002</v>
          </cell>
        </row>
        <row r="100">
          <cell r="B100" t="str">
            <v>Total Debt</v>
          </cell>
          <cell r="W100">
            <v>3080</v>
          </cell>
          <cell r="Y100">
            <v>5112.3999999999996</v>
          </cell>
          <cell r="AA100">
            <v>3957</v>
          </cell>
          <cell r="AC100">
            <v>8976.7887499999997</v>
          </cell>
          <cell r="AE100">
            <v>8896.5774999999994</v>
          </cell>
          <cell r="AG100">
            <v>8916.3662499999991</v>
          </cell>
          <cell r="AI100">
            <v>7938.1549999999997</v>
          </cell>
          <cell r="AK100">
            <v>7957.9437499999995</v>
          </cell>
        </row>
        <row r="101">
          <cell r="B101" t="str">
            <v>CHECK</v>
          </cell>
          <cell r="W101">
            <v>-31.5</v>
          </cell>
          <cell r="Y101">
            <v>-52.5</v>
          </cell>
          <cell r="AA101">
            <v>-137</v>
          </cell>
          <cell r="AC101">
            <v>-136</v>
          </cell>
          <cell r="AE101">
            <v>-128.80025000000001</v>
          </cell>
          <cell r="AG101">
            <v>-128.80025000000001</v>
          </cell>
          <cell r="AI101">
            <v>-88.888750000000002</v>
          </cell>
          <cell r="AK101">
            <v>-88.888750000000002</v>
          </cell>
        </row>
        <row r="105">
          <cell r="B105" t="str">
            <v>Statuatory Tax</v>
          </cell>
          <cell r="C105">
            <v>0.35</v>
          </cell>
          <cell r="E105">
            <v>0.35</v>
          </cell>
          <cell r="G105">
            <v>0.35</v>
          </cell>
          <cell r="I105">
            <v>0.35</v>
          </cell>
          <cell r="K105">
            <v>0.35</v>
          </cell>
          <cell r="M105">
            <v>0.35</v>
          </cell>
          <cell r="O105">
            <v>0.35</v>
          </cell>
          <cell r="Q105">
            <v>0.35</v>
          </cell>
          <cell r="S105">
            <v>0.35</v>
          </cell>
          <cell r="U105">
            <v>0.35</v>
          </cell>
          <cell r="W105">
            <v>0.35</v>
          </cell>
          <cell r="Y105">
            <v>0.27179593913325006</v>
          </cell>
          <cell r="AA105">
            <v>0.24393910919000189</v>
          </cell>
          <cell r="AC105">
            <v>0.2340976647582528</v>
          </cell>
          <cell r="AE105">
            <v>0.23499999999999999</v>
          </cell>
          <cell r="AG105">
            <v>0.23</v>
          </cell>
          <cell r="AI105">
            <v>0.22500000000000001</v>
          </cell>
          <cell r="AK105">
            <v>0.22450000000000001</v>
          </cell>
          <cell r="AO105" t="str">
            <v>mstag:statutoryTaxRate</v>
          </cell>
          <cell r="AP105">
            <v>0</v>
          </cell>
          <cell r="AQ105" t="str">
            <v>ms_eqr_gcim_Decimal:ms_eqr_gcim_decimal</v>
          </cell>
          <cell r="AR105" t="b">
            <v>0</v>
          </cell>
          <cell r="AS105" t="b">
            <v>0</v>
          </cell>
        </row>
        <row r="106">
          <cell r="B106" t="str">
            <v>Common Dividends</v>
          </cell>
          <cell r="C106">
            <v>0</v>
          </cell>
          <cell r="E106">
            <v>0</v>
          </cell>
          <cell r="G106">
            <v>0</v>
          </cell>
          <cell r="I106">
            <v>0</v>
          </cell>
          <cell r="K106">
            <v>0</v>
          </cell>
          <cell r="M106">
            <v>0</v>
          </cell>
          <cell r="O106">
            <v>0</v>
          </cell>
          <cell r="Q106">
            <v>0</v>
          </cell>
          <cell r="S106">
            <v>0</v>
          </cell>
          <cell r="U106">
            <v>0</v>
          </cell>
          <cell r="W106">
            <v>0</v>
          </cell>
          <cell r="Y106">
            <v>0</v>
          </cell>
          <cell r="AA106">
            <v>0</v>
          </cell>
          <cell r="AC106">
            <v>0</v>
          </cell>
          <cell r="AE106">
            <v>0</v>
          </cell>
          <cell r="AG106">
            <v>0</v>
          </cell>
          <cell r="AI106">
            <v>0</v>
          </cell>
          <cell r="AK106">
            <v>0</v>
          </cell>
          <cell r="AO106" t="str">
            <v>mstag:commonDividends</v>
          </cell>
          <cell r="AP106">
            <v>6</v>
          </cell>
          <cell r="AQ106" t="str">
            <v>ISO4217:USD</v>
          </cell>
          <cell r="AR106" t="b">
            <v>0</v>
          </cell>
          <cell r="AS106" t="b">
            <v>0</v>
          </cell>
        </row>
        <row r="107">
          <cell r="B107" t="str">
            <v>Unrecorded Goodwill</v>
          </cell>
          <cell r="C107">
            <v>0</v>
          </cell>
          <cell r="E107">
            <v>0</v>
          </cell>
          <cell r="G107">
            <v>0</v>
          </cell>
          <cell r="I107">
            <v>0</v>
          </cell>
          <cell r="K107">
            <v>0</v>
          </cell>
          <cell r="M107">
            <v>0</v>
          </cell>
          <cell r="O107">
            <v>0</v>
          </cell>
          <cell r="Q107">
            <v>0</v>
          </cell>
          <cell r="S107">
            <v>0</v>
          </cell>
          <cell r="U107">
            <v>0</v>
          </cell>
          <cell r="W107">
            <v>0</v>
          </cell>
          <cell r="Y107">
            <v>0</v>
          </cell>
          <cell r="AA107">
            <v>0</v>
          </cell>
          <cell r="AC107">
            <v>0</v>
          </cell>
          <cell r="AE107">
            <v>0</v>
          </cell>
          <cell r="AG107">
            <v>0</v>
          </cell>
          <cell r="AI107">
            <v>0</v>
          </cell>
          <cell r="AK107">
            <v>0</v>
          </cell>
          <cell r="AO107" t="str">
            <v>mstag:unrecordedGoodwillFromPoolingAndAmortizedOrWrittenOffGoodwill</v>
          </cell>
          <cell r="AP107">
            <v>6</v>
          </cell>
          <cell r="AQ107" t="str">
            <v>ISO4217:USD</v>
          </cell>
          <cell r="AR107" t="b">
            <v>0</v>
          </cell>
          <cell r="AS107" t="b">
            <v>0</v>
          </cell>
        </row>
        <row r="109">
          <cell r="B109" t="str">
            <v>If-Converted Calculation</v>
          </cell>
        </row>
        <row r="110">
          <cell r="Y110" t="str">
            <v>2004E</v>
          </cell>
          <cell r="AA110" t="str">
            <v>2005E</v>
          </cell>
          <cell r="AC110" t="str">
            <v>2006E</v>
          </cell>
          <cell r="AE110" t="str">
            <v>2007E</v>
          </cell>
          <cell r="AG110" t="str">
            <v>2008E</v>
          </cell>
          <cell r="AI110" t="str">
            <v>2009E</v>
          </cell>
          <cell r="AK110" t="str">
            <v>2010E</v>
          </cell>
        </row>
        <row r="111">
          <cell r="B111" t="str">
            <v>Net Earnings</v>
          </cell>
          <cell r="Y111">
            <v>3106.7999999999993</v>
          </cell>
          <cell r="AA111">
            <v>4023</v>
          </cell>
          <cell r="AC111">
            <v>4335.4931825000003</v>
          </cell>
          <cell r="AE111">
            <v>4671.2119694975627</v>
          </cell>
          <cell r="AG111">
            <v>5157.5244034755797</v>
          </cell>
          <cell r="AI111">
            <v>5486.3131761720342</v>
          </cell>
          <cell r="AK111">
            <v>5830.7509225580634</v>
          </cell>
        </row>
        <row r="112">
          <cell r="B112" t="str">
            <v>Diluted Share Count</v>
          </cell>
          <cell r="Y112">
            <v>1285.05</v>
          </cell>
          <cell r="AA112">
            <v>1236</v>
          </cell>
          <cell r="AC112">
            <v>1173.37546275</v>
          </cell>
          <cell r="AE112">
            <v>1131.9282839554037</v>
          </cell>
          <cell r="AG112">
            <v>1105.6672499945955</v>
          </cell>
          <cell r="AI112">
            <v>1078.6145376915538</v>
          </cell>
          <cell r="AK112">
            <v>1055.2640764166335</v>
          </cell>
        </row>
        <row r="113">
          <cell r="B113" t="str">
            <v>EPS, diluted</v>
          </cell>
          <cell r="Y113">
            <v>2.4176491187113336</v>
          </cell>
          <cell r="AA113">
            <v>3.2548543689320391</v>
          </cell>
          <cell r="AC113">
            <v>3.6948899309169572</v>
          </cell>
          <cell r="AE113">
            <v>4.1267737856805793</v>
          </cell>
          <cell r="AG113">
            <v>4.6646261825162947</v>
          </cell>
          <cell r="AI113">
            <v>5.0864446792213815</v>
          </cell>
          <cell r="AK113">
            <v>5.5253950673253076</v>
          </cell>
        </row>
        <row r="115">
          <cell r="B115" t="str">
            <v>Interest add-back</v>
          </cell>
          <cell r="Y115">
            <v>21.06</v>
          </cell>
          <cell r="AA115">
            <v>6</v>
          </cell>
          <cell r="AC115">
            <v>4</v>
          </cell>
          <cell r="AE115">
            <v>4</v>
          </cell>
          <cell r="AG115">
            <v>4</v>
          </cell>
          <cell r="AI115">
            <v>4</v>
          </cell>
          <cell r="AK115">
            <v>4</v>
          </cell>
        </row>
        <row r="116">
          <cell r="B116" t="str">
            <v>If-converted shares</v>
          </cell>
          <cell r="Y116">
            <v>35</v>
          </cell>
          <cell r="AA116">
            <v>22</v>
          </cell>
          <cell r="AC116">
            <v>8</v>
          </cell>
          <cell r="AE116">
            <v>8</v>
          </cell>
          <cell r="AG116">
            <v>8</v>
          </cell>
          <cell r="AI116">
            <v>8</v>
          </cell>
          <cell r="AK116">
            <v>8</v>
          </cell>
        </row>
        <row r="117">
          <cell r="B117" t="str">
            <v>"If converted" EPS</v>
          </cell>
          <cell r="Y117">
            <v>2.36950115525927</v>
          </cell>
          <cell r="AA117">
            <v>3.2027027027027026</v>
          </cell>
          <cell r="AC117">
            <v>3.6732548790191979</v>
          </cell>
          <cell r="AE117">
            <v>4.1013211403748855</v>
          </cell>
          <cell r="AG117">
            <v>4.6347096976234399</v>
          </cell>
          <cell r="AI117">
            <v>5.0526778224740756</v>
          </cell>
          <cell r="AK117">
            <v>5.4875839896915242</v>
          </cell>
        </row>
        <row r="118">
          <cell r="B118" t="str">
            <v>EPS dilution</v>
          </cell>
          <cell r="Y118">
            <v>-1.9915199058218813E-2</v>
          </cell>
          <cell r="AA118">
            <v>-1.6022734143539608E-2</v>
          </cell>
          <cell r="AC118">
            <v>-5.8553982127391713E-3</v>
          </cell>
          <cell r="AE118">
            <v>-6.167686097554359E-3</v>
          </cell>
          <cell r="AG118">
            <v>-6.4134796063586297E-3</v>
          </cell>
          <cell r="AI118">
            <v>-6.6385970706114295E-3</v>
          </cell>
          <cell r="AK118">
            <v>-6.8431446390830875E-3</v>
          </cell>
        </row>
        <row r="119">
          <cell r="B119" t="str">
            <v>Modelware adjustment</v>
          </cell>
          <cell r="U119">
            <v>20.5</v>
          </cell>
          <cell r="W119">
            <v>20.5</v>
          </cell>
          <cell r="Y119">
            <v>21.06</v>
          </cell>
          <cell r="AA119">
            <v>6</v>
          </cell>
          <cell r="AC119">
            <v>4</v>
          </cell>
          <cell r="AE119">
            <v>4</v>
          </cell>
          <cell r="AG119">
            <v>4</v>
          </cell>
          <cell r="AI119">
            <v>4</v>
          </cell>
          <cell r="AK119">
            <v>4</v>
          </cell>
          <cell r="AO119" t="str">
            <v>mstag:adjustmentToNetIncomeForDilutiveItems</v>
          </cell>
          <cell r="AP119">
            <v>6</v>
          </cell>
          <cell r="AQ119" t="str">
            <v>ISO4217:USD</v>
          </cell>
          <cell r="AR119" t="b">
            <v>0</v>
          </cell>
          <cell r="AS119" t="b">
            <v>0</v>
          </cell>
        </row>
      </sheetData>
      <sheetData sheetId="7" refreshError="1">
        <row r="1">
          <cell r="B1" t="str">
            <v>Amgen Balance Sheet</v>
          </cell>
          <cell r="AO1" t="str">
            <v>ElementName</v>
          </cell>
          <cell r="AP1" t="str">
            <v>ScaleOverride</v>
          </cell>
          <cell r="AQ1" t="str">
            <v>UnitOverride</v>
          </cell>
          <cell r="AR1" t="str">
            <v>ReverseSign</v>
          </cell>
          <cell r="AS1" t="str">
            <v>IsDrivingAssumption</v>
          </cell>
          <cell r="AT1" t="str">
            <v>SegmentID</v>
          </cell>
        </row>
        <row r="2">
          <cell r="B2" t="str">
            <v>(Dollars in millions)</v>
          </cell>
        </row>
        <row r="4">
          <cell r="C4" t="str">
            <v>1993A</v>
          </cell>
          <cell r="E4" t="str">
            <v>1994A</v>
          </cell>
          <cell r="G4" t="str">
            <v>1995A</v>
          </cell>
          <cell r="I4" t="str">
            <v>1996A</v>
          </cell>
          <cell r="K4" t="str">
            <v>1997A</v>
          </cell>
          <cell r="M4" t="str">
            <v>1998A</v>
          </cell>
          <cell r="O4" t="str">
            <v>1999A</v>
          </cell>
          <cell r="Q4" t="str">
            <v>2000A</v>
          </cell>
          <cell r="S4" t="str">
            <v>2001A</v>
          </cell>
          <cell r="U4" t="str">
            <v>2002A</v>
          </cell>
          <cell r="W4" t="str">
            <v>2003A</v>
          </cell>
          <cell r="Y4" t="str">
            <v>2004A</v>
          </cell>
          <cell r="AA4" t="str">
            <v>2005A</v>
          </cell>
          <cell r="AC4" t="str">
            <v>2006E</v>
          </cell>
          <cell r="AE4" t="str">
            <v>2007E</v>
          </cell>
          <cell r="AG4" t="str">
            <v>2008E</v>
          </cell>
          <cell r="AI4" t="str">
            <v>2009E</v>
          </cell>
          <cell r="AK4" t="str">
            <v>2010E</v>
          </cell>
        </row>
        <row r="5">
          <cell r="B5" t="str">
            <v>Current assets:</v>
          </cell>
        </row>
        <row r="6">
          <cell r="B6" t="str">
            <v>Cash and Equivalents</v>
          </cell>
          <cell r="C6">
            <v>128.505</v>
          </cell>
          <cell r="E6">
            <v>211.32300000000001</v>
          </cell>
          <cell r="G6">
            <v>66.7</v>
          </cell>
          <cell r="I6">
            <v>169.3</v>
          </cell>
          <cell r="K6">
            <v>239.1</v>
          </cell>
          <cell r="M6">
            <v>201.1</v>
          </cell>
          <cell r="O6">
            <v>130.9</v>
          </cell>
          <cell r="Q6">
            <v>226.5</v>
          </cell>
          <cell r="S6">
            <v>689.1</v>
          </cell>
          <cell r="U6">
            <v>1851.7</v>
          </cell>
          <cell r="W6">
            <v>836.6</v>
          </cell>
          <cell r="Y6">
            <v>1526</v>
          </cell>
          <cell r="AA6">
            <v>1840</v>
          </cell>
          <cell r="AC6">
            <v>1595.73967569264</v>
          </cell>
          <cell r="AE6">
            <v>2878.8628570857336</v>
          </cell>
          <cell r="AG6">
            <v>4488.7177429048934</v>
          </cell>
          <cell r="AI6">
            <v>5822.949278354683</v>
          </cell>
          <cell r="AK6">
            <v>8527.1936550496484</v>
          </cell>
          <cell r="AO6" t="str">
            <v>mstag:cashAndCashEquivalents</v>
          </cell>
          <cell r="AP6">
            <v>6</v>
          </cell>
          <cell r="AQ6" t="str">
            <v>ISO4217:USD</v>
          </cell>
          <cell r="AR6" t="b">
            <v>0</v>
          </cell>
          <cell r="AS6" t="b">
            <v>0</v>
          </cell>
        </row>
        <row r="7">
          <cell r="B7" t="str">
            <v>Marketable Securities</v>
          </cell>
          <cell r="C7">
            <v>594.67899999999997</v>
          </cell>
          <cell r="E7">
            <v>485.358</v>
          </cell>
          <cell r="G7">
            <v>983.6</v>
          </cell>
          <cell r="I7">
            <v>907.7</v>
          </cell>
          <cell r="K7">
            <v>787.4</v>
          </cell>
          <cell r="M7">
            <v>1074.9000000000001</v>
          </cell>
          <cell r="O7">
            <v>1202.0999999999999</v>
          </cell>
          <cell r="Q7">
            <v>1801.6</v>
          </cell>
          <cell r="S7">
            <v>1973.1</v>
          </cell>
          <cell r="U7">
            <v>2812.2</v>
          </cell>
          <cell r="W7">
            <v>4286.3</v>
          </cell>
          <cell r="Y7">
            <v>4282</v>
          </cell>
          <cell r="AA7">
            <v>3415</v>
          </cell>
          <cell r="AC7">
            <v>3104.5454545454545</v>
          </cell>
          <cell r="AE7">
            <v>2956.7099567099567</v>
          </cell>
          <cell r="AG7">
            <v>2941.99995692533</v>
          </cell>
          <cell r="AI7">
            <v>2927.363141219234</v>
          </cell>
          <cell r="AK7">
            <v>2912.7991454917751</v>
          </cell>
          <cell r="AO7" t="str">
            <v>mstag:shortTermInvestments</v>
          </cell>
          <cell r="AP7">
            <v>6</v>
          </cell>
          <cell r="AQ7" t="str">
            <v>ISO4217:USD</v>
          </cell>
          <cell r="AR7" t="b">
            <v>0</v>
          </cell>
          <cell r="AS7" t="b">
            <v>0</v>
          </cell>
        </row>
        <row r="8">
          <cell r="B8" t="str">
            <v>Trade Receivables, net</v>
          </cell>
          <cell r="C8">
            <v>164.33699999999999</v>
          </cell>
          <cell r="E8">
            <v>194.71199999999999</v>
          </cell>
          <cell r="G8">
            <v>199.3</v>
          </cell>
          <cell r="I8">
            <v>225.4</v>
          </cell>
          <cell r="K8">
            <v>269</v>
          </cell>
          <cell r="M8">
            <v>319.89999999999998</v>
          </cell>
          <cell r="O8">
            <v>412.2</v>
          </cell>
          <cell r="Q8">
            <v>389.2</v>
          </cell>
          <cell r="S8">
            <v>497.2</v>
          </cell>
          <cell r="U8">
            <v>752.4</v>
          </cell>
          <cell r="W8">
            <v>1007.9</v>
          </cell>
          <cell r="Y8">
            <v>1461</v>
          </cell>
          <cell r="AA8">
            <v>1769</v>
          </cell>
          <cell r="AC8">
            <v>1968.4285714285713</v>
          </cell>
          <cell r="AE8">
            <v>2155.6826036867242</v>
          </cell>
          <cell r="AG8">
            <v>2372.6533954538641</v>
          </cell>
          <cell r="AI8">
            <v>2597.047178258721</v>
          </cell>
          <cell r="AK8">
            <v>2826.4134872455193</v>
          </cell>
          <cell r="AO8" t="str">
            <v>mstag:tradeReceivables</v>
          </cell>
          <cell r="AP8">
            <v>6</v>
          </cell>
          <cell r="AQ8" t="str">
            <v>ISO4217:USD</v>
          </cell>
          <cell r="AR8" t="b">
            <v>0</v>
          </cell>
          <cell r="AS8" t="b">
            <v>0</v>
          </cell>
        </row>
        <row r="9">
          <cell r="B9" t="str">
            <v>Inventories</v>
          </cell>
          <cell r="C9">
            <v>74.712000000000003</v>
          </cell>
          <cell r="E9">
            <v>98.004000000000005</v>
          </cell>
          <cell r="G9">
            <v>88.8</v>
          </cell>
          <cell r="I9">
            <v>97.4</v>
          </cell>
          <cell r="K9">
            <v>109.2</v>
          </cell>
          <cell r="M9">
            <v>110.8</v>
          </cell>
          <cell r="O9">
            <v>184.3</v>
          </cell>
          <cell r="Q9">
            <v>305.2</v>
          </cell>
          <cell r="S9">
            <v>355.6</v>
          </cell>
          <cell r="U9">
            <v>544.9</v>
          </cell>
          <cell r="W9">
            <v>712.6</v>
          </cell>
          <cell r="Y9">
            <v>888</v>
          </cell>
          <cell r="AA9">
            <v>1258</v>
          </cell>
          <cell r="AC9">
            <v>1422.0328124999999</v>
          </cell>
          <cell r="AE9">
            <v>1544.5641329739619</v>
          </cell>
          <cell r="AG9">
            <v>1664.7963868306774</v>
          </cell>
          <cell r="AI9">
            <v>1826.1337440775962</v>
          </cell>
          <cell r="AK9">
            <v>2018.7024615605301</v>
          </cell>
          <cell r="AO9" t="str">
            <v>mstag:inventories</v>
          </cell>
          <cell r="AP9">
            <v>6</v>
          </cell>
          <cell r="AQ9" t="str">
            <v>ISO4217:USD</v>
          </cell>
          <cell r="AR9" t="b">
            <v>0</v>
          </cell>
          <cell r="AS9" t="b">
            <v>0</v>
          </cell>
        </row>
        <row r="10">
          <cell r="B10" t="str">
            <v>Deferred Taxes, Net</v>
          </cell>
          <cell r="C10">
            <v>58.936999999999998</v>
          </cell>
          <cell r="E10">
            <v>70.176000000000002</v>
          </cell>
          <cell r="G10">
            <v>51.7</v>
          </cell>
          <cell r="O10">
            <v>0</v>
          </cell>
          <cell r="Q10">
            <v>0</v>
          </cell>
          <cell r="S10">
            <v>0</v>
          </cell>
          <cell r="U10">
            <v>0</v>
          </cell>
          <cell r="W10">
            <v>0</v>
          </cell>
          <cell r="Y10">
            <v>0</v>
          </cell>
          <cell r="AA10">
            <v>0</v>
          </cell>
          <cell r="AC10">
            <v>0</v>
          </cell>
          <cell r="AE10">
            <v>0</v>
          </cell>
          <cell r="AG10">
            <v>0</v>
          </cell>
          <cell r="AI10">
            <v>0</v>
          </cell>
          <cell r="AK10">
            <v>0</v>
          </cell>
          <cell r="AO10" t="str">
            <v>mstag:deferredTaxAssets</v>
          </cell>
          <cell r="AP10">
            <v>6</v>
          </cell>
          <cell r="AQ10" t="str">
            <v>ISO4217:USD</v>
          </cell>
          <cell r="AR10" t="b">
            <v>0</v>
          </cell>
          <cell r="AS10" t="b">
            <v>0</v>
          </cell>
        </row>
        <row r="11">
          <cell r="B11" t="str">
            <v>Other Current Assets</v>
          </cell>
          <cell r="C11">
            <v>33.340000000000003</v>
          </cell>
          <cell r="E11">
            <v>56.064999999999998</v>
          </cell>
          <cell r="G11">
            <v>64</v>
          </cell>
          <cell r="I11">
            <v>102.8</v>
          </cell>
          <cell r="K11">
            <v>138.80000000000001</v>
          </cell>
          <cell r="M11">
            <v>156.6</v>
          </cell>
          <cell r="O11">
            <v>135.80000000000001</v>
          </cell>
          <cell r="Q11">
            <v>214.6</v>
          </cell>
          <cell r="S11">
            <v>343.6</v>
          </cell>
          <cell r="U11">
            <v>442.3</v>
          </cell>
          <cell r="W11">
            <v>558.79999999999995</v>
          </cell>
          <cell r="Y11">
            <v>1013</v>
          </cell>
          <cell r="AA11">
            <v>953</v>
          </cell>
          <cell r="AC11">
            <v>964.53000000000009</v>
          </cell>
          <cell r="AE11">
            <v>1207.1822580645655</v>
          </cell>
          <cell r="AG11">
            <v>1473.4177585768496</v>
          </cell>
          <cell r="AI11">
            <v>1612.7662976986658</v>
          </cell>
          <cell r="AK11">
            <v>1755.2027755794675</v>
          </cell>
          <cell r="AO11" t="str">
            <v>mstag:otherAssets</v>
          </cell>
          <cell r="AP11">
            <v>6</v>
          </cell>
          <cell r="AQ11" t="str">
            <v>ISO4217:USD</v>
          </cell>
          <cell r="AR11" t="b">
            <v>0</v>
          </cell>
          <cell r="AS11" t="b">
            <v>0</v>
          </cell>
        </row>
        <row r="12">
          <cell r="B12" t="str">
            <v>Total current assets</v>
          </cell>
          <cell r="C12">
            <v>1054.51</v>
          </cell>
          <cell r="E12">
            <v>1115.6380000000001</v>
          </cell>
          <cell r="G12">
            <v>1454.1</v>
          </cell>
          <cell r="I12">
            <v>1502.6000000000001</v>
          </cell>
          <cell r="K12">
            <v>1543.5</v>
          </cell>
          <cell r="M12">
            <v>1863.3</v>
          </cell>
          <cell r="O12">
            <v>2065.3000000000002</v>
          </cell>
          <cell r="Q12">
            <v>2937.0999999999995</v>
          </cell>
          <cell r="S12">
            <v>3858.5999999999995</v>
          </cell>
          <cell r="U12">
            <v>6403.4999999999991</v>
          </cell>
          <cell r="W12">
            <v>7402.2000000000007</v>
          </cell>
          <cell r="Y12">
            <v>9170</v>
          </cell>
          <cell r="AA12">
            <v>9235</v>
          </cell>
          <cell r="AC12">
            <v>9055.2765141666659</v>
          </cell>
          <cell r="AE12">
            <v>10743.001808520943</v>
          </cell>
          <cell r="AG12">
            <v>12941.585240691616</v>
          </cell>
          <cell r="AI12">
            <v>14786.259639608899</v>
          </cell>
          <cell r="AK12">
            <v>18040.311524926939</v>
          </cell>
        </row>
        <row r="14">
          <cell r="B14" t="str">
            <v>Property, Plant &amp; Equipment</v>
          </cell>
          <cell r="C14">
            <v>586.91200000000003</v>
          </cell>
          <cell r="E14">
            <v>665.31399999999996</v>
          </cell>
          <cell r="G14">
            <v>743.8</v>
          </cell>
          <cell r="I14">
            <v>910.5</v>
          </cell>
          <cell r="K14">
            <v>1186.2</v>
          </cell>
          <cell r="M14">
            <v>1450.2</v>
          </cell>
          <cell r="O14">
            <v>1553.6</v>
          </cell>
          <cell r="Q14">
            <v>1781.5</v>
          </cell>
          <cell r="S14">
            <v>1946.1</v>
          </cell>
          <cell r="U14">
            <v>2813.5</v>
          </cell>
          <cell r="W14">
            <v>3799.4</v>
          </cell>
          <cell r="Y14">
            <v>4712</v>
          </cell>
          <cell r="AA14">
            <v>5038</v>
          </cell>
          <cell r="AC14">
            <v>5980.5493333333325</v>
          </cell>
          <cell r="AE14">
            <v>6577.3994462366118</v>
          </cell>
          <cell r="AG14">
            <v>7084.1184670405946</v>
          </cell>
          <cell r="AI14">
            <v>7351.437436320256</v>
          </cell>
          <cell r="AK14">
            <v>7696.185373274071</v>
          </cell>
          <cell r="AO14" t="str">
            <v>mstag:propertyPlantAndEquipmentNet</v>
          </cell>
          <cell r="AP14">
            <v>6</v>
          </cell>
          <cell r="AQ14" t="str">
            <v>ISO4217:USD</v>
          </cell>
          <cell r="AR14" t="b">
            <v>0</v>
          </cell>
          <cell r="AS14" t="b">
            <v>0</v>
          </cell>
        </row>
        <row r="15">
          <cell r="B15" t="str">
            <v>Intangible Assets, net</v>
          </cell>
          <cell r="O15">
            <v>0</v>
          </cell>
          <cell r="Q15">
            <v>0</v>
          </cell>
          <cell r="S15">
            <v>34.1</v>
          </cell>
          <cell r="U15">
            <v>4801.8999999999996</v>
          </cell>
          <cell r="W15">
            <v>4455.5</v>
          </cell>
          <cell r="Y15">
            <v>4033</v>
          </cell>
          <cell r="AA15">
            <v>3742</v>
          </cell>
          <cell r="AC15">
            <v>3680.89</v>
          </cell>
          <cell r="AE15">
            <v>3462.2799999999997</v>
          </cell>
          <cell r="AG15">
            <v>3243.6699999999996</v>
          </cell>
          <cell r="AI15">
            <v>3025.0599999999995</v>
          </cell>
          <cell r="AK15">
            <v>2806.4499999999994</v>
          </cell>
          <cell r="AO15" t="str">
            <v>mstag:otherIntangibleAssets</v>
          </cell>
          <cell r="AP15">
            <v>6</v>
          </cell>
          <cell r="AQ15" t="str">
            <v>ISO4217:USD</v>
          </cell>
          <cell r="AR15" t="b">
            <v>0</v>
          </cell>
          <cell r="AS15" t="b">
            <v>0</v>
          </cell>
        </row>
        <row r="16">
          <cell r="B16" t="str">
            <v>Goodwill</v>
          </cell>
          <cell r="O16">
            <v>0</v>
          </cell>
          <cell r="Q16">
            <v>0</v>
          </cell>
          <cell r="S16">
            <v>97.2</v>
          </cell>
          <cell r="U16">
            <v>9871.1</v>
          </cell>
          <cell r="W16">
            <v>9715.9</v>
          </cell>
          <cell r="Y16">
            <v>10525</v>
          </cell>
          <cell r="AA16">
            <v>10495</v>
          </cell>
          <cell r="AC16">
            <v>10995</v>
          </cell>
          <cell r="AE16">
            <v>10995</v>
          </cell>
          <cell r="AG16">
            <v>10995</v>
          </cell>
          <cell r="AI16">
            <v>10995</v>
          </cell>
          <cell r="AK16">
            <v>10995</v>
          </cell>
          <cell r="AO16" t="str">
            <v>mstag:goodwill</v>
          </cell>
          <cell r="AP16">
            <v>6</v>
          </cell>
          <cell r="AQ16" t="str">
            <v>ISO4217:USD</v>
          </cell>
          <cell r="AR16" t="b">
            <v>0</v>
          </cell>
          <cell r="AS16" t="b">
            <v>0</v>
          </cell>
        </row>
        <row r="17">
          <cell r="B17" t="str">
            <v>Other Assets</v>
          </cell>
          <cell r="C17">
            <v>124.1</v>
          </cell>
          <cell r="E17">
            <v>213.2</v>
          </cell>
          <cell r="G17">
            <v>234.9</v>
          </cell>
          <cell r="I17">
            <v>352.5</v>
          </cell>
          <cell r="K17">
            <v>380.5</v>
          </cell>
          <cell r="M17">
            <v>358.7</v>
          </cell>
          <cell r="O17">
            <v>458.7</v>
          </cell>
          <cell r="Q17">
            <v>681</v>
          </cell>
          <cell r="S17">
            <v>507.1</v>
          </cell>
          <cell r="U17">
            <v>566.29999999999995</v>
          </cell>
          <cell r="W17">
            <v>803.5</v>
          </cell>
          <cell r="Y17">
            <v>781</v>
          </cell>
          <cell r="AA17">
            <v>787</v>
          </cell>
          <cell r="AC17">
            <v>787</v>
          </cell>
          <cell r="AE17">
            <v>787</v>
          </cell>
          <cell r="AG17">
            <v>787</v>
          </cell>
          <cell r="AI17">
            <v>787</v>
          </cell>
          <cell r="AK17">
            <v>787</v>
          </cell>
          <cell r="AO17" t="str">
            <v>mstag:otherAssetsNonOperating</v>
          </cell>
          <cell r="AP17">
            <v>6</v>
          </cell>
          <cell r="AQ17" t="str">
            <v>ISO4217:USD</v>
          </cell>
          <cell r="AR17" t="b">
            <v>0</v>
          </cell>
          <cell r="AS17" t="b">
            <v>0</v>
          </cell>
        </row>
        <row r="19">
          <cell r="B19" t="str">
            <v>Total assets</v>
          </cell>
          <cell r="C19">
            <v>1765.5219999999999</v>
          </cell>
          <cell r="E19">
            <v>1994.1520000000003</v>
          </cell>
          <cell r="G19">
            <v>2432.7999999999997</v>
          </cell>
          <cell r="I19">
            <v>2765.6000000000004</v>
          </cell>
          <cell r="K19">
            <v>3110.2</v>
          </cell>
          <cell r="M19">
            <v>3672.2</v>
          </cell>
          <cell r="O19">
            <v>4077.6</v>
          </cell>
          <cell r="Q19">
            <v>5399.5999999999995</v>
          </cell>
          <cell r="S19">
            <v>6443.0999999999995</v>
          </cell>
          <cell r="U19">
            <v>24456.3</v>
          </cell>
          <cell r="W19">
            <v>26176.5</v>
          </cell>
          <cell r="Y19">
            <v>29221</v>
          </cell>
          <cell r="AA19">
            <v>29297</v>
          </cell>
          <cell r="AC19">
            <v>30498.7158475</v>
          </cell>
          <cell r="AE19">
            <v>32564.681254757554</v>
          </cell>
          <cell r="AG19">
            <v>35051.373707732208</v>
          </cell>
          <cell r="AI19">
            <v>36944.757075929156</v>
          </cell>
          <cell r="AK19">
            <v>40324.946898201015</v>
          </cell>
        </row>
        <row r="21">
          <cell r="B21" t="str">
            <v>Current liabilities:</v>
          </cell>
        </row>
        <row r="22">
          <cell r="B22" t="str">
            <v>Accounts Payable</v>
          </cell>
          <cell r="C22">
            <v>23.056000000000001</v>
          </cell>
          <cell r="E22">
            <v>30.475999999999999</v>
          </cell>
          <cell r="G22">
            <v>54.4</v>
          </cell>
          <cell r="I22">
            <v>75</v>
          </cell>
          <cell r="K22">
            <v>111.1</v>
          </cell>
          <cell r="M22">
            <v>121.6</v>
          </cell>
          <cell r="O22">
            <v>83.4</v>
          </cell>
          <cell r="Q22">
            <v>143.19999999999999</v>
          </cell>
          <cell r="S22">
            <v>136.69999999999999</v>
          </cell>
          <cell r="U22">
            <v>254.6</v>
          </cell>
          <cell r="W22">
            <v>327.2</v>
          </cell>
          <cell r="Y22">
            <v>507</v>
          </cell>
          <cell r="AA22">
            <v>596</v>
          </cell>
          <cell r="AC22">
            <v>664.90923999999995</v>
          </cell>
          <cell r="AE22">
            <v>725.2428557948823</v>
          </cell>
          <cell r="AG22">
            <v>817.47919566890039</v>
          </cell>
          <cell r="AI22">
            <v>922.93696722228412</v>
          </cell>
          <cell r="AK22">
            <v>1024.8726343603414</v>
          </cell>
          <cell r="AO22" t="str">
            <v>mstag:tradeAndOtherPayables</v>
          </cell>
          <cell r="AP22">
            <v>6</v>
          </cell>
          <cell r="AQ22" t="str">
            <v>ISO4217:USD</v>
          </cell>
          <cell r="AR22" t="b">
            <v>0</v>
          </cell>
          <cell r="AS22" t="b">
            <v>0</v>
          </cell>
        </row>
        <row r="23">
          <cell r="B23" t="str">
            <v>Commercial Paper</v>
          </cell>
          <cell r="C23">
            <v>109.767</v>
          </cell>
          <cell r="E23">
            <v>99.667000000000002</v>
          </cell>
          <cell r="G23">
            <v>69.7</v>
          </cell>
          <cell r="I23">
            <v>0</v>
          </cell>
          <cell r="K23">
            <v>-302.2</v>
          </cell>
          <cell r="M23">
            <v>99.7</v>
          </cell>
          <cell r="O23">
            <v>99.5</v>
          </cell>
          <cell r="Q23">
            <v>99.7</v>
          </cell>
          <cell r="S23">
            <v>99.9</v>
          </cell>
          <cell r="U23">
            <v>0</v>
          </cell>
          <cell r="W23">
            <v>0</v>
          </cell>
          <cell r="Y23">
            <v>0</v>
          </cell>
          <cell r="AA23">
            <v>0</v>
          </cell>
          <cell r="AC23">
            <v>0</v>
          </cell>
          <cell r="AE23">
            <v>0</v>
          </cell>
          <cell r="AG23">
            <v>0</v>
          </cell>
          <cell r="AI23">
            <v>0</v>
          </cell>
          <cell r="AK23">
            <v>0</v>
          </cell>
          <cell r="AO23" t="str">
            <v>mstag:shortTermBorrowings</v>
          </cell>
          <cell r="AP23">
            <v>6</v>
          </cell>
          <cell r="AQ23" t="str">
            <v>ISO4217:USD</v>
          </cell>
          <cell r="AR23" t="b">
            <v>0</v>
          </cell>
          <cell r="AS23" t="b">
            <v>0</v>
          </cell>
        </row>
        <row r="24">
          <cell r="B24" t="str">
            <v>Accrued Liabilities</v>
          </cell>
          <cell r="C24">
            <v>279.43799999999999</v>
          </cell>
          <cell r="E24">
            <v>406.28699999999998</v>
          </cell>
          <cell r="G24">
            <v>459.7</v>
          </cell>
          <cell r="I24">
            <v>449.7</v>
          </cell>
          <cell r="K24">
            <v>608</v>
          </cell>
          <cell r="M24">
            <v>659.7</v>
          </cell>
          <cell r="O24">
            <v>648.20000000000005</v>
          </cell>
          <cell r="Q24">
            <v>619.20000000000005</v>
          </cell>
          <cell r="S24">
            <v>766.3</v>
          </cell>
          <cell r="U24">
            <v>1151.7</v>
          </cell>
          <cell r="W24">
            <v>1919.1</v>
          </cell>
          <cell r="Y24">
            <v>2477</v>
          </cell>
          <cell r="AA24">
            <v>2999</v>
          </cell>
          <cell r="AC24">
            <v>2908.9779249999997</v>
          </cell>
          <cell r="AE24">
            <v>3172.9374941026099</v>
          </cell>
          <cell r="AG24">
            <v>3335.3151183291138</v>
          </cell>
          <cell r="AI24">
            <v>3765.5828262669193</v>
          </cell>
          <cell r="AK24">
            <v>4181.4803481901936</v>
          </cell>
          <cell r="AO24" t="str">
            <v>mstag:accruedExpenses</v>
          </cell>
          <cell r="AP24">
            <v>6</v>
          </cell>
          <cell r="AQ24" t="str">
            <v>ISO4217:USD</v>
          </cell>
          <cell r="AR24" t="b">
            <v>0</v>
          </cell>
          <cell r="AS24" t="b">
            <v>0</v>
          </cell>
        </row>
        <row r="25">
          <cell r="B25" t="str">
            <v>Current Portion Long Term Debt</v>
          </cell>
          <cell r="I25">
            <v>118.2</v>
          </cell>
          <cell r="K25">
            <v>30</v>
          </cell>
          <cell r="M25">
            <v>6</v>
          </cell>
          <cell r="O25">
            <v>0</v>
          </cell>
          <cell r="Q25">
            <v>0</v>
          </cell>
          <cell r="S25">
            <v>0</v>
          </cell>
          <cell r="U25">
            <v>122.9</v>
          </cell>
          <cell r="W25">
            <v>0</v>
          </cell>
          <cell r="Y25">
            <v>1173</v>
          </cell>
          <cell r="AA25">
            <v>0</v>
          </cell>
          <cell r="AC25">
            <v>0</v>
          </cell>
          <cell r="AE25">
            <v>0</v>
          </cell>
          <cell r="AG25">
            <v>0</v>
          </cell>
          <cell r="AI25">
            <v>0</v>
          </cell>
          <cell r="AK25">
            <v>0</v>
          </cell>
          <cell r="AO25" t="str">
            <v>mstag:shortTermBorrowings</v>
          </cell>
          <cell r="AP25">
            <v>6</v>
          </cell>
          <cell r="AQ25" t="str">
            <v>ISO4217:USD</v>
          </cell>
          <cell r="AR25" t="b">
            <v>0</v>
          </cell>
          <cell r="AS25" t="b">
            <v>0</v>
          </cell>
        </row>
        <row r="26">
          <cell r="B26" t="str">
            <v>Total current liabilities</v>
          </cell>
          <cell r="C26">
            <v>412.26099999999997</v>
          </cell>
          <cell r="E26">
            <v>536.42999999999995</v>
          </cell>
          <cell r="G26">
            <v>583.79999999999995</v>
          </cell>
          <cell r="I26">
            <v>642.90000000000009</v>
          </cell>
          <cell r="K26">
            <v>446.9</v>
          </cell>
          <cell r="M26">
            <v>887</v>
          </cell>
          <cell r="O26">
            <v>831.1</v>
          </cell>
          <cell r="Q26">
            <v>862.1</v>
          </cell>
          <cell r="S26">
            <v>1002.9</v>
          </cell>
          <cell r="U26">
            <v>1529.2</v>
          </cell>
          <cell r="W26">
            <v>2246.2999999999997</v>
          </cell>
          <cell r="Y26">
            <v>4157</v>
          </cell>
          <cell r="AA26">
            <v>3595</v>
          </cell>
          <cell r="AC26">
            <v>3573.8871649999996</v>
          </cell>
          <cell r="AE26">
            <v>3898.1803498974923</v>
          </cell>
          <cell r="AG26">
            <v>4152.7943139980143</v>
          </cell>
          <cell r="AI26">
            <v>4688.519793489203</v>
          </cell>
          <cell r="AK26">
            <v>5206.3529825505348</v>
          </cell>
        </row>
        <row r="28">
          <cell r="B28" t="str">
            <v>Deferred Tax Liabilities</v>
          </cell>
          <cell r="C28">
            <v>0</v>
          </cell>
          <cell r="E28">
            <v>0</v>
          </cell>
          <cell r="G28">
            <v>0</v>
          </cell>
          <cell r="I28">
            <v>0</v>
          </cell>
          <cell r="K28">
            <v>0</v>
          </cell>
          <cell r="M28">
            <v>0</v>
          </cell>
          <cell r="O28">
            <v>0</v>
          </cell>
          <cell r="Q28">
            <v>0</v>
          </cell>
          <cell r="S28">
            <v>0</v>
          </cell>
          <cell r="U28">
            <v>1593.4</v>
          </cell>
          <cell r="W28">
            <v>1461.6</v>
          </cell>
          <cell r="Y28">
            <v>1294</v>
          </cell>
          <cell r="AA28">
            <v>1294</v>
          </cell>
          <cell r="AC28">
            <v>994</v>
          </cell>
          <cell r="AE28">
            <v>994</v>
          </cell>
          <cell r="AG28">
            <v>994</v>
          </cell>
          <cell r="AI28">
            <v>994</v>
          </cell>
          <cell r="AK28">
            <v>994</v>
          </cell>
          <cell r="AO28" t="str">
            <v>mstag:deferredTaxLiabilities</v>
          </cell>
          <cell r="AP28">
            <v>6</v>
          </cell>
          <cell r="AQ28" t="str">
            <v>ISO4217:USD</v>
          </cell>
          <cell r="AR28" t="b">
            <v>0</v>
          </cell>
          <cell r="AS28" t="b">
            <v>0</v>
          </cell>
        </row>
        <row r="29">
          <cell r="B29" t="str">
            <v xml:space="preserve">Long-Term Debt </v>
          </cell>
          <cell r="C29">
            <v>181.24199999999999</v>
          </cell>
          <cell r="E29">
            <v>183.40700000000001</v>
          </cell>
          <cell r="G29">
            <v>177.2</v>
          </cell>
          <cell r="I29">
            <v>59</v>
          </cell>
          <cell r="K29">
            <v>229</v>
          </cell>
          <cell r="M29">
            <v>223</v>
          </cell>
          <cell r="O29">
            <v>223</v>
          </cell>
          <cell r="Q29">
            <v>223</v>
          </cell>
          <cell r="S29">
            <v>223</v>
          </cell>
          <cell r="U29">
            <v>3047.7</v>
          </cell>
          <cell r="W29">
            <v>3079.5</v>
          </cell>
          <cell r="Y29">
            <v>4065</v>
          </cell>
          <cell r="AA29">
            <v>3957</v>
          </cell>
          <cell r="AC29">
            <v>8976.7887499999997</v>
          </cell>
          <cell r="AE29">
            <v>8896.5774999999994</v>
          </cell>
          <cell r="AG29">
            <v>8916.3662499999991</v>
          </cell>
          <cell r="AI29">
            <v>7938.1549999999988</v>
          </cell>
          <cell r="AK29">
            <v>7957.9437499999985</v>
          </cell>
          <cell r="AO29" t="str">
            <v>mstag:longTermDebt</v>
          </cell>
          <cell r="AP29">
            <v>6</v>
          </cell>
          <cell r="AQ29" t="str">
            <v>ISO4217:USD</v>
          </cell>
          <cell r="AR29" t="b">
            <v>0</v>
          </cell>
          <cell r="AS29" t="b">
            <v>0</v>
          </cell>
        </row>
        <row r="30">
          <cell r="B30" t="str">
            <v>Put Warrants</v>
          </cell>
          <cell r="C30">
            <v>0</v>
          </cell>
          <cell r="E30">
            <v>0</v>
          </cell>
          <cell r="G30">
            <v>0</v>
          </cell>
          <cell r="I30">
            <v>157.4</v>
          </cell>
          <cell r="K30">
            <v>0</v>
          </cell>
          <cell r="M30">
            <v>0</v>
          </cell>
          <cell r="O30">
            <v>0</v>
          </cell>
          <cell r="Q30">
            <v>0</v>
          </cell>
          <cell r="S30">
            <v>0</v>
          </cell>
          <cell r="U30">
            <v>0</v>
          </cell>
          <cell r="W30">
            <v>0</v>
          </cell>
          <cell r="Y30">
            <v>0</v>
          </cell>
          <cell r="AA30">
            <v>0</v>
          </cell>
          <cell r="AC30">
            <v>0</v>
          </cell>
          <cell r="AE30">
            <v>0</v>
          </cell>
          <cell r="AG30">
            <v>0</v>
          </cell>
          <cell r="AI30">
            <v>0</v>
          </cell>
          <cell r="AK30">
            <v>0</v>
          </cell>
          <cell r="AO30" t="str">
            <v>mstag:otherLiabilitiesNonOperating</v>
          </cell>
          <cell r="AP30">
            <v>6</v>
          </cell>
          <cell r="AQ30" t="str">
            <v>ISO4217:USD</v>
          </cell>
          <cell r="AR30" t="b">
            <v>0</v>
          </cell>
          <cell r="AS30" t="b">
            <v>0</v>
          </cell>
        </row>
        <row r="31">
          <cell r="B31" t="str">
            <v>Total liabilities</v>
          </cell>
          <cell r="C31">
            <v>593.50299999999993</v>
          </cell>
          <cell r="E31">
            <v>719.83699999999999</v>
          </cell>
          <cell r="G31">
            <v>761</v>
          </cell>
          <cell r="I31">
            <v>701.90000000000009</v>
          </cell>
          <cell r="K31">
            <v>675.9</v>
          </cell>
          <cell r="M31">
            <v>1110</v>
          </cell>
          <cell r="O31">
            <v>1054.0999999999999</v>
          </cell>
          <cell r="Q31">
            <v>1085.0999999999999</v>
          </cell>
          <cell r="S31">
            <v>1225.9000000000001</v>
          </cell>
          <cell r="U31">
            <v>6170.3</v>
          </cell>
          <cell r="W31">
            <v>6787.4</v>
          </cell>
          <cell r="Y31">
            <v>9516</v>
          </cell>
          <cell r="AA31">
            <v>8846</v>
          </cell>
          <cell r="AC31">
            <v>13544.675915</v>
          </cell>
          <cell r="AE31">
            <v>13788.757849897491</v>
          </cell>
          <cell r="AG31">
            <v>14063.160563998013</v>
          </cell>
          <cell r="AI31">
            <v>13620.674793489201</v>
          </cell>
          <cell r="AK31">
            <v>14158.296732550534</v>
          </cell>
        </row>
        <row r="33">
          <cell r="B33" t="str">
            <v>Stockholders' equity:</v>
          </cell>
        </row>
        <row r="34">
          <cell r="B34" t="str">
            <v>Preferred Stock</v>
          </cell>
          <cell r="S34">
            <v>0</v>
          </cell>
          <cell r="U34">
            <v>0</v>
          </cell>
          <cell r="W34">
            <v>0</v>
          </cell>
          <cell r="Y34">
            <v>0</v>
          </cell>
          <cell r="AA34">
            <v>0</v>
          </cell>
          <cell r="AC34">
            <v>0</v>
          </cell>
          <cell r="AE34">
            <v>0</v>
          </cell>
          <cell r="AG34">
            <v>0</v>
          </cell>
          <cell r="AI34">
            <v>0</v>
          </cell>
          <cell r="AK34">
            <v>0</v>
          </cell>
          <cell r="AO34" t="str">
            <v>mstag:preferredEquity</v>
          </cell>
          <cell r="AP34">
            <v>6</v>
          </cell>
          <cell r="AQ34" t="str">
            <v>ISO4217:USD</v>
          </cell>
          <cell r="AR34" t="b">
            <v>0</v>
          </cell>
          <cell r="AS34" t="b">
            <v>0</v>
          </cell>
        </row>
        <row r="35">
          <cell r="B35" t="str">
            <v>Common Stock and APIC</v>
          </cell>
          <cell r="C35">
            <v>583.19878761447876</v>
          </cell>
          <cell r="E35">
            <v>634.09843436545998</v>
          </cell>
          <cell r="G35">
            <v>831.89001308329694</v>
          </cell>
          <cell r="I35">
            <v>1026.9000000000001</v>
          </cell>
          <cell r="K35">
            <v>1196.0999999999999</v>
          </cell>
          <cell r="M35">
            <v>1671.9</v>
          </cell>
          <cell r="O35">
            <v>2072.3000000000002</v>
          </cell>
          <cell r="Q35">
            <v>2947.3</v>
          </cell>
          <cell r="S35">
            <v>3474.1</v>
          </cell>
          <cell r="U35">
            <v>19344.3</v>
          </cell>
          <cell r="W35">
            <v>19995.3</v>
          </cell>
          <cell r="Y35">
            <v>22078</v>
          </cell>
          <cell r="AA35">
            <v>23561</v>
          </cell>
          <cell r="AC35">
            <v>16734.574542499999</v>
          </cell>
          <cell r="AE35">
            <v>14375.822116285579</v>
          </cell>
          <cell r="AG35">
            <v>11943.489962124937</v>
          </cell>
          <cell r="AI35">
            <v>9343.913232858682</v>
          </cell>
          <cell r="AK35">
            <v>6943.2943418808663</v>
          </cell>
          <cell r="AO35" t="str">
            <v>mstag:totalShareCapital</v>
          </cell>
          <cell r="AP35">
            <v>6</v>
          </cell>
          <cell r="AQ35" t="str">
            <v>ISO4217:USD</v>
          </cell>
          <cell r="AR35" t="b">
            <v>0</v>
          </cell>
          <cell r="AS35" t="b">
            <v>0</v>
          </cell>
        </row>
        <row r="36">
          <cell r="B36" t="str">
            <v>Retained Earnings</v>
          </cell>
          <cell r="C36">
            <v>499.43033774288898</v>
          </cell>
          <cell r="E36">
            <v>543.01895333624066</v>
          </cell>
          <cell r="G36">
            <v>712.4005039492173</v>
          </cell>
          <cell r="I36">
            <v>879.4</v>
          </cell>
          <cell r="K36">
            <v>943.2</v>
          </cell>
          <cell r="M36">
            <v>894.3</v>
          </cell>
          <cell r="O36">
            <v>966</v>
          </cell>
          <cell r="Q36">
            <v>1304.5999999999999</v>
          </cell>
          <cell r="S36">
            <v>1686.8</v>
          </cell>
          <cell r="U36">
            <v>-1125.5</v>
          </cell>
          <cell r="W36">
            <v>-667</v>
          </cell>
          <cell r="Y36">
            <v>-2376</v>
          </cell>
          <cell r="AA36">
            <v>-3132</v>
          </cell>
          <cell r="AC36">
            <v>197.4653900000003</v>
          </cell>
          <cell r="AE36">
            <v>4378.1012885744822</v>
          </cell>
          <cell r="AG36">
            <v>9022.7231816092572</v>
          </cell>
          <cell r="AI36">
            <v>13958.169049581269</v>
          </cell>
          <cell r="AK36">
            <v>19201.355823769609</v>
          </cell>
          <cell r="AO36" t="str">
            <v>mstag:retainedEarnings</v>
          </cell>
          <cell r="AP36">
            <v>6</v>
          </cell>
          <cell r="AQ36" t="str">
            <v>ISO4217:USD</v>
          </cell>
          <cell r="AR36" t="b">
            <v>0</v>
          </cell>
          <cell r="AS36" t="b">
            <v>0</v>
          </cell>
        </row>
        <row r="37">
          <cell r="B37" t="str">
            <v>AOCI</v>
          </cell>
          <cell r="C37">
            <v>89.390874642632141</v>
          </cell>
          <cell r="E37">
            <v>97.192612298299153</v>
          </cell>
          <cell r="G37">
            <v>127.50948296748555</v>
          </cell>
          <cell r="I37">
            <v>157.4</v>
          </cell>
          <cell r="K37">
            <v>295</v>
          </cell>
          <cell r="M37">
            <v>-4</v>
          </cell>
          <cell r="O37">
            <v>-14.8</v>
          </cell>
          <cell r="Q37">
            <v>62.6</v>
          </cell>
          <cell r="S37">
            <v>56.3</v>
          </cell>
          <cell r="U37">
            <v>67.2</v>
          </cell>
          <cell r="W37">
            <v>60.8</v>
          </cell>
          <cell r="Y37">
            <v>3</v>
          </cell>
          <cell r="AA37">
            <v>22</v>
          </cell>
          <cell r="AC37">
            <v>22</v>
          </cell>
          <cell r="AE37">
            <v>22</v>
          </cell>
          <cell r="AG37">
            <v>22</v>
          </cell>
          <cell r="AI37">
            <v>22</v>
          </cell>
          <cell r="AK37">
            <v>22</v>
          </cell>
          <cell r="AO37" t="str">
            <v>mstag:accumulatedOtherComprehensiveIncomeLossAndReserves</v>
          </cell>
          <cell r="AP37">
            <v>6</v>
          </cell>
          <cell r="AQ37" t="str">
            <v>ISO4217:USD</v>
          </cell>
          <cell r="AR37" t="b">
            <v>0</v>
          </cell>
          <cell r="AS37" t="b">
            <v>0</v>
          </cell>
        </row>
        <row r="38">
          <cell r="B38" t="str">
            <v>Total stockholders' equity</v>
          </cell>
          <cell r="C38">
            <v>1172.02</v>
          </cell>
          <cell r="E38">
            <v>1274.31</v>
          </cell>
          <cell r="G38">
            <v>1671.8</v>
          </cell>
          <cell r="I38">
            <v>2063.7000000000003</v>
          </cell>
          <cell r="K38">
            <v>2434.3000000000002</v>
          </cell>
          <cell r="M38">
            <v>2562.1999999999998</v>
          </cell>
          <cell r="O38">
            <v>3023.5</v>
          </cell>
          <cell r="Q38">
            <v>4314.5</v>
          </cell>
          <cell r="S38">
            <v>5217.2</v>
          </cell>
          <cell r="U38">
            <v>18286</v>
          </cell>
          <cell r="W38">
            <v>19389.099999999999</v>
          </cell>
          <cell r="Y38">
            <v>19705</v>
          </cell>
          <cell r="AA38">
            <v>20451</v>
          </cell>
          <cell r="AC38">
            <v>16954.0399325</v>
          </cell>
          <cell r="AE38">
            <v>18775.923404860063</v>
          </cell>
          <cell r="AG38">
            <v>20988.213143734196</v>
          </cell>
          <cell r="AI38">
            <v>23324.082282439951</v>
          </cell>
          <cell r="AK38">
            <v>26166.650165650477</v>
          </cell>
        </row>
        <row r="40">
          <cell r="B40" t="str">
            <v>Total Liabilities and Equity</v>
          </cell>
          <cell r="C40">
            <v>1765.5229999999999</v>
          </cell>
          <cell r="E40">
            <v>1994.1469999999999</v>
          </cell>
          <cell r="G40">
            <v>2432.8000000000002</v>
          </cell>
          <cell r="I40">
            <v>2765.6000000000004</v>
          </cell>
          <cell r="K40">
            <v>3110.2000000000003</v>
          </cell>
          <cell r="M40">
            <v>3672.2</v>
          </cell>
          <cell r="O40">
            <v>4077.6</v>
          </cell>
          <cell r="Q40">
            <v>5399.6</v>
          </cell>
          <cell r="S40">
            <v>6443.1</v>
          </cell>
          <cell r="U40">
            <v>24456.3</v>
          </cell>
          <cell r="W40">
            <v>26176.5</v>
          </cell>
          <cell r="Y40">
            <v>29221</v>
          </cell>
          <cell r="AA40">
            <v>29297</v>
          </cell>
          <cell r="AC40">
            <v>30498.7158475</v>
          </cell>
          <cell r="AE40">
            <v>32564.681254757554</v>
          </cell>
          <cell r="AG40">
            <v>35051.373707732208</v>
          </cell>
          <cell r="AI40">
            <v>36944.757075929156</v>
          </cell>
          <cell r="AK40">
            <v>40324.946898201015</v>
          </cell>
        </row>
        <row r="42">
          <cell r="C42">
            <v>-9.9999999997635314E-4</v>
          </cell>
          <cell r="E42">
            <v>5.000000000336513E-3</v>
          </cell>
          <cell r="G42">
            <v>0</v>
          </cell>
          <cell r="I42">
            <v>0</v>
          </cell>
          <cell r="K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  <cell r="U42">
            <v>0</v>
          </cell>
          <cell r="W42">
            <v>0</v>
          </cell>
          <cell r="Y42">
            <v>0</v>
          </cell>
          <cell r="AA42">
            <v>0</v>
          </cell>
          <cell r="AC42">
            <v>0</v>
          </cell>
          <cell r="AE42">
            <v>0</v>
          </cell>
          <cell r="AG42">
            <v>0</v>
          </cell>
          <cell r="AI42">
            <v>0</v>
          </cell>
          <cell r="AK42">
            <v>0</v>
          </cell>
        </row>
        <row r="43">
          <cell r="C43">
            <v>-4.9999999998817657E-4</v>
          </cell>
          <cell r="E43">
            <v>2.5000000001682565E-3</v>
          </cell>
          <cell r="G43">
            <v>0</v>
          </cell>
          <cell r="I43">
            <v>0</v>
          </cell>
          <cell r="K43">
            <v>0</v>
          </cell>
          <cell r="M43">
            <v>0</v>
          </cell>
          <cell r="O43">
            <v>0</v>
          </cell>
          <cell r="Q43">
            <v>0</v>
          </cell>
          <cell r="S43">
            <v>0</v>
          </cell>
          <cell r="U43">
            <v>0</v>
          </cell>
          <cell r="W43">
            <v>0</v>
          </cell>
          <cell r="Y43">
            <v>0</v>
          </cell>
          <cell r="AA43">
            <v>0</v>
          </cell>
          <cell r="AC43">
            <v>0</v>
          </cell>
          <cell r="AE43">
            <v>0</v>
          </cell>
          <cell r="AG43">
            <v>0</v>
          </cell>
          <cell r="AI43">
            <v>0</v>
          </cell>
          <cell r="AK43">
            <v>0</v>
          </cell>
        </row>
        <row r="44">
          <cell r="B44" t="str">
            <v>Common Stock and APIC</v>
          </cell>
          <cell r="U44">
            <v>15870.199999999999</v>
          </cell>
          <cell r="W44">
            <v>651</v>
          </cell>
          <cell r="Y44">
            <v>2082.7000000000007</v>
          </cell>
          <cell r="AA44">
            <v>1483</v>
          </cell>
          <cell r="AC44">
            <v>-6826.4254575000014</v>
          </cell>
          <cell r="AE44">
            <v>-2358.7524262144198</v>
          </cell>
          <cell r="AG44">
            <v>-2432.3321541606419</v>
          </cell>
          <cell r="AI44">
            <v>-2599.5767292662549</v>
          </cell>
        </row>
        <row r="45">
          <cell r="B45" t="str">
            <v>Retained Earnings</v>
          </cell>
          <cell r="U45">
            <v>-2812.3</v>
          </cell>
          <cell r="W45">
            <v>2461.5</v>
          </cell>
          <cell r="Y45">
            <v>-1709</v>
          </cell>
          <cell r="AA45">
            <v>-756</v>
          </cell>
          <cell r="AC45">
            <v>3329.4653900000003</v>
          </cell>
          <cell r="AE45">
            <v>4180.6358985744819</v>
          </cell>
          <cell r="AG45">
            <v>4644.621893034775</v>
          </cell>
          <cell r="AI45">
            <v>4935.4458679720119</v>
          </cell>
        </row>
        <row r="46">
          <cell r="B46" t="str">
            <v>AOCI</v>
          </cell>
          <cell r="U46">
            <v>10.900000000000006</v>
          </cell>
          <cell r="W46">
            <v>-6.4000000000000057</v>
          </cell>
          <cell r="Y46">
            <v>-57.8</v>
          </cell>
          <cell r="AA46">
            <v>19</v>
          </cell>
          <cell r="AC46">
            <v>0</v>
          </cell>
          <cell r="AE46">
            <v>0</v>
          </cell>
          <cell r="AG46">
            <v>0</v>
          </cell>
          <cell r="AI46">
            <v>0</v>
          </cell>
        </row>
        <row r="48">
          <cell r="B48" t="str">
            <v>CALCULATIONS</v>
          </cell>
        </row>
        <row r="49">
          <cell r="W49" t="str">
            <v>2003-FY</v>
          </cell>
          <cell r="Y49" t="str">
            <v>2004-FY</v>
          </cell>
          <cell r="AA49" t="str">
            <v>2005-FY</v>
          </cell>
          <cell r="AC49" t="str">
            <v>2006-FY</v>
          </cell>
          <cell r="AE49" t="str">
            <v>2007-FY</v>
          </cell>
          <cell r="AG49" t="str">
            <v>2008-FY</v>
          </cell>
          <cell r="AI49" t="str">
            <v>2009-FY</v>
          </cell>
          <cell r="AK49" t="str">
            <v>2010-FY</v>
          </cell>
        </row>
        <row r="50">
          <cell r="A50" t="str">
            <v>Revenues</v>
          </cell>
          <cell r="O50">
            <v>3340.1</v>
          </cell>
          <cell r="Q50">
            <v>3629.3999999999996</v>
          </cell>
          <cell r="S50">
            <v>4015.7</v>
          </cell>
          <cell r="U50">
            <v>5522.9999999999991</v>
          </cell>
          <cell r="W50">
            <v>8356</v>
          </cell>
          <cell r="Y50">
            <v>10549.9</v>
          </cell>
          <cell r="AA50">
            <v>12430</v>
          </cell>
          <cell r="AC50">
            <v>13779</v>
          </cell>
          <cell r="AE50">
            <v>15089.778225807069</v>
          </cell>
          <cell r="AG50">
            <v>16371.308428631663</v>
          </cell>
          <cell r="AI50">
            <v>17919.625529985176</v>
          </cell>
          <cell r="AK50">
            <v>19502.253061994084</v>
          </cell>
        </row>
        <row r="51">
          <cell r="A51" t="str">
            <v>Operating expenses</v>
          </cell>
          <cell r="O51">
            <v>1847</v>
          </cell>
          <cell r="Q51">
            <v>2085.4</v>
          </cell>
          <cell r="S51">
            <v>2484.5</v>
          </cell>
          <cell r="U51">
            <v>3160.5</v>
          </cell>
          <cell r="W51">
            <v>4929.0000000000009</v>
          </cell>
          <cell r="Y51">
            <v>6315</v>
          </cell>
          <cell r="AA51">
            <v>7129</v>
          </cell>
          <cell r="AC51">
            <v>8311.3654999999999</v>
          </cell>
          <cell r="AE51">
            <v>9065.5356974360293</v>
          </cell>
          <cell r="AG51">
            <v>9809.7503480268042</v>
          </cell>
          <cell r="AI51">
            <v>11075.243606667409</v>
          </cell>
          <cell r="AK51">
            <v>12298.471612324098</v>
          </cell>
        </row>
        <row r="52">
          <cell r="A52" t="str">
            <v>COGS</v>
          </cell>
          <cell r="O52">
            <v>402.1</v>
          </cell>
          <cell r="Q52">
            <v>408.4</v>
          </cell>
          <cell r="S52">
            <v>443</v>
          </cell>
          <cell r="U52">
            <v>735.7</v>
          </cell>
          <cell r="W52">
            <v>1340.7</v>
          </cell>
          <cell r="Y52">
            <v>1731</v>
          </cell>
          <cell r="AA52">
            <v>2035</v>
          </cell>
          <cell r="AC52">
            <v>2275.2525000000001</v>
          </cell>
          <cell r="AE52">
            <v>2471.3026127583394</v>
          </cell>
          <cell r="AG52">
            <v>2663.674218929084</v>
          </cell>
          <cell r="AI52">
            <v>2921.8139905241542</v>
          </cell>
          <cell r="AK52">
            <v>3229.9239384968482</v>
          </cell>
        </row>
        <row r="54">
          <cell r="B54" t="str">
            <v>Depreciation and Amortization from</v>
          </cell>
          <cell r="AL54">
            <v>7.5</v>
          </cell>
        </row>
        <row r="55">
          <cell r="A55" t="str">
            <v xml:space="preserve">Existing PP&amp;E </v>
          </cell>
          <cell r="O55">
            <v>176.8</v>
          </cell>
          <cell r="Q55">
            <v>211.8</v>
          </cell>
          <cell r="S55">
            <v>265.89999999999998</v>
          </cell>
          <cell r="U55">
            <v>204.3</v>
          </cell>
          <cell r="W55">
            <v>77.599999999999994</v>
          </cell>
          <cell r="Y55">
            <v>0</v>
          </cell>
          <cell r="AA55">
            <v>0</v>
          </cell>
          <cell r="AC55">
            <v>0</v>
          </cell>
          <cell r="AE55">
            <v>0</v>
          </cell>
          <cell r="AG55">
            <v>0</v>
          </cell>
          <cell r="AI55">
            <v>0</v>
          </cell>
          <cell r="AK55">
            <v>0</v>
          </cell>
        </row>
        <row r="56">
          <cell r="A56" t="str">
            <v>2002 capital expenditures</v>
          </cell>
          <cell r="U56">
            <v>87.8</v>
          </cell>
          <cell r="W56">
            <v>87.8</v>
          </cell>
          <cell r="Y56">
            <v>87.8</v>
          </cell>
          <cell r="AA56">
            <v>87.8</v>
          </cell>
          <cell r="AC56">
            <v>87.8</v>
          </cell>
          <cell r="AE56">
            <v>87.8</v>
          </cell>
          <cell r="AG56">
            <v>87.8</v>
          </cell>
          <cell r="AI56">
            <v>87.8</v>
          </cell>
          <cell r="AK56">
            <v>87.8</v>
          </cell>
        </row>
        <row r="57">
          <cell r="A57" t="str">
            <v>2003 capital expenditures</v>
          </cell>
          <cell r="W57">
            <v>180.93333333333334</v>
          </cell>
          <cell r="Y57">
            <v>180.93333333333334</v>
          </cell>
          <cell r="AA57">
            <v>180.93333333333334</v>
          </cell>
          <cell r="AC57">
            <v>180.93333333333334</v>
          </cell>
          <cell r="AE57">
            <v>180.93333333333334</v>
          </cell>
          <cell r="AG57">
            <v>180.93333333333334</v>
          </cell>
          <cell r="AI57">
            <v>180.93333333333334</v>
          </cell>
          <cell r="AK57">
            <v>180.93333333333334</v>
          </cell>
        </row>
        <row r="58">
          <cell r="A58" t="str">
            <v>2004 capital expenditures</v>
          </cell>
          <cell r="Y58">
            <v>106.13333333333333</v>
          </cell>
          <cell r="AA58">
            <v>106.13333333333333</v>
          </cell>
          <cell r="AC58">
            <v>106.13333333333333</v>
          </cell>
          <cell r="AE58">
            <v>106.13333333333333</v>
          </cell>
          <cell r="AG58">
            <v>106.13333333333333</v>
          </cell>
          <cell r="AI58">
            <v>106.13333333333333</v>
          </cell>
          <cell r="AK58">
            <v>106.13333333333333</v>
          </cell>
        </row>
        <row r="59">
          <cell r="A59" t="str">
            <v>2005 capital expenditures</v>
          </cell>
          <cell r="AA59">
            <v>115.6</v>
          </cell>
          <cell r="AC59">
            <v>115.6</v>
          </cell>
          <cell r="AE59">
            <v>115.6</v>
          </cell>
          <cell r="AG59">
            <v>115.6</v>
          </cell>
          <cell r="AI59">
            <v>115.6</v>
          </cell>
          <cell r="AK59">
            <v>115.6</v>
          </cell>
        </row>
        <row r="60">
          <cell r="A60" t="str">
            <v>2006 capital expenditures</v>
          </cell>
          <cell r="AC60">
            <v>220.464</v>
          </cell>
          <cell r="AE60">
            <v>220.464</v>
          </cell>
          <cell r="AG60">
            <v>220.464</v>
          </cell>
          <cell r="AI60">
            <v>220.464</v>
          </cell>
          <cell r="AK60">
            <v>220.464</v>
          </cell>
        </row>
        <row r="61">
          <cell r="A61" t="str">
            <v>2007 capital expenditures</v>
          </cell>
          <cell r="AE61">
            <v>201.19704301076092</v>
          </cell>
          <cell r="AG61">
            <v>201.19704301076092</v>
          </cell>
          <cell r="AI61">
            <v>201.19704301076092</v>
          </cell>
          <cell r="AK61">
            <v>201.19704301076092</v>
          </cell>
        </row>
        <row r="62">
          <cell r="A62" t="str">
            <v>2008 capital expenditures</v>
          </cell>
          <cell r="AG62">
            <v>218.28411238175553</v>
          </cell>
          <cell r="AI62">
            <v>218.28411238175553</v>
          </cell>
          <cell r="AK62">
            <v>218.28411238175553</v>
          </cell>
        </row>
        <row r="63">
          <cell r="A63" t="str">
            <v>2009 capital expenditures</v>
          </cell>
          <cell r="AI63">
            <v>215.03550635982211</v>
          </cell>
          <cell r="AK63">
            <v>215.03550635982211</v>
          </cell>
        </row>
        <row r="64">
          <cell r="A64" t="str">
            <v>2010 capital expenditures</v>
          </cell>
          <cell r="AK64">
            <v>260.03004082658782</v>
          </cell>
        </row>
        <row r="65">
          <cell r="A65" t="str">
            <v>Total depreciation</v>
          </cell>
          <cell r="U65">
            <v>292.10000000000002</v>
          </cell>
          <cell r="W65">
            <v>350.7</v>
          </cell>
          <cell r="Y65">
            <v>374.86666666666667</v>
          </cell>
          <cell r="AA65">
            <v>598</v>
          </cell>
          <cell r="AC65">
            <v>710.93066666666664</v>
          </cell>
          <cell r="AE65">
            <v>912.12770967742756</v>
          </cell>
          <cell r="AG65">
            <v>1130.4118220591831</v>
          </cell>
          <cell r="AI65">
            <v>1345.4473284190053</v>
          </cell>
          <cell r="AK65">
            <v>1605.4773692455931</v>
          </cell>
        </row>
        <row r="66">
          <cell r="A66" t="str">
            <v>Amortization of Existing Intangible Assets</v>
          </cell>
          <cell r="U66">
            <v>155.19999999999999</v>
          </cell>
          <cell r="W66">
            <v>335.8</v>
          </cell>
          <cell r="Y66">
            <v>744.2</v>
          </cell>
          <cell r="AA66">
            <v>243</v>
          </cell>
          <cell r="AC66">
            <v>61.11</v>
          </cell>
          <cell r="AE66">
            <v>218.61</v>
          </cell>
          <cell r="AG66">
            <v>218.61</v>
          </cell>
          <cell r="AI66">
            <v>218.61</v>
          </cell>
          <cell r="AK66">
            <v>218.61</v>
          </cell>
        </row>
        <row r="67">
          <cell r="A67" t="str">
            <v>Total depreciation and amortization</v>
          </cell>
          <cell r="O67" t="e">
            <v>#REF!</v>
          </cell>
          <cell r="Q67">
            <v>211.8</v>
          </cell>
          <cell r="S67">
            <v>265.89999999999998</v>
          </cell>
          <cell r="U67">
            <v>447.3</v>
          </cell>
          <cell r="W67">
            <v>686.5</v>
          </cell>
          <cell r="Y67">
            <v>1119.0666666666666</v>
          </cell>
          <cell r="AA67">
            <v>841</v>
          </cell>
          <cell r="AC67">
            <v>772.04066666666665</v>
          </cell>
          <cell r="AE67">
            <v>1130.7377096774276</v>
          </cell>
          <cell r="AG67">
            <v>1349.0218220591833</v>
          </cell>
          <cell r="AI67">
            <v>1564.0573284190054</v>
          </cell>
          <cell r="AK67">
            <v>1824.087369245593</v>
          </cell>
        </row>
        <row r="68">
          <cell r="A68" t="str">
            <v xml:space="preserve">     Depreciation as % operating expenses</v>
          </cell>
          <cell r="U68">
            <v>9.2422085113115018E-2</v>
          </cell>
          <cell r="W68">
            <v>7.1150334753499675E-2</v>
          </cell>
          <cell r="Y68">
            <v>5.9361309052520454E-2</v>
          </cell>
          <cell r="AA68">
            <v>8.3882732501052035E-2</v>
          </cell>
          <cell r="AC68">
            <v>8.5537167949919501E-2</v>
          </cell>
          <cell r="AE68">
            <v>0.10061487154425977</v>
          </cell>
          <cell r="AG68">
            <v>0.11523349544635061</v>
          </cell>
          <cell r="AI68">
            <v>0.12148241394970602</v>
          </cell>
          <cell r="AK68">
            <v>0.13054283652911558</v>
          </cell>
        </row>
        <row r="69">
          <cell r="A69" t="str">
            <v xml:space="preserve">    Amortization as % of operating expenses</v>
          </cell>
          <cell r="U69">
            <v>4.9106154089542789E-2</v>
          </cell>
          <cell r="W69">
            <v>6.8127409210793258E-2</v>
          </cell>
          <cell r="Y69">
            <v>0.11784639746634996</v>
          </cell>
          <cell r="AA69">
            <v>3.4086127086547902E-2</v>
          </cell>
          <cell r="AC69">
            <v>7.3525824366645889E-3</v>
          </cell>
          <cell r="AE69">
            <v>2.4114405071707857E-2</v>
          </cell>
          <cell r="AG69">
            <v>2.2284970793774853E-2</v>
          </cell>
          <cell r="AI69">
            <v>1.973861774637576E-2</v>
          </cell>
          <cell r="AK69">
            <v>1.7775379485442281E-2</v>
          </cell>
        </row>
        <row r="71">
          <cell r="A71" t="str">
            <v>Working Capital</v>
          </cell>
        </row>
        <row r="72">
          <cell r="A72" t="str">
            <v>Trade receivables</v>
          </cell>
          <cell r="O72">
            <v>412.2</v>
          </cell>
          <cell r="Q72">
            <v>389.2</v>
          </cell>
          <cell r="S72">
            <v>497.2</v>
          </cell>
          <cell r="U72">
            <v>752.4</v>
          </cell>
          <cell r="W72">
            <v>1007.9</v>
          </cell>
          <cell r="Y72">
            <v>1461</v>
          </cell>
          <cell r="AA72">
            <v>1769</v>
          </cell>
          <cell r="AC72">
            <v>1968.4285714285713</v>
          </cell>
          <cell r="AE72">
            <v>2155.6826036867242</v>
          </cell>
          <cell r="AG72">
            <v>2372.6533954538641</v>
          </cell>
          <cell r="AI72">
            <v>2597.047178258721</v>
          </cell>
          <cell r="AK72">
            <v>2826.4134872455193</v>
          </cell>
        </row>
        <row r="73">
          <cell r="A73" t="str">
            <v>% revenue</v>
          </cell>
          <cell r="O73">
            <v>0.12340947875812101</v>
          </cell>
          <cell r="Q73">
            <v>0.10723535570617734</v>
          </cell>
          <cell r="S73">
            <v>0.12381402993251488</v>
          </cell>
          <cell r="U73">
            <v>0.13623030961434004</v>
          </cell>
          <cell r="W73">
            <v>0.12061991383437051</v>
          </cell>
          <cell r="Y73">
            <v>0.13848472497369643</v>
          </cell>
          <cell r="AA73">
            <v>0.14231697506033789</v>
          </cell>
          <cell r="AC73">
            <v>0.14285714285714285</v>
          </cell>
          <cell r="AE73">
            <v>0.14285714285714285</v>
          </cell>
          <cell r="AG73">
            <v>0.14492753623188406</v>
          </cell>
          <cell r="AI73">
            <v>0.14492753623188404</v>
          </cell>
          <cell r="AK73">
            <v>0.14492753623188404</v>
          </cell>
        </row>
        <row r="74">
          <cell r="A74" t="str">
            <v>Days receivables outstanding (CHECK)</v>
          </cell>
          <cell r="O74">
            <v>45.044459746714175</v>
          </cell>
          <cell r="Q74">
            <v>39.140904832754728</v>
          </cell>
          <cell r="S74">
            <v>45.192120925367938</v>
          </cell>
          <cell r="U74">
            <v>49.724063009234122</v>
          </cell>
          <cell r="W74">
            <v>44.026268549545236</v>
          </cell>
          <cell r="Y74">
            <v>50.546924615399199</v>
          </cell>
          <cell r="AA74">
            <v>51.945695897023327</v>
          </cell>
          <cell r="AC74">
            <v>52.142857142857146</v>
          </cell>
          <cell r="AE74">
            <v>52.142857142857146</v>
          </cell>
          <cell r="AG74">
            <v>52.89855072463768</v>
          </cell>
          <cell r="AI74">
            <v>52.89855072463768</v>
          </cell>
          <cell r="AK74">
            <v>52.89855072463768</v>
          </cell>
        </row>
        <row r="75">
          <cell r="A75" t="str">
            <v>Accounts receivable turnover</v>
          </cell>
          <cell r="O75">
            <v>8.1031052886948078</v>
          </cell>
          <cell r="Q75">
            <v>9.3252826310380268</v>
          </cell>
          <cell r="S75">
            <v>8.0766291230892993</v>
          </cell>
          <cell r="U75">
            <v>7.3405103668261553</v>
          </cell>
          <cell r="W75">
            <v>8.2905050104177</v>
          </cell>
          <cell r="Y75">
            <v>7.2210130047912386</v>
          </cell>
          <cell r="AA75">
            <v>7.0265686828716793</v>
          </cell>
          <cell r="AC75">
            <v>7</v>
          </cell>
          <cell r="AE75">
            <v>7</v>
          </cell>
          <cell r="AG75">
            <v>6.9</v>
          </cell>
          <cell r="AI75">
            <v>6.9</v>
          </cell>
          <cell r="AK75">
            <v>6.9</v>
          </cell>
        </row>
        <row r="76">
          <cell r="A76" t="str">
            <v>Inventories</v>
          </cell>
          <cell r="O76">
            <v>184.3</v>
          </cell>
          <cell r="Q76">
            <v>305.2</v>
          </cell>
          <cell r="S76">
            <v>355.6</v>
          </cell>
          <cell r="U76">
            <v>544.9</v>
          </cell>
          <cell r="W76">
            <v>712.6</v>
          </cell>
          <cell r="Y76">
            <v>888</v>
          </cell>
          <cell r="AA76">
            <v>1258</v>
          </cell>
          <cell r="AC76">
            <v>1422.0328124999999</v>
          </cell>
          <cell r="AE76">
            <v>1544.5641329739619</v>
          </cell>
          <cell r="AG76">
            <v>1664.7963868306774</v>
          </cell>
          <cell r="AI76">
            <v>1826.1337440775962</v>
          </cell>
          <cell r="AK76">
            <v>2018.7024615605301</v>
          </cell>
        </row>
        <row r="77">
          <cell r="A77" t="str">
            <v>% revenue</v>
          </cell>
          <cell r="O77">
            <v>5.5177988682973571E-2</v>
          </cell>
          <cell r="Q77">
            <v>8.4091034330743372E-2</v>
          </cell>
          <cell r="S77">
            <v>8.8552431705555698E-2</v>
          </cell>
          <cell r="U77">
            <v>9.8660148470034417E-2</v>
          </cell>
          <cell r="W77">
            <v>8.5280038295835331E-2</v>
          </cell>
          <cell r="Y77">
            <v>8.4171413947051632E-2</v>
          </cell>
          <cell r="AA77">
            <v>0.10120675784392598</v>
          </cell>
          <cell r="AC77">
            <v>0.10320290387546265</v>
          </cell>
          <cell r="AE77">
            <v>0.10235830572595123</v>
          </cell>
          <cell r="AG77">
            <v>0.10168987983386392</v>
          </cell>
          <cell r="AI77">
            <v>0.10190691435052029</v>
          </cell>
          <cell r="AK77">
            <v>0.10351124329806639</v>
          </cell>
        </row>
        <row r="78">
          <cell r="A78" t="str">
            <v>Days inventory outstanding (CHECK)</v>
          </cell>
          <cell r="O78">
            <v>167.29544889331012</v>
          </cell>
          <cell r="Q78">
            <v>272.76689520078355</v>
          </cell>
          <cell r="S78">
            <v>292.98871331828445</v>
          </cell>
          <cell r="U78">
            <v>270.33913279869506</v>
          </cell>
          <cell r="W78">
            <v>194.00238681285896</v>
          </cell>
          <cell r="Y78">
            <v>187.24436741767764</v>
          </cell>
          <cell r="AA78">
            <v>225.63636363636363</v>
          </cell>
          <cell r="AC78">
            <v>228.125</v>
          </cell>
          <cell r="AE78">
            <v>228.125</v>
          </cell>
          <cell r="AG78">
            <v>228.125</v>
          </cell>
          <cell r="AI78">
            <v>228.125</v>
          </cell>
          <cell r="AK78">
            <v>228.125</v>
          </cell>
        </row>
        <row r="79">
          <cell r="A79" t="str">
            <v>Inventory Turnover</v>
          </cell>
          <cell r="O79">
            <v>2.1817688551275096</v>
          </cell>
          <cell r="Q79">
            <v>1.3381389252948885</v>
          </cell>
          <cell r="S79">
            <v>1.2457817772778401</v>
          </cell>
          <cell r="U79">
            <v>1.350155991925124</v>
          </cell>
          <cell r="W79">
            <v>1.8814201515576761</v>
          </cell>
          <cell r="Y79">
            <v>1.9493243243243243</v>
          </cell>
          <cell r="AA79">
            <v>1.6176470588235294</v>
          </cell>
          <cell r="AC79">
            <v>1.6</v>
          </cell>
          <cell r="AE79">
            <v>1.6</v>
          </cell>
          <cell r="AG79">
            <v>1.6</v>
          </cell>
          <cell r="AI79">
            <v>1.6</v>
          </cell>
          <cell r="AK79">
            <v>1.6</v>
          </cell>
        </row>
        <row r="80">
          <cell r="A80" t="str">
            <v>Other current assets</v>
          </cell>
          <cell r="O80">
            <v>135.80000000000001</v>
          </cell>
          <cell r="Q80">
            <v>214.6</v>
          </cell>
          <cell r="S80">
            <v>343.6</v>
          </cell>
          <cell r="U80">
            <v>442.3</v>
          </cell>
          <cell r="W80">
            <v>558.79999999999995</v>
          </cell>
          <cell r="Y80">
            <v>1013</v>
          </cell>
          <cell r="AA80">
            <v>953</v>
          </cell>
          <cell r="AC80">
            <v>964.53000000000009</v>
          </cell>
          <cell r="AE80">
            <v>1207.1822580645655</v>
          </cell>
          <cell r="AG80">
            <v>1473.4177585768496</v>
          </cell>
          <cell r="AI80">
            <v>1612.7662976986658</v>
          </cell>
          <cell r="AK80">
            <v>1755.2027755794675</v>
          </cell>
        </row>
        <row r="81">
          <cell r="A81" t="str">
            <v>% revenue</v>
          </cell>
          <cell r="O81">
            <v>4.0657465345348948E-2</v>
          </cell>
          <cell r="Q81">
            <v>5.9128230561525323E-2</v>
          </cell>
          <cell r="S81">
            <v>8.5564160669372724E-2</v>
          </cell>
          <cell r="U81">
            <v>8.0083288068078962E-2</v>
          </cell>
          <cell r="W81">
            <v>6.6874102441359495E-2</v>
          </cell>
          <cell r="Y81">
            <v>9.6019867486895616E-2</v>
          </cell>
          <cell r="AA81">
            <v>7.6669348350764277E-2</v>
          </cell>
          <cell r="AC81">
            <v>7.0000000000000007E-2</v>
          </cell>
          <cell r="AE81">
            <v>0.08</v>
          </cell>
          <cell r="AG81">
            <v>0.09</v>
          </cell>
          <cell r="AI81">
            <v>0.09</v>
          </cell>
          <cell r="AK81">
            <v>0.09</v>
          </cell>
        </row>
        <row r="82">
          <cell r="A82" t="str">
            <v>% total current assets</v>
          </cell>
          <cell r="O82">
            <v>6.5753159347310311E-2</v>
          </cell>
          <cell r="Q82">
            <v>7.3065268462088467E-2</v>
          </cell>
          <cell r="S82">
            <v>8.9047841185922377E-2</v>
          </cell>
          <cell r="U82">
            <v>6.9071601467947233E-2</v>
          </cell>
          <cell r="W82">
            <v>7.5491070222366313E-2</v>
          </cell>
          <cell r="Y82">
            <v>0.11046892039258452</v>
          </cell>
          <cell r="AA82">
            <v>0.10319436924742827</v>
          </cell>
          <cell r="AC82">
            <v>0.10651579755637791</v>
          </cell>
          <cell r="AE82">
            <v>0.11236917572768854</v>
          </cell>
          <cell r="AG82">
            <v>0.11385141241770379</v>
          </cell>
          <cell r="AI82">
            <v>0.10907195849438796</v>
          </cell>
          <cell r="AK82">
            <v>9.7293373961654786E-2</v>
          </cell>
        </row>
        <row r="83">
          <cell r="A83" t="str">
            <v xml:space="preserve">Accounts payable </v>
          </cell>
          <cell r="O83">
            <v>83.4</v>
          </cell>
          <cell r="Q83">
            <v>143.19999999999999</v>
          </cell>
          <cell r="S83">
            <v>136.69999999999999</v>
          </cell>
          <cell r="U83">
            <v>254.6</v>
          </cell>
          <cell r="W83">
            <v>327.2</v>
          </cell>
          <cell r="Y83">
            <v>507</v>
          </cell>
          <cell r="AA83">
            <v>596</v>
          </cell>
          <cell r="AC83">
            <v>664.90923999999995</v>
          </cell>
          <cell r="AE83">
            <v>725.2428557948823</v>
          </cell>
          <cell r="AG83">
            <v>817.47919566890039</v>
          </cell>
          <cell r="AI83">
            <v>922.93696722228412</v>
          </cell>
          <cell r="AK83">
            <v>1024.8726343603414</v>
          </cell>
        </row>
        <row r="84">
          <cell r="A84" t="str">
            <v>% operating expenses</v>
          </cell>
          <cell r="O84">
            <v>4.5154304277206285E-2</v>
          </cell>
          <cell r="Q84">
            <v>6.86678814615901E-2</v>
          </cell>
          <cell r="S84">
            <v>5.5021131012276105E-2</v>
          </cell>
          <cell r="U84">
            <v>8.0556873912355637E-2</v>
          </cell>
          <cell r="W84">
            <v>6.6382633394197588E-2</v>
          </cell>
          <cell r="Y84">
            <v>8.0285035629453688E-2</v>
          </cell>
          <cell r="AA84">
            <v>8.3602188245195677E-2</v>
          </cell>
          <cell r="AC84">
            <v>0.08</v>
          </cell>
          <cell r="AE84">
            <v>0.08</v>
          </cell>
          <cell r="AG84">
            <v>8.3333333333333343E-2</v>
          </cell>
          <cell r="AI84">
            <v>8.3333333333333343E-2</v>
          </cell>
          <cell r="AK84">
            <v>8.3333333333333329E-2</v>
          </cell>
        </row>
        <row r="85">
          <cell r="A85" t="str">
            <v>Days payable outstanding (CHECK)</v>
          </cell>
          <cell r="O85">
            <v>75.705048495399154</v>
          </cell>
          <cell r="Q85">
            <v>127.98237022526935</v>
          </cell>
          <cell r="S85">
            <v>20.082712819480779</v>
          </cell>
          <cell r="U85">
            <v>29.403258978009809</v>
          </cell>
          <cell r="W85">
            <v>24.229661188882123</v>
          </cell>
          <cell r="Y85">
            <v>29.304038004750595</v>
          </cell>
          <cell r="AA85">
            <v>30.514798709496421</v>
          </cell>
          <cell r="AC85">
            <v>29.2</v>
          </cell>
          <cell r="AE85">
            <v>29.2</v>
          </cell>
          <cell r="AG85">
            <v>30.416666666666668</v>
          </cell>
          <cell r="AI85">
            <v>30.416666666666668</v>
          </cell>
          <cell r="AK85">
            <v>30.416666666666668</v>
          </cell>
        </row>
        <row r="86">
          <cell r="A86" t="str">
            <v>Accounts payable turnover</v>
          </cell>
          <cell r="O86">
            <v>5.3114027134456823</v>
          </cell>
          <cell r="Q86">
            <v>3.1910645136603657</v>
          </cell>
          <cell r="S86">
            <v>18.17483540599854</v>
          </cell>
          <cell r="U86">
            <v>12.413589945011783</v>
          </cell>
          <cell r="W86">
            <v>15.064180929095357</v>
          </cell>
          <cell r="Y86">
            <v>12.455621301775148</v>
          </cell>
          <cell r="AA86">
            <v>11.961409395973154</v>
          </cell>
          <cell r="AC86">
            <v>12.5</v>
          </cell>
          <cell r="AE86">
            <v>12.5</v>
          </cell>
          <cell r="AG86">
            <v>12</v>
          </cell>
          <cell r="AI86">
            <v>12</v>
          </cell>
          <cell r="AK86">
            <v>12</v>
          </cell>
        </row>
        <row r="87">
          <cell r="A87" t="str">
            <v>Accrued liabilities</v>
          </cell>
          <cell r="O87">
            <v>648.20000000000005</v>
          </cell>
          <cell r="Q87">
            <v>619.20000000000005</v>
          </cell>
          <cell r="S87">
            <v>766.3</v>
          </cell>
          <cell r="U87">
            <v>1151.7</v>
          </cell>
          <cell r="W87">
            <v>1919.1</v>
          </cell>
          <cell r="Y87">
            <v>2477</v>
          </cell>
          <cell r="AA87">
            <v>2999</v>
          </cell>
          <cell r="AC87">
            <v>2908.9779249999997</v>
          </cell>
          <cell r="AE87">
            <v>3172.9374941026099</v>
          </cell>
          <cell r="AG87">
            <v>3335.3151183291138</v>
          </cell>
          <cell r="AI87">
            <v>3765.5828262669193</v>
          </cell>
          <cell r="AK87">
            <v>4181.4803481901936</v>
          </cell>
        </row>
        <row r="88">
          <cell r="A88" t="str">
            <v>% operating expenses</v>
          </cell>
          <cell r="O88">
            <v>0.35094748240389823</v>
          </cell>
          <cell r="Q88">
            <v>0.29692145391771363</v>
          </cell>
          <cell r="S88">
            <v>0.30843228013684842</v>
          </cell>
          <cell r="U88">
            <v>0.36440436639772189</v>
          </cell>
          <cell r="W88">
            <v>0.38934875228241012</v>
          </cell>
          <cell r="Y88">
            <v>0.39224069675376089</v>
          </cell>
          <cell r="AA88">
            <v>0.42067611165661384</v>
          </cell>
          <cell r="AC88">
            <v>0.35</v>
          </cell>
          <cell r="AE88">
            <v>0.35</v>
          </cell>
          <cell r="AG88">
            <v>0.34</v>
          </cell>
          <cell r="AI88">
            <v>0.34</v>
          </cell>
          <cell r="AK88">
            <v>0.34</v>
          </cell>
        </row>
        <row r="89">
          <cell r="A89" t="str">
            <v>% total current liabilities</v>
          </cell>
          <cell r="O89">
            <v>0.7799302129707617</v>
          </cell>
          <cell r="Q89">
            <v>0.71824614313884705</v>
          </cell>
          <cell r="S89">
            <v>0.76408415594775148</v>
          </cell>
          <cell r="U89">
            <v>0.75313889615485219</v>
          </cell>
          <cell r="W89">
            <v>0.85433824511418788</v>
          </cell>
          <cell r="Y89">
            <v>0.59586240076978592</v>
          </cell>
          <cell r="AA89">
            <v>0.83421418636995825</v>
          </cell>
          <cell r="AC89">
            <v>0.81395348837209303</v>
          </cell>
          <cell r="AE89">
            <v>0.81395348837209303</v>
          </cell>
          <cell r="AG89">
            <v>0.80314960629921262</v>
          </cell>
          <cell r="AI89">
            <v>0.80314960629921262</v>
          </cell>
          <cell r="AK89">
            <v>0.80314960629921262</v>
          </cell>
        </row>
        <row r="91">
          <cell r="A91" t="str">
            <v>Property and Equipment, Net</v>
          </cell>
        </row>
        <row r="92">
          <cell r="A92" t="str">
            <v>Beginning balance</v>
          </cell>
          <cell r="O92">
            <v>1450.2</v>
          </cell>
          <cell r="Q92">
            <v>1553.6</v>
          </cell>
          <cell r="S92">
            <v>1781.5</v>
          </cell>
          <cell r="U92">
            <v>1946.1</v>
          </cell>
          <cell r="W92">
            <v>2813.5</v>
          </cell>
          <cell r="Y92">
            <v>3799.4</v>
          </cell>
          <cell r="AA92">
            <v>4712</v>
          </cell>
          <cell r="AC92">
            <v>5038</v>
          </cell>
          <cell r="AE92">
            <v>5980.5493333333325</v>
          </cell>
          <cell r="AG92">
            <v>6577.3994462366118</v>
          </cell>
          <cell r="AI92">
            <v>7084.1184670405946</v>
          </cell>
          <cell r="AK92">
            <v>7351.437436320256</v>
          </cell>
        </row>
        <row r="93">
          <cell r="A93" t="str">
            <v>Capital expenditures</v>
          </cell>
          <cell r="O93">
            <v>304.2</v>
          </cell>
          <cell r="Q93">
            <v>437.7</v>
          </cell>
          <cell r="S93">
            <v>441.8</v>
          </cell>
          <cell r="U93">
            <v>658.5</v>
          </cell>
          <cell r="W93">
            <v>1357</v>
          </cell>
          <cell r="Y93">
            <v>1336</v>
          </cell>
          <cell r="AA93">
            <v>867</v>
          </cell>
          <cell r="AC93">
            <v>1653.48</v>
          </cell>
          <cell r="AE93">
            <v>1508.977822580707</v>
          </cell>
          <cell r="AG93">
            <v>1637.1308428631664</v>
          </cell>
          <cell r="AI93">
            <v>1612.7662976986658</v>
          </cell>
          <cell r="AK93">
            <v>1950.2253061994086</v>
          </cell>
        </row>
        <row r="94">
          <cell r="A94" t="str">
            <v>% revenue</v>
          </cell>
          <cell r="O94">
            <v>9.1075117511451753E-2</v>
          </cell>
          <cell r="Q94">
            <v>0.12059844602413623</v>
          </cell>
          <cell r="S94">
            <v>0.11001817864880345</v>
          </cell>
          <cell r="U94">
            <v>0.11922868006518199</v>
          </cell>
          <cell r="W94">
            <v>0.16239827668741025</v>
          </cell>
          <cell r="Y94">
            <v>0.12663627143385245</v>
          </cell>
          <cell r="AA94">
            <v>6.9750603378921958E-2</v>
          </cell>
          <cell r="AC94">
            <v>0.12</v>
          </cell>
          <cell r="AE94">
            <v>0.1</v>
          </cell>
          <cell r="AG94">
            <v>0.1</v>
          </cell>
          <cell r="AI94">
            <v>0.09</v>
          </cell>
          <cell r="AK94">
            <v>0.1</v>
          </cell>
        </row>
        <row r="95">
          <cell r="A95" t="str">
            <v>Depreciation</v>
          </cell>
          <cell r="O95">
            <v>-176.8</v>
          </cell>
          <cell r="Q95">
            <v>-211.8</v>
          </cell>
          <cell r="S95">
            <v>-265.89999999999998</v>
          </cell>
          <cell r="U95">
            <v>-447.3</v>
          </cell>
          <cell r="W95">
            <v>-350.7</v>
          </cell>
          <cell r="Y95">
            <v>-374.86666666666667</v>
          </cell>
          <cell r="AA95">
            <v>-598</v>
          </cell>
          <cell r="AC95">
            <v>-710.93066666666664</v>
          </cell>
          <cell r="AE95">
            <v>-912.12770967742756</v>
          </cell>
          <cell r="AG95">
            <v>-1130.4118220591831</v>
          </cell>
          <cell r="AI95">
            <v>-1345.4473284190053</v>
          </cell>
          <cell r="AK95">
            <v>-1605.4773692455931</v>
          </cell>
        </row>
        <row r="96">
          <cell r="A96" t="str">
            <v>Ending balance</v>
          </cell>
          <cell r="O96">
            <v>1577.6000000000001</v>
          </cell>
          <cell r="Q96">
            <v>1779.5</v>
          </cell>
          <cell r="S96">
            <v>1946.1</v>
          </cell>
          <cell r="U96">
            <v>2813.5</v>
          </cell>
          <cell r="W96">
            <v>3799.4</v>
          </cell>
          <cell r="Y96">
            <v>4712</v>
          </cell>
          <cell r="AA96">
            <v>5038</v>
          </cell>
          <cell r="AC96">
            <v>5980.5493333333325</v>
          </cell>
          <cell r="AE96">
            <v>6577.3994462366118</v>
          </cell>
          <cell r="AG96">
            <v>7084.1184670405946</v>
          </cell>
          <cell r="AI96">
            <v>7351.437436320256</v>
          </cell>
          <cell r="AK96">
            <v>7696.185373274071</v>
          </cell>
        </row>
        <row r="97">
          <cell r="A97" t="str">
            <v>Fixed Asset Turnover (CHECK)</v>
          </cell>
          <cell r="Q97">
            <v>2.1764864621750473</v>
          </cell>
          <cell r="S97">
            <v>2.154576671316665</v>
          </cell>
          <cell r="U97">
            <v>2.3207832590974027</v>
          </cell>
          <cell r="W97">
            <v>2.5271817205764493</v>
          </cell>
          <cell r="Y97">
            <v>2.4790046290856966</v>
          </cell>
          <cell r="AA97">
            <v>2.5497435897435898</v>
          </cell>
          <cell r="AC97">
            <v>2.501055190326325</v>
          </cell>
          <cell r="AE97">
            <v>2.4032234070513274</v>
          </cell>
          <cell r="AG97">
            <v>2.3967041631180521</v>
          </cell>
          <cell r="AI97">
            <v>2.4827066792506649</v>
          </cell>
          <cell r="AK97">
            <v>2.6528489470157131</v>
          </cell>
        </row>
        <row r="99">
          <cell r="A99" t="str">
            <v>Employee Stock Option Analysis</v>
          </cell>
          <cell r="AC99">
            <v>1</v>
          </cell>
          <cell r="AE99">
            <v>2</v>
          </cell>
          <cell r="AG99">
            <v>3</v>
          </cell>
          <cell r="AI99">
            <v>4</v>
          </cell>
          <cell r="AK99">
            <v>5</v>
          </cell>
        </row>
        <row r="100">
          <cell r="O100">
            <v>1999</v>
          </cell>
          <cell r="Q100">
            <v>2000</v>
          </cell>
          <cell r="S100" t="str">
            <v>2001</v>
          </cell>
          <cell r="U100" t="str">
            <v>2002</v>
          </cell>
          <cell r="W100" t="str">
            <v>2003</v>
          </cell>
          <cell r="Y100" t="str">
            <v>2004</v>
          </cell>
          <cell r="AA100" t="str">
            <v>2005</v>
          </cell>
          <cell r="AC100" t="str">
            <v>2006E</v>
          </cell>
          <cell r="AE100" t="str">
            <v>2007E</v>
          </cell>
          <cell r="AG100" t="str">
            <v>2008E</v>
          </cell>
          <cell r="AI100" t="str">
            <v>2009E</v>
          </cell>
          <cell r="AK100" t="str">
            <v>2010E</v>
          </cell>
        </row>
        <row r="101">
          <cell r="A101" t="str">
            <v xml:space="preserve">Stock Price (average) </v>
          </cell>
          <cell r="S101">
            <v>62.31</v>
          </cell>
          <cell r="U101">
            <v>49.42</v>
          </cell>
          <cell r="W101">
            <v>61.4</v>
          </cell>
          <cell r="Y101">
            <v>63</v>
          </cell>
          <cell r="AA101">
            <v>70</v>
          </cell>
          <cell r="AC101">
            <v>75.775000000000006</v>
          </cell>
          <cell r="AE101">
            <v>82.026437500000014</v>
          </cell>
          <cell r="AG101">
            <v>88.793618593750011</v>
          </cell>
          <cell r="AI101">
            <v>96.11909212773439</v>
          </cell>
          <cell r="AK101">
            <v>104.04891722827247</v>
          </cell>
          <cell r="AM101">
            <v>8.2500000000000004E-2</v>
          </cell>
          <cell r="AN101" t="str">
            <v>Cost of Equity</v>
          </cell>
        </row>
        <row r="102">
          <cell r="A102" t="str">
            <v>Option Balance (Beginning Year)</v>
          </cell>
          <cell r="Q102">
            <v>115.8</v>
          </cell>
          <cell r="S102">
            <v>98.7</v>
          </cell>
          <cell r="U102">
            <v>94.399999999999991</v>
          </cell>
          <cell r="W102">
            <v>102.99999999999999</v>
          </cell>
          <cell r="Y102">
            <v>95</v>
          </cell>
          <cell r="AA102">
            <v>89</v>
          </cell>
          <cell r="AC102">
            <v>68</v>
          </cell>
          <cell r="AE102">
            <v>66.98</v>
          </cell>
          <cell r="AG102">
            <v>62.626300000000001</v>
          </cell>
          <cell r="AI102">
            <v>56.989932999999994</v>
          </cell>
          <cell r="AK102">
            <v>50.151141039999999</v>
          </cell>
          <cell r="AL102">
            <v>44.133004115199995</v>
          </cell>
        </row>
        <row r="103">
          <cell r="A103" t="str">
            <v xml:space="preserve"> Average Options In-the-Money</v>
          </cell>
          <cell r="S103">
            <v>53.4</v>
          </cell>
          <cell r="U103">
            <v>62.4</v>
          </cell>
          <cell r="W103">
            <v>53.4</v>
          </cell>
          <cell r="Y103">
            <v>47</v>
          </cell>
          <cell r="AA103">
            <v>34</v>
          </cell>
          <cell r="AC103">
            <v>30.370500000000003</v>
          </cell>
          <cell r="AE103">
            <v>29.161417500000002</v>
          </cell>
          <cell r="AG103">
            <v>26.913652424999999</v>
          </cell>
          <cell r="AI103">
            <v>21.428214808</v>
          </cell>
          <cell r="AK103">
            <v>18.85682903104</v>
          </cell>
          <cell r="AM103">
            <v>58</v>
          </cell>
          <cell r="AN103" t="str">
            <v>Target Price</v>
          </cell>
        </row>
        <row r="104">
          <cell r="A104" t="str">
            <v xml:space="preserve">   % Exercisable</v>
          </cell>
          <cell r="S104">
            <v>0.55308130502330399</v>
          </cell>
          <cell r="U104">
            <v>0.63221884498480252</v>
          </cell>
          <cell r="W104">
            <v>0.53939393939393943</v>
          </cell>
          <cell r="Y104">
            <v>0.51086956521739135</v>
          </cell>
          <cell r="AA104">
            <v>0.43312101910828027</v>
          </cell>
          <cell r="AC104">
            <v>0.45</v>
          </cell>
          <cell r="AE104">
            <v>0.45</v>
          </cell>
          <cell r="AG104">
            <v>0.45</v>
          </cell>
          <cell r="AI104">
            <v>0.4</v>
          </cell>
          <cell r="AK104">
            <v>0.4</v>
          </cell>
        </row>
        <row r="105">
          <cell r="A105" t="str">
            <v>Weighted Average Exercise Price of exercisable</v>
          </cell>
          <cell r="S105">
            <v>20.81</v>
          </cell>
          <cell r="U105">
            <v>27.03</v>
          </cell>
          <cell r="W105">
            <v>34.28</v>
          </cell>
          <cell r="Y105">
            <v>34.28</v>
          </cell>
          <cell r="AA105">
            <v>51.77</v>
          </cell>
          <cell r="AC105">
            <v>47</v>
          </cell>
          <cell r="AE105">
            <v>51</v>
          </cell>
          <cell r="AG105">
            <v>55</v>
          </cell>
          <cell r="AI105">
            <v>63</v>
          </cell>
          <cell r="AK105">
            <v>68</v>
          </cell>
        </row>
        <row r="106">
          <cell r="A106" t="str">
            <v>Options Cancelled</v>
          </cell>
          <cell r="S106">
            <v>2.2999999999999998</v>
          </cell>
          <cell r="U106">
            <v>4.9000000000000004</v>
          </cell>
          <cell r="W106">
            <v>3.8</v>
          </cell>
          <cell r="Y106">
            <v>6</v>
          </cell>
          <cell r="AA106">
            <v>6</v>
          </cell>
          <cell r="AC106">
            <v>4.42</v>
          </cell>
          <cell r="AE106">
            <v>4.3537000000000008</v>
          </cell>
          <cell r="AG106">
            <v>3.7575780000000001</v>
          </cell>
          <cell r="AI106">
            <v>3.4193959799999996</v>
          </cell>
          <cell r="AK106">
            <v>3.0090684623999997</v>
          </cell>
        </row>
        <row r="107">
          <cell r="A107" t="str">
            <v xml:space="preserve">   % Cancelled </v>
          </cell>
          <cell r="S107">
            <v>2.3302938196555215E-2</v>
          </cell>
          <cell r="U107">
            <v>5.1906779661016957E-2</v>
          </cell>
          <cell r="W107">
            <v>3.6893203883495151E-2</v>
          </cell>
          <cell r="Y107">
            <v>6.3157894736842107E-2</v>
          </cell>
          <cell r="AA107">
            <v>6.741573033707865E-2</v>
          </cell>
          <cell r="AC107">
            <v>6.5000000000000002E-2</v>
          </cell>
          <cell r="AE107">
            <v>6.5000000000000002E-2</v>
          </cell>
          <cell r="AG107">
            <v>0.06</v>
          </cell>
          <cell r="AI107">
            <v>0.06</v>
          </cell>
          <cell r="AK107">
            <v>0.06</v>
          </cell>
        </row>
        <row r="108">
          <cell r="A108" t="str">
            <v>Options Exercised</v>
          </cell>
          <cell r="Q108">
            <v>28.2</v>
          </cell>
          <cell r="S108">
            <v>20.6</v>
          </cell>
          <cell r="U108">
            <v>26.2</v>
          </cell>
          <cell r="W108">
            <v>23</v>
          </cell>
          <cell r="Y108">
            <v>20</v>
          </cell>
          <cell r="AA108">
            <v>25</v>
          </cell>
          <cell r="AC108">
            <v>10.199999999999999</v>
          </cell>
          <cell r="AE108">
            <v>13.396000000000001</v>
          </cell>
          <cell r="AG108">
            <v>15.656575</v>
          </cell>
          <cell r="AI108">
            <v>15.957181239999999</v>
          </cell>
          <cell r="AK108">
            <v>14.042319491200001</v>
          </cell>
        </row>
        <row r="109">
          <cell r="A109" t="str">
            <v xml:space="preserve">   % Exercised</v>
          </cell>
          <cell r="Q109">
            <v>0.24352331606217617</v>
          </cell>
          <cell r="S109">
            <v>0.2087132725430598</v>
          </cell>
          <cell r="U109">
            <v>0.27754237288135597</v>
          </cell>
          <cell r="W109">
            <v>0.22330097087378645</v>
          </cell>
          <cell r="Y109">
            <v>0.21052631578947367</v>
          </cell>
          <cell r="AA109">
            <v>0.2808988764044944</v>
          </cell>
          <cell r="AC109">
            <v>0.15</v>
          </cell>
          <cell r="AE109">
            <v>0.2</v>
          </cell>
          <cell r="AG109">
            <v>0.25</v>
          </cell>
          <cell r="AI109">
            <v>0.28000000000000003</v>
          </cell>
          <cell r="AK109">
            <v>0.28000000000000003</v>
          </cell>
        </row>
        <row r="110">
          <cell r="A110" t="str">
            <v>Weighted Average Exercise Price</v>
          </cell>
          <cell r="S110">
            <v>13.12</v>
          </cell>
          <cell r="U110">
            <v>15.9</v>
          </cell>
          <cell r="W110">
            <v>20.98</v>
          </cell>
          <cell r="Y110">
            <v>20.420000000000002</v>
          </cell>
          <cell r="AA110">
            <v>39.729999999999997</v>
          </cell>
          <cell r="AC110">
            <v>28</v>
          </cell>
          <cell r="AE110">
            <v>30.520000000000003</v>
          </cell>
          <cell r="AG110">
            <v>33.266800000000003</v>
          </cell>
          <cell r="AI110">
            <v>36.260812000000008</v>
          </cell>
          <cell r="AK110">
            <v>39.524285080000013</v>
          </cell>
          <cell r="AM110">
            <v>0.09</v>
          </cell>
        </row>
        <row r="111">
          <cell r="A111" t="str">
            <v xml:space="preserve">   Statuatory  Tax rate</v>
          </cell>
          <cell r="S111">
            <v>0.35</v>
          </cell>
          <cell r="U111">
            <v>0.35</v>
          </cell>
          <cell r="W111">
            <v>0.35</v>
          </cell>
          <cell r="Y111">
            <v>0.35</v>
          </cell>
          <cell r="AA111">
            <v>0.35</v>
          </cell>
          <cell r="AC111">
            <v>0.35</v>
          </cell>
          <cell r="AE111">
            <v>0.35</v>
          </cell>
          <cell r="AG111">
            <v>0.35</v>
          </cell>
          <cell r="AI111">
            <v>0.35</v>
          </cell>
          <cell r="AK111">
            <v>0.35</v>
          </cell>
        </row>
        <row r="112">
          <cell r="A112" t="str">
            <v>Proceeds from option</v>
          </cell>
          <cell r="Q112">
            <v>333.7</v>
          </cell>
          <cell r="S112">
            <v>282.3</v>
          </cell>
          <cell r="U112">
            <v>435.4</v>
          </cell>
          <cell r="W112">
            <v>537.70000000000005</v>
          </cell>
          <cell r="Y112">
            <v>513</v>
          </cell>
          <cell r="AA112">
            <v>1207</v>
          </cell>
          <cell r="AC112">
            <v>285.59999999999997</v>
          </cell>
          <cell r="AE112">
            <v>408.84592000000009</v>
          </cell>
          <cell r="AG112">
            <v>520.84414921000007</v>
          </cell>
          <cell r="AI112">
            <v>578.62034899356695</v>
          </cell>
          <cell r="AK112">
            <v>555.01263875462951</v>
          </cell>
        </row>
        <row r="113">
          <cell r="A113" t="str">
            <v>Tax Benefit from Options</v>
          </cell>
          <cell r="Q113">
            <v>376.6</v>
          </cell>
          <cell r="S113">
            <v>244.5</v>
          </cell>
          <cell r="U113">
            <v>251.6</v>
          </cell>
          <cell r="W113">
            <v>113.3</v>
          </cell>
          <cell r="Y113">
            <v>167</v>
          </cell>
          <cell r="AA113">
            <v>276</v>
          </cell>
          <cell r="AC113">
            <v>170.55674999999999</v>
          </cell>
          <cell r="AE113">
            <v>241.49308286250007</v>
          </cell>
          <cell r="AG113">
            <v>304.2759299385545</v>
          </cell>
          <cell r="AI113">
            <v>334.30929864953174</v>
          </cell>
          <cell r="AK113">
            <v>317.12642488736873</v>
          </cell>
        </row>
        <row r="114">
          <cell r="A114" t="str">
            <v>Options Granted</v>
          </cell>
          <cell r="Q114">
            <v>13.1</v>
          </cell>
          <cell r="S114">
            <v>18.600000000000001</v>
          </cell>
          <cell r="U114">
            <v>39.700000000000003</v>
          </cell>
          <cell r="W114">
            <v>18.5</v>
          </cell>
          <cell r="Y114">
            <v>16</v>
          </cell>
          <cell r="AA114">
            <v>10</v>
          </cell>
          <cell r="AC114">
            <v>13.600000000000001</v>
          </cell>
          <cell r="AE114">
            <v>13.396000000000001</v>
          </cell>
          <cell r="AG114">
            <v>13.777786000000001</v>
          </cell>
          <cell r="AI114">
            <v>12.537785259999998</v>
          </cell>
          <cell r="AK114">
            <v>11.033251028800001</v>
          </cell>
        </row>
        <row r="115">
          <cell r="A115" t="str">
            <v xml:space="preserve">     % of Outstanding Options</v>
          </cell>
          <cell r="Q115">
            <v>0.11312607944732297</v>
          </cell>
          <cell r="S115">
            <v>0.18844984802431611</v>
          </cell>
          <cell r="U115">
            <v>0.42055084745762716</v>
          </cell>
          <cell r="W115">
            <v>0.17961165048543692</v>
          </cell>
          <cell r="Y115">
            <v>0.16842105263157894</v>
          </cell>
          <cell r="AA115">
            <v>0.11235955056179775</v>
          </cell>
          <cell r="AC115">
            <v>0.2</v>
          </cell>
          <cell r="AE115">
            <v>0.2</v>
          </cell>
          <cell r="AG115">
            <v>0.22</v>
          </cell>
          <cell r="AI115">
            <v>0.22</v>
          </cell>
          <cell r="AK115">
            <v>0.22</v>
          </cell>
        </row>
        <row r="116">
          <cell r="A116" t="str">
            <v>Shares Issued</v>
          </cell>
          <cell r="S116">
            <v>0</v>
          </cell>
          <cell r="U116">
            <v>0</v>
          </cell>
          <cell r="W116">
            <v>0</v>
          </cell>
          <cell r="Y116">
            <v>22.6</v>
          </cell>
          <cell r="AA116">
            <v>0</v>
          </cell>
          <cell r="AC116">
            <v>0</v>
          </cell>
          <cell r="AE116">
            <v>0</v>
          </cell>
          <cell r="AG116">
            <v>0</v>
          </cell>
          <cell r="AI116">
            <v>0</v>
          </cell>
          <cell r="AK116">
            <v>0</v>
          </cell>
        </row>
        <row r="117">
          <cell r="A117" t="str">
            <v>Proceeds from share issuance</v>
          </cell>
          <cell r="S117">
            <v>0</v>
          </cell>
          <cell r="U117">
            <v>0</v>
          </cell>
          <cell r="W117">
            <v>0</v>
          </cell>
          <cell r="Y117">
            <v>0</v>
          </cell>
          <cell r="AA117">
            <v>0</v>
          </cell>
          <cell r="AC117">
            <v>0</v>
          </cell>
          <cell r="AE117">
            <v>0</v>
          </cell>
          <cell r="AG117">
            <v>0</v>
          </cell>
          <cell r="AI117">
            <v>0</v>
          </cell>
          <cell r="AK117">
            <v>0</v>
          </cell>
        </row>
        <row r="118">
          <cell r="A118" t="str">
            <v>Shares Repurchased (mm)</v>
          </cell>
          <cell r="S118">
            <v>12.7</v>
          </cell>
          <cell r="U118">
            <v>28</v>
          </cell>
          <cell r="W118">
            <v>29.7</v>
          </cell>
          <cell r="Y118">
            <v>69</v>
          </cell>
          <cell r="AA118">
            <v>63</v>
          </cell>
          <cell r="AC118">
            <v>100</v>
          </cell>
          <cell r="AE118">
            <v>40</v>
          </cell>
          <cell r="AG118">
            <v>40</v>
          </cell>
          <cell r="AI118">
            <v>40</v>
          </cell>
          <cell r="AK118">
            <v>35</v>
          </cell>
        </row>
        <row r="119">
          <cell r="A119" t="str">
            <v>Share Repurchase Cost</v>
          </cell>
          <cell r="Q119">
            <v>799.9</v>
          </cell>
          <cell r="S119">
            <v>737.5</v>
          </cell>
          <cell r="U119">
            <v>1420.4</v>
          </cell>
          <cell r="W119">
            <v>1801</v>
          </cell>
          <cell r="Y119">
            <v>4072</v>
          </cell>
          <cell r="AA119">
            <v>4430</v>
          </cell>
          <cell r="AC119">
            <v>7577.5000000000009</v>
          </cell>
          <cell r="AE119">
            <v>3281.0575000000008</v>
          </cell>
          <cell r="AG119">
            <v>3551.7447437500005</v>
          </cell>
          <cell r="AI119">
            <v>3844.7636851093757</v>
          </cell>
          <cell r="AK119">
            <v>3641.7121029895366</v>
          </cell>
        </row>
        <row r="120">
          <cell r="A120" t="str">
            <v>Share Issuance from Acquisitions</v>
          </cell>
          <cell r="Q120">
            <v>164.7</v>
          </cell>
          <cell r="U120">
            <v>15183.2</v>
          </cell>
          <cell r="Y120">
            <v>1403</v>
          </cell>
        </row>
        <row r="121">
          <cell r="A121" t="str">
            <v>Stock options expense</v>
          </cell>
          <cell r="AC121">
            <v>294.91779250000002</v>
          </cell>
          <cell r="AE121">
            <v>271.96607092308085</v>
          </cell>
          <cell r="AG121">
            <v>294.29251044080411</v>
          </cell>
          <cell r="AI121">
            <v>332.25730820002224</v>
          </cell>
          <cell r="AK121">
            <v>368.95414836972293</v>
          </cell>
        </row>
        <row r="122">
          <cell r="A122" t="str">
            <v>Total Change in APIC</v>
          </cell>
          <cell r="K122">
            <v>169.19999999999982</v>
          </cell>
          <cell r="M122">
            <v>475.80000000000018</v>
          </cell>
          <cell r="O122">
            <v>0</v>
          </cell>
          <cell r="Q122">
            <v>75.100000000000023</v>
          </cell>
          <cell r="S122">
            <v>-210.7</v>
          </cell>
          <cell r="U122">
            <v>14449.800000000001</v>
          </cell>
          <cell r="W122">
            <v>-1150</v>
          </cell>
          <cell r="Y122">
            <v>-1989</v>
          </cell>
          <cell r="AA122">
            <v>-2947</v>
          </cell>
          <cell r="AC122">
            <v>-6826.4254575000004</v>
          </cell>
          <cell r="AE122">
            <v>-2358.7524262144198</v>
          </cell>
          <cell r="AG122">
            <v>-2432.3321541606419</v>
          </cell>
          <cell r="AI122">
            <v>-2599.5767292662549</v>
          </cell>
          <cell r="AK122">
            <v>-2400.6188909778157</v>
          </cell>
          <cell r="AO122" t="str">
            <v>mstag:netIssuanceRepurchaseOfCommonStock</v>
          </cell>
          <cell r="AP122">
            <v>6</v>
          </cell>
          <cell r="AQ122" t="str">
            <v>ISO4217:USD</v>
          </cell>
          <cell r="AR122" t="b">
            <v>0</v>
          </cell>
          <cell r="AS122" t="b">
            <v>0</v>
          </cell>
        </row>
        <row r="123">
          <cell r="A123" t="str">
            <v>Beginning Period Shares</v>
          </cell>
          <cell r="Q123">
            <v>1021.8</v>
          </cell>
          <cell r="S123">
            <v>1037.4000000000001</v>
          </cell>
          <cell r="U123">
            <v>1045.8</v>
          </cell>
          <cell r="W123">
            <v>1289.0999999999999</v>
          </cell>
          <cell r="Y123">
            <v>1283.7</v>
          </cell>
          <cell r="AA123">
            <v>1260</v>
          </cell>
          <cell r="AC123">
            <v>1224</v>
          </cell>
          <cell r="AE123">
            <v>1134.2</v>
          </cell>
          <cell r="AG123">
            <v>1107.596</v>
          </cell>
          <cell r="AI123">
            <v>1083.252575</v>
          </cell>
          <cell r="AK123">
            <v>1059.2097562399999</v>
          </cell>
        </row>
        <row r="124">
          <cell r="A124" t="str">
            <v>End of Period Shares</v>
          </cell>
          <cell r="O124">
            <v>1021.8</v>
          </cell>
          <cell r="Q124">
            <v>1037.4000000000001</v>
          </cell>
          <cell r="S124">
            <v>1045.8</v>
          </cell>
          <cell r="U124">
            <v>1289.0999999999999</v>
          </cell>
          <cell r="W124">
            <v>1283.7</v>
          </cell>
          <cell r="Y124">
            <v>1260</v>
          </cell>
          <cell r="AA124">
            <v>1224</v>
          </cell>
          <cell r="AC124">
            <v>1134.2</v>
          </cell>
          <cell r="AE124">
            <v>1107.596</v>
          </cell>
          <cell r="AG124">
            <v>1083.252575</v>
          </cell>
          <cell r="AI124">
            <v>1059.2097562399999</v>
          </cell>
          <cell r="AK124">
            <v>1038.2520757312</v>
          </cell>
          <cell r="AO124" t="str">
            <v>mstag:periodEndBasicSharesOutstanding</v>
          </cell>
          <cell r="AP124">
            <v>6</v>
          </cell>
          <cell r="AQ124" t="str">
            <v>ms_eqr_gcim_Decimal:ms_eqr_gcim_decimal</v>
          </cell>
          <cell r="AR124" t="b">
            <v>0</v>
          </cell>
          <cell r="AS124" t="b">
            <v>0</v>
          </cell>
        </row>
        <row r="125">
          <cell r="A125" t="str">
            <v xml:space="preserve">Average Shares Outstanding-basic </v>
          </cell>
          <cell r="O125">
            <v>1021.7</v>
          </cell>
          <cell r="Q125">
            <v>1029.5999999999999</v>
          </cell>
          <cell r="S125">
            <v>1045.5</v>
          </cell>
          <cell r="U125">
            <v>1153.5</v>
          </cell>
          <cell r="W125">
            <v>1288.4000000000001</v>
          </cell>
          <cell r="Y125">
            <v>1270.6500000000001</v>
          </cell>
          <cell r="AA125">
            <v>1236</v>
          </cell>
          <cell r="AC125">
            <v>1179.0999999999999</v>
          </cell>
          <cell r="AE125">
            <v>1120.8980000000001</v>
          </cell>
          <cell r="AG125">
            <v>1095.4242875</v>
          </cell>
          <cell r="AI125">
            <v>1071.23116562</v>
          </cell>
          <cell r="AK125">
            <v>1048.7309159855999</v>
          </cell>
        </row>
        <row r="126">
          <cell r="A126" t="str">
            <v>Average Shares Outstanding-diluted</v>
          </cell>
          <cell r="O126">
            <v>1078.3</v>
          </cell>
          <cell r="Q126">
            <v>1084.7</v>
          </cell>
          <cell r="S126">
            <v>1084.2</v>
          </cell>
          <cell r="U126">
            <v>1153.5</v>
          </cell>
          <cell r="W126">
            <v>1346</v>
          </cell>
          <cell r="Y126">
            <v>1285.05</v>
          </cell>
          <cell r="AA126">
            <v>1258</v>
          </cell>
          <cell r="AC126">
            <v>1190.6329744308807</v>
          </cell>
          <cell r="AE126">
            <v>1131.9282839554037</v>
          </cell>
          <cell r="AG126">
            <v>1105.6672499945955</v>
          </cell>
          <cell r="AI126">
            <v>1078.6145376915538</v>
          </cell>
          <cell r="AK126">
            <v>1055.2640764166335</v>
          </cell>
        </row>
        <row r="130">
          <cell r="B130" t="str">
            <v>Amgen</v>
          </cell>
          <cell r="S130" t="str">
            <v>2001A</v>
          </cell>
          <cell r="U130" t="str">
            <v>2002A</v>
          </cell>
          <cell r="W130" t="str">
            <v>2003A</v>
          </cell>
          <cell r="Y130" t="str">
            <v>2004A</v>
          </cell>
          <cell r="AA130" t="str">
            <v>2005A</v>
          </cell>
          <cell r="AC130" t="str">
            <v>2006E</v>
          </cell>
          <cell r="AE130" t="str">
            <v>2007E</v>
          </cell>
          <cell r="AG130" t="str">
            <v>2008E</v>
          </cell>
          <cell r="AI130" t="str">
            <v>2009E</v>
          </cell>
          <cell r="AK130" t="str">
            <v>2010E</v>
          </cell>
        </row>
        <row r="131">
          <cell r="B131" t="str">
            <v>Current diluted EPS</v>
          </cell>
          <cell r="S131">
            <v>1.0327430363401584</v>
          </cell>
          <cell r="U131">
            <v>1.5215431296055475</v>
          </cell>
          <cell r="W131">
            <v>1.9281575037147096</v>
          </cell>
          <cell r="Y131">
            <v>2.36950115525927</v>
          </cell>
          <cell r="AA131">
            <v>3.2027027027027026</v>
          </cell>
          <cell r="AC131">
            <v>3.6698689952539394</v>
          </cell>
          <cell r="AE131">
            <v>4.1013211403748855</v>
          </cell>
          <cell r="AG131">
            <v>4.6347096976234399</v>
          </cell>
          <cell r="AI131">
            <v>5.0526778224740756</v>
          </cell>
          <cell r="AK131">
            <v>5.4875839896915242</v>
          </cell>
        </row>
        <row r="132">
          <cell r="B132" t="str">
            <v>Option expense</v>
          </cell>
          <cell r="S132">
            <v>189.1</v>
          </cell>
          <cell r="U132">
            <v>189.8</v>
          </cell>
          <cell r="W132">
            <v>198</v>
          </cell>
          <cell r="Y132">
            <v>200</v>
          </cell>
          <cell r="AA132">
            <v>200</v>
          </cell>
          <cell r="AC132">
            <v>200</v>
          </cell>
          <cell r="AE132">
            <v>200</v>
          </cell>
          <cell r="AG132">
            <v>200</v>
          </cell>
          <cell r="AI132">
            <v>200</v>
          </cell>
          <cell r="AK132">
            <v>200</v>
          </cell>
        </row>
        <row r="133">
          <cell r="B133" t="str">
            <v>Diluted EPS, pro forma</v>
          </cell>
          <cell r="S133">
            <v>0.85832872163807394</v>
          </cell>
          <cell r="U133">
            <v>1.3570004334633714</v>
          </cell>
          <cell r="W133">
            <v>1.7810549777117379</v>
          </cell>
          <cell r="Y133">
            <v>2.2179917427370168</v>
          </cell>
          <cell r="AA133">
            <v>3.0437201907790143</v>
          </cell>
          <cell r="AC133">
            <v>3.4994205698784278</v>
          </cell>
          <cell r="AE133">
            <v>3.925871506555795</v>
          </cell>
          <cell r="AG133">
            <v>4.4551228416743482</v>
          </cell>
          <cell r="AI133">
            <v>4.8686199131947765</v>
          </cell>
          <cell r="AK133">
            <v>5.2994839640854385</v>
          </cell>
        </row>
        <row r="134">
          <cell r="B134" t="str">
            <v>difference</v>
          </cell>
          <cell r="S134">
            <v>-0.16888452263999287</v>
          </cell>
          <cell r="U134">
            <v>-0.10814198621161197</v>
          </cell>
          <cell r="W134">
            <v>-7.6291758178245295E-2</v>
          </cell>
          <cell r="Y134">
            <v>-6.3941480756811497E-2</v>
          </cell>
          <cell r="AA134">
            <v>-4.9640109208240246E-2</v>
          </cell>
          <cell r="AC134">
            <v>-4.6445370555718513E-2</v>
          </cell>
          <cell r="AE134">
            <v>-4.2778809026169928E-2</v>
          </cell>
          <cell r="AG134">
            <v>-3.8748242644232711E-2</v>
          </cell>
          <cell r="AI134">
            <v>-3.6427794477735809E-2</v>
          </cell>
          <cell r="AK134">
            <v>-3.4277384357019991E-2</v>
          </cell>
        </row>
        <row r="136">
          <cell r="B136" t="str">
            <v>diluted shares</v>
          </cell>
          <cell r="S136">
            <v>1084.2</v>
          </cell>
          <cell r="U136">
            <v>1153.5</v>
          </cell>
          <cell r="W136">
            <v>1346</v>
          </cell>
          <cell r="Y136">
            <v>1320.05</v>
          </cell>
          <cell r="AA136">
            <v>1258</v>
          </cell>
          <cell r="AC136">
            <v>1173.37546275</v>
          </cell>
          <cell r="AE136">
            <v>1139.9282839554037</v>
          </cell>
          <cell r="AG136">
            <v>1113.6672499945955</v>
          </cell>
          <cell r="AI136">
            <v>1086.6145376915538</v>
          </cell>
          <cell r="AK136">
            <v>1063.2640764166335</v>
          </cell>
        </row>
      </sheetData>
      <sheetData sheetId="8" refreshError="1"/>
      <sheetData sheetId="9" refreshError="1">
        <row r="1">
          <cell r="B1" t="str">
            <v>Amgen Cash Flow Statements</v>
          </cell>
          <cell r="AN1" t="str">
            <v>ElementName</v>
          </cell>
          <cell r="AO1" t="str">
            <v>ScaleOverride</v>
          </cell>
          <cell r="AP1" t="str">
            <v>UnitOverride</v>
          </cell>
          <cell r="AQ1" t="str">
            <v>ReverseSign</v>
          </cell>
          <cell r="AR1" t="str">
            <v>IsDrivingAssumption</v>
          </cell>
          <cell r="AS1" t="str">
            <v>SegmentID</v>
          </cell>
        </row>
        <row r="2">
          <cell r="B2" t="str">
            <v>(Dollars in thousands)</v>
          </cell>
        </row>
        <row r="4">
          <cell r="C4" t="str">
            <v>1993A</v>
          </cell>
          <cell r="E4" t="str">
            <v>1994A</v>
          </cell>
          <cell r="G4" t="str">
            <v>1995A</v>
          </cell>
          <cell r="I4" t="str">
            <v>1996A</v>
          </cell>
          <cell r="K4" t="str">
            <v>1997A</v>
          </cell>
          <cell r="M4" t="str">
            <v>1998A</v>
          </cell>
          <cell r="O4" t="str">
            <v>1999A</v>
          </cell>
          <cell r="Q4" t="str">
            <v>2000A</v>
          </cell>
          <cell r="S4" t="str">
            <v>2001A</v>
          </cell>
          <cell r="U4" t="str">
            <v>2002A</v>
          </cell>
          <cell r="W4" t="str">
            <v>2003A</v>
          </cell>
          <cell r="Y4" t="str">
            <v>2004A</v>
          </cell>
          <cell r="AA4" t="str">
            <v>2005A</v>
          </cell>
          <cell r="AC4" t="str">
            <v>2006E</v>
          </cell>
          <cell r="AE4" t="str">
            <v>2007E</v>
          </cell>
          <cell r="AG4" t="str">
            <v>2008E</v>
          </cell>
          <cell r="AI4" t="str">
            <v>2009E</v>
          </cell>
          <cell r="AK4" t="str">
            <v>2010E</v>
          </cell>
        </row>
        <row r="5">
          <cell r="B5" t="str">
            <v>CASH FLOWS FROM OPERATING ACTIVITIES</v>
          </cell>
        </row>
        <row r="6">
          <cell r="B6" t="str">
            <v>Net Income (Loss)</v>
          </cell>
          <cell r="C6">
            <v>383.3</v>
          </cell>
          <cell r="E6">
            <v>319.7</v>
          </cell>
          <cell r="G6">
            <v>537.70000000000005</v>
          </cell>
          <cell r="I6">
            <v>679.8</v>
          </cell>
          <cell r="K6">
            <v>644.29999999999995</v>
          </cell>
          <cell r="M6">
            <v>863.2</v>
          </cell>
          <cell r="O6">
            <v>1096.4000000000001</v>
          </cell>
          <cell r="Q6">
            <v>1138.5</v>
          </cell>
          <cell r="S6">
            <v>1119.7</v>
          </cell>
          <cell r="U6">
            <v>-1391.9</v>
          </cell>
          <cell r="W6">
            <v>2259.4999999999991</v>
          </cell>
          <cell r="Y6">
            <v>2363</v>
          </cell>
          <cell r="AA6">
            <v>3674</v>
          </cell>
          <cell r="AC6">
            <v>3329.4653900000003</v>
          </cell>
          <cell r="AE6">
            <v>4180.6358985744819</v>
          </cell>
          <cell r="AG6">
            <v>4644.6218930347759</v>
          </cell>
          <cell r="AI6">
            <v>4935.4458679720119</v>
          </cell>
          <cell r="AK6">
            <v>5243.1867741883407</v>
          </cell>
          <cell r="AN6" t="str">
            <v>mstag:netIncomeReported</v>
          </cell>
          <cell r="AO6">
            <v>6</v>
          </cell>
          <cell r="AP6" t="str">
            <v>ISO4217:USD</v>
          </cell>
          <cell r="AQ6" t="b">
            <v>0</v>
          </cell>
          <cell r="AR6" t="b">
            <v>0</v>
          </cell>
        </row>
        <row r="7">
          <cell r="B7" t="str">
            <v>Write-Off Of In-Process Research and Development</v>
          </cell>
          <cell r="C7">
            <v>0</v>
          </cell>
          <cell r="E7">
            <v>116.4</v>
          </cell>
          <cell r="G7">
            <v>0</v>
          </cell>
          <cell r="I7">
            <v>0</v>
          </cell>
          <cell r="K7">
            <v>0</v>
          </cell>
          <cell r="M7">
            <v>0</v>
          </cell>
          <cell r="O7">
            <v>0</v>
          </cell>
          <cell r="Q7">
            <v>30.1</v>
          </cell>
          <cell r="S7">
            <v>0</v>
          </cell>
          <cell r="U7">
            <v>2991.8</v>
          </cell>
          <cell r="W7">
            <v>0</v>
          </cell>
          <cell r="Y7">
            <v>554</v>
          </cell>
          <cell r="AA7">
            <v>0</v>
          </cell>
          <cell r="AC7">
            <v>0</v>
          </cell>
          <cell r="AE7">
            <v>0</v>
          </cell>
          <cell r="AG7">
            <v>0</v>
          </cell>
          <cell r="AI7">
            <v>0</v>
          </cell>
          <cell r="AK7">
            <v>0</v>
          </cell>
          <cell r="AN7" t="str">
            <v>mstag:acquiredInProcessRAndD</v>
          </cell>
          <cell r="AO7">
            <v>6</v>
          </cell>
          <cell r="AP7" t="str">
            <v>ISO4217:USD</v>
          </cell>
          <cell r="AQ7" t="b">
            <v>0</v>
          </cell>
          <cell r="AR7" t="b">
            <v>0</v>
          </cell>
        </row>
        <row r="8">
          <cell r="B8" t="str">
            <v>Depreciation &amp; Amort.</v>
          </cell>
          <cell r="C8">
            <v>50.7</v>
          </cell>
          <cell r="E8">
            <v>74.5</v>
          </cell>
          <cell r="G8">
            <v>84.2</v>
          </cell>
          <cell r="I8">
            <v>100.3</v>
          </cell>
          <cell r="K8">
            <v>117.1</v>
          </cell>
          <cell r="M8">
            <v>143.80000000000001</v>
          </cell>
          <cell r="O8">
            <v>176.8</v>
          </cell>
          <cell r="Q8">
            <v>211.8</v>
          </cell>
          <cell r="S8">
            <v>265.89999999999998</v>
          </cell>
          <cell r="U8">
            <v>447.3</v>
          </cell>
          <cell r="W8">
            <v>686.5</v>
          </cell>
          <cell r="Y8">
            <v>734</v>
          </cell>
          <cell r="AA8">
            <v>841</v>
          </cell>
          <cell r="AC8">
            <v>772.04066666666665</v>
          </cell>
          <cell r="AE8">
            <v>1130.7377096774276</v>
          </cell>
          <cell r="AG8">
            <v>1349.0218220591833</v>
          </cell>
          <cell r="AI8">
            <v>1564.0573284190054</v>
          </cell>
          <cell r="AK8">
            <v>1824.087369245593</v>
          </cell>
        </row>
        <row r="9">
          <cell r="B9" t="str">
            <v xml:space="preserve">     Depreciation</v>
          </cell>
          <cell r="C9">
            <v>50.7</v>
          </cell>
          <cell r="E9">
            <v>74.5</v>
          </cell>
          <cell r="G9">
            <v>84.2</v>
          </cell>
          <cell r="I9">
            <v>100.3</v>
          </cell>
          <cell r="K9">
            <v>117.1</v>
          </cell>
          <cell r="M9">
            <v>143.80000000000001</v>
          </cell>
          <cell r="O9">
            <v>176.8</v>
          </cell>
          <cell r="Q9">
            <v>211.8</v>
          </cell>
          <cell r="S9">
            <v>265.89999999999998</v>
          </cell>
          <cell r="U9">
            <v>292.10000000000002</v>
          </cell>
          <cell r="W9">
            <v>350.7</v>
          </cell>
          <cell r="Y9">
            <v>374.86666666666667</v>
          </cell>
          <cell r="AA9">
            <v>598</v>
          </cell>
          <cell r="AC9">
            <v>710.93066666666664</v>
          </cell>
          <cell r="AE9">
            <v>912.12770967742756</v>
          </cell>
          <cell r="AG9">
            <v>1130.4118220591831</v>
          </cell>
          <cell r="AI9">
            <v>1345.4473284190053</v>
          </cell>
          <cell r="AK9">
            <v>1605.4773692455931</v>
          </cell>
          <cell r="AN9" t="str">
            <v>mstag:depreciation</v>
          </cell>
          <cell r="AO9">
            <v>6</v>
          </cell>
          <cell r="AP9" t="str">
            <v>ISO4217:USD</v>
          </cell>
          <cell r="AQ9" t="b">
            <v>0</v>
          </cell>
          <cell r="AR9" t="b">
            <v>0</v>
          </cell>
        </row>
        <row r="10">
          <cell r="B10" t="str">
            <v xml:space="preserve">     Amortization</v>
          </cell>
          <cell r="U10">
            <v>155.19999999999999</v>
          </cell>
          <cell r="W10">
            <v>335.8</v>
          </cell>
          <cell r="Y10">
            <v>359.13333333333333</v>
          </cell>
          <cell r="AA10">
            <v>243</v>
          </cell>
          <cell r="AC10">
            <v>61.11</v>
          </cell>
          <cell r="AE10">
            <v>218.61</v>
          </cell>
          <cell r="AG10">
            <v>218.61</v>
          </cell>
          <cell r="AI10">
            <v>218.61</v>
          </cell>
          <cell r="AK10">
            <v>218.61</v>
          </cell>
          <cell r="AN10" t="str">
            <v>mstag:amortizationOfOtherIntangibles</v>
          </cell>
          <cell r="AO10">
            <v>6</v>
          </cell>
          <cell r="AP10" t="str">
            <v>ISO4217:USD</v>
          </cell>
          <cell r="AQ10" t="b">
            <v>0</v>
          </cell>
          <cell r="AR10" t="b">
            <v>0</v>
          </cell>
        </row>
        <row r="11">
          <cell r="B11" t="str">
            <v>Tax Benefits Related to Employee Stock Options</v>
          </cell>
          <cell r="C11">
            <v>0</v>
          </cell>
          <cell r="E11">
            <v>0</v>
          </cell>
          <cell r="G11">
            <v>0</v>
          </cell>
          <cell r="I11">
            <v>48.6</v>
          </cell>
          <cell r="K11">
            <v>54.7</v>
          </cell>
          <cell r="M11">
            <v>108.2</v>
          </cell>
          <cell r="O11">
            <v>151.80000000000001</v>
          </cell>
          <cell r="Q11">
            <v>376.6</v>
          </cell>
          <cell r="S11">
            <v>244.5</v>
          </cell>
          <cell r="U11">
            <v>251.6</v>
          </cell>
          <cell r="W11">
            <v>268.60000000000002</v>
          </cell>
          <cell r="Y11">
            <v>203</v>
          </cell>
          <cell r="AA11">
            <v>315</v>
          </cell>
          <cell r="AC11">
            <v>0</v>
          </cell>
          <cell r="AE11">
            <v>0</v>
          </cell>
          <cell r="AG11">
            <v>0</v>
          </cell>
          <cell r="AI11">
            <v>0</v>
          </cell>
          <cell r="AK11">
            <v>0</v>
          </cell>
          <cell r="AN11" t="str">
            <v>mstag:taxBenefitFromExerciseOfEsosCashFlowStatement</v>
          </cell>
          <cell r="AO11">
            <v>6</v>
          </cell>
          <cell r="AP11" t="str">
            <v>ISO4217:USD</v>
          </cell>
          <cell r="AQ11" t="b">
            <v>0</v>
          </cell>
          <cell r="AR11" t="b">
            <v>0</v>
          </cell>
        </row>
        <row r="12">
          <cell r="B12" t="str">
            <v>Options expense (add back)</v>
          </cell>
          <cell r="AA12">
            <v>0</v>
          </cell>
          <cell r="AC12">
            <v>294.91779250000002</v>
          </cell>
          <cell r="AE12">
            <v>271.96607092308085</v>
          </cell>
          <cell r="AG12">
            <v>294.29251044080411</v>
          </cell>
          <cell r="AI12">
            <v>332.25730820002224</v>
          </cell>
          <cell r="AK12">
            <v>368.95414836972293</v>
          </cell>
          <cell r="AN12" t="str">
            <v>mstag:otherCashFlow</v>
          </cell>
          <cell r="AO12">
            <v>6</v>
          </cell>
          <cell r="AP12" t="str">
            <v>ISO4217:USD</v>
          </cell>
          <cell r="AQ12" t="b">
            <v>0</v>
          </cell>
          <cell r="AR12" t="b">
            <v>0</v>
          </cell>
        </row>
        <row r="13">
          <cell r="B13" t="str">
            <v>Other</v>
          </cell>
          <cell r="C13">
            <v>7.9</v>
          </cell>
          <cell r="E13">
            <v>2.8</v>
          </cell>
          <cell r="G13">
            <v>0.1</v>
          </cell>
          <cell r="I13">
            <v>0</v>
          </cell>
          <cell r="K13">
            <v>0</v>
          </cell>
          <cell r="M13">
            <v>15.8</v>
          </cell>
          <cell r="O13">
            <v>0</v>
          </cell>
          <cell r="Q13">
            <v>-8.3000000000000007</v>
          </cell>
          <cell r="S13">
            <v>97.8</v>
          </cell>
          <cell r="U13">
            <v>24.9</v>
          </cell>
          <cell r="W13">
            <v>99</v>
          </cell>
          <cell r="Y13">
            <v>161</v>
          </cell>
          <cell r="AA13">
            <v>166</v>
          </cell>
          <cell r="AC13">
            <v>0</v>
          </cell>
          <cell r="AE13">
            <v>0</v>
          </cell>
          <cell r="AG13">
            <v>0</v>
          </cell>
          <cell r="AI13">
            <v>0</v>
          </cell>
          <cell r="AK13">
            <v>0</v>
          </cell>
          <cell r="AN13" t="str">
            <v>mstag:otherProvisionsRecurringCashFlowStatement</v>
          </cell>
          <cell r="AO13">
            <v>6</v>
          </cell>
          <cell r="AP13" t="str">
            <v>ISO4217:USD</v>
          </cell>
          <cell r="AQ13" t="b">
            <v>0</v>
          </cell>
          <cell r="AR13" t="b">
            <v>0</v>
          </cell>
        </row>
        <row r="14">
          <cell r="B14" t="str">
            <v>Deferred Income Taxes</v>
          </cell>
          <cell r="C14">
            <v>17.399999999999999</v>
          </cell>
          <cell r="E14">
            <v>2.4</v>
          </cell>
          <cell r="G14">
            <v>23.9</v>
          </cell>
          <cell r="I14">
            <v>25.6</v>
          </cell>
          <cell r="K14">
            <v>-31.4</v>
          </cell>
          <cell r="M14">
            <v>-5.6</v>
          </cell>
          <cell r="O14">
            <v>9.8000000000000007</v>
          </cell>
          <cell r="Q14">
            <v>6.6</v>
          </cell>
          <cell r="S14">
            <v>-148.30000000000001</v>
          </cell>
          <cell r="U14">
            <v>174.7</v>
          </cell>
          <cell r="W14">
            <v>-189.6</v>
          </cell>
          <cell r="Y14">
            <v>57</v>
          </cell>
          <cell r="AA14">
            <v>-95</v>
          </cell>
          <cell r="AC14">
            <v>-300</v>
          </cell>
          <cell r="AE14">
            <v>0</v>
          </cell>
          <cell r="AG14">
            <v>0</v>
          </cell>
          <cell r="AI14">
            <v>0</v>
          </cell>
          <cell r="AK14">
            <v>0</v>
          </cell>
          <cell r="AN14" t="str">
            <v>mstag:deferredTax</v>
          </cell>
          <cell r="AO14">
            <v>6</v>
          </cell>
          <cell r="AP14" t="str">
            <v>ISO4217:USD</v>
          </cell>
          <cell r="AQ14" t="b">
            <v>0</v>
          </cell>
          <cell r="AR14" t="b">
            <v>0</v>
          </cell>
        </row>
        <row r="15">
          <cell r="B15" t="str">
            <v>Loss Of Affiliates, Net</v>
          </cell>
          <cell r="C15">
            <v>12.6</v>
          </cell>
          <cell r="E15">
            <v>31.2</v>
          </cell>
          <cell r="G15">
            <v>53.3</v>
          </cell>
          <cell r="I15">
            <v>52.8</v>
          </cell>
          <cell r="K15">
            <v>36.1</v>
          </cell>
          <cell r="M15">
            <v>28.6</v>
          </cell>
          <cell r="O15">
            <v>16.8</v>
          </cell>
          <cell r="Q15">
            <v>0</v>
          </cell>
          <cell r="S15">
            <v>0</v>
          </cell>
          <cell r="U15">
            <v>0</v>
          </cell>
          <cell r="W15">
            <v>0</v>
          </cell>
          <cell r="Y15">
            <v>0</v>
          </cell>
          <cell r="AA15">
            <v>0</v>
          </cell>
          <cell r="AC15">
            <v>0</v>
          </cell>
          <cell r="AE15">
            <v>0</v>
          </cell>
          <cell r="AG15">
            <v>0</v>
          </cell>
          <cell r="AI15">
            <v>0</v>
          </cell>
          <cell r="AK15">
            <v>0</v>
          </cell>
          <cell r="AN15" t="str">
            <v>mstag:incomeLossFromInvestmentsAccountedForUnderTheEquityMethodNonOperating</v>
          </cell>
          <cell r="AO15">
            <v>6</v>
          </cell>
          <cell r="AP15" t="str">
            <v>ISO4217:USD</v>
          </cell>
          <cell r="AQ15" t="b">
            <v>1</v>
          </cell>
          <cell r="AR15" t="b">
            <v>0</v>
          </cell>
        </row>
        <row r="16">
          <cell r="B16" t="str">
            <v>Changes in operating assets and liabilities</v>
          </cell>
        </row>
        <row r="17">
          <cell r="B17" t="str">
            <v xml:space="preserve">     net of the acquisition:</v>
          </cell>
        </row>
        <row r="18">
          <cell r="B18" t="str">
            <v>Trade Receivables</v>
          </cell>
          <cell r="C18">
            <v>-8.3000000000000007</v>
          </cell>
          <cell r="E18">
            <v>-30.4</v>
          </cell>
          <cell r="G18">
            <v>-4.5999999999999996</v>
          </cell>
          <cell r="I18">
            <v>-26.1</v>
          </cell>
          <cell r="K18">
            <v>-43.6</v>
          </cell>
          <cell r="M18">
            <v>-50.9</v>
          </cell>
          <cell r="O18">
            <v>-92.3</v>
          </cell>
          <cell r="Q18">
            <v>23</v>
          </cell>
          <cell r="S18">
            <v>-123</v>
          </cell>
          <cell r="U18">
            <v>-121.9</v>
          </cell>
          <cell r="W18">
            <v>-255.5</v>
          </cell>
          <cell r="Y18">
            <v>-453</v>
          </cell>
          <cell r="AA18">
            <v>-308</v>
          </cell>
          <cell r="AC18">
            <v>-199.42857142857133</v>
          </cell>
          <cell r="AE18">
            <v>-187.25403225815285</v>
          </cell>
          <cell r="AG18">
            <v>-216.97079176713987</v>
          </cell>
          <cell r="AI18">
            <v>-224.39378280485698</v>
          </cell>
          <cell r="AK18">
            <v>-229.36630898679823</v>
          </cell>
          <cell r="AN18" t="str">
            <v>mstag:netDecreaseInTradeReceivables</v>
          </cell>
          <cell r="AO18">
            <v>6</v>
          </cell>
          <cell r="AP18" t="str">
            <v>ISO4217:USD</v>
          </cell>
          <cell r="AQ18" t="b">
            <v>0</v>
          </cell>
          <cell r="AR18" t="b">
            <v>0</v>
          </cell>
        </row>
        <row r="19">
          <cell r="B19" t="str">
            <v>Inventories</v>
          </cell>
          <cell r="C19">
            <v>-17.899999999999999</v>
          </cell>
          <cell r="E19">
            <v>-23.3</v>
          </cell>
          <cell r="G19">
            <v>9.1999999999999993</v>
          </cell>
          <cell r="I19">
            <v>-8.6</v>
          </cell>
          <cell r="K19">
            <v>-11.8</v>
          </cell>
          <cell r="M19">
            <v>-1.6</v>
          </cell>
          <cell r="O19">
            <v>-73.5</v>
          </cell>
          <cell r="Q19">
            <v>-120.9</v>
          </cell>
          <cell r="S19">
            <v>-85.5</v>
          </cell>
          <cell r="U19">
            <v>-101.7</v>
          </cell>
          <cell r="W19">
            <v>-167.7</v>
          </cell>
          <cell r="Y19">
            <v>-175</v>
          </cell>
          <cell r="AA19">
            <v>-370</v>
          </cell>
          <cell r="AC19">
            <v>-164.03281249999986</v>
          </cell>
          <cell r="AE19">
            <v>-122.53132047396207</v>
          </cell>
          <cell r="AG19">
            <v>-120.23225385671549</v>
          </cell>
          <cell r="AI19">
            <v>-161.33735724691883</v>
          </cell>
          <cell r="AK19">
            <v>-192.56871748293383</v>
          </cell>
          <cell r="AN19" t="str">
            <v>mstag:netDecreaseInInventories</v>
          </cell>
          <cell r="AO19">
            <v>6</v>
          </cell>
          <cell r="AP19" t="str">
            <v>ISO4217:USD</v>
          </cell>
          <cell r="AQ19" t="b">
            <v>0</v>
          </cell>
          <cell r="AR19" t="b">
            <v>0</v>
          </cell>
        </row>
        <row r="20">
          <cell r="B20" t="str">
            <v>Other Current Assets</v>
          </cell>
          <cell r="C20">
            <v>-4.8</v>
          </cell>
          <cell r="E20">
            <v>1.8</v>
          </cell>
          <cell r="G20">
            <v>-8</v>
          </cell>
          <cell r="I20">
            <v>-11.8</v>
          </cell>
          <cell r="K20">
            <v>5</v>
          </cell>
          <cell r="M20">
            <v>-21.2</v>
          </cell>
          <cell r="O20">
            <v>-9</v>
          </cell>
          <cell r="Q20">
            <v>-51.4</v>
          </cell>
          <cell r="S20">
            <v>-31.5</v>
          </cell>
          <cell r="U20">
            <v>-5.2</v>
          </cell>
          <cell r="W20">
            <v>-32.799999999999997</v>
          </cell>
          <cell r="Y20">
            <v>-85</v>
          </cell>
          <cell r="AA20">
            <v>-47</v>
          </cell>
          <cell r="AC20">
            <v>-11.530000000000086</v>
          </cell>
          <cell r="AE20">
            <v>-242.65225806456544</v>
          </cell>
          <cell r="AG20">
            <v>-266.23550051228403</v>
          </cell>
          <cell r="AI20">
            <v>-139.3485391218162</v>
          </cell>
          <cell r="AK20">
            <v>-142.4364778808017</v>
          </cell>
          <cell r="AN20" t="str">
            <v>mstag:netDecreaseInOtherAssets</v>
          </cell>
          <cell r="AO20">
            <v>6</v>
          </cell>
          <cell r="AP20" t="str">
            <v>ISO4217:USD</v>
          </cell>
          <cell r="AQ20" t="b">
            <v>0</v>
          </cell>
          <cell r="AR20" t="b">
            <v>0</v>
          </cell>
        </row>
        <row r="21">
          <cell r="B21" t="str">
            <v>Goodwill</v>
          </cell>
          <cell r="AA21">
            <v>0</v>
          </cell>
          <cell r="AC21">
            <v>-500</v>
          </cell>
          <cell r="AE21">
            <v>0</v>
          </cell>
          <cell r="AG21">
            <v>0</v>
          </cell>
          <cell r="AI21">
            <v>0</v>
          </cell>
          <cell r="AK21">
            <v>0</v>
          </cell>
          <cell r="AN21" t="str">
            <v>mstag:premiumGoodwillOnAcquisions</v>
          </cell>
          <cell r="AO21">
            <v>6</v>
          </cell>
          <cell r="AP21" t="str">
            <v>ISO4217:USD</v>
          </cell>
          <cell r="AQ21" t="b">
            <v>1</v>
          </cell>
          <cell r="AR21" t="b">
            <v>0</v>
          </cell>
        </row>
        <row r="22">
          <cell r="B22" t="str">
            <v>Accounts Payable</v>
          </cell>
          <cell r="C22">
            <v>-14.9</v>
          </cell>
          <cell r="E22">
            <v>4.5999999999999996</v>
          </cell>
          <cell r="G22">
            <v>23.9</v>
          </cell>
          <cell r="I22">
            <v>20.6</v>
          </cell>
          <cell r="K22">
            <v>28.9</v>
          </cell>
          <cell r="M22">
            <v>17.7</v>
          </cell>
          <cell r="O22">
            <v>-38.200000000000003</v>
          </cell>
          <cell r="Q22">
            <v>59.8</v>
          </cell>
          <cell r="S22">
            <v>-6.5</v>
          </cell>
          <cell r="U22">
            <v>11</v>
          </cell>
          <cell r="W22">
            <v>74</v>
          </cell>
          <cell r="Y22">
            <v>179</v>
          </cell>
          <cell r="AA22">
            <v>72</v>
          </cell>
          <cell r="AC22">
            <v>68.909239999999954</v>
          </cell>
          <cell r="AE22">
            <v>60.333615794882348</v>
          </cell>
          <cell r="AG22">
            <v>92.236339874018086</v>
          </cell>
          <cell r="AI22">
            <v>105.45777155338374</v>
          </cell>
          <cell r="AK22">
            <v>101.93566713805728</v>
          </cell>
          <cell r="AN22" t="str">
            <v>mstag:netIncreaseInTradeAndOtherPayables</v>
          </cell>
          <cell r="AO22">
            <v>6</v>
          </cell>
          <cell r="AP22" t="str">
            <v>ISO4217:USD</v>
          </cell>
          <cell r="AQ22" t="b">
            <v>0</v>
          </cell>
          <cell r="AR22" t="b">
            <v>0</v>
          </cell>
        </row>
        <row r="23">
          <cell r="B23" t="str">
            <v>Accrued Liabilities</v>
          </cell>
          <cell r="C23">
            <v>7</v>
          </cell>
          <cell r="E23">
            <v>32.200000000000003</v>
          </cell>
          <cell r="G23">
            <v>53.5</v>
          </cell>
          <cell r="I23">
            <v>-10</v>
          </cell>
          <cell r="K23">
            <v>158.30000000000001</v>
          </cell>
          <cell r="M23">
            <v>51.7</v>
          </cell>
          <cell r="O23">
            <v>-11.5</v>
          </cell>
          <cell r="Q23">
            <v>-31.2</v>
          </cell>
          <cell r="S23">
            <v>147.1</v>
          </cell>
          <cell r="U23">
            <v>-31.8</v>
          </cell>
          <cell r="W23">
            <v>824.6</v>
          </cell>
          <cell r="Y23">
            <v>159</v>
          </cell>
          <cell r="AA23">
            <v>663</v>
          </cell>
          <cell r="AC23">
            <v>-90.022075000000314</v>
          </cell>
          <cell r="AE23">
            <v>263.9595691026102</v>
          </cell>
          <cell r="AG23">
            <v>162.37762422650394</v>
          </cell>
          <cell r="AI23">
            <v>430.26770793780543</v>
          </cell>
          <cell r="AK23">
            <v>415.89752192327433</v>
          </cell>
          <cell r="AN23" t="str">
            <v>mstag:netIncreaseInAccruedExpenses</v>
          </cell>
          <cell r="AO23">
            <v>6</v>
          </cell>
          <cell r="AP23" t="str">
            <v>ISO4217:USD</v>
          </cell>
          <cell r="AQ23" t="b">
            <v>0</v>
          </cell>
          <cell r="AR23" t="b">
            <v>0</v>
          </cell>
        </row>
        <row r="24">
          <cell r="B24" t="str">
            <v>Net cash provided by (used in) operating activities</v>
          </cell>
          <cell r="C24">
            <v>433</v>
          </cell>
          <cell r="E24">
            <v>531.9</v>
          </cell>
          <cell r="G24">
            <v>773.2</v>
          </cell>
          <cell r="I24">
            <v>871.19999999999993</v>
          </cell>
          <cell r="K24">
            <v>957.6</v>
          </cell>
          <cell r="M24">
            <v>1149.7</v>
          </cell>
          <cell r="O24">
            <v>1227.1000000000001</v>
          </cell>
          <cell r="Q24">
            <v>1634.6</v>
          </cell>
          <cell r="S24">
            <v>1480.1999999999998</v>
          </cell>
          <cell r="U24">
            <v>2248.8000000000002</v>
          </cell>
          <cell r="W24">
            <v>3566.5999999999995</v>
          </cell>
          <cell r="Y24">
            <v>3697</v>
          </cell>
          <cell r="AA24">
            <v>4911</v>
          </cell>
          <cell r="AC24">
            <v>3200.3196302380957</v>
          </cell>
          <cell r="AE24">
            <v>5355.1952532758032</v>
          </cell>
          <cell r="AG24">
            <v>5939.1116434991454</v>
          </cell>
          <cell r="AI24">
            <v>6842.4063049086362</v>
          </cell>
          <cell r="AK24">
            <v>7389.6899765144535</v>
          </cell>
        </row>
        <row r="26">
          <cell r="B26" t="str">
            <v>CASH FLOWS FROM INVESTING ACTIVITIES</v>
          </cell>
        </row>
        <row r="27">
          <cell r="B27" t="str">
            <v>Purchases of PP&amp;E</v>
          </cell>
          <cell r="C27">
            <v>-209.9</v>
          </cell>
          <cell r="E27">
            <v>-130.80000000000001</v>
          </cell>
          <cell r="G27">
            <v>-162.69999999999999</v>
          </cell>
          <cell r="I27">
            <v>-266.89999999999998</v>
          </cell>
          <cell r="K27">
            <v>-387.8</v>
          </cell>
          <cell r="M27">
            <v>-407.8</v>
          </cell>
          <cell r="O27">
            <v>-304.2</v>
          </cell>
          <cell r="Q27">
            <v>-437.7</v>
          </cell>
          <cell r="S27">
            <v>-441.8</v>
          </cell>
          <cell r="U27">
            <v>-658.5</v>
          </cell>
          <cell r="W27">
            <v>-1356.8</v>
          </cell>
          <cell r="Y27">
            <v>-1336</v>
          </cell>
          <cell r="AA27">
            <v>-867</v>
          </cell>
          <cell r="AC27">
            <v>-1653.48</v>
          </cell>
          <cell r="AE27">
            <v>-1508.977822580707</v>
          </cell>
          <cell r="AG27">
            <v>-1637.1308428631664</v>
          </cell>
          <cell r="AI27">
            <v>-1612.7662976986658</v>
          </cell>
          <cell r="AK27">
            <v>-1950.2253061994086</v>
          </cell>
          <cell r="AN27" t="str">
            <v>mstag:capitalExpenditures</v>
          </cell>
          <cell r="AO27">
            <v>6</v>
          </cell>
          <cell r="AP27" t="str">
            <v>ISO4217:USD</v>
          </cell>
          <cell r="AQ27" t="b">
            <v>1</v>
          </cell>
          <cell r="AR27" t="b">
            <v>0</v>
          </cell>
        </row>
        <row r="28">
          <cell r="B28" t="str">
            <v>Proceeds From Maturities Of Mktable Sec.</v>
          </cell>
          <cell r="C28">
            <v>0</v>
          </cell>
          <cell r="E28">
            <v>1593.5</v>
          </cell>
          <cell r="G28">
            <v>1148.3999999999999</v>
          </cell>
          <cell r="I28">
            <v>930.7</v>
          </cell>
          <cell r="K28">
            <v>891.40000000000009</v>
          </cell>
          <cell r="M28">
            <v>486.3</v>
          </cell>
          <cell r="O28">
            <v>40</v>
          </cell>
          <cell r="Q28">
            <v>0</v>
          </cell>
          <cell r="S28">
            <v>490.3</v>
          </cell>
          <cell r="U28">
            <v>778.2</v>
          </cell>
          <cell r="W28">
            <v>370.8</v>
          </cell>
          <cell r="Y28">
            <v>8354</v>
          </cell>
          <cell r="AA28">
            <v>603</v>
          </cell>
          <cell r="AC28">
            <v>310.4545454545455</v>
          </cell>
          <cell r="AE28">
            <v>147.83549783549785</v>
          </cell>
          <cell r="AG28">
            <v>14.70999978462665</v>
          </cell>
          <cell r="AI28">
            <v>14.63681570609617</v>
          </cell>
          <cell r="AK28">
            <v>14.563995727458876</v>
          </cell>
          <cell r="AN28" t="str">
            <v>mstag:otherCashFlow</v>
          </cell>
          <cell r="AO28">
            <v>6</v>
          </cell>
          <cell r="AP28" t="str">
            <v>ISO4217:USD</v>
          </cell>
          <cell r="AQ28" t="b">
            <v>0</v>
          </cell>
          <cell r="AR28" t="b">
            <v>0</v>
          </cell>
        </row>
        <row r="29">
          <cell r="B29" t="str">
            <v>Proceeds From Sales Of Mktable Sec.</v>
          </cell>
          <cell r="O29">
            <v>843.5</v>
          </cell>
          <cell r="Q29">
            <v>1067.8</v>
          </cell>
          <cell r="S29">
            <v>301.7</v>
          </cell>
          <cell r="U29">
            <v>1621.5</v>
          </cell>
          <cell r="W29">
            <v>3338.6</v>
          </cell>
          <cell r="Y29">
            <v>13079</v>
          </cell>
          <cell r="AA29">
            <v>9835</v>
          </cell>
          <cell r="AC29">
            <v>0</v>
          </cell>
          <cell r="AE29">
            <v>0</v>
          </cell>
          <cell r="AG29">
            <v>0</v>
          </cell>
          <cell r="AI29">
            <v>0</v>
          </cell>
          <cell r="AK29">
            <v>0</v>
          </cell>
          <cell r="AN29" t="str">
            <v>mstag:otherCashFlow</v>
          </cell>
          <cell r="AO29">
            <v>6</v>
          </cell>
          <cell r="AP29" t="str">
            <v>ISO4217:USD</v>
          </cell>
          <cell r="AQ29" t="b">
            <v>0</v>
          </cell>
          <cell r="AR29" t="b">
            <v>0</v>
          </cell>
        </row>
        <row r="30">
          <cell r="B30" t="str">
            <v>Purchases Of Marketable Securities</v>
          </cell>
          <cell r="C30">
            <v>-131.30000000000001</v>
          </cell>
          <cell r="E30">
            <v>-1395.1</v>
          </cell>
          <cell r="G30">
            <v>-1646.6</v>
          </cell>
          <cell r="I30">
            <v>-854.8</v>
          </cell>
          <cell r="K30">
            <v>-767.5</v>
          </cell>
          <cell r="M30">
            <v>-766.3</v>
          </cell>
          <cell r="O30">
            <v>-1032.7</v>
          </cell>
          <cell r="Q30">
            <v>-1638.7</v>
          </cell>
          <cell r="S30">
            <v>-918.2</v>
          </cell>
          <cell r="U30">
            <v>-2952.8</v>
          </cell>
          <cell r="W30">
            <v>-5320.3</v>
          </cell>
          <cell r="Y30">
            <v>-21488</v>
          </cell>
          <cell r="AA30">
            <v>-9597</v>
          </cell>
          <cell r="AC30">
            <v>0</v>
          </cell>
          <cell r="AE30">
            <v>0</v>
          </cell>
          <cell r="AG30">
            <v>0</v>
          </cell>
          <cell r="AI30">
            <v>0</v>
          </cell>
          <cell r="AK30">
            <v>0</v>
          </cell>
          <cell r="AN30" t="str">
            <v>mstag:otherCashFlow</v>
          </cell>
          <cell r="AO30">
            <v>6</v>
          </cell>
          <cell r="AP30" t="str">
            <v>ISO4217:USD</v>
          </cell>
          <cell r="AQ30" t="b">
            <v>0</v>
          </cell>
          <cell r="AR30" t="b">
            <v>0</v>
          </cell>
        </row>
        <row r="31">
          <cell r="B31" t="str">
            <v>Acquisitions, Net Of Cash</v>
          </cell>
          <cell r="C31">
            <v>0</v>
          </cell>
          <cell r="E31">
            <v>-240.8</v>
          </cell>
          <cell r="G31">
            <v>0</v>
          </cell>
          <cell r="I31">
            <v>0</v>
          </cell>
          <cell r="K31">
            <v>0</v>
          </cell>
          <cell r="M31">
            <v>0</v>
          </cell>
          <cell r="O31">
            <v>0</v>
          </cell>
          <cell r="Q31">
            <v>0</v>
          </cell>
          <cell r="S31">
            <v>0</v>
          </cell>
          <cell r="U31">
            <v>-1899</v>
          </cell>
          <cell r="W31">
            <v>0</v>
          </cell>
          <cell r="Y31">
            <v>115</v>
          </cell>
          <cell r="AA31">
            <v>0</v>
          </cell>
          <cell r="AC31">
            <v>0</v>
          </cell>
          <cell r="AE31">
            <v>0</v>
          </cell>
          <cell r="AG31">
            <v>0</v>
          </cell>
          <cell r="AI31">
            <v>0</v>
          </cell>
          <cell r="AK31">
            <v>0</v>
          </cell>
          <cell r="AN31" t="str">
            <v>mstag:otherCashFlow</v>
          </cell>
          <cell r="AO31">
            <v>6</v>
          </cell>
          <cell r="AP31" t="str">
            <v>ISO4217:USD</v>
          </cell>
          <cell r="AQ31" t="b">
            <v>0</v>
          </cell>
          <cell r="AR31" t="b">
            <v>0</v>
          </cell>
        </row>
        <row r="32">
          <cell r="B32" t="str">
            <v>Proceeds from Sale of Leukine Business</v>
          </cell>
          <cell r="U32">
            <v>389.9</v>
          </cell>
          <cell r="W32">
            <v>0</v>
          </cell>
          <cell r="Y32">
            <v>0</v>
          </cell>
          <cell r="AA32">
            <v>0</v>
          </cell>
          <cell r="AC32">
            <v>0</v>
          </cell>
          <cell r="AE32">
            <v>0</v>
          </cell>
          <cell r="AG32">
            <v>0</v>
          </cell>
          <cell r="AI32">
            <v>0</v>
          </cell>
          <cell r="AK32">
            <v>0</v>
          </cell>
          <cell r="AN32" t="str">
            <v>mstag:gainsLossesFromSaleOfOperatingAssetsOneTime</v>
          </cell>
          <cell r="AO32">
            <v>6</v>
          </cell>
          <cell r="AP32" t="str">
            <v>ISO4217:USD</v>
          </cell>
          <cell r="AQ32" t="b">
            <v>1</v>
          </cell>
          <cell r="AR32" t="b">
            <v>0</v>
          </cell>
        </row>
        <row r="33">
          <cell r="B33" t="str">
            <v>Purchase of Certain Rights from Roche</v>
          </cell>
          <cell r="U33">
            <v>-137.5</v>
          </cell>
          <cell r="W33">
            <v>0</v>
          </cell>
          <cell r="Y33">
            <v>0</v>
          </cell>
          <cell r="AA33">
            <v>0</v>
          </cell>
          <cell r="AC33">
            <v>0</v>
          </cell>
          <cell r="AE33">
            <v>0</v>
          </cell>
          <cell r="AG33">
            <v>0</v>
          </cell>
          <cell r="AI33">
            <v>0</v>
          </cell>
          <cell r="AK33">
            <v>0</v>
          </cell>
          <cell r="AN33" t="str">
            <v>mstag:otherCashFlow</v>
          </cell>
          <cell r="AO33">
            <v>6</v>
          </cell>
          <cell r="AP33" t="str">
            <v>ISO4217:USD</v>
          </cell>
          <cell r="AQ33" t="b">
            <v>0</v>
          </cell>
          <cell r="AR33" t="b">
            <v>0</v>
          </cell>
        </row>
        <row r="34">
          <cell r="B34" t="str">
            <v>Other</v>
          </cell>
          <cell r="C34">
            <v>-48.7</v>
          </cell>
          <cell r="E34">
            <v>-17.8</v>
          </cell>
          <cell r="G34">
            <v>-33.200000000000003</v>
          </cell>
          <cell r="I34">
            <v>-119.19999999999999</v>
          </cell>
          <cell r="K34">
            <v>-38.299999999999997</v>
          </cell>
          <cell r="M34">
            <v>14.100000000000001</v>
          </cell>
          <cell r="O34">
            <v>-10</v>
          </cell>
          <cell r="Q34">
            <v>-27.7</v>
          </cell>
          <cell r="S34">
            <v>28.4</v>
          </cell>
          <cell r="U34">
            <v>-5.6</v>
          </cell>
          <cell r="W34">
            <v>-242.5</v>
          </cell>
          <cell r="Y34">
            <v>-123</v>
          </cell>
          <cell r="AA34">
            <v>-33</v>
          </cell>
          <cell r="AC34">
            <v>0</v>
          </cell>
          <cell r="AE34">
            <v>0</v>
          </cell>
          <cell r="AG34">
            <v>0</v>
          </cell>
          <cell r="AI34">
            <v>0</v>
          </cell>
          <cell r="AK34">
            <v>0</v>
          </cell>
          <cell r="AN34" t="str">
            <v>mstag:otherCashFlow</v>
          </cell>
          <cell r="AO34">
            <v>6</v>
          </cell>
          <cell r="AP34" t="str">
            <v>ISO4217:USD</v>
          </cell>
          <cell r="AQ34" t="b">
            <v>0</v>
          </cell>
          <cell r="AR34" t="b">
            <v>0</v>
          </cell>
        </row>
        <row r="35">
          <cell r="B35" t="str">
            <v>Net cash used in investing activities</v>
          </cell>
          <cell r="C35">
            <v>-180</v>
          </cell>
          <cell r="E35">
            <v>-1653.6999999999998</v>
          </cell>
          <cell r="G35">
            <v>-694.10000000000014</v>
          </cell>
          <cell r="I35">
            <v>-310.19999999999987</v>
          </cell>
          <cell r="K35">
            <v>-302.19999999999993</v>
          </cell>
          <cell r="M35">
            <v>-673.69999999999993</v>
          </cell>
          <cell r="O35">
            <v>-463.40000000000009</v>
          </cell>
          <cell r="Q35">
            <v>-1036.3000000000002</v>
          </cell>
          <cell r="S35">
            <v>-539.6</v>
          </cell>
          <cell r="U35">
            <v>-2863.8</v>
          </cell>
          <cell r="W35">
            <v>-3210.2000000000003</v>
          </cell>
          <cell r="Y35">
            <v>-1399</v>
          </cell>
          <cell r="AA35">
            <v>-59</v>
          </cell>
          <cell r="AC35">
            <v>-1343.0254545454545</v>
          </cell>
          <cell r="AE35">
            <v>-1361.1423247452092</v>
          </cell>
          <cell r="AG35">
            <v>-1622.4208430785397</v>
          </cell>
          <cell r="AI35">
            <v>-1598.1294819925697</v>
          </cell>
          <cell r="AK35">
            <v>-1935.6613104719497</v>
          </cell>
        </row>
        <row r="37">
          <cell r="B37" t="str">
            <v>CASH FLOWS FROM FINANCING ACTIVITIES</v>
          </cell>
        </row>
        <row r="38">
          <cell r="B38" t="str">
            <v>Net Proceeds from Issuance Of Common Stock Upon</v>
          </cell>
        </row>
        <row r="39">
          <cell r="B39" t="str">
            <v xml:space="preserve">      Exercise of ESO in connection with ESOP</v>
          </cell>
          <cell r="C39">
            <v>62.199999999999996</v>
          </cell>
          <cell r="E39">
            <v>82.8</v>
          </cell>
          <cell r="G39">
            <v>145.39999999999998</v>
          </cell>
          <cell r="I39">
            <v>112.6</v>
          </cell>
          <cell r="K39">
            <v>134.30000000000001</v>
          </cell>
          <cell r="M39">
            <v>345.5</v>
          </cell>
          <cell r="O39">
            <v>248.8</v>
          </cell>
          <cell r="Q39">
            <v>333.7</v>
          </cell>
          <cell r="S39">
            <v>277.7</v>
          </cell>
          <cell r="U39">
            <v>427.8</v>
          </cell>
          <cell r="W39">
            <v>529</v>
          </cell>
          <cell r="Y39">
            <v>453</v>
          </cell>
          <cell r="AA39">
            <v>1087</v>
          </cell>
          <cell r="AC39">
            <v>285.59999999999997</v>
          </cell>
          <cell r="AE39">
            <v>408.84592000000009</v>
          </cell>
          <cell r="AG39">
            <v>520.84414921000007</v>
          </cell>
          <cell r="AI39">
            <v>578.62034899356695</v>
          </cell>
          <cell r="AK39">
            <v>555.01263875462951</v>
          </cell>
          <cell r="AN39" t="str">
            <v>mstag:proceedsFromIssuanceOfCommonStock</v>
          </cell>
          <cell r="AO39">
            <v>6</v>
          </cell>
          <cell r="AP39" t="str">
            <v>ISO4217:USD</v>
          </cell>
          <cell r="AQ39" t="b">
            <v>0</v>
          </cell>
          <cell r="AR39" t="b">
            <v>0</v>
          </cell>
        </row>
        <row r="40">
          <cell r="B40" t="str">
            <v xml:space="preserve">Issuance of Zero-Coupon Convertible Notes, net </v>
          </cell>
          <cell r="U40">
            <v>2764.7</v>
          </cell>
          <cell r="W40">
            <v>0</v>
          </cell>
          <cell r="Y40">
            <v>1989</v>
          </cell>
          <cell r="AA40">
            <v>0</v>
          </cell>
          <cell r="AC40">
            <v>19.78875</v>
          </cell>
          <cell r="AE40">
            <v>19.78875</v>
          </cell>
          <cell r="AG40">
            <v>19.78875</v>
          </cell>
          <cell r="AI40">
            <v>19.78875</v>
          </cell>
          <cell r="AK40">
            <v>19.78875</v>
          </cell>
          <cell r="AN40" t="str">
            <v>mstag:proceedsFromIssuanceAndCashUsedToRepayLongTermDebt</v>
          </cell>
          <cell r="AO40">
            <v>6</v>
          </cell>
          <cell r="AP40" t="str">
            <v>ISO4217:USD</v>
          </cell>
          <cell r="AQ40" t="b">
            <v>0</v>
          </cell>
          <cell r="AR40" t="b">
            <v>0</v>
          </cell>
        </row>
        <row r="41">
          <cell r="B41" t="str">
            <v>Stock Repurchases</v>
          </cell>
          <cell r="C41">
            <v>-207.4</v>
          </cell>
          <cell r="E41">
            <v>-300.5</v>
          </cell>
          <cell r="G41">
            <v>-285.7</v>
          </cell>
          <cell r="I41">
            <v>-450</v>
          </cell>
          <cell r="K41">
            <v>-737.9</v>
          </cell>
          <cell r="M41">
            <v>-912.1</v>
          </cell>
          <cell r="O41">
            <v>-1024.7</v>
          </cell>
          <cell r="Q41">
            <v>-799.9</v>
          </cell>
          <cell r="S41">
            <v>-737.5</v>
          </cell>
          <cell r="U41">
            <v>-1420.4</v>
          </cell>
          <cell r="W41">
            <v>-1801</v>
          </cell>
          <cell r="Y41">
            <v>-4072</v>
          </cell>
          <cell r="AA41">
            <v>-4430</v>
          </cell>
          <cell r="AC41">
            <v>-7577.5000000000009</v>
          </cell>
          <cell r="AE41">
            <v>-3281.0575000000008</v>
          </cell>
          <cell r="AG41">
            <v>-3551.7447437500005</v>
          </cell>
          <cell r="AI41">
            <v>-3844.7636851093757</v>
          </cell>
          <cell r="AK41">
            <v>-3641.7121029895366</v>
          </cell>
          <cell r="AN41" t="str">
            <v>mstag:fundsUsedToRepurchaseCommonStock</v>
          </cell>
          <cell r="AO41">
            <v>6</v>
          </cell>
          <cell r="AP41" t="str">
            <v>ISO4217:USD</v>
          </cell>
          <cell r="AQ41" t="b">
            <v>1</v>
          </cell>
          <cell r="AR41" t="b">
            <v>0</v>
          </cell>
        </row>
        <row r="42">
          <cell r="B42" t="str">
            <v>Tax Benefits Related to Employee Stock Options</v>
          </cell>
          <cell r="AC42">
            <v>170.55674999999999</v>
          </cell>
          <cell r="AE42">
            <v>241.49308286250007</v>
          </cell>
          <cell r="AG42">
            <v>304.2759299385545</v>
          </cell>
          <cell r="AI42">
            <v>334.30929864953174</v>
          </cell>
          <cell r="AK42">
            <v>317.12642488736873</v>
          </cell>
          <cell r="AN42" t="str">
            <v>mstag:taxBenefitFromExerciseOfEsosCashFlowStatement</v>
          </cell>
          <cell r="AO42">
            <v>6</v>
          </cell>
          <cell r="AP42" t="str">
            <v>ISO4217:USD</v>
          </cell>
          <cell r="AQ42" t="b">
            <v>0</v>
          </cell>
          <cell r="AR42" t="b">
            <v>0</v>
          </cell>
        </row>
        <row r="43">
          <cell r="B43" t="str">
            <v>Increase (Decrease) In Commercial Paper</v>
          </cell>
          <cell r="C43">
            <v>109.8</v>
          </cell>
          <cell r="E43">
            <v>-10.1</v>
          </cell>
          <cell r="G43">
            <v>-30</v>
          </cell>
          <cell r="I43">
            <v>-69.7</v>
          </cell>
          <cell r="K43">
            <v>0</v>
          </cell>
          <cell r="M43">
            <v>99.7</v>
          </cell>
          <cell r="O43">
            <v>-0.2</v>
          </cell>
          <cell r="Q43">
            <v>0</v>
          </cell>
          <cell r="S43">
            <v>0</v>
          </cell>
          <cell r="U43">
            <v>0</v>
          </cell>
          <cell r="W43">
            <v>0</v>
          </cell>
          <cell r="Y43">
            <v>0</v>
          </cell>
          <cell r="AA43">
            <v>0</v>
          </cell>
          <cell r="AC43">
            <v>0</v>
          </cell>
          <cell r="AE43">
            <v>0</v>
          </cell>
          <cell r="AG43">
            <v>0</v>
          </cell>
          <cell r="AI43">
            <v>0</v>
          </cell>
          <cell r="AK43">
            <v>0</v>
          </cell>
          <cell r="AN43" t="str">
            <v>mstag:proceedsFromIssuanceAndCashUsedToRepayLongTermDebt</v>
          </cell>
          <cell r="AO43">
            <v>6</v>
          </cell>
          <cell r="AP43" t="str">
            <v>ISO4217:USD</v>
          </cell>
          <cell r="AQ43" t="b">
            <v>0</v>
          </cell>
          <cell r="AR43" t="b">
            <v>0</v>
          </cell>
        </row>
        <row r="44">
          <cell r="B44" t="str">
            <v>Proceeds From Additions To Long-Term Debt</v>
          </cell>
          <cell r="C44">
            <v>53</v>
          </cell>
          <cell r="E44">
            <v>12.5</v>
          </cell>
          <cell r="G44">
            <v>0</v>
          </cell>
          <cell r="I44">
            <v>0</v>
          </cell>
          <cell r="K44">
            <v>200</v>
          </cell>
          <cell r="M44">
            <v>0</v>
          </cell>
          <cell r="O44">
            <v>0</v>
          </cell>
          <cell r="Q44">
            <v>0</v>
          </cell>
          <cell r="S44">
            <v>0</v>
          </cell>
          <cell r="U44">
            <v>0</v>
          </cell>
          <cell r="W44">
            <v>0</v>
          </cell>
          <cell r="Y44">
            <v>0</v>
          </cell>
          <cell r="AA44">
            <v>0</v>
          </cell>
          <cell r="AC44">
            <v>5000</v>
          </cell>
          <cell r="AE44">
            <v>0</v>
          </cell>
          <cell r="AG44">
            <v>0</v>
          </cell>
          <cell r="AI44">
            <v>0</v>
          </cell>
          <cell r="AK44">
            <v>0</v>
          </cell>
          <cell r="AN44" t="str">
            <v>mstag:proceedsFromIssuanceAndCashUsedToRepayLongTermDebt</v>
          </cell>
          <cell r="AO44">
            <v>6</v>
          </cell>
          <cell r="AP44" t="str">
            <v>ISO4217:USD</v>
          </cell>
          <cell r="AQ44" t="b">
            <v>0</v>
          </cell>
          <cell r="AR44" t="b">
            <v>0</v>
          </cell>
        </row>
        <row r="45">
          <cell r="B45" t="str">
            <v>Repayments Of Long-Term Debt</v>
          </cell>
          <cell r="C45">
            <v>-2</v>
          </cell>
          <cell r="E45">
            <v>-12</v>
          </cell>
          <cell r="G45">
            <v>-6.2</v>
          </cell>
          <cell r="I45">
            <v>0</v>
          </cell>
          <cell r="K45">
            <v>-118.2</v>
          </cell>
          <cell r="M45">
            <v>-30</v>
          </cell>
          <cell r="O45">
            <v>-6</v>
          </cell>
          <cell r="Q45">
            <v>0</v>
          </cell>
          <cell r="S45">
            <v>0</v>
          </cell>
          <cell r="U45">
            <v>0</v>
          </cell>
          <cell r="W45">
            <v>-123</v>
          </cell>
          <cell r="Y45">
            <v>0</v>
          </cell>
          <cell r="AA45">
            <v>-1175</v>
          </cell>
          <cell r="AC45">
            <v>0</v>
          </cell>
          <cell r="AE45">
            <v>-100</v>
          </cell>
          <cell r="AG45">
            <v>0</v>
          </cell>
          <cell r="AI45">
            <v>-998</v>
          </cell>
          <cell r="AK45">
            <v>0</v>
          </cell>
          <cell r="AN45" t="str">
            <v>mstag:proceedsFromIssuanceAndCashUsedToRepayLongTermDebt</v>
          </cell>
          <cell r="AO45">
            <v>6</v>
          </cell>
          <cell r="AP45" t="str">
            <v>ISO4217:USD</v>
          </cell>
          <cell r="AQ45" t="b">
            <v>0</v>
          </cell>
          <cell r="AR45" t="b">
            <v>0</v>
          </cell>
        </row>
        <row r="46">
          <cell r="B46" t="str">
            <v>Other</v>
          </cell>
          <cell r="C46">
            <v>-22.2</v>
          </cell>
          <cell r="E46">
            <v>-30.8</v>
          </cell>
          <cell r="G46">
            <v>-47.2</v>
          </cell>
          <cell r="I46">
            <v>-51.3</v>
          </cell>
          <cell r="K46">
            <v>-63.8</v>
          </cell>
          <cell r="M46">
            <v>-17.100000000000001</v>
          </cell>
          <cell r="O46">
            <v>-51.8</v>
          </cell>
          <cell r="Q46">
            <v>-36.5</v>
          </cell>
          <cell r="S46">
            <v>-18.2</v>
          </cell>
          <cell r="U46">
            <v>5.5</v>
          </cell>
          <cell r="W46">
            <v>23.5</v>
          </cell>
          <cell r="Y46">
            <v>21</v>
          </cell>
          <cell r="AA46">
            <v>-20</v>
          </cell>
          <cell r="AC46">
            <v>0</v>
          </cell>
          <cell r="AE46">
            <v>0</v>
          </cell>
          <cell r="AG46">
            <v>0</v>
          </cell>
          <cell r="AI46">
            <v>0</v>
          </cell>
          <cell r="AK46">
            <v>0</v>
          </cell>
          <cell r="AN46" t="str">
            <v>mstag:otherCashFlow</v>
          </cell>
          <cell r="AO46">
            <v>6</v>
          </cell>
          <cell r="AP46" t="str">
            <v>ISO4217:USD</v>
          </cell>
          <cell r="AQ46" t="b">
            <v>0</v>
          </cell>
          <cell r="AR46" t="b">
            <v>0</v>
          </cell>
        </row>
        <row r="47">
          <cell r="B47" t="str">
            <v>Net cash provided by financing activities</v>
          </cell>
          <cell r="C47">
            <v>138.60000000000002</v>
          </cell>
          <cell r="E47">
            <v>-40.4</v>
          </cell>
          <cell r="G47">
            <v>-223.7</v>
          </cell>
          <cell r="I47">
            <v>-458.4</v>
          </cell>
          <cell r="K47">
            <v>-585.59999999999991</v>
          </cell>
          <cell r="M47">
            <v>-514</v>
          </cell>
          <cell r="O47">
            <v>-833.90000000000009</v>
          </cell>
          <cell r="Q47">
            <v>-502.7</v>
          </cell>
          <cell r="S47">
            <v>-478</v>
          </cell>
          <cell r="U47">
            <v>1777.6</v>
          </cell>
          <cell r="W47">
            <v>-1371.5</v>
          </cell>
          <cell r="Y47">
            <v>-1609</v>
          </cell>
          <cell r="AA47">
            <v>-4538</v>
          </cell>
          <cell r="AC47">
            <v>-2101.5545000000011</v>
          </cell>
          <cell r="AE47">
            <v>-2710.9297471375007</v>
          </cell>
          <cell r="AG47">
            <v>-2706.8359146014459</v>
          </cell>
          <cell r="AI47">
            <v>-3910.0452874662769</v>
          </cell>
          <cell r="AK47">
            <v>-2749.7842893475386</v>
          </cell>
        </row>
        <row r="49">
          <cell r="B49" t="str">
            <v xml:space="preserve">Change in cash </v>
          </cell>
          <cell r="C49">
            <v>391.6</v>
          </cell>
          <cell r="E49">
            <v>-1162.1999999999998</v>
          </cell>
          <cell r="G49">
            <v>-144.60000000000014</v>
          </cell>
          <cell r="I49">
            <v>102.60000000000002</v>
          </cell>
          <cell r="K49">
            <v>69.800000000000182</v>
          </cell>
          <cell r="M49">
            <v>-37.999999999999773</v>
          </cell>
          <cell r="O49">
            <v>-70.200000000000045</v>
          </cell>
          <cell r="Q49">
            <v>95.599999999999682</v>
          </cell>
          <cell r="S49">
            <v>462.5999999999998</v>
          </cell>
          <cell r="U49">
            <v>1162.5999999999999</v>
          </cell>
          <cell r="W49">
            <v>-1015.1000000000013</v>
          </cell>
          <cell r="Y49">
            <v>689</v>
          </cell>
          <cell r="AA49">
            <v>314</v>
          </cell>
          <cell r="AC49">
            <v>-244.26032430735995</v>
          </cell>
          <cell r="AE49">
            <v>1283.1231813930935</v>
          </cell>
          <cell r="AG49">
            <v>1609.8548858191598</v>
          </cell>
          <cell r="AI49">
            <v>1334.2315354497896</v>
          </cell>
          <cell r="AK49">
            <v>2704.2443766949655</v>
          </cell>
        </row>
        <row r="50">
          <cell r="B50" t="str">
            <v>Cash at beginning of year</v>
          </cell>
          <cell r="C50">
            <v>92</v>
          </cell>
          <cell r="E50">
            <v>128.5</v>
          </cell>
          <cell r="G50">
            <v>211.3</v>
          </cell>
          <cell r="I50">
            <v>66.699999999999875</v>
          </cell>
          <cell r="K50">
            <v>169.2999999999999</v>
          </cell>
          <cell r="M50">
            <v>239.10000000000008</v>
          </cell>
          <cell r="O50">
            <v>201.10000000000031</v>
          </cell>
          <cell r="Q50">
            <v>130.90000000000026</v>
          </cell>
          <cell r="S50">
            <v>226.49999999999994</v>
          </cell>
          <cell r="U50">
            <v>689.09999999999968</v>
          </cell>
          <cell r="W50">
            <v>1851.6999999999996</v>
          </cell>
          <cell r="Y50">
            <v>836.59999999999832</v>
          </cell>
          <cell r="AA50">
            <v>1525.5999999999983</v>
          </cell>
          <cell r="AC50">
            <v>1839.5999999999983</v>
          </cell>
          <cell r="AE50">
            <v>1595.3396756926384</v>
          </cell>
          <cell r="AG50">
            <v>2878.4628570857321</v>
          </cell>
          <cell r="AI50">
            <v>4488.3177429048919</v>
          </cell>
          <cell r="AK50">
            <v>5822.5492783546815</v>
          </cell>
        </row>
        <row r="51">
          <cell r="B51" t="str">
            <v>Cash at end of year</v>
          </cell>
          <cell r="C51">
            <v>128.505</v>
          </cell>
          <cell r="E51">
            <v>-1033.6999999999998</v>
          </cell>
          <cell r="G51">
            <v>66.699999999999875</v>
          </cell>
          <cell r="I51">
            <v>169.2999999999999</v>
          </cell>
          <cell r="K51">
            <v>239.10000000000008</v>
          </cell>
          <cell r="M51">
            <v>201.10000000000031</v>
          </cell>
          <cell r="O51">
            <v>130.90000000000026</v>
          </cell>
          <cell r="Q51">
            <v>226.49999999999994</v>
          </cell>
          <cell r="S51">
            <v>689.09999999999968</v>
          </cell>
          <cell r="U51">
            <v>1851.6999999999996</v>
          </cell>
          <cell r="W51">
            <v>836.59999999999832</v>
          </cell>
          <cell r="Y51">
            <v>1525.5999999999983</v>
          </cell>
          <cell r="AA51">
            <v>1839.5999999999983</v>
          </cell>
          <cell r="AC51">
            <v>1595.3396756926384</v>
          </cell>
          <cell r="AE51">
            <v>2878.4628570857321</v>
          </cell>
          <cell r="AG51">
            <v>4488.3177429048919</v>
          </cell>
          <cell r="AI51">
            <v>5822.5492783546815</v>
          </cell>
          <cell r="AK51">
            <v>8526.793655049647</v>
          </cell>
        </row>
        <row r="52">
          <cell r="B52" t="str">
            <v>Cash and marketable securities at end of year</v>
          </cell>
          <cell r="C52">
            <v>723.18399999999997</v>
          </cell>
          <cell r="E52">
            <v>696.68100000000004</v>
          </cell>
          <cell r="G52">
            <v>1050.3</v>
          </cell>
          <cell r="I52">
            <v>1077</v>
          </cell>
          <cell r="K52">
            <v>1026.5</v>
          </cell>
          <cell r="M52">
            <v>1276</v>
          </cell>
          <cell r="O52">
            <v>1333</v>
          </cell>
          <cell r="Q52">
            <v>2028.1</v>
          </cell>
          <cell r="S52">
            <v>2662.2</v>
          </cell>
          <cell r="U52">
            <v>4663.8999999999996</v>
          </cell>
          <cell r="W52">
            <v>5122.9000000000005</v>
          </cell>
          <cell r="Y52">
            <v>5808</v>
          </cell>
          <cell r="AA52">
            <v>5255</v>
          </cell>
          <cell r="AC52">
            <v>4700.285130238095</v>
          </cell>
          <cell r="AE52">
            <v>5835.5728137956903</v>
          </cell>
          <cell r="AG52">
            <v>7430.7176998302239</v>
          </cell>
          <cell r="AI52">
            <v>8750.3124195739165</v>
          </cell>
          <cell r="AK52">
            <v>11439.992800541424</v>
          </cell>
        </row>
        <row r="54">
          <cell r="B54" t="str">
            <v>Source: Company data and Morgan Stanley Research</v>
          </cell>
        </row>
        <row r="56">
          <cell r="W56" t="str">
            <v>2003-FY</v>
          </cell>
          <cell r="Y56" t="str">
            <v>2004-FY</v>
          </cell>
          <cell r="AA56" t="str">
            <v>2005-FY</v>
          </cell>
          <cell r="AC56" t="str">
            <v>2006-FY</v>
          </cell>
          <cell r="AE56" t="str">
            <v>2007-FY</v>
          </cell>
          <cell r="AG56" t="str">
            <v>2008-FY</v>
          </cell>
          <cell r="AI56" t="str">
            <v>2009-FY</v>
          </cell>
          <cell r="AK56" t="str">
            <v>2010-FY</v>
          </cell>
        </row>
        <row r="59">
          <cell r="B59" t="str">
            <v>EBIT</v>
          </cell>
          <cell r="C59">
            <v>785.5</v>
          </cell>
          <cell r="E59">
            <v>815.59999999999991</v>
          </cell>
          <cell r="G59">
            <v>743.59999999999991</v>
          </cell>
          <cell r="I59">
            <v>904.89999999999986</v>
          </cell>
          <cell r="K59">
            <v>792.50000000000023</v>
          </cell>
          <cell r="M59">
            <v>1188.6999999999998</v>
          </cell>
          <cell r="O59">
            <v>1493.1</v>
          </cell>
          <cell r="Q59">
            <v>1543.9999999999995</v>
          </cell>
          <cell r="S59">
            <v>1531.1999999999998</v>
          </cell>
          <cell r="U59">
            <v>2362.4999999999991</v>
          </cell>
          <cell r="W59">
            <v>3426.9999999999991</v>
          </cell>
          <cell r="Y59">
            <v>4234.8999999999996</v>
          </cell>
          <cell r="AA59">
            <v>5301</v>
          </cell>
          <cell r="AC59">
            <v>5467.6345000000001</v>
          </cell>
          <cell r="AE59">
            <v>6024.24252837104</v>
          </cell>
          <cell r="AG59">
            <v>6561.5580806048583</v>
          </cell>
          <cell r="AI59">
            <v>6844.3819233177674</v>
          </cell>
          <cell r="AK59">
            <v>7203.7814496699866</v>
          </cell>
        </row>
        <row r="60">
          <cell r="B60" t="str">
            <v>EBIT * (1-tax)</v>
          </cell>
          <cell r="C60">
            <v>573.37117172969624</v>
          </cell>
          <cell r="E60">
            <v>550.09259483698941</v>
          </cell>
          <cell r="G60">
            <v>503.3153575025176</v>
          </cell>
          <cell r="I60">
            <v>639.25077418684384</v>
          </cell>
          <cell r="K60">
            <v>592.76497562108227</v>
          </cell>
          <cell r="M60">
            <v>838.03155831427625</v>
          </cell>
          <cell r="O60">
            <v>1045.2271995913677</v>
          </cell>
          <cell r="Q60">
            <v>1049.897867765633</v>
          </cell>
          <cell r="S60">
            <v>1016.7138943248531</v>
          </cell>
          <cell r="U60">
            <v>1683.8269035532987</v>
          </cell>
          <cell r="W60">
            <v>2440.2970281428247</v>
          </cell>
          <cell r="Y60">
            <v>3083.8713773645991</v>
          </cell>
          <cell r="AA60">
            <v>4007.8787821838005</v>
          </cell>
          <cell r="AC60">
            <v>4187.6740317983431</v>
          </cell>
          <cell r="AE60">
            <v>4608.5455342038458</v>
          </cell>
          <cell r="AG60">
            <v>5052.3997220657411</v>
          </cell>
          <cell r="AI60">
            <v>5304.39599057127</v>
          </cell>
          <cell r="AK60">
            <v>5586.5325142190741</v>
          </cell>
        </row>
        <row r="61">
          <cell r="B61" t="str">
            <v>Depreciation</v>
          </cell>
          <cell r="C61">
            <v>50.7</v>
          </cell>
          <cell r="E61">
            <v>74.5</v>
          </cell>
          <cell r="G61">
            <v>84.2</v>
          </cell>
          <cell r="I61">
            <v>100.3</v>
          </cell>
          <cell r="K61">
            <v>117.1</v>
          </cell>
          <cell r="M61">
            <v>143.80000000000001</v>
          </cell>
          <cell r="O61">
            <v>176.8</v>
          </cell>
          <cell r="Q61">
            <v>211.8</v>
          </cell>
          <cell r="S61">
            <v>265.89999999999998</v>
          </cell>
          <cell r="U61">
            <v>447.3</v>
          </cell>
          <cell r="W61">
            <v>686.5</v>
          </cell>
          <cell r="Y61">
            <v>734</v>
          </cell>
          <cell r="AA61">
            <v>841</v>
          </cell>
          <cell r="AC61">
            <v>772.04066666666665</v>
          </cell>
          <cell r="AE61">
            <v>1130.7377096774276</v>
          </cell>
          <cell r="AG61">
            <v>1349.0218220591833</v>
          </cell>
          <cell r="AI61">
            <v>1564.0573284190054</v>
          </cell>
          <cell r="AK61">
            <v>1824.087369245593</v>
          </cell>
        </row>
        <row r="62">
          <cell r="B62" t="str">
            <v>Cap Ex</v>
          </cell>
          <cell r="C62">
            <v>-209.9</v>
          </cell>
          <cell r="E62">
            <v>-130.80000000000001</v>
          </cell>
          <cell r="G62">
            <v>-162.69999999999999</v>
          </cell>
          <cell r="I62">
            <v>-266.89999999999998</v>
          </cell>
          <cell r="K62">
            <v>-387.8</v>
          </cell>
          <cell r="M62">
            <v>-407.8</v>
          </cell>
          <cell r="O62">
            <v>-304.2</v>
          </cell>
          <cell r="Q62">
            <v>-437.7</v>
          </cell>
          <cell r="S62">
            <v>-441.8</v>
          </cell>
          <cell r="U62">
            <v>-658.5</v>
          </cell>
          <cell r="W62">
            <v>-1356.8</v>
          </cell>
          <cell r="Y62">
            <v>-1336</v>
          </cell>
          <cell r="AA62">
            <v>-867</v>
          </cell>
          <cell r="AC62">
            <v>-1653.48</v>
          </cell>
          <cell r="AE62">
            <v>-1508.977822580707</v>
          </cell>
          <cell r="AG62">
            <v>-1637.1308428631664</v>
          </cell>
          <cell r="AI62">
            <v>-1612.7662976986658</v>
          </cell>
          <cell r="AK62">
            <v>-1950.2253061994086</v>
          </cell>
        </row>
        <row r="63">
          <cell r="B63" t="str">
            <v>Change to WC</v>
          </cell>
          <cell r="C63">
            <v>-38.9</v>
          </cell>
          <cell r="E63">
            <v>-15.100000000000001</v>
          </cell>
          <cell r="G63">
            <v>74</v>
          </cell>
          <cell r="I63">
            <v>-35.9</v>
          </cell>
          <cell r="K63">
            <v>136.80000000000001</v>
          </cell>
          <cell r="M63">
            <v>-4.2999999999999972</v>
          </cell>
          <cell r="O63">
            <v>-224.5</v>
          </cell>
          <cell r="Q63">
            <v>-120.70000000000002</v>
          </cell>
          <cell r="S63">
            <v>-99.4</v>
          </cell>
          <cell r="U63">
            <v>-249.60000000000002</v>
          </cell>
          <cell r="W63">
            <v>442.6</v>
          </cell>
          <cell r="Y63">
            <v>-375</v>
          </cell>
          <cell r="AA63">
            <v>10</v>
          </cell>
          <cell r="AC63">
            <v>-896.10421892857164</v>
          </cell>
          <cell r="AE63">
            <v>-228.14442589918781</v>
          </cell>
          <cell r="AG63">
            <v>-348.82458203561737</v>
          </cell>
          <cell r="AI63">
            <v>10.64580031759715</v>
          </cell>
          <cell r="AK63">
            <v>-46.53831528920216</v>
          </cell>
        </row>
        <row r="64">
          <cell r="B64" t="str">
            <v>Non-Cash Charges</v>
          </cell>
          <cell r="C64">
            <v>37.9</v>
          </cell>
          <cell r="E64">
            <v>152.80000000000001</v>
          </cell>
          <cell r="G64">
            <v>77.3</v>
          </cell>
          <cell r="I64">
            <v>78.400000000000006</v>
          </cell>
          <cell r="K64">
            <v>4.7000000000000028</v>
          </cell>
          <cell r="M64">
            <v>38.800000000000004</v>
          </cell>
          <cell r="O64">
            <v>26.6</v>
          </cell>
          <cell r="Q64">
            <v>28.4</v>
          </cell>
          <cell r="S64">
            <v>-50.500000000000014</v>
          </cell>
          <cell r="U64">
            <v>3191.4</v>
          </cell>
          <cell r="W64">
            <v>-90.6</v>
          </cell>
          <cell r="Y64">
            <v>772</v>
          </cell>
          <cell r="AA64">
            <v>71</v>
          </cell>
          <cell r="AC64">
            <v>-300</v>
          </cell>
          <cell r="AE64">
            <v>0</v>
          </cell>
          <cell r="AG64">
            <v>0</v>
          </cell>
          <cell r="AI64">
            <v>0</v>
          </cell>
          <cell r="AK64">
            <v>0</v>
          </cell>
        </row>
        <row r="65">
          <cell r="B65" t="str">
            <v>Tax Benefit from Stock Options</v>
          </cell>
          <cell r="C65">
            <v>0</v>
          </cell>
          <cell r="E65">
            <v>0</v>
          </cell>
          <cell r="G65">
            <v>0</v>
          </cell>
          <cell r="I65">
            <v>48.6</v>
          </cell>
          <cell r="K65">
            <v>54.7</v>
          </cell>
          <cell r="M65">
            <v>108.2</v>
          </cell>
          <cell r="O65">
            <v>151.80000000000001</v>
          </cell>
          <cell r="Q65">
            <v>376.6</v>
          </cell>
          <cell r="S65">
            <v>244.5</v>
          </cell>
          <cell r="U65">
            <v>251.6</v>
          </cell>
          <cell r="W65">
            <v>268.60000000000002</v>
          </cell>
          <cell r="Y65">
            <v>203</v>
          </cell>
          <cell r="AA65">
            <v>315</v>
          </cell>
          <cell r="AC65">
            <v>0</v>
          </cell>
          <cell r="AE65">
            <v>0</v>
          </cell>
          <cell r="AG65">
            <v>0</v>
          </cell>
          <cell r="AI65">
            <v>0</v>
          </cell>
          <cell r="AK65">
            <v>0</v>
          </cell>
        </row>
        <row r="66">
          <cell r="B66" t="str">
            <v>Free Cash Flow</v>
          </cell>
          <cell r="C66">
            <v>413.17117172969631</v>
          </cell>
          <cell r="E66">
            <v>631.49259483698938</v>
          </cell>
          <cell r="G66">
            <v>576.11535750251767</v>
          </cell>
          <cell r="I66">
            <v>563.75077418684384</v>
          </cell>
          <cell r="K66">
            <v>518.26497562108227</v>
          </cell>
          <cell r="M66">
            <v>716.7315583142763</v>
          </cell>
          <cell r="O66">
            <v>871.72719959136771</v>
          </cell>
          <cell r="Q66">
            <v>1108.2978677656329</v>
          </cell>
          <cell r="S66">
            <v>935.413894324853</v>
          </cell>
          <cell r="U66">
            <v>4666.0269035532992</v>
          </cell>
          <cell r="W66">
            <v>2390.5970281428249</v>
          </cell>
          <cell r="Y66">
            <v>3081.8713773645991</v>
          </cell>
          <cell r="AA66">
            <v>4377.8787821838005</v>
          </cell>
          <cell r="AC66">
            <v>2110.1304795364381</v>
          </cell>
          <cell r="AE66">
            <v>4002.1609954013784</v>
          </cell>
          <cell r="AG66">
            <v>4415.466119226141</v>
          </cell>
          <cell r="AI66">
            <v>5266.3328216092068</v>
          </cell>
          <cell r="AK66">
            <v>5413.8562619760569</v>
          </cell>
        </row>
        <row r="68">
          <cell r="B68" t="str">
            <v>CFO</v>
          </cell>
          <cell r="C68">
            <v>433</v>
          </cell>
          <cell r="E68">
            <v>531.9</v>
          </cell>
          <cell r="G68">
            <v>773.2</v>
          </cell>
          <cell r="I68">
            <v>871.19999999999993</v>
          </cell>
          <cell r="K68">
            <v>957.6</v>
          </cell>
          <cell r="M68">
            <v>1149.7</v>
          </cell>
          <cell r="O68">
            <v>1227.1000000000001</v>
          </cell>
          <cell r="Q68">
            <v>1634.6</v>
          </cell>
          <cell r="S68">
            <v>1480.1999999999998</v>
          </cell>
          <cell r="U68">
            <v>2248.8000000000002</v>
          </cell>
          <cell r="W68">
            <v>3566.5999999999995</v>
          </cell>
          <cell r="Y68">
            <v>3697</v>
          </cell>
          <cell r="AA68">
            <v>4911</v>
          </cell>
          <cell r="AC68">
            <v>3200.3196302380957</v>
          </cell>
          <cell r="AE68">
            <v>5355.1952532758032</v>
          </cell>
          <cell r="AG68">
            <v>5939.1116434991454</v>
          </cell>
          <cell r="AI68">
            <v>6842.4063049086362</v>
          </cell>
          <cell r="AK68">
            <v>7389.6899765144535</v>
          </cell>
        </row>
        <row r="69">
          <cell r="B69" t="str">
            <v>Cap Ex</v>
          </cell>
          <cell r="C69">
            <v>-209.9</v>
          </cell>
          <cell r="E69">
            <v>-130.80000000000001</v>
          </cell>
          <cell r="G69">
            <v>-162.69999999999999</v>
          </cell>
          <cell r="I69">
            <v>-266.89999999999998</v>
          </cell>
          <cell r="K69">
            <v>-387.8</v>
          </cell>
          <cell r="M69">
            <v>-407.8</v>
          </cell>
          <cell r="O69">
            <v>-304.2</v>
          </cell>
          <cell r="Q69">
            <v>-437.7</v>
          </cell>
          <cell r="S69">
            <v>-441.8</v>
          </cell>
          <cell r="U69">
            <v>-658.5</v>
          </cell>
          <cell r="W69">
            <v>-1356.8</v>
          </cell>
          <cell r="Y69">
            <v>-1336</v>
          </cell>
          <cell r="AA69">
            <v>-867</v>
          </cell>
          <cell r="AC69">
            <v>-1653.48</v>
          </cell>
          <cell r="AE69">
            <v>-1508.977822580707</v>
          </cell>
          <cell r="AG69">
            <v>-1637.1308428631664</v>
          </cell>
          <cell r="AI69">
            <v>-1612.7662976986658</v>
          </cell>
          <cell r="AK69">
            <v>-1950.2253061994086</v>
          </cell>
        </row>
        <row r="70">
          <cell r="AC70">
            <v>170.55674999999999</v>
          </cell>
          <cell r="AE70">
            <v>241.49308286250007</v>
          </cell>
          <cell r="AG70">
            <v>304.2759299385545</v>
          </cell>
          <cell r="AI70">
            <v>334.30929864953174</v>
          </cell>
          <cell r="AK70">
            <v>317.12642488736873</v>
          </cell>
        </row>
        <row r="71">
          <cell r="B71" t="str">
            <v>Free Cash Flow</v>
          </cell>
          <cell r="C71">
            <v>223.1</v>
          </cell>
          <cell r="E71">
            <v>401.09999999999997</v>
          </cell>
          <cell r="G71">
            <v>610.5</v>
          </cell>
          <cell r="I71">
            <v>604.29999999999995</v>
          </cell>
          <cell r="K71">
            <v>569.79999999999995</v>
          </cell>
          <cell r="M71">
            <v>741.90000000000009</v>
          </cell>
          <cell r="O71">
            <v>922.90000000000009</v>
          </cell>
          <cell r="Q71">
            <v>1196.8999999999999</v>
          </cell>
          <cell r="S71">
            <v>1038.3999999999999</v>
          </cell>
          <cell r="U71">
            <v>1590.3000000000002</v>
          </cell>
          <cell r="W71">
            <v>2209.7999999999993</v>
          </cell>
          <cell r="Y71">
            <v>2361</v>
          </cell>
          <cell r="AA71">
            <v>4044</v>
          </cell>
          <cell r="AC71">
            <v>1717.3963802380956</v>
          </cell>
          <cell r="AE71">
            <v>4087.7105135575966</v>
          </cell>
          <cell r="AG71">
            <v>4606.2567305745333</v>
          </cell>
          <cell r="AI71">
            <v>5563.9493058595026</v>
          </cell>
          <cell r="AK71">
            <v>5756.5910952024133</v>
          </cell>
        </row>
        <row r="76">
          <cell r="S76" t="str">
            <v>Cap Ex</v>
          </cell>
          <cell r="U76">
            <v>0.29282283884738525</v>
          </cell>
          <cell r="W76">
            <v>0.38041832557617905</v>
          </cell>
          <cell r="Y76">
            <v>0.36137408709764673</v>
          </cell>
          <cell r="AA76">
            <v>0.17654245571166768</v>
          </cell>
          <cell r="AC76">
            <v>0.51666089361111267</v>
          </cell>
          <cell r="AE76">
            <v>0.28177830148352795</v>
          </cell>
          <cell r="AG76">
            <v>0.27565247820440336</v>
          </cell>
          <cell r="AI76">
            <v>0.23570162685920773</v>
          </cell>
          <cell r="AK76">
            <v>0.26391165426391605</v>
          </cell>
        </row>
        <row r="77">
          <cell r="S77" t="str">
            <v>Repurchase</v>
          </cell>
          <cell r="U77">
            <v>0.63162575595873349</v>
          </cell>
          <cell r="W77">
            <v>0.50496270958335676</v>
          </cell>
          <cell r="Y77">
            <v>1.1014335948065999</v>
          </cell>
          <cell r="AA77">
            <v>0.90205660761555695</v>
          </cell>
          <cell r="AC77">
            <v>2.3677322503678342</v>
          </cell>
          <cell r="AE77">
            <v>0.61268681062431096</v>
          </cell>
          <cell r="AG77">
            <v>0.59802626334490316</v>
          </cell>
          <cell r="AI77">
            <v>0.56190227732474785</v>
          </cell>
          <cell r="AK77">
            <v>0.49280986273625083</v>
          </cell>
        </row>
        <row r="78">
          <cell r="S78" t="str">
            <v>Debt Repayment</v>
          </cell>
          <cell r="U78">
            <v>0</v>
          </cell>
          <cell r="W78">
            <v>3.4486625918241469E-2</v>
          </cell>
          <cell r="Y78">
            <v>0</v>
          </cell>
          <cell r="AA78">
            <v>0.23925880676033395</v>
          </cell>
          <cell r="AC78">
            <v>0</v>
          </cell>
          <cell r="AE78">
            <v>1.8673455452222668E-2</v>
          </cell>
          <cell r="AG78">
            <v>0</v>
          </cell>
          <cell r="AI78">
            <v>0.1458551210681614</v>
          </cell>
          <cell r="AK78">
            <v>0</v>
          </cell>
        </row>
        <row r="79">
          <cell r="S79" t="str">
            <v>M&amp;A</v>
          </cell>
          <cell r="U79">
            <v>0.84445037353255059</v>
          </cell>
          <cell r="W79">
            <v>0</v>
          </cell>
          <cell r="Y79">
            <v>-3.1106302407357317E-2</v>
          </cell>
          <cell r="AA79">
            <v>0</v>
          </cell>
          <cell r="AC79">
            <v>0.68743133629947006</v>
          </cell>
          <cell r="AE79">
            <v>0</v>
          </cell>
          <cell r="AG79">
            <v>0</v>
          </cell>
          <cell r="AI79">
            <v>0</v>
          </cell>
          <cell r="AK79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US Sales ($M)</v>
          </cell>
          <cell r="B1" t="str">
            <v xml:space="preserve">Aranesp </v>
          </cell>
          <cell r="C1" t="str">
            <v xml:space="preserve">YoY </v>
          </cell>
          <cell r="D1" t="str">
            <v>Aranesp  Share</v>
          </cell>
          <cell r="E1" t="str">
            <v xml:space="preserve">Procrit </v>
          </cell>
          <cell r="F1" t="str">
            <v xml:space="preserve">YoY </v>
          </cell>
          <cell r="G1" t="str">
            <v>Total ($M)</v>
          </cell>
          <cell r="H1" t="str">
            <v xml:space="preserve">YoY </v>
          </cell>
        </row>
        <row r="2">
          <cell r="A2" t="str">
            <v>4Q02A</v>
          </cell>
          <cell r="B2">
            <v>150</v>
          </cell>
          <cell r="D2">
            <v>0.15739769150052466</v>
          </cell>
          <cell r="E2">
            <v>803</v>
          </cell>
          <cell r="G2">
            <v>953</v>
          </cell>
        </row>
        <row r="3">
          <cell r="A3" t="str">
            <v>2002A</v>
          </cell>
          <cell r="B3">
            <v>150</v>
          </cell>
          <cell r="D3">
            <v>4.7110552763819098E-2</v>
          </cell>
          <cell r="E3">
            <v>3034</v>
          </cell>
          <cell r="G3">
            <v>3184</v>
          </cell>
        </row>
        <row r="4">
          <cell r="A4" t="str">
            <v>1Q03A</v>
          </cell>
          <cell r="B4">
            <v>157.9</v>
          </cell>
          <cell r="D4">
            <v>0.1792484958565104</v>
          </cell>
          <cell r="E4">
            <v>723</v>
          </cell>
          <cell r="G4">
            <v>880.9</v>
          </cell>
        </row>
        <row r="5">
          <cell r="A5" t="str">
            <v>2Q03A</v>
          </cell>
          <cell r="B5">
            <v>216.6</v>
          </cell>
          <cell r="D5">
            <v>0.23451710697271544</v>
          </cell>
          <cell r="E5">
            <v>707</v>
          </cell>
          <cell r="G5">
            <v>923.6</v>
          </cell>
        </row>
        <row r="6">
          <cell r="A6" t="str">
            <v>3Q03A</v>
          </cell>
          <cell r="B6">
            <v>283.89999999999998</v>
          </cell>
          <cell r="D6">
            <v>0.28766845678386865</v>
          </cell>
          <cell r="E6">
            <v>703</v>
          </cell>
          <cell r="G6">
            <v>986.9</v>
          </cell>
        </row>
        <row r="7">
          <cell r="A7" t="str">
            <v>4Q03A</v>
          </cell>
          <cell r="B7">
            <v>321.5</v>
          </cell>
          <cell r="C7">
            <v>1.1433333333333335</v>
          </cell>
          <cell r="D7">
            <v>0.32392947103274561</v>
          </cell>
          <cell r="E7">
            <v>671</v>
          </cell>
          <cell r="F7">
            <v>-0.16438356164383561</v>
          </cell>
          <cell r="G7">
            <v>992.5</v>
          </cell>
          <cell r="H7">
            <v>4.1448058761804907E-2</v>
          </cell>
        </row>
        <row r="8">
          <cell r="A8" t="str">
            <v>2003A</v>
          </cell>
          <cell r="B8">
            <v>979.9</v>
          </cell>
          <cell r="C8">
            <v>5.5326666666666666</v>
          </cell>
          <cell r="D8">
            <v>0.25896561748460584</v>
          </cell>
          <cell r="E8">
            <v>2804</v>
          </cell>
          <cell r="F8">
            <v>-7.5807514831905065E-2</v>
          </cell>
          <cell r="G8">
            <v>3783.9</v>
          </cell>
          <cell r="H8">
            <v>0.18841080402010046</v>
          </cell>
        </row>
        <row r="9">
          <cell r="A9" t="str">
            <v>1Q04A</v>
          </cell>
          <cell r="B9">
            <v>329.6</v>
          </cell>
          <cell r="C9">
            <v>1.0873970867637746</v>
          </cell>
          <cell r="D9">
            <v>0.32389937106918243</v>
          </cell>
          <cell r="E9">
            <v>688</v>
          </cell>
          <cell r="F9">
            <v>-4.8409405255878335E-2</v>
          </cell>
          <cell r="G9">
            <v>1017.6</v>
          </cell>
          <cell r="H9">
            <v>0.15518220002270411</v>
          </cell>
        </row>
        <row r="10">
          <cell r="A10" t="str">
            <v>2Q04A</v>
          </cell>
          <cell r="B10">
            <v>380.7</v>
          </cell>
          <cell r="C10">
            <v>0.75761772853185594</v>
          </cell>
          <cell r="D10">
            <v>0.3954502960423808</v>
          </cell>
          <cell r="E10">
            <v>582</v>
          </cell>
          <cell r="F10">
            <v>-0.1768033946251768</v>
          </cell>
          <cell r="G10">
            <v>962.7</v>
          </cell>
          <cell r="H10">
            <v>4.2334343871806013E-2</v>
          </cell>
        </row>
        <row r="11">
          <cell r="A11" t="str">
            <v>3Q04A</v>
          </cell>
          <cell r="B11">
            <v>374</v>
          </cell>
          <cell r="C11">
            <v>0.31736526946107801</v>
          </cell>
          <cell r="D11">
            <v>0.3789260385005066</v>
          </cell>
          <cell r="E11">
            <v>613</v>
          </cell>
          <cell r="F11">
            <v>-0.12802275960170695</v>
          </cell>
          <cell r="G11">
            <v>987</v>
          </cell>
          <cell r="H11">
            <v>1.0132738879331527E-4</v>
          </cell>
        </row>
        <row r="12">
          <cell r="A12" t="str">
            <v>4Q04A</v>
          </cell>
          <cell r="B12">
            <v>424</v>
          </cell>
          <cell r="C12">
            <v>0.3188180404354588</v>
          </cell>
          <cell r="D12">
            <v>0.42315369261477048</v>
          </cell>
          <cell r="E12">
            <v>578</v>
          </cell>
          <cell r="F12">
            <v>-0.13859910581222057</v>
          </cell>
          <cell r="G12">
            <v>1002</v>
          </cell>
          <cell r="H12">
            <v>9.5717884130981368E-3</v>
          </cell>
        </row>
        <row r="13">
          <cell r="A13" t="str">
            <v>2004A</v>
          </cell>
          <cell r="B13">
            <v>1533.3</v>
          </cell>
          <cell r="C13">
            <v>0.56475150525563822</v>
          </cell>
          <cell r="D13">
            <v>0.38387201762511575</v>
          </cell>
          <cell r="E13">
            <v>2461</v>
          </cell>
          <cell r="F13">
            <v>-0.12232524964336666</v>
          </cell>
          <cell r="G13">
            <v>3994.3</v>
          </cell>
          <cell r="H13">
            <v>5.5604006448373378E-2</v>
          </cell>
        </row>
        <row r="14">
          <cell r="A14" t="str">
            <v>1Q05A</v>
          </cell>
          <cell r="B14">
            <v>447</v>
          </cell>
          <cell r="C14">
            <v>0.3561893203883495</v>
          </cell>
          <cell r="D14">
            <v>0.44169960474308301</v>
          </cell>
          <cell r="E14">
            <v>565</v>
          </cell>
          <cell r="F14">
            <v>-0.17877906976744184</v>
          </cell>
          <cell r="G14">
            <v>1012</v>
          </cell>
          <cell r="H14">
            <v>-5.5031446540880768E-3</v>
          </cell>
        </row>
        <row r="15">
          <cell r="A15" t="str">
            <v>2Q05A</v>
          </cell>
          <cell r="B15">
            <v>536</v>
          </cell>
          <cell r="C15">
            <v>0.40793275545048591</v>
          </cell>
          <cell r="D15">
            <v>0.48638838475499091</v>
          </cell>
          <cell r="E15">
            <v>566</v>
          </cell>
          <cell r="F15">
            <v>-2.7491408934707917E-2</v>
          </cell>
          <cell r="G15">
            <v>1102</v>
          </cell>
          <cell r="H15">
            <v>0.14469720577542322</v>
          </cell>
        </row>
        <row r="16">
          <cell r="A16" t="str">
            <v>3Q05A</v>
          </cell>
          <cell r="B16">
            <v>542</v>
          </cell>
          <cell r="C16">
            <v>0.44919786096256686</v>
          </cell>
          <cell r="D16">
            <v>0.48522829006266788</v>
          </cell>
          <cell r="E16">
            <v>575</v>
          </cell>
          <cell r="F16">
            <v>-6.1990212071778128E-2</v>
          </cell>
          <cell r="G16">
            <v>1117</v>
          </cell>
          <cell r="H16">
            <v>0.13171225937183384</v>
          </cell>
        </row>
        <row r="17">
          <cell r="A17" t="str">
            <v>4Q05A</v>
          </cell>
          <cell r="B17">
            <v>579</v>
          </cell>
          <cell r="C17">
            <v>0.36556603773584895</v>
          </cell>
          <cell r="D17">
            <v>0.51742627345844505</v>
          </cell>
          <cell r="E17">
            <v>540</v>
          </cell>
          <cell r="F17">
            <v>-6.5743944636678209E-2</v>
          </cell>
          <cell r="G17">
            <v>1119</v>
          </cell>
          <cell r="H17">
            <v>0.11676646706586835</v>
          </cell>
        </row>
        <row r="18">
          <cell r="A18" t="str">
            <v>2005A</v>
          </cell>
          <cell r="B18">
            <v>2104</v>
          </cell>
          <cell r="C18">
            <v>0.37220374355964259</v>
          </cell>
          <cell r="D18">
            <v>0.48367816091954025</v>
          </cell>
          <cell r="E18">
            <v>2246</v>
          </cell>
          <cell r="F18">
            <v>-8.7362860625761929E-2</v>
          </cell>
          <cell r="G18">
            <v>4350</v>
          </cell>
          <cell r="H18">
            <v>8.9051898956012288E-2</v>
          </cell>
        </row>
        <row r="19">
          <cell r="A19" t="str">
            <v>1Q06A</v>
          </cell>
          <cell r="B19">
            <v>596</v>
          </cell>
          <cell r="C19">
            <v>0.33333333333333326</v>
          </cell>
          <cell r="D19">
            <v>0.53072128227960824</v>
          </cell>
          <cell r="E19">
            <v>527</v>
          </cell>
          <cell r="F19">
            <v>-6.7256637168141564E-2</v>
          </cell>
          <cell r="G19">
            <v>1123</v>
          </cell>
          <cell r="H19">
            <v>0.10968379446640308</v>
          </cell>
        </row>
        <row r="20">
          <cell r="A20" t="str">
            <v>2Q06E</v>
          </cell>
          <cell r="B20">
            <v>645</v>
          </cell>
          <cell r="C20">
            <v>0.20335820895522394</v>
          </cell>
          <cell r="D20">
            <v>0.54020100502512558</v>
          </cell>
          <cell r="E20">
            <v>549</v>
          </cell>
          <cell r="F20">
            <v>-3.0035335689045928E-2</v>
          </cell>
          <cell r="G20">
            <v>1194</v>
          </cell>
          <cell r="H20">
            <v>8.3484573502722315E-2</v>
          </cell>
        </row>
        <row r="21">
          <cell r="A21" t="str">
            <v>3Q06E</v>
          </cell>
          <cell r="B21">
            <v>665</v>
          </cell>
          <cell r="C21">
            <v>0.22693726937269365</v>
          </cell>
          <cell r="D21">
            <v>0.53115015974440893</v>
          </cell>
          <cell r="E21">
            <v>587</v>
          </cell>
          <cell r="F21">
            <v>2.0869565217391362E-2</v>
          </cell>
          <cell r="G21">
            <v>1252</v>
          </cell>
          <cell r="H21">
            <v>0.12085944494180834</v>
          </cell>
        </row>
        <row r="22">
          <cell r="A22" t="str">
            <v>4Q06E</v>
          </cell>
          <cell r="B22">
            <v>690</v>
          </cell>
          <cell r="C22">
            <v>0.19170984455958551</v>
          </cell>
          <cell r="D22">
            <v>0.56097560975609762</v>
          </cell>
          <cell r="E22">
            <v>540</v>
          </cell>
          <cell r="F22">
            <v>0</v>
          </cell>
          <cell r="G22">
            <v>1230</v>
          </cell>
          <cell r="H22">
            <v>9.9195710455764141E-2</v>
          </cell>
        </row>
        <row r="23">
          <cell r="A23" t="str">
            <v>2006E</v>
          </cell>
          <cell r="B23">
            <v>2596</v>
          </cell>
          <cell r="C23">
            <v>0.23384030418250945</v>
          </cell>
          <cell r="D23">
            <v>0.54094603042300482</v>
          </cell>
          <cell r="E23">
            <v>2203</v>
          </cell>
          <cell r="F23">
            <v>-1.9145146927871726E-2</v>
          </cell>
          <cell r="G23">
            <v>4799</v>
          </cell>
          <cell r="H23">
            <v>0.1032183908045976</v>
          </cell>
        </row>
        <row r="24">
          <cell r="A24" t="str">
            <v>2007E</v>
          </cell>
          <cell r="B24">
            <v>2975</v>
          </cell>
          <cell r="C24">
            <v>0.14599383667180277</v>
          </cell>
          <cell r="D24">
            <v>0.60198300283286121</v>
          </cell>
          <cell r="E24">
            <v>1967</v>
          </cell>
          <cell r="F24">
            <v>-0.10712664548343165</v>
          </cell>
          <cell r="G24">
            <v>4942</v>
          </cell>
          <cell r="H24">
            <v>2.97978745571994E-2</v>
          </cell>
        </row>
        <row r="25">
          <cell r="A25" t="str">
            <v>2008E</v>
          </cell>
          <cell r="B25">
            <v>3300</v>
          </cell>
          <cell r="C25">
            <v>0.10924369747899165</v>
          </cell>
          <cell r="D25">
            <v>0.65075921908893708</v>
          </cell>
          <cell r="E25">
            <v>1771</v>
          </cell>
          <cell r="F25">
            <v>-9.9644128113879016E-2</v>
          </cell>
          <cell r="G25">
            <v>5071</v>
          </cell>
          <cell r="H25">
            <v>2.6102792391744289E-2</v>
          </cell>
        </row>
        <row r="26">
          <cell r="A26" t="str">
            <v>2009E</v>
          </cell>
          <cell r="B26">
            <v>3600</v>
          </cell>
          <cell r="C26">
            <v>9.0909090909090828E-2</v>
          </cell>
          <cell r="D26">
            <v>0.69310743165190603</v>
          </cell>
          <cell r="E26">
            <v>1594</v>
          </cell>
          <cell r="F26">
            <v>-9.9943534726143368E-2</v>
          </cell>
          <cell r="G26">
            <v>5194</v>
          </cell>
          <cell r="H26">
            <v>2.4255570893314982E-2</v>
          </cell>
        </row>
      </sheetData>
      <sheetData sheetId="15" refreshError="1"/>
      <sheetData sheetId="16" refreshError="1"/>
      <sheetData sheetId="17"/>
      <sheetData sheetId="18" refreshError="1">
        <row r="1">
          <cell r="C1" t="str">
            <v>At Risk
for FN</v>
          </cell>
          <cell r="D1" t="str">
            <v>Treated Front-line</v>
          </cell>
          <cell r="E1" t="str">
            <v>Untreated
Front-line</v>
          </cell>
        </row>
        <row r="2">
          <cell r="B2" t="str">
            <v>Breast Cancer</v>
          </cell>
          <cell r="C2">
            <v>117000</v>
          </cell>
          <cell r="D2">
            <v>30420</v>
          </cell>
          <cell r="E2">
            <v>86580</v>
          </cell>
          <cell r="G2" t="str">
            <v>US</v>
          </cell>
          <cell r="H2" t="str">
            <v>1Q04</v>
          </cell>
          <cell r="I2" t="str">
            <v>2Q04</v>
          </cell>
          <cell r="J2" t="str">
            <v>3Q04</v>
          </cell>
          <cell r="L2" t="str">
            <v>n= 411</v>
          </cell>
          <cell r="M2" t="str">
            <v>AMG 162</v>
          </cell>
          <cell r="N2" t="str">
            <v>Fosamax</v>
          </cell>
          <cell r="O2" t="str">
            <v>Placebo</v>
          </cell>
        </row>
        <row r="3">
          <cell r="B3" t="str">
            <v>Lung Cancer</v>
          </cell>
          <cell r="C3">
            <v>138000</v>
          </cell>
          <cell r="D3">
            <v>11040</v>
          </cell>
          <cell r="E3">
            <v>126960</v>
          </cell>
          <cell r="G3" t="str">
            <v>Aranesp</v>
          </cell>
          <cell r="H3">
            <v>0.37</v>
          </cell>
          <cell r="I3">
            <v>0.39</v>
          </cell>
          <cell r="J3">
            <v>0.43</v>
          </cell>
          <cell r="L3" t="str">
            <v>BMD (6 months)</v>
          </cell>
          <cell r="M3" t="str">
            <v>+4-5%</v>
          </cell>
          <cell r="N3" t="str">
            <v>+5%</v>
          </cell>
        </row>
        <row r="4">
          <cell r="G4" t="str">
            <v>Procrit</v>
          </cell>
          <cell r="H4">
            <v>0.63</v>
          </cell>
          <cell r="I4">
            <v>0.61</v>
          </cell>
          <cell r="J4">
            <v>0.56999999999999995</v>
          </cell>
          <cell r="L4" t="str">
            <v>BMD (12 months)</v>
          </cell>
          <cell r="M4" t="str">
            <v>+4-7%</v>
          </cell>
          <cell r="N4" t="str">
            <v>+5%</v>
          </cell>
          <cell r="O4">
            <v>0.01</v>
          </cell>
          <cell r="S4" t="str">
            <v>Patent</v>
          </cell>
          <cell r="T4" t="str">
            <v>Date Issued</v>
          </cell>
          <cell r="U4" t="str">
            <v>Description*</v>
          </cell>
          <cell r="V4" t="str">
            <v>Status</v>
          </cell>
        </row>
        <row r="5">
          <cell r="L5" t="str">
            <v>Dyspepsia</v>
          </cell>
          <cell r="M5">
            <v>0.05</v>
          </cell>
          <cell r="N5">
            <v>0.2</v>
          </cell>
          <cell r="O5">
            <v>0.04</v>
          </cell>
          <cell r="S5" t="str">
            <v>'422</v>
          </cell>
          <cell r="T5">
            <v>36424</v>
          </cell>
          <cell r="U5" t="str">
            <v>Composition of therapeutically effective amount of erythropoietin</v>
          </cell>
          <cell r="V5" t="str">
            <v>Previously found to be valid and infringed upon</v>
          </cell>
        </row>
        <row r="6">
          <cell r="S6" t="str">
            <v>'080</v>
          </cell>
          <cell r="T6">
            <v>35535</v>
          </cell>
          <cell r="U6" t="str">
            <v>Erythropoietin product and manufacturing process</v>
          </cell>
          <cell r="V6" t="str">
            <v>Previously found to be valid and infringed upon</v>
          </cell>
        </row>
        <row r="7">
          <cell r="S7" t="str">
            <v>'698</v>
          </cell>
          <cell r="T7">
            <v>35521</v>
          </cell>
          <cell r="U7" t="str">
            <v>Preparation process of erythropoietin product active in vivo</v>
          </cell>
          <cell r="V7" t="str">
            <v>Found to be valid and infringed upon today</v>
          </cell>
        </row>
        <row r="8">
          <cell r="M8" t="str">
            <v>AMG 162</v>
          </cell>
          <cell r="N8" t="str">
            <v>Fosamax</v>
          </cell>
          <cell r="O8" t="str">
            <v>Placebo</v>
          </cell>
          <cell r="P8" t="str">
            <v>p-value 
(AMG162 vs. Fosomax)</v>
          </cell>
          <cell r="S8" t="str">
            <v>'349</v>
          </cell>
          <cell r="T8">
            <v>35916</v>
          </cell>
          <cell r="U8" t="str">
            <v>Use of vertebrae cells to produce erythropoietin products</v>
          </cell>
          <cell r="V8" t="str">
            <v>Found to be valid and infringed upon today</v>
          </cell>
        </row>
        <row r="9">
          <cell r="L9" t="str">
            <v>Lumbar Spine</v>
          </cell>
          <cell r="M9" t="str">
            <v>+5%</v>
          </cell>
          <cell r="N9" t="str">
            <v>+5%</v>
          </cell>
          <cell r="O9" t="str">
            <v>-1%</v>
          </cell>
          <cell r="P9" t="str">
            <v>NS</v>
          </cell>
          <cell r="S9" t="str">
            <v>Note:  * Broadest claim</v>
          </cell>
        </row>
        <row r="10">
          <cell r="L10" t="str">
            <v>Hip</v>
          </cell>
          <cell r="M10" t="str">
            <v>+3%</v>
          </cell>
          <cell r="N10" t="str">
            <v>+2%</v>
          </cell>
          <cell r="O10" t="str">
            <v>-1%</v>
          </cell>
          <cell r="P10" t="str">
            <v>p=0.01</v>
          </cell>
        </row>
        <row r="11">
          <cell r="L11" t="str">
            <v>Distal radius</v>
          </cell>
          <cell r="M11" t="str">
            <v>+1.2%</v>
          </cell>
          <cell r="N11" t="str">
            <v>0%</v>
          </cell>
          <cell r="O11" t="str">
            <v>-2%</v>
          </cell>
          <cell r="P11" t="str">
            <v>p&lt;0.01</v>
          </cell>
        </row>
      </sheetData>
      <sheetData sheetId="19" refreshError="1">
        <row r="4">
          <cell r="B4" t="str">
            <v>(For Marketing Pack)</v>
          </cell>
        </row>
        <row r="6">
          <cell r="D6" t="str">
            <v>2004A</v>
          </cell>
          <cell r="F6" t="str">
            <v>2005A</v>
          </cell>
          <cell r="H6" t="str">
            <v>2006E</v>
          </cell>
          <cell r="J6" t="str">
            <v>2007E</v>
          </cell>
        </row>
        <row r="7">
          <cell r="B7" t="str">
            <v>Epogen</v>
          </cell>
          <cell r="D7">
            <v>2600.6</v>
          </cell>
          <cell r="F7">
            <v>2455</v>
          </cell>
          <cell r="H7">
            <v>2514</v>
          </cell>
          <cell r="J7">
            <v>2572.1174973954289</v>
          </cell>
        </row>
        <row r="8">
          <cell r="B8" t="str">
            <v>Aranesp</v>
          </cell>
          <cell r="D8">
            <v>2472.9</v>
          </cell>
          <cell r="F8">
            <v>3273</v>
          </cell>
          <cell r="H8">
            <v>3913</v>
          </cell>
          <cell r="J8">
            <v>4350</v>
          </cell>
        </row>
        <row r="9">
          <cell r="B9" t="str">
            <v>Neulasta</v>
          </cell>
          <cell r="D9">
            <v>1739.6</v>
          </cell>
          <cell r="F9">
            <v>2288</v>
          </cell>
          <cell r="H9">
            <v>2603</v>
          </cell>
          <cell r="J9">
            <v>2889.3300000000004</v>
          </cell>
        </row>
        <row r="10">
          <cell r="B10" t="str">
            <v>Enbrel</v>
          </cell>
          <cell r="D10">
            <v>1900.3</v>
          </cell>
          <cell r="F10">
            <v>2573</v>
          </cell>
          <cell r="H10">
            <v>2793</v>
          </cell>
          <cell r="J10">
            <v>3016.8307284116399</v>
          </cell>
        </row>
        <row r="11">
          <cell r="B11" t="str">
            <v>EPS</v>
          </cell>
          <cell r="D11">
            <v>2.36950115525927</v>
          </cell>
          <cell r="F11">
            <v>3.2027027027027026</v>
          </cell>
          <cell r="H11">
            <v>3.6698689952539394</v>
          </cell>
          <cell r="J11">
            <v>4.1013211403748855</v>
          </cell>
        </row>
        <row r="12">
          <cell r="B12" t="str">
            <v>Consensus</v>
          </cell>
          <cell r="D12">
            <v>2.41</v>
          </cell>
          <cell r="F12">
            <v>3.21</v>
          </cell>
          <cell r="H12">
            <v>3.64</v>
          </cell>
          <cell r="J12">
            <v>4.13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urity_Large"/>
      <sheetName val="Comparison"/>
      <sheetName val="Historical Financial Statements"/>
      <sheetName val="Calculations"/>
      <sheetName val="Ratio Analysis"/>
      <sheetName val="Charts"/>
      <sheetName val="#REF"/>
      <sheetName val="Data_Download"/>
      <sheetName val="IS"/>
      <sheetName val="Security_Comparable_Large"/>
      <sheetName val="Invested capital_VDF"/>
      <sheetName val="Forecasts_VDF"/>
      <sheetName val="Summary Page_VDF"/>
      <sheetName val="NOPAT_VDF"/>
      <sheetName val="DCF_VDF"/>
      <sheetName val="PV of Op Leases_VDF"/>
      <sheetName val="Income Statement_VDF"/>
      <sheetName val="WACC_VDF"/>
      <sheetName val="Charts_VDF"/>
    </sheetNames>
    <sheetDataSet>
      <sheetData sheetId="0"/>
      <sheetData sheetId="1" refreshError="1">
        <row r="5">
          <cell r="E5">
            <v>0.35523561630796929</v>
          </cell>
        </row>
        <row r="6">
          <cell r="E6">
            <v>-0.78947368421052633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"/>
      <sheetName val="Valuations"/>
      <sheetName val="Five Year Sales &amp; Earnings"/>
      <sheetName val="Qtr Income"/>
      <sheetName val="Qtr Margin"/>
      <sheetName val="Q Preview"/>
      <sheetName val="Qtr Sales"/>
      <sheetName val="Annual Product Sales"/>
      <sheetName val="Annual Prod Sales"/>
      <sheetName val="CF2"/>
      <sheetName val="BS2"/>
      <sheetName val="P&amp;L"/>
      <sheetName val="QTR"/>
      <sheetName val="blank"/>
      <sheetName val="Balance"/>
      <sheetName val="Cash flow"/>
      <sheetName val="IS-COMPS"/>
      <sheetName val="Paul - SEGS-MARGIN"/>
      <sheetName val="CF"/>
      <sheetName val="Qtr Link"/>
      <sheetName val="JV"/>
      <sheetName val="Stat SHeet"/>
      <sheetName val="Qtr detail"/>
      <sheetName val="Rx Data"/>
      <sheetName val="Celexa"/>
      <sheetName val="Disclaimer"/>
      <sheetName val="IndexInformation"/>
      <sheetName val="MainCode"/>
      <sheetName val="NY UPLOAD shadow"/>
      <sheetName val="Module1"/>
      <sheetName val="Module2"/>
      <sheetName val="Module3"/>
      <sheetName val="Key Charts"/>
      <sheetName val="Qrt Sales"/>
      <sheetName val="WLAwork1"/>
      <sheetName val="Enbrel Assumptions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Table 3</v>
          </cell>
          <cell r="C1" t="e">
            <v>#REF!</v>
          </cell>
          <cell r="D1">
            <v>36698.77703784722</v>
          </cell>
        </row>
        <row r="2">
          <cell r="A2" t="str">
            <v>Warner Lambert</v>
          </cell>
        </row>
        <row r="3">
          <cell r="A3" t="str">
            <v>Quarterly Income Statement Comparisons 1998 - 2005E</v>
          </cell>
        </row>
        <row r="4">
          <cell r="A4" t="str">
            <v>($ Millions Except Per Share Data)</v>
          </cell>
        </row>
        <row r="5">
          <cell r="H5" t="str">
            <v>Non-Operating Items</v>
          </cell>
          <cell r="Q5" t="str">
            <v>Tax</v>
          </cell>
          <cell r="T5" t="str">
            <v xml:space="preserve">  Shares</v>
          </cell>
        </row>
        <row r="6">
          <cell r="C6" t="str">
            <v>Cost of</v>
          </cell>
          <cell r="D6" t="str">
            <v xml:space="preserve">  Gross</v>
          </cell>
          <cell r="G6" t="str">
            <v xml:space="preserve">  Oper.</v>
          </cell>
          <cell r="H6" t="str">
            <v>Interest</v>
          </cell>
          <cell r="I6" t="str">
            <v>Interest</v>
          </cell>
          <cell r="J6" t="str">
            <v>Intang.</v>
          </cell>
          <cell r="K6" t="str">
            <v>Celexa</v>
          </cell>
          <cell r="L6" t="str">
            <v>Other</v>
          </cell>
          <cell r="N6" t="str">
            <v>Min.</v>
          </cell>
          <cell r="O6" t="str">
            <v xml:space="preserve">  Pretax </v>
          </cell>
          <cell r="Q6" t="str">
            <v>Rate</v>
          </cell>
          <cell r="R6" t="str">
            <v>Agouron</v>
          </cell>
          <cell r="S6" t="str">
            <v xml:space="preserve">  Net </v>
          </cell>
          <cell r="T6" t="str">
            <v xml:space="preserve">  Out.</v>
          </cell>
          <cell r="U6" t="str">
            <v>WLA</v>
          </cell>
          <cell r="W6" t="str">
            <v>(a)</v>
          </cell>
        </row>
        <row r="7">
          <cell r="B7" t="str">
            <v>Sales</v>
          </cell>
          <cell r="C7" t="str">
            <v xml:space="preserve"> Goods</v>
          </cell>
          <cell r="D7" t="str">
            <v xml:space="preserve">  Profit</v>
          </cell>
          <cell r="E7" t="str">
            <v>SG&amp;A</v>
          </cell>
          <cell r="F7" t="str">
            <v>R&amp;D</v>
          </cell>
          <cell r="G7" t="str">
            <v>Income</v>
          </cell>
          <cell r="H7" t="str">
            <v>Income</v>
          </cell>
          <cell r="I7" t="str">
            <v>Expense</v>
          </cell>
          <cell r="J7" t="str">
            <v>Amort.</v>
          </cell>
          <cell r="K7" t="str">
            <v>Inc.</v>
          </cell>
          <cell r="L7" t="str">
            <v>Inc</v>
          </cell>
          <cell r="M7" t="str">
            <v>Total</v>
          </cell>
          <cell r="N7" t="str">
            <v xml:space="preserve">Int. </v>
          </cell>
          <cell r="O7" t="str">
            <v xml:space="preserve">  Income</v>
          </cell>
          <cell r="P7" t="str">
            <v>Taxes</v>
          </cell>
          <cell r="Q7" t="str">
            <v xml:space="preserve">  (%)</v>
          </cell>
          <cell r="R7" t="str">
            <v>Net</v>
          </cell>
          <cell r="S7" t="str">
            <v>Inc.</v>
          </cell>
          <cell r="T7" t="str">
            <v>(MM)</v>
          </cell>
          <cell r="U7" t="str">
            <v xml:space="preserve">  EPS</v>
          </cell>
          <cell r="V7" t="str">
            <v>DPS</v>
          </cell>
          <cell r="W7" t="str">
            <v>EPS</v>
          </cell>
        </row>
        <row r="9">
          <cell r="A9" t="str">
            <v>1989</v>
          </cell>
          <cell r="B9">
            <v>4195.8999999999996</v>
          </cell>
          <cell r="C9">
            <v>1383.4</v>
          </cell>
          <cell r="D9">
            <v>2812.4999999999995</v>
          </cell>
          <cell r="E9">
            <v>1932.6</v>
          </cell>
          <cell r="F9">
            <v>308.8</v>
          </cell>
          <cell r="G9">
            <v>571.09999999999968</v>
          </cell>
          <cell r="H9">
            <v>0</v>
          </cell>
          <cell r="I9">
            <v>-55.6</v>
          </cell>
          <cell r="J9">
            <v>0</v>
          </cell>
          <cell r="L9">
            <v>76.2</v>
          </cell>
          <cell r="M9">
            <v>20.6</v>
          </cell>
          <cell r="N9">
            <v>0</v>
          </cell>
          <cell r="O9">
            <v>591.6999999999997</v>
          </cell>
          <cell r="P9">
            <v>179</v>
          </cell>
          <cell r="Q9">
            <v>0.30251816799053588</v>
          </cell>
          <cell r="S9">
            <v>412.6999999999997</v>
          </cell>
          <cell r="T9">
            <v>812.40000000000009</v>
          </cell>
          <cell r="U9">
            <v>0.50800098473658251</v>
          </cell>
          <cell r="W9">
            <v>0.32666666666666666</v>
          </cell>
        </row>
        <row r="11">
          <cell r="A11" t="str">
            <v>1990</v>
          </cell>
          <cell r="B11">
            <v>1100</v>
          </cell>
          <cell r="C11">
            <v>356.4</v>
          </cell>
          <cell r="D11">
            <v>743.6</v>
          </cell>
          <cell r="E11">
            <v>487.7</v>
          </cell>
          <cell r="F11">
            <v>81.3</v>
          </cell>
          <cell r="G11">
            <v>174.60000000000002</v>
          </cell>
          <cell r="H11">
            <v>0</v>
          </cell>
          <cell r="I11">
            <v>-20.7</v>
          </cell>
          <cell r="J11">
            <v>0</v>
          </cell>
          <cell r="L11">
            <v>17.899999999999999</v>
          </cell>
          <cell r="M11">
            <v>-2.8000000000000007</v>
          </cell>
          <cell r="N11">
            <v>0</v>
          </cell>
          <cell r="O11">
            <v>171.8</v>
          </cell>
          <cell r="P11">
            <v>51.5</v>
          </cell>
          <cell r="Q11">
            <v>0.29976717112922002</v>
          </cell>
          <cell r="S11">
            <v>120.30000000000001</v>
          </cell>
          <cell r="T11">
            <v>403.5</v>
          </cell>
          <cell r="U11">
            <v>0.29814126394052048</v>
          </cell>
          <cell r="W11">
            <v>0.29666666666666669</v>
          </cell>
        </row>
        <row r="12">
          <cell r="B12">
            <v>1154.8</v>
          </cell>
          <cell r="C12">
            <v>363.6</v>
          </cell>
          <cell r="D12">
            <v>791.19999999999993</v>
          </cell>
          <cell r="E12">
            <v>519.1</v>
          </cell>
          <cell r="F12">
            <v>85.9</v>
          </cell>
          <cell r="G12">
            <v>186.1999999999999</v>
          </cell>
          <cell r="H12">
            <v>0</v>
          </cell>
          <cell r="I12">
            <v>-16.7</v>
          </cell>
          <cell r="J12">
            <v>0</v>
          </cell>
          <cell r="L12">
            <v>19.600000000000001</v>
          </cell>
          <cell r="M12">
            <v>2.9000000000000021</v>
          </cell>
          <cell r="N12">
            <v>0</v>
          </cell>
          <cell r="O12">
            <v>189.09999999999991</v>
          </cell>
          <cell r="P12">
            <v>54.6</v>
          </cell>
          <cell r="Q12">
            <v>0.28873611845584363</v>
          </cell>
          <cell r="S12">
            <v>134.49999999999991</v>
          </cell>
          <cell r="T12">
            <v>402.59999999999997</v>
          </cell>
          <cell r="U12">
            <v>0.33407848981619453</v>
          </cell>
          <cell r="W12">
            <v>0.42796820665673002</v>
          </cell>
        </row>
        <row r="13">
          <cell r="B13">
            <v>1186.7</v>
          </cell>
          <cell r="C13">
            <v>389.7</v>
          </cell>
          <cell r="D13">
            <v>797</v>
          </cell>
          <cell r="E13">
            <v>519.1</v>
          </cell>
          <cell r="F13">
            <v>101.6</v>
          </cell>
          <cell r="G13">
            <v>176.29999999999998</v>
          </cell>
          <cell r="H13">
            <v>0</v>
          </cell>
          <cell r="I13">
            <v>-15.1</v>
          </cell>
          <cell r="J13">
            <v>0</v>
          </cell>
          <cell r="L13">
            <v>15.5</v>
          </cell>
          <cell r="M13">
            <v>0.40000000000000036</v>
          </cell>
          <cell r="N13">
            <v>0</v>
          </cell>
          <cell r="O13">
            <v>176.7</v>
          </cell>
          <cell r="P13">
            <v>52</v>
          </cell>
          <cell r="Q13">
            <v>0.29428409734012451</v>
          </cell>
          <cell r="S13">
            <v>124.69999999999999</v>
          </cell>
          <cell r="T13">
            <v>402.90000000000003</v>
          </cell>
          <cell r="U13">
            <v>0.30950608091337795</v>
          </cell>
          <cell r="W13">
            <v>0.29511044924298835</v>
          </cell>
        </row>
        <row r="14">
          <cell r="B14">
            <v>1245.5</v>
          </cell>
          <cell r="C14">
            <v>405.7</v>
          </cell>
          <cell r="D14">
            <v>839.8</v>
          </cell>
          <cell r="E14">
            <v>603.79999999999995</v>
          </cell>
          <cell r="F14">
            <v>110.5</v>
          </cell>
          <cell r="G14">
            <v>125.5</v>
          </cell>
          <cell r="H14">
            <v>0</v>
          </cell>
          <cell r="I14">
            <v>-16.2</v>
          </cell>
          <cell r="J14">
            <v>0</v>
          </cell>
          <cell r="L14">
            <v>33.9</v>
          </cell>
          <cell r="M14">
            <v>17.7</v>
          </cell>
          <cell r="N14">
            <v>0</v>
          </cell>
          <cell r="O14">
            <v>143.19999999999999</v>
          </cell>
          <cell r="P14">
            <v>37.700000000000003</v>
          </cell>
          <cell r="Q14">
            <v>0.26326815642458107</v>
          </cell>
          <cell r="S14">
            <v>105.49999999999999</v>
          </cell>
          <cell r="T14">
            <v>402.90000000000003</v>
          </cell>
          <cell r="U14">
            <v>0.26185157607346732</v>
          </cell>
          <cell r="W14">
            <v>0.27450980392156865</v>
          </cell>
        </row>
        <row r="16">
          <cell r="A16" t="str">
            <v>1990</v>
          </cell>
          <cell r="B16">
            <v>4687</v>
          </cell>
          <cell r="C16">
            <v>1515.4</v>
          </cell>
          <cell r="D16">
            <v>3171.6</v>
          </cell>
          <cell r="E16">
            <v>2129.6999999999998</v>
          </cell>
          <cell r="F16">
            <v>379.29999999999995</v>
          </cell>
          <cell r="G16">
            <v>662.59999999999991</v>
          </cell>
          <cell r="H16">
            <v>0</v>
          </cell>
          <cell r="I16">
            <v>-68.7</v>
          </cell>
          <cell r="J16">
            <v>0</v>
          </cell>
          <cell r="L16">
            <v>86.9</v>
          </cell>
          <cell r="M16">
            <v>18.200000000000003</v>
          </cell>
          <cell r="N16">
            <v>0</v>
          </cell>
          <cell r="O16">
            <v>680.8</v>
          </cell>
          <cell r="P16">
            <v>195.8</v>
          </cell>
          <cell r="Q16">
            <v>0.2876028202115159</v>
          </cell>
          <cell r="S16">
            <v>484.99999999999989</v>
          </cell>
          <cell r="T16">
            <v>402.90000000000003</v>
          </cell>
          <cell r="U16">
            <v>1.2037726482998259</v>
          </cell>
          <cell r="W16">
            <v>1.2966666666666666</v>
          </cell>
        </row>
        <row r="18">
          <cell r="A18" t="str">
            <v>1991</v>
          </cell>
          <cell r="B18">
            <v>1217.2</v>
          </cell>
          <cell r="C18">
            <v>379.7</v>
          </cell>
          <cell r="D18">
            <v>837.5</v>
          </cell>
          <cell r="E18">
            <v>555.79999999999995</v>
          </cell>
          <cell r="F18">
            <v>94.7</v>
          </cell>
          <cell r="G18">
            <v>187.00000000000006</v>
          </cell>
          <cell r="H18">
            <v>0</v>
          </cell>
          <cell r="I18">
            <v>-16.399999999999999</v>
          </cell>
          <cell r="J18">
            <v>0</v>
          </cell>
          <cell r="L18">
            <v>21.8</v>
          </cell>
          <cell r="M18">
            <v>5.4000000000000021</v>
          </cell>
          <cell r="N18">
            <v>0</v>
          </cell>
          <cell r="O18">
            <v>192.40000000000006</v>
          </cell>
          <cell r="P18">
            <v>52.9</v>
          </cell>
          <cell r="Q18">
            <v>0.27494802494802484</v>
          </cell>
          <cell r="S18">
            <v>139.50000000000006</v>
          </cell>
          <cell r="T18">
            <v>806.40000000000009</v>
          </cell>
          <cell r="U18">
            <v>0.17299107142857148</v>
          </cell>
          <cell r="W18">
            <v>0.17299107142857131</v>
          </cell>
        </row>
        <row r="19">
          <cell r="B19">
            <v>1238.2</v>
          </cell>
          <cell r="C19">
            <v>394.8</v>
          </cell>
          <cell r="D19">
            <v>843.40000000000009</v>
          </cell>
          <cell r="E19">
            <v>544.6</v>
          </cell>
          <cell r="F19">
            <v>101.4</v>
          </cell>
          <cell r="G19">
            <v>197.40000000000006</v>
          </cell>
          <cell r="H19">
            <v>0</v>
          </cell>
          <cell r="I19">
            <v>-14.4</v>
          </cell>
          <cell r="J19">
            <v>0</v>
          </cell>
          <cell r="L19">
            <v>27.5</v>
          </cell>
          <cell r="M19">
            <v>13.1</v>
          </cell>
          <cell r="N19">
            <v>0</v>
          </cell>
          <cell r="O19">
            <v>210.50000000000006</v>
          </cell>
          <cell r="P19">
            <v>55.9</v>
          </cell>
          <cell r="Q19">
            <v>0.26555819477434672</v>
          </cell>
          <cell r="S19">
            <v>154.60000000000005</v>
          </cell>
          <cell r="T19">
            <v>806.40000000000009</v>
          </cell>
          <cell r="U19">
            <v>0.19171626984126988</v>
          </cell>
          <cell r="W19">
            <v>0.19171626984126999</v>
          </cell>
        </row>
        <row r="20">
          <cell r="B20">
            <v>1266.5</v>
          </cell>
          <cell r="C20">
            <v>410.6</v>
          </cell>
          <cell r="D20">
            <v>855.9</v>
          </cell>
          <cell r="E20">
            <v>562.29999999999995</v>
          </cell>
          <cell r="F20">
            <v>106.1</v>
          </cell>
          <cell r="G20">
            <v>187.50000000000003</v>
          </cell>
          <cell r="H20">
            <v>0</v>
          </cell>
          <cell r="I20">
            <v>-12.9</v>
          </cell>
          <cell r="J20">
            <v>0</v>
          </cell>
          <cell r="L20">
            <v>22.4</v>
          </cell>
          <cell r="M20">
            <v>9.4999999999999982</v>
          </cell>
          <cell r="N20">
            <v>0</v>
          </cell>
          <cell r="O20">
            <v>197.00000000000003</v>
          </cell>
          <cell r="P20">
            <v>53.2</v>
          </cell>
          <cell r="Q20">
            <v>0.27005076142131978</v>
          </cell>
          <cell r="S20">
            <v>143.80000000000001</v>
          </cell>
          <cell r="T20">
            <v>806.40000000000009</v>
          </cell>
          <cell r="U20">
            <v>0.1783234126984127</v>
          </cell>
          <cell r="W20">
            <v>0.17212301587301601</v>
          </cell>
        </row>
        <row r="21">
          <cell r="B21">
            <v>1337.8</v>
          </cell>
          <cell r="C21">
            <v>441.3</v>
          </cell>
          <cell r="D21">
            <v>896.5</v>
          </cell>
          <cell r="E21">
            <v>630.6</v>
          </cell>
          <cell r="F21">
            <v>121</v>
          </cell>
          <cell r="G21">
            <v>144.89999999999998</v>
          </cell>
          <cell r="H21">
            <v>0</v>
          </cell>
          <cell r="I21">
            <v>-14.5</v>
          </cell>
          <cell r="J21">
            <v>0</v>
          </cell>
          <cell r="L21">
            <v>35.9</v>
          </cell>
          <cell r="M21">
            <v>21.4</v>
          </cell>
          <cell r="N21">
            <v>0</v>
          </cell>
          <cell r="O21">
            <v>166.29999999999998</v>
          </cell>
          <cell r="P21">
            <v>44.7</v>
          </cell>
          <cell r="Q21">
            <v>0.26879134095009022</v>
          </cell>
          <cell r="S21">
            <v>121.59999999999998</v>
          </cell>
          <cell r="T21">
            <v>807</v>
          </cell>
          <cell r="U21">
            <v>0.15068153655514246</v>
          </cell>
          <cell r="W21">
            <v>0.15068153655514266</v>
          </cell>
        </row>
        <row r="23">
          <cell r="A23" t="str">
            <v>1991</v>
          </cell>
          <cell r="B23">
            <v>5059.7</v>
          </cell>
          <cell r="C23">
            <v>1626.3999999999999</v>
          </cell>
          <cell r="D23">
            <v>3433.3</v>
          </cell>
          <cell r="E23">
            <v>2293.3000000000002</v>
          </cell>
          <cell r="F23">
            <v>423.20000000000005</v>
          </cell>
          <cell r="G23">
            <v>716.80000000000007</v>
          </cell>
          <cell r="H23">
            <v>0</v>
          </cell>
          <cell r="I23">
            <v>-58.199999999999996</v>
          </cell>
          <cell r="J23">
            <v>0</v>
          </cell>
          <cell r="L23">
            <v>107.6</v>
          </cell>
          <cell r="M23">
            <v>49.4</v>
          </cell>
          <cell r="N23">
            <v>0</v>
          </cell>
          <cell r="O23">
            <v>766.2</v>
          </cell>
          <cell r="P23">
            <v>206.7</v>
          </cell>
          <cell r="Q23">
            <v>0.26977290524667186</v>
          </cell>
          <cell r="S23">
            <v>559.50000000000011</v>
          </cell>
          <cell r="T23">
            <v>806.40000000000009</v>
          </cell>
          <cell r="U23">
            <v>0.69382440476190488</v>
          </cell>
          <cell r="W23">
            <v>0.68666666666666665</v>
          </cell>
        </row>
        <row r="24">
          <cell r="E24">
            <v>2292.4</v>
          </cell>
        </row>
        <row r="25">
          <cell r="A25" t="str">
            <v>1992</v>
          </cell>
          <cell r="B25">
            <v>1311.5</v>
          </cell>
          <cell r="C25">
            <v>400.9</v>
          </cell>
          <cell r="D25">
            <v>910.6</v>
          </cell>
          <cell r="E25">
            <v>586.9</v>
          </cell>
          <cell r="F25">
            <v>115.1</v>
          </cell>
          <cell r="G25">
            <v>208.60000000000005</v>
          </cell>
          <cell r="H25">
            <v>0</v>
          </cell>
          <cell r="I25">
            <v>-18.899999999999999</v>
          </cell>
          <cell r="J25">
            <v>0</v>
          </cell>
          <cell r="L25">
            <v>32.9</v>
          </cell>
          <cell r="M25">
            <v>14</v>
          </cell>
          <cell r="N25">
            <v>0</v>
          </cell>
          <cell r="O25">
            <v>222.60000000000005</v>
          </cell>
          <cell r="P25">
            <v>59</v>
          </cell>
          <cell r="Q25">
            <v>0.26504941599281218</v>
          </cell>
          <cell r="S25">
            <v>163.60000000000005</v>
          </cell>
          <cell r="T25">
            <v>807.59999999999991</v>
          </cell>
          <cell r="U25">
            <v>0.20257553244180296</v>
          </cell>
          <cell r="W25">
            <v>0.20333333333333334</v>
          </cell>
        </row>
        <row r="26">
          <cell r="B26">
            <v>1373.3</v>
          </cell>
          <cell r="C26">
            <v>434.2</v>
          </cell>
          <cell r="D26">
            <v>939.09999999999991</v>
          </cell>
          <cell r="E26">
            <v>596.70000000000005</v>
          </cell>
          <cell r="F26">
            <v>105.8</v>
          </cell>
          <cell r="G26">
            <v>236.59999999999985</v>
          </cell>
          <cell r="H26">
            <v>0</v>
          </cell>
          <cell r="I26">
            <v>-18</v>
          </cell>
          <cell r="J26">
            <v>0</v>
          </cell>
          <cell r="L26">
            <v>20</v>
          </cell>
          <cell r="M26">
            <v>2</v>
          </cell>
          <cell r="N26">
            <v>0</v>
          </cell>
          <cell r="O26">
            <v>238.59999999999985</v>
          </cell>
          <cell r="P26">
            <v>61</v>
          </cell>
          <cell r="Q26">
            <v>0.25565800502933794</v>
          </cell>
          <cell r="S26">
            <v>177.59999999999985</v>
          </cell>
          <cell r="T26">
            <v>807.59999999999991</v>
          </cell>
          <cell r="U26">
            <v>0.21991084695393742</v>
          </cell>
          <cell r="W26">
            <v>0.23333333333333331</v>
          </cell>
        </row>
        <row r="27">
          <cell r="B27">
            <v>1438.3</v>
          </cell>
          <cell r="C27">
            <v>481.2</v>
          </cell>
          <cell r="D27">
            <v>957.09999999999991</v>
          </cell>
          <cell r="E27">
            <v>619.6</v>
          </cell>
          <cell r="F27">
            <v>116.03</v>
          </cell>
          <cell r="G27">
            <v>221.46999999999989</v>
          </cell>
          <cell r="H27">
            <v>0</v>
          </cell>
          <cell r="I27">
            <v>-21</v>
          </cell>
          <cell r="J27">
            <v>0</v>
          </cell>
          <cell r="L27">
            <v>22.1</v>
          </cell>
          <cell r="M27">
            <v>1.1000000000000014</v>
          </cell>
          <cell r="N27">
            <v>0</v>
          </cell>
          <cell r="O27">
            <v>222.56999999999988</v>
          </cell>
          <cell r="P27">
            <v>57.85</v>
          </cell>
          <cell r="Q27">
            <v>0.25991822797322206</v>
          </cell>
          <cell r="S27">
            <v>164.71999999999989</v>
          </cell>
          <cell r="T27">
            <v>807.93600000000004</v>
          </cell>
          <cell r="U27">
            <v>0.20387753485424573</v>
          </cell>
          <cell r="W27">
            <v>0.20333333333333334</v>
          </cell>
        </row>
        <row r="28">
          <cell r="B28">
            <v>1474.412</v>
          </cell>
          <cell r="C28">
            <v>498</v>
          </cell>
          <cell r="D28">
            <v>976.41200000000003</v>
          </cell>
          <cell r="E28">
            <v>677.6</v>
          </cell>
          <cell r="F28">
            <v>136.5</v>
          </cell>
          <cell r="G28">
            <v>162.31200000000001</v>
          </cell>
          <cell r="H28">
            <v>0</v>
          </cell>
          <cell r="I28">
            <v>-18</v>
          </cell>
          <cell r="J28">
            <v>0</v>
          </cell>
          <cell r="L28">
            <v>30.5</v>
          </cell>
          <cell r="M28">
            <v>12.5</v>
          </cell>
          <cell r="N28">
            <v>0</v>
          </cell>
          <cell r="O28">
            <v>174.81200000000001</v>
          </cell>
          <cell r="P28">
            <v>36.765000000000001</v>
          </cell>
          <cell r="Q28">
            <v>0.2103116490858751</v>
          </cell>
          <cell r="S28">
            <v>138.04700000000003</v>
          </cell>
          <cell r="T28">
            <v>808.30200000000013</v>
          </cell>
          <cell r="U28">
            <v>0.1707864139888309</v>
          </cell>
          <cell r="W28">
            <v>0.17</v>
          </cell>
        </row>
        <row r="30">
          <cell r="A30" t="str">
            <v>1992</v>
          </cell>
          <cell r="B30">
            <v>5597.5120000000006</v>
          </cell>
          <cell r="C30">
            <v>1814.3</v>
          </cell>
          <cell r="D30">
            <v>3783.2120000000004</v>
          </cell>
          <cell r="E30">
            <v>2480.7999999999997</v>
          </cell>
          <cell r="F30">
            <v>473.42999999999995</v>
          </cell>
          <cell r="G30">
            <v>828.98199999999986</v>
          </cell>
          <cell r="H30">
            <v>0</v>
          </cell>
          <cell r="I30">
            <v>-75.900000000000006</v>
          </cell>
          <cell r="J30">
            <v>0</v>
          </cell>
          <cell r="L30">
            <v>105.5</v>
          </cell>
          <cell r="M30">
            <v>29.6</v>
          </cell>
          <cell r="N30">
            <v>0</v>
          </cell>
          <cell r="O30">
            <v>858.58199999999977</v>
          </cell>
          <cell r="P30">
            <v>214.61500000000001</v>
          </cell>
          <cell r="Q30">
            <v>0.24996447631094068</v>
          </cell>
          <cell r="S30">
            <v>643.96699999999987</v>
          </cell>
          <cell r="T30">
            <v>808.19999999999993</v>
          </cell>
          <cell r="U30">
            <v>0.79679163573372913</v>
          </cell>
          <cell r="W30">
            <v>0.81</v>
          </cell>
        </row>
        <row r="32">
          <cell r="A32" t="str">
            <v>1993</v>
          </cell>
          <cell r="B32">
            <v>1331.7</v>
          </cell>
          <cell r="C32">
            <v>410.9</v>
          </cell>
          <cell r="D32">
            <v>920.80000000000007</v>
          </cell>
          <cell r="E32">
            <v>588</v>
          </cell>
          <cell r="F32">
            <v>110.7</v>
          </cell>
          <cell r="G32">
            <v>222.10000000000008</v>
          </cell>
          <cell r="H32">
            <v>9.5</v>
          </cell>
          <cell r="I32">
            <v>-14</v>
          </cell>
          <cell r="J32">
            <v>-2.8</v>
          </cell>
          <cell r="L32">
            <v>30.099999999999998</v>
          </cell>
          <cell r="M32">
            <v>22.799999999999997</v>
          </cell>
          <cell r="N32">
            <v>0.1</v>
          </cell>
          <cell r="O32">
            <v>245.00000000000009</v>
          </cell>
          <cell r="P32">
            <v>63.7</v>
          </cell>
          <cell r="Q32">
            <v>0.2599999999999999</v>
          </cell>
          <cell r="S32">
            <v>181.30000000000007</v>
          </cell>
          <cell r="T32">
            <v>812.178</v>
          </cell>
          <cell r="U32">
            <v>0.2232269280871928</v>
          </cell>
          <cell r="W32">
            <v>0.22333333333333336</v>
          </cell>
        </row>
        <row r="33">
          <cell r="B33">
            <v>1449.7</v>
          </cell>
          <cell r="C33">
            <v>471.9</v>
          </cell>
          <cell r="D33">
            <v>977.80000000000007</v>
          </cell>
          <cell r="E33">
            <v>630</v>
          </cell>
          <cell r="F33">
            <v>107.7</v>
          </cell>
          <cell r="G33">
            <v>240.10000000000008</v>
          </cell>
          <cell r="H33">
            <v>9.5</v>
          </cell>
          <cell r="I33">
            <v>-16</v>
          </cell>
          <cell r="J33">
            <v>-2.8</v>
          </cell>
          <cell r="L33">
            <v>19.399999999999999</v>
          </cell>
          <cell r="M33">
            <v>10.099999999999998</v>
          </cell>
          <cell r="N33">
            <v>0.1</v>
          </cell>
          <cell r="O33">
            <v>250.30000000000007</v>
          </cell>
          <cell r="P33">
            <v>60.1</v>
          </cell>
          <cell r="Q33">
            <v>0.24011186576108665</v>
          </cell>
          <cell r="S33">
            <v>190.20000000000007</v>
          </cell>
          <cell r="T33">
            <v>811.19999999999993</v>
          </cell>
          <cell r="U33">
            <v>0.23446745562130189</v>
          </cell>
          <cell r="W33">
            <v>0.23333333333333331</v>
          </cell>
        </row>
        <row r="34">
          <cell r="B34">
            <v>1478.5</v>
          </cell>
          <cell r="C34">
            <v>498.3</v>
          </cell>
          <cell r="D34">
            <v>980.2</v>
          </cell>
          <cell r="E34">
            <v>665.3</v>
          </cell>
          <cell r="F34">
            <v>118.5</v>
          </cell>
          <cell r="G34">
            <v>196.40000000000009</v>
          </cell>
          <cell r="H34">
            <v>10.4</v>
          </cell>
          <cell r="I34">
            <v>-18</v>
          </cell>
          <cell r="J34">
            <v>-2.9</v>
          </cell>
          <cell r="L34">
            <v>8.0999999999999979</v>
          </cell>
          <cell r="M34">
            <v>-2.4000000000000021</v>
          </cell>
          <cell r="N34">
            <v>0.1</v>
          </cell>
          <cell r="O34">
            <v>194.10000000000008</v>
          </cell>
          <cell r="P34">
            <v>38.1</v>
          </cell>
          <cell r="Q34">
            <v>0.19629057187016993</v>
          </cell>
          <cell r="S34">
            <v>156.00000000000009</v>
          </cell>
          <cell r="T34">
            <v>809.40000000000009</v>
          </cell>
          <cell r="U34">
            <v>0.19273535952557458</v>
          </cell>
          <cell r="W34">
            <v>0.19333333333333333</v>
          </cell>
        </row>
        <row r="35">
          <cell r="B35">
            <v>1533.8</v>
          </cell>
          <cell r="C35">
            <v>537</v>
          </cell>
          <cell r="D35">
            <v>996.8</v>
          </cell>
          <cell r="E35">
            <v>712.8</v>
          </cell>
          <cell r="F35">
            <v>128</v>
          </cell>
          <cell r="G35">
            <v>156</v>
          </cell>
          <cell r="H35">
            <v>10.3</v>
          </cell>
          <cell r="I35">
            <v>-16.2</v>
          </cell>
          <cell r="J35">
            <v>-2.9</v>
          </cell>
          <cell r="L35">
            <v>6.9000000000000448</v>
          </cell>
          <cell r="M35">
            <v>-1.8999999999999542</v>
          </cell>
          <cell r="N35">
            <v>0.2</v>
          </cell>
          <cell r="O35">
            <v>154.30000000000004</v>
          </cell>
          <cell r="P35">
            <v>36.399999999999977</v>
          </cell>
          <cell r="Q35">
            <v>0.2359040829552817</v>
          </cell>
          <cell r="S35">
            <v>117.90000000000006</v>
          </cell>
          <cell r="T35">
            <v>806.40000000000009</v>
          </cell>
          <cell r="U35">
            <v>0.14620535714285721</v>
          </cell>
          <cell r="W35">
            <v>-0.24</v>
          </cell>
        </row>
        <row r="37">
          <cell r="A37" t="str">
            <v>1993</v>
          </cell>
          <cell r="B37">
            <v>5793.7</v>
          </cell>
          <cell r="C37">
            <v>1918.1</v>
          </cell>
          <cell r="D37">
            <v>3875.6</v>
          </cell>
          <cell r="E37">
            <v>2596.1</v>
          </cell>
          <cell r="F37">
            <v>464.9</v>
          </cell>
          <cell r="G37">
            <v>814.60000000000025</v>
          </cell>
          <cell r="H37">
            <v>39.700000000000003</v>
          </cell>
          <cell r="I37">
            <v>-64.2</v>
          </cell>
          <cell r="J37">
            <v>-11.4</v>
          </cell>
          <cell r="L37">
            <v>64.500000000000043</v>
          </cell>
          <cell r="M37">
            <v>28.600000000000037</v>
          </cell>
          <cell r="N37">
            <v>0.5</v>
          </cell>
          <cell r="O37">
            <v>843.70000000000039</v>
          </cell>
          <cell r="P37">
            <v>198.29999999999998</v>
          </cell>
          <cell r="Q37">
            <v>0.23503615029038746</v>
          </cell>
          <cell r="S37">
            <v>645.40000000000032</v>
          </cell>
          <cell r="T37">
            <v>810</v>
          </cell>
          <cell r="U37">
            <v>0.79679012345679057</v>
          </cell>
          <cell r="W37">
            <v>0.41</v>
          </cell>
        </row>
        <row r="39">
          <cell r="A39" t="str">
            <v>94/93</v>
          </cell>
          <cell r="B39">
            <v>0.10754750850061279</v>
          </cell>
          <cell r="C39">
            <v>0.12355977269172613</v>
          </cell>
          <cell r="D39">
            <v>9.9622768087522129E-2</v>
          </cell>
          <cell r="E39">
            <v>5.365740919070916E-2</v>
          </cell>
          <cell r="F39">
            <v>-1.9143901914390193E-2</v>
          </cell>
          <cell r="G39">
            <v>0.31389393567394963</v>
          </cell>
          <cell r="H39">
            <v>0.25188916876574297</v>
          </cell>
          <cell r="I39">
            <v>0.45950155763239864</v>
          </cell>
          <cell r="J39">
            <v>9.6491228070175294E-2</v>
          </cell>
          <cell r="L39">
            <v>-1.1317829457364341</v>
          </cell>
          <cell r="M39" t="str">
            <v xml:space="preserve">    NM</v>
          </cell>
          <cell r="N39" t="str">
            <v xml:space="preserve">    NM</v>
          </cell>
          <cell r="O39">
            <v>8.2235391726916518E-2</v>
          </cell>
          <cell r="P39">
            <v>0.10489157841654073</v>
          </cell>
          <cell r="Q39">
            <v>2.093462001226154E-2</v>
          </cell>
          <cell r="S39">
            <v>7.5274248528043985E-2</v>
          </cell>
          <cell r="T39">
            <v>-6.6666666666668206E-3</v>
          </cell>
          <cell r="U39">
            <v>8.3514099783079665E-2</v>
          </cell>
          <cell r="W39">
            <v>1.1056910569105689</v>
          </cell>
        </row>
        <row r="40">
          <cell r="A40" t="str">
            <v>1994</v>
          </cell>
        </row>
        <row r="41">
          <cell r="A41" t="str">
            <v xml:space="preserve"> 1Q</v>
          </cell>
          <cell r="B41">
            <v>1472.895</v>
          </cell>
          <cell r="C41">
            <v>479</v>
          </cell>
          <cell r="D41">
            <v>993.89499999999998</v>
          </cell>
          <cell r="E41">
            <v>612.40000000000009</v>
          </cell>
          <cell r="F41">
            <v>97.9</v>
          </cell>
          <cell r="G41">
            <v>283.59499999999991</v>
          </cell>
          <cell r="H41">
            <v>9.6</v>
          </cell>
          <cell r="I41">
            <v>-18.399999999999999</v>
          </cell>
          <cell r="J41">
            <v>-3.1</v>
          </cell>
          <cell r="L41">
            <v>1.8999999999999986</v>
          </cell>
          <cell r="M41">
            <v>-10</v>
          </cell>
          <cell r="N41">
            <v>-19.815999999999999</v>
          </cell>
          <cell r="O41">
            <v>253.77899999999991</v>
          </cell>
          <cell r="P41">
            <v>63.4</v>
          </cell>
          <cell r="Q41">
            <v>0.24982366547271453</v>
          </cell>
          <cell r="S41">
            <v>190.37899999999991</v>
          </cell>
          <cell r="T41">
            <v>803.09999999999991</v>
          </cell>
          <cell r="U41">
            <v>0.23666666666666666</v>
          </cell>
          <cell r="W41">
            <v>0.23666666666666666</v>
          </cell>
        </row>
        <row r="42">
          <cell r="A42" t="str">
            <v xml:space="preserve"> 2Q</v>
          </cell>
          <cell r="B42">
            <v>1552.203</v>
          </cell>
          <cell r="C42">
            <v>509.3</v>
          </cell>
          <cell r="D42">
            <v>1042.903</v>
          </cell>
          <cell r="E42">
            <v>657</v>
          </cell>
          <cell r="F42">
            <v>100.5</v>
          </cell>
          <cell r="G42">
            <v>285.40300000000002</v>
          </cell>
          <cell r="H42">
            <v>14.5</v>
          </cell>
          <cell r="I42">
            <v>-23.8</v>
          </cell>
          <cell r="J42">
            <v>-3.1</v>
          </cell>
          <cell r="L42">
            <v>1.0999999999999996</v>
          </cell>
          <cell r="M42">
            <v>-11.3</v>
          </cell>
          <cell r="N42">
            <v>-18.600000000000001</v>
          </cell>
          <cell r="O42">
            <v>255.50300000000001</v>
          </cell>
          <cell r="P42">
            <v>58.8</v>
          </cell>
          <cell r="Q42">
            <v>0.23013428413756393</v>
          </cell>
          <cell r="S42">
            <v>196.70300000000003</v>
          </cell>
          <cell r="T42">
            <v>802.7940000000001</v>
          </cell>
          <cell r="U42">
            <v>0.24666666666666667</v>
          </cell>
          <cell r="W42">
            <v>0.24666666666666667</v>
          </cell>
        </row>
        <row r="43">
          <cell r="A43" t="str">
            <v xml:space="preserve"> 3Q</v>
          </cell>
          <cell r="B43">
            <v>1671</v>
          </cell>
          <cell r="C43">
            <v>569.4</v>
          </cell>
          <cell r="D43">
            <v>1101.5999999999999</v>
          </cell>
          <cell r="E43">
            <v>701.1</v>
          </cell>
          <cell r="F43">
            <v>124.2</v>
          </cell>
          <cell r="G43">
            <v>276.2999999999999</v>
          </cell>
          <cell r="H43">
            <v>14.6</v>
          </cell>
          <cell r="I43">
            <v>-26</v>
          </cell>
          <cell r="J43">
            <v>-3.1</v>
          </cell>
          <cell r="L43">
            <v>-4.4000000000000004</v>
          </cell>
          <cell r="M43">
            <v>-18.899999999999999</v>
          </cell>
          <cell r="N43">
            <v>-34.700000000000003</v>
          </cell>
          <cell r="O43">
            <v>222.69999999999993</v>
          </cell>
          <cell r="P43">
            <v>53.5</v>
          </cell>
          <cell r="Q43">
            <v>0.24023349797934448</v>
          </cell>
          <cell r="S43">
            <v>169.19999999999993</v>
          </cell>
          <cell r="T43">
            <v>805.19999999999993</v>
          </cell>
          <cell r="U43">
            <v>0.21</v>
          </cell>
          <cell r="W43">
            <v>0.21</v>
          </cell>
        </row>
        <row r="44">
          <cell r="A44" t="str">
            <v xml:space="preserve"> 4Q</v>
          </cell>
          <cell r="B44">
            <v>1720.7</v>
          </cell>
          <cell r="C44">
            <v>597.4</v>
          </cell>
          <cell r="D44">
            <v>1123.3000000000002</v>
          </cell>
          <cell r="E44">
            <v>764.90000000000009</v>
          </cell>
          <cell r="F44">
            <v>133.4</v>
          </cell>
          <cell r="G44">
            <v>225.00000000000009</v>
          </cell>
          <cell r="H44">
            <v>11</v>
          </cell>
          <cell r="I44">
            <v>-25.5</v>
          </cell>
          <cell r="J44">
            <v>-3.2</v>
          </cell>
          <cell r="L44">
            <v>-7.1000000000000005</v>
          </cell>
          <cell r="M44">
            <v>-24.8</v>
          </cell>
          <cell r="N44">
            <v>-19.100000000000001</v>
          </cell>
          <cell r="O44">
            <v>181.10000000000008</v>
          </cell>
          <cell r="P44">
            <v>43.4</v>
          </cell>
          <cell r="Q44">
            <v>0.23964660408614014</v>
          </cell>
          <cell r="S44">
            <v>137.70000000000007</v>
          </cell>
          <cell r="T44">
            <v>807.24599999999998</v>
          </cell>
          <cell r="U44">
            <v>0.17</v>
          </cell>
          <cell r="W44">
            <v>0.17</v>
          </cell>
        </row>
        <row r="46">
          <cell r="A46" t="str">
            <v>1994</v>
          </cell>
          <cell r="B46">
            <v>6416.7979999999998</v>
          </cell>
          <cell r="C46">
            <v>2155.1</v>
          </cell>
          <cell r="D46">
            <v>4261.6980000000003</v>
          </cell>
          <cell r="E46">
            <v>2735.4</v>
          </cell>
          <cell r="F46">
            <v>456</v>
          </cell>
          <cell r="G46">
            <v>1070.2979999999998</v>
          </cell>
          <cell r="H46">
            <v>49.7</v>
          </cell>
          <cell r="I46">
            <v>-93.7</v>
          </cell>
          <cell r="J46">
            <v>-12.5</v>
          </cell>
          <cell r="L46">
            <v>-8.5000000000000036</v>
          </cell>
          <cell r="M46">
            <v>-65</v>
          </cell>
          <cell r="N46">
            <v>-92.216000000000008</v>
          </cell>
          <cell r="O46">
            <v>913.08199999999988</v>
          </cell>
          <cell r="P46">
            <v>219.1</v>
          </cell>
          <cell r="Q46">
            <v>0.23995654278586154</v>
          </cell>
          <cell r="S46">
            <v>693.98199999999997</v>
          </cell>
          <cell r="T46">
            <v>804.59999999999991</v>
          </cell>
          <cell r="U46">
            <v>0.86333333333333329</v>
          </cell>
          <cell r="W46">
            <v>0.86333333333333329</v>
          </cell>
        </row>
        <row r="48">
          <cell r="A48" t="str">
            <v>95/94</v>
          </cell>
        </row>
        <row r="49">
          <cell r="A49" t="str">
            <v xml:space="preserve"> 1Q</v>
          </cell>
          <cell r="B49">
            <v>8.9419137141479865E-2</v>
          </cell>
          <cell r="C49">
            <v>0.11127348643006263</v>
          </cell>
          <cell r="D49">
            <v>7.888660270954162E-2</v>
          </cell>
          <cell r="E49">
            <v>2.5310254735466886E-2</v>
          </cell>
          <cell r="F49">
            <v>0.16751787538304375</v>
          </cell>
          <cell r="G49">
            <v>0.16398385020892503</v>
          </cell>
          <cell r="H49">
            <v>0.30208333333333348</v>
          </cell>
          <cell r="I49">
            <v>0.5869565217391306</v>
          </cell>
          <cell r="J49">
            <v>0.12903225806451601</v>
          </cell>
          <cell r="L49" t="str">
            <v xml:space="preserve">    NM</v>
          </cell>
          <cell r="M49">
            <v>1.1200000000000001</v>
          </cell>
          <cell r="N49">
            <v>0.52906742026645137</v>
          </cell>
          <cell r="O49">
            <v>9.7805570988931612E-2</v>
          </cell>
          <cell r="P49">
            <v>0.21766561514195581</v>
          </cell>
          <cell r="Q49">
            <v>0.10918148652229132</v>
          </cell>
          <cell r="S49">
            <v>5.788978826446245E-2</v>
          </cell>
          <cell r="T49">
            <v>5.7900635039223047E-3</v>
          </cell>
          <cell r="U49">
            <v>5.6338028169014009E-2</v>
          </cell>
          <cell r="W49">
            <v>5.6338028169014009E-2</v>
          </cell>
        </row>
        <row r="50">
          <cell r="A50" t="str">
            <v xml:space="preserve"> 2Q</v>
          </cell>
          <cell r="B50">
            <v>0.15938443618521547</v>
          </cell>
          <cell r="C50">
            <v>0.20086393088552912</v>
          </cell>
          <cell r="D50">
            <v>0.13912799176912904</v>
          </cell>
          <cell r="E50">
            <v>0.1388127853881278</v>
          </cell>
          <cell r="F50">
            <v>0.18905472636815923</v>
          </cell>
          <cell r="G50">
            <v>0.12227271612421742</v>
          </cell>
          <cell r="H50">
            <v>-0.13103448275862073</v>
          </cell>
          <cell r="I50">
            <v>0.38655462184873945</v>
          </cell>
          <cell r="J50">
            <v>0.12903225806451601</v>
          </cell>
          <cell r="L50" t="str">
            <v xml:space="preserve">    NM</v>
          </cell>
          <cell r="M50">
            <v>0.21238938053097312</v>
          </cell>
          <cell r="N50">
            <v>0.5376344086021505</v>
          </cell>
          <cell r="O50">
            <v>8.804984677283656E-2</v>
          </cell>
          <cell r="P50">
            <v>0.30952380952380953</v>
          </cell>
          <cell r="Q50">
            <v>0.20355130181569003</v>
          </cell>
          <cell r="S50">
            <v>2.1845116749617643E-2</v>
          </cell>
          <cell r="T50">
            <v>8.2287610520257459E-3</v>
          </cell>
          <cell r="U50">
            <v>1.3513513513513598E-2</v>
          </cell>
          <cell r="W50">
            <v>1.3513513513513598E-2</v>
          </cell>
        </row>
        <row r="51">
          <cell r="A51" t="str">
            <v xml:space="preserve"> 3Q</v>
          </cell>
          <cell r="B51">
            <v>6.2657091561938882E-2</v>
          </cell>
          <cell r="C51">
            <v>9.2553565156304973E-2</v>
          </cell>
          <cell r="D51">
            <v>4.7204066811910028E-2</v>
          </cell>
          <cell r="E51">
            <v>0.12081015546997564</v>
          </cell>
          <cell r="F51">
            <v>4.8309178743961345E-2</v>
          </cell>
          <cell r="G51">
            <v>-0.1400651465798044</v>
          </cell>
          <cell r="H51">
            <v>-0.1095890410958904</v>
          </cell>
          <cell r="I51">
            <v>0.20384615384615379</v>
          </cell>
          <cell r="J51">
            <v>0.12903225806451601</v>
          </cell>
          <cell r="L51" t="str">
            <v xml:space="preserve">    NM</v>
          </cell>
          <cell r="M51">
            <v>0.23809523809523858</v>
          </cell>
          <cell r="N51">
            <v>1.4409221902017322E-2</v>
          </cell>
          <cell r="O51">
            <v>-0.19622810956443648</v>
          </cell>
          <cell r="P51">
            <v>-0.11401869158878508</v>
          </cell>
          <cell r="Q51">
            <v>0.10227953845350579</v>
          </cell>
          <cell r="S51">
            <v>-0.22222222222222232</v>
          </cell>
          <cell r="T51">
            <v>7.1572280178839875E-3</v>
          </cell>
          <cell r="U51">
            <v>-0.22222222222222221</v>
          </cell>
          <cell r="W51">
            <v>0.25396825396825418</v>
          </cell>
        </row>
        <row r="52">
          <cell r="A52" t="str">
            <v xml:space="preserve"> 4Q</v>
          </cell>
          <cell r="B52">
            <v>8.0897309234613912E-2</v>
          </cell>
          <cell r="C52">
            <v>0.10729829260127222</v>
          </cell>
          <cell r="D52">
            <v>6.6856583281402981E-2</v>
          </cell>
          <cell r="E52">
            <v>6.9290103281474558E-2</v>
          </cell>
          <cell r="F52">
            <v>2.8485757121439192E-2</v>
          </cell>
          <cell r="G52">
            <v>8.133333333333348E-2</v>
          </cell>
          <cell r="H52">
            <v>5.4545454545454453E-2</v>
          </cell>
          <cell r="I52">
            <v>0.1450980392156862</v>
          </cell>
          <cell r="J52">
            <v>0.40625</v>
          </cell>
          <cell r="L52" t="str">
            <v xml:space="preserve">    NM</v>
          </cell>
          <cell r="M52">
            <v>0.66935483870967727</v>
          </cell>
          <cell r="N52">
            <v>0.87958115183246055</v>
          </cell>
          <cell r="O52">
            <v>-8.3379348426283584E-2</v>
          </cell>
          <cell r="P52">
            <v>-1.1520737327188946E-2</v>
          </cell>
          <cell r="Q52">
            <v>7.8395147409915822E-2</v>
          </cell>
          <cell r="S52">
            <v>-0.1060275962236743</v>
          </cell>
          <cell r="T52">
            <v>4.8981351409607132E-3</v>
          </cell>
          <cell r="U52">
            <v>-0.11764705882352955</v>
          </cell>
          <cell r="W52">
            <v>-0.11764705882352955</v>
          </cell>
        </row>
        <row r="54">
          <cell r="A54" t="str">
            <v>95/94</v>
          </cell>
          <cell r="B54">
            <v>9.7089233602179803E-2</v>
          </cell>
          <cell r="C54">
            <v>0.1263978469676581</v>
          </cell>
          <cell r="D54">
            <v>8.2268147578734796E-2</v>
          </cell>
          <cell r="E54">
            <v>8.9347079037800592E-2</v>
          </cell>
          <cell r="F54">
            <v>9.9122807017543835E-2</v>
          </cell>
          <cell r="G54">
            <v>5.699534148433405E-2</v>
          </cell>
          <cell r="H54">
            <v>0</v>
          </cell>
          <cell r="I54">
            <v>0.30949839914621124</v>
          </cell>
          <cell r="J54">
            <v>0.19999999999999996</v>
          </cell>
          <cell r="L54">
            <v>0.37647058823529411</v>
          </cell>
          <cell r="M54" t="str">
            <v xml:space="preserve">    NM</v>
          </cell>
          <cell r="N54" t="str">
            <v xml:space="preserve">NM </v>
          </cell>
          <cell r="O54">
            <v>-1.2574993264569678E-2</v>
          </cell>
          <cell r="P54">
            <v>0.11592879963486991</v>
          </cell>
          <cell r="Q54">
            <v>0.13014030637556151</v>
          </cell>
          <cell r="S54">
            <v>-5.314547063180286E-2</v>
          </cell>
          <cell r="T54">
            <v>6.7114093959732557E-3</v>
          </cell>
          <cell r="U54">
            <v>-6.1776061776061653E-2</v>
          </cell>
          <cell r="W54">
            <v>5.7915057915058021E-2</v>
          </cell>
        </row>
        <row r="56">
          <cell r="A56" t="str">
            <v>1995</v>
          </cell>
        </row>
        <row r="57">
          <cell r="A57" t="str">
            <v xml:space="preserve"> 1Q</v>
          </cell>
          <cell r="B57">
            <v>1604.6</v>
          </cell>
          <cell r="C57">
            <v>532.29999999999995</v>
          </cell>
          <cell r="D57">
            <v>1072.3</v>
          </cell>
          <cell r="E57">
            <v>627.9</v>
          </cell>
          <cell r="F57">
            <v>114.3</v>
          </cell>
          <cell r="G57">
            <v>330.09999999999997</v>
          </cell>
          <cell r="H57">
            <v>12.5</v>
          </cell>
          <cell r="I57">
            <v>-29.2</v>
          </cell>
          <cell r="J57">
            <v>-3.5</v>
          </cell>
          <cell r="L57">
            <v>-0.99999999999999967</v>
          </cell>
          <cell r="M57">
            <v>-21.2</v>
          </cell>
          <cell r="N57">
            <v>-30.3</v>
          </cell>
          <cell r="O57">
            <v>278.59999999999997</v>
          </cell>
          <cell r="P57">
            <v>77.2</v>
          </cell>
          <cell r="Q57">
            <v>0.27709978463747315</v>
          </cell>
          <cell r="S57">
            <v>201.39999999999998</v>
          </cell>
          <cell r="T57">
            <v>807.75</v>
          </cell>
          <cell r="U57">
            <v>0.25</v>
          </cell>
          <cell r="W57">
            <v>0.25</v>
          </cell>
        </row>
        <row r="58">
          <cell r="A58" t="str">
            <v xml:space="preserve"> 2Q</v>
          </cell>
          <cell r="B58">
            <v>1799.6</v>
          </cell>
          <cell r="C58">
            <v>611.6</v>
          </cell>
          <cell r="D58">
            <v>1188</v>
          </cell>
          <cell r="E58">
            <v>748.19999999999993</v>
          </cell>
          <cell r="F58">
            <v>119.5</v>
          </cell>
          <cell r="G58">
            <v>320.30000000000007</v>
          </cell>
          <cell r="H58">
            <v>12.6</v>
          </cell>
          <cell r="I58">
            <v>-33</v>
          </cell>
          <cell r="J58">
            <v>-3.5</v>
          </cell>
          <cell r="L58">
            <v>10.200000000000001</v>
          </cell>
          <cell r="M58">
            <v>-13.699999999999998</v>
          </cell>
          <cell r="N58">
            <v>-28.6</v>
          </cell>
          <cell r="O58">
            <v>278.00000000000006</v>
          </cell>
          <cell r="P58">
            <v>77</v>
          </cell>
          <cell r="Q58">
            <v>0.27697841726618699</v>
          </cell>
          <cell r="S58">
            <v>201.00000000000006</v>
          </cell>
          <cell r="T58">
            <v>809.40000000000009</v>
          </cell>
          <cell r="U58">
            <v>0.25</v>
          </cell>
          <cell r="W58">
            <v>0.25</v>
          </cell>
        </row>
        <row r="59">
          <cell r="A59" t="str">
            <v xml:space="preserve"> 3Q</v>
          </cell>
          <cell r="B59">
            <v>1775.7</v>
          </cell>
          <cell r="C59">
            <v>622.1</v>
          </cell>
          <cell r="D59">
            <v>1153.5999999999999</v>
          </cell>
          <cell r="E59">
            <v>785.8</v>
          </cell>
          <cell r="F59">
            <v>130.19999999999999</v>
          </cell>
          <cell r="G59">
            <v>237.59999999999997</v>
          </cell>
          <cell r="H59">
            <v>13</v>
          </cell>
          <cell r="I59">
            <v>-31.3</v>
          </cell>
          <cell r="J59">
            <v>-3.5</v>
          </cell>
          <cell r="L59">
            <v>-1.6000000000000085</v>
          </cell>
          <cell r="M59">
            <v>-23.400000000000009</v>
          </cell>
          <cell r="N59">
            <v>-35.200000000000003</v>
          </cell>
          <cell r="O59">
            <v>178.99999999999994</v>
          </cell>
          <cell r="P59">
            <v>47.4</v>
          </cell>
          <cell r="Q59">
            <v>0.26480446927374307</v>
          </cell>
          <cell r="S59">
            <v>131.59999999999994</v>
          </cell>
          <cell r="T59">
            <v>810.96300000000008</v>
          </cell>
          <cell r="U59">
            <v>0.16333333333333333</v>
          </cell>
          <cell r="W59">
            <v>0.26333333333333336</v>
          </cell>
        </row>
        <row r="60">
          <cell r="A60" t="str">
            <v xml:space="preserve"> 4Q</v>
          </cell>
          <cell r="B60">
            <v>1859.9</v>
          </cell>
          <cell r="C60">
            <v>661.5</v>
          </cell>
          <cell r="D60">
            <v>1198.4000000000001</v>
          </cell>
          <cell r="E60">
            <v>817.9</v>
          </cell>
          <cell r="F60">
            <v>137.19999999999999</v>
          </cell>
          <cell r="G60">
            <v>243.30000000000013</v>
          </cell>
          <cell r="H60">
            <v>11.6</v>
          </cell>
          <cell r="I60">
            <v>-29.2</v>
          </cell>
          <cell r="J60">
            <v>-4.5</v>
          </cell>
          <cell r="L60">
            <v>-19.299999999999997</v>
          </cell>
          <cell r="M60">
            <v>-41.4</v>
          </cell>
          <cell r="N60">
            <v>-35.9</v>
          </cell>
          <cell r="O60">
            <v>166.00000000000011</v>
          </cell>
          <cell r="P60">
            <v>42.9</v>
          </cell>
          <cell r="Q60">
            <v>0.25843373493975885</v>
          </cell>
          <cell r="S60">
            <v>123.10000000000011</v>
          </cell>
          <cell r="T60">
            <v>811.19999999999993</v>
          </cell>
          <cell r="U60">
            <v>0.15</v>
          </cell>
          <cell r="W60">
            <v>0.15</v>
          </cell>
        </row>
        <row r="62">
          <cell r="A62" t="str">
            <v>1995</v>
          </cell>
          <cell r="B62">
            <v>7039.7999999999993</v>
          </cell>
          <cell r="C62">
            <v>2427.5</v>
          </cell>
          <cell r="D62">
            <v>4612.2999999999993</v>
          </cell>
          <cell r="E62">
            <v>2979.7999999999997</v>
          </cell>
          <cell r="F62">
            <v>501.2</v>
          </cell>
          <cell r="G62">
            <v>1131.2999999999995</v>
          </cell>
          <cell r="H62">
            <v>49.7</v>
          </cell>
          <cell r="I62">
            <v>-122.7</v>
          </cell>
          <cell r="J62">
            <v>-15</v>
          </cell>
          <cell r="L62">
            <v>-11.700000000000005</v>
          </cell>
          <cell r="M62">
            <v>-99.700000000000017</v>
          </cell>
          <cell r="N62">
            <v>-130</v>
          </cell>
          <cell r="O62">
            <v>901.6</v>
          </cell>
          <cell r="P62">
            <v>244.5</v>
          </cell>
          <cell r="Q62">
            <v>0.27118456078083408</v>
          </cell>
          <cell r="S62">
            <v>657.10000000000014</v>
          </cell>
          <cell r="T62">
            <v>810</v>
          </cell>
          <cell r="U62">
            <v>0.81</v>
          </cell>
          <cell r="W62">
            <v>0.91333333333333344</v>
          </cell>
        </row>
        <row r="64">
          <cell r="A64" t="str">
            <v>96/95</v>
          </cell>
        </row>
        <row r="65">
          <cell r="A65" t="str">
            <v xml:space="preserve"> 1Q</v>
          </cell>
          <cell r="B65">
            <v>0.13997257883584702</v>
          </cell>
          <cell r="C65">
            <v>0.10764606424948342</v>
          </cell>
          <cell r="D65">
            <v>0.15601977058658956</v>
          </cell>
          <cell r="E65">
            <v>0.20385411689759514</v>
          </cell>
          <cell r="F65">
            <v>0.13473315835520561</v>
          </cell>
          <cell r="G65">
            <v>7.2402302332626345E-2</v>
          </cell>
          <cell r="H65">
            <v>-3.2000000000000028E-2</v>
          </cell>
          <cell r="I65">
            <v>0</v>
          </cell>
          <cell r="J65" t="str">
            <v xml:space="preserve">NM </v>
          </cell>
          <cell r="L65" t="str">
            <v xml:space="preserve">NM </v>
          </cell>
          <cell r="M65" t="str">
            <v xml:space="preserve">NM </v>
          </cell>
          <cell r="N65">
            <v>7.2607260726072598E-2</v>
          </cell>
          <cell r="O65">
            <v>8.2555635319454534E-2</v>
          </cell>
          <cell r="P65">
            <v>5.569948186528495E-2</v>
          </cell>
          <cell r="Q65">
            <v>-2.4808104616484195E-2</v>
          </cell>
          <cell r="S65">
            <v>9.2850049652432931E-2</v>
          </cell>
          <cell r="T65">
            <v>2.3955431754874468E-2</v>
          </cell>
          <cell r="U65">
            <v>4.0000000000000036E-2</v>
          </cell>
          <cell r="W65">
            <v>0.21333333333333337</v>
          </cell>
        </row>
        <row r="66">
          <cell r="A66" t="str">
            <v xml:space="preserve"> 2Q</v>
          </cell>
          <cell r="B66">
            <v>-4.6677039342075677E-3</v>
          </cell>
          <cell r="C66">
            <v>-6.4748201438848962E-2</v>
          </cell>
          <cell r="D66">
            <v>2.626262626262621E-2</v>
          </cell>
          <cell r="E66">
            <v>2.0181769580326137E-2</v>
          </cell>
          <cell r="F66">
            <v>9.3723849372384871E-2</v>
          </cell>
          <cell r="G66">
            <v>1.5298157976896709E-2</v>
          </cell>
          <cell r="H66">
            <v>0.26984126984126977</v>
          </cell>
          <cell r="I66">
            <v>-4.8484848484848575E-2</v>
          </cell>
          <cell r="J66" t="str">
            <v xml:space="preserve">NM </v>
          </cell>
          <cell r="L66" t="str">
            <v xml:space="preserve">NM </v>
          </cell>
          <cell r="M66" t="str">
            <v xml:space="preserve">NM </v>
          </cell>
          <cell r="N66">
            <v>0.27622377622377625</v>
          </cell>
          <cell r="O66">
            <v>6.2589928057554145E-2</v>
          </cell>
          <cell r="P66">
            <v>6.7532467532467555E-2</v>
          </cell>
          <cell r="Q66">
            <v>4.6514081720578915E-3</v>
          </cell>
          <cell r="S66">
            <v>6.0696517412935469E-2</v>
          </cell>
          <cell r="T66">
            <v>2.1868050407709116E-2</v>
          </cell>
          <cell r="U66">
            <v>2.6666666666666616E-2</v>
          </cell>
          <cell r="W66">
            <v>2.6666666666666616E-2</v>
          </cell>
        </row>
        <row r="67">
          <cell r="A67" t="str">
            <v xml:space="preserve"> 3Q</v>
          </cell>
          <cell r="B67">
            <v>-4.3363180717463923E-3</v>
          </cell>
          <cell r="C67">
            <v>-6.735251567272138E-2</v>
          </cell>
          <cell r="D67">
            <v>2.9646324549237102E-2</v>
          </cell>
          <cell r="E67">
            <v>-9.1626368032577954E-3</v>
          </cell>
          <cell r="F67">
            <v>0.11367127496159757</v>
          </cell>
          <cell r="G67">
            <v>0.1119528619528618</v>
          </cell>
          <cell r="H67">
            <v>0.15384615384615374</v>
          </cell>
          <cell r="I67">
            <v>0.50479233226837072</v>
          </cell>
          <cell r="J67" t="str">
            <v xml:space="preserve">NM </v>
          </cell>
          <cell r="L67" t="str">
            <v xml:space="preserve">NM </v>
          </cell>
          <cell r="M67" t="str">
            <v xml:space="preserve">NM </v>
          </cell>
          <cell r="N67" t="str">
            <v xml:space="preserve">NM </v>
          </cell>
          <cell r="O67">
            <v>0.17318435754189943</v>
          </cell>
          <cell r="P67">
            <v>0.31434599156118148</v>
          </cell>
          <cell r="Q67">
            <v>0.12032348804500703</v>
          </cell>
          <cell r="S67">
            <v>0.12234042553191493</v>
          </cell>
          <cell r="T67">
            <v>1.9898565039341953E-2</v>
          </cell>
          <cell r="U67">
            <v>0.12244897959183687</v>
          </cell>
          <cell r="W67">
            <v>-0.30379746835443044</v>
          </cell>
        </row>
        <row r="68">
          <cell r="A68" t="str">
            <v xml:space="preserve"> 4Q</v>
          </cell>
          <cell r="B68">
            <v>-9.086510027420891E-3</v>
          </cell>
          <cell r="C68">
            <v>-8.5260770975056688E-2</v>
          </cell>
          <cell r="D68">
            <v>3.2960614152202972E-2</v>
          </cell>
          <cell r="E68">
            <v>1.2226433549344939E-4</v>
          </cell>
          <cell r="F68">
            <v>8.8921282798833934E-2</v>
          </cell>
          <cell r="G68">
            <v>0.11179613645704878</v>
          </cell>
          <cell r="H68">
            <v>8.6206896551723755E-3</v>
          </cell>
          <cell r="I68">
            <v>0.31506849315068486</v>
          </cell>
          <cell r="J68" t="str">
            <v xml:space="preserve">NM </v>
          </cell>
          <cell r="L68" t="str">
            <v xml:space="preserve">NM </v>
          </cell>
          <cell r="M68" t="str">
            <v xml:space="preserve">NM </v>
          </cell>
          <cell r="N68" t="str">
            <v xml:space="preserve">NM </v>
          </cell>
          <cell r="O68">
            <v>0.44879518072289115</v>
          </cell>
          <cell r="P68">
            <v>0.62703962703962701</v>
          </cell>
          <cell r="Q68">
            <v>0.12302943072173855</v>
          </cell>
          <cell r="S68">
            <v>0.38667749796913031</v>
          </cell>
          <cell r="T68">
            <v>1.9600591715976279E-2</v>
          </cell>
          <cell r="U68">
            <v>0.37777777777777777</v>
          </cell>
          <cell r="W68">
            <v>0.37777777777777777</v>
          </cell>
        </row>
        <row r="70">
          <cell r="A70" t="str">
            <v>96/95</v>
          </cell>
          <cell r="B70">
            <v>2.7216682292110717E-2</v>
          </cell>
          <cell r="C70">
            <v>-3.3202883625128687E-2</v>
          </cell>
          <cell r="D70">
            <v>5.9016109099581771E-2</v>
          </cell>
          <cell r="E70">
            <v>4.5640647023290182E-2</v>
          </cell>
          <cell r="F70">
            <v>0.10694333599361516</v>
          </cell>
          <cell r="G70">
            <v>7.3013347476355239E-2</v>
          </cell>
          <cell r="H70">
            <v>0.10261569416498983</v>
          </cell>
          <cell r="I70">
            <v>0.19070904645476761</v>
          </cell>
          <cell r="J70">
            <v>1.1000000000000001</v>
          </cell>
          <cell r="L70" t="str">
            <v xml:space="preserve">NM </v>
          </cell>
          <cell r="M70">
            <v>-2.3069207622868682E-2</v>
          </cell>
          <cell r="N70" t="str">
            <v xml:space="preserve">NM </v>
          </cell>
          <cell r="O70">
            <v>0.16182342502218283</v>
          </cell>
          <cell r="P70">
            <v>0.20981595092024552</v>
          </cell>
          <cell r="Q70">
            <v>4.1307934462714302E-2</v>
          </cell>
          <cell r="S70">
            <v>0.14396591082027066</v>
          </cell>
          <cell r="T70">
            <v>2.1111111111111081E-2</v>
          </cell>
          <cell r="U70">
            <v>0.11934156378600824</v>
          </cell>
          <cell r="W70">
            <v>4.014598540145986E-2</v>
          </cell>
        </row>
        <row r="72">
          <cell r="A72" t="str">
            <v>1996 (c)</v>
          </cell>
        </row>
        <row r="73">
          <cell r="A73" t="str">
            <v xml:space="preserve"> 1Q</v>
          </cell>
          <cell r="B73">
            <v>1829.2</v>
          </cell>
          <cell r="C73">
            <v>589.6</v>
          </cell>
          <cell r="D73">
            <v>1239.5999999999999</v>
          </cell>
          <cell r="E73">
            <v>755.9</v>
          </cell>
          <cell r="F73">
            <v>129.69999999999999</v>
          </cell>
          <cell r="G73">
            <v>353.99999999999994</v>
          </cell>
          <cell r="H73">
            <v>12.1</v>
          </cell>
          <cell r="I73">
            <v>-29.2</v>
          </cell>
          <cell r="J73">
            <v>-3.5</v>
          </cell>
          <cell r="L73">
            <v>0.69999999999999785</v>
          </cell>
          <cell r="M73">
            <v>-19.900000000000002</v>
          </cell>
          <cell r="N73">
            <v>-32.5</v>
          </cell>
          <cell r="O73">
            <v>301.59999999999997</v>
          </cell>
          <cell r="P73">
            <v>81.5</v>
          </cell>
          <cell r="Q73">
            <v>0.27022546419098148</v>
          </cell>
          <cell r="S73">
            <v>220.09999999999997</v>
          </cell>
          <cell r="T73">
            <v>827.09999999999991</v>
          </cell>
          <cell r="U73">
            <v>0.26</v>
          </cell>
          <cell r="W73">
            <v>0.30333333333333334</v>
          </cell>
        </row>
        <row r="74">
          <cell r="A74" t="str">
            <v xml:space="preserve"> 2Q</v>
          </cell>
          <cell r="B74">
            <v>1791.2</v>
          </cell>
          <cell r="C74">
            <v>572</v>
          </cell>
          <cell r="D74">
            <v>1219.2</v>
          </cell>
          <cell r="E74">
            <v>763.3</v>
          </cell>
          <cell r="F74">
            <v>130.69999999999999</v>
          </cell>
          <cell r="G74">
            <v>325.2000000000001</v>
          </cell>
          <cell r="H74">
            <v>16</v>
          </cell>
          <cell r="I74">
            <v>-31.4</v>
          </cell>
          <cell r="J74">
            <v>-4</v>
          </cell>
          <cell r="L74">
            <v>26.1</v>
          </cell>
          <cell r="M74">
            <v>6.7000000000000028</v>
          </cell>
          <cell r="N74">
            <v>-36.5</v>
          </cell>
          <cell r="O74">
            <v>295.40000000000009</v>
          </cell>
          <cell r="P74">
            <v>82.2</v>
          </cell>
          <cell r="Q74">
            <v>0.27826675693974262</v>
          </cell>
          <cell r="S74">
            <v>213.2000000000001</v>
          </cell>
          <cell r="T74">
            <v>827.09999999999991</v>
          </cell>
          <cell r="U74">
            <v>0.25666666666666665</v>
          </cell>
          <cell r="W74">
            <v>0.25666666666666665</v>
          </cell>
        </row>
        <row r="75">
          <cell r="A75" t="str">
            <v xml:space="preserve"> 3Q</v>
          </cell>
          <cell r="B75">
            <v>1768</v>
          </cell>
          <cell r="C75">
            <v>580.20000000000005</v>
          </cell>
          <cell r="D75">
            <v>1187.8</v>
          </cell>
          <cell r="E75">
            <v>778.6</v>
          </cell>
          <cell r="F75">
            <v>145</v>
          </cell>
          <cell r="G75">
            <v>264.19999999999993</v>
          </cell>
          <cell r="H75">
            <v>15</v>
          </cell>
          <cell r="I75">
            <v>-47.1</v>
          </cell>
          <cell r="J75">
            <v>-13</v>
          </cell>
          <cell r="L75">
            <v>-9.1</v>
          </cell>
          <cell r="M75">
            <v>-54.2</v>
          </cell>
          <cell r="N75">
            <v>0</v>
          </cell>
          <cell r="O75">
            <v>209.99999999999994</v>
          </cell>
          <cell r="P75">
            <v>62.3</v>
          </cell>
          <cell r="Q75">
            <v>0.29666666666666675</v>
          </cell>
          <cell r="S75">
            <v>147.69999999999993</v>
          </cell>
          <cell r="T75">
            <v>827.09999999999991</v>
          </cell>
          <cell r="U75">
            <v>0.18333333333333335</v>
          </cell>
          <cell r="W75">
            <v>0.18333333333333335</v>
          </cell>
        </row>
        <row r="76">
          <cell r="A76" t="str">
            <v xml:space="preserve"> 4Q</v>
          </cell>
          <cell r="B76">
            <v>1843</v>
          </cell>
          <cell r="C76">
            <v>605.1</v>
          </cell>
          <cell r="D76">
            <v>1237.9000000000001</v>
          </cell>
          <cell r="E76">
            <v>818</v>
          </cell>
          <cell r="F76">
            <v>149.4</v>
          </cell>
          <cell r="G76">
            <v>270.50000000000011</v>
          </cell>
          <cell r="H76">
            <v>11.7</v>
          </cell>
          <cell r="I76">
            <v>-38.4</v>
          </cell>
          <cell r="J76">
            <v>-11</v>
          </cell>
          <cell r="L76">
            <v>7.7</v>
          </cell>
          <cell r="M76">
            <v>-30.000000000000004</v>
          </cell>
          <cell r="N76">
            <v>0</v>
          </cell>
          <cell r="O76">
            <v>240.50000000000011</v>
          </cell>
          <cell r="P76">
            <v>69.8</v>
          </cell>
          <cell r="Q76">
            <v>0.29022869022869008</v>
          </cell>
          <cell r="S76">
            <v>170.7000000000001</v>
          </cell>
          <cell r="T76">
            <v>827.09999999999991</v>
          </cell>
          <cell r="U76">
            <v>0.20666666666666667</v>
          </cell>
          <cell r="W76">
            <v>0.20666666666666667</v>
          </cell>
        </row>
        <row r="78">
          <cell r="A78" t="str">
            <v>1996 (c)</v>
          </cell>
          <cell r="B78">
            <v>7231.4</v>
          </cell>
          <cell r="C78">
            <v>2346.9</v>
          </cell>
          <cell r="D78">
            <v>4884.5</v>
          </cell>
          <cell r="E78">
            <v>3115.7999999999997</v>
          </cell>
          <cell r="F78">
            <v>554.79999999999995</v>
          </cell>
          <cell r="G78">
            <v>1213.9000000000001</v>
          </cell>
          <cell r="H78">
            <v>54.8</v>
          </cell>
          <cell r="I78">
            <v>-146.1</v>
          </cell>
          <cell r="J78">
            <v>-31.5</v>
          </cell>
          <cell r="L78">
            <v>72</v>
          </cell>
          <cell r="M78">
            <v>-97.4</v>
          </cell>
          <cell r="N78">
            <v>-69</v>
          </cell>
          <cell r="O78">
            <v>1047.5</v>
          </cell>
          <cell r="P78">
            <v>295.8</v>
          </cell>
          <cell r="Q78">
            <v>0.28238663484486876</v>
          </cell>
          <cell r="S78">
            <v>751.7</v>
          </cell>
          <cell r="T78">
            <v>827.09999999999991</v>
          </cell>
          <cell r="U78">
            <v>0.90666666666666673</v>
          </cell>
          <cell r="W78">
            <v>0.95000000000000007</v>
          </cell>
        </row>
        <row r="80">
          <cell r="A80" t="str">
            <v>97/96</v>
          </cell>
        </row>
        <row r="81">
          <cell r="A81" t="str">
            <v xml:space="preserve"> 1Q</v>
          </cell>
          <cell r="B81">
            <v>-2.8318390553247252E-2</v>
          </cell>
          <cell r="C81">
            <v>-6.8521031207598337E-2</v>
          </cell>
          <cell r="D81">
            <v>-9.1965150048402E-3</v>
          </cell>
          <cell r="E81">
            <v>8.3344357719274953E-3</v>
          </cell>
          <cell r="F81">
            <v>3.2382420971472703E-2</v>
          </cell>
          <cell r="G81">
            <v>-6.1864406779660763E-2</v>
          </cell>
          <cell r="H81">
            <v>-0.3223140495867769</v>
          </cell>
          <cell r="I81">
            <v>0.34246575342465757</v>
          </cell>
          <cell r="J81" t="str">
            <v xml:space="preserve">NM </v>
          </cell>
          <cell r="L81" t="str">
            <v xml:space="preserve">NM </v>
          </cell>
          <cell r="M81" t="str">
            <v xml:space="preserve">NM </v>
          </cell>
          <cell r="N81" t="str">
            <v xml:space="preserve">NM </v>
          </cell>
          <cell r="O81">
            <v>-3.315649867373982E-2</v>
          </cell>
          <cell r="P81">
            <v>7.361963190184051E-2</v>
          </cell>
          <cell r="Q81">
            <v>0.11043786344854256</v>
          </cell>
          <cell r="S81">
            <v>-7.2694229895501783E-2</v>
          </cell>
          <cell r="T81">
            <v>7.5021158263812726E-3</v>
          </cell>
          <cell r="U81">
            <v>-5.7967970911010913E-2</v>
          </cell>
          <cell r="W81">
            <v>-0.19254397506658072</v>
          </cell>
        </row>
        <row r="82">
          <cell r="A82" t="str">
            <v xml:space="preserve"> 2Q</v>
          </cell>
          <cell r="B82">
            <v>9.7979008485931107E-2</v>
          </cell>
          <cell r="C82">
            <v>3.7762237762237749E-2</v>
          </cell>
          <cell r="D82">
            <v>0.12623031496062986</v>
          </cell>
          <cell r="E82">
            <v>0.12354251277348371</v>
          </cell>
          <cell r="F82">
            <v>0.21040550879877573</v>
          </cell>
          <cell r="G82">
            <v>9.8708487084870233E-2</v>
          </cell>
          <cell r="H82">
            <v>-0.4375</v>
          </cell>
          <cell r="I82">
            <v>0.52866242038216571</v>
          </cell>
          <cell r="J82" t="str">
            <v xml:space="preserve">NM </v>
          </cell>
          <cell r="L82" t="str">
            <v xml:space="preserve">NM </v>
          </cell>
          <cell r="M82" t="str">
            <v xml:space="preserve">NM </v>
          </cell>
          <cell r="N82" t="str">
            <v xml:space="preserve">NM </v>
          </cell>
          <cell r="O82">
            <v>0.11882193635748073</v>
          </cell>
          <cell r="P82">
            <v>0.20559610705596087</v>
          </cell>
          <cell r="Q82">
            <v>7.755851747150122E-2</v>
          </cell>
          <cell r="S82">
            <v>8.5365853658535551E-2</v>
          </cell>
          <cell r="T82">
            <v>1.2173860476363263E-2</v>
          </cell>
          <cell r="U82">
            <v>7.6913313271802064E-2</v>
          </cell>
          <cell r="W82">
            <v>7.6913313271802064E-2</v>
          </cell>
        </row>
        <row r="83">
          <cell r="A83" t="str">
            <v xml:space="preserve"> 3Q</v>
          </cell>
          <cell r="B83">
            <v>0.19247737556561106</v>
          </cell>
          <cell r="C83">
            <v>5.8255773871078942E-2</v>
          </cell>
          <cell r="D83">
            <v>0.25804007408654672</v>
          </cell>
          <cell r="E83">
            <v>0.24389930644746971</v>
          </cell>
          <cell r="F83">
            <v>0.25517241379310351</v>
          </cell>
          <cell r="G83">
            <v>0.30128690386071266</v>
          </cell>
          <cell r="H83">
            <v>-0.28666666666666674</v>
          </cell>
          <cell r="I83">
            <v>-8.7048832271762189E-2</v>
          </cell>
          <cell r="J83" t="str">
            <v xml:space="preserve">NM </v>
          </cell>
          <cell r="L83" t="str">
            <v xml:space="preserve">NM </v>
          </cell>
          <cell r="M83" t="str">
            <v xml:space="preserve">NM </v>
          </cell>
          <cell r="N83" t="str">
            <v xml:space="preserve">NM </v>
          </cell>
          <cell r="O83">
            <v>0.34904761904762038</v>
          </cell>
          <cell r="P83">
            <v>0.36436597110754421</v>
          </cell>
          <cell r="Q83">
            <v>1.1354937990059932E-2</v>
          </cell>
          <cell r="S83">
            <v>0.34258632362897945</v>
          </cell>
          <cell r="T83">
            <v>1.4508523757707614E-2</v>
          </cell>
          <cell r="U83">
            <v>0.30909090909090886</v>
          </cell>
          <cell r="W83">
            <v>0.30909090909090886</v>
          </cell>
        </row>
        <row r="84">
          <cell r="A84" t="str">
            <v xml:space="preserve"> 4Q</v>
          </cell>
          <cell r="B84">
            <v>0.26283233857840482</v>
          </cell>
          <cell r="C84">
            <v>7.5524706660056173E-2</v>
          </cell>
          <cell r="D84">
            <v>0.35439050004039108</v>
          </cell>
          <cell r="E84">
            <v>0.33007334963325174</v>
          </cell>
          <cell r="F84">
            <v>0.32597054886211496</v>
          </cell>
          <cell r="G84">
            <v>0.44362292051755992</v>
          </cell>
          <cell r="H84">
            <v>0.15384615384615397</v>
          </cell>
          <cell r="I84">
            <v>-4.1666666666666741E-2</v>
          </cell>
          <cell r="J84" t="str">
            <v xml:space="preserve">NM </v>
          </cell>
          <cell r="L84" t="str">
            <v xml:space="preserve">NM </v>
          </cell>
          <cell r="M84" t="str">
            <v xml:space="preserve">NM </v>
          </cell>
          <cell r="N84" t="str">
            <v xml:space="preserve">NM </v>
          </cell>
          <cell r="O84">
            <v>0.36382536382536368</v>
          </cell>
          <cell r="P84">
            <v>0.32234957020057298</v>
          </cell>
          <cell r="Q84">
            <v>-3.0411366971835663E-2</v>
          </cell>
          <cell r="S84">
            <v>0.3807850029291151</v>
          </cell>
          <cell r="T84">
            <v>1.4508523757707614E-2</v>
          </cell>
          <cell r="U84">
            <v>0.35483870967741948</v>
          </cell>
          <cell r="W84">
            <v>0.35483870967741948</v>
          </cell>
        </row>
        <row r="86">
          <cell r="A86" t="str">
            <v>Year</v>
          </cell>
          <cell r="B86">
            <v>0.13115026136017938</v>
          </cell>
          <cell r="C86">
            <v>2.5863905577570456E-2</v>
          </cell>
          <cell r="D86">
            <v>0.18173815129491255</v>
          </cell>
          <cell r="E86">
            <v>0.17988959496758472</v>
          </cell>
          <cell r="F86">
            <v>0.21160778658976231</v>
          </cell>
          <cell r="G86">
            <v>0.17283136996457715</v>
          </cell>
          <cell r="H86">
            <v>-0.24452554744525545</v>
          </cell>
          <cell r="I86">
            <v>0.14305270362765232</v>
          </cell>
          <cell r="J86">
            <v>0.79047619047619055</v>
          </cell>
          <cell r="L86" t="str">
            <v xml:space="preserve">NM </v>
          </cell>
          <cell r="M86">
            <v>0.9537987679671458</v>
          </cell>
          <cell r="N86" t="str">
            <v xml:space="preserve">NM </v>
          </cell>
          <cell r="O86">
            <v>0.17747016706443919</v>
          </cell>
          <cell r="P86">
            <v>0.23022312373225162</v>
          </cell>
          <cell r="Q86">
            <v>4.4801947551105448E-2</v>
          </cell>
          <cell r="S86">
            <v>0.15671145403751519</v>
          </cell>
          <cell r="T86">
            <v>1.2173255954539997E-2</v>
          </cell>
          <cell r="U86">
            <v>0.14853243893702173</v>
          </cell>
          <cell r="W86">
            <v>9.6143239967964478E-2</v>
          </cell>
        </row>
        <row r="88">
          <cell r="A88">
            <v>1997</v>
          </cell>
        </row>
        <row r="89">
          <cell r="A89" t="str">
            <v xml:space="preserve"> 1Q</v>
          </cell>
          <cell r="B89">
            <v>1777.4</v>
          </cell>
          <cell r="C89">
            <v>549.20000000000005</v>
          </cell>
          <cell r="D89">
            <v>1228.2</v>
          </cell>
          <cell r="E89">
            <v>762.2</v>
          </cell>
          <cell r="F89">
            <v>133.9</v>
          </cell>
          <cell r="G89">
            <v>332.1</v>
          </cell>
          <cell r="H89">
            <v>8.1999999999999993</v>
          </cell>
          <cell r="I89">
            <v>-39.200000000000003</v>
          </cell>
          <cell r="J89">
            <v>-12.4</v>
          </cell>
          <cell r="L89">
            <v>2.9</v>
          </cell>
          <cell r="M89">
            <v>-40.500000000000007</v>
          </cell>
          <cell r="N89">
            <v>0</v>
          </cell>
          <cell r="O89">
            <v>291.60000000000002</v>
          </cell>
          <cell r="P89">
            <v>87.5</v>
          </cell>
          <cell r="Q89">
            <v>0.30006858710562412</v>
          </cell>
          <cell r="S89">
            <v>204.10000000000002</v>
          </cell>
          <cell r="T89">
            <v>833.30499999999995</v>
          </cell>
          <cell r="U89">
            <v>0.24492832756313718</v>
          </cell>
          <cell r="V89">
            <v>0.13</v>
          </cell>
          <cell r="W89">
            <v>0.24492832756313718</v>
          </cell>
        </row>
        <row r="90">
          <cell r="A90" t="str">
            <v xml:space="preserve"> 2Q</v>
          </cell>
          <cell r="B90">
            <v>1966.7</v>
          </cell>
          <cell r="C90">
            <v>593.6</v>
          </cell>
          <cell r="D90">
            <v>1373.1</v>
          </cell>
          <cell r="E90">
            <v>857.6</v>
          </cell>
          <cell r="F90">
            <v>158.19999999999999</v>
          </cell>
          <cell r="G90">
            <v>357.2999999999999</v>
          </cell>
          <cell r="H90">
            <v>9</v>
          </cell>
          <cell r="I90">
            <v>-48</v>
          </cell>
          <cell r="J90">
            <v>-12.8</v>
          </cell>
          <cell r="L90">
            <v>25</v>
          </cell>
          <cell r="M90">
            <v>-26.799999999999997</v>
          </cell>
          <cell r="N90">
            <v>0</v>
          </cell>
          <cell r="O90">
            <v>330.49999999999989</v>
          </cell>
          <cell r="P90">
            <v>99.1</v>
          </cell>
          <cell r="Q90">
            <v>0.29984871406959163</v>
          </cell>
          <cell r="S90">
            <v>231.39999999999989</v>
          </cell>
          <cell r="T90">
            <v>837.16899999999998</v>
          </cell>
          <cell r="U90">
            <v>0.27640775040642918</v>
          </cell>
          <cell r="V90">
            <v>0.13</v>
          </cell>
          <cell r="W90">
            <v>0.27640775040642918</v>
          </cell>
        </row>
        <row r="91">
          <cell r="A91" t="str">
            <v xml:space="preserve"> 3Q</v>
          </cell>
          <cell r="B91">
            <v>2108.3000000000002</v>
          </cell>
          <cell r="C91">
            <v>614</v>
          </cell>
          <cell r="D91">
            <v>1494.3000000000002</v>
          </cell>
          <cell r="E91">
            <v>968.5</v>
          </cell>
          <cell r="F91">
            <v>182</v>
          </cell>
          <cell r="G91">
            <v>343.80000000000018</v>
          </cell>
          <cell r="H91">
            <v>10.7</v>
          </cell>
          <cell r="I91">
            <v>-43</v>
          </cell>
          <cell r="J91">
            <v>-13.2</v>
          </cell>
          <cell r="L91">
            <v>-15</v>
          </cell>
          <cell r="M91">
            <v>-60.5</v>
          </cell>
          <cell r="N91">
            <v>0</v>
          </cell>
          <cell r="O91">
            <v>283.30000000000018</v>
          </cell>
          <cell r="P91">
            <v>85</v>
          </cell>
          <cell r="Q91">
            <v>0.30003529827038455</v>
          </cell>
          <cell r="S91">
            <v>198.30000000000018</v>
          </cell>
          <cell r="T91">
            <v>839.09999999999991</v>
          </cell>
          <cell r="U91">
            <v>0.24</v>
          </cell>
          <cell r="V91">
            <v>0.13</v>
          </cell>
          <cell r="W91">
            <v>0.24</v>
          </cell>
        </row>
        <row r="92">
          <cell r="A92" t="str">
            <v xml:space="preserve"> 4Q</v>
          </cell>
          <cell r="B92">
            <v>2327.4</v>
          </cell>
          <cell r="C92">
            <v>650.79999999999995</v>
          </cell>
          <cell r="D92">
            <v>1676.6000000000001</v>
          </cell>
          <cell r="E92">
            <v>1088</v>
          </cell>
          <cell r="F92">
            <v>198.1</v>
          </cell>
          <cell r="G92">
            <v>390.50000000000011</v>
          </cell>
          <cell r="H92">
            <v>13.5</v>
          </cell>
          <cell r="I92">
            <v>-36.799999999999997</v>
          </cell>
          <cell r="J92">
            <v>-18</v>
          </cell>
          <cell r="L92">
            <v>-21.2</v>
          </cell>
          <cell r="M92">
            <v>-62.5</v>
          </cell>
          <cell r="N92">
            <v>0</v>
          </cell>
          <cell r="O92">
            <v>328.00000000000011</v>
          </cell>
          <cell r="P92">
            <v>92.3</v>
          </cell>
          <cell r="Q92">
            <v>0.28140243902439016</v>
          </cell>
          <cell r="S92">
            <v>235.7000000000001</v>
          </cell>
          <cell r="T92">
            <v>839.09999999999991</v>
          </cell>
          <cell r="U92">
            <v>0.28000000000000003</v>
          </cell>
          <cell r="V92">
            <v>0.13</v>
          </cell>
          <cell r="W92">
            <v>0.28000000000000003</v>
          </cell>
        </row>
        <row r="94">
          <cell r="A94" t="str">
            <v>Year</v>
          </cell>
          <cell r="B94">
            <v>8179.8000000000011</v>
          </cell>
          <cell r="C94">
            <v>2407.6000000000004</v>
          </cell>
          <cell r="D94">
            <v>5772.2000000000007</v>
          </cell>
          <cell r="E94">
            <v>3676.3</v>
          </cell>
          <cell r="F94">
            <v>672.2</v>
          </cell>
          <cell r="G94">
            <v>1423.7000000000003</v>
          </cell>
          <cell r="H94">
            <v>41.4</v>
          </cell>
          <cell r="I94">
            <v>-167</v>
          </cell>
          <cell r="J94">
            <v>-56.400000000000006</v>
          </cell>
          <cell r="L94">
            <v>-8.3000000000000007</v>
          </cell>
          <cell r="M94">
            <v>-190.3</v>
          </cell>
          <cell r="N94">
            <v>0</v>
          </cell>
          <cell r="O94">
            <v>1233.4000000000001</v>
          </cell>
          <cell r="P94">
            <v>363.90000000000003</v>
          </cell>
          <cell r="Q94">
            <v>0.2950381060483217</v>
          </cell>
          <cell r="S94">
            <v>869.50000000000023</v>
          </cell>
          <cell r="T94">
            <v>837.16849999999988</v>
          </cell>
          <cell r="U94">
            <v>1.0413360779695664</v>
          </cell>
          <cell r="V94">
            <v>0.52</v>
          </cell>
          <cell r="W94">
            <v>1.0413360779695664</v>
          </cell>
        </row>
        <row r="96">
          <cell r="A96" t="str">
            <v>1998/97</v>
          </cell>
        </row>
        <row r="97">
          <cell r="A97" t="str">
            <v xml:space="preserve"> 1Q</v>
          </cell>
          <cell r="B97">
            <v>0.31140992460897943</v>
          </cell>
          <cell r="C97">
            <v>0.19009468317552791</v>
          </cell>
          <cell r="D97">
            <v>0.36565705911089408</v>
          </cell>
          <cell r="E97">
            <v>0.3438729992128049</v>
          </cell>
          <cell r="F97">
            <v>0.55190440627333825</v>
          </cell>
          <cell r="G97">
            <v>0.34056007226738982</v>
          </cell>
          <cell r="H97">
            <v>0.79268292682926833</v>
          </cell>
          <cell r="I97">
            <v>-8.163265306122458E-2</v>
          </cell>
          <cell r="J97" t="str">
            <v xml:space="preserve">NM </v>
          </cell>
          <cell r="L97" t="str">
            <v xml:space="preserve">NM </v>
          </cell>
          <cell r="M97" t="str">
            <v xml:space="preserve">NM </v>
          </cell>
          <cell r="N97" t="str">
            <v xml:space="preserve">NM </v>
          </cell>
          <cell r="O97">
            <v>0.42661179698216811</v>
          </cell>
          <cell r="P97">
            <v>0.40685714285714281</v>
          </cell>
          <cell r="Q97">
            <v>-1.384725274725318E-2</v>
          </cell>
          <cell r="S97">
            <v>0.4350808427241557</v>
          </cell>
          <cell r="T97">
            <v>4.8798036733249006E-2</v>
          </cell>
          <cell r="U97">
            <v>0.34733292503674651</v>
          </cell>
          <cell r="V97">
            <v>0.23076923076923084</v>
          </cell>
          <cell r="W97">
            <v>0.36831000103135558</v>
          </cell>
        </row>
        <row r="98">
          <cell r="A98" t="str">
            <v xml:space="preserve"> 2Q</v>
          </cell>
          <cell r="B98">
            <v>0.36406162607413428</v>
          </cell>
          <cell r="C98">
            <v>0.19086927223719674</v>
          </cell>
          <cell r="D98">
            <v>0.43893379943194222</v>
          </cell>
          <cell r="E98">
            <v>0.38362873134328379</v>
          </cell>
          <cell r="F98">
            <v>0.64854614412136558</v>
          </cell>
          <cell r="G98">
            <v>0.47886929750909535</v>
          </cell>
          <cell r="H98">
            <v>0.57777777777777772</v>
          </cell>
          <cell r="I98">
            <v>-0.45000000000000007</v>
          </cell>
          <cell r="J98" t="str">
            <v xml:space="preserve">NM </v>
          </cell>
          <cell r="L98" t="str">
            <v xml:space="preserve">NM </v>
          </cell>
          <cell r="M98" t="str">
            <v xml:space="preserve">NM </v>
          </cell>
          <cell r="N98" t="str">
            <v xml:space="preserve">NM </v>
          </cell>
          <cell r="O98">
            <v>0.39546142208774526</v>
          </cell>
          <cell r="P98">
            <v>0.33299697275479323</v>
          </cell>
          <cell r="Q98">
            <v>-4.4762576982959046E-2</v>
          </cell>
          <cell r="S98">
            <v>0.42221261884183159</v>
          </cell>
          <cell r="T98">
            <v>4.961059117095834E-2</v>
          </cell>
          <cell r="U98">
            <v>0.44713742437338011</v>
          </cell>
          <cell r="V98">
            <v>0.23076923076923084</v>
          </cell>
          <cell r="W98">
            <v>0.35499072780429342</v>
          </cell>
        </row>
        <row r="99">
          <cell r="A99" t="str">
            <v xml:space="preserve"> 3Q</v>
          </cell>
          <cell r="B99">
            <v>0.27785419532324607</v>
          </cell>
          <cell r="C99">
            <v>0.1454397394136806</v>
          </cell>
          <cell r="D99">
            <v>0.33226259787191315</v>
          </cell>
          <cell r="E99">
            <v>0.25885389778007228</v>
          </cell>
          <cell r="F99">
            <v>0.41043956043956031</v>
          </cell>
          <cell r="G99">
            <v>0.49767306573589187</v>
          </cell>
          <cell r="H99">
            <v>0.14018691588785037</v>
          </cell>
          <cell r="I99">
            <v>-0.39534883720930236</v>
          </cell>
          <cell r="J99" t="str">
            <v xml:space="preserve">NM </v>
          </cell>
          <cell r="L99" t="str">
            <v xml:space="preserve">NM </v>
          </cell>
          <cell r="M99" t="str">
            <v xml:space="preserve">NM </v>
          </cell>
          <cell r="N99" t="str">
            <v xml:space="preserve">NM </v>
          </cell>
          <cell r="O99">
            <v>0.49805859512883721</v>
          </cell>
          <cell r="P99">
            <v>0.43529411764705883</v>
          </cell>
          <cell r="Q99">
            <v>-4.1897211287907243E-2</v>
          </cell>
          <cell r="S99">
            <v>0.52496217851739635</v>
          </cell>
          <cell r="T99">
            <v>4.9970574424979208E-2</v>
          </cell>
          <cell r="U99">
            <v>0.43014376137654531</v>
          </cell>
          <cell r="V99">
            <v>0.23076923076923084</v>
          </cell>
          <cell r="W99">
            <v>0.43014376137654531</v>
          </cell>
        </row>
        <row r="100">
          <cell r="A100" t="str">
            <v xml:space="preserve"> 4Q</v>
          </cell>
          <cell r="B100">
            <v>0.30450287874881843</v>
          </cell>
          <cell r="C100">
            <v>0.11017209588199139</v>
          </cell>
          <cell r="D100">
            <v>0.37993558391983751</v>
          </cell>
          <cell r="E100">
            <v>0.29034926470588251</v>
          </cell>
          <cell r="F100">
            <v>0.33064109035840494</v>
          </cell>
          <cell r="G100">
            <v>0.65454545454545343</v>
          </cell>
          <cell r="H100">
            <v>8.1481481481481488E-2</v>
          </cell>
          <cell r="I100">
            <v>-0.30163043478260865</v>
          </cell>
          <cell r="J100" t="str">
            <v xml:space="preserve">NM </v>
          </cell>
          <cell r="L100" t="str">
            <v xml:space="preserve">NM </v>
          </cell>
          <cell r="M100" t="str">
            <v xml:space="preserve">NM </v>
          </cell>
          <cell r="N100" t="str">
            <v xml:space="preserve">NM </v>
          </cell>
          <cell r="O100">
            <v>0.94695121951219385</v>
          </cell>
          <cell r="P100">
            <v>0.50920910075839676</v>
          </cell>
          <cell r="Q100">
            <v>-0.22483466168375443</v>
          </cell>
          <cell r="S100">
            <v>0.47942299533304977</v>
          </cell>
          <cell r="T100">
            <v>5.1514447622452719E-2</v>
          </cell>
          <cell r="U100">
            <v>0.41144822124236269</v>
          </cell>
          <cell r="V100">
            <v>0.23076923076923084</v>
          </cell>
          <cell r="W100">
            <v>0.41144822124236269</v>
          </cell>
        </row>
        <row r="102">
          <cell r="A102" t="str">
            <v>Year</v>
          </cell>
          <cell r="B102">
            <v>0.31345509670163074</v>
          </cell>
          <cell r="C102">
            <v>0.15729357036052494</v>
          </cell>
          <cell r="D102">
            <v>0.37859048543016516</v>
          </cell>
          <cell r="E102">
            <v>0.31490901177814634</v>
          </cell>
          <cell r="F102">
            <v>0.47113954180303463</v>
          </cell>
          <cell r="G102">
            <v>0.49933272459085409</v>
          </cell>
          <cell r="H102">
            <v>0.34541062801932365</v>
          </cell>
          <cell r="I102">
            <v>-0.3167664670658682</v>
          </cell>
          <cell r="J102">
            <v>6.0283687943262221E-2</v>
          </cell>
          <cell r="L102" t="str">
            <v xml:space="preserve">NM </v>
          </cell>
          <cell r="M102">
            <v>2.1544929059379658E-2</v>
          </cell>
          <cell r="N102" t="str">
            <v xml:space="preserve">NM </v>
          </cell>
          <cell r="O102">
            <v>0.57305010539970747</v>
          </cell>
          <cell r="P102">
            <v>0.41934597416872754</v>
          </cell>
          <cell r="Q102">
            <v>-9.7710893444124647E-2</v>
          </cell>
          <cell r="S102">
            <v>0.46417481311098285</v>
          </cell>
          <cell r="T102">
            <v>4.9975655737166447E-2</v>
          </cell>
          <cell r="U102">
            <v>0.41014993693625623</v>
          </cell>
          <cell r="V102">
            <v>0.23076923076923084</v>
          </cell>
          <cell r="W102">
            <v>0.39062484662615682</v>
          </cell>
        </row>
        <row r="104">
          <cell r="A104" t="str">
            <v>1998 (a)</v>
          </cell>
        </row>
        <row r="105">
          <cell r="A105" t="str">
            <v xml:space="preserve"> 1QR</v>
          </cell>
          <cell r="B105">
            <v>2330.9</v>
          </cell>
          <cell r="C105">
            <v>653.6</v>
          </cell>
          <cell r="D105">
            <v>1677.3000000000002</v>
          </cell>
          <cell r="E105">
            <v>1024.3</v>
          </cell>
          <cell r="F105">
            <v>207.8</v>
          </cell>
          <cell r="G105">
            <v>445.20000000000022</v>
          </cell>
          <cell r="H105">
            <v>14.7</v>
          </cell>
          <cell r="I105">
            <v>-36</v>
          </cell>
          <cell r="J105">
            <v>-14.8</v>
          </cell>
          <cell r="L105">
            <v>6.9</v>
          </cell>
          <cell r="M105">
            <v>-29.200000000000003</v>
          </cell>
          <cell r="N105">
            <v>0</v>
          </cell>
          <cell r="O105">
            <v>416.00000000000023</v>
          </cell>
          <cell r="P105">
            <v>123.1</v>
          </cell>
          <cell r="Q105">
            <v>0.29591346153846138</v>
          </cell>
          <cell r="S105">
            <v>292.9000000000002</v>
          </cell>
          <cell r="T105">
            <v>873.96864800000003</v>
          </cell>
          <cell r="U105">
            <v>0.33</v>
          </cell>
          <cell r="V105">
            <v>0.16</v>
          </cell>
          <cell r="W105">
            <v>0.33513788014052442</v>
          </cell>
        </row>
        <row r="106">
          <cell r="A106" t="str">
            <v xml:space="preserve"> 2QR</v>
          </cell>
          <cell r="B106">
            <v>2682.7</v>
          </cell>
          <cell r="C106">
            <v>706.9</v>
          </cell>
          <cell r="D106">
            <v>1975.7999999999997</v>
          </cell>
          <cell r="E106">
            <v>1186.6000000000001</v>
          </cell>
          <cell r="F106">
            <v>260.8</v>
          </cell>
          <cell r="G106">
            <v>528.39999999999964</v>
          </cell>
          <cell r="H106">
            <v>14.2</v>
          </cell>
          <cell r="I106">
            <v>-26.4</v>
          </cell>
          <cell r="J106">
            <v>-14.7</v>
          </cell>
          <cell r="L106">
            <v>-40.299999999999997</v>
          </cell>
          <cell r="M106">
            <v>-67.199999999999989</v>
          </cell>
          <cell r="N106">
            <v>0</v>
          </cell>
          <cell r="O106">
            <v>461.19999999999965</v>
          </cell>
          <cell r="P106">
            <v>132.1</v>
          </cell>
          <cell r="Q106">
            <v>0.28642671292281024</v>
          </cell>
          <cell r="S106">
            <v>329.09999999999968</v>
          </cell>
          <cell r="T106">
            <v>878.70144900000003</v>
          </cell>
          <cell r="U106">
            <v>0.4</v>
          </cell>
          <cell r="V106">
            <v>0.16</v>
          </cell>
          <cell r="W106">
            <v>0.37452993889395497</v>
          </cell>
        </row>
        <row r="107">
          <cell r="A107" t="str">
            <v xml:space="preserve"> 3QR</v>
          </cell>
          <cell r="B107">
            <v>2694.1</v>
          </cell>
          <cell r="C107">
            <v>703.3</v>
          </cell>
          <cell r="D107">
            <v>1990.8</v>
          </cell>
          <cell r="E107">
            <v>1219.2</v>
          </cell>
          <cell r="F107">
            <v>256.7</v>
          </cell>
          <cell r="G107">
            <v>514.89999999999986</v>
          </cell>
          <cell r="H107">
            <v>12.2</v>
          </cell>
          <cell r="I107">
            <v>-26</v>
          </cell>
          <cell r="J107">
            <v>-14.9</v>
          </cell>
          <cell r="L107">
            <v>-61.8</v>
          </cell>
          <cell r="M107">
            <v>-90.5</v>
          </cell>
          <cell r="N107">
            <v>0</v>
          </cell>
          <cell r="O107">
            <v>424.39999999999986</v>
          </cell>
          <cell r="P107">
            <v>122</v>
          </cell>
          <cell r="Q107">
            <v>0.28746465598491999</v>
          </cell>
          <cell r="S107">
            <v>302.39999999999998</v>
          </cell>
          <cell r="T107">
            <v>881.03030899999999</v>
          </cell>
          <cell r="U107">
            <v>0.34323450273037087</v>
          </cell>
          <cell r="V107">
            <v>0.16</v>
          </cell>
          <cell r="W107">
            <v>0.34323450273037087</v>
          </cell>
        </row>
        <row r="108">
          <cell r="A108" t="str">
            <v xml:space="preserve"> 4Q</v>
          </cell>
          <cell r="B108">
            <v>3036.1</v>
          </cell>
          <cell r="C108">
            <v>722.5</v>
          </cell>
          <cell r="D108">
            <v>2313.6</v>
          </cell>
          <cell r="E108">
            <v>1403.9</v>
          </cell>
          <cell r="F108">
            <v>263.60000000000002</v>
          </cell>
          <cell r="G108">
            <v>646.0999999999998</v>
          </cell>
          <cell r="H108">
            <v>14.6</v>
          </cell>
          <cell r="I108">
            <v>-25.7</v>
          </cell>
          <cell r="J108">
            <v>-15.4</v>
          </cell>
          <cell r="L108">
            <v>19</v>
          </cell>
          <cell r="M108">
            <v>-7.5</v>
          </cell>
          <cell r="N108">
            <v>0</v>
          </cell>
          <cell r="O108">
            <v>638.5999999999998</v>
          </cell>
          <cell r="P108">
            <v>139.30000000000001</v>
          </cell>
          <cell r="Q108">
            <v>0.21813341684935805</v>
          </cell>
          <cell r="S108">
            <v>348.7</v>
          </cell>
          <cell r="T108">
            <v>882.32577300000003</v>
          </cell>
          <cell r="U108">
            <v>0.39520550194786158</v>
          </cell>
          <cell r="V108">
            <v>0.16</v>
          </cell>
          <cell r="W108">
            <v>0.39520550194786158</v>
          </cell>
        </row>
        <row r="110">
          <cell r="A110" t="str">
            <v>Year</v>
          </cell>
          <cell r="B110">
            <v>10743.800000000001</v>
          </cell>
          <cell r="C110">
            <v>2786.3</v>
          </cell>
          <cell r="D110">
            <v>7957.5</v>
          </cell>
          <cell r="E110">
            <v>4834</v>
          </cell>
          <cell r="F110">
            <v>988.9</v>
          </cell>
          <cell r="G110">
            <v>2134.5999999999995</v>
          </cell>
          <cell r="H110">
            <v>55.699999999999996</v>
          </cell>
          <cell r="I110">
            <v>-114.10000000000001</v>
          </cell>
          <cell r="J110">
            <v>-59.8</v>
          </cell>
          <cell r="L110">
            <v>-76.199999999999989</v>
          </cell>
          <cell r="M110">
            <v>-194.39999999999998</v>
          </cell>
          <cell r="N110">
            <v>0</v>
          </cell>
          <cell r="O110">
            <v>1940.1999999999994</v>
          </cell>
          <cell r="P110">
            <v>516.5</v>
          </cell>
          <cell r="Q110">
            <v>0.2662096691062778</v>
          </cell>
          <cell r="S110">
            <v>1273.0999999999999</v>
          </cell>
          <cell r="T110">
            <v>879.00654474999999</v>
          </cell>
          <cell r="U110">
            <v>1.4684400046782324</v>
          </cell>
          <cell r="V110">
            <v>0.64</v>
          </cell>
          <cell r="W110">
            <v>1.4481078237127119</v>
          </cell>
        </row>
        <row r="112">
          <cell r="A112" t="str">
            <v>1999/98</v>
          </cell>
        </row>
        <row r="113">
          <cell r="A113" t="str">
            <v xml:space="preserve"> 1QA</v>
          </cell>
          <cell r="B113">
            <v>0.28963061478398888</v>
          </cell>
          <cell r="C113">
            <v>0.15116279069767424</v>
          </cell>
          <cell r="D113">
            <v>0.34358790913968851</v>
          </cell>
          <cell r="E113">
            <v>0.33115298252465108</v>
          </cell>
          <cell r="F113">
            <v>0.3185755534167467</v>
          </cell>
          <cell r="G113">
            <v>0.38387241689128393</v>
          </cell>
          <cell r="H113">
            <v>0.52380952380952372</v>
          </cell>
          <cell r="I113">
            <v>-9.722222222222221E-2</v>
          </cell>
          <cell r="J113" t="str">
            <v xml:space="preserve">NM </v>
          </cell>
          <cell r="L113" t="str">
            <v xml:space="preserve">NM </v>
          </cell>
          <cell r="M113" t="str">
            <v xml:space="preserve">NM </v>
          </cell>
          <cell r="N113" t="str">
            <v xml:space="preserve">NM </v>
          </cell>
          <cell r="O113">
            <v>0.29278846153846083</v>
          </cell>
          <cell r="P113">
            <v>0.26563769293257522</v>
          </cell>
          <cell r="Q113">
            <v>-3.6880584890332635E-2</v>
          </cell>
          <cell r="S113">
            <v>0.30419938545578584</v>
          </cell>
          <cell r="T113">
            <v>9.9226671572776315E-3</v>
          </cell>
          <cell r="U113">
            <v>0.31149140825272359</v>
          </cell>
          <cell r="V113">
            <v>0.25</v>
          </cell>
          <cell r="W113">
            <v>0.29138539797986329</v>
          </cell>
        </row>
        <row r="114">
          <cell r="A114" t="str">
            <v xml:space="preserve"> 2QA</v>
          </cell>
          <cell r="B114">
            <v>0.17445111268498148</v>
          </cell>
          <cell r="C114">
            <v>2.3058424105248276E-2</v>
          </cell>
          <cell r="D114">
            <v>0.22861625670614449</v>
          </cell>
          <cell r="E114">
            <v>0.22130456767234108</v>
          </cell>
          <cell r="F114">
            <v>8.0521472392637961E-2</v>
          </cell>
          <cell r="G114">
            <v>0.31813020439061401</v>
          </cell>
          <cell r="H114">
            <v>1.2605633802816905</v>
          </cell>
          <cell r="I114">
            <v>0.39393939393939381</v>
          </cell>
          <cell r="J114" t="str">
            <v xml:space="preserve">NM </v>
          </cell>
          <cell r="L114" t="str">
            <v xml:space="preserve">NM </v>
          </cell>
          <cell r="M114" t="str">
            <v xml:space="preserve">NM </v>
          </cell>
          <cell r="N114" t="str">
            <v xml:space="preserve">NM </v>
          </cell>
          <cell r="O114">
            <v>0.36513443191674</v>
          </cell>
          <cell r="P114">
            <v>0.38304314912944726</v>
          </cell>
          <cell r="Q114">
            <v>1.3118647361023861E-2</v>
          </cell>
          <cell r="S114">
            <v>0.35794591309632473</v>
          </cell>
          <cell r="T114">
            <v>4.1727221505925005E-3</v>
          </cell>
          <cell r="U114">
            <v>0.26619501962778513</v>
          </cell>
          <cell r="V114">
            <v>0.25</v>
          </cell>
          <cell r="W114">
            <v>0.35230312788030305</v>
          </cell>
        </row>
        <row r="115">
          <cell r="A115" t="str">
            <v xml:space="preserve"> 3QA</v>
          </cell>
          <cell r="B115">
            <v>0.20173712928250631</v>
          </cell>
          <cell r="C115">
            <v>9.0857386606000512E-2</v>
          </cell>
          <cell r="D115">
            <v>0.24090817761703875</v>
          </cell>
          <cell r="E115">
            <v>0.26667913385826791</v>
          </cell>
          <cell r="F115">
            <v>0.35021425788858607</v>
          </cell>
          <cell r="G115">
            <v>0.22450961351718912</v>
          </cell>
          <cell r="H115">
            <v>1.7049180327868854</v>
          </cell>
          <cell r="I115">
            <v>0.42692307692307696</v>
          </cell>
          <cell r="J115" t="str">
            <v xml:space="preserve">NM </v>
          </cell>
          <cell r="L115" t="str">
            <v xml:space="preserve">NM </v>
          </cell>
          <cell r="M115" t="str">
            <v xml:space="preserve">NM </v>
          </cell>
          <cell r="N115" t="str">
            <v xml:space="preserve">NM </v>
          </cell>
          <cell r="O115">
            <v>0.3840716305372307</v>
          </cell>
          <cell r="P115">
            <v>0.39672131147540979</v>
          </cell>
          <cell r="Q115">
            <v>9.1394698504652094E-3</v>
          </cell>
          <cell r="S115">
            <v>0.37896825396825595</v>
          </cell>
          <cell r="T115">
            <v>2.7707798188814081E-3</v>
          </cell>
          <cell r="U115">
            <v>0.37515799395084359</v>
          </cell>
          <cell r="V115">
            <v>0.25</v>
          </cell>
          <cell r="W115">
            <v>0.37515799395084359</v>
          </cell>
        </row>
        <row r="116">
          <cell r="A116" t="str">
            <v xml:space="preserve"> 4Q</v>
          </cell>
          <cell r="B116">
            <v>0.16422383979447308</v>
          </cell>
          <cell r="C116">
            <v>0.10602076124567472</v>
          </cell>
          <cell r="D116">
            <v>0.18239972337482713</v>
          </cell>
          <cell r="E116">
            <v>0.20097720635372873</v>
          </cell>
          <cell r="F116">
            <v>0.35280728376327763</v>
          </cell>
          <cell r="G116">
            <v>0.12443894134034994</v>
          </cell>
          <cell r="H116">
            <v>1.6712328767123288</v>
          </cell>
          <cell r="I116">
            <v>0.31906614785992216</v>
          </cell>
          <cell r="J116" t="str">
            <v xml:space="preserve">NM </v>
          </cell>
          <cell r="L116" t="str">
            <v xml:space="preserve">NM </v>
          </cell>
          <cell r="M116" t="str">
            <v xml:space="preserve">NM </v>
          </cell>
          <cell r="N116" t="str">
            <v xml:space="preserve">NM </v>
          </cell>
          <cell r="O116">
            <v>7.5007829627310008E-2</v>
          </cell>
          <cell r="P116">
            <v>0.42928930366116269</v>
          </cell>
          <cell r="Q116">
            <v>0.32956176157031081</v>
          </cell>
          <cell r="S116">
            <v>0.39776312016059623</v>
          </cell>
          <cell r="T116">
            <v>7.1588014237911057E-3</v>
          </cell>
          <cell r="U116">
            <v>0.38782793555953576</v>
          </cell>
          <cell r="V116">
            <v>0.25</v>
          </cell>
          <cell r="W116">
            <v>0.41060722050922016</v>
          </cell>
        </row>
        <row r="118">
          <cell r="A118" t="str">
            <v>Year</v>
          </cell>
          <cell r="B118">
            <v>0.20339172359872659</v>
          </cell>
          <cell r="C118">
            <v>9.173455837490585E-2</v>
          </cell>
          <cell r="D118">
            <v>0.24248821866163994</v>
          </cell>
          <cell r="E118">
            <v>0.23262308647083163</v>
          </cell>
          <cell r="F118">
            <v>0.27313176256446559</v>
          </cell>
          <cell r="G118">
            <v>0.25063243699053728</v>
          </cell>
          <cell r="H118">
            <v>1.2710951526032317</v>
          </cell>
          <cell r="I118">
            <v>0.22962313759859776</v>
          </cell>
          <cell r="J118">
            <v>1.5050167224080369E-2</v>
          </cell>
          <cell r="L118" t="str">
            <v xml:space="preserve">NM </v>
          </cell>
          <cell r="M118">
            <v>0.17438271604938294</v>
          </cell>
          <cell r="N118" t="str">
            <v xml:space="preserve">NM </v>
          </cell>
          <cell r="O118">
            <v>0.25827234305741742</v>
          </cell>
          <cell r="P118">
            <v>0.37076476282671833</v>
          </cell>
          <cell r="Q118">
            <v>8.9402282733132887E-2</v>
          </cell>
          <cell r="S118">
            <v>0.36147985232896129</v>
          </cell>
          <cell r="T118">
            <v>6.0000159060249469E-3</v>
          </cell>
          <cell r="U118">
            <v>0.3345789221558424</v>
          </cell>
          <cell r="V118">
            <v>0.25</v>
          </cell>
          <cell r="W118">
            <v>0.35953383111279114</v>
          </cell>
        </row>
        <row r="120">
          <cell r="A120" t="str">
            <v>1999 (a)</v>
          </cell>
        </row>
        <row r="121">
          <cell r="A121" t="str">
            <v xml:space="preserve"> 1QA R</v>
          </cell>
          <cell r="B121">
            <v>3006</v>
          </cell>
          <cell r="C121">
            <v>752.4</v>
          </cell>
          <cell r="D121">
            <v>2253.6</v>
          </cell>
          <cell r="E121">
            <v>1363.5</v>
          </cell>
          <cell r="F121">
            <v>274</v>
          </cell>
          <cell r="G121">
            <v>616.09999999999991</v>
          </cell>
          <cell r="H121">
            <v>22.4</v>
          </cell>
          <cell r="I121">
            <v>-32.5</v>
          </cell>
          <cell r="J121">
            <v>-15.7</v>
          </cell>
          <cell r="K121" t="str">
            <v xml:space="preserve"> </v>
          </cell>
          <cell r="L121">
            <v>-52.5</v>
          </cell>
          <cell r="M121">
            <v>-78.3</v>
          </cell>
          <cell r="N121">
            <v>0</v>
          </cell>
          <cell r="O121">
            <v>537.79999999999995</v>
          </cell>
          <cell r="P121">
            <v>155.80000000000001</v>
          </cell>
          <cell r="Q121">
            <v>0.28499999999999998</v>
          </cell>
          <cell r="S121">
            <v>381.99999999999994</v>
          </cell>
          <cell r="T121">
            <v>882.64074800000003</v>
          </cell>
          <cell r="U121">
            <v>0.43279216472339882</v>
          </cell>
          <cell r="V121">
            <v>0.2</v>
          </cell>
          <cell r="W121">
            <v>0.43279216472339882</v>
          </cell>
        </row>
        <row r="122">
          <cell r="A122" t="str">
            <v xml:space="preserve"> 2QA R</v>
          </cell>
          <cell r="B122">
            <v>3150.7</v>
          </cell>
          <cell r="C122">
            <v>723.2</v>
          </cell>
          <cell r="D122">
            <v>2427.5</v>
          </cell>
          <cell r="E122">
            <v>1449.2</v>
          </cell>
          <cell r="F122">
            <v>281.8</v>
          </cell>
          <cell r="G122">
            <v>696.5</v>
          </cell>
          <cell r="H122">
            <v>32.1</v>
          </cell>
          <cell r="I122">
            <v>-36.799999999999997</v>
          </cell>
          <cell r="J122">
            <v>-15.3</v>
          </cell>
          <cell r="K122" t="str">
            <v xml:space="preserve"> </v>
          </cell>
          <cell r="L122">
            <v>-46.9</v>
          </cell>
          <cell r="M122">
            <v>-66.899999999999991</v>
          </cell>
          <cell r="N122">
            <v>0</v>
          </cell>
          <cell r="O122">
            <v>629.6</v>
          </cell>
          <cell r="P122">
            <v>182.7</v>
          </cell>
          <cell r="Q122">
            <v>0.29018424396442183</v>
          </cell>
          <cell r="S122">
            <v>446.90000000000003</v>
          </cell>
          <cell r="T122">
            <v>882.36802599999999</v>
          </cell>
          <cell r="U122">
            <v>0.50647800785111408</v>
          </cell>
          <cell r="V122">
            <v>0.2</v>
          </cell>
          <cell r="W122">
            <v>0.50647800785111408</v>
          </cell>
        </row>
        <row r="123">
          <cell r="A123" t="str">
            <v xml:space="preserve"> 3QA</v>
          </cell>
          <cell r="B123">
            <v>3237.6000000000004</v>
          </cell>
          <cell r="C123">
            <v>767.2</v>
          </cell>
          <cell r="D123">
            <v>2470.4000000000005</v>
          </cell>
          <cell r="E123">
            <v>1493.3</v>
          </cell>
          <cell r="F123">
            <v>346.6</v>
          </cell>
          <cell r="G123">
            <v>630.50000000000057</v>
          </cell>
          <cell r="H123">
            <v>33</v>
          </cell>
          <cell r="I123">
            <v>-37.1</v>
          </cell>
          <cell r="J123">
            <v>-14.4</v>
          </cell>
          <cell r="L123">
            <v>-24.599999999999998</v>
          </cell>
          <cell r="M123">
            <v>-43.099999999999994</v>
          </cell>
          <cell r="N123">
            <v>0</v>
          </cell>
          <cell r="O123">
            <v>587.40000000000055</v>
          </cell>
          <cell r="P123">
            <v>170.4</v>
          </cell>
          <cell r="Q123">
            <v>0.2900919305413685</v>
          </cell>
          <cell r="S123">
            <v>417.00000000000057</v>
          </cell>
          <cell r="T123">
            <v>883.47145</v>
          </cell>
          <cell r="U123">
            <v>0.47200167022941214</v>
          </cell>
          <cell r="V123">
            <v>0.2</v>
          </cell>
          <cell r="W123">
            <v>0.47200167022941214</v>
          </cell>
        </row>
        <row r="124">
          <cell r="A124" t="str">
            <v xml:space="preserve"> 4Q</v>
          </cell>
          <cell r="B124">
            <v>3534.7</v>
          </cell>
          <cell r="C124">
            <v>799.1</v>
          </cell>
          <cell r="D124">
            <v>2735.6</v>
          </cell>
          <cell r="E124">
            <v>1652.5</v>
          </cell>
          <cell r="F124">
            <v>356.6</v>
          </cell>
          <cell r="G124">
            <v>726.49999999999989</v>
          </cell>
          <cell r="H124">
            <v>39</v>
          </cell>
          <cell r="I124">
            <v>-33.9</v>
          </cell>
          <cell r="J124">
            <v>-15.3</v>
          </cell>
          <cell r="L124">
            <v>-29.8</v>
          </cell>
          <cell r="M124">
            <v>-40</v>
          </cell>
          <cell r="N124">
            <v>0</v>
          </cell>
          <cell r="O124">
            <v>686.49999999999989</v>
          </cell>
          <cell r="P124">
            <v>199.1</v>
          </cell>
          <cell r="Q124">
            <v>0.29002184996358343</v>
          </cell>
          <cell r="S124">
            <v>487.39999999999986</v>
          </cell>
          <cell r="T124">
            <v>888.64216799999997</v>
          </cell>
          <cell r="U124">
            <v>0.5484772358900708</v>
          </cell>
          <cell r="V124">
            <v>0.2</v>
          </cell>
          <cell r="W124">
            <v>0.55747973463262424</v>
          </cell>
        </row>
        <row r="126">
          <cell r="A126" t="str">
            <v>Year</v>
          </cell>
          <cell r="B126">
            <v>12929</v>
          </cell>
          <cell r="C126">
            <v>3041.9</v>
          </cell>
          <cell r="D126">
            <v>9887.1</v>
          </cell>
          <cell r="E126">
            <v>5958.5</v>
          </cell>
          <cell r="F126">
            <v>1259</v>
          </cell>
          <cell r="G126">
            <v>2669.6000000000004</v>
          </cell>
          <cell r="H126">
            <v>126.5</v>
          </cell>
          <cell r="I126">
            <v>-140.30000000000001</v>
          </cell>
          <cell r="J126">
            <v>-60.7</v>
          </cell>
          <cell r="L126">
            <v>-153.80000000000001</v>
          </cell>
          <cell r="M126">
            <v>-228.3</v>
          </cell>
          <cell r="N126">
            <v>0</v>
          </cell>
          <cell r="O126">
            <v>2441.3000000000006</v>
          </cell>
          <cell r="P126">
            <v>708</v>
          </cell>
          <cell r="Q126">
            <v>0.290009421210011</v>
          </cell>
          <cell r="S126">
            <v>1733.3000000000004</v>
          </cell>
          <cell r="T126">
            <v>884.28059799999994</v>
          </cell>
          <cell r="U126">
            <v>1.9597490786939957</v>
          </cell>
          <cell r="V126">
            <v>0.8</v>
          </cell>
          <cell r="W126">
            <v>1.9687515774365494</v>
          </cell>
        </row>
        <row r="128">
          <cell r="A128" t="str">
            <v>2000E</v>
          </cell>
        </row>
        <row r="129">
          <cell r="A129" t="str">
            <v xml:space="preserve"> 1QA</v>
          </cell>
          <cell r="B129">
            <v>0.13339986693280115</v>
          </cell>
          <cell r="C129">
            <v>-2.6581605528963603E-4</v>
          </cell>
          <cell r="D129">
            <v>0.17802626908058228</v>
          </cell>
          <cell r="E129">
            <v>0.14712137880454712</v>
          </cell>
          <cell r="F129">
            <v>0.2729927007299271</v>
          </cell>
          <cell r="G129">
            <v>0.20418763187794253</v>
          </cell>
          <cell r="H129">
            <v>1.4553571428571428</v>
          </cell>
          <cell r="I129">
            <v>0.78153846153846152</v>
          </cell>
          <cell r="J129" t="str">
            <v xml:space="preserve">NM </v>
          </cell>
          <cell r="L129" t="str">
            <v xml:space="preserve">NM </v>
          </cell>
          <cell r="M129" t="str">
            <v xml:space="preserve">NM </v>
          </cell>
          <cell r="N129" t="str">
            <v xml:space="preserve">NM </v>
          </cell>
          <cell r="O129">
            <v>0.34101896615842375</v>
          </cell>
          <cell r="P129">
            <v>0.31926829268292711</v>
          </cell>
          <cell r="Q129">
            <v>0</v>
          </cell>
          <cell r="R129" t="e">
            <v>#DIV/0!</v>
          </cell>
          <cell r="S129">
            <v>0.34989005235602177</v>
          </cell>
          <cell r="T129">
            <v>1.468236315779059E-2</v>
          </cell>
          <cell r="U129">
            <v>0.33035726387815778</v>
          </cell>
          <cell r="V129">
            <v>0.25</v>
          </cell>
        </row>
        <row r="130">
          <cell r="A130" t="str">
            <v xml:space="preserve"> 2QE</v>
          </cell>
          <cell r="B130">
            <v>0.12531659631193093</v>
          </cell>
          <cell r="C130">
            <v>2.9538647676991214E-2</v>
          </cell>
          <cell r="D130">
            <v>0.15385073120494352</v>
          </cell>
          <cell r="E130">
            <v>0.13030442313000301</v>
          </cell>
          <cell r="F130">
            <v>0.22042900993612502</v>
          </cell>
          <cell r="G130">
            <v>0.17590608040200983</v>
          </cell>
          <cell r="H130">
            <v>0.55763239875389403</v>
          </cell>
          <cell r="I130">
            <v>0.63043478260869579</v>
          </cell>
          <cell r="J130" t="str">
            <v xml:space="preserve">NM </v>
          </cell>
          <cell r="L130" t="str">
            <v xml:space="preserve">NM </v>
          </cell>
          <cell r="M130" t="str">
            <v xml:space="preserve">NM </v>
          </cell>
          <cell r="N130" t="str">
            <v xml:space="preserve">NM </v>
          </cell>
          <cell r="O130">
            <v>0.25765340692503136</v>
          </cell>
          <cell r="P130">
            <v>0.23518498481116556</v>
          </cell>
          <cell r="Q130">
            <v>-1.7865353037766818E-2</v>
          </cell>
          <cell r="R130" t="e">
            <v>#DIV/0!</v>
          </cell>
          <cell r="S130">
            <v>0.26683886389572575</v>
          </cell>
          <cell r="T130">
            <v>1.4995980826712385E-2</v>
          </cell>
          <cell r="U130">
            <v>0.24812204957096262</v>
          </cell>
          <cell r="V130">
            <v>0.25</v>
          </cell>
        </row>
        <row r="131">
          <cell r="A131" t="str">
            <v xml:space="preserve"> 3QE</v>
          </cell>
          <cell r="B131">
            <v>0.14365826538176441</v>
          </cell>
          <cell r="C131">
            <v>4.2472533889468256E-2</v>
          </cell>
          <cell r="D131">
            <v>0.17508220207253888</v>
          </cell>
          <cell r="E131">
            <v>0.1505099524542961</v>
          </cell>
          <cell r="F131">
            <v>0.15375783035199087</v>
          </cell>
          <cell r="G131">
            <v>0.24500253132434491</v>
          </cell>
          <cell r="H131">
            <v>0.51515151515151514</v>
          </cell>
          <cell r="I131">
            <v>0.61725067385444743</v>
          </cell>
          <cell r="J131" t="str">
            <v xml:space="preserve">NM </v>
          </cell>
          <cell r="L131" t="str">
            <v xml:space="preserve">NM </v>
          </cell>
          <cell r="M131" t="str">
            <v xml:space="preserve">NM </v>
          </cell>
          <cell r="N131" t="str">
            <v xml:space="preserve">NM </v>
          </cell>
          <cell r="O131">
            <v>0.28783468845760884</v>
          </cell>
          <cell r="P131">
            <v>0.26522956197183101</v>
          </cell>
          <cell r="Q131">
            <v>-1.7552816901407753E-2</v>
          </cell>
          <cell r="R131" t="e">
            <v>#DIV/0!</v>
          </cell>
          <cell r="S131">
            <v>0.29707189122302013</v>
          </cell>
          <cell r="T131">
            <v>1.3728287427963837E-2</v>
          </cell>
          <cell r="U131">
            <v>0.27950645879080382</v>
          </cell>
          <cell r="V131">
            <v>0.25</v>
          </cell>
        </row>
        <row r="132">
          <cell r="A132" t="str">
            <v xml:space="preserve"> 4QE</v>
          </cell>
          <cell r="B132">
            <v>0.16783521158485137</v>
          </cell>
          <cell r="C132">
            <v>0.12203953001629131</v>
          </cell>
          <cell r="D132">
            <v>0.18121265314847035</v>
          </cell>
          <cell r="E132">
            <v>0.17349865947865983</v>
          </cell>
          <cell r="F132">
            <v>0.20599894449260914</v>
          </cell>
          <cell r="G132">
            <v>0.18659267110585831</v>
          </cell>
          <cell r="H132">
            <v>0.41025641025641035</v>
          </cell>
          <cell r="I132">
            <v>0.83185840707964598</v>
          </cell>
          <cell r="J132" t="str">
            <v xml:space="preserve">NM </v>
          </cell>
          <cell r="L132" t="str">
            <v xml:space="preserve">NM </v>
          </cell>
          <cell r="M132" t="str">
            <v xml:space="preserve">NM </v>
          </cell>
          <cell r="N132" t="str">
            <v xml:space="preserve">NM </v>
          </cell>
          <cell r="O132">
            <v>0.21742108602826815</v>
          </cell>
          <cell r="P132">
            <v>0.196340929352816</v>
          </cell>
          <cell r="Q132">
            <v>-1.7315419387242792E-2</v>
          </cell>
          <cell r="R132" t="e">
            <v>#DIV/0!</v>
          </cell>
          <cell r="S132">
            <v>0.22603220460455553</v>
          </cell>
          <cell r="T132">
            <v>7.8297342288624616E-3</v>
          </cell>
          <cell r="U132">
            <v>0.21650727594641772</v>
          </cell>
          <cell r="V132">
            <v>0.25</v>
          </cell>
        </row>
        <row r="134">
          <cell r="A134" t="str">
            <v>Year</v>
          </cell>
          <cell r="B134">
            <v>0.14341326648534114</v>
          </cell>
          <cell r="C134">
            <v>4.9728481026996008E-2</v>
          </cell>
          <cell r="D134">
            <v>0.17223665745799632</v>
          </cell>
          <cell r="E134">
            <v>0.14000000000000001</v>
          </cell>
          <cell r="F134">
            <v>0.2094269917442928</v>
          </cell>
          <cell r="G134">
            <v>0.20166026991249852</v>
          </cell>
          <cell r="H134">
            <v>0.66007905138339917</v>
          </cell>
          <cell r="I134" t="str">
            <v xml:space="preserve">NM </v>
          </cell>
          <cell r="J134" t="str">
            <v xml:space="preserve">NM </v>
          </cell>
          <cell r="L134" t="str">
            <v xml:space="preserve">NM </v>
          </cell>
          <cell r="M134" t="str">
            <v xml:space="preserve">NM </v>
          </cell>
          <cell r="N134" t="str">
            <v xml:space="preserve">NM </v>
          </cell>
          <cell r="O134">
            <v>0.2719666802762486</v>
          </cell>
          <cell r="P134">
            <v>0.24999561175020601</v>
          </cell>
          <cell r="Q134">
            <v>-1.7273305084745672E-2</v>
          </cell>
          <cell r="S134">
            <v>0.2809411893147522</v>
          </cell>
          <cell r="T134">
            <v>0</v>
          </cell>
          <cell r="U134">
            <v>0.2649937331431198</v>
          </cell>
          <cell r="V134">
            <v>0.25</v>
          </cell>
          <cell r="W134">
            <v>0.25920930375016038</v>
          </cell>
        </row>
        <row r="136">
          <cell r="A136" t="str">
            <v>2000E</v>
          </cell>
        </row>
        <row r="137">
          <cell r="A137" t="str">
            <v xml:space="preserve"> 1QA</v>
          </cell>
          <cell r="B137">
            <v>3407</v>
          </cell>
          <cell r="C137">
            <v>752.2</v>
          </cell>
          <cell r="D137">
            <v>2654.8</v>
          </cell>
          <cell r="E137">
            <v>1564.1</v>
          </cell>
          <cell r="F137">
            <v>348.8</v>
          </cell>
          <cell r="G137">
            <v>741.90000000000032</v>
          </cell>
          <cell r="H137">
            <v>55</v>
          </cell>
          <cell r="I137">
            <v>-57.9</v>
          </cell>
          <cell r="J137">
            <v>-14.9</v>
          </cell>
          <cell r="L137">
            <v>-2.9000000000000021</v>
          </cell>
          <cell r="M137">
            <v>-20.7</v>
          </cell>
          <cell r="N137">
            <v>0</v>
          </cell>
          <cell r="O137">
            <v>721.20000000000027</v>
          </cell>
          <cell r="P137">
            <v>205.54200000000006</v>
          </cell>
          <cell r="Q137">
            <v>0.28499999999999998</v>
          </cell>
          <cell r="S137">
            <v>515.65800000000024</v>
          </cell>
          <cell r="T137">
            <v>895.6</v>
          </cell>
          <cell r="U137">
            <v>0.57576820008932583</v>
          </cell>
          <cell r="V137">
            <v>0.25</v>
          </cell>
        </row>
        <row r="138">
          <cell r="A138" t="str">
            <v xml:space="preserve"> 2QE</v>
          </cell>
          <cell r="B138">
            <v>3545.5350000000003</v>
          </cell>
          <cell r="C138">
            <v>744.56235000000004</v>
          </cell>
          <cell r="D138">
            <v>2800.9726500000002</v>
          </cell>
          <cell r="E138">
            <v>1638.0371700000003</v>
          </cell>
          <cell r="F138">
            <v>343.91689500000007</v>
          </cell>
          <cell r="G138">
            <v>819.0185849999998</v>
          </cell>
          <cell r="H138">
            <v>50</v>
          </cell>
          <cell r="I138">
            <v>-60</v>
          </cell>
          <cell r="J138">
            <v>-14.2</v>
          </cell>
          <cell r="L138">
            <v>-3</v>
          </cell>
          <cell r="M138">
            <v>-27.2</v>
          </cell>
          <cell r="N138">
            <v>0</v>
          </cell>
          <cell r="O138">
            <v>791.81858499999976</v>
          </cell>
          <cell r="P138">
            <v>225.66829672499992</v>
          </cell>
          <cell r="Q138">
            <v>0.28499999999999998</v>
          </cell>
          <cell r="S138">
            <v>566.15028827499987</v>
          </cell>
          <cell r="T138">
            <v>895.6</v>
          </cell>
          <cell r="U138">
            <v>0.6321463692217506</v>
          </cell>
          <cell r="V138">
            <v>0.25</v>
          </cell>
        </row>
        <row r="139">
          <cell r="A139" t="str">
            <v xml:space="preserve"> 3QE</v>
          </cell>
          <cell r="B139">
            <v>3702.7080000000005</v>
          </cell>
          <cell r="C139">
            <v>799.78492800000015</v>
          </cell>
          <cell r="D139">
            <v>2902.9230720000005</v>
          </cell>
          <cell r="E139">
            <v>1718.0565120000003</v>
          </cell>
          <cell r="F139">
            <v>399.89246400000007</v>
          </cell>
          <cell r="G139">
            <v>784.97409600000015</v>
          </cell>
          <cell r="H139">
            <v>50</v>
          </cell>
          <cell r="I139">
            <v>-60</v>
          </cell>
          <cell r="J139">
            <v>-15.5</v>
          </cell>
          <cell r="L139">
            <v>-3</v>
          </cell>
          <cell r="M139">
            <v>-28.5</v>
          </cell>
          <cell r="N139">
            <v>0</v>
          </cell>
          <cell r="O139">
            <v>756.47409600000015</v>
          </cell>
          <cell r="P139">
            <v>215.59511736000002</v>
          </cell>
          <cell r="Q139">
            <v>0.28499999999999998</v>
          </cell>
          <cell r="S139">
            <v>540.87897864000013</v>
          </cell>
          <cell r="T139">
            <v>895.6</v>
          </cell>
          <cell r="U139">
            <v>0.60392918561857989</v>
          </cell>
          <cell r="V139">
            <v>0.25</v>
          </cell>
        </row>
        <row r="140">
          <cell r="A140" t="str">
            <v xml:space="preserve"> 4QE</v>
          </cell>
          <cell r="B140">
            <v>4127.9471223889741</v>
          </cell>
          <cell r="C140">
            <v>896.62178843601839</v>
          </cell>
          <cell r="D140">
            <v>3231.3253339529556</v>
          </cell>
          <cell r="E140">
            <v>1939.2065347884852</v>
          </cell>
          <cell r="F140">
            <v>430.05922360606445</v>
          </cell>
          <cell r="G140">
            <v>862.05957555840587</v>
          </cell>
          <cell r="H140">
            <v>55</v>
          </cell>
          <cell r="I140">
            <v>-62.099999999999994</v>
          </cell>
          <cell r="J140">
            <v>-16.100000000000005</v>
          </cell>
          <cell r="K140">
            <v>0</v>
          </cell>
          <cell r="L140">
            <v>-3.0999999999999979</v>
          </cell>
          <cell r="M140">
            <v>-26.299999999999997</v>
          </cell>
          <cell r="N140">
            <v>0</v>
          </cell>
          <cell r="O140">
            <v>835.75957555840591</v>
          </cell>
          <cell r="P140">
            <v>238.19147903414566</v>
          </cell>
          <cell r="Q140">
            <v>0.28499999999999998</v>
          </cell>
          <cell r="S140">
            <v>597.56809652426023</v>
          </cell>
          <cell r="T140">
            <v>895.6</v>
          </cell>
          <cell r="U140">
            <v>0.66722654815125082</v>
          </cell>
          <cell r="V140">
            <v>0.25</v>
          </cell>
        </row>
        <row r="142">
          <cell r="A142" t="str">
            <v>Year</v>
          </cell>
          <cell r="B142">
            <v>14783.190122388976</v>
          </cell>
          <cell r="C142">
            <v>3193.169066436019</v>
          </cell>
          <cell r="D142">
            <v>11590.021055952957</v>
          </cell>
          <cell r="E142">
            <v>6859.4002167884855</v>
          </cell>
          <cell r="F142">
            <v>1522.6685826060645</v>
          </cell>
          <cell r="G142">
            <v>3207.9522565584066</v>
          </cell>
          <cell r="H142">
            <v>210</v>
          </cell>
          <cell r="I142">
            <v>-240</v>
          </cell>
          <cell r="J142">
            <v>-60.7</v>
          </cell>
          <cell r="L142">
            <v>-12</v>
          </cell>
          <cell r="M142">
            <v>-102.7</v>
          </cell>
          <cell r="N142">
            <v>0</v>
          </cell>
          <cell r="O142">
            <v>3105.2522565584068</v>
          </cell>
          <cell r="P142">
            <v>884.99689311914585</v>
          </cell>
          <cell r="Q142">
            <v>0.28499999999999998</v>
          </cell>
          <cell r="S142">
            <v>2220.2553634392607</v>
          </cell>
          <cell r="T142">
            <v>895.6</v>
          </cell>
          <cell r="U142">
            <v>2.4790703030809071</v>
          </cell>
          <cell r="V142">
            <v>1</v>
          </cell>
          <cell r="W142">
            <v>2.4790703030809071</v>
          </cell>
        </row>
        <row r="145">
          <cell r="A145" t="str">
            <v>2001E/00E</v>
          </cell>
          <cell r="B145">
            <v>0.12828424913276026</v>
          </cell>
          <cell r="C145">
            <v>4.9931176276318601E-2</v>
          </cell>
          <cell r="D145">
            <v>0.14987132022586147</v>
          </cell>
          <cell r="E145">
            <v>0.10396777824627823</v>
          </cell>
          <cell r="F145">
            <v>8.8849071493168452E-2</v>
          </cell>
          <cell r="G145">
            <v>0.27698899348850703</v>
          </cell>
          <cell r="H145">
            <v>0.33333333333333326</v>
          </cell>
          <cell r="I145">
            <v>-2.083333333333337E-2</v>
          </cell>
          <cell r="J145" t="str">
            <v xml:space="preserve">NM </v>
          </cell>
          <cell r="L145">
            <v>-0.83333333333333337</v>
          </cell>
          <cell r="M145">
            <v>-0.82765335929892891</v>
          </cell>
          <cell r="N145" t="str">
            <v xml:space="preserve">NM </v>
          </cell>
          <cell r="O145">
            <v>0.31352282721865432</v>
          </cell>
          <cell r="P145">
            <v>0.31352282721865454</v>
          </cell>
          <cell r="Q145">
            <v>0</v>
          </cell>
          <cell r="S145">
            <v>0.31352282721865454</v>
          </cell>
          <cell r="T145">
            <v>0</v>
          </cell>
          <cell r="U145">
            <v>0.31352282721865476</v>
          </cell>
          <cell r="V145">
            <v>0.25</v>
          </cell>
          <cell r="W145">
            <v>0.31352282721865476</v>
          </cell>
        </row>
        <row r="146">
          <cell r="A146" t="str">
            <v>2002E/01E</v>
          </cell>
          <cell r="B146">
            <v>0.11639138913769598</v>
          </cell>
          <cell r="C146">
            <v>8.8620459059643775E-2</v>
          </cell>
          <cell r="D146">
            <v>0.1233775680434388</v>
          </cell>
          <cell r="E146">
            <v>0.10655534165630653</v>
          </cell>
          <cell r="F146">
            <v>8.9436265053888464E-2</v>
          </cell>
          <cell r="G146">
            <v>0.16821085915467382</v>
          </cell>
          <cell r="H146">
            <v>0.28571428571428581</v>
          </cell>
          <cell r="I146">
            <v>0</v>
          </cell>
          <cell r="J146" t="str">
            <v xml:space="preserve">NM </v>
          </cell>
          <cell r="L146">
            <v>-5</v>
          </cell>
          <cell r="M146">
            <v>-5.0847457627118633</v>
          </cell>
          <cell r="N146" t="str">
            <v xml:space="preserve">NM </v>
          </cell>
          <cell r="O146">
            <v>0.19100601523298333</v>
          </cell>
          <cell r="P146">
            <v>0.17011117286047495</v>
          </cell>
          <cell r="Q146">
            <v>-1.754385964912264E-2</v>
          </cell>
          <cell r="S146">
            <v>0.19933472862622081</v>
          </cell>
          <cell r="T146">
            <v>0</v>
          </cell>
          <cell r="U146">
            <v>0.19933472862622059</v>
          </cell>
          <cell r="V146">
            <v>0.25</v>
          </cell>
          <cell r="W146">
            <v>0.19933472862622059</v>
          </cell>
        </row>
        <row r="147">
          <cell r="A147" t="str">
            <v>2003E/02E</v>
          </cell>
          <cell r="B147">
            <v>4.1580886092527747E-2</v>
          </cell>
          <cell r="C147">
            <v>6.2837638869926327E-2</v>
          </cell>
          <cell r="D147">
            <v>3.6398891634356056E-2</v>
          </cell>
          <cell r="E147">
            <v>5.7783255431745006E-2</v>
          </cell>
          <cell r="F147">
            <v>2.010499153391887E-2</v>
          </cell>
          <cell r="G147">
            <v>5.105290859715339E-3</v>
          </cell>
          <cell r="H147">
            <v>0.33333333333333326</v>
          </cell>
          <cell r="I147">
            <v>0</v>
          </cell>
          <cell r="J147" t="str">
            <v xml:space="preserve">NM </v>
          </cell>
          <cell r="L147">
            <v>1.25</v>
          </cell>
          <cell r="M147">
            <v>1.7980636237897651</v>
          </cell>
          <cell r="N147" t="str">
            <v xml:space="preserve">NM </v>
          </cell>
          <cell r="O147">
            <v>3.1789849787038138E-2</v>
          </cell>
          <cell r="P147">
            <v>2.0734958539319726E-2</v>
          </cell>
          <cell r="Q147">
            <v>-1.0714285714285676E-2</v>
          </cell>
          <cell r="S147">
            <v>3.6088974161150755E-2</v>
          </cell>
          <cell r="T147">
            <v>0</v>
          </cell>
          <cell r="U147">
            <v>3.6088974161150755E-2</v>
          </cell>
          <cell r="V147">
            <v>0.25</v>
          </cell>
          <cell r="W147">
            <v>3.6088974161150755E-2</v>
          </cell>
        </row>
        <row r="148">
          <cell r="A148" t="str">
            <v>2004E/03E</v>
          </cell>
          <cell r="B148">
            <v>5.1808359840511242E-2</v>
          </cell>
          <cell r="C148">
            <v>5.9171018359394978E-2</v>
          </cell>
          <cell r="D148">
            <v>4.9967695210790364E-2</v>
          </cell>
          <cell r="E148">
            <v>5.5030529870657041E-2</v>
          </cell>
          <cell r="F148">
            <v>4.0736692894821624E-2</v>
          </cell>
          <cell r="G148">
            <v>4.4174266906185533E-2</v>
          </cell>
          <cell r="H148">
            <v>0.29166666666666674</v>
          </cell>
          <cell r="I148">
            <v>0</v>
          </cell>
          <cell r="J148" t="str">
            <v xml:space="preserve">NM </v>
          </cell>
          <cell r="L148">
            <v>0.55555555555555558</v>
          </cell>
          <cell r="M148">
            <v>0.74147305981216016</v>
          </cell>
          <cell r="N148" t="str">
            <v xml:space="preserve">NM </v>
          </cell>
          <cell r="O148">
            <v>7.2317570743227977E-2</v>
          </cell>
          <cell r="P148">
            <v>5.6832840479787761E-2</v>
          </cell>
          <cell r="Q148">
            <v>-1.4440433212996373E-2</v>
          </cell>
          <cell r="S148">
            <v>7.8250171411240244E-2</v>
          </cell>
          <cell r="T148">
            <v>0</v>
          </cell>
          <cell r="U148">
            <v>7.8250171411240244E-2</v>
          </cell>
          <cell r="V148">
            <v>0.25</v>
          </cell>
          <cell r="W148">
            <v>7.8250171411240244E-2</v>
          </cell>
        </row>
        <row r="149">
          <cell r="A149" t="str">
            <v>2005E/04E</v>
          </cell>
          <cell r="B149">
            <v>5.4959935589752984E-2</v>
          </cell>
          <cell r="C149">
            <v>4.7626549741561996E-2</v>
          </cell>
          <cell r="D149">
            <v>5.680935195567538E-2</v>
          </cell>
          <cell r="E149">
            <v>5.4039377181734238E-2</v>
          </cell>
          <cell r="F149">
            <v>2.7219026421072545E-2</v>
          </cell>
          <cell r="G149">
            <v>7.3264457709644626E-2</v>
          </cell>
          <cell r="H149">
            <v>0.2661290322580645</v>
          </cell>
          <cell r="I149">
            <v>0</v>
          </cell>
          <cell r="J149" t="str">
            <v xml:space="preserve">NM </v>
          </cell>
          <cell r="L149">
            <v>0.35714285714285721</v>
          </cell>
          <cell r="M149">
            <v>0.49673573658813486</v>
          </cell>
          <cell r="N149" t="str">
            <v xml:space="preserve">NM </v>
          </cell>
          <cell r="O149">
            <v>0.10102151773506796</v>
          </cell>
          <cell r="P149">
            <v>9.2955426030049138E-2</v>
          </cell>
          <cell r="Q149">
            <v>-7.3260073260073E-3</v>
          </cell>
          <cell r="S149">
            <v>0.10405046276322483</v>
          </cell>
          <cell r="T149">
            <v>0</v>
          </cell>
          <cell r="U149">
            <v>0.10405046276322505</v>
          </cell>
          <cell r="V149">
            <v>0.25</v>
          </cell>
          <cell r="W149">
            <v>0.10405046276322505</v>
          </cell>
        </row>
        <row r="152">
          <cell r="A152" t="str">
            <v>2001E</v>
          </cell>
          <cell r="B152">
            <v>16679.640567026483</v>
          </cell>
          <cell r="C152">
            <v>3352.6077539723233</v>
          </cell>
          <cell r="D152">
            <v>13327.03281305416</v>
          </cell>
          <cell r="E152">
            <v>7572.5568174300233</v>
          </cell>
          <cell r="F152">
            <v>1657.9562723624324</v>
          </cell>
          <cell r="G152">
            <v>4096.5197232617047</v>
          </cell>
          <cell r="H152">
            <v>280</v>
          </cell>
          <cell r="I152">
            <v>-235</v>
          </cell>
          <cell r="J152">
            <v>-60.7</v>
          </cell>
          <cell r="L152">
            <v>-2</v>
          </cell>
          <cell r="M152">
            <v>-17.700000000000003</v>
          </cell>
          <cell r="N152">
            <v>0</v>
          </cell>
          <cell r="O152">
            <v>4078.8197232617049</v>
          </cell>
          <cell r="P152">
            <v>1162.4636211295858</v>
          </cell>
          <cell r="Q152">
            <v>0.28499999999999998</v>
          </cell>
          <cell r="S152">
            <v>2916.3561021321193</v>
          </cell>
          <cell r="T152">
            <v>895.6</v>
          </cell>
          <cell r="U152">
            <v>3.2563154333766406</v>
          </cell>
          <cell r="V152">
            <v>1.25</v>
          </cell>
          <cell r="W152">
            <v>3.2563154333766406</v>
          </cell>
        </row>
        <row r="153">
          <cell r="A153" t="str">
            <v>2002E</v>
          </cell>
          <cell r="B153">
            <v>18621.007102940162</v>
          </cell>
          <cell r="C153">
            <v>3649.7173921762719</v>
          </cell>
          <cell r="D153">
            <v>14971.289710763891</v>
          </cell>
          <cell r="E153">
            <v>8379.4531963230729</v>
          </cell>
          <cell r="F153">
            <v>1806.2376889851957</v>
          </cell>
          <cell r="G153">
            <v>4785.5988254556223</v>
          </cell>
          <cell r="H153">
            <v>360</v>
          </cell>
          <cell r="I153">
            <v>-235</v>
          </cell>
          <cell r="J153">
            <v>-60.7</v>
          </cell>
          <cell r="L153">
            <v>8</v>
          </cell>
          <cell r="M153">
            <v>72.3</v>
          </cell>
          <cell r="N153">
            <v>0</v>
          </cell>
          <cell r="O153">
            <v>4857.8988254556225</v>
          </cell>
          <cell r="P153">
            <v>1360.2116711275744</v>
          </cell>
          <cell r="Q153">
            <v>0.28000000000000003</v>
          </cell>
          <cell r="S153">
            <v>3497.6871543280481</v>
          </cell>
          <cell r="T153">
            <v>895.6</v>
          </cell>
          <cell r="U153">
            <v>3.9054121866101474</v>
          </cell>
          <cell r="V153">
            <v>1.5625</v>
          </cell>
          <cell r="W153">
            <v>3.9054121866101474</v>
          </cell>
        </row>
        <row r="154">
          <cell r="A154" t="str">
            <v>2003E</v>
          </cell>
          <cell r="B154">
            <v>19395.285078215667</v>
          </cell>
          <cell r="C154">
            <v>3879.0570156431336</v>
          </cell>
          <cell r="D154">
            <v>15516.228062572534</v>
          </cell>
          <cell r="E154">
            <v>8863.6452807445603</v>
          </cell>
          <cell r="F154">
            <v>1842.5520824304883</v>
          </cell>
          <cell r="G154">
            <v>4810.0306993974855</v>
          </cell>
          <cell r="H154">
            <v>480</v>
          </cell>
          <cell r="I154">
            <v>-235</v>
          </cell>
          <cell r="J154">
            <v>-60.7</v>
          </cell>
          <cell r="L154">
            <v>18</v>
          </cell>
          <cell r="M154">
            <v>202.3</v>
          </cell>
          <cell r="N154">
            <v>0</v>
          </cell>
          <cell r="O154">
            <v>5012.3306993974857</v>
          </cell>
          <cell r="P154">
            <v>1388.4156037331036</v>
          </cell>
          <cell r="Q154">
            <v>0.27700000000000002</v>
          </cell>
          <cell r="S154">
            <v>3623.9150956643821</v>
          </cell>
          <cell r="T154">
            <v>895.6</v>
          </cell>
          <cell r="U154">
            <v>4.0463545061013644</v>
          </cell>
          <cell r="V154">
            <v>1.953125</v>
          </cell>
          <cell r="W154">
            <v>4.0463545061013644</v>
          </cell>
        </row>
        <row r="155">
          <cell r="A155" t="str">
            <v>2004E</v>
          </cell>
          <cell r="B155">
            <v>20400.122986757164</v>
          </cell>
          <cell r="C155">
            <v>4108.584769532893</v>
          </cell>
          <cell r="D155">
            <v>16291.538217224272</v>
          </cell>
          <cell r="E155">
            <v>9351.4163771294825</v>
          </cell>
          <cell r="F155">
            <v>1917.6115607551733</v>
          </cell>
          <cell r="G155">
            <v>5022.5102793396163</v>
          </cell>
          <cell r="H155">
            <v>620</v>
          </cell>
          <cell r="I155">
            <v>-235</v>
          </cell>
          <cell r="J155">
            <v>-60.7</v>
          </cell>
          <cell r="L155">
            <v>28</v>
          </cell>
          <cell r="M155">
            <v>352.3</v>
          </cell>
          <cell r="N155">
            <v>0</v>
          </cell>
          <cell r="O155">
            <v>5374.8102793396165</v>
          </cell>
          <cell r="P155">
            <v>1467.3232062597153</v>
          </cell>
          <cell r="Q155">
            <v>0.27300000000000002</v>
          </cell>
          <cell r="S155">
            <v>3907.4870730799012</v>
          </cell>
          <cell r="T155">
            <v>895.6</v>
          </cell>
          <cell r="U155">
            <v>4.3629824397944406</v>
          </cell>
          <cell r="V155">
            <v>2.44140625</v>
          </cell>
          <cell r="W155">
            <v>4.3629824397944406</v>
          </cell>
        </row>
        <row r="156">
          <cell r="A156" t="str">
            <v>2005E</v>
          </cell>
          <cell r="B156">
            <v>21521.312432132378</v>
          </cell>
          <cell r="C156">
            <v>4304.2624864264753</v>
          </cell>
          <cell r="D156">
            <v>17217.049945705901</v>
          </cell>
          <cell r="E156">
            <v>9856.7610939166298</v>
          </cell>
          <cell r="F156">
            <v>1969.8070804927227</v>
          </cell>
          <cell r="G156">
            <v>5390.4817712965487</v>
          </cell>
          <cell r="H156">
            <v>785</v>
          </cell>
          <cell r="I156">
            <v>-235</v>
          </cell>
          <cell r="J156">
            <v>-60.7</v>
          </cell>
          <cell r="L156">
            <v>38</v>
          </cell>
          <cell r="M156">
            <v>527.29999999999995</v>
          </cell>
          <cell r="N156">
            <v>0</v>
          </cell>
          <cell r="O156">
            <v>5917.7817712965489</v>
          </cell>
          <cell r="P156">
            <v>1603.7188600213649</v>
          </cell>
          <cell r="Q156">
            <v>0.27100000000000002</v>
          </cell>
          <cell r="S156">
            <v>4314.062911275184</v>
          </cell>
          <cell r="T156">
            <v>895.6</v>
          </cell>
          <cell r="U156">
            <v>4.8169527816828763</v>
          </cell>
          <cell r="V156">
            <v>3.0517578125</v>
          </cell>
          <cell r="W156">
            <v>4.8169527816828763</v>
          </cell>
        </row>
        <row r="158">
          <cell r="A158" t="str">
            <v xml:space="preserve">(a) First half 1998 and 1999 are fully restated for Agouron pooling-of-interest transaction; Costs are not restated for second half 1998. </v>
          </cell>
        </row>
        <row r="160">
          <cell r="A160" t="str">
            <v>E = Morgan Stanley Dean Witter Research Estimates             NM = Not Meaningful             A = Actual     R = Restated</v>
          </cell>
        </row>
      </sheetData>
      <sheetData sheetId="4" refreshError="1"/>
      <sheetData sheetId="5" refreshError="1"/>
      <sheetData sheetId="6" refreshError="1">
        <row r="2">
          <cell r="A2" t="str">
            <v>Table 5</v>
          </cell>
          <cell r="EM2" t="str">
            <v>Table 4 Continued</v>
          </cell>
        </row>
        <row r="3">
          <cell r="EM3" t="str">
            <v>Warner Lambert</v>
          </cell>
        </row>
        <row r="4">
          <cell r="EM4" t="str">
            <v>Quarterly/Annual Sales Analysis 1998-2005E -- Confectionery</v>
          </cell>
        </row>
        <row r="5">
          <cell r="EM5" t="str">
            <v>($ Millions)</v>
          </cell>
        </row>
        <row r="6">
          <cell r="EN6" t="str">
            <v>Bubblicious</v>
          </cell>
          <cell r="ER6" t="str">
            <v>Dentyne</v>
          </cell>
          <cell r="EV6" t="str">
            <v>Bubbaloo</v>
          </cell>
          <cell r="EZ6" t="str">
            <v>Other</v>
          </cell>
          <cell r="FD6" t="str">
            <v>Total</v>
          </cell>
          <cell r="FH6" t="str">
            <v>Total Corporate Sales</v>
          </cell>
        </row>
        <row r="7">
          <cell r="EN7" t="str">
            <v>U.S.</v>
          </cell>
          <cell r="EO7" t="str">
            <v>Intl</v>
          </cell>
          <cell r="EP7" t="str">
            <v>W/W</v>
          </cell>
          <cell r="ER7" t="str">
            <v>U.S.</v>
          </cell>
          <cell r="ES7" t="str">
            <v>Intl</v>
          </cell>
          <cell r="ET7" t="str">
            <v>W/W</v>
          </cell>
          <cell r="EV7" t="str">
            <v>U.S.</v>
          </cell>
          <cell r="EW7" t="str">
            <v>Intl</v>
          </cell>
          <cell r="EX7" t="str">
            <v>W/W</v>
          </cell>
          <cell r="EZ7" t="str">
            <v>U.S.</v>
          </cell>
          <cell r="FA7" t="str">
            <v>Intl</v>
          </cell>
          <cell r="FB7" t="str">
            <v>W/W</v>
          </cell>
          <cell r="FD7" t="str">
            <v>U.S.</v>
          </cell>
          <cell r="FE7" t="str">
            <v>Intl</v>
          </cell>
          <cell r="FF7" t="str">
            <v>W/W</v>
          </cell>
          <cell r="FH7" t="str">
            <v>U.S.</v>
          </cell>
          <cell r="FI7" t="str">
            <v>Intl</v>
          </cell>
          <cell r="FJ7" t="str">
            <v>W/W</v>
          </cell>
        </row>
        <row r="10">
          <cell r="EM10" t="str">
            <v xml:space="preserve">1994 </v>
          </cell>
        </row>
        <row r="11">
          <cell r="EM11" t="str">
            <v xml:space="preserve"> 1Q</v>
          </cell>
          <cell r="EN11">
            <v>15.1</v>
          </cell>
          <cell r="EO11">
            <v>7.8</v>
          </cell>
          <cell r="EP11">
            <v>22.9</v>
          </cell>
          <cell r="ER11">
            <v>12</v>
          </cell>
          <cell r="ES11">
            <v>9</v>
          </cell>
          <cell r="ET11">
            <v>21</v>
          </cell>
          <cell r="EV11">
            <v>0</v>
          </cell>
          <cell r="EW11">
            <v>9</v>
          </cell>
          <cell r="EX11">
            <v>9</v>
          </cell>
          <cell r="EZ11">
            <v>14.799999999999997</v>
          </cell>
          <cell r="FA11">
            <v>53.499999999999986</v>
          </cell>
          <cell r="FB11">
            <v>68.299999999999983</v>
          </cell>
          <cell r="FD11">
            <v>129.6</v>
          </cell>
          <cell r="FE11">
            <v>280.39999999999998</v>
          </cell>
          <cell r="FF11">
            <v>410</v>
          </cell>
          <cell r="FH11">
            <v>658.6</v>
          </cell>
          <cell r="FI11">
            <v>814.4</v>
          </cell>
          <cell r="FJ11">
            <v>1473</v>
          </cell>
        </row>
        <row r="12">
          <cell r="EM12" t="str">
            <v xml:space="preserve"> 2Q</v>
          </cell>
          <cell r="EN12">
            <v>17.2</v>
          </cell>
          <cell r="EO12">
            <v>11.1</v>
          </cell>
          <cell r="EP12">
            <v>28.299999999999997</v>
          </cell>
          <cell r="ER12">
            <v>15</v>
          </cell>
          <cell r="ES12">
            <v>10</v>
          </cell>
          <cell r="ET12">
            <v>25</v>
          </cell>
          <cell r="EV12">
            <v>0</v>
          </cell>
          <cell r="EW12">
            <v>9</v>
          </cell>
          <cell r="EX12">
            <v>9</v>
          </cell>
          <cell r="EZ12">
            <v>17.799999999999983</v>
          </cell>
          <cell r="FA12">
            <v>49.500000000000028</v>
          </cell>
          <cell r="FB12">
            <v>67.300000000000011</v>
          </cell>
          <cell r="FD12">
            <v>151.19999999999999</v>
          </cell>
          <cell r="FE12">
            <v>285.90000000000003</v>
          </cell>
          <cell r="FF12">
            <v>437.1</v>
          </cell>
          <cell r="FH12">
            <v>723.8</v>
          </cell>
          <cell r="FI12">
            <v>828.40000000000009</v>
          </cell>
          <cell r="FJ12">
            <v>1552.2</v>
          </cell>
        </row>
        <row r="13">
          <cell r="EM13" t="str">
            <v xml:space="preserve"> 3Q</v>
          </cell>
          <cell r="EN13">
            <v>9.1</v>
          </cell>
          <cell r="EO13">
            <v>8.1999999999999993</v>
          </cell>
          <cell r="EP13">
            <v>17.299999999999997</v>
          </cell>
          <cell r="ER13">
            <v>13</v>
          </cell>
          <cell r="ES13">
            <v>10</v>
          </cell>
          <cell r="ET13">
            <v>23</v>
          </cell>
          <cell r="EV13">
            <v>0</v>
          </cell>
          <cell r="EW13">
            <v>11</v>
          </cell>
          <cell r="EX13">
            <v>11</v>
          </cell>
          <cell r="EZ13">
            <v>29.699999999999996</v>
          </cell>
          <cell r="FA13">
            <v>51.500000000000014</v>
          </cell>
          <cell r="FB13">
            <v>81.200000000000017</v>
          </cell>
          <cell r="FD13">
            <v>182.1</v>
          </cell>
          <cell r="FE13">
            <v>270.8</v>
          </cell>
          <cell r="FF13">
            <v>452.9</v>
          </cell>
          <cell r="FH13">
            <v>825.00000000000011</v>
          </cell>
          <cell r="FI13">
            <v>845.90000000000009</v>
          </cell>
          <cell r="FJ13">
            <v>1670.9</v>
          </cell>
        </row>
        <row r="14">
          <cell r="EM14" t="str">
            <v xml:space="preserve"> 4Q</v>
          </cell>
          <cell r="EN14">
            <v>9.6</v>
          </cell>
          <cell r="EO14">
            <v>10.6</v>
          </cell>
          <cell r="EP14">
            <v>20.2</v>
          </cell>
          <cell r="ER14">
            <v>12</v>
          </cell>
          <cell r="ES14">
            <v>11</v>
          </cell>
          <cell r="ET14">
            <v>23</v>
          </cell>
          <cell r="EV14">
            <v>0</v>
          </cell>
          <cell r="EW14">
            <v>14</v>
          </cell>
          <cell r="EX14">
            <v>14</v>
          </cell>
          <cell r="EZ14">
            <v>22.599999999999994</v>
          </cell>
          <cell r="FA14">
            <v>61.199999999999974</v>
          </cell>
          <cell r="FB14">
            <v>83.799999999999969</v>
          </cell>
          <cell r="FD14">
            <v>173.7</v>
          </cell>
          <cell r="FE14">
            <v>337.7</v>
          </cell>
          <cell r="FF14">
            <v>511.4</v>
          </cell>
          <cell r="FH14">
            <v>746.8</v>
          </cell>
          <cell r="FI14">
            <v>974</v>
          </cell>
          <cell r="FJ14">
            <v>1720.8</v>
          </cell>
        </row>
        <row r="16">
          <cell r="EM16" t="str">
            <v>1994</v>
          </cell>
          <cell r="EN16">
            <v>51</v>
          </cell>
          <cell r="EO16">
            <v>37.699999999999996</v>
          </cell>
          <cell r="EP16">
            <v>88.7</v>
          </cell>
          <cell r="ER16">
            <v>52</v>
          </cell>
          <cell r="ES16">
            <v>40</v>
          </cell>
          <cell r="ET16">
            <v>92</v>
          </cell>
          <cell r="EV16">
            <v>0</v>
          </cell>
          <cell r="EW16">
            <v>43</v>
          </cell>
          <cell r="EX16">
            <v>43</v>
          </cell>
          <cell r="EZ16">
            <v>84.899999999999977</v>
          </cell>
          <cell r="FA16">
            <v>215.7</v>
          </cell>
          <cell r="FB16">
            <v>300.59999999999997</v>
          </cell>
          <cell r="FD16">
            <v>636.59999999999991</v>
          </cell>
          <cell r="FE16">
            <v>1174.8</v>
          </cell>
          <cell r="FF16">
            <v>1811.4</v>
          </cell>
          <cell r="FH16">
            <v>2954.2</v>
          </cell>
          <cell r="FI16">
            <v>3462.7000000000003</v>
          </cell>
          <cell r="FJ16">
            <v>6416.9000000000005</v>
          </cell>
        </row>
        <row r="18">
          <cell r="EM18" t="str">
            <v>1995/94 % Change</v>
          </cell>
        </row>
        <row r="19">
          <cell r="EM19" t="str">
            <v xml:space="preserve"> 1Q</v>
          </cell>
          <cell r="EN19">
            <v>5.2980132450331174E-2</v>
          </cell>
          <cell r="EO19">
            <v>0.11538461538461542</v>
          </cell>
          <cell r="EP19">
            <v>7.4235807860262071E-2</v>
          </cell>
          <cell r="ER19">
            <v>-0.25</v>
          </cell>
          <cell r="ES19">
            <v>0</v>
          </cell>
          <cell r="ET19">
            <v>-0.1428571428571429</v>
          </cell>
          <cell r="EV19" t="str">
            <v>NM</v>
          </cell>
          <cell r="EW19">
            <v>0.55555555555555558</v>
          </cell>
          <cell r="EX19">
            <v>0.55555555555555558</v>
          </cell>
          <cell r="EZ19">
            <v>4.4408920985006262E-16</v>
          </cell>
          <cell r="FA19">
            <v>0.19252336448598073</v>
          </cell>
          <cell r="FB19">
            <v>0.15080527086383588</v>
          </cell>
          <cell r="FD19">
            <v>-9.6450617283950657E-2</v>
          </cell>
          <cell r="FE19">
            <v>3.3166904422254007E-2</v>
          </cell>
          <cell r="FF19">
            <v>-7.8048780487806058E-3</v>
          </cell>
          <cell r="FH19">
            <v>3.0367446097783191E-2</v>
          </cell>
          <cell r="FI19">
            <v>0.13670186640471527</v>
          </cell>
          <cell r="FJ19">
            <v>8.9158180583842395E-2</v>
          </cell>
        </row>
        <row r="20">
          <cell r="EM20" t="str">
            <v xml:space="preserve"> 2Q</v>
          </cell>
          <cell r="EN20">
            <v>-0.19186046511627897</v>
          </cell>
          <cell r="EO20">
            <v>9.009009009008917E-3</v>
          </cell>
          <cell r="EP20">
            <v>-0.11307420494699638</v>
          </cell>
          <cell r="ER20">
            <v>-0.19999999999999996</v>
          </cell>
          <cell r="ES20">
            <v>0</v>
          </cell>
          <cell r="ET20">
            <v>-0.12</v>
          </cell>
          <cell r="EV20" t="str">
            <v>NM</v>
          </cell>
          <cell r="EW20">
            <v>1</v>
          </cell>
          <cell r="EX20">
            <v>1</v>
          </cell>
          <cell r="EZ20">
            <v>-0.11235955056179547</v>
          </cell>
          <cell r="FA20">
            <v>0.34343434343434232</v>
          </cell>
          <cell r="FB20">
            <v>0.2228826151560177</v>
          </cell>
          <cell r="FD20">
            <v>-0.12830687830687815</v>
          </cell>
          <cell r="FE20">
            <v>0.14585519412381953</v>
          </cell>
          <cell r="FF20">
            <v>5.1018073667353114E-2</v>
          </cell>
          <cell r="FH20">
            <v>5.8856037579442022E-2</v>
          </cell>
          <cell r="FI20">
            <v>0.24725977788507958</v>
          </cell>
          <cell r="FJ20">
            <v>0.15940600438087871</v>
          </cell>
        </row>
        <row r="21">
          <cell r="EM21" t="str">
            <v xml:space="preserve"> 3Q</v>
          </cell>
          <cell r="EN21">
            <v>0.23076923076923084</v>
          </cell>
          <cell r="EO21">
            <v>0.19512195121951237</v>
          </cell>
          <cell r="EP21">
            <v>0.21387283236994237</v>
          </cell>
          <cell r="ER21">
            <v>-0.30000000000000004</v>
          </cell>
          <cell r="ES21">
            <v>0.10000000000000009</v>
          </cell>
          <cell r="ET21">
            <v>-0.12608695652173907</v>
          </cell>
          <cell r="EV21" t="str">
            <v>NM</v>
          </cell>
          <cell r="EW21">
            <v>0.81818181818181812</v>
          </cell>
          <cell r="EX21">
            <v>0.81818181818181812</v>
          </cell>
          <cell r="EZ21">
            <v>-8.0808080808080995E-2</v>
          </cell>
          <cell r="FA21">
            <v>0.13980582524271767</v>
          </cell>
          <cell r="FB21">
            <v>5.9113300492610321E-2</v>
          </cell>
          <cell r="FD21">
            <v>-5.4914881933003867E-2</v>
          </cell>
          <cell r="FE21">
            <v>0.16248153618906946</v>
          </cell>
          <cell r="FF21">
            <v>7.5071759770368729E-2</v>
          </cell>
          <cell r="FH21">
            <v>-2.6666666666666838E-2</v>
          </cell>
          <cell r="FI21">
            <v>0.15013594987587164</v>
          </cell>
          <cell r="FJ21">
            <v>6.2840385421030431E-2</v>
          </cell>
        </row>
        <row r="22">
          <cell r="EM22" t="str">
            <v xml:space="preserve"> 4Q</v>
          </cell>
          <cell r="EN22">
            <v>0.11458333333333326</v>
          </cell>
          <cell r="EO22">
            <v>8.4905660377358583E-2</v>
          </cell>
          <cell r="EP22">
            <v>9.9009900990099098E-2</v>
          </cell>
          <cell r="ER22">
            <v>-0.16666666666666663</v>
          </cell>
          <cell r="ES22">
            <v>9.0909090909090828E-2</v>
          </cell>
          <cell r="ET22">
            <v>-4.3478260869565188E-2</v>
          </cell>
          <cell r="EV22" t="str">
            <v>NM</v>
          </cell>
          <cell r="EW22">
            <v>0.71428571428571419</v>
          </cell>
          <cell r="EX22">
            <v>0.71428571428571419</v>
          </cell>
          <cell r="EZ22">
            <v>-4.4247787610617317E-3</v>
          </cell>
          <cell r="FA22">
            <v>6.6993464052287788E-2</v>
          </cell>
          <cell r="FB22">
            <v>4.7732696897374804E-2</v>
          </cell>
          <cell r="FD22">
            <v>-5.526770293609673E-2</v>
          </cell>
          <cell r="FE22">
            <v>0.12289013917678404</v>
          </cell>
          <cell r="FF22">
            <v>6.2377786468517771E-2</v>
          </cell>
          <cell r="FH22">
            <v>3.6957686127477185E-2</v>
          </cell>
          <cell r="FI22">
            <v>0.11447638603696109</v>
          </cell>
          <cell r="FJ22">
            <v>8.0834495583449684E-2</v>
          </cell>
        </row>
        <row r="24">
          <cell r="EM24" t="str">
            <v>1995/94</v>
          </cell>
          <cell r="EN24">
            <v>1.3725490196078383E-2</v>
          </cell>
          <cell r="EO24">
            <v>9.2838196286472385E-2</v>
          </cell>
          <cell r="EP24">
            <v>4.7350620067643678E-2</v>
          </cell>
          <cell r="ER24">
            <v>-0.22884615384615381</v>
          </cell>
          <cell r="ES24">
            <v>5.0000000000000044E-2</v>
          </cell>
          <cell r="ET24">
            <v>-0.10760869565217401</v>
          </cell>
          <cell r="EV24" t="str">
            <v>NM</v>
          </cell>
          <cell r="EW24">
            <v>0.76744186046511631</v>
          </cell>
          <cell r="EX24">
            <v>0.76744186046511631</v>
          </cell>
          <cell r="EZ24">
            <v>-5.3003533568904082E-2</v>
          </cell>
          <cell r="FA24">
            <v>0.17895224849327751</v>
          </cell>
          <cell r="FB24">
            <v>0.1134397870924817</v>
          </cell>
          <cell r="FD24">
            <v>-8.0898523405592004E-2</v>
          </cell>
          <cell r="FE24">
            <v>0.11618998978549544</v>
          </cell>
          <cell r="FF24">
            <v>4.6925030363254905E-2</v>
          </cell>
          <cell r="FH24">
            <v>2.3085776183061402E-2</v>
          </cell>
          <cell r="FI24">
            <v>0.16018136136540839</v>
          </cell>
          <cell r="FJ24">
            <v>9.7065561252318133E-2</v>
          </cell>
        </row>
        <row r="26">
          <cell r="EM26" t="str">
            <v xml:space="preserve">1995 </v>
          </cell>
        </row>
        <row r="27">
          <cell r="EM27" t="str">
            <v xml:space="preserve"> 1Q</v>
          </cell>
          <cell r="EN27">
            <v>15.9</v>
          </cell>
          <cell r="EO27">
            <v>8.6999999999999993</v>
          </cell>
          <cell r="EP27">
            <v>24.6</v>
          </cell>
          <cell r="ER27">
            <v>9</v>
          </cell>
          <cell r="ES27">
            <v>9</v>
          </cell>
          <cell r="ET27">
            <v>18</v>
          </cell>
          <cell r="EV27">
            <v>0</v>
          </cell>
          <cell r="EW27">
            <v>14</v>
          </cell>
          <cell r="EX27">
            <v>14</v>
          </cell>
          <cell r="EZ27">
            <v>14.800000000000004</v>
          </cell>
          <cell r="FA27">
            <v>63.799999999999955</v>
          </cell>
          <cell r="FB27">
            <v>78.599999999999966</v>
          </cell>
          <cell r="FD27">
            <v>117.1</v>
          </cell>
          <cell r="FE27">
            <v>289.7</v>
          </cell>
          <cell r="FF27">
            <v>406.79999999999995</v>
          </cell>
          <cell r="FH27">
            <v>678.6</v>
          </cell>
          <cell r="FI27">
            <v>925.73</v>
          </cell>
          <cell r="FJ27">
            <v>1604.33</v>
          </cell>
        </row>
        <row r="28">
          <cell r="EM28" t="str">
            <v xml:space="preserve"> 2Q</v>
          </cell>
          <cell r="EN28">
            <v>13.9</v>
          </cell>
          <cell r="EO28">
            <v>11.2</v>
          </cell>
          <cell r="EP28">
            <v>25.1</v>
          </cell>
          <cell r="ER28">
            <v>12</v>
          </cell>
          <cell r="ES28">
            <v>10</v>
          </cell>
          <cell r="ET28">
            <v>22</v>
          </cell>
          <cell r="EV28">
            <v>0</v>
          </cell>
          <cell r="EW28">
            <v>18</v>
          </cell>
          <cell r="EX28">
            <v>18</v>
          </cell>
          <cell r="EZ28">
            <v>15.800000000000026</v>
          </cell>
          <cell r="FA28">
            <v>66.499999999999986</v>
          </cell>
          <cell r="FB28">
            <v>82.300000000000011</v>
          </cell>
          <cell r="FD28">
            <v>131.80000000000001</v>
          </cell>
          <cell r="FE28">
            <v>327.60000000000002</v>
          </cell>
          <cell r="FF28">
            <v>459.40000000000003</v>
          </cell>
          <cell r="FH28">
            <v>766.40000000000009</v>
          </cell>
          <cell r="FI28">
            <v>1033.23</v>
          </cell>
          <cell r="FJ28">
            <v>1799.63</v>
          </cell>
        </row>
        <row r="29">
          <cell r="EM29" t="str">
            <v xml:space="preserve"> 3Q</v>
          </cell>
          <cell r="EN29">
            <v>11.2</v>
          </cell>
          <cell r="EO29">
            <v>9.8000000000000007</v>
          </cell>
          <cell r="EP29">
            <v>21</v>
          </cell>
          <cell r="ER29">
            <v>9.1</v>
          </cell>
          <cell r="ES29">
            <v>11</v>
          </cell>
          <cell r="ET29">
            <v>20.100000000000001</v>
          </cell>
          <cell r="EV29">
            <v>0</v>
          </cell>
          <cell r="EW29">
            <v>20</v>
          </cell>
          <cell r="EX29">
            <v>20</v>
          </cell>
          <cell r="EZ29">
            <v>27.29999999999999</v>
          </cell>
          <cell r="FA29">
            <v>58.699999999999974</v>
          </cell>
          <cell r="FB29">
            <v>85.999999999999972</v>
          </cell>
          <cell r="FD29">
            <v>172.1</v>
          </cell>
          <cell r="FE29">
            <v>314.8</v>
          </cell>
          <cell r="FF29">
            <v>486.9</v>
          </cell>
          <cell r="FH29">
            <v>803</v>
          </cell>
          <cell r="FI29">
            <v>972.89999999999986</v>
          </cell>
          <cell r="FJ29">
            <v>1775.8999999999999</v>
          </cell>
        </row>
        <row r="30">
          <cell r="EM30" t="str">
            <v xml:space="preserve"> 4Q</v>
          </cell>
          <cell r="EN30">
            <v>10.7</v>
          </cell>
          <cell r="EO30">
            <v>11.5</v>
          </cell>
          <cell r="EP30">
            <v>22.2</v>
          </cell>
          <cell r="ER30">
            <v>10</v>
          </cell>
          <cell r="ES30">
            <v>12</v>
          </cell>
          <cell r="ET30">
            <v>22</v>
          </cell>
          <cell r="EV30">
            <v>0</v>
          </cell>
          <cell r="EW30">
            <v>24</v>
          </cell>
          <cell r="EX30">
            <v>24</v>
          </cell>
          <cell r="EZ30">
            <v>22.5</v>
          </cell>
          <cell r="FA30">
            <v>65.299999999999983</v>
          </cell>
          <cell r="FB30">
            <v>87.799999999999983</v>
          </cell>
          <cell r="FD30">
            <v>164.1</v>
          </cell>
          <cell r="FE30">
            <v>379.2</v>
          </cell>
          <cell r="FF30">
            <v>543.29999999999995</v>
          </cell>
          <cell r="FH30">
            <v>774.4</v>
          </cell>
          <cell r="FI30">
            <v>1085.5</v>
          </cell>
          <cell r="FJ30">
            <v>1859.9</v>
          </cell>
        </row>
        <row r="32">
          <cell r="EM32" t="str">
            <v xml:space="preserve">1995 </v>
          </cell>
          <cell r="EN32">
            <v>51.7</v>
          </cell>
          <cell r="EO32">
            <v>41.2</v>
          </cell>
          <cell r="EP32">
            <v>92.9</v>
          </cell>
          <cell r="ER32">
            <v>40.1</v>
          </cell>
          <cell r="ES32">
            <v>42</v>
          </cell>
          <cell r="ET32">
            <v>82.1</v>
          </cell>
          <cell r="EV32">
            <v>0</v>
          </cell>
          <cell r="EW32">
            <v>76</v>
          </cell>
          <cell r="EX32">
            <v>76</v>
          </cell>
          <cell r="EZ32">
            <v>80.40000000000002</v>
          </cell>
          <cell r="FA32">
            <v>254.29999999999993</v>
          </cell>
          <cell r="FB32">
            <v>334.69999999999993</v>
          </cell>
          <cell r="FD32">
            <v>585.1</v>
          </cell>
          <cell r="FE32">
            <v>1311.3</v>
          </cell>
          <cell r="FF32">
            <v>1896.3999999999999</v>
          </cell>
          <cell r="FH32">
            <v>3022.4</v>
          </cell>
          <cell r="FI32">
            <v>4017.3599999999997</v>
          </cell>
          <cell r="FJ32">
            <v>7039.76</v>
          </cell>
        </row>
        <row r="34">
          <cell r="EM34" t="str">
            <v xml:space="preserve">1996/95 </v>
          </cell>
        </row>
        <row r="35">
          <cell r="EM35" t="str">
            <v xml:space="preserve"> 1Q</v>
          </cell>
          <cell r="EN35">
            <v>-2.515723270440251E-2</v>
          </cell>
          <cell r="EO35">
            <v>-9.1954022988505635E-2</v>
          </cell>
          <cell r="EP35">
            <v>-4.8780487804878203E-2</v>
          </cell>
          <cell r="ER35">
            <v>-2.2222222222222143E-2</v>
          </cell>
          <cell r="ES35">
            <v>0.29999999999999982</v>
          </cell>
          <cell r="ET35">
            <v>0.13888888888888884</v>
          </cell>
          <cell r="EV35" t="str">
            <v>NM</v>
          </cell>
          <cell r="EW35">
            <v>0.56428571428571428</v>
          </cell>
          <cell r="EX35">
            <v>0.56428571428571428</v>
          </cell>
          <cell r="EZ35">
            <v>0.12837837837837851</v>
          </cell>
          <cell r="FA35">
            <v>-0.14122257053291454</v>
          </cell>
          <cell r="FB35">
            <v>-9.0458015267174896E-2</v>
          </cell>
          <cell r="FD35">
            <v>0.10589239965841157</v>
          </cell>
          <cell r="FE35">
            <v>0.17224715222644127</v>
          </cell>
          <cell r="FF35">
            <v>0.15314650934119989</v>
          </cell>
          <cell r="FH35">
            <v>0.15384615384615374</v>
          </cell>
          <cell r="FI35">
            <v>0.1301351365949035</v>
          </cell>
          <cell r="FJ35">
            <v>0.14016443001128209</v>
          </cell>
        </row>
        <row r="36">
          <cell r="EM36" t="str">
            <v xml:space="preserve"> 2Q</v>
          </cell>
          <cell r="EN36">
            <v>0.19424460431654689</v>
          </cell>
          <cell r="EO36">
            <v>-0.2767857142857143</v>
          </cell>
          <cell r="EP36">
            <v>-1.5936254980079667E-2</v>
          </cell>
          <cell r="ER36">
            <v>-0.125</v>
          </cell>
          <cell r="ES36">
            <v>0.29000000000000004</v>
          </cell>
          <cell r="ET36">
            <v>6.3636363636363491E-2</v>
          </cell>
          <cell r="EV36" t="str">
            <v>NM</v>
          </cell>
          <cell r="EW36">
            <v>-5.555555555555558E-2</v>
          </cell>
          <cell r="EX36">
            <v>-5.555555555555558E-2</v>
          </cell>
          <cell r="EZ36">
            <v>3.7974683544301557E-2</v>
          </cell>
          <cell r="FA36">
            <v>-0.184962406015037</v>
          </cell>
          <cell r="FB36">
            <v>-0.14216281895504235</v>
          </cell>
          <cell r="FD36">
            <v>4.7799696509863265E-2</v>
          </cell>
          <cell r="FE36">
            <v>-9.157509157509125E-4</v>
          </cell>
          <cell r="FF36">
            <v>1.3060513713539335E-2</v>
          </cell>
          <cell r="FH36">
            <v>1.1090814196242027E-2</v>
          </cell>
          <cell r="FI36">
            <v>-1.6385509518693886E-2</v>
          </cell>
          <cell r="FJ36">
            <v>-4.6842962164446167E-3</v>
          </cell>
        </row>
        <row r="37">
          <cell r="EM37" t="str">
            <v xml:space="preserve"> 3Q</v>
          </cell>
          <cell r="EN37">
            <v>1.7857142857143016E-2</v>
          </cell>
          <cell r="EO37">
            <v>-0.18367346938775519</v>
          </cell>
          <cell r="EP37">
            <v>-7.6190476190476253E-2</v>
          </cell>
          <cell r="ER37">
            <v>1.098901098901095E-2</v>
          </cell>
          <cell r="ES37">
            <v>0.15454545454545454</v>
          </cell>
          <cell r="ET37">
            <v>8.9552238805969964E-2</v>
          </cell>
          <cell r="EV37" t="str">
            <v>NM</v>
          </cell>
          <cell r="EW37">
            <v>-5.0000000000000044E-2</v>
          </cell>
          <cell r="EX37">
            <v>-5.0000000000000044E-2</v>
          </cell>
          <cell r="EZ37">
            <v>-0.24542124542124499</v>
          </cell>
          <cell r="FA37">
            <v>-0.21124361158432681</v>
          </cell>
          <cell r="FB37">
            <v>-0.22209302325581359</v>
          </cell>
          <cell r="FD37">
            <v>-9.0644973852411326E-2</v>
          </cell>
          <cell r="FE37">
            <v>5.0825921219821435E-3</v>
          </cell>
          <cell r="FF37">
            <v>-2.8753337440952986E-2</v>
          </cell>
          <cell r="FH37">
            <v>6.6002490660024282E-3</v>
          </cell>
          <cell r="FI37">
            <v>-1.3464898756295529E-2</v>
          </cell>
          <cell r="FJ37">
            <v>-4.3921391970268564E-3</v>
          </cell>
        </row>
        <row r="38">
          <cell r="EM38" t="str">
            <v xml:space="preserve"> 4Q</v>
          </cell>
          <cell r="EN38">
            <v>0.11214953271028039</v>
          </cell>
          <cell r="EO38">
            <v>-0.13043478260869568</v>
          </cell>
          <cell r="EP38">
            <v>-1.3513513513513598E-2</v>
          </cell>
          <cell r="ER38">
            <v>-0.13000000000000012</v>
          </cell>
          <cell r="ES38">
            <v>0.16666666666666674</v>
          </cell>
          <cell r="ET38">
            <v>3.1818181818181746E-2</v>
          </cell>
          <cell r="EV38" t="str">
            <v>NM</v>
          </cell>
          <cell r="EW38">
            <v>-0.24583333333333324</v>
          </cell>
          <cell r="EX38">
            <v>-0.24583333333333324</v>
          </cell>
          <cell r="EZ38">
            <v>-0.21333333333333271</v>
          </cell>
          <cell r="FA38">
            <v>-0.2404287901990807</v>
          </cell>
          <cell r="FB38">
            <v>-0.23348519362186748</v>
          </cell>
          <cell r="FD38">
            <v>7.3126142595978383E-3</v>
          </cell>
          <cell r="FE38">
            <v>-5.959915611814337E-2</v>
          </cell>
          <cell r="FF38">
            <v>-3.9388919565617297E-2</v>
          </cell>
          <cell r="FH38">
            <v>4.2613636363636243E-2</v>
          </cell>
          <cell r="FI38">
            <v>-4.6061722708429342E-2</v>
          </cell>
          <cell r="FJ38">
            <v>-9.1402763589440994E-3</v>
          </cell>
        </row>
        <row r="40">
          <cell r="EM40" t="str">
            <v>1996/95</v>
          </cell>
          <cell r="EN40">
            <v>7.1566731141199158E-2</v>
          </cell>
          <cell r="EO40">
            <v>-0.17475728155339809</v>
          </cell>
          <cell r="EP40">
            <v>-3.7674919268030127E-2</v>
          </cell>
          <cell r="ER40">
            <v>-7.2319201995012405E-2</v>
          </cell>
          <cell r="ES40">
            <v>0.22142857142857131</v>
          </cell>
          <cell r="ET40">
            <v>7.795371498172976E-2</v>
          </cell>
          <cell r="EV40" t="str">
            <v>NM</v>
          </cell>
          <cell r="EW40">
            <v>0</v>
          </cell>
          <cell r="EX40">
            <v>0</v>
          </cell>
          <cell r="EZ40">
            <v>-0.11194029850746268</v>
          </cell>
          <cell r="FA40">
            <v>-0.19429807314195791</v>
          </cell>
          <cell r="FB40">
            <v>-0.17451449058858637</v>
          </cell>
          <cell r="FD40">
            <v>7.3491710818665013E-3</v>
          </cell>
          <cell r="FE40">
            <v>2.1810417143293126E-2</v>
          </cell>
          <cell r="FF40">
            <v>1.7348660620122525E-2</v>
          </cell>
          <cell r="FH40">
            <v>5.0026469031233312E-2</v>
          </cell>
          <cell r="FI40">
            <v>1.0066312205030403E-2</v>
          </cell>
          <cell r="FJ40">
            <v>2.7222518949509666E-2</v>
          </cell>
        </row>
        <row r="42">
          <cell r="EM42" t="str">
            <v>1996</v>
          </cell>
        </row>
        <row r="43">
          <cell r="EM43" t="str">
            <v xml:space="preserve"> 1Q</v>
          </cell>
          <cell r="EN43">
            <v>15.5</v>
          </cell>
          <cell r="EO43">
            <v>7.9</v>
          </cell>
          <cell r="EP43">
            <v>23.4</v>
          </cell>
          <cell r="ER43">
            <v>8.8000000000000007</v>
          </cell>
          <cell r="ES43">
            <v>11.7</v>
          </cell>
          <cell r="ET43">
            <v>20.5</v>
          </cell>
          <cell r="EV43">
            <v>0</v>
          </cell>
          <cell r="EW43">
            <v>21.9</v>
          </cell>
          <cell r="EX43">
            <v>21.9</v>
          </cell>
          <cell r="EZ43">
            <v>16.700000000000006</v>
          </cell>
          <cell r="FA43">
            <v>54.790000000000013</v>
          </cell>
          <cell r="FB43">
            <v>71.490000000000023</v>
          </cell>
          <cell r="FD43">
            <v>129.5</v>
          </cell>
          <cell r="FE43">
            <v>339.6</v>
          </cell>
          <cell r="FF43">
            <v>469.1</v>
          </cell>
          <cell r="FH43">
            <v>783</v>
          </cell>
          <cell r="FI43">
            <v>1046.2</v>
          </cell>
          <cell r="FJ43">
            <v>1829.2</v>
          </cell>
        </row>
        <row r="44">
          <cell r="EM44" t="str">
            <v xml:space="preserve"> 2Q</v>
          </cell>
          <cell r="EN44">
            <v>16.600000000000001</v>
          </cell>
          <cell r="EO44">
            <v>8.1</v>
          </cell>
          <cell r="EP44">
            <v>24.700000000000003</v>
          </cell>
          <cell r="ER44">
            <v>10.5</v>
          </cell>
          <cell r="ES44">
            <v>12.9</v>
          </cell>
          <cell r="ET44">
            <v>23.4</v>
          </cell>
          <cell r="EV44">
            <v>0</v>
          </cell>
          <cell r="EW44">
            <v>17</v>
          </cell>
          <cell r="EX44">
            <v>17</v>
          </cell>
          <cell r="EZ44">
            <v>16.399999999999991</v>
          </cell>
          <cell r="FA44">
            <v>54.200000000000031</v>
          </cell>
          <cell r="FB44">
            <v>70.600000000000023</v>
          </cell>
          <cell r="FD44">
            <v>138.1</v>
          </cell>
          <cell r="FE44">
            <v>327.3</v>
          </cell>
          <cell r="FF44">
            <v>465.4</v>
          </cell>
          <cell r="FH44">
            <v>774.9</v>
          </cell>
          <cell r="FI44">
            <v>1016.3</v>
          </cell>
          <cell r="FJ44">
            <v>1791.1999999999998</v>
          </cell>
        </row>
        <row r="45">
          <cell r="EM45" t="str">
            <v xml:space="preserve"> 3Q</v>
          </cell>
          <cell r="EN45">
            <v>11.4</v>
          </cell>
          <cell r="EO45">
            <v>8</v>
          </cell>
          <cell r="EP45">
            <v>19.399999999999999</v>
          </cell>
          <cell r="ER45">
            <v>9.1999999999999993</v>
          </cell>
          <cell r="ES45">
            <v>12.7</v>
          </cell>
          <cell r="ET45">
            <v>21.9</v>
          </cell>
          <cell r="EV45">
            <v>0</v>
          </cell>
          <cell r="EW45">
            <v>19</v>
          </cell>
          <cell r="EX45">
            <v>19</v>
          </cell>
          <cell r="EZ45">
            <v>20.600000000000005</v>
          </cell>
          <cell r="FA45">
            <v>46.3</v>
          </cell>
          <cell r="FB45">
            <v>66.900000000000006</v>
          </cell>
          <cell r="FD45">
            <v>156.5</v>
          </cell>
          <cell r="FE45">
            <v>316.39999999999998</v>
          </cell>
          <cell r="FF45">
            <v>472.9</v>
          </cell>
          <cell r="FH45">
            <v>808.3</v>
          </cell>
          <cell r="FI45">
            <v>959.8</v>
          </cell>
          <cell r="FJ45">
            <v>1768.1</v>
          </cell>
        </row>
        <row r="46">
          <cell r="EM46" t="str">
            <v xml:space="preserve"> 4Q</v>
          </cell>
          <cell r="EN46">
            <v>11.9</v>
          </cell>
          <cell r="EO46">
            <v>10</v>
          </cell>
          <cell r="EP46">
            <v>21.9</v>
          </cell>
          <cell r="ER46">
            <v>8.6999999999999993</v>
          </cell>
          <cell r="ES46">
            <v>14</v>
          </cell>
          <cell r="ET46">
            <v>22.7</v>
          </cell>
          <cell r="EV46">
            <v>0</v>
          </cell>
          <cell r="EW46">
            <v>18.100000000000001</v>
          </cell>
          <cell r="EX46">
            <v>18.100000000000001</v>
          </cell>
          <cell r="EZ46">
            <v>17.700000000000014</v>
          </cell>
          <cell r="FA46">
            <v>49.600000000000016</v>
          </cell>
          <cell r="FB46">
            <v>67.300000000000026</v>
          </cell>
          <cell r="FD46">
            <v>165.3</v>
          </cell>
          <cell r="FE46">
            <v>356.6</v>
          </cell>
          <cell r="FF46">
            <v>521.90000000000009</v>
          </cell>
          <cell r="FH46">
            <v>807.39999999999986</v>
          </cell>
          <cell r="FI46">
            <v>1035.5</v>
          </cell>
          <cell r="FJ46">
            <v>1842.8999999999999</v>
          </cell>
        </row>
        <row r="48">
          <cell r="EM48" t="str">
            <v>1996</v>
          </cell>
          <cell r="EN48">
            <v>55.4</v>
          </cell>
          <cell r="EO48">
            <v>34</v>
          </cell>
          <cell r="EP48">
            <v>89.4</v>
          </cell>
          <cell r="ER48">
            <v>37.200000000000003</v>
          </cell>
          <cell r="ES48">
            <v>51.3</v>
          </cell>
          <cell r="ET48">
            <v>88.5</v>
          </cell>
          <cell r="EV48">
            <v>0</v>
          </cell>
          <cell r="EW48">
            <v>76</v>
          </cell>
          <cell r="EX48">
            <v>76</v>
          </cell>
          <cell r="EZ48">
            <v>71.40000000000002</v>
          </cell>
          <cell r="FA48">
            <v>204.89000000000004</v>
          </cell>
          <cell r="FB48">
            <v>276.29000000000008</v>
          </cell>
          <cell r="FD48">
            <v>589.40000000000009</v>
          </cell>
          <cell r="FE48">
            <v>1339.9</v>
          </cell>
          <cell r="FF48">
            <v>1929.3000000000002</v>
          </cell>
          <cell r="FH48">
            <v>3173.5999999999995</v>
          </cell>
          <cell r="FI48">
            <v>4057.8</v>
          </cell>
          <cell r="FJ48">
            <v>7231.4</v>
          </cell>
        </row>
        <row r="50">
          <cell r="EM50" t="str">
            <v xml:space="preserve">1997/96 </v>
          </cell>
        </row>
        <row r="51">
          <cell r="EM51" t="str">
            <v xml:space="preserve"> 1Q</v>
          </cell>
          <cell r="EN51">
            <v>-0.18709677419354842</v>
          </cell>
          <cell r="EO51">
            <v>-3.7974683544303889E-2</v>
          </cell>
          <cell r="EP51">
            <v>-0.13675213675213671</v>
          </cell>
          <cell r="ER51">
            <v>0.72727272727272707</v>
          </cell>
          <cell r="ES51">
            <v>0.11965811965811968</v>
          </cell>
          <cell r="ET51">
            <v>0.38048780487804867</v>
          </cell>
          <cell r="EV51" t="str">
            <v>NM</v>
          </cell>
          <cell r="EW51">
            <v>-5.9360730593607136E-2</v>
          </cell>
          <cell r="EX51">
            <v>-5.9360730593607136E-2</v>
          </cell>
          <cell r="EZ51">
            <v>0.17365269461077748</v>
          </cell>
          <cell r="FA51">
            <v>-0.36302244935207129</v>
          </cell>
          <cell r="FB51">
            <v>-0.23765561617009379</v>
          </cell>
          <cell r="FD51">
            <v>-7.7220077220077066E-3</v>
          </cell>
          <cell r="FE51">
            <v>-0.11484098939929333</v>
          </cell>
          <cell r="FF51">
            <v>-8.5269665316563659E-2</v>
          </cell>
          <cell r="FH51">
            <v>5.6960408684546548E-2</v>
          </cell>
          <cell r="FI51">
            <v>-9.2142993691454733E-2</v>
          </cell>
          <cell r="FJ51">
            <v>-2.8318390553247252E-2</v>
          </cell>
        </row>
        <row r="52">
          <cell r="EM52" t="str">
            <v xml:space="preserve"> 2Q</v>
          </cell>
          <cell r="EN52">
            <v>6.0240963855420215E-3</v>
          </cell>
          <cell r="EO52">
            <v>-8.6419753086419693E-2</v>
          </cell>
          <cell r="EP52">
            <v>-2.4291497975708509E-2</v>
          </cell>
          <cell r="ER52">
            <v>0.31428571428571428</v>
          </cell>
          <cell r="ES52">
            <v>0.17829457364341073</v>
          </cell>
          <cell r="ET52">
            <v>0.23931623931623935</v>
          </cell>
          <cell r="EV52" t="str">
            <v>NM</v>
          </cell>
          <cell r="EW52">
            <v>0.43529411764705883</v>
          </cell>
          <cell r="EX52">
            <v>0.43529411764705883</v>
          </cell>
          <cell r="EZ52">
            <v>-0.12804878048780499</v>
          </cell>
          <cell r="FA52">
            <v>-0.14575645756457711</v>
          </cell>
          <cell r="FB52">
            <v>-0.14164305949008615</v>
          </cell>
          <cell r="FD52">
            <v>4.9963794351918889E-2</v>
          </cell>
          <cell r="FE52">
            <v>-1.5582034830430858E-2</v>
          </cell>
          <cell r="FF52">
            <v>3.8676407391491363E-3</v>
          </cell>
          <cell r="FH52">
            <v>0.2238998580461995</v>
          </cell>
          <cell r="FI52">
            <v>2.0663190002954135E-3</v>
          </cell>
          <cell r="FJ52">
            <v>9.8034836980795292E-2</v>
          </cell>
        </row>
        <row r="53">
          <cell r="EM53" t="str">
            <v xml:space="preserve"> 3Q</v>
          </cell>
          <cell r="EN53">
            <v>0.13157894736842102</v>
          </cell>
          <cell r="EO53">
            <v>-5.0000000000000044E-2</v>
          </cell>
          <cell r="EP53">
            <v>5.6701030927835072E-2</v>
          </cell>
          <cell r="ER53">
            <v>0.92391304347826098</v>
          </cell>
          <cell r="ES53">
            <v>-5.5118110236220375E-2</v>
          </cell>
          <cell r="ET53">
            <v>0.35616438356164393</v>
          </cell>
          <cell r="EV53" t="str">
            <v>NM</v>
          </cell>
          <cell r="EW53">
            <v>0.28947368421052633</v>
          </cell>
          <cell r="EX53">
            <v>0.28947368421052633</v>
          </cell>
          <cell r="EZ53">
            <v>0.2135922330097082</v>
          </cell>
          <cell r="FA53">
            <v>-0.10799136069114446</v>
          </cell>
          <cell r="FB53">
            <v>-8.9686098654707669E-3</v>
          </cell>
          <cell r="FD53">
            <v>0.15974440894568698</v>
          </cell>
          <cell r="FE53">
            <v>-2.970922882427296E-2</v>
          </cell>
          <cell r="FF53">
            <v>3.2987946711778404E-2</v>
          </cell>
          <cell r="FH53">
            <v>0.39762464431522959</v>
          </cell>
          <cell r="FI53">
            <v>1.9483225672014992E-2</v>
          </cell>
          <cell r="FJ53">
            <v>0.19235337367795946</v>
          </cell>
        </row>
        <row r="54">
          <cell r="EM54" t="str">
            <v xml:space="preserve"> 4Q</v>
          </cell>
          <cell r="EN54">
            <v>-0.30252100840336127</v>
          </cell>
          <cell r="EO54">
            <v>-0.38</v>
          </cell>
          <cell r="EP54">
            <v>-0.33789954337899542</v>
          </cell>
          <cell r="ER54">
            <v>0.931034482758621</v>
          </cell>
          <cell r="ES54">
            <v>-2.1428571428571463E-2</v>
          </cell>
          <cell r="ET54">
            <v>0.34361233480176212</v>
          </cell>
          <cell r="EV54" t="str">
            <v>NM</v>
          </cell>
          <cell r="EW54">
            <v>9.3922651933701529E-2</v>
          </cell>
          <cell r="EX54">
            <v>0.11049723756906071</v>
          </cell>
          <cell r="EZ54">
            <v>0.1977401129943499</v>
          </cell>
          <cell r="FA54">
            <v>-0.2883064516129038</v>
          </cell>
          <cell r="FB54">
            <v>-0.16047548291233327</v>
          </cell>
          <cell r="FD54">
            <v>9.1954022988505635E-2</v>
          </cell>
          <cell r="FE54">
            <v>-0.14974761637689293</v>
          </cell>
          <cell r="FF54">
            <v>-7.3194098486300208E-2</v>
          </cell>
          <cell r="FH54">
            <v>0.60589546693088936</v>
          </cell>
          <cell r="FI54">
            <v>-4.6354418155479804E-3</v>
          </cell>
          <cell r="FJ54">
            <v>0.26284660046665609</v>
          </cell>
        </row>
        <row r="56">
          <cell r="EM56" t="str">
            <v>Year</v>
          </cell>
          <cell r="EN56">
            <v>-8.8447653429602813E-2</v>
          </cell>
          <cell r="EO56">
            <v>-0.15294117647058825</v>
          </cell>
          <cell r="EP56">
            <v>-0.11297539149888147</v>
          </cell>
          <cell r="ER56">
            <v>0.70698924731182777</v>
          </cell>
          <cell r="ES56">
            <v>5.2631578947368585E-2</v>
          </cell>
          <cell r="ET56">
            <v>0.32768361581920913</v>
          </cell>
          <cell r="EV56" t="str">
            <v>NM</v>
          </cell>
          <cell r="EW56">
            <v>0.17500000000000004</v>
          </cell>
          <cell r="EX56">
            <v>0.17894736842105252</v>
          </cell>
          <cell r="EZ56">
            <v>0.12184873949579789</v>
          </cell>
          <cell r="FA56">
            <v>-0.22983064083166616</v>
          </cell>
          <cell r="FB56">
            <v>-0.13894820659452056</v>
          </cell>
          <cell r="FD56">
            <v>7.8215134034611333E-2</v>
          </cell>
          <cell r="FE56">
            <v>-7.9782073289051514E-2</v>
          </cell>
          <cell r="FF56">
            <v>-3.1514020629243911E-2</v>
          </cell>
          <cell r="FH56">
            <v>0.32414292916561638</v>
          </cell>
          <cell r="FI56">
            <v>-1.9813692148454742E-2</v>
          </cell>
          <cell r="FJ56">
            <v>0.13113643277926812</v>
          </cell>
        </row>
        <row r="58">
          <cell r="EM58" t="str">
            <v>1997</v>
          </cell>
        </row>
        <row r="59">
          <cell r="EM59" t="str">
            <v xml:space="preserve"> 1Q</v>
          </cell>
          <cell r="EN59">
            <v>12.6</v>
          </cell>
          <cell r="EO59">
            <v>7.6</v>
          </cell>
          <cell r="EP59">
            <v>20.2</v>
          </cell>
          <cell r="ER59">
            <v>15.2</v>
          </cell>
          <cell r="ES59">
            <v>13.1</v>
          </cell>
          <cell r="ET59">
            <v>28.299999999999997</v>
          </cell>
          <cell r="EV59">
            <v>0</v>
          </cell>
          <cell r="EW59">
            <v>20.6</v>
          </cell>
          <cell r="EX59">
            <v>20.6</v>
          </cell>
          <cell r="EZ59">
            <v>19.599999999999991</v>
          </cell>
          <cell r="FA59">
            <v>34.90000000000002</v>
          </cell>
          <cell r="FB59">
            <v>54.500000000000014</v>
          </cell>
          <cell r="FD59">
            <v>128.5</v>
          </cell>
          <cell r="FE59">
            <v>300.60000000000002</v>
          </cell>
          <cell r="FF59">
            <v>429.1</v>
          </cell>
          <cell r="FH59">
            <v>827.6</v>
          </cell>
          <cell r="FI59">
            <v>949.80000000000007</v>
          </cell>
          <cell r="FJ59">
            <v>1777.4</v>
          </cell>
        </row>
        <row r="60">
          <cell r="EM60" t="str">
            <v xml:space="preserve"> 2Q</v>
          </cell>
          <cell r="EN60">
            <v>16.7</v>
          </cell>
          <cell r="EO60">
            <v>7.4</v>
          </cell>
          <cell r="EP60">
            <v>24.1</v>
          </cell>
          <cell r="ER60">
            <v>13.8</v>
          </cell>
          <cell r="ES60">
            <v>15.2</v>
          </cell>
          <cell r="ET60">
            <v>29</v>
          </cell>
          <cell r="EV60">
            <v>0</v>
          </cell>
          <cell r="EW60">
            <v>24.4</v>
          </cell>
          <cell r="EX60">
            <v>24.4</v>
          </cell>
          <cell r="EZ60">
            <v>14.29999999999999</v>
          </cell>
          <cell r="FA60">
            <v>46.299999999999947</v>
          </cell>
          <cell r="FB60">
            <v>60.599999999999937</v>
          </cell>
          <cell r="FD60">
            <v>145</v>
          </cell>
          <cell r="FE60">
            <v>322.2</v>
          </cell>
          <cell r="FF60">
            <v>467.2</v>
          </cell>
          <cell r="FH60">
            <v>948.4</v>
          </cell>
          <cell r="FI60">
            <v>1018.4000000000001</v>
          </cell>
          <cell r="FJ60">
            <v>1966.8000000000002</v>
          </cell>
        </row>
        <row r="61">
          <cell r="EM61" t="str">
            <v xml:space="preserve"> 3Q</v>
          </cell>
          <cell r="EN61">
            <v>12.9</v>
          </cell>
          <cell r="EO61">
            <v>7.6</v>
          </cell>
          <cell r="EP61">
            <v>20.5</v>
          </cell>
          <cell r="ER61">
            <v>17.7</v>
          </cell>
          <cell r="ES61">
            <v>12</v>
          </cell>
          <cell r="ET61">
            <v>29.7</v>
          </cell>
          <cell r="EV61">
            <v>0</v>
          </cell>
          <cell r="EW61">
            <v>24.5</v>
          </cell>
          <cell r="EX61">
            <v>24.5</v>
          </cell>
          <cell r="EZ61">
            <v>24.999999999999996</v>
          </cell>
          <cell r="FA61">
            <v>41.300000000000011</v>
          </cell>
          <cell r="FB61">
            <v>66.300000000000011</v>
          </cell>
          <cell r="FD61">
            <v>181.5</v>
          </cell>
          <cell r="FE61">
            <v>307</v>
          </cell>
          <cell r="FF61">
            <v>488.5</v>
          </cell>
          <cell r="FH61">
            <v>1129.7</v>
          </cell>
          <cell r="FI61">
            <v>978.5</v>
          </cell>
          <cell r="FJ61">
            <v>2108.1999999999998</v>
          </cell>
        </row>
        <row r="62">
          <cell r="EM62" t="str">
            <v xml:space="preserve"> 4Q</v>
          </cell>
          <cell r="EN62">
            <v>8.3000000000000007</v>
          </cell>
          <cell r="EO62">
            <v>6.2</v>
          </cell>
          <cell r="EP62">
            <v>14.5</v>
          </cell>
          <cell r="ER62">
            <v>16.8</v>
          </cell>
          <cell r="ES62">
            <v>13.7</v>
          </cell>
          <cell r="ET62">
            <v>30.5</v>
          </cell>
          <cell r="EV62">
            <v>0.3</v>
          </cell>
          <cell r="EW62">
            <v>19.8</v>
          </cell>
          <cell r="EX62">
            <v>20.100000000000001</v>
          </cell>
          <cell r="EZ62">
            <v>21.20000000000001</v>
          </cell>
          <cell r="FA62">
            <v>35.299999999999983</v>
          </cell>
          <cell r="FB62">
            <v>56.499999999999993</v>
          </cell>
          <cell r="FD62">
            <v>180.5</v>
          </cell>
          <cell r="FE62">
            <v>303.2</v>
          </cell>
          <cell r="FF62">
            <v>483.7</v>
          </cell>
          <cell r="FH62">
            <v>1296.5999999999999</v>
          </cell>
          <cell r="FI62">
            <v>1030.7</v>
          </cell>
          <cell r="FJ62">
            <v>2327.3000000000002</v>
          </cell>
        </row>
        <row r="64">
          <cell r="EM64" t="str">
            <v>Year</v>
          </cell>
          <cell r="EN64">
            <v>50.5</v>
          </cell>
          <cell r="EO64">
            <v>28.8</v>
          </cell>
          <cell r="EP64">
            <v>79.3</v>
          </cell>
          <cell r="ER64">
            <v>63.5</v>
          </cell>
          <cell r="ES64">
            <v>54</v>
          </cell>
          <cell r="ET64">
            <v>117.5</v>
          </cell>
          <cell r="EV64">
            <v>0.3</v>
          </cell>
          <cell r="EW64">
            <v>89.3</v>
          </cell>
          <cell r="EX64">
            <v>89.6</v>
          </cell>
          <cell r="EZ64">
            <v>80.099999999999994</v>
          </cell>
          <cell r="FA64">
            <v>157.79999999999995</v>
          </cell>
          <cell r="FB64">
            <v>237.89999999999998</v>
          </cell>
          <cell r="FD64">
            <v>635.5</v>
          </cell>
          <cell r="FE64">
            <v>1233</v>
          </cell>
          <cell r="FF64">
            <v>1868.5</v>
          </cell>
          <cell r="FH64">
            <v>4202.2999999999993</v>
          </cell>
          <cell r="FI64">
            <v>3977.4000000000005</v>
          </cell>
          <cell r="FJ64">
            <v>8179.7</v>
          </cell>
        </row>
        <row r="66">
          <cell r="EM66" t="str">
            <v>1998/97 % Change</v>
          </cell>
        </row>
        <row r="67">
          <cell r="EM67" t="str">
            <v xml:space="preserve"> 1Q</v>
          </cell>
          <cell r="EN67">
            <v>0.26984126984126977</v>
          </cell>
          <cell r="EO67">
            <v>0.25</v>
          </cell>
          <cell r="EP67">
            <v>0.26237623762376239</v>
          </cell>
          <cell r="ER67">
            <v>0.31578947368421062</v>
          </cell>
          <cell r="ES67">
            <v>-3.0534351145038219E-2</v>
          </cell>
          <cell r="ET67">
            <v>0.15547703180212036</v>
          </cell>
          <cell r="EV67" t="str">
            <v>NM</v>
          </cell>
          <cell r="EW67">
            <v>0.23300970873786397</v>
          </cell>
          <cell r="EX67">
            <v>0.26213592233009697</v>
          </cell>
          <cell r="EZ67">
            <v>-0.28061224489795866</v>
          </cell>
          <cell r="FA67">
            <v>0.17765042979942591</v>
          </cell>
          <cell r="FB67">
            <v>1.2844036697247319E-2</v>
          </cell>
          <cell r="FD67">
            <v>0.17120622568093391</v>
          </cell>
          <cell r="FE67">
            <v>-2.2288755821690098E-2</v>
          </cell>
          <cell r="FF67">
            <v>3.5656024236774497E-2</v>
          </cell>
          <cell r="FH67">
            <v>0.58107781536974379</v>
          </cell>
          <cell r="FI67">
            <v>7.5910718045904213E-2</v>
          </cell>
          <cell r="FJ67">
            <v>0.31112861483065157</v>
          </cell>
        </row>
        <row r="68">
          <cell r="EM68" t="str">
            <v xml:space="preserve"> 2Q</v>
          </cell>
          <cell r="EN68">
            <v>-5.9880239520956335E-3</v>
          </cell>
          <cell r="EO68">
            <v>0.49999999999999978</v>
          </cell>
          <cell r="EP68">
            <v>0.14937759336099599</v>
          </cell>
          <cell r="ER68">
            <v>0.53623188405797095</v>
          </cell>
          <cell r="ES68">
            <v>-6.5789473684210176E-3</v>
          </cell>
          <cell r="ET68">
            <v>0.25172413793103443</v>
          </cell>
          <cell r="EV68" t="str">
            <v>NM</v>
          </cell>
          <cell r="EW68">
            <v>0.20901639344262302</v>
          </cell>
          <cell r="EX68">
            <v>0.22540983606557385</v>
          </cell>
          <cell r="EZ68">
            <v>2.0979020979023488E-2</v>
          </cell>
          <cell r="FA68">
            <v>-0.11879049676025732</v>
          </cell>
          <cell r="FB68">
            <v>-8.5808580858083849E-2</v>
          </cell>
          <cell r="FD68">
            <v>7.1034482758620676E-2</v>
          </cell>
          <cell r="FE68">
            <v>-2.8243327126008633E-2</v>
          </cell>
          <cell r="FF68">
            <v>2.5684931506850806E-3</v>
          </cell>
          <cell r="FH68">
            <v>0.67302825811893729</v>
          </cell>
          <cell r="FI68">
            <v>7.6296150824822995E-2</v>
          </cell>
          <cell r="FJ68">
            <v>0.36404311572096804</v>
          </cell>
        </row>
        <row r="69">
          <cell r="EM69" t="str">
            <v xml:space="preserve"> 3Q</v>
          </cell>
          <cell r="EN69">
            <v>-0.17829457364341095</v>
          </cell>
          <cell r="EO69">
            <v>0.23684210526315796</v>
          </cell>
          <cell r="EP69">
            <v>-2.4390243902439046E-2</v>
          </cell>
          <cell r="ER69">
            <v>0.12429378531073443</v>
          </cell>
          <cell r="ES69">
            <v>-8.3333333333333037E-3</v>
          </cell>
          <cell r="ET69">
            <v>7.0707070707070718E-2</v>
          </cell>
          <cell r="EV69" t="str">
            <v>NM</v>
          </cell>
          <cell r="EW69">
            <v>0.25306122448979584</v>
          </cell>
          <cell r="EX69">
            <v>0.27755102040816326</v>
          </cell>
          <cell r="EZ69">
            <v>-0.21599999999999953</v>
          </cell>
          <cell r="FA69">
            <v>6.2953995157385201E-2</v>
          </cell>
          <cell r="FB69">
            <v>-4.2232277526394912E-2</v>
          </cell>
          <cell r="FD69">
            <v>-0.10523415977961426</v>
          </cell>
          <cell r="FE69">
            <v>2.6058631921823672E-3</v>
          </cell>
          <cell r="FF69">
            <v>-3.7461617195496344E-2</v>
          </cell>
          <cell r="FH69">
            <v>0.41037443569089138</v>
          </cell>
          <cell r="FI69">
            <v>0.12488502810424129</v>
          </cell>
          <cell r="FJ69">
            <v>0.27786737501185854</v>
          </cell>
        </row>
        <row r="70">
          <cell r="EM70" t="str">
            <v xml:space="preserve"> 4Q</v>
          </cell>
          <cell r="EN70">
            <v>0.54216867469879504</v>
          </cell>
          <cell r="EO70">
            <v>0.56451612903225801</v>
          </cell>
          <cell r="EP70">
            <v>0.55172413793103448</v>
          </cell>
          <cell r="ER70">
            <v>0.27976190476190466</v>
          </cell>
          <cell r="ES70">
            <v>0</v>
          </cell>
          <cell r="ET70">
            <v>0.15409836065573779</v>
          </cell>
          <cell r="EV70" t="str">
            <v>NM</v>
          </cell>
          <cell r="EW70">
            <v>0.34343434343434343</v>
          </cell>
          <cell r="EX70">
            <v>0.3383084577114428</v>
          </cell>
          <cell r="EZ70">
            <v>-0.25943396226415061</v>
          </cell>
          <cell r="FA70">
            <v>0.23796033994334365</v>
          </cell>
          <cell r="FB70">
            <v>5.1327433628319152E-2</v>
          </cell>
          <cell r="FD70">
            <v>6.094182825484773E-2</v>
          </cell>
          <cell r="FE70">
            <v>3.2321899736147852E-2</v>
          </cell>
          <cell r="FF70">
            <v>4.3001860657432278E-2</v>
          </cell>
          <cell r="FH70">
            <v>0.4022828937220424</v>
          </cell>
          <cell r="FI70">
            <v>0.18162413893470464</v>
          </cell>
          <cell r="FJ70">
            <v>0.30455893095002806</v>
          </cell>
        </row>
        <row r="72">
          <cell r="EM72" t="str">
            <v>Year</v>
          </cell>
          <cell r="EN72">
            <v>0.10891089108910901</v>
          </cell>
          <cell r="EO72">
            <v>0.37847222222222232</v>
          </cell>
          <cell r="EP72">
            <v>0.20680958385876425</v>
          </cell>
          <cell r="ER72">
            <v>0.3007874015748031</v>
          </cell>
          <cell r="ES72">
            <v>-1.1111111111111294E-2</v>
          </cell>
          <cell r="ET72">
            <v>0.15744680851063819</v>
          </cell>
          <cell r="EV72" t="str">
            <v>NM</v>
          </cell>
          <cell r="EW72">
            <v>0.25643896976483749</v>
          </cell>
          <cell r="EX72">
            <v>0.27343750000000022</v>
          </cell>
          <cell r="EZ72">
            <v>-0.20099875156054858</v>
          </cell>
          <cell r="FA72">
            <v>7.4144486692015787E-2</v>
          </cell>
          <cell r="FB72">
            <v>-1.8495166036149091E-2</v>
          </cell>
          <cell r="FD72">
            <v>3.8080251770259643E-2</v>
          </cell>
          <cell r="FE72">
            <v>-4.2173560421735479E-3</v>
          </cell>
          <cell r="FF72">
            <v>1.0168584426010208E-2</v>
          </cell>
          <cell r="FH72">
            <v>0.50077338600290333</v>
          </cell>
          <cell r="FI72">
            <v>0.1154523055262231</v>
          </cell>
          <cell r="FJ72">
            <v>0.31341002726261369</v>
          </cell>
        </row>
        <row r="74">
          <cell r="EM74" t="str">
            <v>1998</v>
          </cell>
        </row>
        <row r="75">
          <cell r="EM75" t="str">
            <v xml:space="preserve"> 1Q</v>
          </cell>
          <cell r="EN75">
            <v>16</v>
          </cell>
          <cell r="EO75">
            <v>9.5</v>
          </cell>
          <cell r="EP75">
            <v>25.5</v>
          </cell>
          <cell r="ER75">
            <v>20</v>
          </cell>
          <cell r="ES75">
            <v>12.7</v>
          </cell>
          <cell r="ET75">
            <v>32.700000000000003</v>
          </cell>
          <cell r="EV75">
            <v>0.6</v>
          </cell>
          <cell r="EW75">
            <v>25.4</v>
          </cell>
          <cell r="EX75">
            <v>26</v>
          </cell>
          <cell r="EZ75">
            <v>14.100000000000003</v>
          </cell>
          <cell r="FA75">
            <v>41.099999999999987</v>
          </cell>
          <cell r="FB75">
            <v>55.199999999999989</v>
          </cell>
          <cell r="FD75">
            <v>150.5</v>
          </cell>
          <cell r="FE75">
            <v>293.89999999999998</v>
          </cell>
          <cell r="FF75">
            <v>444.4</v>
          </cell>
          <cell r="FH75">
            <v>1308.5</v>
          </cell>
          <cell r="FI75">
            <v>1021.9</v>
          </cell>
          <cell r="FJ75">
            <v>2330.4</v>
          </cell>
        </row>
        <row r="76">
          <cell r="EM76" t="str">
            <v xml:space="preserve"> 2Q</v>
          </cell>
          <cell r="EN76">
            <v>16.600000000000001</v>
          </cell>
          <cell r="EO76">
            <v>11.1</v>
          </cell>
          <cell r="EP76">
            <v>27.700000000000003</v>
          </cell>
          <cell r="ER76">
            <v>21.2</v>
          </cell>
          <cell r="ES76">
            <v>15.1</v>
          </cell>
          <cell r="ET76">
            <v>36.299999999999997</v>
          </cell>
          <cell r="EV76">
            <v>0.4</v>
          </cell>
          <cell r="EW76">
            <v>29.5</v>
          </cell>
          <cell r="EX76">
            <v>29.9</v>
          </cell>
          <cell r="EZ76">
            <v>14.600000000000025</v>
          </cell>
          <cell r="FA76">
            <v>40.80000000000004</v>
          </cell>
          <cell r="FB76">
            <v>55.400000000000063</v>
          </cell>
          <cell r="FD76">
            <v>155.30000000000001</v>
          </cell>
          <cell r="FE76">
            <v>313.10000000000002</v>
          </cell>
          <cell r="FF76">
            <v>468.40000000000003</v>
          </cell>
          <cell r="FH76">
            <v>1586.7</v>
          </cell>
          <cell r="FI76">
            <v>1096.0999999999999</v>
          </cell>
          <cell r="FJ76">
            <v>2682.8</v>
          </cell>
        </row>
        <row r="77">
          <cell r="EM77" t="str">
            <v xml:space="preserve"> 3Q</v>
          </cell>
          <cell r="EN77">
            <v>10.6</v>
          </cell>
          <cell r="EO77">
            <v>9.4</v>
          </cell>
          <cell r="EP77">
            <v>20</v>
          </cell>
          <cell r="ER77">
            <v>19.899999999999999</v>
          </cell>
          <cell r="ES77">
            <v>11.9</v>
          </cell>
          <cell r="ET77">
            <v>31.799999999999997</v>
          </cell>
          <cell r="EV77">
            <v>0.6</v>
          </cell>
          <cell r="EW77">
            <v>30.7</v>
          </cell>
          <cell r="EX77">
            <v>31.3</v>
          </cell>
          <cell r="EZ77">
            <v>19.600000000000009</v>
          </cell>
          <cell r="FA77">
            <v>43.90000000000002</v>
          </cell>
          <cell r="FB77">
            <v>63.500000000000028</v>
          </cell>
          <cell r="FD77">
            <v>162.4</v>
          </cell>
          <cell r="FE77">
            <v>307.8</v>
          </cell>
          <cell r="FF77">
            <v>470.20000000000005</v>
          </cell>
          <cell r="FH77">
            <v>1593.3000000000002</v>
          </cell>
          <cell r="FI77">
            <v>1100.7</v>
          </cell>
          <cell r="FJ77">
            <v>2694</v>
          </cell>
        </row>
        <row r="78">
          <cell r="EM78" t="str">
            <v xml:space="preserve"> 4Q</v>
          </cell>
          <cell r="EN78">
            <v>12.8</v>
          </cell>
          <cell r="EO78">
            <v>9.6999999999999993</v>
          </cell>
          <cell r="EP78">
            <v>22.5</v>
          </cell>
          <cell r="ER78">
            <v>21.5</v>
          </cell>
          <cell r="ES78">
            <v>13.7</v>
          </cell>
          <cell r="ET78">
            <v>35.200000000000003</v>
          </cell>
          <cell r="EV78">
            <v>0.3</v>
          </cell>
          <cell r="EW78">
            <v>26.6</v>
          </cell>
          <cell r="EX78">
            <v>26.900000000000002</v>
          </cell>
          <cell r="EZ78">
            <v>15.700000000000014</v>
          </cell>
          <cell r="FA78">
            <v>43.70000000000001</v>
          </cell>
          <cell r="FB78">
            <v>59.40000000000002</v>
          </cell>
          <cell r="FD78">
            <v>191.5</v>
          </cell>
          <cell r="FE78">
            <v>313</v>
          </cell>
          <cell r="FF78">
            <v>504.5</v>
          </cell>
          <cell r="FH78">
            <v>1818.2</v>
          </cell>
          <cell r="FI78">
            <v>1217.9000000000001</v>
          </cell>
          <cell r="FJ78">
            <v>3036.1000000000004</v>
          </cell>
        </row>
        <row r="80">
          <cell r="EM80" t="str">
            <v>Year</v>
          </cell>
          <cell r="EN80">
            <v>56</v>
          </cell>
          <cell r="EO80">
            <v>39.700000000000003</v>
          </cell>
          <cell r="EP80">
            <v>95.7</v>
          </cell>
          <cell r="ER80">
            <v>82.6</v>
          </cell>
          <cell r="ES80">
            <v>53.399999999999991</v>
          </cell>
          <cell r="ET80">
            <v>136</v>
          </cell>
          <cell r="EV80">
            <v>1.9000000000000001</v>
          </cell>
          <cell r="EW80">
            <v>112.19999999999999</v>
          </cell>
          <cell r="EX80">
            <v>114.10000000000001</v>
          </cell>
          <cell r="EZ80">
            <v>64.000000000000057</v>
          </cell>
          <cell r="FA80">
            <v>169.50000000000006</v>
          </cell>
          <cell r="FB80">
            <v>233.50000000000011</v>
          </cell>
          <cell r="FD80">
            <v>659.7</v>
          </cell>
          <cell r="FE80">
            <v>1227.8</v>
          </cell>
          <cell r="FF80">
            <v>1887.5</v>
          </cell>
          <cell r="FH80">
            <v>6306.7</v>
          </cell>
          <cell r="FI80">
            <v>4436.6000000000004</v>
          </cell>
          <cell r="FJ80">
            <v>10743.300000000001</v>
          </cell>
        </row>
        <row r="82">
          <cell r="EM82" t="str">
            <v xml:space="preserve">1999/98 </v>
          </cell>
        </row>
        <row r="83">
          <cell r="EM83" t="str">
            <v xml:space="preserve"> 1Q</v>
          </cell>
          <cell r="EN83">
            <v>-0.16249999999999998</v>
          </cell>
          <cell r="EO83">
            <v>-5.2631578947368474E-2</v>
          </cell>
          <cell r="EP83">
            <v>-0.1215686274509804</v>
          </cell>
          <cell r="ER83">
            <v>0.125</v>
          </cell>
          <cell r="ES83">
            <v>-6.2992125984251857E-2</v>
          </cell>
          <cell r="ET83">
            <v>5.1987767584097622E-2</v>
          </cell>
          <cell r="EV83">
            <v>0</v>
          </cell>
          <cell r="EW83">
            <v>0.15748031496062986</v>
          </cell>
          <cell r="EX83">
            <v>0.15384615384615374</v>
          </cell>
          <cell r="EZ83">
            <v>-7.092198581560516E-3</v>
          </cell>
          <cell r="FA83">
            <v>2.1897810218978409E-2</v>
          </cell>
          <cell r="FB83">
            <v>1.4492753623188692E-2</v>
          </cell>
          <cell r="FD83">
            <v>2.6578073089700949E-2</v>
          </cell>
          <cell r="FE83">
            <v>4.0830214358625661E-2</v>
          </cell>
          <cell r="FF83">
            <v>3.6003600360036137E-2</v>
          </cell>
          <cell r="FH83">
            <v>0.35552158960641966</v>
          </cell>
          <cell r="FI83">
            <v>0.2062824151091105</v>
          </cell>
          <cell r="FJ83">
            <v>0.29007895640233428</v>
          </cell>
        </row>
        <row r="84">
          <cell r="EM84" t="str">
            <v xml:space="preserve"> 2Q</v>
          </cell>
          <cell r="EN84">
            <v>-2.4096385542168752E-2</v>
          </cell>
          <cell r="EO84">
            <v>-9.9099099099099086E-2</v>
          </cell>
          <cell r="EP84">
            <v>-5.4151624548736566E-2</v>
          </cell>
          <cell r="ER84">
            <v>0.27830188679245293</v>
          </cell>
          <cell r="ES84">
            <v>-8.6092715231787964E-2</v>
          </cell>
          <cell r="ET84">
            <v>0.12672176308539962</v>
          </cell>
          <cell r="EV84">
            <v>0.49999999999999978</v>
          </cell>
          <cell r="EW84">
            <v>3.7288135593220417E-2</v>
          </cell>
          <cell r="EX84">
            <v>4.347826086956541E-2</v>
          </cell>
          <cell r="EZ84">
            <v>-6.8493150684940662E-3</v>
          </cell>
          <cell r="FA84">
            <v>0.28186274509803688</v>
          </cell>
          <cell r="FB84">
            <v>0.2057761732851966</v>
          </cell>
          <cell r="FD84">
            <v>5.9884095299420403E-2</v>
          </cell>
          <cell r="FE84">
            <v>1.5649952091983277E-2</v>
          </cell>
          <cell r="FF84">
            <v>3.0315969257045161E-2</v>
          </cell>
          <cell r="FH84">
            <v>0.19108842251213209</v>
          </cell>
          <cell r="FI84">
            <v>0.15026001277255752</v>
          </cell>
          <cell r="FJ84">
            <v>0.17440733561950195</v>
          </cell>
        </row>
        <row r="85">
          <cell r="EM85" t="str">
            <v xml:space="preserve"> 3Q</v>
          </cell>
          <cell r="EN85">
            <v>5.6603773584905648E-2</v>
          </cell>
          <cell r="EO85">
            <v>-1.0638297872340385E-2</v>
          </cell>
          <cell r="EP85">
            <v>2.4999999999999911E-2</v>
          </cell>
          <cell r="ER85">
            <v>0.31658291457286447</v>
          </cell>
          <cell r="ES85">
            <v>3.3613445378151363E-2</v>
          </cell>
          <cell r="ET85">
            <v>0.21069182389937113</v>
          </cell>
          <cell r="EV85">
            <v>0.16666666666666674</v>
          </cell>
          <cell r="EW85">
            <v>-9.4462540716612309E-2</v>
          </cell>
          <cell r="EX85">
            <v>-8.9456869009584716E-2</v>
          </cell>
          <cell r="EZ85">
            <v>2.0408163265307033E-2</v>
          </cell>
          <cell r="FA85">
            <v>0.2733485193621854</v>
          </cell>
          <cell r="FB85">
            <v>0.19527559055118049</v>
          </cell>
          <cell r="FD85">
            <v>4.0640394088669929E-2</v>
          </cell>
          <cell r="FE85">
            <v>1.5269655620532729E-2</v>
          </cell>
          <cell r="FF85">
            <v>2.4032326669502169E-2</v>
          </cell>
          <cell r="FH85">
            <v>0.25387560409213572</v>
          </cell>
          <cell r="FI85">
            <v>0.12637412555646388</v>
          </cell>
          <cell r="FJ85">
            <v>0.20178173719376402</v>
          </cell>
        </row>
        <row r="86">
          <cell r="EM86" t="str">
            <v xml:space="preserve"> 4Q</v>
          </cell>
          <cell r="EN86">
            <v>-8.5937500000000111E-2</v>
          </cell>
          <cell r="EO86">
            <v>5.1546391752577359E-2</v>
          </cell>
          <cell r="EP86">
            <v>-2.6666666666666727E-2</v>
          </cell>
          <cell r="ER86">
            <v>0.36279069767441863</v>
          </cell>
          <cell r="ES86">
            <v>8.7591240875912524E-2</v>
          </cell>
          <cell r="ET86">
            <v>0.25568181818181812</v>
          </cell>
          <cell r="EV86">
            <v>0.33333333333333348</v>
          </cell>
          <cell r="EW86">
            <v>-2.6315789473684292E-2</v>
          </cell>
          <cell r="EX86">
            <v>-2.230483271375483E-2</v>
          </cell>
          <cell r="EZ86">
            <v>-0.70063694267516108</v>
          </cell>
          <cell r="FA86">
            <v>0.22883295194508091</v>
          </cell>
          <cell r="FB86">
            <v>-1.6835016835016869E-2</v>
          </cell>
          <cell r="FD86">
            <v>7.571801566579639E-2</v>
          </cell>
          <cell r="FE86">
            <v>2.4600638977635647E-2</v>
          </cell>
          <cell r="FF86">
            <v>4.4003964321110089E-2</v>
          </cell>
          <cell r="FH86">
            <v>0.21075789242107579</v>
          </cell>
          <cell r="FI86">
            <v>9.4753263814763011E-2</v>
          </cell>
          <cell r="FJ86">
            <v>0.16422383979447308</v>
          </cell>
        </row>
        <row r="88">
          <cell r="EM88" t="str">
            <v>Year</v>
          </cell>
          <cell r="EN88">
            <v>-6.25E-2</v>
          </cell>
          <cell r="EO88">
            <v>-3.0226700251889227E-2</v>
          </cell>
          <cell r="EP88">
            <v>-4.9111807732497459E-2</v>
          </cell>
          <cell r="ER88">
            <v>0.2723970944309928</v>
          </cell>
          <cell r="ES88">
            <v>-9.3632958801497246E-3</v>
          </cell>
          <cell r="ET88">
            <v>0.16176470588235303</v>
          </cell>
          <cell r="EV88">
            <v>0.21052631578947345</v>
          </cell>
          <cell r="EW88">
            <v>1.3368983957219305E-2</v>
          </cell>
          <cell r="EX88">
            <v>1.6652059596844904E-2</v>
          </cell>
          <cell r="EZ88">
            <v>-0.16875000000000051</v>
          </cell>
          <cell r="FA88">
            <v>0.20294985250737407</v>
          </cell>
          <cell r="FB88">
            <v>0.10107066381156238</v>
          </cell>
          <cell r="FD88">
            <v>5.2144914355009897E-2</v>
          </cell>
          <cell r="FE88">
            <v>2.3863821469294777E-2</v>
          </cell>
          <cell r="FF88">
            <v>3.374834437086105E-2</v>
          </cell>
          <cell r="FH88">
            <v>0.24673759652433147</v>
          </cell>
          <cell r="FI88">
            <v>0.14200063111391614</v>
          </cell>
          <cell r="FJ88">
            <v>0.20348496272095162</v>
          </cell>
        </row>
        <row r="90">
          <cell r="EM90" t="str">
            <v>1999</v>
          </cell>
          <cell r="EQ90">
            <v>0</v>
          </cell>
          <cell r="EU90">
            <v>0</v>
          </cell>
          <cell r="EY90">
            <v>0</v>
          </cell>
          <cell r="FC90">
            <v>0</v>
          </cell>
        </row>
        <row r="91">
          <cell r="EM91" t="str">
            <v xml:space="preserve"> 1Q</v>
          </cell>
          <cell r="EN91">
            <v>13.4</v>
          </cell>
          <cell r="EO91">
            <v>9</v>
          </cell>
          <cell r="EP91">
            <v>22.4</v>
          </cell>
          <cell r="ER91">
            <v>22.5</v>
          </cell>
          <cell r="ES91">
            <v>11.9</v>
          </cell>
          <cell r="ET91">
            <v>34.4</v>
          </cell>
          <cell r="EV91">
            <v>0.6</v>
          </cell>
          <cell r="EW91">
            <v>29.4</v>
          </cell>
          <cell r="EX91">
            <v>30</v>
          </cell>
          <cell r="EZ91">
            <v>14</v>
          </cell>
          <cell r="FA91">
            <v>42</v>
          </cell>
          <cell r="FB91">
            <v>56</v>
          </cell>
          <cell r="FD91">
            <v>154.5</v>
          </cell>
          <cell r="FE91">
            <v>305.90000000000003</v>
          </cell>
          <cell r="FF91">
            <v>460.40000000000003</v>
          </cell>
          <cell r="FH91">
            <v>1773.7</v>
          </cell>
          <cell r="FI91">
            <v>1232.7</v>
          </cell>
          <cell r="FJ91">
            <v>3006.4</v>
          </cell>
        </row>
        <row r="92">
          <cell r="EM92" t="str">
            <v xml:space="preserve"> 2Q</v>
          </cell>
          <cell r="EN92">
            <v>16.2</v>
          </cell>
          <cell r="EO92">
            <v>10</v>
          </cell>
          <cell r="EP92">
            <v>26.2</v>
          </cell>
          <cell r="ER92">
            <v>27.1</v>
          </cell>
          <cell r="ES92">
            <v>13.8</v>
          </cell>
          <cell r="ET92">
            <v>40.900000000000006</v>
          </cell>
          <cell r="EV92">
            <v>0.6</v>
          </cell>
          <cell r="EW92">
            <v>30.6</v>
          </cell>
          <cell r="EX92">
            <v>31.200000000000003</v>
          </cell>
          <cell r="EZ92">
            <v>14.500000000000011</v>
          </cell>
          <cell r="FA92">
            <v>52.299999999999955</v>
          </cell>
          <cell r="FB92">
            <v>66.799999999999969</v>
          </cell>
          <cell r="FD92">
            <v>164.6</v>
          </cell>
          <cell r="FE92">
            <v>318</v>
          </cell>
          <cell r="FF92">
            <v>482.6</v>
          </cell>
          <cell r="FH92">
            <v>1889.9</v>
          </cell>
          <cell r="FI92">
            <v>1260.8000000000002</v>
          </cell>
          <cell r="FJ92">
            <v>3150.7000000000003</v>
          </cell>
        </row>
        <row r="93">
          <cell r="EM93" t="str">
            <v xml:space="preserve"> 3Q</v>
          </cell>
          <cell r="EN93">
            <v>11.2</v>
          </cell>
          <cell r="EO93">
            <v>9.3000000000000007</v>
          </cell>
          <cell r="EP93">
            <v>20.5</v>
          </cell>
          <cell r="ER93">
            <v>26.2</v>
          </cell>
          <cell r="ES93">
            <v>12.3</v>
          </cell>
          <cell r="ET93">
            <v>38.5</v>
          </cell>
          <cell r="EV93">
            <v>0.7</v>
          </cell>
          <cell r="EW93">
            <v>27.8</v>
          </cell>
          <cell r="EX93">
            <v>28.5</v>
          </cell>
          <cell r="EZ93">
            <v>20.000000000000028</v>
          </cell>
          <cell r="FA93">
            <v>55.899999999999963</v>
          </cell>
          <cell r="FB93">
            <v>75.899999999999991</v>
          </cell>
          <cell r="FD93">
            <v>169</v>
          </cell>
          <cell r="FE93">
            <v>312.5</v>
          </cell>
          <cell r="FF93">
            <v>481.5</v>
          </cell>
          <cell r="FH93">
            <v>1997.8000000000002</v>
          </cell>
          <cell r="FI93">
            <v>1239.8</v>
          </cell>
          <cell r="FJ93">
            <v>3237.6000000000004</v>
          </cell>
        </row>
        <row r="94">
          <cell r="EM94" t="str">
            <v xml:space="preserve"> 4Q</v>
          </cell>
          <cell r="EN94">
            <v>11.7</v>
          </cell>
          <cell r="EO94">
            <v>10.199999999999999</v>
          </cell>
          <cell r="EP94">
            <v>21.9</v>
          </cell>
          <cell r="ER94">
            <v>29.3</v>
          </cell>
          <cell r="ES94">
            <v>14.9</v>
          </cell>
          <cell r="ET94">
            <v>44.2</v>
          </cell>
          <cell r="EV94">
            <v>0.4</v>
          </cell>
          <cell r="EW94">
            <v>25.9</v>
          </cell>
          <cell r="EX94">
            <v>26.299999999999997</v>
          </cell>
          <cell r="EZ94">
            <v>4.6999999999999744</v>
          </cell>
          <cell r="FA94">
            <v>53.700000000000045</v>
          </cell>
          <cell r="FB94">
            <v>58.40000000000002</v>
          </cell>
          <cell r="FD94">
            <v>206</v>
          </cell>
          <cell r="FE94">
            <v>320.7</v>
          </cell>
          <cell r="FF94">
            <v>526.70000000000005</v>
          </cell>
          <cell r="FH94">
            <v>2201.4</v>
          </cell>
          <cell r="FI94">
            <v>1333.3</v>
          </cell>
          <cell r="FJ94">
            <v>3534.7</v>
          </cell>
        </row>
        <row r="96">
          <cell r="EM96" t="str">
            <v>Year</v>
          </cell>
          <cell r="EN96">
            <v>52.5</v>
          </cell>
          <cell r="EO96">
            <v>38.5</v>
          </cell>
          <cell r="EP96">
            <v>91</v>
          </cell>
          <cell r="ER96">
            <v>105.1</v>
          </cell>
          <cell r="ES96">
            <v>52.9</v>
          </cell>
          <cell r="ET96">
            <v>158</v>
          </cell>
          <cell r="EV96">
            <v>2.2999999999999998</v>
          </cell>
          <cell r="EW96">
            <v>113.69999999999999</v>
          </cell>
          <cell r="EX96">
            <v>116</v>
          </cell>
          <cell r="EZ96">
            <v>53.200000000000017</v>
          </cell>
          <cell r="FA96">
            <v>203.89999999999998</v>
          </cell>
          <cell r="FB96">
            <v>257.09999999999997</v>
          </cell>
          <cell r="FD96">
            <v>694.1</v>
          </cell>
          <cell r="FE96">
            <v>1257.1000000000001</v>
          </cell>
          <cell r="FF96">
            <v>1951.2</v>
          </cell>
          <cell r="FH96">
            <v>7862.8000000000011</v>
          </cell>
          <cell r="FI96">
            <v>5066.6000000000004</v>
          </cell>
          <cell r="FJ96">
            <v>12929.400000000001</v>
          </cell>
        </row>
        <row r="98">
          <cell r="EM98" t="str">
            <v>2000E/99</v>
          </cell>
        </row>
        <row r="99">
          <cell r="EM99" t="str">
            <v xml:space="preserve"> 1QA</v>
          </cell>
          <cell r="EN99">
            <v>-4.4776119402985093E-2</v>
          </cell>
          <cell r="EO99">
            <v>-1.1111111111111072E-2</v>
          </cell>
          <cell r="EP99">
            <v>-3.1249999999999778E-2</v>
          </cell>
          <cell r="ER99">
            <v>0.27555555555555555</v>
          </cell>
          <cell r="ES99">
            <v>0.2100840336134453</v>
          </cell>
          <cell r="ET99">
            <v>0.25290697674418605</v>
          </cell>
          <cell r="EV99">
            <v>0.33333333333333348</v>
          </cell>
          <cell r="EW99">
            <v>9.5238095238095344E-2</v>
          </cell>
          <cell r="EX99">
            <v>0.10000000000000009</v>
          </cell>
          <cell r="EZ99">
            <v>0.17142857142857193</v>
          </cell>
          <cell r="FA99">
            <v>0.37380952380952492</v>
          </cell>
          <cell r="FB99">
            <v>0.32321428571428656</v>
          </cell>
          <cell r="FD99">
            <v>4.5307443365695699E-2</v>
          </cell>
          <cell r="FE99">
            <v>0.10722458319712302</v>
          </cell>
          <cell r="FF99">
            <v>8.6446568201563823E-2</v>
          </cell>
          <cell r="FH99">
            <v>0.17894796188757955</v>
          </cell>
          <cell r="FI99">
            <v>6.7494118601443942E-2</v>
          </cell>
          <cell r="FJ99">
            <v>0.13324906865353903</v>
          </cell>
        </row>
        <row r="100">
          <cell r="EM100" t="str">
            <v xml:space="preserve"> 2QE</v>
          </cell>
          <cell r="EN100">
            <v>0.03</v>
          </cell>
          <cell r="EO100">
            <v>0.03</v>
          </cell>
          <cell r="EP100">
            <v>3.0000000000000027E-2</v>
          </cell>
          <cell r="ER100">
            <v>0.2</v>
          </cell>
          <cell r="ES100">
            <v>-0.02</v>
          </cell>
          <cell r="ET100">
            <v>0.12577017114914413</v>
          </cell>
          <cell r="EV100">
            <v>0.26</v>
          </cell>
          <cell r="EW100">
            <v>0.08</v>
          </cell>
          <cell r="EX100">
            <v>8.3461538461538476E-2</v>
          </cell>
          <cell r="EZ100">
            <v>0</v>
          </cell>
          <cell r="FA100">
            <v>0.2</v>
          </cell>
          <cell r="FB100">
            <v>0.15658682634730514</v>
          </cell>
          <cell r="FD100">
            <v>4.5595382746051127E-2</v>
          </cell>
          <cell r="FE100">
            <v>7.5830188679245181E-2</v>
          </cell>
          <cell r="FF100">
            <v>6.551802735184431E-2</v>
          </cell>
          <cell r="FH100">
            <v>0.10382665749510567</v>
          </cell>
          <cell r="FI100">
            <v>0.15752934644670025</v>
          </cell>
          <cell r="FJ100">
            <v>0.12531659631193071</v>
          </cell>
        </row>
        <row r="101">
          <cell r="EM101" t="str">
            <v xml:space="preserve"> 3QE</v>
          </cell>
          <cell r="EN101">
            <v>0.03</v>
          </cell>
          <cell r="EO101">
            <v>0.03</v>
          </cell>
          <cell r="EP101">
            <v>3.0000000000000027E-2</v>
          </cell>
          <cell r="ER101">
            <v>0.2</v>
          </cell>
          <cell r="ES101">
            <v>-0.02</v>
          </cell>
          <cell r="ET101">
            <v>0.12971428571428567</v>
          </cell>
          <cell r="EV101">
            <v>0.26</v>
          </cell>
          <cell r="EW101">
            <v>0.08</v>
          </cell>
          <cell r="EX101">
            <v>8.4421052631579174E-2</v>
          </cell>
          <cell r="EZ101">
            <v>0</v>
          </cell>
          <cell r="FA101">
            <v>0.2</v>
          </cell>
          <cell r="FB101">
            <v>0.14729907773386031</v>
          </cell>
          <cell r="FD101">
            <v>8.1295857988165965E-2</v>
          </cell>
          <cell r="FE101">
            <v>7.8534400000000115E-2</v>
          </cell>
          <cell r="FF101">
            <v>7.9503634475597273E-2</v>
          </cell>
          <cell r="FH101">
            <v>0.11604615076584235</v>
          </cell>
          <cell r="FI101">
            <v>0.18815212130988912</v>
          </cell>
          <cell r="FJ101">
            <v>0.14365826538176441</v>
          </cell>
        </row>
        <row r="102">
          <cell r="EM102" t="str">
            <v xml:space="preserve"> 4QE</v>
          </cell>
          <cell r="EN102">
            <v>9.9118140426551538E-2</v>
          </cell>
          <cell r="EO102">
            <v>5.6949250288351072E-2</v>
          </cell>
          <cell r="EP102">
            <v>7.9477835430677546E-2</v>
          </cell>
          <cell r="ER102">
            <v>0.14197952218429966</v>
          </cell>
          <cell r="ES102">
            <v>-0.20375838926174505</v>
          </cell>
          <cell r="ET102">
            <v>2.5429864253392997E-2</v>
          </cell>
          <cell r="EV102">
            <v>0.15499999999999936</v>
          </cell>
          <cell r="EW102">
            <v>5.5903470977028746E-2</v>
          </cell>
          <cell r="EX102">
            <v>5.7410642521104283E-2</v>
          </cell>
          <cell r="EZ102">
            <v>-0.51063829787234361</v>
          </cell>
          <cell r="FA102">
            <v>6.4059590316573489E-2</v>
          </cell>
          <cell r="FB102">
            <v>1.7808219178081952E-2</v>
          </cell>
          <cell r="FD102">
            <v>4.7751565193718815E-3</v>
          </cell>
          <cell r="FE102">
            <v>4.1736950876155587E-2</v>
          </cell>
          <cell r="FF102">
            <v>2.7280657658958818E-2</v>
          </cell>
          <cell r="FH102">
            <v>0.11790550660624621</v>
          </cell>
          <cell r="FI102">
            <v>0.25027371195228665</v>
          </cell>
          <cell r="FJ102">
            <v>0.16783521158485137</v>
          </cell>
        </row>
        <row r="104">
          <cell r="EM104" t="str">
            <v>Year</v>
          </cell>
          <cell r="EN104">
            <v>2.6317757009345799E-2</v>
          </cell>
          <cell r="EO104">
            <v>2.7529411764706024E-2</v>
          </cell>
          <cell r="EP104">
            <v>2.6830380175075108E-2</v>
          </cell>
          <cell r="ER104">
            <v>0.2</v>
          </cell>
          <cell r="ES104">
            <v>-0.02</v>
          </cell>
          <cell r="ET104">
            <v>0.12634177215189868</v>
          </cell>
          <cell r="EV104">
            <v>0.26086956521739135</v>
          </cell>
          <cell r="EW104">
            <v>7.8451186440677834E-2</v>
          </cell>
          <cell r="EX104">
            <v>8.2068102571595247E-2</v>
          </cell>
          <cell r="EZ104">
            <v>0</v>
          </cell>
          <cell r="FA104">
            <v>0.2</v>
          </cell>
          <cell r="FB104">
            <v>0.15861532477635176</v>
          </cell>
          <cell r="FD104">
            <v>4.2108748369097615E-2</v>
          </cell>
          <cell r="FE104">
            <v>7.5444308444819752E-2</v>
          </cell>
          <cell r="FF104">
            <v>6.3585856082909675E-2</v>
          </cell>
          <cell r="FH104">
            <v>0.12781912070038537</v>
          </cell>
          <cell r="FI104">
            <v>0.16752337665218953</v>
          </cell>
          <cell r="FJ104">
            <v>0.1433778924303506</v>
          </cell>
        </row>
        <row r="106">
          <cell r="EM106" t="str">
            <v>2000E</v>
          </cell>
        </row>
        <row r="107">
          <cell r="EM107" t="str">
            <v xml:space="preserve"> 1QA</v>
          </cell>
          <cell r="EN107">
            <v>12.8</v>
          </cell>
          <cell r="EO107">
            <v>8.9</v>
          </cell>
          <cell r="EP107">
            <v>21.700000000000003</v>
          </cell>
          <cell r="ER107">
            <v>28.7</v>
          </cell>
          <cell r="ES107">
            <v>14.4</v>
          </cell>
          <cell r="ET107">
            <v>43.1</v>
          </cell>
          <cell r="EV107">
            <v>0.8</v>
          </cell>
          <cell r="EW107">
            <v>32.200000000000003</v>
          </cell>
          <cell r="EX107">
            <v>33</v>
          </cell>
          <cell r="EZ107">
            <v>16.400000000000006</v>
          </cell>
          <cell r="FA107">
            <v>57.700000000000045</v>
          </cell>
          <cell r="FB107">
            <v>74.100000000000051</v>
          </cell>
          <cell r="FD107">
            <v>161.5</v>
          </cell>
          <cell r="FE107">
            <v>338.7</v>
          </cell>
          <cell r="FF107">
            <v>500.2</v>
          </cell>
          <cell r="FH107">
            <v>2091.1</v>
          </cell>
          <cell r="FI107">
            <v>1315.9</v>
          </cell>
          <cell r="FJ107">
            <v>3407</v>
          </cell>
        </row>
        <row r="108">
          <cell r="EM108" t="str">
            <v xml:space="preserve"> 2QE</v>
          </cell>
          <cell r="EN108">
            <v>16.686</v>
          </cell>
          <cell r="EO108">
            <v>10.3</v>
          </cell>
          <cell r="EP108">
            <v>26.986000000000001</v>
          </cell>
          <cell r="ER108">
            <v>32.520000000000003</v>
          </cell>
          <cell r="ES108">
            <v>13.524000000000001</v>
          </cell>
          <cell r="ET108">
            <v>46.044000000000004</v>
          </cell>
          <cell r="EV108">
            <v>0.75600000000000001</v>
          </cell>
          <cell r="EW108">
            <v>33.048000000000002</v>
          </cell>
          <cell r="EX108">
            <v>33.804000000000002</v>
          </cell>
          <cell r="EZ108">
            <v>14.500000000000011</v>
          </cell>
          <cell r="FA108">
            <v>62.759999999999941</v>
          </cell>
          <cell r="FB108">
            <v>77.259999999999948</v>
          </cell>
          <cell r="FD108">
            <v>172.10500000000002</v>
          </cell>
          <cell r="FE108">
            <v>342.11399999999998</v>
          </cell>
          <cell r="FF108">
            <v>514.21900000000005</v>
          </cell>
          <cell r="FH108">
            <v>2086.1220000000003</v>
          </cell>
          <cell r="FI108">
            <v>1459.413</v>
          </cell>
          <cell r="FJ108">
            <v>3545.5350000000003</v>
          </cell>
        </row>
        <row r="109">
          <cell r="EM109" t="str">
            <v xml:space="preserve"> 3QE</v>
          </cell>
          <cell r="EN109">
            <v>11.536</v>
          </cell>
          <cell r="EO109">
            <v>9.5790000000000006</v>
          </cell>
          <cell r="EP109">
            <v>21.115000000000002</v>
          </cell>
          <cell r="ER109">
            <v>31.439999999999998</v>
          </cell>
          <cell r="ES109">
            <v>12.054</v>
          </cell>
          <cell r="ET109">
            <v>43.494</v>
          </cell>
          <cell r="EV109">
            <v>0.8819999999999999</v>
          </cell>
          <cell r="EW109">
            <v>30.024000000000004</v>
          </cell>
          <cell r="EX109">
            <v>30.906000000000006</v>
          </cell>
          <cell r="EZ109">
            <v>20.000000000000028</v>
          </cell>
          <cell r="FA109">
            <v>67.079999999999956</v>
          </cell>
          <cell r="FB109">
            <v>87.079999999999984</v>
          </cell>
          <cell r="FD109">
            <v>182.73900000000003</v>
          </cell>
          <cell r="FE109">
            <v>337.04200000000003</v>
          </cell>
          <cell r="FF109">
            <v>519.78100000000006</v>
          </cell>
          <cell r="FH109">
            <v>2229.6370000000002</v>
          </cell>
          <cell r="FI109">
            <v>1473.0710000000004</v>
          </cell>
          <cell r="FJ109">
            <v>3702.7080000000005</v>
          </cell>
        </row>
        <row r="110">
          <cell r="EM110" t="str">
            <v xml:space="preserve"> 4QE</v>
          </cell>
          <cell r="EN110">
            <v>12.859682242990653</v>
          </cell>
          <cell r="EO110">
            <v>10.78088235294118</v>
          </cell>
          <cell r="EP110">
            <v>23.640564595931835</v>
          </cell>
          <cell r="ER110">
            <v>33.45999999999998</v>
          </cell>
          <cell r="ES110">
            <v>11.863999999999999</v>
          </cell>
          <cell r="ET110">
            <v>45.323999999999977</v>
          </cell>
          <cell r="EV110">
            <v>0.46199999999999974</v>
          </cell>
          <cell r="EW110">
            <v>27.347899898305041</v>
          </cell>
          <cell r="EX110">
            <v>27.809899898305041</v>
          </cell>
          <cell r="EZ110">
            <v>2.2999999999999723</v>
          </cell>
          <cell r="FA110">
            <v>57.140000000000043</v>
          </cell>
          <cell r="FB110">
            <v>59.440000000000012</v>
          </cell>
          <cell r="FD110">
            <v>206.98368224299062</v>
          </cell>
          <cell r="FE110">
            <v>334.0850401459831</v>
          </cell>
          <cell r="FF110">
            <v>541.0687223889737</v>
          </cell>
          <cell r="FH110">
            <v>2460.9571822429907</v>
          </cell>
          <cell r="FI110">
            <v>1666.9899401459836</v>
          </cell>
          <cell r="FJ110">
            <v>4127.9471223889741</v>
          </cell>
        </row>
        <row r="112">
          <cell r="EM112" t="str">
            <v>Year</v>
          </cell>
          <cell r="EN112">
            <v>53.881682242990657</v>
          </cell>
          <cell r="EO112">
            <v>39.55988235294118</v>
          </cell>
          <cell r="EP112">
            <v>93.441564595931837</v>
          </cell>
          <cell r="ER112">
            <v>126.11999999999999</v>
          </cell>
          <cell r="ES112">
            <v>51.841999999999999</v>
          </cell>
          <cell r="ET112">
            <v>177.96199999999999</v>
          </cell>
          <cell r="EV112">
            <v>2.9</v>
          </cell>
          <cell r="EW112">
            <v>122.61989989830505</v>
          </cell>
          <cell r="EX112">
            <v>125.51989989830506</v>
          </cell>
          <cell r="EZ112">
            <v>53.200000000000017</v>
          </cell>
          <cell r="FA112">
            <v>244.67999999999998</v>
          </cell>
          <cell r="FB112">
            <v>297.88</v>
          </cell>
          <cell r="FD112">
            <v>723.3276822429907</v>
          </cell>
          <cell r="FE112">
            <v>1351.9410401459829</v>
          </cell>
          <cell r="FF112">
            <v>2075.2687223889734</v>
          </cell>
          <cell r="FH112">
            <v>8867.816182242992</v>
          </cell>
          <cell r="FI112">
            <v>5915.3739401459834</v>
          </cell>
          <cell r="FJ112">
            <v>14783.190122388976</v>
          </cell>
        </row>
        <row r="114">
          <cell r="EM114" t="str">
            <v>% Change</v>
          </cell>
        </row>
        <row r="115">
          <cell r="EM115" t="str">
            <v xml:space="preserve">2001E/00E </v>
          </cell>
          <cell r="EN115">
            <v>0</v>
          </cell>
          <cell r="EO115">
            <v>0</v>
          </cell>
          <cell r="EP115">
            <v>0</v>
          </cell>
          <cell r="ER115">
            <v>0.03</v>
          </cell>
          <cell r="ES115">
            <v>0.05</v>
          </cell>
          <cell r="ET115">
            <v>3.5826187613085869E-2</v>
          </cell>
          <cell r="EV115" t="str">
            <v>NM</v>
          </cell>
          <cell r="EW115">
            <v>0.04</v>
          </cell>
          <cell r="EX115">
            <v>4.3059275862322277E-2</v>
          </cell>
          <cell r="EZ115">
            <v>0</v>
          </cell>
          <cell r="FA115">
            <v>0</v>
          </cell>
          <cell r="FB115">
            <v>0</v>
          </cell>
          <cell r="FD115">
            <v>2.272042174445521E-2</v>
          </cell>
          <cell r="FE115">
            <v>2.4501276438986253E-2</v>
          </cell>
          <cell r="FF115">
            <v>2.3880565740314053E-2</v>
          </cell>
          <cell r="FH115">
            <v>0.12732994480208082</v>
          </cell>
          <cell r="FI115">
            <v>0.12971485951716022</v>
          </cell>
          <cell r="FJ115">
            <v>0.12828424913276026</v>
          </cell>
        </row>
        <row r="116">
          <cell r="EM116" t="str">
            <v xml:space="preserve">2002E/01E </v>
          </cell>
          <cell r="EN116">
            <v>0</v>
          </cell>
          <cell r="EO116">
            <v>0</v>
          </cell>
          <cell r="EP116">
            <v>0</v>
          </cell>
          <cell r="ER116">
            <v>0.03</v>
          </cell>
          <cell r="ES116">
            <v>0.05</v>
          </cell>
          <cell r="ET116">
            <v>3.5905910727973556E-2</v>
          </cell>
          <cell r="EV116" t="str">
            <v>NM</v>
          </cell>
          <cell r="EW116">
            <v>0.04</v>
          </cell>
          <cell r="EX116">
            <v>4.2780224139638667E-2</v>
          </cell>
          <cell r="EZ116">
            <v>0</v>
          </cell>
          <cell r="FA116">
            <v>0</v>
          </cell>
          <cell r="FB116">
            <v>0</v>
          </cell>
          <cell r="FD116">
            <v>2.2300195026214942E-2</v>
          </cell>
          <cell r="FE116">
            <v>2.2006113955851836E-2</v>
          </cell>
          <cell r="FF116">
            <v>2.2108498745950333E-2</v>
          </cell>
          <cell r="FH116">
            <v>0.11030698289999319</v>
          </cell>
          <cell r="FI116">
            <v>0.12549334831380476</v>
          </cell>
          <cell r="FJ116">
            <v>0.11639138913769598</v>
          </cell>
        </row>
        <row r="117">
          <cell r="EM117" t="str">
            <v xml:space="preserve">2003E/02E </v>
          </cell>
          <cell r="EN117">
            <v>0</v>
          </cell>
          <cell r="EO117">
            <v>0</v>
          </cell>
          <cell r="EP117">
            <v>0</v>
          </cell>
          <cell r="ER117">
            <v>0.03</v>
          </cell>
          <cell r="ES117">
            <v>0.05</v>
          </cell>
          <cell r="ET117">
            <v>3.5986264003469826E-2</v>
          </cell>
          <cell r="EV117" t="str">
            <v>NM</v>
          </cell>
          <cell r="EW117">
            <v>0.04</v>
          </cell>
          <cell r="EX117">
            <v>4.2519672420614052E-2</v>
          </cell>
          <cell r="EZ117">
            <v>0</v>
          </cell>
          <cell r="FA117">
            <v>0</v>
          </cell>
          <cell r="FB117">
            <v>0</v>
          </cell>
          <cell r="FD117">
            <v>2.2401366120483601E-2</v>
          </cell>
          <cell r="FE117">
            <v>2.2321665336997087E-2</v>
          </cell>
          <cell r="FF117">
            <v>2.2349418495037243E-2</v>
          </cell>
          <cell r="FH117">
            <v>7.308325301845553E-3</v>
          </cell>
          <cell r="FI117">
            <v>9.2159086665294376E-2</v>
          </cell>
          <cell r="FJ117">
            <v>4.1580886092527747E-2</v>
          </cell>
        </row>
        <row r="118">
          <cell r="EM118" t="str">
            <v xml:space="preserve">2004E/03E </v>
          </cell>
          <cell r="EN118">
            <v>0</v>
          </cell>
          <cell r="EO118">
            <v>0</v>
          </cell>
          <cell r="EP118">
            <v>0</v>
          </cell>
          <cell r="ER118">
            <v>0.03</v>
          </cell>
          <cell r="ES118">
            <v>0.05</v>
          </cell>
          <cell r="ET118">
            <v>3.6067239906592219E-2</v>
          </cell>
          <cell r="EV118" t="str">
            <v>NM</v>
          </cell>
          <cell r="EW118">
            <v>3.9999999999999813E-2</v>
          </cell>
          <cell r="EX118">
            <v>4.2276388542874965E-2</v>
          </cell>
          <cell r="EZ118">
            <v>0</v>
          </cell>
          <cell r="FA118">
            <v>0</v>
          </cell>
          <cell r="FB118">
            <v>0</v>
          </cell>
          <cell r="FD118">
            <v>2.2501610682441386E-2</v>
          </cell>
          <cell r="FE118">
            <v>2.2637076921179888E-2</v>
          </cell>
          <cell r="FF118">
            <v>2.2589902893498159E-2</v>
          </cell>
          <cell r="FH118">
            <v>3.7415214464936897E-2</v>
          </cell>
          <cell r="FI118">
            <v>7.1399019090570448E-2</v>
          </cell>
          <cell r="FJ118">
            <v>5.1808359840511242E-2</v>
          </cell>
        </row>
        <row r="119">
          <cell r="EM119" t="str">
            <v xml:space="preserve">2005E/04E </v>
          </cell>
          <cell r="EN119">
            <v>0</v>
          </cell>
          <cell r="EO119">
            <v>0</v>
          </cell>
          <cell r="EP119">
            <v>0</v>
          </cell>
          <cell r="ER119">
            <v>0.03</v>
          </cell>
          <cell r="ES119">
            <v>0.05</v>
          </cell>
          <cell r="ET119">
            <v>3.6148830555144285E-2</v>
          </cell>
          <cell r="EV119" t="str">
            <v>NM</v>
          </cell>
          <cell r="EW119">
            <v>0.04</v>
          </cell>
          <cell r="EX119">
            <v>4.2049236416621394E-2</v>
          </cell>
          <cell r="EZ119">
            <v>0</v>
          </cell>
          <cell r="FA119">
            <v>0</v>
          </cell>
          <cell r="FB119">
            <v>0</v>
          </cell>
          <cell r="FD119">
            <v>2.26009193891612E-2</v>
          </cell>
          <cell r="FE119">
            <v>2.2952221361577818E-2</v>
          </cell>
          <cell r="FF119">
            <v>2.2829896432196017E-2</v>
          </cell>
          <cell r="FH119">
            <v>4.6076622029444181E-2</v>
          </cell>
          <cell r="FI119">
            <v>6.6667584743925756E-2</v>
          </cell>
          <cell r="FJ119">
            <v>5.4959935589752984E-2</v>
          </cell>
        </row>
        <row r="121">
          <cell r="EM121" t="str">
            <v>2001E</v>
          </cell>
          <cell r="EN121">
            <v>53.881682242990657</v>
          </cell>
          <cell r="EO121">
            <v>39.55988235294118</v>
          </cell>
          <cell r="EP121">
            <v>93.441564595931837</v>
          </cell>
          <cell r="ER121">
            <v>129.90359999999998</v>
          </cell>
          <cell r="ES121">
            <v>54.434100000000001</v>
          </cell>
          <cell r="ET121">
            <v>184.33769999999998</v>
          </cell>
          <cell r="EV121">
            <v>3.4</v>
          </cell>
          <cell r="EW121">
            <v>127.52469589423725</v>
          </cell>
          <cell r="EX121">
            <v>130.92469589423726</v>
          </cell>
          <cell r="EZ121">
            <v>53.200000000000017</v>
          </cell>
          <cell r="FA121">
            <v>244.67999999999998</v>
          </cell>
          <cell r="FB121">
            <v>297.88</v>
          </cell>
          <cell r="FD121">
            <v>739.76199224299069</v>
          </cell>
          <cell r="FE121">
            <v>1385.0653212998102</v>
          </cell>
          <cell r="FF121">
            <v>2124.8273135428008</v>
          </cell>
          <cell r="FH121">
            <v>9996.9547272429918</v>
          </cell>
          <cell r="FI121">
            <v>6682.6858397834903</v>
          </cell>
          <cell r="FJ121">
            <v>16679.640567026483</v>
          </cell>
        </row>
        <row r="122">
          <cell r="EM122" t="str">
            <v>2002E</v>
          </cell>
          <cell r="EN122">
            <v>53.881682242990657</v>
          </cell>
          <cell r="EO122">
            <v>39.55988235294118</v>
          </cell>
          <cell r="EP122">
            <v>93.441564595931837</v>
          </cell>
          <cell r="ER122">
            <v>133.80070799999999</v>
          </cell>
          <cell r="ES122">
            <v>57.155805000000001</v>
          </cell>
          <cell r="ET122">
            <v>190.95651299999997</v>
          </cell>
          <cell r="EV122">
            <v>3.9</v>
          </cell>
          <cell r="EW122">
            <v>132.62568373000676</v>
          </cell>
          <cell r="EX122">
            <v>136.52568373000676</v>
          </cell>
          <cell r="EZ122">
            <v>53.200000000000017</v>
          </cell>
          <cell r="FA122">
            <v>244.67999999999998</v>
          </cell>
          <cell r="FB122">
            <v>297.88</v>
          </cell>
          <cell r="FD122">
            <v>756.2588289429907</v>
          </cell>
          <cell r="FE122">
            <v>1415.5452265966323</v>
          </cell>
          <cell r="FF122">
            <v>2171.8040555396228</v>
          </cell>
          <cell r="FH122">
            <v>11099.688641392991</v>
          </cell>
          <cell r="FI122">
            <v>7521.318461547171</v>
          </cell>
          <cell r="FJ122">
            <v>18621.007102940162</v>
          </cell>
        </row>
        <row r="123">
          <cell r="EM123" t="str">
            <v>2003E</v>
          </cell>
          <cell r="EN123">
            <v>53.881682242990657</v>
          </cell>
          <cell r="EO123">
            <v>39.55988235294118</v>
          </cell>
          <cell r="EP123">
            <v>93.441564595931837</v>
          </cell>
          <cell r="ER123">
            <v>137.81472923999999</v>
          </cell>
          <cell r="ES123">
            <v>60.013595250000002</v>
          </cell>
          <cell r="ET123">
            <v>197.82832449</v>
          </cell>
          <cell r="EV123">
            <v>4.4000000000000004</v>
          </cell>
          <cell r="EW123">
            <v>137.93071107920701</v>
          </cell>
          <cell r="EX123">
            <v>142.33071107920702</v>
          </cell>
          <cell r="EZ123">
            <v>53.200000000000017</v>
          </cell>
          <cell r="FA123">
            <v>244.67999999999998</v>
          </cell>
          <cell r="FB123">
            <v>297.88</v>
          </cell>
          <cell r="FD123">
            <v>773.20005985199077</v>
          </cell>
          <cell r="FE123">
            <v>1447.142553414106</v>
          </cell>
          <cell r="FF123">
            <v>2220.342613266097</v>
          </cell>
          <cell r="FH123">
            <v>11180.808776733491</v>
          </cell>
          <cell r="FI123">
            <v>8214.4763014821747</v>
          </cell>
          <cell r="FJ123">
            <v>19395.285078215667</v>
          </cell>
        </row>
        <row r="124">
          <cell r="EM124" t="str">
            <v>2004E</v>
          </cell>
          <cell r="EN124">
            <v>53.881682242990657</v>
          </cell>
          <cell r="EO124">
            <v>39.55988235294118</v>
          </cell>
          <cell r="EP124">
            <v>93.441564595931837</v>
          </cell>
          <cell r="ER124">
            <v>141.9491711172</v>
          </cell>
          <cell r="ES124">
            <v>63.014275012500001</v>
          </cell>
          <cell r="ET124">
            <v>204.9634461297</v>
          </cell>
          <cell r="EV124">
            <v>4.9000000000000004</v>
          </cell>
          <cell r="EW124">
            <v>143.44793952237526</v>
          </cell>
          <cell r="EX124">
            <v>148.34793952237527</v>
          </cell>
          <cell r="EZ124">
            <v>53.200000000000017</v>
          </cell>
          <cell r="FA124">
            <v>244.67999999999998</v>
          </cell>
          <cell r="FB124">
            <v>297.88</v>
          </cell>
          <cell r="FD124">
            <v>790.59830657842065</v>
          </cell>
          <cell r="FE124">
            <v>1479.9016307116538</v>
          </cell>
          <cell r="FF124">
            <v>2270.4999372900743</v>
          </cell>
          <cell r="FH124">
            <v>11599.141135006425</v>
          </cell>
          <cell r="FI124">
            <v>8800.9818517507392</v>
          </cell>
          <cell r="FJ124">
            <v>20400.122986757164</v>
          </cell>
        </row>
        <row r="125">
          <cell r="EM125" t="str">
            <v>2005E</v>
          </cell>
          <cell r="EN125">
            <v>53.881682242990657</v>
          </cell>
          <cell r="EO125">
            <v>39.55988235294118</v>
          </cell>
          <cell r="EP125">
            <v>93.441564595931837</v>
          </cell>
          <cell r="ER125">
            <v>146.20764625071598</v>
          </cell>
          <cell r="ES125">
            <v>66.164988763124995</v>
          </cell>
          <cell r="ET125">
            <v>212.37263501384098</v>
          </cell>
          <cell r="EV125">
            <v>5.4</v>
          </cell>
          <cell r="EW125">
            <v>149.18585710327028</v>
          </cell>
          <cell r="EX125">
            <v>154.58585710327029</v>
          </cell>
          <cell r="EZ125">
            <v>53.200000000000017</v>
          </cell>
          <cell r="FA125">
            <v>244.67999999999998</v>
          </cell>
          <cell r="FB125">
            <v>297.88</v>
          </cell>
          <cell r="FD125">
            <v>808.46655517460692</v>
          </cell>
          <cell r="FE125">
            <v>1513.8686605331075</v>
          </cell>
          <cell r="FF125">
            <v>2322.3352157077143</v>
          </cell>
          <cell r="FH125">
            <v>12133.590376950295</v>
          </cell>
          <cell r="FI125">
            <v>9387.7220551820847</v>
          </cell>
          <cell r="FJ125">
            <v>21521.312432132378</v>
          </cell>
        </row>
        <row r="127">
          <cell r="EM127" t="str">
            <v>E = Morgan Stanley Dean Witter Research Estimates             NM = Not Meaningful             A = Actual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vmlDrawing7.vml" Type="http://schemas.openxmlformats.org/officeDocument/2006/relationships/vmlDrawing"/>
<Relationship Id="rId3" Target="../comments7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8.vml" Type="http://schemas.openxmlformats.org/officeDocument/2006/relationships/vmlDrawing"/>
<Relationship Id="rId3" Target="../comments8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85"/>
  <sheetViews>
    <sheetView showGridLines="0" tabSelected="1" workbookViewId="0">
      <selection activeCell="Z1" sqref="Z1"/>
    </sheetView>
  </sheetViews>
  <sheetFormatPr defaultRowHeight="12.75"/>
  <cols>
    <col min="1" max="1" width="25.7109375" style="667" customWidth="1"/>
    <col min="2" max="5" width="9.140625" style="667"/>
    <col min="6" max="6" width="18.7109375" style="667" customWidth="1"/>
    <col min="7" max="256" width="9.140625" style="667"/>
    <col min="257" max="257" width="100.7109375" style="667" customWidth="1"/>
    <col min="258" max="512" width="9.140625" style="667"/>
    <col min="513" max="513" width="100.7109375" style="667" customWidth="1"/>
    <col min="514" max="768" width="9.140625" style="667"/>
    <col min="769" max="769" width="100.7109375" style="667" customWidth="1"/>
    <col min="770" max="1024" width="9.140625" style="667"/>
    <col min="1025" max="1025" width="100.7109375" style="667" customWidth="1"/>
    <col min="1026" max="1280" width="9.140625" style="667"/>
    <col min="1281" max="1281" width="100.7109375" style="667" customWidth="1"/>
    <col min="1282" max="1536" width="9.140625" style="667"/>
    <col min="1537" max="1537" width="100.7109375" style="667" customWidth="1"/>
    <col min="1538" max="1792" width="9.140625" style="667"/>
    <col min="1793" max="1793" width="100.7109375" style="667" customWidth="1"/>
    <col min="1794" max="2048" width="9.140625" style="667"/>
    <col min="2049" max="2049" width="100.7109375" style="667" customWidth="1"/>
    <col min="2050" max="2304" width="9.140625" style="667"/>
    <col min="2305" max="2305" width="100.7109375" style="667" customWidth="1"/>
    <col min="2306" max="2560" width="9.140625" style="667"/>
    <col min="2561" max="2561" width="100.7109375" style="667" customWidth="1"/>
    <col min="2562" max="2816" width="9.140625" style="667"/>
    <col min="2817" max="2817" width="100.7109375" style="667" customWidth="1"/>
    <col min="2818" max="3072" width="9.140625" style="667"/>
    <col min="3073" max="3073" width="100.7109375" style="667" customWidth="1"/>
    <col min="3074" max="3328" width="9.140625" style="667"/>
    <col min="3329" max="3329" width="100.7109375" style="667" customWidth="1"/>
    <col min="3330" max="3584" width="9.140625" style="667"/>
    <col min="3585" max="3585" width="100.7109375" style="667" customWidth="1"/>
    <col min="3586" max="3840" width="9.140625" style="667"/>
    <col min="3841" max="3841" width="100.7109375" style="667" customWidth="1"/>
    <col min="3842" max="4096" width="9.140625" style="667"/>
    <col min="4097" max="4097" width="100.7109375" style="667" customWidth="1"/>
    <col min="4098" max="4352" width="9.140625" style="667"/>
    <col min="4353" max="4353" width="100.7109375" style="667" customWidth="1"/>
    <col min="4354" max="4608" width="9.140625" style="667"/>
    <col min="4609" max="4609" width="100.7109375" style="667" customWidth="1"/>
    <col min="4610" max="4864" width="9.140625" style="667"/>
    <col min="4865" max="4865" width="100.7109375" style="667" customWidth="1"/>
    <col min="4866" max="5120" width="9.140625" style="667"/>
    <col min="5121" max="5121" width="100.7109375" style="667" customWidth="1"/>
    <col min="5122" max="5376" width="9.140625" style="667"/>
    <col min="5377" max="5377" width="100.7109375" style="667" customWidth="1"/>
    <col min="5378" max="5632" width="9.140625" style="667"/>
    <col min="5633" max="5633" width="100.7109375" style="667" customWidth="1"/>
    <col min="5634" max="5888" width="9.140625" style="667"/>
    <col min="5889" max="5889" width="100.7109375" style="667" customWidth="1"/>
    <col min="5890" max="6144" width="9.140625" style="667"/>
    <col min="6145" max="6145" width="100.7109375" style="667" customWidth="1"/>
    <col min="6146" max="6400" width="9.140625" style="667"/>
    <col min="6401" max="6401" width="100.7109375" style="667" customWidth="1"/>
    <col min="6402" max="6656" width="9.140625" style="667"/>
    <col min="6657" max="6657" width="100.7109375" style="667" customWidth="1"/>
    <col min="6658" max="6912" width="9.140625" style="667"/>
    <col min="6913" max="6913" width="100.7109375" style="667" customWidth="1"/>
    <col min="6914" max="7168" width="9.140625" style="667"/>
    <col min="7169" max="7169" width="100.7109375" style="667" customWidth="1"/>
    <col min="7170" max="7424" width="9.140625" style="667"/>
    <col min="7425" max="7425" width="100.7109375" style="667" customWidth="1"/>
    <col min="7426" max="7680" width="9.140625" style="667"/>
    <col min="7681" max="7681" width="100.7109375" style="667" customWidth="1"/>
    <col min="7682" max="7936" width="9.140625" style="667"/>
    <col min="7937" max="7937" width="100.7109375" style="667" customWidth="1"/>
    <col min="7938" max="8192" width="9.140625" style="667"/>
    <col min="8193" max="8193" width="100.7109375" style="667" customWidth="1"/>
    <col min="8194" max="8448" width="9.140625" style="667"/>
    <col min="8449" max="8449" width="100.7109375" style="667" customWidth="1"/>
    <col min="8450" max="8704" width="9.140625" style="667"/>
    <col min="8705" max="8705" width="100.7109375" style="667" customWidth="1"/>
    <col min="8706" max="8960" width="9.140625" style="667"/>
    <col min="8961" max="8961" width="100.7109375" style="667" customWidth="1"/>
    <col min="8962" max="9216" width="9.140625" style="667"/>
    <col min="9217" max="9217" width="100.7109375" style="667" customWidth="1"/>
    <col min="9218" max="9472" width="9.140625" style="667"/>
    <col min="9473" max="9473" width="100.7109375" style="667" customWidth="1"/>
    <col min="9474" max="9728" width="9.140625" style="667"/>
    <col min="9729" max="9729" width="100.7109375" style="667" customWidth="1"/>
    <col min="9730" max="9984" width="9.140625" style="667"/>
    <col min="9985" max="9985" width="100.7109375" style="667" customWidth="1"/>
    <col min="9986" max="10240" width="9.140625" style="667"/>
    <col min="10241" max="10241" width="100.7109375" style="667" customWidth="1"/>
    <col min="10242" max="10496" width="9.140625" style="667"/>
    <col min="10497" max="10497" width="100.7109375" style="667" customWidth="1"/>
    <col min="10498" max="10752" width="9.140625" style="667"/>
    <col min="10753" max="10753" width="100.7109375" style="667" customWidth="1"/>
    <col min="10754" max="11008" width="9.140625" style="667"/>
    <col min="11009" max="11009" width="100.7109375" style="667" customWidth="1"/>
    <col min="11010" max="11264" width="9.140625" style="667"/>
    <col min="11265" max="11265" width="100.7109375" style="667" customWidth="1"/>
    <col min="11266" max="11520" width="9.140625" style="667"/>
    <col min="11521" max="11521" width="100.7109375" style="667" customWidth="1"/>
    <col min="11522" max="11776" width="9.140625" style="667"/>
    <col min="11777" max="11777" width="100.7109375" style="667" customWidth="1"/>
    <col min="11778" max="12032" width="9.140625" style="667"/>
    <col min="12033" max="12033" width="100.7109375" style="667" customWidth="1"/>
    <col min="12034" max="12288" width="9.140625" style="667"/>
    <col min="12289" max="12289" width="100.7109375" style="667" customWidth="1"/>
    <col min="12290" max="12544" width="9.140625" style="667"/>
    <col min="12545" max="12545" width="100.7109375" style="667" customWidth="1"/>
    <col min="12546" max="12800" width="9.140625" style="667"/>
    <col min="12801" max="12801" width="100.7109375" style="667" customWidth="1"/>
    <col min="12802" max="13056" width="9.140625" style="667"/>
    <col min="13057" max="13057" width="100.7109375" style="667" customWidth="1"/>
    <col min="13058" max="13312" width="9.140625" style="667"/>
    <col min="13313" max="13313" width="100.7109375" style="667" customWidth="1"/>
    <col min="13314" max="13568" width="9.140625" style="667"/>
    <col min="13569" max="13569" width="100.7109375" style="667" customWidth="1"/>
    <col min="13570" max="13824" width="9.140625" style="667"/>
    <col min="13825" max="13825" width="100.7109375" style="667" customWidth="1"/>
    <col min="13826" max="14080" width="9.140625" style="667"/>
    <col min="14081" max="14081" width="100.7109375" style="667" customWidth="1"/>
    <col min="14082" max="14336" width="9.140625" style="667"/>
    <col min="14337" max="14337" width="100.7109375" style="667" customWidth="1"/>
    <col min="14338" max="14592" width="9.140625" style="667"/>
    <col min="14593" max="14593" width="100.7109375" style="667" customWidth="1"/>
    <col min="14594" max="14848" width="9.140625" style="667"/>
    <col min="14849" max="14849" width="100.7109375" style="667" customWidth="1"/>
    <col min="14850" max="15104" width="9.140625" style="667"/>
    <col min="15105" max="15105" width="100.7109375" style="667" customWidth="1"/>
    <col min="15106" max="15360" width="9.140625" style="667"/>
    <col min="15361" max="15361" width="100.7109375" style="667" customWidth="1"/>
    <col min="15362" max="15616" width="9.140625" style="667"/>
    <col min="15617" max="15617" width="100.7109375" style="667" customWidth="1"/>
    <col min="15618" max="15872" width="9.140625" style="667"/>
    <col min="15873" max="15873" width="100.7109375" style="667" customWidth="1"/>
    <col min="15874" max="16128" width="9.140625" style="667"/>
    <col min="16129" max="16129" width="100.7109375" style="667" customWidth="1"/>
    <col min="16130" max="16384" width="9.140625" style="667"/>
  </cols>
  <sheetData>
    <row r="1" spans="1:8" ht="30" customHeight="1">
      <c r="A1" s="665"/>
      <c r="B1" s="666"/>
      <c r="C1" s="666"/>
      <c r="D1" s="666"/>
      <c r="E1" s="666"/>
      <c r="F1" s="666"/>
      <c r="G1" s="666"/>
      <c r="H1" s="666"/>
    </row>
    <row r="2" spans="1:8" ht="14.25">
      <c r="A2" s="668" t="s">
        <v>570</v>
      </c>
      <c r="B2" s="666"/>
      <c r="C2" s="666"/>
      <c r="D2" s="666"/>
      <c r="E2" s="666"/>
      <c r="F2" s="666"/>
      <c r="G2" s="666"/>
      <c r="H2" s="666"/>
    </row>
    <row r="3" spans="1:8" ht="14.25">
      <c r="A3" s="668" t="s">
        <v>571</v>
      </c>
      <c r="B3" s="666"/>
      <c r="C3" s="666"/>
      <c r="D3" s="666"/>
      <c r="E3" s="666"/>
      <c r="F3" s="666"/>
      <c r="G3" s="666"/>
      <c r="H3" s="666"/>
    </row>
    <row r="4" spans="1:8" ht="14.25">
      <c r="A4" s="668" t="s">
        <v>572</v>
      </c>
      <c r="B4" s="666"/>
      <c r="C4" s="666"/>
      <c r="D4" s="666"/>
      <c r="E4" s="666"/>
      <c r="F4" s="666"/>
      <c r="G4" s="666"/>
      <c r="H4" s="666"/>
    </row>
    <row r="5" spans="1:8" ht="14.25">
      <c r="A5" s="668" t="s">
        <v>573</v>
      </c>
      <c r="B5" s="666"/>
      <c r="C5" s="666"/>
      <c r="D5" s="666"/>
      <c r="E5" s="666"/>
      <c r="F5" s="666"/>
      <c r="G5" s="666"/>
      <c r="H5" s="666"/>
    </row>
    <row r="6" spans="1:8" ht="14.25">
      <c r="A6" s="668"/>
      <c r="B6" s="666"/>
      <c r="C6" s="666"/>
      <c r="D6" s="666"/>
      <c r="E6" s="666"/>
      <c r="F6" s="666"/>
      <c r="G6" s="666"/>
      <c r="H6" s="666"/>
    </row>
    <row r="7" spans="1:8">
      <c r="A7" s="665" t="s">
        <v>574</v>
      </c>
      <c r="B7" s="666"/>
      <c r="C7" s="666"/>
      <c r="D7" s="666"/>
      <c r="E7" s="666"/>
      <c r="F7" s="666"/>
      <c r="G7" s="666"/>
      <c r="H7" s="666"/>
    </row>
    <row r="8" spans="1:8">
      <c r="A8" s="665" t="s">
        <v>575</v>
      </c>
      <c r="B8" s="666"/>
      <c r="C8" s="666"/>
      <c r="D8" s="666"/>
      <c r="E8" s="666"/>
      <c r="F8" s="666"/>
      <c r="G8" s="666"/>
      <c r="H8" s="666"/>
    </row>
    <row r="9" spans="1:8">
      <c r="A9" s="665"/>
      <c r="B9" s="666"/>
      <c r="C9" s="666"/>
      <c r="D9" s="666"/>
      <c r="E9" s="666"/>
      <c r="F9" s="666"/>
      <c r="G9" s="666"/>
      <c r="H9" s="666"/>
    </row>
    <row r="10" spans="1:8">
      <c r="A10" s="669" t="s">
        <v>576</v>
      </c>
      <c r="B10" s="666"/>
      <c r="C10" s="666"/>
      <c r="D10" s="666"/>
      <c r="E10" s="666"/>
      <c r="F10" s="666"/>
      <c r="G10" s="666"/>
      <c r="H10" s="666"/>
    </row>
    <row r="11" spans="1:8">
      <c r="A11" s="669" t="s">
        <v>577</v>
      </c>
      <c r="B11" s="666"/>
      <c r="C11" s="666"/>
      <c r="D11" s="666"/>
      <c r="E11" s="666"/>
      <c r="F11" s="666"/>
      <c r="G11" s="666"/>
      <c r="H11" s="666"/>
    </row>
    <row r="12" spans="1:8">
      <c r="A12" s="669" t="s">
        <v>578</v>
      </c>
      <c r="B12" s="666"/>
      <c r="C12" s="666"/>
      <c r="D12" s="666"/>
      <c r="E12" s="666"/>
      <c r="F12" s="666"/>
      <c r="G12" s="666"/>
      <c r="H12" s="666"/>
    </row>
    <row r="13" spans="1:8">
      <c r="A13" s="669" t="s">
        <v>579</v>
      </c>
      <c r="B13" s="666"/>
      <c r="C13" s="666"/>
      <c r="D13" s="666"/>
      <c r="E13" s="666"/>
      <c r="F13" s="666"/>
      <c r="G13" s="666"/>
      <c r="H13" s="666"/>
    </row>
    <row r="14" spans="1:8">
      <c r="A14" s="669" t="s">
        <v>580</v>
      </c>
      <c r="B14" s="666"/>
      <c r="C14" s="666"/>
      <c r="D14" s="666"/>
      <c r="E14" s="666"/>
      <c r="F14" s="666"/>
      <c r="G14" s="666"/>
      <c r="H14" s="666"/>
    </row>
    <row r="15" spans="1:8">
      <c r="A15" s="669" t="s">
        <v>581</v>
      </c>
      <c r="B15" s="666"/>
      <c r="C15" s="666"/>
      <c r="D15" s="666"/>
      <c r="E15" s="666"/>
      <c r="F15" s="666"/>
      <c r="G15" s="666"/>
      <c r="H15" s="666"/>
    </row>
    <row r="16" spans="1:8">
      <c r="A16" s="669"/>
      <c r="B16" s="666"/>
      <c r="C16" s="666"/>
      <c r="D16" s="666"/>
      <c r="E16" s="666"/>
      <c r="F16" s="666"/>
      <c r="G16" s="666"/>
      <c r="H16" s="666"/>
    </row>
    <row r="17" spans="1:8">
      <c r="A17" s="669" t="s">
        <v>567</v>
      </c>
      <c r="B17" s="666"/>
      <c r="C17" s="666"/>
      <c r="D17" s="666"/>
      <c r="E17" s="666"/>
      <c r="F17" s="666"/>
      <c r="G17" s="666"/>
      <c r="H17" s="666"/>
    </row>
    <row r="18" spans="1:8">
      <c r="A18" s="669"/>
      <c r="B18" s="666"/>
      <c r="C18" s="666"/>
      <c r="D18" s="666"/>
      <c r="E18" s="666"/>
      <c r="F18" s="666"/>
      <c r="G18" s="666"/>
      <c r="H18" s="666"/>
    </row>
    <row r="19" spans="1:8">
      <c r="A19" s="669" t="s">
        <v>568</v>
      </c>
      <c r="B19" s="666"/>
      <c r="C19" s="666"/>
      <c r="D19" s="666"/>
      <c r="E19" s="666"/>
      <c r="F19" s="666"/>
      <c r="G19" s="666"/>
      <c r="H19" s="666"/>
    </row>
    <row r="20" spans="1:8">
      <c r="A20" s="665"/>
      <c r="B20" s="666"/>
      <c r="C20" s="666"/>
      <c r="D20" s="666"/>
      <c r="E20" s="666"/>
      <c r="F20" s="666"/>
      <c r="G20" s="666"/>
      <c r="H20" s="666"/>
    </row>
    <row r="21" spans="1:8">
      <c r="A21" s="670" t="s">
        <v>569</v>
      </c>
      <c r="B21" s="666"/>
      <c r="C21" s="666"/>
      <c r="D21" s="666"/>
      <c r="E21" s="666"/>
      <c r="F21" s="666"/>
      <c r="G21" s="666"/>
      <c r="H21" s="666"/>
    </row>
    <row r="22" spans="1:8">
      <c r="A22" s="671"/>
      <c r="B22" s="671"/>
      <c r="C22" s="671"/>
      <c r="D22" s="671"/>
      <c r="E22" s="671"/>
      <c r="F22" s="671"/>
      <c r="G22" s="671"/>
      <c r="H22" s="671"/>
    </row>
    <row r="23" spans="1:8">
      <c r="A23" s="672" t="s">
        <v>857</v>
      </c>
      <c r="B23" s="671"/>
      <c r="C23" s="671"/>
      <c r="D23" s="671"/>
      <c r="E23" s="671"/>
      <c r="F23" s="671"/>
      <c r="G23" s="671"/>
      <c r="H23" s="671"/>
    </row>
    <row r="24" spans="1:8">
      <c r="A24" s="672" t="s">
        <v>858</v>
      </c>
      <c r="B24" s="671"/>
      <c r="C24" s="671"/>
      <c r="D24" s="671"/>
      <c r="E24" s="671"/>
      <c r="F24" s="671"/>
      <c r="G24" s="671"/>
      <c r="H24" s="671"/>
    </row>
    <row r="25" spans="1:8">
      <c r="A25" s="672" t="s">
        <v>859</v>
      </c>
      <c r="B25" s="671"/>
      <c r="C25" s="671"/>
      <c r="D25" s="671"/>
      <c r="E25" s="671"/>
      <c r="F25" s="671"/>
      <c r="G25" s="671"/>
      <c r="H25" s="671"/>
    </row>
    <row r="26" spans="1:8">
      <c r="A26" s="672" t="s">
        <v>860</v>
      </c>
      <c r="B26" s="671"/>
      <c r="C26" s="671"/>
      <c r="D26" s="671"/>
      <c r="E26" s="671"/>
      <c r="F26" s="671"/>
      <c r="G26" s="671"/>
      <c r="H26" s="671"/>
    </row>
    <row r="27" spans="1:8">
      <c r="A27" s="671"/>
      <c r="B27" s="671"/>
      <c r="C27" s="671"/>
      <c r="D27" s="671"/>
      <c r="E27" s="671"/>
      <c r="F27" s="671"/>
      <c r="G27" s="671"/>
      <c r="H27" s="671"/>
    </row>
    <row r="28" spans="1:8">
      <c r="A28" s="671"/>
      <c r="B28" s="671"/>
      <c r="C28" s="671"/>
      <c r="D28" s="671"/>
      <c r="E28" s="671"/>
      <c r="F28" s="671"/>
      <c r="G28" s="671"/>
      <c r="H28" s="671"/>
    </row>
    <row r="29" spans="1:8">
      <c r="A29" s="672" t="s">
        <v>852</v>
      </c>
      <c r="B29" s="671"/>
      <c r="C29" s="671"/>
      <c r="D29" s="671"/>
      <c r="E29" s="671"/>
      <c r="F29" s="671"/>
      <c r="G29" s="671"/>
      <c r="H29" s="671"/>
    </row>
    <row r="30" spans="1:8">
      <c r="A30" s="672" t="s">
        <v>853</v>
      </c>
      <c r="B30" s="671"/>
      <c r="C30" s="671"/>
      <c r="D30" s="671"/>
      <c r="E30" s="671"/>
      <c r="F30" s="671"/>
      <c r="G30" s="671"/>
      <c r="H30" s="671"/>
    </row>
    <row r="31" spans="1:8">
      <c r="A31" s="672" t="s">
        <v>854</v>
      </c>
      <c r="B31" s="671"/>
      <c r="C31" s="671"/>
      <c r="D31" s="671"/>
      <c r="E31" s="671"/>
      <c r="F31" s="671"/>
      <c r="G31" s="671"/>
      <c r="H31" s="671"/>
    </row>
    <row r="32" spans="1:8">
      <c r="A32" s="672" t="s">
        <v>855</v>
      </c>
      <c r="B32" s="671"/>
      <c r="C32" s="671"/>
      <c r="D32" s="671"/>
      <c r="E32" s="671"/>
      <c r="F32" s="671"/>
      <c r="G32" s="671"/>
      <c r="H32" s="671"/>
    </row>
    <row r="33" spans="1:8">
      <c r="A33" s="672" t="s">
        <v>856</v>
      </c>
      <c r="B33" s="671"/>
      <c r="C33" s="671"/>
      <c r="D33" s="671"/>
      <c r="E33" s="671"/>
      <c r="F33" s="671"/>
      <c r="G33" s="671"/>
      <c r="H33" s="671"/>
    </row>
    <row r="34" spans="1:8">
      <c r="A34" s="671"/>
      <c r="B34" s="671"/>
      <c r="C34" s="671"/>
      <c r="D34" s="671"/>
      <c r="E34" s="671"/>
      <c r="F34" s="671"/>
      <c r="G34" s="671"/>
      <c r="H34" s="671"/>
    </row>
    <row r="35" spans="1:8">
      <c r="A35" s="672" t="s">
        <v>848</v>
      </c>
      <c r="B35" s="671"/>
      <c r="C35" s="671"/>
      <c r="D35" s="671"/>
      <c r="E35" s="671"/>
      <c r="F35" s="671"/>
      <c r="G35" s="671"/>
      <c r="H35" s="671"/>
    </row>
    <row r="36" spans="1:8">
      <c r="A36" s="672" t="s">
        <v>849</v>
      </c>
      <c r="B36" s="671"/>
      <c r="C36" s="671"/>
      <c r="D36" s="671"/>
      <c r="E36" s="671"/>
      <c r="F36" s="671"/>
      <c r="G36" s="671"/>
      <c r="H36" s="671"/>
    </row>
    <row r="37" spans="1:8">
      <c r="A37" s="672" t="s">
        <v>850</v>
      </c>
      <c r="B37" s="671"/>
      <c r="C37" s="671"/>
      <c r="D37" s="671"/>
      <c r="E37" s="671"/>
      <c r="F37" s="671"/>
      <c r="G37" s="671"/>
      <c r="H37" s="671"/>
    </row>
    <row r="38" spans="1:8">
      <c r="A38" s="672" t="s">
        <v>851</v>
      </c>
      <c r="B38" s="671"/>
      <c r="C38" s="671"/>
      <c r="D38" s="671"/>
      <c r="E38" s="671"/>
      <c r="F38" s="671"/>
      <c r="G38" s="671"/>
      <c r="H38" s="671"/>
    </row>
    <row r="39" spans="1:8">
      <c r="A39" s="671"/>
      <c r="B39" s="671"/>
      <c r="C39" s="671"/>
      <c r="D39" s="671"/>
      <c r="E39" s="671"/>
      <c r="F39" s="671"/>
      <c r="G39" s="671"/>
      <c r="H39" s="671"/>
    </row>
    <row r="40" spans="1:8">
      <c r="A40" s="672" t="s">
        <v>842</v>
      </c>
      <c r="B40" s="671"/>
      <c r="C40" s="671"/>
      <c r="D40" s="671"/>
      <c r="E40" s="671"/>
      <c r="F40" s="671"/>
      <c r="G40" s="671"/>
      <c r="H40" s="671"/>
    </row>
    <row r="41" spans="1:8">
      <c r="A41" s="672" t="s">
        <v>843</v>
      </c>
      <c r="B41" s="671"/>
      <c r="C41" s="671"/>
      <c r="D41" s="671"/>
      <c r="E41" s="671"/>
      <c r="F41" s="671"/>
      <c r="G41" s="671"/>
      <c r="H41" s="671"/>
    </row>
    <row r="42" spans="1:8">
      <c r="A42" s="672" t="s">
        <v>844</v>
      </c>
      <c r="B42" s="671"/>
      <c r="C42" s="671"/>
      <c r="D42" s="671"/>
      <c r="E42" s="671"/>
      <c r="F42" s="671"/>
      <c r="G42" s="671"/>
      <c r="H42" s="671"/>
    </row>
    <row r="43" spans="1:8">
      <c r="A43" s="672" t="s">
        <v>845</v>
      </c>
      <c r="B43" s="671"/>
      <c r="C43" s="671"/>
      <c r="D43" s="671"/>
      <c r="E43" s="671"/>
      <c r="F43" s="671"/>
      <c r="G43" s="671"/>
      <c r="H43" s="671"/>
    </row>
    <row r="44" spans="1:8">
      <c r="A44" s="672" t="s">
        <v>846</v>
      </c>
      <c r="B44" s="671"/>
      <c r="C44" s="671"/>
      <c r="D44" s="671"/>
      <c r="E44" s="671"/>
      <c r="F44" s="671"/>
      <c r="G44" s="671"/>
      <c r="H44" s="671"/>
    </row>
    <row r="45" spans="1:8">
      <c r="A45" s="672" t="s">
        <v>847</v>
      </c>
      <c r="B45" s="671"/>
      <c r="C45" s="671"/>
      <c r="D45" s="671"/>
      <c r="E45" s="671"/>
      <c r="F45" s="671"/>
      <c r="G45" s="671"/>
      <c r="H45" s="671"/>
    </row>
    <row r="46" spans="1:8">
      <c r="A46" s="671"/>
      <c r="B46" s="671"/>
      <c r="C46" s="671"/>
      <c r="D46" s="671"/>
      <c r="E46" s="671"/>
      <c r="F46" s="671"/>
      <c r="G46" s="671"/>
      <c r="H46" s="671"/>
    </row>
    <row r="47" spans="1:8" ht="15.75">
      <c r="A47" s="673" t="s">
        <v>582</v>
      </c>
      <c r="B47" s="671"/>
      <c r="C47" s="671"/>
      <c r="D47" s="671"/>
      <c r="E47" s="671"/>
      <c r="F47" s="671"/>
      <c r="G47" s="671"/>
      <c r="H47" s="671"/>
    </row>
    <row r="48" spans="1:8">
      <c r="A48" s="671"/>
      <c r="B48" s="671"/>
      <c r="C48" s="671"/>
      <c r="D48" s="671"/>
      <c r="E48" s="671"/>
      <c r="F48" s="671"/>
      <c r="G48" s="671"/>
      <c r="H48" s="671"/>
    </row>
    <row r="49" spans="1:8">
      <c r="A49" s="672" t="s">
        <v>838</v>
      </c>
      <c r="B49" s="671"/>
      <c r="C49" s="671"/>
      <c r="D49" s="671"/>
      <c r="E49" s="671"/>
      <c r="F49" s="671"/>
      <c r="G49" s="671"/>
      <c r="H49" s="671"/>
    </row>
    <row r="50" spans="1:8">
      <c r="A50" s="672" t="s">
        <v>839</v>
      </c>
      <c r="B50" s="671"/>
      <c r="C50" s="671"/>
      <c r="D50" s="671"/>
      <c r="E50" s="671"/>
      <c r="F50" s="671"/>
      <c r="G50" s="671"/>
      <c r="H50" s="671"/>
    </row>
    <row r="51" spans="1:8">
      <c r="A51" s="672" t="s">
        <v>840</v>
      </c>
      <c r="B51" s="671"/>
      <c r="C51" s="671"/>
      <c r="D51" s="671"/>
      <c r="E51" s="671"/>
      <c r="F51" s="671"/>
      <c r="G51" s="671"/>
      <c r="H51" s="671"/>
    </row>
    <row r="52" spans="1:8">
      <c r="A52" s="672" t="s">
        <v>841</v>
      </c>
      <c r="B52" s="671"/>
      <c r="C52" s="671"/>
      <c r="D52" s="671"/>
      <c r="E52" s="671"/>
      <c r="F52" s="671"/>
      <c r="G52" s="671"/>
      <c r="H52" s="671"/>
    </row>
    <row r="53" spans="1:8">
      <c r="A53" s="671"/>
      <c r="B53" s="671"/>
      <c r="C53" s="671"/>
      <c r="D53" s="671"/>
      <c r="E53" s="671"/>
      <c r="F53" s="671"/>
      <c r="G53" s="671"/>
      <c r="H53" s="671"/>
    </row>
    <row r="54" spans="1:8">
      <c r="A54" s="672" t="s">
        <v>583</v>
      </c>
      <c r="B54" s="671"/>
      <c r="C54" s="671"/>
      <c r="D54" s="671"/>
      <c r="E54" s="671"/>
      <c r="F54" s="671"/>
      <c r="G54" s="671"/>
      <c r="H54" s="671"/>
    </row>
    <row r="55" spans="1:8">
      <c r="A55" s="671"/>
      <c r="B55" s="671"/>
      <c r="C55" s="671"/>
      <c r="D55" s="671"/>
      <c r="E55" s="671"/>
      <c r="F55" s="671"/>
      <c r="G55" s="671"/>
      <c r="H55" s="671"/>
    </row>
    <row r="56" spans="1:8" ht="15.75">
      <c r="A56" s="673" t="s">
        <v>584</v>
      </c>
      <c r="B56" s="671"/>
      <c r="C56" s="671"/>
      <c r="D56" s="671"/>
      <c r="E56" s="671"/>
      <c r="F56" s="671"/>
      <c r="G56" s="671"/>
      <c r="H56" s="671"/>
    </row>
    <row r="57" spans="1:8">
      <c r="A57" s="671"/>
      <c r="B57" s="671"/>
      <c r="C57" s="671"/>
      <c r="D57" s="671"/>
      <c r="E57" s="671"/>
      <c r="F57" s="671"/>
      <c r="G57" s="671"/>
      <c r="H57" s="671"/>
    </row>
    <row r="58" spans="1:8">
      <c r="A58" s="672" t="s">
        <v>836</v>
      </c>
      <c r="B58" s="671"/>
      <c r="C58" s="671"/>
      <c r="D58" s="671"/>
      <c r="E58" s="671"/>
      <c r="F58" s="671"/>
      <c r="G58" s="671"/>
      <c r="H58" s="671"/>
    </row>
    <row r="59" spans="1:8">
      <c r="A59" s="672" t="s">
        <v>837</v>
      </c>
      <c r="B59" s="671"/>
      <c r="C59" s="671"/>
      <c r="D59" s="671"/>
      <c r="E59" s="671"/>
      <c r="F59" s="671"/>
      <c r="G59" s="671"/>
      <c r="H59" s="671"/>
    </row>
    <row r="60" spans="1:8">
      <c r="A60" s="671"/>
      <c r="B60" s="671"/>
      <c r="C60" s="671"/>
      <c r="D60" s="671"/>
      <c r="E60" s="671"/>
      <c r="F60" s="671"/>
      <c r="G60" s="671"/>
      <c r="H60" s="671"/>
    </row>
    <row r="61" spans="1:8" ht="15.75">
      <c r="A61" s="673" t="s">
        <v>585</v>
      </c>
      <c r="B61" s="671"/>
      <c r="C61" s="671"/>
      <c r="D61" s="671"/>
      <c r="E61" s="671"/>
      <c r="F61" s="671"/>
      <c r="G61" s="671"/>
      <c r="H61" s="671"/>
    </row>
    <row r="62" spans="1:8">
      <c r="A62" s="671"/>
      <c r="B62" s="671"/>
      <c r="C62" s="671"/>
      <c r="D62" s="671"/>
      <c r="E62" s="671"/>
      <c r="F62" s="671"/>
      <c r="G62" s="671"/>
      <c r="H62" s="671"/>
    </row>
    <row r="63" spans="1:8">
      <c r="A63" s="672" t="s">
        <v>834</v>
      </c>
      <c r="B63" s="671"/>
      <c r="C63" s="671"/>
      <c r="D63" s="671"/>
      <c r="E63" s="671"/>
      <c r="F63" s="671"/>
      <c r="G63" s="671"/>
      <c r="H63" s="671"/>
    </row>
    <row r="64" spans="1:8">
      <c r="A64" s="672" t="s">
        <v>835</v>
      </c>
      <c r="B64" s="671"/>
      <c r="C64" s="671"/>
      <c r="D64" s="671"/>
      <c r="E64" s="671"/>
      <c r="F64" s="671"/>
      <c r="G64" s="671"/>
      <c r="H64" s="671"/>
    </row>
    <row r="65" spans="1:8">
      <c r="A65" s="671"/>
      <c r="B65" s="671"/>
      <c r="C65" s="671"/>
      <c r="D65" s="671"/>
      <c r="E65" s="671"/>
      <c r="F65" s="671"/>
      <c r="G65" s="671"/>
      <c r="H65" s="671"/>
    </row>
    <row r="66" spans="1:8">
      <c r="A66" s="672" t="s">
        <v>832</v>
      </c>
      <c r="B66" s="671"/>
      <c r="C66" s="671"/>
      <c r="D66" s="671"/>
      <c r="E66" s="671"/>
      <c r="F66" s="671"/>
      <c r="G66" s="671"/>
      <c r="H66" s="671"/>
    </row>
    <row r="67" spans="1:8">
      <c r="A67" s="672" t="s">
        <v>833</v>
      </c>
      <c r="B67" s="671"/>
      <c r="C67" s="671"/>
      <c r="D67" s="671"/>
      <c r="E67" s="671"/>
      <c r="F67" s="671"/>
      <c r="G67" s="671"/>
      <c r="H67" s="671"/>
    </row>
    <row r="68" spans="1:8">
      <c r="A68" s="671"/>
      <c r="B68" s="671"/>
      <c r="C68" s="671"/>
      <c r="D68" s="671"/>
      <c r="E68" s="671"/>
      <c r="F68" s="671"/>
      <c r="G68" s="671"/>
      <c r="H68" s="671"/>
    </row>
    <row r="69" spans="1:8">
      <c r="A69" s="672" t="s">
        <v>829</v>
      </c>
      <c r="B69" s="671"/>
      <c r="C69" s="671"/>
      <c r="D69" s="671"/>
      <c r="E69" s="671"/>
      <c r="F69" s="671"/>
      <c r="G69" s="671"/>
      <c r="H69" s="671"/>
    </row>
    <row r="70" spans="1:8">
      <c r="A70" s="672" t="s">
        <v>830</v>
      </c>
      <c r="B70" s="671"/>
      <c r="C70" s="671"/>
      <c r="D70" s="671"/>
      <c r="E70" s="671"/>
      <c r="F70" s="671"/>
      <c r="G70" s="671"/>
      <c r="H70" s="671"/>
    </row>
    <row r="71" spans="1:8">
      <c r="A71" s="672" t="s">
        <v>831</v>
      </c>
      <c r="B71" s="671"/>
      <c r="C71" s="671"/>
      <c r="D71" s="671"/>
      <c r="E71" s="671"/>
      <c r="F71" s="671"/>
      <c r="G71" s="671"/>
      <c r="H71" s="671"/>
    </row>
    <row r="72" spans="1:8">
      <c r="A72" s="671"/>
      <c r="B72" s="671"/>
      <c r="C72" s="671"/>
      <c r="D72" s="671"/>
      <c r="E72" s="671"/>
      <c r="F72" s="671"/>
      <c r="G72" s="671"/>
      <c r="H72" s="671"/>
    </row>
    <row r="73" spans="1:8">
      <c r="A73" s="672" t="s">
        <v>586</v>
      </c>
      <c r="B73" s="671"/>
      <c r="C73" s="671"/>
      <c r="D73" s="671"/>
      <c r="E73" s="671"/>
      <c r="F73" s="671"/>
      <c r="G73" s="671"/>
      <c r="H73" s="671"/>
    </row>
    <row r="74" spans="1:8">
      <c r="A74" s="671"/>
      <c r="B74" s="671"/>
      <c r="C74" s="671"/>
      <c r="D74" s="671"/>
      <c r="E74" s="671"/>
      <c r="F74" s="671"/>
      <c r="G74" s="671"/>
      <c r="H74" s="671"/>
    </row>
    <row r="75" spans="1:8">
      <c r="A75" s="672" t="s">
        <v>824</v>
      </c>
      <c r="B75" s="671"/>
      <c r="C75" s="671"/>
      <c r="D75" s="671"/>
      <c r="E75" s="671"/>
      <c r="F75" s="671"/>
      <c r="G75" s="671"/>
      <c r="H75" s="671"/>
    </row>
    <row r="76" spans="1:8">
      <c r="A76" s="672" t="s">
        <v>825</v>
      </c>
      <c r="B76" s="671"/>
      <c r="C76" s="671"/>
      <c r="D76" s="671"/>
      <c r="E76" s="671"/>
      <c r="F76" s="671"/>
      <c r="G76" s="671"/>
      <c r="H76" s="671"/>
    </row>
    <row r="77" spans="1:8">
      <c r="A77" s="672" t="s">
        <v>826</v>
      </c>
      <c r="B77" s="671"/>
      <c r="C77" s="671"/>
      <c r="D77" s="671"/>
      <c r="E77" s="671"/>
      <c r="F77" s="671"/>
      <c r="G77" s="671"/>
      <c r="H77" s="671"/>
    </row>
    <row r="78" spans="1:8">
      <c r="A78" s="672" t="s">
        <v>827</v>
      </c>
      <c r="B78" s="671"/>
      <c r="C78" s="671"/>
      <c r="D78" s="671"/>
      <c r="E78" s="671"/>
      <c r="F78" s="671"/>
      <c r="G78" s="671"/>
      <c r="H78" s="671"/>
    </row>
    <row r="79" spans="1:8">
      <c r="A79" s="672" t="s">
        <v>828</v>
      </c>
      <c r="B79" s="671"/>
      <c r="C79" s="671"/>
      <c r="D79" s="671"/>
      <c r="E79" s="671"/>
      <c r="F79" s="671"/>
      <c r="G79" s="671"/>
      <c r="H79" s="671"/>
    </row>
    <row r="80" spans="1:8">
      <c r="A80" s="672" t="s">
        <v>713</v>
      </c>
      <c r="B80" s="671"/>
      <c r="C80" s="671"/>
      <c r="D80" s="671"/>
      <c r="E80" s="671"/>
      <c r="F80" s="671"/>
      <c r="G80" s="671"/>
      <c r="H80" s="671"/>
    </row>
    <row r="81" spans="1:8">
      <c r="A81" s="671"/>
      <c r="B81" s="671"/>
      <c r="C81" s="671"/>
      <c r="D81" s="671"/>
      <c r="E81" s="671"/>
      <c r="F81" s="671"/>
      <c r="G81" s="671"/>
      <c r="H81" s="671"/>
    </row>
    <row r="82" spans="1:8">
      <c r="A82" s="672" t="s">
        <v>817</v>
      </c>
      <c r="B82" s="671"/>
      <c r="C82" s="671"/>
      <c r="D82" s="671"/>
      <c r="E82" s="671"/>
      <c r="F82" s="671"/>
      <c r="G82" s="671"/>
      <c r="H82" s="671"/>
    </row>
    <row r="83" spans="1:8">
      <c r="A83" s="672" t="s">
        <v>818</v>
      </c>
      <c r="B83" s="671"/>
      <c r="C83" s="671"/>
      <c r="D83" s="671"/>
      <c r="E83" s="671"/>
      <c r="F83" s="671"/>
      <c r="G83" s="671"/>
      <c r="H83" s="671"/>
    </row>
    <row r="84" spans="1:8">
      <c r="A84" s="672" t="s">
        <v>819</v>
      </c>
      <c r="B84" s="671"/>
      <c r="C84" s="671"/>
      <c r="D84" s="671"/>
      <c r="E84" s="671"/>
      <c r="F84" s="671"/>
      <c r="G84" s="671"/>
      <c r="H84" s="671"/>
    </row>
    <row r="85" spans="1:8">
      <c r="A85" s="672" t="s">
        <v>820</v>
      </c>
      <c r="B85" s="671"/>
      <c r="C85" s="671"/>
      <c r="D85" s="671"/>
      <c r="E85" s="671"/>
      <c r="F85" s="671"/>
      <c r="G85" s="671"/>
      <c r="H85" s="671"/>
    </row>
    <row r="86" spans="1:8">
      <c r="A86" s="672" t="s">
        <v>821</v>
      </c>
      <c r="B86" s="671"/>
      <c r="C86" s="671"/>
      <c r="D86" s="671"/>
      <c r="E86" s="671"/>
      <c r="F86" s="671"/>
      <c r="G86" s="671"/>
      <c r="H86" s="671"/>
    </row>
    <row r="87" spans="1:8">
      <c r="A87" s="672" t="s">
        <v>822</v>
      </c>
      <c r="B87" s="671"/>
      <c r="C87" s="671"/>
      <c r="D87" s="671"/>
      <c r="E87" s="671"/>
      <c r="F87" s="671"/>
      <c r="G87" s="671"/>
      <c r="H87" s="671"/>
    </row>
    <row r="88" spans="1:8">
      <c r="A88" s="672" t="s">
        <v>823</v>
      </c>
      <c r="B88" s="671"/>
      <c r="C88" s="671"/>
      <c r="D88" s="671"/>
      <c r="E88" s="671"/>
      <c r="F88" s="671"/>
      <c r="G88" s="671"/>
      <c r="H88" s="671"/>
    </row>
    <row r="89" spans="1:8">
      <c r="A89" s="671"/>
      <c r="B89" s="671"/>
      <c r="C89" s="671"/>
      <c r="D89" s="671"/>
      <c r="E89" s="671"/>
      <c r="F89" s="671"/>
      <c r="G89" s="671"/>
      <c r="H89" s="671"/>
    </row>
    <row r="90" spans="1:8">
      <c r="A90" s="672" t="s">
        <v>815</v>
      </c>
      <c r="B90" s="671"/>
      <c r="C90" s="671"/>
      <c r="D90" s="671"/>
      <c r="E90" s="671"/>
      <c r="F90" s="671"/>
      <c r="G90" s="671"/>
      <c r="H90" s="671"/>
    </row>
    <row r="91" spans="1:8">
      <c r="A91" s="672" t="s">
        <v>816</v>
      </c>
      <c r="B91" s="671"/>
      <c r="C91" s="671"/>
      <c r="D91" s="671"/>
      <c r="E91" s="671"/>
      <c r="F91" s="671"/>
      <c r="G91" s="671"/>
      <c r="H91" s="671"/>
    </row>
    <row r="92" spans="1:8">
      <c r="A92" s="671"/>
      <c r="B92" s="671"/>
      <c r="C92" s="671"/>
      <c r="D92" s="671"/>
      <c r="E92" s="671"/>
      <c r="F92" s="671"/>
      <c r="G92" s="671"/>
      <c r="H92" s="671"/>
    </row>
    <row r="93" spans="1:8" ht="15.75">
      <c r="A93" s="673" t="s">
        <v>587</v>
      </c>
      <c r="B93" s="671"/>
      <c r="C93" s="671"/>
      <c r="D93" s="671"/>
      <c r="E93" s="671"/>
      <c r="F93" s="671"/>
      <c r="G93" s="671"/>
      <c r="H93" s="671"/>
    </row>
    <row r="94" spans="1:8">
      <c r="A94" s="671"/>
      <c r="B94" s="671"/>
      <c r="C94" s="671"/>
      <c r="D94" s="671"/>
      <c r="E94" s="671"/>
      <c r="F94" s="671"/>
      <c r="G94" s="671"/>
      <c r="H94" s="671"/>
    </row>
    <row r="95" spans="1:8">
      <c r="A95" s="672" t="s">
        <v>806</v>
      </c>
      <c r="B95" s="671"/>
      <c r="C95" s="671"/>
      <c r="D95" s="671"/>
      <c r="E95" s="671"/>
      <c r="F95" s="671"/>
      <c r="G95" s="671"/>
      <c r="H95" s="671"/>
    </row>
    <row r="96" spans="1:8">
      <c r="A96" s="672" t="s">
        <v>807</v>
      </c>
      <c r="B96" s="671"/>
      <c r="C96" s="671"/>
      <c r="D96" s="671"/>
      <c r="E96" s="671"/>
      <c r="F96" s="671"/>
      <c r="G96" s="671"/>
      <c r="H96" s="671"/>
    </row>
    <row r="97" spans="1:8">
      <c r="A97" s="672" t="s">
        <v>808</v>
      </c>
      <c r="B97" s="671"/>
      <c r="C97" s="671"/>
      <c r="D97" s="671"/>
      <c r="E97" s="671"/>
      <c r="F97" s="671"/>
      <c r="G97" s="671"/>
      <c r="H97" s="671"/>
    </row>
    <row r="98" spans="1:8">
      <c r="A98" s="672" t="s">
        <v>809</v>
      </c>
      <c r="B98" s="671"/>
      <c r="C98" s="671"/>
      <c r="D98" s="671"/>
      <c r="E98" s="671"/>
      <c r="F98" s="671"/>
      <c r="G98" s="671"/>
      <c r="H98" s="671"/>
    </row>
    <row r="99" spans="1:8">
      <c r="A99" s="672" t="s">
        <v>810</v>
      </c>
      <c r="B99" s="671"/>
      <c r="C99" s="671"/>
      <c r="D99" s="671"/>
      <c r="E99" s="671"/>
      <c r="F99" s="671"/>
      <c r="G99" s="671"/>
      <c r="H99" s="671"/>
    </row>
    <row r="100" spans="1:8">
      <c r="A100" s="672" t="s">
        <v>811</v>
      </c>
      <c r="B100" s="671"/>
      <c r="C100" s="671"/>
      <c r="D100" s="671"/>
      <c r="E100" s="671"/>
      <c r="F100" s="671"/>
      <c r="G100" s="671"/>
      <c r="H100" s="671"/>
    </row>
    <row r="101" spans="1:8">
      <c r="A101" s="672" t="s">
        <v>812</v>
      </c>
      <c r="B101" s="671"/>
      <c r="C101" s="671"/>
      <c r="D101" s="671"/>
      <c r="E101" s="671"/>
      <c r="F101" s="671"/>
      <c r="G101" s="671"/>
      <c r="H101" s="671"/>
    </row>
    <row r="102" spans="1:8">
      <c r="A102" s="672" t="s">
        <v>813</v>
      </c>
      <c r="B102" s="671"/>
      <c r="C102" s="671"/>
      <c r="D102" s="671"/>
      <c r="E102" s="671"/>
      <c r="F102" s="671"/>
      <c r="G102" s="671"/>
      <c r="H102" s="671"/>
    </row>
    <row r="103" spans="1:8">
      <c r="A103" s="672" t="s">
        <v>814</v>
      </c>
      <c r="B103" s="671"/>
      <c r="C103" s="671"/>
      <c r="D103" s="671"/>
      <c r="E103" s="671"/>
      <c r="F103" s="671"/>
      <c r="G103" s="671"/>
      <c r="H103" s="671"/>
    </row>
    <row r="104" spans="1:8">
      <c r="A104" s="671"/>
      <c r="B104" s="671"/>
      <c r="C104" s="671"/>
      <c r="D104" s="671"/>
      <c r="E104" s="671"/>
      <c r="F104" s="671"/>
      <c r="G104" s="671"/>
      <c r="H104" s="671"/>
    </row>
    <row r="105" spans="1:8" ht="15.75">
      <c r="A105" s="674" t="s">
        <v>588</v>
      </c>
      <c r="B105" s="674"/>
      <c r="C105" s="674"/>
      <c r="D105" s="674"/>
      <c r="E105" s="674"/>
      <c r="F105" s="674"/>
      <c r="G105" s="674"/>
      <c r="H105" s="674"/>
    </row>
    <row r="106" spans="1:8">
      <c r="A106" s="675" t="s">
        <v>589</v>
      </c>
      <c r="B106" s="675"/>
      <c r="C106" s="675"/>
      <c r="D106" s="675"/>
      <c r="E106" s="675"/>
      <c r="F106" s="675"/>
      <c r="G106" s="675"/>
      <c r="H106" s="675"/>
    </row>
    <row r="107" spans="1:8">
      <c r="A107" s="676"/>
      <c r="B107" s="676"/>
      <c r="C107" s="676"/>
      <c r="D107" s="676"/>
      <c r="E107" s="676"/>
      <c r="F107" s="676"/>
      <c r="G107" s="676"/>
      <c r="H107" s="676"/>
    </row>
    <row r="108" spans="1:8">
      <c r="A108" s="675" t="s">
        <v>804</v>
      </c>
      <c r="B108" s="675"/>
      <c r="C108" s="675"/>
      <c r="D108" s="675"/>
      <c r="E108" s="675"/>
      <c r="F108" s="675"/>
      <c r="G108" s="675"/>
      <c r="H108" s="675"/>
    </row>
    <row r="109" spans="1:8">
      <c r="A109" s="672" t="s">
        <v>805</v>
      </c>
      <c r="B109" s="672"/>
      <c r="C109" s="672"/>
      <c r="D109" s="672"/>
      <c r="E109" s="672"/>
      <c r="F109" s="672"/>
      <c r="G109" s="672"/>
      <c r="H109" s="672"/>
    </row>
    <row r="110" spans="1:8">
      <c r="A110" s="676"/>
      <c r="B110" s="676"/>
      <c r="C110" s="676"/>
      <c r="D110" s="676"/>
      <c r="E110" s="676"/>
      <c r="F110" s="676"/>
      <c r="G110" s="676"/>
      <c r="H110" s="676"/>
    </row>
    <row r="111" spans="1:8">
      <c r="A111" s="675" t="s">
        <v>797</v>
      </c>
      <c r="B111" s="675"/>
      <c r="C111" s="675"/>
      <c r="D111" s="675"/>
      <c r="E111" s="675"/>
      <c r="F111" s="675"/>
      <c r="G111" s="675"/>
      <c r="H111" s="675"/>
    </row>
    <row r="112" spans="1:8">
      <c r="A112" s="672" t="s">
        <v>798</v>
      </c>
      <c r="B112" s="672"/>
      <c r="C112" s="672"/>
      <c r="D112" s="672"/>
      <c r="E112" s="672"/>
      <c r="F112" s="672"/>
      <c r="G112" s="672"/>
      <c r="H112" s="672"/>
    </row>
    <row r="113" spans="1:8">
      <c r="A113" s="672" t="s">
        <v>799</v>
      </c>
      <c r="B113" s="672"/>
      <c r="C113" s="672"/>
      <c r="D113" s="672"/>
      <c r="E113" s="672"/>
      <c r="F113" s="672"/>
      <c r="G113" s="672"/>
      <c r="H113" s="672"/>
    </row>
    <row r="114" spans="1:8">
      <c r="A114" s="672" t="s">
        <v>800</v>
      </c>
      <c r="B114" s="672"/>
      <c r="C114" s="672"/>
      <c r="D114" s="672"/>
      <c r="E114" s="672"/>
      <c r="F114" s="672"/>
      <c r="G114" s="672"/>
      <c r="H114" s="672"/>
    </row>
    <row r="115" spans="1:8">
      <c r="A115" s="672" t="s">
        <v>801</v>
      </c>
      <c r="B115" s="672"/>
      <c r="C115" s="672"/>
      <c r="D115" s="672"/>
      <c r="E115" s="672"/>
      <c r="F115" s="672"/>
      <c r="G115" s="672"/>
      <c r="H115" s="672"/>
    </row>
    <row r="116" spans="1:8">
      <c r="A116" s="672" t="s">
        <v>802</v>
      </c>
      <c r="B116" s="672"/>
      <c r="C116" s="672"/>
      <c r="D116" s="672"/>
      <c r="E116" s="672"/>
      <c r="F116" s="672"/>
      <c r="G116" s="672"/>
      <c r="H116" s="672"/>
    </row>
    <row r="117" spans="1:8">
      <c r="A117" s="672" t="s">
        <v>803</v>
      </c>
      <c r="B117" s="672"/>
      <c r="C117" s="672"/>
      <c r="D117" s="672"/>
      <c r="E117" s="672"/>
      <c r="F117" s="672"/>
      <c r="G117" s="672"/>
      <c r="H117" s="672"/>
    </row>
    <row r="118" spans="1:8">
      <c r="A118" s="677"/>
      <c r="B118" s="677"/>
      <c r="C118" s="677"/>
      <c r="D118" s="677"/>
      <c r="E118" s="677"/>
      <c r="F118" s="677"/>
      <c r="G118" s="677"/>
      <c r="H118" s="677"/>
    </row>
    <row r="119" spans="1:8">
      <c r="A119" s="678"/>
      <c r="B119" s="679" t="s">
        <v>590</v>
      </c>
      <c r="C119" s="680"/>
      <c r="D119" s="679" t="s">
        <v>591</v>
      </c>
      <c r="E119" s="681"/>
      <c r="F119" s="680"/>
      <c r="G119" s="679" t="s">
        <v>592</v>
      </c>
      <c r="H119" s="680"/>
    </row>
    <row r="120" spans="1:8">
      <c r="A120" s="678" t="s">
        <v>593</v>
      </c>
      <c r="B120" s="678" t="s">
        <v>436</v>
      </c>
      <c r="C120" s="678" t="s">
        <v>594</v>
      </c>
      <c r="D120" s="678" t="s">
        <v>436</v>
      </c>
      <c r="E120" s="678" t="s">
        <v>595</v>
      </c>
      <c r="F120" s="678" t="s">
        <v>596</v>
      </c>
      <c r="G120" s="678" t="s">
        <v>436</v>
      </c>
      <c r="H120" s="678" t="s">
        <v>597</v>
      </c>
    </row>
    <row r="121" spans="1:8">
      <c r="A121" s="678" t="s">
        <v>598</v>
      </c>
      <c r="B121" s="678">
        <v>1189</v>
      </c>
      <c r="C121" s="682">
        <v>0.38</v>
      </c>
      <c r="D121" s="678">
        <v>315</v>
      </c>
      <c r="E121" s="682">
        <v>0.41</v>
      </c>
      <c r="F121" s="682">
        <v>0.26</v>
      </c>
      <c r="G121" s="678">
        <v>555</v>
      </c>
      <c r="H121" s="682">
        <v>0.39</v>
      </c>
    </row>
    <row r="122" spans="1:8">
      <c r="A122" s="678" t="s">
        <v>599</v>
      </c>
      <c r="B122" s="678">
        <v>1355</v>
      </c>
      <c r="C122" s="682">
        <v>0.43</v>
      </c>
      <c r="D122" s="678">
        <v>364</v>
      </c>
      <c r="E122" s="682">
        <v>0.47</v>
      </c>
      <c r="F122" s="682">
        <v>0.27</v>
      </c>
      <c r="G122" s="678">
        <v>644</v>
      </c>
      <c r="H122" s="682">
        <v>0.45</v>
      </c>
    </row>
    <row r="123" spans="1:8">
      <c r="A123" s="678" t="s">
        <v>600</v>
      </c>
      <c r="B123" s="678">
        <v>53</v>
      </c>
      <c r="C123" s="682">
        <v>0.02</v>
      </c>
      <c r="D123" s="678">
        <v>4</v>
      </c>
      <c r="E123" s="682">
        <v>0.01</v>
      </c>
      <c r="F123" s="682">
        <v>0.08</v>
      </c>
      <c r="G123" s="678">
        <v>7</v>
      </c>
      <c r="H123" s="682">
        <v>0</v>
      </c>
    </row>
    <row r="124" spans="1:8">
      <c r="A124" s="678" t="s">
        <v>601</v>
      </c>
      <c r="B124" s="678">
        <v>545</v>
      </c>
      <c r="C124" s="682">
        <v>0.17</v>
      </c>
      <c r="D124" s="678">
        <v>84</v>
      </c>
      <c r="E124" s="682">
        <v>0.11</v>
      </c>
      <c r="F124" s="682">
        <v>0.15</v>
      </c>
      <c r="G124" s="678">
        <v>214</v>
      </c>
      <c r="H124" s="682">
        <v>0.15</v>
      </c>
    </row>
    <row r="125" spans="1:8">
      <c r="A125" s="678" t="s">
        <v>602</v>
      </c>
      <c r="B125" s="683">
        <v>3142</v>
      </c>
      <c r="C125" s="678"/>
      <c r="D125" s="678">
        <v>767</v>
      </c>
      <c r="E125" s="678"/>
      <c r="F125" s="678"/>
      <c r="G125" s="678">
        <v>1420</v>
      </c>
      <c r="H125" s="678"/>
    </row>
    <row r="126" spans="1:8">
      <c r="A126" s="684"/>
      <c r="B126" s="684"/>
      <c r="C126" s="684"/>
      <c r="D126" s="684"/>
      <c r="E126" s="684"/>
      <c r="F126" s="684"/>
      <c r="G126" s="684"/>
      <c r="H126" s="684"/>
    </row>
    <row r="127" spans="1:8">
      <c r="A127" s="675" t="s">
        <v>793</v>
      </c>
      <c r="B127" s="675"/>
      <c r="C127" s="675"/>
      <c r="D127" s="675"/>
      <c r="E127" s="675"/>
      <c r="F127" s="675"/>
      <c r="G127" s="675"/>
      <c r="H127" s="675"/>
    </row>
    <row r="128" spans="1:8">
      <c r="A128" s="672" t="s">
        <v>794</v>
      </c>
      <c r="B128" s="672"/>
      <c r="C128" s="672"/>
      <c r="D128" s="672"/>
      <c r="E128" s="672"/>
      <c r="F128" s="672"/>
      <c r="G128" s="672"/>
      <c r="H128" s="672"/>
    </row>
    <row r="129" spans="1:8">
      <c r="A129" s="672" t="s">
        <v>795</v>
      </c>
      <c r="B129" s="672"/>
      <c r="C129" s="672"/>
      <c r="D129" s="672"/>
      <c r="E129" s="672"/>
      <c r="F129" s="672"/>
      <c r="G129" s="672"/>
      <c r="H129" s="672"/>
    </row>
    <row r="130" spans="1:8">
      <c r="A130" s="672" t="s">
        <v>796</v>
      </c>
      <c r="B130" s="672"/>
      <c r="C130" s="672"/>
      <c r="D130" s="672"/>
      <c r="E130" s="672"/>
      <c r="F130" s="672"/>
      <c r="G130" s="672"/>
      <c r="H130" s="672"/>
    </row>
    <row r="131" spans="1:8">
      <c r="A131" s="671"/>
      <c r="B131" s="671"/>
      <c r="C131" s="671"/>
      <c r="D131" s="671"/>
      <c r="E131" s="671"/>
      <c r="F131" s="671"/>
      <c r="G131" s="671"/>
      <c r="H131" s="671"/>
    </row>
    <row r="132" spans="1:8" ht="15.75">
      <c r="A132" s="673" t="s">
        <v>603</v>
      </c>
      <c r="B132" s="671"/>
      <c r="C132" s="671"/>
      <c r="D132" s="671"/>
      <c r="E132" s="671"/>
      <c r="F132" s="671"/>
      <c r="G132" s="671"/>
      <c r="H132" s="671"/>
    </row>
    <row r="133" spans="1:8">
      <c r="A133" s="671"/>
      <c r="B133" s="671"/>
      <c r="C133" s="671"/>
      <c r="D133" s="671"/>
      <c r="E133" s="671"/>
      <c r="F133" s="671"/>
      <c r="G133" s="671"/>
      <c r="H133" s="671"/>
    </row>
    <row r="134" spans="1:8">
      <c r="A134" s="672" t="s">
        <v>791</v>
      </c>
      <c r="B134" s="671"/>
      <c r="C134" s="671"/>
      <c r="D134" s="671"/>
      <c r="E134" s="671"/>
      <c r="F134" s="671"/>
      <c r="G134" s="671"/>
      <c r="H134" s="671"/>
    </row>
    <row r="135" spans="1:8">
      <c r="A135" s="672" t="s">
        <v>792</v>
      </c>
      <c r="B135" s="671"/>
      <c r="C135" s="671"/>
      <c r="D135" s="671"/>
      <c r="E135" s="671"/>
      <c r="F135" s="671"/>
      <c r="G135" s="671"/>
      <c r="H135" s="671"/>
    </row>
    <row r="136" spans="1:8">
      <c r="A136" s="671"/>
      <c r="B136" s="671"/>
      <c r="C136" s="671"/>
      <c r="D136" s="671"/>
      <c r="E136" s="671"/>
      <c r="F136" s="671"/>
      <c r="G136" s="671"/>
      <c r="H136" s="671"/>
    </row>
    <row r="137" spans="1:8">
      <c r="A137" s="672" t="s">
        <v>788</v>
      </c>
      <c r="B137" s="671"/>
      <c r="C137" s="671"/>
      <c r="D137" s="671"/>
      <c r="E137" s="671"/>
      <c r="F137" s="671"/>
      <c r="G137" s="671"/>
      <c r="H137" s="671"/>
    </row>
    <row r="138" spans="1:8">
      <c r="A138" s="672" t="s">
        <v>789</v>
      </c>
      <c r="B138" s="671"/>
      <c r="C138" s="671"/>
      <c r="D138" s="671"/>
      <c r="E138" s="671"/>
      <c r="F138" s="671"/>
      <c r="G138" s="671"/>
      <c r="H138" s="671"/>
    </row>
    <row r="139" spans="1:8">
      <c r="A139" s="672" t="s">
        <v>790</v>
      </c>
      <c r="B139" s="671"/>
      <c r="C139" s="671"/>
      <c r="D139" s="671"/>
      <c r="E139" s="671"/>
      <c r="F139" s="671"/>
      <c r="G139" s="671"/>
      <c r="H139" s="671"/>
    </row>
    <row r="140" spans="1:8">
      <c r="A140" s="671"/>
      <c r="B140" s="671"/>
      <c r="C140" s="671"/>
      <c r="D140" s="671"/>
      <c r="E140" s="671"/>
      <c r="F140" s="671"/>
      <c r="G140" s="671"/>
      <c r="H140" s="671"/>
    </row>
    <row r="141" spans="1:8">
      <c r="A141" s="672" t="s">
        <v>785</v>
      </c>
      <c r="B141" s="671"/>
      <c r="C141" s="671"/>
      <c r="D141" s="671"/>
      <c r="E141" s="671"/>
      <c r="F141" s="671"/>
      <c r="G141" s="671"/>
      <c r="H141" s="671"/>
    </row>
    <row r="142" spans="1:8">
      <c r="A142" s="672" t="s">
        <v>786</v>
      </c>
      <c r="B142" s="671"/>
      <c r="C142" s="671"/>
      <c r="D142" s="671"/>
      <c r="E142" s="671"/>
      <c r="F142" s="671"/>
      <c r="G142" s="671"/>
      <c r="H142" s="671"/>
    </row>
    <row r="143" spans="1:8">
      <c r="A143" s="672" t="s">
        <v>787</v>
      </c>
      <c r="B143" s="671"/>
      <c r="C143" s="671"/>
      <c r="D143" s="671"/>
      <c r="E143" s="671"/>
      <c r="F143" s="671"/>
      <c r="G143" s="671"/>
      <c r="H143" s="671"/>
    </row>
    <row r="144" spans="1:8">
      <c r="A144" s="671"/>
      <c r="B144" s="671"/>
      <c r="C144" s="671"/>
      <c r="D144" s="671"/>
      <c r="E144" s="671"/>
      <c r="F144" s="671"/>
      <c r="G144" s="671"/>
      <c r="H144" s="671"/>
    </row>
    <row r="145" spans="1:8">
      <c r="A145" s="672" t="s">
        <v>782</v>
      </c>
      <c r="B145" s="671"/>
      <c r="C145" s="671"/>
      <c r="D145" s="671"/>
      <c r="E145" s="671"/>
      <c r="F145" s="671"/>
      <c r="G145" s="671"/>
      <c r="H145" s="671"/>
    </row>
    <row r="146" spans="1:8">
      <c r="A146" s="672" t="s">
        <v>783</v>
      </c>
      <c r="B146" s="671"/>
      <c r="C146" s="671"/>
      <c r="D146" s="671"/>
      <c r="E146" s="671"/>
      <c r="F146" s="671"/>
      <c r="G146" s="671"/>
      <c r="H146" s="671"/>
    </row>
    <row r="147" spans="1:8">
      <c r="A147" s="672" t="s">
        <v>784</v>
      </c>
      <c r="B147" s="671"/>
      <c r="C147" s="671"/>
      <c r="D147" s="671"/>
      <c r="E147" s="671"/>
      <c r="F147" s="671"/>
      <c r="G147" s="671"/>
      <c r="H147" s="671"/>
    </row>
    <row r="148" spans="1:8">
      <c r="A148" s="671"/>
      <c r="B148" s="671"/>
      <c r="C148" s="671"/>
      <c r="D148" s="671"/>
      <c r="E148" s="671"/>
      <c r="F148" s="671"/>
      <c r="G148" s="671"/>
      <c r="H148" s="671"/>
    </row>
    <row r="149" spans="1:8">
      <c r="A149" s="672" t="s">
        <v>780</v>
      </c>
      <c r="B149" s="671"/>
      <c r="C149" s="671"/>
      <c r="D149" s="671"/>
      <c r="E149" s="671"/>
      <c r="F149" s="671"/>
      <c r="G149" s="671"/>
      <c r="H149" s="671"/>
    </row>
    <row r="150" spans="1:8">
      <c r="A150" s="672" t="s">
        <v>781</v>
      </c>
      <c r="B150" s="671"/>
      <c r="C150" s="671"/>
      <c r="D150" s="671"/>
      <c r="E150" s="671"/>
      <c r="F150" s="671"/>
      <c r="G150" s="671"/>
      <c r="H150" s="671"/>
    </row>
    <row r="151" spans="1:8">
      <c r="A151" s="671"/>
      <c r="B151" s="671"/>
      <c r="C151" s="671"/>
      <c r="D151" s="671"/>
      <c r="E151" s="671"/>
      <c r="F151" s="671"/>
      <c r="G151" s="671"/>
      <c r="H151" s="671"/>
    </row>
    <row r="152" spans="1:8" ht="15.75">
      <c r="A152" s="673" t="s">
        <v>604</v>
      </c>
      <c r="B152" s="671"/>
      <c r="C152" s="671"/>
      <c r="D152" s="671"/>
      <c r="E152" s="671"/>
      <c r="F152" s="671"/>
      <c r="G152" s="671"/>
      <c r="H152" s="671"/>
    </row>
    <row r="153" spans="1:8">
      <c r="A153" s="671"/>
      <c r="B153" s="671"/>
      <c r="C153" s="671"/>
      <c r="D153" s="671"/>
      <c r="E153" s="671"/>
      <c r="F153" s="671"/>
      <c r="G153" s="671"/>
      <c r="H153" s="671"/>
    </row>
    <row r="154" spans="1:8">
      <c r="A154" s="672" t="s">
        <v>778</v>
      </c>
      <c r="B154" s="671"/>
      <c r="C154" s="671"/>
      <c r="D154" s="671"/>
      <c r="E154" s="671"/>
      <c r="F154" s="671"/>
      <c r="G154" s="671"/>
      <c r="H154" s="671"/>
    </row>
    <row r="155" spans="1:8">
      <c r="A155" s="672" t="s">
        <v>779</v>
      </c>
      <c r="B155" s="671"/>
      <c r="C155" s="671"/>
      <c r="D155" s="671"/>
      <c r="E155" s="671"/>
      <c r="F155" s="671"/>
      <c r="G155" s="671"/>
      <c r="H155" s="671"/>
    </row>
    <row r="156" spans="1:8">
      <c r="A156" s="671"/>
      <c r="B156" s="671"/>
      <c r="C156" s="671"/>
      <c r="D156" s="671"/>
      <c r="E156" s="671"/>
      <c r="F156" s="671"/>
      <c r="G156" s="671"/>
      <c r="H156" s="671"/>
    </row>
    <row r="157" spans="1:8">
      <c r="A157" s="672" t="s">
        <v>776</v>
      </c>
      <c r="B157" s="671"/>
      <c r="C157" s="671"/>
      <c r="D157" s="671"/>
      <c r="E157" s="671"/>
      <c r="F157" s="671"/>
      <c r="G157" s="671"/>
      <c r="H157" s="671"/>
    </row>
    <row r="158" spans="1:8">
      <c r="A158" s="672" t="s">
        <v>777</v>
      </c>
      <c r="B158" s="671"/>
      <c r="C158" s="671"/>
      <c r="D158" s="671"/>
      <c r="E158" s="671"/>
      <c r="F158" s="671"/>
      <c r="G158" s="671"/>
      <c r="H158" s="671"/>
    </row>
    <row r="159" spans="1:8">
      <c r="A159" s="671"/>
      <c r="B159" s="671"/>
      <c r="C159" s="671"/>
      <c r="D159" s="671"/>
      <c r="E159" s="671"/>
      <c r="F159" s="671"/>
      <c r="G159" s="671"/>
      <c r="H159" s="671"/>
    </row>
    <row r="160" spans="1:8">
      <c r="A160" s="672" t="s">
        <v>774</v>
      </c>
      <c r="B160" s="671"/>
      <c r="C160" s="671"/>
      <c r="D160" s="671"/>
      <c r="E160" s="671"/>
      <c r="F160" s="671"/>
      <c r="G160" s="671"/>
      <c r="H160" s="671"/>
    </row>
    <row r="161" spans="1:8">
      <c r="A161" s="672" t="s">
        <v>775</v>
      </c>
      <c r="B161" s="671"/>
      <c r="C161" s="671"/>
      <c r="D161" s="671"/>
      <c r="E161" s="671"/>
      <c r="F161" s="671"/>
      <c r="G161" s="671"/>
      <c r="H161" s="671"/>
    </row>
    <row r="162" spans="1:8">
      <c r="A162" s="671"/>
      <c r="B162" s="671"/>
      <c r="C162" s="671"/>
      <c r="D162" s="671"/>
      <c r="E162" s="671"/>
      <c r="F162" s="671"/>
      <c r="G162" s="671"/>
      <c r="H162" s="671"/>
    </row>
    <row r="163" spans="1:8">
      <c r="A163" s="672" t="s">
        <v>771</v>
      </c>
      <c r="B163" s="671"/>
      <c r="C163" s="671"/>
      <c r="D163" s="671"/>
      <c r="E163" s="671"/>
      <c r="F163" s="671"/>
      <c r="G163" s="671"/>
      <c r="H163" s="671"/>
    </row>
    <row r="164" spans="1:8">
      <c r="A164" s="672" t="s">
        <v>772</v>
      </c>
      <c r="B164" s="671"/>
      <c r="C164" s="671"/>
      <c r="D164" s="671"/>
      <c r="E164" s="671"/>
      <c r="F164" s="671"/>
      <c r="G164" s="671"/>
      <c r="H164" s="671"/>
    </row>
    <row r="165" spans="1:8">
      <c r="A165" s="672" t="s">
        <v>773</v>
      </c>
      <c r="B165" s="671"/>
      <c r="C165" s="671"/>
      <c r="D165" s="671"/>
      <c r="E165" s="671"/>
      <c r="F165" s="671"/>
      <c r="G165" s="671"/>
      <c r="H165" s="671"/>
    </row>
    <row r="166" spans="1:8">
      <c r="A166" s="671"/>
      <c r="B166" s="671"/>
      <c r="C166" s="671"/>
      <c r="D166" s="671"/>
      <c r="E166" s="671"/>
      <c r="F166" s="671"/>
      <c r="G166" s="671"/>
      <c r="H166" s="671"/>
    </row>
    <row r="167" spans="1:8">
      <c r="A167" s="671"/>
      <c r="B167" s="671"/>
      <c r="C167" s="671"/>
      <c r="D167" s="671"/>
      <c r="E167" s="671"/>
      <c r="F167" s="671"/>
      <c r="G167" s="671"/>
      <c r="H167" s="671"/>
    </row>
    <row r="168" spans="1:8">
      <c r="A168" s="672" t="s">
        <v>605</v>
      </c>
      <c r="B168" s="671"/>
      <c r="C168" s="671"/>
      <c r="D168" s="671"/>
      <c r="E168" s="671"/>
      <c r="F168" s="671"/>
      <c r="G168" s="671"/>
      <c r="H168" s="671"/>
    </row>
    <row r="169" spans="1:8">
      <c r="A169" s="671"/>
      <c r="B169" s="671"/>
      <c r="C169" s="671"/>
      <c r="D169" s="671"/>
      <c r="E169" s="671"/>
      <c r="F169" s="671"/>
      <c r="G169" s="671"/>
      <c r="H169" s="671"/>
    </row>
    <row r="170" spans="1:8" ht="15.75">
      <c r="A170" s="673" t="s">
        <v>606</v>
      </c>
      <c r="B170" s="671"/>
      <c r="C170" s="671"/>
      <c r="D170" s="671"/>
      <c r="E170" s="671"/>
      <c r="F170" s="671"/>
      <c r="G170" s="671"/>
      <c r="H170" s="671"/>
    </row>
    <row r="171" spans="1:8">
      <c r="A171" s="671"/>
      <c r="B171" s="671"/>
      <c r="C171" s="671"/>
      <c r="D171" s="671"/>
      <c r="E171" s="671"/>
      <c r="F171" s="671"/>
      <c r="G171" s="671"/>
      <c r="H171" s="671"/>
    </row>
    <row r="172" spans="1:8">
      <c r="A172" s="671"/>
      <c r="B172" s="671"/>
      <c r="C172" s="671"/>
      <c r="D172" s="671"/>
      <c r="E172" s="671"/>
      <c r="F172" s="671"/>
      <c r="G172" s="671"/>
      <c r="H172" s="671"/>
    </row>
    <row r="173" spans="1:8">
      <c r="A173" s="671"/>
      <c r="B173" s="671"/>
      <c r="C173" s="671"/>
      <c r="D173" s="671"/>
      <c r="E173" s="671"/>
      <c r="F173" s="671"/>
      <c r="G173" s="671"/>
      <c r="H173" s="671"/>
    </row>
    <row r="174" spans="1:8">
      <c r="A174" s="671"/>
      <c r="B174" s="671"/>
      <c r="C174" s="671"/>
      <c r="D174" s="671"/>
      <c r="E174" s="671"/>
      <c r="F174" s="671"/>
      <c r="G174" s="671"/>
      <c r="H174" s="671"/>
    </row>
    <row r="175" spans="1:8">
      <c r="A175" s="671"/>
      <c r="B175" s="671"/>
      <c r="C175" s="671"/>
      <c r="D175" s="671"/>
      <c r="E175" s="671"/>
      <c r="F175" s="671"/>
      <c r="G175" s="671"/>
      <c r="H175" s="671"/>
    </row>
    <row r="176" spans="1:8">
      <c r="A176" s="671"/>
      <c r="B176" s="671"/>
      <c r="C176" s="671"/>
      <c r="D176" s="671"/>
      <c r="E176" s="671"/>
      <c r="F176" s="671"/>
      <c r="G176" s="671"/>
      <c r="H176" s="671"/>
    </row>
    <row r="177" spans="1:8">
      <c r="A177" s="671"/>
      <c r="B177" s="671"/>
      <c r="C177" s="671"/>
      <c r="D177" s="671"/>
      <c r="E177" s="671"/>
      <c r="F177" s="671"/>
      <c r="G177" s="671"/>
      <c r="H177" s="671"/>
    </row>
    <row r="178" spans="1:8">
      <c r="A178" s="671"/>
      <c r="B178" s="671"/>
      <c r="C178" s="671"/>
      <c r="D178" s="671"/>
      <c r="E178" s="671"/>
      <c r="F178" s="671"/>
      <c r="G178" s="671"/>
      <c r="H178" s="671"/>
    </row>
    <row r="179" spans="1:8">
      <c r="A179" s="671"/>
      <c r="B179" s="671"/>
      <c r="C179" s="671"/>
      <c r="D179" s="671"/>
      <c r="E179" s="671"/>
      <c r="F179" s="671"/>
      <c r="G179" s="671"/>
      <c r="H179" s="671"/>
    </row>
    <row r="180" spans="1:8">
      <c r="A180" s="671"/>
      <c r="B180" s="671"/>
      <c r="C180" s="671"/>
      <c r="D180" s="671"/>
      <c r="E180" s="671"/>
      <c r="F180" s="671"/>
      <c r="G180" s="671"/>
      <c r="H180" s="671"/>
    </row>
    <row r="181" spans="1:8">
      <c r="A181" s="671"/>
      <c r="B181" s="671"/>
      <c r="C181" s="671"/>
      <c r="D181" s="671"/>
      <c r="E181" s="671"/>
      <c r="F181" s="671"/>
      <c r="G181" s="671"/>
      <c r="H181" s="671"/>
    </row>
    <row r="182" spans="1:8">
      <c r="A182" s="671"/>
      <c r="B182" s="671"/>
      <c r="C182" s="671"/>
      <c r="D182" s="671"/>
      <c r="E182" s="671"/>
      <c r="F182" s="671"/>
      <c r="G182" s="671"/>
      <c r="H182" s="671"/>
    </row>
    <row r="183" spans="1:8">
      <c r="A183" s="671"/>
      <c r="B183" s="671"/>
      <c r="C183" s="671"/>
      <c r="D183" s="671"/>
      <c r="E183" s="671"/>
      <c r="F183" s="671"/>
      <c r="G183" s="671"/>
      <c r="H183" s="671"/>
    </row>
    <row r="184" spans="1:8">
      <c r="A184" s="671"/>
      <c r="B184" s="671"/>
      <c r="C184" s="671"/>
      <c r="D184" s="671"/>
      <c r="E184" s="671"/>
      <c r="F184" s="671"/>
      <c r="G184" s="671"/>
      <c r="H184" s="671"/>
    </row>
    <row r="185" spans="1:8">
      <c r="A185" s="671"/>
      <c r="B185" s="671"/>
      <c r="C185" s="671"/>
      <c r="D185" s="671"/>
      <c r="E185" s="671"/>
      <c r="F185" s="671"/>
      <c r="G185" s="671"/>
      <c r="H185" s="671"/>
    </row>
    <row r="186" spans="1:8">
      <c r="A186" s="671"/>
      <c r="B186" s="671"/>
      <c r="C186" s="671"/>
      <c r="D186" s="671"/>
      <c r="E186" s="671"/>
      <c r="F186" s="671"/>
      <c r="G186" s="671"/>
      <c r="H186" s="671"/>
    </row>
    <row r="187" spans="1:8">
      <c r="A187" s="671"/>
      <c r="B187" s="671"/>
      <c r="C187" s="671"/>
      <c r="D187" s="671"/>
      <c r="E187" s="671"/>
      <c r="F187" s="671"/>
      <c r="G187" s="671"/>
      <c r="H187" s="671"/>
    </row>
    <row r="188" spans="1:8">
      <c r="A188" s="671"/>
      <c r="B188" s="671"/>
      <c r="C188" s="671"/>
      <c r="D188" s="671"/>
      <c r="E188" s="671"/>
      <c r="F188" s="671"/>
      <c r="G188" s="671"/>
      <c r="H188" s="671"/>
    </row>
    <row r="189" spans="1:8">
      <c r="A189" s="671"/>
      <c r="B189" s="671"/>
      <c r="C189" s="671"/>
      <c r="D189" s="671"/>
      <c r="E189" s="671"/>
      <c r="F189" s="671"/>
      <c r="G189" s="671"/>
      <c r="H189" s="671"/>
    </row>
    <row r="190" spans="1:8">
      <c r="A190" s="671"/>
      <c r="B190" s="671"/>
      <c r="C190" s="671"/>
      <c r="D190" s="671"/>
      <c r="E190" s="671"/>
      <c r="F190" s="671"/>
      <c r="G190" s="671"/>
      <c r="H190" s="671"/>
    </row>
    <row r="191" spans="1:8">
      <c r="A191" s="671"/>
      <c r="B191" s="671"/>
      <c r="C191" s="671"/>
      <c r="D191" s="671"/>
      <c r="E191" s="671"/>
      <c r="F191" s="671"/>
      <c r="G191" s="671"/>
      <c r="H191" s="671"/>
    </row>
    <row r="192" spans="1:8">
      <c r="A192" s="671"/>
      <c r="B192" s="671"/>
      <c r="C192" s="671"/>
      <c r="D192" s="671"/>
      <c r="E192" s="671"/>
      <c r="F192" s="671"/>
      <c r="G192" s="671"/>
      <c r="H192" s="671"/>
    </row>
    <row r="193" spans="1:8">
      <c r="A193" s="671"/>
      <c r="B193" s="671"/>
      <c r="C193" s="671"/>
      <c r="D193" s="671"/>
      <c r="E193" s="671"/>
      <c r="F193" s="671"/>
      <c r="G193" s="671"/>
      <c r="H193" s="671"/>
    </row>
    <row r="194" spans="1:8">
      <c r="A194" s="671"/>
      <c r="B194" s="671"/>
      <c r="C194" s="671"/>
      <c r="D194" s="671"/>
      <c r="E194" s="671"/>
      <c r="F194" s="671"/>
      <c r="G194" s="671"/>
      <c r="H194" s="671"/>
    </row>
    <row r="195" spans="1:8">
      <c r="A195" s="671"/>
      <c r="B195" s="671"/>
      <c r="C195" s="671"/>
      <c r="D195" s="671"/>
      <c r="E195" s="671"/>
      <c r="F195" s="671"/>
      <c r="G195" s="671"/>
      <c r="H195" s="671"/>
    </row>
    <row r="196" spans="1:8">
      <c r="A196" s="671"/>
      <c r="B196" s="671"/>
      <c r="C196" s="671"/>
      <c r="D196" s="671"/>
      <c r="E196" s="671"/>
      <c r="F196" s="671"/>
      <c r="G196" s="671"/>
      <c r="H196" s="671"/>
    </row>
    <row r="197" spans="1:8" ht="15.75">
      <c r="A197" s="673" t="s">
        <v>607</v>
      </c>
      <c r="B197" s="671"/>
      <c r="C197" s="671"/>
      <c r="D197" s="671"/>
      <c r="E197" s="671"/>
      <c r="F197" s="671"/>
      <c r="G197" s="671"/>
      <c r="H197" s="671"/>
    </row>
    <row r="198" spans="1:8">
      <c r="A198" s="671"/>
      <c r="B198" s="671"/>
      <c r="C198" s="671"/>
      <c r="D198" s="671"/>
      <c r="E198" s="671"/>
      <c r="F198" s="671"/>
      <c r="G198" s="671"/>
      <c r="H198" s="671"/>
    </row>
    <row r="199" spans="1:8">
      <c r="A199" s="672" t="s">
        <v>766</v>
      </c>
      <c r="B199" s="671"/>
      <c r="C199" s="671"/>
      <c r="D199" s="671"/>
      <c r="E199" s="671"/>
      <c r="F199" s="671"/>
      <c r="G199" s="671"/>
      <c r="H199" s="671"/>
    </row>
    <row r="200" spans="1:8">
      <c r="A200" s="672" t="s">
        <v>767</v>
      </c>
      <c r="B200" s="671"/>
      <c r="C200" s="671"/>
      <c r="D200" s="671"/>
      <c r="E200" s="671"/>
      <c r="F200" s="671"/>
      <c r="G200" s="671"/>
      <c r="H200" s="671"/>
    </row>
    <row r="201" spans="1:8">
      <c r="A201" s="672" t="s">
        <v>768</v>
      </c>
      <c r="B201" s="671"/>
      <c r="C201" s="671"/>
      <c r="D201" s="671"/>
      <c r="E201" s="671"/>
      <c r="F201" s="671"/>
      <c r="G201" s="671"/>
      <c r="H201" s="671"/>
    </row>
    <row r="202" spans="1:8">
      <c r="A202" s="672" t="s">
        <v>769</v>
      </c>
      <c r="B202" s="671"/>
      <c r="C202" s="671"/>
      <c r="D202" s="671"/>
      <c r="E202" s="671"/>
      <c r="F202" s="671"/>
      <c r="G202" s="671"/>
      <c r="H202" s="671"/>
    </row>
    <row r="203" spans="1:8">
      <c r="A203" s="672" t="s">
        <v>770</v>
      </c>
      <c r="B203" s="671"/>
      <c r="C203" s="671"/>
      <c r="D203" s="671"/>
      <c r="E203" s="671"/>
      <c r="F203" s="671"/>
      <c r="G203" s="671"/>
      <c r="H203" s="671"/>
    </row>
    <row r="204" spans="1:8">
      <c r="A204" s="671"/>
      <c r="B204" s="671"/>
      <c r="C204" s="671"/>
      <c r="D204" s="671"/>
      <c r="E204" s="671"/>
      <c r="F204" s="671"/>
      <c r="G204" s="671"/>
      <c r="H204" s="671"/>
    </row>
    <row r="205" spans="1:8">
      <c r="A205" s="672" t="s">
        <v>763</v>
      </c>
      <c r="B205" s="671"/>
      <c r="C205" s="671"/>
      <c r="D205" s="671"/>
      <c r="E205" s="671"/>
      <c r="F205" s="671"/>
      <c r="G205" s="671"/>
      <c r="H205" s="671"/>
    </row>
    <row r="206" spans="1:8">
      <c r="A206" s="672" t="s">
        <v>764</v>
      </c>
      <c r="B206" s="671"/>
      <c r="C206" s="671"/>
      <c r="D206" s="671"/>
      <c r="E206" s="671"/>
      <c r="F206" s="671"/>
      <c r="G206" s="671"/>
      <c r="H206" s="671"/>
    </row>
    <row r="207" spans="1:8">
      <c r="A207" s="672" t="s">
        <v>765</v>
      </c>
      <c r="B207" s="671"/>
      <c r="C207" s="671"/>
      <c r="D207" s="671"/>
      <c r="E207" s="671"/>
      <c r="F207" s="671"/>
      <c r="G207" s="671"/>
      <c r="H207" s="671"/>
    </row>
    <row r="208" spans="1:8" ht="15.75">
      <c r="A208" s="673" t="s">
        <v>608</v>
      </c>
      <c r="B208" s="671"/>
      <c r="C208" s="671"/>
      <c r="D208" s="671"/>
      <c r="E208" s="671"/>
      <c r="F208" s="671"/>
      <c r="G208" s="671"/>
      <c r="H208" s="671"/>
    </row>
    <row r="209" spans="1:8">
      <c r="A209" s="671"/>
      <c r="B209" s="671"/>
      <c r="C209" s="671"/>
      <c r="D209" s="671"/>
      <c r="E209" s="671"/>
      <c r="F209" s="671"/>
      <c r="G209" s="671"/>
      <c r="H209" s="671"/>
    </row>
    <row r="210" spans="1:8">
      <c r="A210" s="672" t="s">
        <v>756</v>
      </c>
      <c r="B210" s="671"/>
      <c r="C210" s="671"/>
      <c r="D210" s="671"/>
      <c r="E210" s="671"/>
      <c r="F210" s="671"/>
      <c r="G210" s="671"/>
      <c r="H210" s="671"/>
    </row>
    <row r="211" spans="1:8">
      <c r="A211" s="672" t="s">
        <v>757</v>
      </c>
      <c r="B211" s="671"/>
      <c r="C211" s="671"/>
      <c r="D211" s="671"/>
      <c r="E211" s="671"/>
      <c r="F211" s="671"/>
      <c r="G211" s="671"/>
      <c r="H211" s="671"/>
    </row>
    <row r="212" spans="1:8">
      <c r="A212" s="672" t="s">
        <v>758</v>
      </c>
      <c r="B212" s="671"/>
      <c r="C212" s="671"/>
      <c r="D212" s="671"/>
      <c r="E212" s="671"/>
      <c r="F212" s="671"/>
      <c r="G212" s="671"/>
      <c r="H212" s="671"/>
    </row>
    <row r="213" spans="1:8">
      <c r="A213" s="672" t="s">
        <v>759</v>
      </c>
      <c r="B213" s="671"/>
      <c r="C213" s="671"/>
      <c r="D213" s="671"/>
      <c r="E213" s="671"/>
      <c r="F213" s="671"/>
      <c r="G213" s="671"/>
      <c r="H213" s="671"/>
    </row>
    <row r="214" spans="1:8">
      <c r="A214" s="672" t="s">
        <v>760</v>
      </c>
      <c r="B214" s="671"/>
      <c r="C214" s="671"/>
      <c r="D214" s="671"/>
      <c r="E214" s="671"/>
      <c r="F214" s="671"/>
      <c r="G214" s="671"/>
      <c r="H214" s="671"/>
    </row>
    <row r="215" spans="1:8">
      <c r="A215" s="672" t="s">
        <v>761</v>
      </c>
      <c r="B215" s="671"/>
      <c r="C215" s="671"/>
      <c r="D215" s="671"/>
      <c r="E215" s="671"/>
      <c r="F215" s="671"/>
      <c r="G215" s="671"/>
      <c r="H215" s="671"/>
    </row>
    <row r="216" spans="1:8">
      <c r="A216" s="672" t="s">
        <v>762</v>
      </c>
      <c r="B216" s="671"/>
      <c r="C216" s="671"/>
      <c r="D216" s="671"/>
      <c r="E216" s="671"/>
      <c r="F216" s="671"/>
      <c r="G216" s="671"/>
      <c r="H216" s="671"/>
    </row>
    <row r="217" spans="1:8">
      <c r="A217" s="671"/>
      <c r="B217" s="671"/>
      <c r="C217" s="671"/>
      <c r="D217" s="671"/>
      <c r="E217" s="671"/>
      <c r="F217" s="671"/>
      <c r="G217" s="671"/>
      <c r="H217" s="671"/>
    </row>
    <row r="218" spans="1:8">
      <c r="A218" s="672" t="s">
        <v>753</v>
      </c>
      <c r="B218" s="671"/>
      <c r="C218" s="671"/>
      <c r="D218" s="671"/>
      <c r="E218" s="671"/>
      <c r="F218" s="671"/>
      <c r="G218" s="671"/>
      <c r="H218" s="671"/>
    </row>
    <row r="219" spans="1:8">
      <c r="A219" s="672" t="s">
        <v>754</v>
      </c>
      <c r="B219" s="671"/>
      <c r="C219" s="671"/>
      <c r="D219" s="671"/>
      <c r="E219" s="671"/>
      <c r="F219" s="671"/>
      <c r="G219" s="671"/>
      <c r="H219" s="671"/>
    </row>
    <row r="220" spans="1:8">
      <c r="A220" s="672" t="s">
        <v>755</v>
      </c>
      <c r="B220" s="671"/>
      <c r="C220" s="671"/>
      <c r="D220" s="671"/>
      <c r="E220" s="671"/>
      <c r="F220" s="671"/>
      <c r="G220" s="671"/>
      <c r="H220" s="671"/>
    </row>
    <row r="221" spans="1:8">
      <c r="A221" s="671"/>
      <c r="B221" s="671"/>
      <c r="C221" s="671"/>
      <c r="D221" s="671"/>
      <c r="E221" s="671"/>
      <c r="F221" s="671"/>
      <c r="G221" s="671"/>
      <c r="H221" s="671"/>
    </row>
    <row r="222" spans="1:8">
      <c r="A222" s="672" t="s">
        <v>748</v>
      </c>
      <c r="B222" s="671"/>
      <c r="C222" s="671"/>
      <c r="D222" s="671"/>
      <c r="E222" s="671"/>
      <c r="F222" s="671"/>
      <c r="G222" s="671"/>
      <c r="H222" s="671"/>
    </row>
    <row r="223" spans="1:8">
      <c r="A223" s="672" t="s">
        <v>749</v>
      </c>
      <c r="B223" s="671"/>
      <c r="C223" s="671"/>
      <c r="D223" s="671"/>
      <c r="E223" s="671"/>
      <c r="F223" s="671"/>
      <c r="G223" s="671"/>
      <c r="H223" s="671"/>
    </row>
    <row r="224" spans="1:8">
      <c r="A224" s="672" t="s">
        <v>750</v>
      </c>
      <c r="B224" s="671"/>
      <c r="C224" s="671"/>
      <c r="D224" s="671"/>
      <c r="E224" s="671"/>
      <c r="F224" s="671"/>
      <c r="G224" s="671"/>
      <c r="H224" s="671"/>
    </row>
    <row r="225" spans="1:8">
      <c r="A225" s="672" t="s">
        <v>751</v>
      </c>
      <c r="B225" s="671"/>
      <c r="C225" s="671"/>
      <c r="D225" s="671"/>
      <c r="E225" s="671"/>
      <c r="F225" s="671"/>
      <c r="G225" s="671"/>
      <c r="H225" s="671"/>
    </row>
    <row r="226" spans="1:8">
      <c r="A226" s="672" t="s">
        <v>752</v>
      </c>
      <c r="B226" s="671"/>
      <c r="C226" s="671"/>
      <c r="D226" s="671"/>
      <c r="E226" s="671"/>
      <c r="F226" s="671"/>
      <c r="G226" s="671"/>
      <c r="H226" s="671"/>
    </row>
    <row r="227" spans="1:8">
      <c r="A227" s="671"/>
      <c r="B227" s="671"/>
      <c r="C227" s="671"/>
      <c r="D227" s="671"/>
      <c r="E227" s="671"/>
      <c r="F227" s="671"/>
      <c r="G227" s="671"/>
      <c r="H227" s="671"/>
    </row>
    <row r="228" spans="1:8">
      <c r="A228" s="672" t="s">
        <v>742</v>
      </c>
      <c r="B228" s="671"/>
      <c r="C228" s="671"/>
      <c r="D228" s="671"/>
      <c r="E228" s="671"/>
      <c r="F228" s="671"/>
      <c r="G228" s="671"/>
      <c r="H228" s="671"/>
    </row>
    <row r="229" spans="1:8">
      <c r="A229" s="672" t="s">
        <v>743</v>
      </c>
      <c r="B229" s="671"/>
      <c r="C229" s="671"/>
      <c r="D229" s="671"/>
      <c r="E229" s="671"/>
      <c r="F229" s="671"/>
      <c r="G229" s="671"/>
      <c r="H229" s="671"/>
    </row>
    <row r="230" spans="1:8">
      <c r="A230" s="672" t="s">
        <v>744</v>
      </c>
      <c r="B230" s="671"/>
      <c r="C230" s="671"/>
      <c r="D230" s="671"/>
      <c r="E230" s="671"/>
      <c r="F230" s="671"/>
      <c r="G230" s="671"/>
      <c r="H230" s="671"/>
    </row>
    <row r="231" spans="1:8">
      <c r="A231" s="672" t="s">
        <v>745</v>
      </c>
      <c r="B231" s="671"/>
      <c r="C231" s="671"/>
      <c r="D231" s="671"/>
      <c r="E231" s="671"/>
      <c r="F231" s="671"/>
      <c r="G231" s="671"/>
      <c r="H231" s="671"/>
    </row>
    <row r="232" spans="1:8">
      <c r="A232" s="672" t="s">
        <v>746</v>
      </c>
      <c r="B232" s="671"/>
      <c r="C232" s="671"/>
      <c r="D232" s="671"/>
      <c r="E232" s="671"/>
      <c r="F232" s="671"/>
      <c r="G232" s="671"/>
      <c r="H232" s="671"/>
    </row>
    <row r="233" spans="1:8">
      <c r="A233" s="672" t="s">
        <v>747</v>
      </c>
      <c r="B233" s="671"/>
      <c r="C233" s="671"/>
      <c r="D233" s="671"/>
      <c r="E233" s="671"/>
      <c r="F233" s="671"/>
      <c r="G233" s="671"/>
      <c r="H233" s="671"/>
    </row>
    <row r="234" spans="1:8">
      <c r="A234" s="671"/>
      <c r="B234" s="671"/>
      <c r="C234" s="671"/>
      <c r="D234" s="671"/>
      <c r="E234" s="671"/>
      <c r="F234" s="671"/>
      <c r="G234" s="671"/>
      <c r="H234" s="671"/>
    </row>
    <row r="235" spans="1:8">
      <c r="A235" s="672" t="s">
        <v>732</v>
      </c>
      <c r="B235" s="671"/>
      <c r="C235" s="671"/>
      <c r="D235" s="671"/>
      <c r="E235" s="671"/>
      <c r="F235" s="671"/>
      <c r="G235" s="671"/>
      <c r="H235" s="671"/>
    </row>
    <row r="236" spans="1:8">
      <c r="A236" s="672" t="s">
        <v>733</v>
      </c>
      <c r="B236" s="671"/>
      <c r="C236" s="671"/>
      <c r="D236" s="671"/>
      <c r="E236" s="671"/>
      <c r="F236" s="671"/>
      <c r="G236" s="671"/>
      <c r="H236" s="671"/>
    </row>
    <row r="237" spans="1:8">
      <c r="A237" s="672" t="s">
        <v>734</v>
      </c>
      <c r="B237" s="671"/>
      <c r="C237" s="671"/>
      <c r="D237" s="671"/>
      <c r="E237" s="671"/>
      <c r="F237" s="671"/>
      <c r="G237" s="671"/>
      <c r="H237" s="671"/>
    </row>
    <row r="238" spans="1:8">
      <c r="A238" s="672" t="s">
        <v>735</v>
      </c>
      <c r="B238" s="671"/>
      <c r="C238" s="671"/>
      <c r="D238" s="671"/>
      <c r="E238" s="671"/>
      <c r="F238" s="671"/>
      <c r="G238" s="671"/>
      <c r="H238" s="671"/>
    </row>
    <row r="239" spans="1:8">
      <c r="A239" s="672" t="s">
        <v>736</v>
      </c>
      <c r="B239" s="671"/>
      <c r="C239" s="671"/>
      <c r="D239" s="671"/>
      <c r="E239" s="671"/>
      <c r="F239" s="671"/>
      <c r="G239" s="671"/>
      <c r="H239" s="671"/>
    </row>
    <row r="240" spans="1:8">
      <c r="A240" s="672" t="s">
        <v>737</v>
      </c>
      <c r="B240" s="671"/>
      <c r="C240" s="671"/>
      <c r="D240" s="671"/>
      <c r="E240" s="671"/>
      <c r="F240" s="671"/>
      <c r="G240" s="671"/>
      <c r="H240" s="671"/>
    </row>
    <row r="241" spans="1:8">
      <c r="A241" s="672" t="s">
        <v>738</v>
      </c>
      <c r="B241" s="671"/>
      <c r="C241" s="671"/>
      <c r="D241" s="671"/>
      <c r="E241" s="671"/>
      <c r="F241" s="671"/>
      <c r="G241" s="671"/>
      <c r="H241" s="671"/>
    </row>
    <row r="242" spans="1:8">
      <c r="A242" s="672" t="s">
        <v>739</v>
      </c>
      <c r="B242" s="671"/>
      <c r="C242" s="671"/>
      <c r="D242" s="671"/>
      <c r="E242" s="671"/>
      <c r="F242" s="671"/>
      <c r="G242" s="671"/>
      <c r="H242" s="671"/>
    </row>
    <row r="243" spans="1:8">
      <c r="A243" s="672" t="s">
        <v>740</v>
      </c>
      <c r="B243" s="671"/>
      <c r="C243" s="671"/>
      <c r="D243" s="671"/>
      <c r="E243" s="671"/>
      <c r="F243" s="671"/>
      <c r="G243" s="671"/>
      <c r="H243" s="671"/>
    </row>
    <row r="244" spans="1:8">
      <c r="A244" s="672" t="s">
        <v>741</v>
      </c>
      <c r="B244" s="671"/>
      <c r="C244" s="671"/>
      <c r="D244" s="671"/>
      <c r="E244" s="671"/>
      <c r="F244" s="671"/>
      <c r="G244" s="671"/>
      <c r="H244" s="671"/>
    </row>
    <row r="245" spans="1:8">
      <c r="A245" s="671"/>
      <c r="B245" s="671"/>
      <c r="C245" s="671"/>
      <c r="D245" s="671"/>
      <c r="E245" s="671"/>
      <c r="F245" s="671"/>
      <c r="G245" s="671"/>
      <c r="H245" s="671"/>
    </row>
    <row r="246" spans="1:8">
      <c r="A246" s="672" t="s">
        <v>730</v>
      </c>
      <c r="B246" s="671"/>
      <c r="C246" s="671"/>
      <c r="D246" s="671"/>
      <c r="E246" s="671"/>
      <c r="F246" s="671"/>
      <c r="G246" s="671"/>
      <c r="H246" s="671"/>
    </row>
    <row r="247" spans="1:8">
      <c r="A247" s="672" t="s">
        <v>731</v>
      </c>
      <c r="B247" s="671"/>
      <c r="C247" s="671"/>
      <c r="D247" s="671"/>
      <c r="E247" s="671"/>
      <c r="F247" s="671"/>
      <c r="G247" s="671"/>
      <c r="H247" s="671"/>
    </row>
    <row r="248" spans="1:8">
      <c r="A248" s="671"/>
      <c r="B248" s="671"/>
      <c r="C248" s="671"/>
      <c r="D248" s="671"/>
      <c r="E248" s="671"/>
      <c r="F248" s="671"/>
      <c r="G248" s="671"/>
      <c r="H248" s="671"/>
    </row>
    <row r="249" spans="1:8">
      <c r="A249" s="672" t="s">
        <v>714</v>
      </c>
      <c r="B249" s="671"/>
      <c r="C249" s="671"/>
      <c r="D249" s="671"/>
      <c r="E249" s="671"/>
      <c r="F249" s="671"/>
      <c r="G249" s="671"/>
      <c r="H249" s="671"/>
    </row>
    <row r="250" spans="1:8">
      <c r="A250" s="672" t="s">
        <v>715</v>
      </c>
      <c r="B250" s="671"/>
      <c r="C250" s="671"/>
      <c r="D250" s="671"/>
      <c r="E250" s="671"/>
      <c r="F250" s="671"/>
      <c r="G250" s="671"/>
      <c r="H250" s="671"/>
    </row>
    <row r="251" spans="1:8">
      <c r="A251" s="672" t="s">
        <v>716</v>
      </c>
      <c r="B251" s="671"/>
      <c r="C251" s="671"/>
      <c r="D251" s="671"/>
      <c r="E251" s="671"/>
      <c r="F251" s="671"/>
      <c r="G251" s="671"/>
      <c r="H251" s="671"/>
    </row>
    <row r="252" spans="1:8">
      <c r="A252" s="672" t="s">
        <v>717</v>
      </c>
      <c r="B252" s="671"/>
      <c r="C252" s="671"/>
      <c r="D252" s="671"/>
      <c r="E252" s="671"/>
      <c r="F252" s="671"/>
      <c r="G252" s="671"/>
      <c r="H252" s="671"/>
    </row>
    <row r="253" spans="1:8">
      <c r="A253" s="672" t="s">
        <v>718</v>
      </c>
      <c r="B253" s="671"/>
      <c r="C253" s="671"/>
      <c r="D253" s="671"/>
      <c r="E253" s="671"/>
      <c r="F253" s="671"/>
      <c r="G253" s="671"/>
      <c r="H253" s="671"/>
    </row>
    <row r="254" spans="1:8">
      <c r="A254" s="672" t="s">
        <v>719</v>
      </c>
      <c r="B254" s="671"/>
      <c r="C254" s="671"/>
      <c r="D254" s="671"/>
      <c r="E254" s="671"/>
      <c r="F254" s="671"/>
      <c r="G254" s="671"/>
      <c r="H254" s="671"/>
    </row>
    <row r="255" spans="1:8">
      <c r="A255" s="672" t="s">
        <v>720</v>
      </c>
      <c r="B255" s="671"/>
      <c r="C255" s="671"/>
      <c r="D255" s="671"/>
      <c r="E255" s="671"/>
      <c r="F255" s="671"/>
      <c r="G255" s="671"/>
      <c r="H255" s="671"/>
    </row>
    <row r="256" spans="1:8">
      <c r="A256" s="672" t="s">
        <v>721</v>
      </c>
      <c r="B256" s="671"/>
      <c r="C256" s="671"/>
      <c r="D256" s="671"/>
      <c r="E256" s="671"/>
      <c r="F256" s="671"/>
      <c r="G256" s="671"/>
      <c r="H256" s="671"/>
    </row>
    <row r="257" spans="1:8">
      <c r="A257" s="672" t="s">
        <v>722</v>
      </c>
      <c r="B257" s="671"/>
      <c r="C257" s="671"/>
      <c r="D257" s="671"/>
      <c r="E257" s="671"/>
      <c r="F257" s="671"/>
      <c r="G257" s="671"/>
      <c r="H257" s="671"/>
    </row>
    <row r="258" spans="1:8">
      <c r="A258" s="672" t="s">
        <v>723</v>
      </c>
      <c r="B258" s="671"/>
      <c r="C258" s="671"/>
      <c r="D258" s="671"/>
      <c r="E258" s="671"/>
      <c r="F258" s="671"/>
      <c r="G258" s="671"/>
      <c r="H258" s="671"/>
    </row>
    <row r="259" spans="1:8">
      <c r="A259" s="672" t="s">
        <v>724</v>
      </c>
      <c r="B259" s="671"/>
      <c r="C259" s="671"/>
      <c r="D259" s="671"/>
      <c r="E259" s="671"/>
      <c r="F259" s="671"/>
      <c r="G259" s="671"/>
      <c r="H259" s="671"/>
    </row>
    <row r="260" spans="1:8">
      <c r="A260" s="672" t="s">
        <v>725</v>
      </c>
      <c r="B260" s="671"/>
      <c r="C260" s="671"/>
      <c r="D260" s="671"/>
      <c r="E260" s="671"/>
      <c r="F260" s="671"/>
      <c r="G260" s="671"/>
      <c r="H260" s="671"/>
    </row>
    <row r="261" spans="1:8">
      <c r="A261" s="672" t="s">
        <v>726</v>
      </c>
      <c r="B261" s="671"/>
      <c r="C261" s="671"/>
      <c r="D261" s="671"/>
      <c r="E261" s="671"/>
      <c r="F261" s="671"/>
      <c r="G261" s="671"/>
      <c r="H261" s="671"/>
    </row>
    <row r="262" spans="1:8">
      <c r="A262" s="672" t="s">
        <v>727</v>
      </c>
      <c r="B262" s="671"/>
      <c r="C262" s="671"/>
      <c r="D262" s="671"/>
      <c r="E262" s="671"/>
      <c r="F262" s="671"/>
      <c r="G262" s="671"/>
      <c r="H262" s="671"/>
    </row>
    <row r="263" spans="1:8">
      <c r="A263" s="672" t="s">
        <v>728</v>
      </c>
      <c r="B263" s="671"/>
      <c r="C263" s="671"/>
      <c r="D263" s="671"/>
      <c r="E263" s="671"/>
      <c r="F263" s="671"/>
      <c r="G263" s="671"/>
      <c r="H263" s="671"/>
    </row>
    <row r="264" spans="1:8">
      <c r="A264" s="672" t="s">
        <v>729</v>
      </c>
      <c r="B264" s="671"/>
      <c r="C264" s="671"/>
      <c r="D264" s="671"/>
      <c r="E264" s="671"/>
      <c r="F264" s="671"/>
      <c r="G264" s="671"/>
      <c r="H264" s="671"/>
    </row>
    <row r="265" spans="1:8">
      <c r="A265" s="671"/>
      <c r="B265" s="671"/>
      <c r="C265" s="671"/>
      <c r="D265" s="671"/>
      <c r="E265" s="671"/>
      <c r="F265" s="671"/>
      <c r="G265" s="671"/>
      <c r="H265" s="671"/>
    </row>
    <row r="266" spans="1:8">
      <c r="A266" s="672" t="s">
        <v>707</v>
      </c>
      <c r="B266" s="671"/>
      <c r="C266" s="671"/>
      <c r="D266" s="671"/>
      <c r="E266" s="671"/>
      <c r="F266" s="671"/>
      <c r="G266" s="671"/>
      <c r="H266" s="671"/>
    </row>
    <row r="267" spans="1:8">
      <c r="A267" s="672" t="s">
        <v>708</v>
      </c>
      <c r="B267" s="671"/>
      <c r="C267" s="671"/>
      <c r="D267" s="671"/>
      <c r="E267" s="671"/>
      <c r="F267" s="671"/>
      <c r="G267" s="671"/>
      <c r="H267" s="671"/>
    </row>
    <row r="268" spans="1:8">
      <c r="A268" s="672" t="s">
        <v>709</v>
      </c>
      <c r="B268" s="671"/>
      <c r="C268" s="671"/>
      <c r="D268" s="671"/>
      <c r="E268" s="671"/>
      <c r="F268" s="671"/>
      <c r="G268" s="671"/>
      <c r="H268" s="671"/>
    </row>
    <row r="269" spans="1:8">
      <c r="A269" s="672" t="s">
        <v>710</v>
      </c>
      <c r="B269" s="671"/>
      <c r="C269" s="671"/>
      <c r="D269" s="671"/>
      <c r="E269" s="671"/>
      <c r="F269" s="671"/>
      <c r="G269" s="671"/>
      <c r="H269" s="671"/>
    </row>
    <row r="270" spans="1:8">
      <c r="A270" s="672" t="s">
        <v>711</v>
      </c>
      <c r="B270" s="671"/>
      <c r="C270" s="671"/>
      <c r="D270" s="671"/>
      <c r="E270" s="671"/>
      <c r="F270" s="671"/>
      <c r="G270" s="671"/>
      <c r="H270" s="671"/>
    </row>
    <row r="271" spans="1:8">
      <c r="A271" s="672" t="s">
        <v>712</v>
      </c>
      <c r="B271" s="671"/>
      <c r="C271" s="671"/>
      <c r="D271" s="671"/>
      <c r="E271" s="671"/>
      <c r="F271" s="671"/>
      <c r="G271" s="671"/>
      <c r="H271" s="671"/>
    </row>
    <row r="272" spans="1:8">
      <c r="A272" s="672" t="s">
        <v>713</v>
      </c>
      <c r="B272" s="671"/>
      <c r="C272" s="671"/>
      <c r="D272" s="671"/>
      <c r="E272" s="671"/>
      <c r="F272" s="671"/>
      <c r="G272" s="671"/>
      <c r="H272" s="671"/>
    </row>
    <row r="273" spans="1:8">
      <c r="A273" s="671"/>
      <c r="B273" s="671"/>
      <c r="C273" s="671"/>
      <c r="D273" s="671"/>
      <c r="E273" s="671"/>
      <c r="F273" s="671"/>
      <c r="G273" s="671"/>
      <c r="H273" s="671"/>
    </row>
    <row r="274" spans="1:8">
      <c r="A274" s="672" t="s">
        <v>698</v>
      </c>
      <c r="B274" s="671"/>
      <c r="C274" s="671"/>
      <c r="D274" s="671"/>
      <c r="E274" s="671"/>
      <c r="F274" s="671"/>
      <c r="G274" s="671"/>
      <c r="H274" s="671"/>
    </row>
    <row r="275" spans="1:8">
      <c r="A275" s="672" t="s">
        <v>699</v>
      </c>
      <c r="B275" s="671"/>
      <c r="C275" s="671"/>
      <c r="D275" s="671"/>
      <c r="E275" s="671"/>
      <c r="F275" s="671"/>
      <c r="G275" s="671"/>
      <c r="H275" s="671"/>
    </row>
    <row r="276" spans="1:8">
      <c r="A276" s="672" t="s">
        <v>700</v>
      </c>
      <c r="B276" s="671"/>
      <c r="C276" s="671"/>
      <c r="D276" s="671"/>
      <c r="E276" s="671"/>
      <c r="F276" s="671"/>
      <c r="G276" s="671"/>
      <c r="H276" s="671"/>
    </row>
    <row r="277" spans="1:8">
      <c r="A277" s="672" t="s">
        <v>701</v>
      </c>
      <c r="B277" s="671"/>
      <c r="C277" s="671"/>
      <c r="D277" s="671"/>
      <c r="E277" s="671"/>
      <c r="F277" s="671"/>
      <c r="G277" s="671"/>
      <c r="H277" s="671"/>
    </row>
    <row r="278" spans="1:8">
      <c r="A278" s="672" t="s">
        <v>702</v>
      </c>
      <c r="B278" s="671"/>
      <c r="C278" s="671"/>
      <c r="D278" s="671"/>
      <c r="E278" s="671"/>
      <c r="F278" s="671"/>
      <c r="G278" s="671"/>
      <c r="H278" s="671"/>
    </row>
    <row r="279" spans="1:8">
      <c r="A279" s="672" t="s">
        <v>703</v>
      </c>
      <c r="B279" s="671"/>
      <c r="C279" s="671"/>
      <c r="D279" s="671"/>
      <c r="E279" s="671"/>
      <c r="F279" s="671"/>
      <c r="G279" s="671"/>
      <c r="H279" s="671"/>
    </row>
    <row r="280" spans="1:8">
      <c r="A280" s="672" t="s">
        <v>704</v>
      </c>
      <c r="B280" s="671"/>
      <c r="C280" s="671"/>
      <c r="D280" s="671"/>
      <c r="E280" s="671"/>
      <c r="F280" s="671"/>
      <c r="G280" s="671"/>
      <c r="H280" s="671"/>
    </row>
    <row r="281" spans="1:8">
      <c r="A281" s="672" t="s">
        <v>705</v>
      </c>
      <c r="B281" s="671"/>
      <c r="C281" s="671"/>
      <c r="D281" s="671"/>
      <c r="E281" s="671"/>
      <c r="F281" s="671"/>
      <c r="G281" s="671"/>
      <c r="H281" s="671"/>
    </row>
    <row r="282" spans="1:8">
      <c r="A282" s="672" t="s">
        <v>706</v>
      </c>
      <c r="B282" s="671"/>
      <c r="C282" s="671"/>
      <c r="D282" s="671"/>
      <c r="E282" s="671"/>
      <c r="F282" s="671"/>
      <c r="G282" s="671"/>
      <c r="H282" s="671"/>
    </row>
    <row r="283" spans="1:8">
      <c r="A283" s="671"/>
      <c r="B283" s="671"/>
      <c r="C283" s="671"/>
      <c r="D283" s="671"/>
      <c r="E283" s="671"/>
      <c r="F283" s="671"/>
      <c r="G283" s="671"/>
      <c r="H283" s="671"/>
    </row>
    <row r="284" spans="1:8">
      <c r="A284" s="672" t="s">
        <v>691</v>
      </c>
      <c r="B284" s="671"/>
      <c r="C284" s="671"/>
      <c r="D284" s="671"/>
      <c r="E284" s="671"/>
      <c r="F284" s="671"/>
      <c r="G284" s="671"/>
      <c r="H284" s="671"/>
    </row>
    <row r="285" spans="1:8">
      <c r="A285" s="672" t="s">
        <v>692</v>
      </c>
      <c r="B285" s="671"/>
      <c r="C285" s="671"/>
      <c r="D285" s="671"/>
      <c r="E285" s="671"/>
      <c r="F285" s="671"/>
      <c r="G285" s="671"/>
      <c r="H285" s="671"/>
    </row>
    <row r="286" spans="1:8">
      <c r="A286" s="672" t="s">
        <v>693</v>
      </c>
      <c r="B286" s="671"/>
      <c r="C286" s="671"/>
      <c r="D286" s="671"/>
      <c r="E286" s="671"/>
      <c r="F286" s="671"/>
      <c r="G286" s="671"/>
      <c r="H286" s="671"/>
    </row>
    <row r="287" spans="1:8">
      <c r="A287" s="672" t="s">
        <v>694</v>
      </c>
      <c r="B287" s="671"/>
      <c r="C287" s="671"/>
      <c r="D287" s="671"/>
      <c r="E287" s="671"/>
      <c r="F287" s="671"/>
      <c r="G287" s="671"/>
      <c r="H287" s="671"/>
    </row>
    <row r="288" spans="1:8">
      <c r="A288" s="672" t="s">
        <v>695</v>
      </c>
      <c r="B288" s="671"/>
      <c r="C288" s="671"/>
      <c r="D288" s="671"/>
      <c r="E288" s="671"/>
      <c r="F288" s="671"/>
      <c r="G288" s="671"/>
      <c r="H288" s="671"/>
    </row>
    <row r="289" spans="1:8">
      <c r="A289" s="672" t="s">
        <v>696</v>
      </c>
      <c r="B289" s="671"/>
      <c r="C289" s="671"/>
      <c r="D289" s="671"/>
      <c r="E289" s="671"/>
      <c r="F289" s="671"/>
      <c r="G289" s="671"/>
      <c r="H289" s="671"/>
    </row>
    <row r="290" spans="1:8">
      <c r="A290" s="672" t="s">
        <v>697</v>
      </c>
      <c r="B290" s="671"/>
      <c r="C290" s="671"/>
      <c r="D290" s="671"/>
      <c r="E290" s="671"/>
      <c r="F290" s="671"/>
      <c r="G290" s="671"/>
      <c r="H290" s="671"/>
    </row>
    <row r="291" spans="1:8">
      <c r="A291" s="671"/>
      <c r="B291" s="671"/>
      <c r="C291" s="671"/>
      <c r="D291" s="671"/>
      <c r="E291" s="671"/>
      <c r="F291" s="671"/>
      <c r="G291" s="671"/>
      <c r="H291" s="671"/>
    </row>
    <row r="292" spans="1:8">
      <c r="A292" s="672" t="s">
        <v>688</v>
      </c>
      <c r="B292" s="671"/>
      <c r="C292" s="671"/>
      <c r="D292" s="671"/>
      <c r="E292" s="671"/>
      <c r="F292" s="671"/>
      <c r="G292" s="671"/>
      <c r="H292" s="671"/>
    </row>
    <row r="293" spans="1:8">
      <c r="A293" s="672" t="s">
        <v>689</v>
      </c>
      <c r="B293" s="671"/>
      <c r="C293" s="671"/>
      <c r="D293" s="671"/>
      <c r="E293" s="671"/>
      <c r="F293" s="671"/>
      <c r="G293" s="671"/>
      <c r="H293" s="671"/>
    </row>
    <row r="294" spans="1:8">
      <c r="A294" s="672" t="s">
        <v>690</v>
      </c>
      <c r="B294" s="671"/>
      <c r="C294" s="671"/>
      <c r="D294" s="671"/>
      <c r="E294" s="671"/>
      <c r="F294" s="671"/>
      <c r="G294" s="671"/>
      <c r="H294" s="671"/>
    </row>
    <row r="295" spans="1:8">
      <c r="A295" s="671"/>
      <c r="B295" s="671"/>
      <c r="C295" s="671"/>
      <c r="D295" s="671"/>
      <c r="E295" s="671"/>
      <c r="F295" s="671"/>
      <c r="G295" s="671"/>
      <c r="H295" s="671"/>
    </row>
    <row r="296" spans="1:8">
      <c r="A296" s="672" t="s">
        <v>686</v>
      </c>
      <c r="B296" s="671"/>
      <c r="C296" s="671"/>
      <c r="D296" s="671"/>
      <c r="E296" s="671"/>
      <c r="F296" s="671"/>
      <c r="G296" s="671"/>
      <c r="H296" s="671"/>
    </row>
    <row r="297" spans="1:8">
      <c r="A297" s="672" t="s">
        <v>687</v>
      </c>
      <c r="B297" s="671"/>
      <c r="C297" s="671"/>
      <c r="D297" s="671"/>
      <c r="E297" s="671"/>
      <c r="F297" s="671"/>
      <c r="G297" s="671"/>
      <c r="H297" s="671"/>
    </row>
    <row r="298" spans="1:8">
      <c r="A298" s="671"/>
      <c r="B298" s="671"/>
      <c r="C298" s="671"/>
      <c r="D298" s="671"/>
      <c r="E298" s="671"/>
      <c r="F298" s="671"/>
      <c r="G298" s="671"/>
      <c r="H298" s="671"/>
    </row>
    <row r="299" spans="1:8">
      <c r="A299" s="672" t="s">
        <v>673</v>
      </c>
      <c r="B299" s="671"/>
      <c r="C299" s="671"/>
      <c r="D299" s="671"/>
      <c r="E299" s="671"/>
      <c r="F299" s="671"/>
      <c r="G299" s="671"/>
      <c r="H299" s="671"/>
    </row>
    <row r="300" spans="1:8">
      <c r="A300" s="672" t="s">
        <v>674</v>
      </c>
      <c r="B300" s="671"/>
      <c r="C300" s="671"/>
      <c r="D300" s="671"/>
      <c r="E300" s="671"/>
      <c r="F300" s="671"/>
      <c r="G300" s="671"/>
      <c r="H300" s="671"/>
    </row>
    <row r="301" spans="1:8">
      <c r="A301" s="672" t="s">
        <v>675</v>
      </c>
      <c r="B301" s="671"/>
      <c r="C301" s="671"/>
      <c r="D301" s="671"/>
      <c r="E301" s="671"/>
      <c r="F301" s="671"/>
      <c r="G301" s="671"/>
      <c r="H301" s="671"/>
    </row>
    <row r="302" spans="1:8">
      <c r="A302" s="672" t="s">
        <v>676</v>
      </c>
      <c r="B302" s="671"/>
      <c r="C302" s="671"/>
      <c r="D302" s="671"/>
      <c r="E302" s="671"/>
      <c r="F302" s="671"/>
      <c r="G302" s="671"/>
      <c r="H302" s="671"/>
    </row>
    <row r="303" spans="1:8">
      <c r="A303" s="672" t="s">
        <v>677</v>
      </c>
      <c r="B303" s="671"/>
      <c r="C303" s="671"/>
      <c r="D303" s="671"/>
      <c r="E303" s="671"/>
      <c r="F303" s="671"/>
      <c r="G303" s="671"/>
      <c r="H303" s="671"/>
    </row>
    <row r="304" spans="1:8">
      <c r="A304" s="672" t="s">
        <v>678</v>
      </c>
      <c r="B304" s="671"/>
      <c r="C304" s="671"/>
      <c r="D304" s="671"/>
      <c r="E304" s="671"/>
      <c r="F304" s="671"/>
      <c r="G304" s="671"/>
      <c r="H304" s="671"/>
    </row>
    <row r="305" spans="1:8">
      <c r="A305" s="672" t="s">
        <v>679</v>
      </c>
      <c r="B305" s="671"/>
      <c r="C305" s="671"/>
      <c r="D305" s="671"/>
      <c r="E305" s="671"/>
      <c r="F305" s="671"/>
      <c r="G305" s="671"/>
      <c r="H305" s="671"/>
    </row>
    <row r="306" spans="1:8">
      <c r="A306" s="672" t="s">
        <v>680</v>
      </c>
      <c r="B306" s="671"/>
      <c r="C306" s="671"/>
      <c r="D306" s="671"/>
      <c r="E306" s="671"/>
      <c r="F306" s="671"/>
      <c r="G306" s="671"/>
      <c r="H306" s="671"/>
    </row>
    <row r="307" spans="1:8">
      <c r="A307" s="672" t="s">
        <v>681</v>
      </c>
      <c r="B307" s="671"/>
      <c r="C307" s="671"/>
      <c r="D307" s="671"/>
      <c r="E307" s="671"/>
      <c r="F307" s="671"/>
      <c r="G307" s="671"/>
      <c r="H307" s="671"/>
    </row>
    <row r="308" spans="1:8">
      <c r="A308" s="672" t="s">
        <v>682</v>
      </c>
      <c r="B308" s="671"/>
      <c r="C308" s="671"/>
      <c r="D308" s="671"/>
      <c r="E308" s="671"/>
      <c r="F308" s="671"/>
      <c r="G308" s="671"/>
      <c r="H308" s="671"/>
    </row>
    <row r="309" spans="1:8">
      <c r="A309" s="672" t="s">
        <v>683</v>
      </c>
      <c r="B309" s="671"/>
      <c r="C309" s="671"/>
      <c r="D309" s="671"/>
      <c r="E309" s="671"/>
      <c r="F309" s="671"/>
      <c r="G309" s="671"/>
      <c r="H309" s="671"/>
    </row>
    <row r="310" spans="1:8">
      <c r="A310" s="672" t="s">
        <v>684</v>
      </c>
      <c r="B310" s="671"/>
      <c r="C310" s="671"/>
      <c r="D310" s="671"/>
      <c r="E310" s="671"/>
      <c r="F310" s="671"/>
      <c r="G310" s="671"/>
      <c r="H310" s="671"/>
    </row>
    <row r="311" spans="1:8">
      <c r="A311" s="672" t="s">
        <v>685</v>
      </c>
      <c r="B311" s="671"/>
      <c r="C311" s="671"/>
      <c r="D311" s="671"/>
      <c r="E311" s="671"/>
      <c r="F311" s="671"/>
      <c r="G311" s="671"/>
      <c r="H311" s="671"/>
    </row>
    <row r="312" spans="1:8">
      <c r="A312" s="671"/>
      <c r="B312" s="671"/>
      <c r="C312" s="671"/>
      <c r="D312" s="671"/>
      <c r="E312" s="671"/>
      <c r="F312" s="671"/>
      <c r="G312" s="671"/>
      <c r="H312" s="671"/>
    </row>
    <row r="313" spans="1:8">
      <c r="A313" s="672" t="s">
        <v>665</v>
      </c>
      <c r="B313" s="671"/>
      <c r="C313" s="671"/>
      <c r="D313" s="671"/>
      <c r="E313" s="671"/>
      <c r="F313" s="671"/>
      <c r="G313" s="671"/>
      <c r="H313" s="671"/>
    </row>
    <row r="314" spans="1:8">
      <c r="A314" s="672" t="s">
        <v>666</v>
      </c>
      <c r="B314" s="671"/>
      <c r="C314" s="671"/>
      <c r="D314" s="671"/>
      <c r="E314" s="671"/>
      <c r="F314" s="671"/>
      <c r="G314" s="671"/>
      <c r="H314" s="671"/>
    </row>
    <row r="315" spans="1:8">
      <c r="A315" s="672" t="s">
        <v>667</v>
      </c>
      <c r="B315" s="671"/>
      <c r="C315" s="671"/>
      <c r="D315" s="671"/>
      <c r="E315" s="671"/>
      <c r="F315" s="671"/>
      <c r="G315" s="671"/>
      <c r="H315" s="671"/>
    </row>
    <row r="316" spans="1:8">
      <c r="A316" s="672" t="s">
        <v>668</v>
      </c>
      <c r="B316" s="671"/>
      <c r="C316" s="671"/>
      <c r="D316" s="671"/>
      <c r="E316" s="671"/>
      <c r="F316" s="671"/>
      <c r="G316" s="671"/>
      <c r="H316" s="671"/>
    </row>
    <row r="317" spans="1:8">
      <c r="A317" s="672" t="s">
        <v>669</v>
      </c>
      <c r="B317" s="671"/>
      <c r="C317" s="671"/>
      <c r="D317" s="671"/>
      <c r="E317" s="671"/>
      <c r="F317" s="671"/>
      <c r="G317" s="671"/>
      <c r="H317" s="671"/>
    </row>
    <row r="318" spans="1:8">
      <c r="A318" s="672" t="s">
        <v>670</v>
      </c>
      <c r="B318" s="671"/>
      <c r="C318" s="671"/>
      <c r="D318" s="671"/>
      <c r="E318" s="671"/>
      <c r="F318" s="671"/>
      <c r="G318" s="671"/>
      <c r="H318" s="671"/>
    </row>
    <row r="319" spans="1:8">
      <c r="A319" s="672" t="s">
        <v>671</v>
      </c>
      <c r="B319" s="671"/>
      <c r="C319" s="671"/>
      <c r="D319" s="671"/>
      <c r="E319" s="671"/>
      <c r="F319" s="671"/>
      <c r="G319" s="671"/>
      <c r="H319" s="671"/>
    </row>
    <row r="320" spans="1:8">
      <c r="A320" s="672" t="s">
        <v>672</v>
      </c>
      <c r="B320" s="671"/>
      <c r="C320" s="671"/>
      <c r="D320" s="671"/>
      <c r="E320" s="671"/>
      <c r="F320" s="671"/>
      <c r="G320" s="671"/>
      <c r="H320" s="671"/>
    </row>
    <row r="321" spans="1:8">
      <c r="A321" s="671"/>
      <c r="B321" s="671"/>
      <c r="C321" s="671"/>
      <c r="D321" s="671"/>
      <c r="E321" s="671"/>
      <c r="F321" s="671"/>
      <c r="G321" s="671"/>
      <c r="H321" s="671"/>
    </row>
    <row r="322" spans="1:8">
      <c r="A322" s="672" t="s">
        <v>630</v>
      </c>
      <c r="B322" s="671"/>
      <c r="C322" s="671"/>
      <c r="D322" s="671"/>
      <c r="E322" s="671"/>
      <c r="F322" s="671"/>
      <c r="G322" s="671"/>
      <c r="H322" s="671"/>
    </row>
    <row r="323" spans="1:8">
      <c r="A323" s="672" t="s">
        <v>631</v>
      </c>
      <c r="B323" s="671"/>
      <c r="C323" s="671"/>
      <c r="D323" s="671"/>
      <c r="E323" s="671"/>
      <c r="F323" s="671"/>
      <c r="G323" s="671"/>
      <c r="H323" s="671"/>
    </row>
    <row r="324" spans="1:8">
      <c r="A324" s="672" t="s">
        <v>632</v>
      </c>
      <c r="B324" s="671"/>
      <c r="C324" s="671"/>
      <c r="D324" s="671"/>
      <c r="E324" s="671"/>
      <c r="F324" s="671"/>
      <c r="G324" s="671"/>
      <c r="H324" s="671"/>
    </row>
    <row r="325" spans="1:8">
      <c r="A325" s="672" t="s">
        <v>633</v>
      </c>
      <c r="B325" s="671"/>
      <c r="C325" s="671"/>
      <c r="D325" s="671"/>
      <c r="E325" s="671"/>
      <c r="F325" s="671"/>
      <c r="G325" s="671"/>
      <c r="H325" s="671"/>
    </row>
    <row r="326" spans="1:8">
      <c r="A326" s="672" t="s">
        <v>634</v>
      </c>
      <c r="B326" s="671"/>
      <c r="C326" s="671"/>
      <c r="D326" s="671"/>
      <c r="E326" s="671"/>
      <c r="F326" s="671"/>
      <c r="G326" s="671"/>
      <c r="H326" s="671"/>
    </row>
    <row r="327" spans="1:8">
      <c r="A327" s="672" t="s">
        <v>635</v>
      </c>
      <c r="B327" s="671"/>
      <c r="C327" s="671"/>
      <c r="D327" s="671"/>
      <c r="E327" s="671"/>
      <c r="F327" s="671"/>
      <c r="G327" s="671"/>
      <c r="H327" s="671"/>
    </row>
    <row r="328" spans="1:8">
      <c r="A328" s="672" t="s">
        <v>636</v>
      </c>
      <c r="B328" s="671"/>
      <c r="C328" s="671"/>
      <c r="D328" s="671"/>
      <c r="E328" s="671"/>
      <c r="F328" s="671"/>
      <c r="G328" s="671"/>
      <c r="H328" s="671"/>
    </row>
    <row r="329" spans="1:8">
      <c r="A329" s="672" t="s">
        <v>637</v>
      </c>
      <c r="B329" s="671"/>
      <c r="C329" s="671"/>
      <c r="D329" s="671"/>
      <c r="E329" s="671"/>
      <c r="F329" s="671"/>
      <c r="G329" s="671"/>
      <c r="H329" s="671"/>
    </row>
    <row r="330" spans="1:8">
      <c r="A330" s="672" t="s">
        <v>638</v>
      </c>
      <c r="B330" s="671"/>
      <c r="C330" s="671"/>
      <c r="D330" s="671"/>
      <c r="E330" s="671"/>
      <c r="F330" s="671"/>
      <c r="G330" s="671"/>
      <c r="H330" s="671"/>
    </row>
    <row r="331" spans="1:8">
      <c r="A331" s="672" t="s">
        <v>639</v>
      </c>
      <c r="B331" s="671"/>
      <c r="C331" s="671"/>
      <c r="D331" s="671"/>
      <c r="E331" s="671"/>
      <c r="F331" s="671"/>
      <c r="G331" s="671"/>
      <c r="H331" s="671"/>
    </row>
    <row r="332" spans="1:8">
      <c r="A332" s="672" t="s">
        <v>640</v>
      </c>
      <c r="B332" s="671"/>
      <c r="C332" s="671"/>
      <c r="D332" s="671"/>
      <c r="E332" s="671"/>
      <c r="F332" s="671"/>
      <c r="G332" s="671"/>
      <c r="H332" s="671"/>
    </row>
    <row r="333" spans="1:8">
      <c r="A333" s="672" t="s">
        <v>641</v>
      </c>
      <c r="B333" s="671"/>
      <c r="C333" s="671"/>
      <c r="D333" s="671"/>
      <c r="E333" s="671"/>
      <c r="F333" s="671"/>
      <c r="G333" s="671"/>
      <c r="H333" s="671"/>
    </row>
    <row r="334" spans="1:8">
      <c r="A334" s="672" t="s">
        <v>642</v>
      </c>
      <c r="B334" s="671"/>
      <c r="C334" s="671"/>
      <c r="D334" s="671"/>
      <c r="E334" s="671"/>
      <c r="F334" s="671"/>
      <c r="G334" s="671"/>
      <c r="H334" s="671"/>
    </row>
    <row r="335" spans="1:8">
      <c r="A335" s="672" t="s">
        <v>643</v>
      </c>
      <c r="B335" s="671"/>
      <c r="C335" s="671"/>
      <c r="D335" s="671"/>
      <c r="E335" s="671"/>
      <c r="F335" s="671"/>
      <c r="G335" s="671"/>
      <c r="H335" s="671"/>
    </row>
    <row r="336" spans="1:8">
      <c r="A336" s="672" t="s">
        <v>644</v>
      </c>
      <c r="B336" s="671"/>
      <c r="C336" s="671"/>
      <c r="D336" s="671"/>
      <c r="E336" s="671"/>
      <c r="F336" s="671"/>
      <c r="G336" s="671"/>
      <c r="H336" s="671"/>
    </row>
    <row r="337" spans="1:8">
      <c r="A337" s="672" t="s">
        <v>645</v>
      </c>
      <c r="B337" s="671"/>
      <c r="C337" s="671"/>
      <c r="D337" s="671"/>
      <c r="E337" s="671"/>
      <c r="F337" s="671"/>
      <c r="G337" s="671"/>
      <c r="H337" s="671"/>
    </row>
    <row r="338" spans="1:8">
      <c r="A338" s="672" t="s">
        <v>646</v>
      </c>
      <c r="B338" s="671"/>
      <c r="C338" s="671"/>
      <c r="D338" s="671"/>
      <c r="E338" s="671"/>
      <c r="F338" s="671"/>
      <c r="G338" s="671"/>
      <c r="H338" s="671"/>
    </row>
    <row r="339" spans="1:8">
      <c r="A339" s="672" t="s">
        <v>647</v>
      </c>
      <c r="B339" s="671"/>
      <c r="C339" s="671"/>
      <c r="D339" s="671"/>
      <c r="E339" s="671"/>
      <c r="F339" s="671"/>
      <c r="G339" s="671"/>
      <c r="H339" s="671"/>
    </row>
    <row r="340" spans="1:8">
      <c r="A340" s="672" t="s">
        <v>648</v>
      </c>
      <c r="B340" s="671"/>
      <c r="C340" s="671"/>
      <c r="D340" s="671"/>
      <c r="E340" s="671"/>
      <c r="F340" s="671"/>
      <c r="G340" s="671"/>
      <c r="H340" s="671"/>
    </row>
    <row r="341" spans="1:8">
      <c r="A341" s="672" t="s">
        <v>649</v>
      </c>
      <c r="B341" s="671"/>
      <c r="C341" s="671"/>
      <c r="D341" s="671"/>
      <c r="E341" s="671"/>
      <c r="F341" s="671"/>
      <c r="G341" s="671"/>
      <c r="H341" s="671"/>
    </row>
    <row r="342" spans="1:8">
      <c r="A342" s="672" t="s">
        <v>650</v>
      </c>
      <c r="B342" s="671"/>
      <c r="C342" s="671"/>
      <c r="D342" s="671"/>
      <c r="E342" s="671"/>
      <c r="F342" s="671"/>
      <c r="G342" s="671"/>
      <c r="H342" s="671"/>
    </row>
    <row r="343" spans="1:8">
      <c r="A343" s="672" t="s">
        <v>651</v>
      </c>
      <c r="B343" s="671"/>
      <c r="C343" s="671"/>
      <c r="D343" s="671"/>
      <c r="E343" s="671"/>
      <c r="F343" s="671"/>
      <c r="G343" s="671"/>
      <c r="H343" s="671"/>
    </row>
    <row r="344" spans="1:8">
      <c r="A344" s="672" t="s">
        <v>652</v>
      </c>
      <c r="B344" s="671"/>
      <c r="C344" s="671"/>
      <c r="D344" s="671"/>
      <c r="E344" s="671"/>
      <c r="F344" s="671"/>
      <c r="G344" s="671"/>
      <c r="H344" s="671"/>
    </row>
    <row r="345" spans="1:8">
      <c r="A345" s="672" t="s">
        <v>653</v>
      </c>
      <c r="B345" s="671"/>
      <c r="C345" s="671"/>
      <c r="D345" s="671"/>
      <c r="E345" s="671"/>
      <c r="F345" s="671"/>
      <c r="G345" s="671"/>
      <c r="H345" s="671"/>
    </row>
    <row r="346" spans="1:8">
      <c r="A346" s="672" t="s">
        <v>654</v>
      </c>
      <c r="B346" s="671"/>
      <c r="C346" s="671"/>
      <c r="D346" s="671"/>
      <c r="E346" s="671"/>
      <c r="F346" s="671"/>
      <c r="G346" s="671"/>
      <c r="H346" s="671"/>
    </row>
    <row r="347" spans="1:8">
      <c r="A347" s="672" t="s">
        <v>655</v>
      </c>
      <c r="B347" s="671"/>
      <c r="C347" s="671"/>
      <c r="D347" s="671"/>
      <c r="E347" s="671"/>
      <c r="F347" s="671"/>
      <c r="G347" s="671"/>
      <c r="H347" s="671"/>
    </row>
    <row r="348" spans="1:8">
      <c r="A348" s="672" t="s">
        <v>656</v>
      </c>
      <c r="B348" s="671"/>
      <c r="C348" s="671"/>
      <c r="D348" s="671"/>
      <c r="E348" s="671"/>
      <c r="F348" s="671"/>
      <c r="G348" s="671"/>
      <c r="H348" s="671"/>
    </row>
    <row r="349" spans="1:8">
      <c r="A349" s="672" t="s">
        <v>657</v>
      </c>
      <c r="B349" s="671"/>
      <c r="C349" s="671"/>
      <c r="D349" s="671"/>
      <c r="E349" s="671"/>
      <c r="F349" s="671"/>
      <c r="G349" s="671"/>
      <c r="H349" s="671"/>
    </row>
    <row r="350" spans="1:8">
      <c r="A350" s="672" t="s">
        <v>658</v>
      </c>
      <c r="B350" s="671"/>
      <c r="C350" s="671"/>
      <c r="D350" s="671"/>
      <c r="E350" s="671"/>
      <c r="F350" s="671"/>
      <c r="G350" s="671"/>
      <c r="H350" s="671"/>
    </row>
    <row r="351" spans="1:8">
      <c r="A351" s="672" t="s">
        <v>659</v>
      </c>
      <c r="B351" s="671"/>
      <c r="C351" s="671"/>
      <c r="D351" s="671"/>
      <c r="E351" s="671"/>
      <c r="F351" s="671"/>
      <c r="G351" s="671"/>
      <c r="H351" s="671"/>
    </row>
    <row r="352" spans="1:8">
      <c r="A352" s="672" t="s">
        <v>660</v>
      </c>
      <c r="B352" s="671"/>
      <c r="C352" s="671"/>
      <c r="D352" s="671"/>
      <c r="E352" s="671"/>
      <c r="F352" s="671"/>
      <c r="G352" s="671"/>
      <c r="H352" s="671"/>
    </row>
    <row r="353" spans="1:8">
      <c r="A353" s="672" t="s">
        <v>661</v>
      </c>
      <c r="B353" s="671"/>
      <c r="C353" s="671"/>
      <c r="D353" s="671"/>
      <c r="E353" s="671"/>
      <c r="F353" s="671"/>
      <c r="G353" s="671"/>
      <c r="H353" s="671"/>
    </row>
    <row r="354" spans="1:8">
      <c r="A354" s="672" t="s">
        <v>662</v>
      </c>
      <c r="B354" s="671"/>
      <c r="C354" s="671"/>
      <c r="D354" s="671"/>
      <c r="E354" s="671"/>
      <c r="F354" s="671"/>
      <c r="G354" s="671"/>
      <c r="H354" s="671"/>
    </row>
    <row r="355" spans="1:8">
      <c r="A355" s="672" t="s">
        <v>663</v>
      </c>
      <c r="B355" s="671"/>
      <c r="C355" s="671"/>
      <c r="D355" s="671"/>
      <c r="E355" s="671"/>
      <c r="F355" s="671"/>
      <c r="G355" s="671"/>
      <c r="H355" s="671"/>
    </row>
    <row r="356" spans="1:8">
      <c r="A356" s="672" t="s">
        <v>664</v>
      </c>
      <c r="B356" s="671"/>
      <c r="C356" s="671"/>
      <c r="D356" s="671"/>
      <c r="E356" s="671"/>
      <c r="F356" s="671"/>
      <c r="G356" s="671"/>
      <c r="H356" s="671"/>
    </row>
    <row r="357" spans="1:8">
      <c r="A357" s="671"/>
      <c r="B357" s="671"/>
      <c r="C357" s="671"/>
      <c r="D357" s="671"/>
      <c r="E357" s="671"/>
      <c r="F357" s="671"/>
      <c r="G357" s="671"/>
      <c r="H357" s="671"/>
    </row>
    <row r="358" spans="1:8">
      <c r="A358" s="672" t="s">
        <v>622</v>
      </c>
      <c r="B358" s="671"/>
      <c r="C358" s="671"/>
      <c r="D358" s="671"/>
      <c r="E358" s="671"/>
      <c r="F358" s="671"/>
      <c r="G358" s="671"/>
      <c r="H358" s="671"/>
    </row>
    <row r="359" spans="1:8">
      <c r="A359" s="672" t="s">
        <v>626</v>
      </c>
      <c r="B359" s="671"/>
      <c r="C359" s="671"/>
      <c r="D359" s="671"/>
      <c r="E359" s="671"/>
      <c r="F359" s="671"/>
      <c r="G359" s="671"/>
      <c r="H359" s="671"/>
    </row>
    <row r="360" spans="1:8">
      <c r="A360" s="672" t="s">
        <v>627</v>
      </c>
      <c r="B360" s="671"/>
      <c r="C360" s="671"/>
      <c r="D360" s="671"/>
      <c r="E360" s="671"/>
      <c r="F360" s="671"/>
      <c r="G360" s="671"/>
      <c r="H360" s="671"/>
    </row>
    <row r="361" spans="1:8">
      <c r="A361" s="672" t="s">
        <v>628</v>
      </c>
      <c r="B361" s="671"/>
      <c r="C361" s="671"/>
      <c r="D361" s="671"/>
      <c r="E361" s="671"/>
      <c r="F361" s="671"/>
      <c r="G361" s="671"/>
      <c r="H361" s="671"/>
    </row>
    <row r="362" spans="1:8">
      <c r="A362" s="672" t="s">
        <v>629</v>
      </c>
      <c r="B362" s="671"/>
      <c r="C362" s="671"/>
      <c r="D362" s="671"/>
      <c r="E362" s="671"/>
      <c r="F362" s="671"/>
      <c r="G362" s="671"/>
      <c r="H362" s="671"/>
    </row>
    <row r="363" spans="1:8">
      <c r="A363" s="671"/>
      <c r="B363" s="671"/>
      <c r="C363" s="671"/>
      <c r="D363" s="671"/>
      <c r="E363" s="671"/>
      <c r="F363" s="671"/>
      <c r="G363" s="671"/>
      <c r="H363" s="671"/>
    </row>
    <row r="364" spans="1:8">
      <c r="A364" s="672" t="s">
        <v>622</v>
      </c>
      <c r="B364" s="671"/>
      <c r="C364" s="671"/>
      <c r="D364" s="671"/>
      <c r="E364" s="671"/>
      <c r="F364" s="671"/>
      <c r="G364" s="671"/>
      <c r="H364" s="671"/>
    </row>
    <row r="365" spans="1:8">
      <c r="A365" s="672" t="s">
        <v>623</v>
      </c>
      <c r="B365" s="671"/>
      <c r="C365" s="671"/>
      <c r="D365" s="671"/>
      <c r="E365" s="671"/>
      <c r="F365" s="671"/>
      <c r="G365" s="671"/>
      <c r="H365" s="671"/>
    </row>
    <row r="366" spans="1:8">
      <c r="A366" s="672" t="s">
        <v>624</v>
      </c>
      <c r="B366" s="671"/>
      <c r="C366" s="671"/>
      <c r="D366" s="671"/>
      <c r="E366" s="671"/>
      <c r="F366" s="671"/>
      <c r="G366" s="671"/>
      <c r="H366" s="671"/>
    </row>
    <row r="367" spans="1:8">
      <c r="A367" s="672" t="s">
        <v>625</v>
      </c>
      <c r="B367" s="671"/>
      <c r="C367" s="671"/>
      <c r="D367" s="671"/>
      <c r="E367" s="671"/>
      <c r="F367" s="671"/>
      <c r="G367" s="671"/>
      <c r="H367" s="671"/>
    </row>
    <row r="368" spans="1:8">
      <c r="A368" s="671"/>
      <c r="B368" s="671"/>
      <c r="C368" s="671"/>
      <c r="D368" s="671"/>
      <c r="E368" s="671"/>
      <c r="F368" s="671"/>
      <c r="G368" s="671"/>
      <c r="H368" s="671"/>
    </row>
    <row r="369" spans="1:8">
      <c r="A369" s="672" t="s">
        <v>616</v>
      </c>
      <c r="B369" s="671"/>
      <c r="C369" s="671"/>
      <c r="D369" s="671"/>
      <c r="E369" s="671"/>
      <c r="F369" s="671"/>
      <c r="G369" s="671"/>
      <c r="H369" s="671"/>
    </row>
    <row r="370" spans="1:8">
      <c r="A370" s="672" t="s">
        <v>617</v>
      </c>
      <c r="B370" s="671"/>
      <c r="C370" s="671"/>
      <c r="D370" s="671"/>
      <c r="E370" s="671"/>
      <c r="F370" s="671"/>
      <c r="G370" s="671"/>
      <c r="H370" s="671"/>
    </row>
    <row r="371" spans="1:8">
      <c r="A371" s="672" t="s">
        <v>618</v>
      </c>
      <c r="B371" s="671"/>
      <c r="C371" s="671"/>
      <c r="D371" s="671"/>
      <c r="E371" s="671"/>
      <c r="F371" s="671"/>
      <c r="G371" s="671"/>
      <c r="H371" s="671"/>
    </row>
    <row r="372" spans="1:8">
      <c r="A372" s="672" t="s">
        <v>619</v>
      </c>
      <c r="B372" s="671"/>
      <c r="C372" s="671"/>
      <c r="D372" s="671"/>
      <c r="E372" s="671"/>
      <c r="F372" s="671"/>
      <c r="G372" s="671"/>
      <c r="H372" s="671"/>
    </row>
    <row r="373" spans="1:8">
      <c r="A373" s="672" t="s">
        <v>620</v>
      </c>
      <c r="B373" s="671"/>
      <c r="C373" s="671"/>
      <c r="D373" s="671"/>
      <c r="E373" s="671"/>
      <c r="F373" s="671"/>
      <c r="G373" s="671"/>
      <c r="H373" s="671"/>
    </row>
    <row r="374" spans="1:8">
      <c r="A374" s="672" t="s">
        <v>621</v>
      </c>
      <c r="B374" s="671"/>
      <c r="C374" s="671"/>
      <c r="D374" s="671"/>
      <c r="E374" s="671"/>
      <c r="F374" s="671"/>
      <c r="G374" s="671"/>
      <c r="H374" s="671"/>
    </row>
    <row r="375" spans="1:8">
      <c r="A375" s="671"/>
      <c r="B375" s="671"/>
      <c r="C375" s="671"/>
      <c r="D375" s="671"/>
      <c r="E375" s="671"/>
      <c r="F375" s="671"/>
      <c r="G375" s="671"/>
      <c r="H375" s="671"/>
    </row>
    <row r="376" spans="1:8">
      <c r="A376" s="672" t="s">
        <v>611</v>
      </c>
      <c r="B376" s="671"/>
      <c r="C376" s="671"/>
      <c r="D376" s="671"/>
      <c r="E376" s="671"/>
      <c r="F376" s="671"/>
      <c r="G376" s="671"/>
      <c r="H376" s="671"/>
    </row>
    <row r="377" spans="1:8">
      <c r="A377" s="672" t="s">
        <v>612</v>
      </c>
      <c r="B377" s="671"/>
      <c r="C377" s="671"/>
      <c r="D377" s="671"/>
      <c r="E377" s="671"/>
      <c r="F377" s="671"/>
      <c r="G377" s="671"/>
      <c r="H377" s="671"/>
    </row>
    <row r="378" spans="1:8">
      <c r="A378" s="672" t="s">
        <v>613</v>
      </c>
      <c r="B378" s="671"/>
      <c r="C378" s="671"/>
      <c r="D378" s="671"/>
      <c r="E378" s="671"/>
      <c r="F378" s="671"/>
      <c r="G378" s="671"/>
      <c r="H378" s="671"/>
    </row>
    <row r="379" spans="1:8">
      <c r="A379" s="672" t="s">
        <v>614</v>
      </c>
      <c r="B379" s="671"/>
      <c r="C379" s="671"/>
      <c r="D379" s="671"/>
      <c r="E379" s="671"/>
      <c r="F379" s="671"/>
      <c r="G379" s="671"/>
      <c r="H379" s="671"/>
    </row>
    <row r="380" spans="1:8">
      <c r="A380" s="672" t="s">
        <v>615</v>
      </c>
      <c r="B380" s="671"/>
      <c r="C380" s="671"/>
      <c r="D380" s="671"/>
      <c r="E380" s="671"/>
      <c r="F380" s="671"/>
      <c r="G380" s="671"/>
      <c r="H380" s="671"/>
    </row>
    <row r="381" spans="1:8">
      <c r="A381" s="671"/>
      <c r="B381" s="671"/>
      <c r="C381" s="671"/>
      <c r="D381" s="671"/>
      <c r="E381" s="671"/>
      <c r="F381" s="671"/>
      <c r="G381" s="671"/>
      <c r="H381" s="671"/>
    </row>
    <row r="382" spans="1:8">
      <c r="A382" s="672" t="s">
        <v>609</v>
      </c>
      <c r="B382" s="671"/>
      <c r="C382" s="671"/>
      <c r="D382" s="671"/>
      <c r="E382" s="671"/>
      <c r="F382" s="671"/>
      <c r="G382" s="671"/>
      <c r="H382" s="671"/>
    </row>
    <row r="383" spans="1:8">
      <c r="A383" s="672" t="s">
        <v>610</v>
      </c>
      <c r="B383" s="671"/>
      <c r="C383" s="671"/>
      <c r="D383" s="671"/>
      <c r="E383" s="671"/>
      <c r="F383" s="671"/>
      <c r="G383" s="671"/>
      <c r="H383" s="671"/>
    </row>
    <row r="385" spans="1:1">
      <c r="A385" s="667" t="s">
        <v>861</v>
      </c>
    </row>
  </sheetData>
  <mergeCells count="12">
    <mergeCell ref="A126:H126"/>
    <mergeCell ref="A127:H127"/>
    <mergeCell ref="B119:C119"/>
    <mergeCell ref="D119:F119"/>
    <mergeCell ref="G119:H119"/>
    <mergeCell ref="A105:H105"/>
    <mergeCell ref="A106:H106"/>
    <mergeCell ref="A107:H107"/>
    <mergeCell ref="A108:H108"/>
    <mergeCell ref="A110:H110"/>
    <mergeCell ref="A111:H111"/>
    <mergeCell ref="A118:H11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W58"/>
  <sheetViews>
    <sheetView workbookViewId="0">
      <selection activeCell="Q38" sqref="Q38"/>
    </sheetView>
  </sheetViews>
  <sheetFormatPr defaultRowHeight="12.75" outlineLevelRow="1"/>
  <cols>
    <col min="1" max="1" width="4" style="70" customWidth="1"/>
    <col min="2" max="2" width="31.140625" style="70" bestFit="1" customWidth="1"/>
    <col min="3" max="3" width="10.140625" style="70" bestFit="1" customWidth="1"/>
    <col min="4" max="4" width="9.140625" style="70" hidden="1" customWidth="1"/>
    <col min="5" max="20" width="9.140625" style="70"/>
    <col min="21" max="21" width="9.7109375" style="70" customWidth="1"/>
    <col min="22" max="257" width="9.140625" style="70"/>
    <col min="258" max="16384" width="9.140625" style="68"/>
  </cols>
  <sheetData>
    <row r="1" spans="1:257">
      <c r="A1" s="69"/>
      <c r="B1" s="69"/>
    </row>
    <row r="2" spans="1:257">
      <c r="A2" s="71"/>
      <c r="B2" s="71"/>
    </row>
    <row r="3" spans="1:257">
      <c r="A3" s="71"/>
      <c r="B3" s="71"/>
    </row>
    <row r="4" spans="1:257">
      <c r="A4" s="71"/>
      <c r="B4" s="663" t="s">
        <v>30</v>
      </c>
      <c r="C4" s="448"/>
      <c r="D4" s="449"/>
      <c r="E4" s="449"/>
      <c r="F4" s="449"/>
      <c r="G4" s="449"/>
      <c r="H4" s="450"/>
      <c r="I4" s="450"/>
      <c r="J4" s="450"/>
      <c r="K4" s="449"/>
      <c r="L4" s="449"/>
      <c r="M4" s="449"/>
      <c r="N4" s="450"/>
      <c r="O4" s="449"/>
      <c r="P4" s="449"/>
      <c r="Q4" s="449"/>
      <c r="R4" s="449"/>
      <c r="S4" s="449"/>
      <c r="T4" s="449"/>
      <c r="U4" s="451" t="s">
        <v>206</v>
      </c>
    </row>
    <row r="5" spans="1:257">
      <c r="A5" s="71"/>
      <c r="B5" s="664"/>
      <c r="C5" s="452"/>
      <c r="D5" s="453">
        <v>2016</v>
      </c>
      <c r="E5" s="453">
        <v>2018</v>
      </c>
      <c r="F5" s="453">
        <f t="shared" ref="F5:O5" si="0">E5+1</f>
        <v>2019</v>
      </c>
      <c r="G5" s="453">
        <f t="shared" si="0"/>
        <v>2020</v>
      </c>
      <c r="H5" s="453">
        <f t="shared" si="0"/>
        <v>2021</v>
      </c>
      <c r="I5" s="453">
        <f t="shared" si="0"/>
        <v>2022</v>
      </c>
      <c r="J5" s="453">
        <f t="shared" si="0"/>
        <v>2023</v>
      </c>
      <c r="K5" s="453">
        <f t="shared" si="0"/>
        <v>2024</v>
      </c>
      <c r="L5" s="453">
        <f t="shared" si="0"/>
        <v>2025</v>
      </c>
      <c r="M5" s="453">
        <f t="shared" si="0"/>
        <v>2026</v>
      </c>
      <c r="N5" s="453">
        <f t="shared" si="0"/>
        <v>2027</v>
      </c>
      <c r="O5" s="453">
        <f t="shared" si="0"/>
        <v>2028</v>
      </c>
      <c r="P5" s="453">
        <f t="shared" ref="P5" si="1">O5+1</f>
        <v>2029</v>
      </c>
      <c r="Q5" s="453">
        <f t="shared" ref="Q5" si="2">P5+1</f>
        <v>2030</v>
      </c>
      <c r="R5" s="453">
        <f t="shared" ref="R5" si="3">Q5+1</f>
        <v>2031</v>
      </c>
      <c r="S5" s="453">
        <f t="shared" ref="S5" si="4">R5+1</f>
        <v>2032</v>
      </c>
      <c r="T5" s="453">
        <f t="shared" ref="T5" si="5">S5+1</f>
        <v>2033</v>
      </c>
      <c r="U5" s="453">
        <v>2034</v>
      </c>
    </row>
    <row r="6" spans="1:257">
      <c r="A6" s="71"/>
      <c r="B6" s="454" t="s">
        <v>207</v>
      </c>
      <c r="C6" s="455"/>
      <c r="D6" s="456">
        <f>IS!AA34</f>
        <v>-424.58699999999993</v>
      </c>
      <c r="E6" s="456">
        <f>IS!AK34</f>
        <v>-584.44600174495054</v>
      </c>
      <c r="F6" s="456">
        <f>IS!AP34</f>
        <v>-375.53952195248417</v>
      </c>
      <c r="G6" s="456">
        <f>IS!AU34</f>
        <v>-58.202941764363231</v>
      </c>
      <c r="H6" s="456">
        <f>IS!AZ34</f>
        <v>327.46394475448318</v>
      </c>
      <c r="I6" s="456">
        <f>IS!BE34</f>
        <v>702.24651268687035</v>
      </c>
      <c r="J6" s="456">
        <f>IS!BJ34</f>
        <v>1045.0397333726728</v>
      </c>
      <c r="K6" s="456">
        <f>IS!BO34</f>
        <v>1342.447986706409</v>
      </c>
      <c r="L6" s="456">
        <f>IS!BT34</f>
        <v>1623.26615180613</v>
      </c>
      <c r="M6" s="456">
        <f>IS!BY34</f>
        <v>1881.3924680715706</v>
      </c>
      <c r="N6" s="456">
        <f>IS!CD34</f>
        <v>2113.2822155940539</v>
      </c>
      <c r="O6" s="456">
        <f>IS!CI34</f>
        <v>2320.7497863696603</v>
      </c>
      <c r="P6" s="456">
        <f>IS!CN34</f>
        <v>2505.9592704556276</v>
      </c>
      <c r="Q6" s="456">
        <f>IS!CS34</f>
        <v>2669.5056231271083</v>
      </c>
      <c r="R6" s="456">
        <f t="shared" ref="R6:T6" si="6">Q6*(1+R7)</f>
        <v>2803.6829126806533</v>
      </c>
      <c r="S6" s="456">
        <f t="shared" si="6"/>
        <v>2902.5491080509096</v>
      </c>
      <c r="T6" s="456">
        <f t="shared" si="6"/>
        <v>2961.3633827966873</v>
      </c>
      <c r="U6" s="457"/>
    </row>
    <row r="7" spans="1:257">
      <c r="A7" s="71"/>
      <c r="B7" s="458" t="s">
        <v>208</v>
      </c>
      <c r="C7" s="455"/>
      <c r="D7" s="238"/>
      <c r="E7" s="238"/>
      <c r="F7" s="238" t="str">
        <f>IF(E6&lt;0,"NM",F6/E6-1)</f>
        <v>NM</v>
      </c>
      <c r="G7" s="238" t="str">
        <f>IF(F6&lt;0,"NM",G6/F6-1)</f>
        <v>NM</v>
      </c>
      <c r="H7" s="238" t="str">
        <f>IF(G6&lt;0,"NM",H6/G6-1)</f>
        <v>NM</v>
      </c>
      <c r="I7" s="238">
        <f t="shared" ref="I7:J7" si="7">I6/H6-1</f>
        <v>1.144500253954313</v>
      </c>
      <c r="J7" s="238">
        <f t="shared" si="7"/>
        <v>0.48813801776564025</v>
      </c>
      <c r="K7" s="238">
        <f t="shared" ref="K7" si="8">K6/J6-1</f>
        <v>0.28459037856283786</v>
      </c>
      <c r="L7" s="238">
        <f t="shared" ref="L7:Q7" si="9">L6/K6-1</f>
        <v>0.20918364650289822</v>
      </c>
      <c r="M7" s="238">
        <f t="shared" si="9"/>
        <v>0.15901663197882621</v>
      </c>
      <c r="N7" s="238">
        <f t="shared" si="9"/>
        <v>0.12325431905240403</v>
      </c>
      <c r="O7" s="238">
        <f t="shared" si="9"/>
        <v>9.8173149447191133E-2</v>
      </c>
      <c r="P7" s="238">
        <f t="shared" si="9"/>
        <v>7.9805882208305423E-2</v>
      </c>
      <c r="Q7" s="238">
        <f t="shared" si="9"/>
        <v>6.5262973185412188E-2</v>
      </c>
      <c r="R7" s="238">
        <f>Q7-0.015</f>
        <v>5.0262973185412188E-2</v>
      </c>
      <c r="S7" s="238">
        <f>R7-0.015</f>
        <v>3.5262973185412189E-2</v>
      </c>
      <c r="T7" s="238">
        <f>S7-0.015</f>
        <v>2.0262973185412189E-2</v>
      </c>
      <c r="U7" s="459"/>
    </row>
    <row r="8" spans="1:257">
      <c r="A8" s="71"/>
      <c r="B8" s="458"/>
      <c r="C8" s="455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460"/>
      <c r="S8" s="460"/>
      <c r="T8" s="460"/>
      <c r="U8" s="459"/>
    </row>
    <row r="9" spans="1:257">
      <c r="A9" s="71"/>
      <c r="B9" s="454" t="s">
        <v>209</v>
      </c>
      <c r="C9" s="455"/>
      <c r="D9" s="456"/>
      <c r="E9" s="456"/>
      <c r="F9" s="456"/>
      <c r="G9" s="456"/>
      <c r="H9" s="456"/>
      <c r="I9" s="456">
        <f>IS!BE40</f>
        <v>0</v>
      </c>
      <c r="J9" s="456">
        <f>IS!BJ40</f>
        <v>0</v>
      </c>
      <c r="K9" s="456">
        <f>IS!BO40</f>
        <v>166.65263942249607</v>
      </c>
      <c r="L9" s="456">
        <f>IS!BT40</f>
        <v>576.37718949796749</v>
      </c>
      <c r="M9" s="456">
        <f>IS!BY40</f>
        <v>668.98161503467099</v>
      </c>
      <c r="N9" s="456">
        <f>IS!CD40</f>
        <v>752.70473642890158</v>
      </c>
      <c r="O9" s="456">
        <f>IS!CI40</f>
        <v>828.22724427584262</v>
      </c>
      <c r="P9" s="456">
        <f>IS!CN40</f>
        <v>896.23344474988676</v>
      </c>
      <c r="Q9" s="456">
        <f>IS!CS40</f>
        <v>953.474668184905</v>
      </c>
      <c r="R9" s="456">
        <f t="shared" ref="R9" si="10">R6*R10</f>
        <v>981.28901943822859</v>
      </c>
      <c r="S9" s="456">
        <f t="shared" ref="S9:T9" si="11">S6*S10</f>
        <v>1015.8921878178182</v>
      </c>
      <c r="T9" s="456">
        <f t="shared" si="11"/>
        <v>1036.4771839788405</v>
      </c>
      <c r="U9" s="457"/>
    </row>
    <row r="10" spans="1:257">
      <c r="A10" s="71"/>
      <c r="B10" s="458" t="s">
        <v>210</v>
      </c>
      <c r="C10" s="455"/>
      <c r="D10" s="238"/>
      <c r="E10" s="238"/>
      <c r="F10" s="238"/>
      <c r="G10" s="238"/>
      <c r="H10" s="238"/>
      <c r="I10" s="238">
        <f>IS!BE41</f>
        <v>0</v>
      </c>
      <c r="J10" s="238">
        <f>IS!BJ41</f>
        <v>0</v>
      </c>
      <c r="K10" s="238">
        <f>IS!BO41</f>
        <v>0.12262615443469621</v>
      </c>
      <c r="L10" s="238">
        <f>IS!BT41</f>
        <v>0.34999999999999992</v>
      </c>
      <c r="M10" s="238">
        <f>IS!BY41</f>
        <v>0.35000000000000003</v>
      </c>
      <c r="N10" s="238">
        <f>IS!CD41</f>
        <v>0.35</v>
      </c>
      <c r="O10" s="238">
        <f>IS!CI41</f>
        <v>0.35</v>
      </c>
      <c r="P10" s="238">
        <f>IS!CN41</f>
        <v>0.35</v>
      </c>
      <c r="Q10" s="238">
        <f>IS!CS41</f>
        <v>0.35</v>
      </c>
      <c r="R10" s="238">
        <f t="shared" ref="R10" si="12">Q10</f>
        <v>0.35</v>
      </c>
      <c r="S10" s="238">
        <f t="shared" ref="S10" si="13">R10</f>
        <v>0.35</v>
      </c>
      <c r="T10" s="238">
        <f t="shared" ref="T10" si="14">S10</f>
        <v>0.35</v>
      </c>
      <c r="U10" s="459"/>
    </row>
    <row r="11" spans="1:257">
      <c r="A11" s="71"/>
      <c r="B11" s="454" t="s">
        <v>211</v>
      </c>
      <c r="C11" s="455"/>
      <c r="D11" s="456">
        <f>D6-D9</f>
        <v>-424.58699999999993</v>
      </c>
      <c r="E11" s="456">
        <f>E6-E9</f>
        <v>-584.44600174495054</v>
      </c>
      <c r="F11" s="456">
        <f t="shared" ref="F11:O11" si="15">F6-F9</f>
        <v>-375.53952195248417</v>
      </c>
      <c r="G11" s="456">
        <f t="shared" si="15"/>
        <v>-58.202941764363231</v>
      </c>
      <c r="H11" s="456">
        <f t="shared" si="15"/>
        <v>327.46394475448318</v>
      </c>
      <c r="I11" s="456">
        <f t="shared" si="15"/>
        <v>702.24651268687035</v>
      </c>
      <c r="J11" s="456">
        <f t="shared" si="15"/>
        <v>1045.0397333726728</v>
      </c>
      <c r="K11" s="456">
        <f t="shared" si="15"/>
        <v>1175.7953472839129</v>
      </c>
      <c r="L11" s="456">
        <f t="shared" si="15"/>
        <v>1046.8889623081625</v>
      </c>
      <c r="M11" s="456">
        <f t="shared" si="15"/>
        <v>1212.4108530368997</v>
      </c>
      <c r="N11" s="456">
        <f t="shared" si="15"/>
        <v>1360.5774791651525</v>
      </c>
      <c r="O11" s="456">
        <f t="shared" si="15"/>
        <v>1492.5225420938177</v>
      </c>
      <c r="P11" s="456">
        <f t="shared" ref="P11:R11" si="16">P6-P9</f>
        <v>1609.7258257057408</v>
      </c>
      <c r="Q11" s="456">
        <f t="shared" si="16"/>
        <v>1716.0309549422032</v>
      </c>
      <c r="R11" s="456">
        <f t="shared" si="16"/>
        <v>1822.3938932424248</v>
      </c>
      <c r="S11" s="456">
        <f t="shared" ref="S11:T11" si="17">S6-S9</f>
        <v>1886.6569202330913</v>
      </c>
      <c r="T11" s="456">
        <f t="shared" si="17"/>
        <v>1924.8861988178469</v>
      </c>
      <c r="U11" s="457"/>
    </row>
    <row r="12" spans="1:257">
      <c r="A12" s="71"/>
      <c r="B12" s="454" t="s">
        <v>212</v>
      </c>
      <c r="C12" s="455"/>
      <c r="D12" s="461">
        <f>CF!G8</f>
        <v>15.13</v>
      </c>
      <c r="E12" s="461">
        <f>CF!I8</f>
        <v>30.956220402146709</v>
      </c>
      <c r="F12" s="461">
        <f>CF!J8</f>
        <v>39.998804226991403</v>
      </c>
      <c r="G12" s="461">
        <f>CF!K8</f>
        <v>50.267776116733181</v>
      </c>
      <c r="H12" s="461">
        <f>CF!L8</f>
        <v>61.042621697989887</v>
      </c>
      <c r="I12" s="461">
        <f>CF!M8</f>
        <v>71.544569774281683</v>
      </c>
      <c r="J12" s="461">
        <f>CF!N8</f>
        <v>82.02067459831774</v>
      </c>
      <c r="K12" s="461">
        <f>CF!O8</f>
        <v>93.138224677496595</v>
      </c>
      <c r="L12" s="461">
        <f>CF!P8</f>
        <v>104.17922189451194</v>
      </c>
      <c r="M12" s="231">
        <f t="shared" ref="M12:M14" si="18">L12*1.1</f>
        <v>114.59714408396314</v>
      </c>
      <c r="N12" s="231">
        <f t="shared" ref="N12:N14" si="19">M12*1.1</f>
        <v>126.05685849235947</v>
      </c>
      <c r="O12" s="231">
        <f t="shared" ref="O12:O14" si="20">N12*1.1</f>
        <v>138.66254434159544</v>
      </c>
      <c r="P12" s="231">
        <f t="shared" ref="P12:P14" si="21">O12*1.1</f>
        <v>152.52879877575498</v>
      </c>
      <c r="Q12" s="231">
        <f t="shared" ref="Q12:Q14" si="22">P12*1.1</f>
        <v>167.78167865333049</v>
      </c>
      <c r="R12" s="231">
        <f t="shared" ref="R12:R14" si="23">Q12*1.1</f>
        <v>184.55984651866356</v>
      </c>
      <c r="S12" s="231">
        <f t="shared" ref="S12:S14" si="24">R12*1.1</f>
        <v>203.01583117052994</v>
      </c>
      <c r="T12" s="231">
        <f t="shared" ref="T12:T14" si="25">S12*1.1</f>
        <v>223.31741428758295</v>
      </c>
      <c r="U12" s="459"/>
    </row>
    <row r="13" spans="1:257">
      <c r="A13" s="71"/>
      <c r="B13" s="454" t="s">
        <v>213</v>
      </c>
      <c r="C13" s="455"/>
      <c r="D13" s="461">
        <f>(BS!H11-BS!H25-BS!H5-BS!H6)-(BS!G11-BS!G25-BS!G5-BS!G6)</f>
        <v>-91.801000000000215</v>
      </c>
      <c r="E13" s="461">
        <f>(BS!J11-BS!J25-BS!J5-BS!J6)-(BS!I11-BS!I25-BS!I5-BS!I6)</f>
        <v>26.60202873216042</v>
      </c>
      <c r="F13" s="461">
        <f>(BS!K11-BS!K25-BS!K5-BS!K6)-(BS!J11-BS!J25-BS!J5-BS!J6)</f>
        <v>205.33648443186257</v>
      </c>
      <c r="G13" s="461">
        <f>(BS!L11-BS!L25-BS!L5-BS!L6)-(BS!K11-BS!K25-BS!K5-BS!K6)</f>
        <v>180.35473409066901</v>
      </c>
      <c r="H13" s="461">
        <f>(BS!M11-BS!M25-BS!M5-BS!M6)-(BS!L11-BS!L25-BS!L5-BS!L6)</f>
        <v>112.14853758810614</v>
      </c>
      <c r="I13" s="461">
        <f>(BS!N11-BS!N25-BS!N5-BS!N6)-(BS!M11-BS!M25-BS!M5-BS!M6)</f>
        <v>75.848025524320292</v>
      </c>
      <c r="J13" s="461">
        <f>(BS!O11-BS!O25-BS!O5-BS!O6)-(BS!N11-BS!N25-BS!N5-BS!N6)</f>
        <v>75.468704938600695</v>
      </c>
      <c r="K13" s="461">
        <f>(BS!P11-BS!P25-BS!P5-BS!P6)-(BS!O11-BS!O25-BS!O5-BS!O6)</f>
        <v>62.754957877648394</v>
      </c>
      <c r="L13" s="461">
        <f>(BS!Q11-BS!Q25-BS!Q5-BS!Q6)-(BS!P11-BS!P25-BS!P5-BS!P6)</f>
        <v>52.066078552407816</v>
      </c>
      <c r="M13" s="231">
        <f t="shared" ref="M13:T13" si="26">L13*1.1</f>
        <v>57.2726864076486</v>
      </c>
      <c r="N13" s="231">
        <f t="shared" si="26"/>
        <v>62.999955048413462</v>
      </c>
      <c r="O13" s="231">
        <f t="shared" si="26"/>
        <v>69.299950553254817</v>
      </c>
      <c r="P13" s="231">
        <f t="shared" si="26"/>
        <v>76.229945608580309</v>
      </c>
      <c r="Q13" s="231">
        <f t="shared" si="26"/>
        <v>83.852940169438341</v>
      </c>
      <c r="R13" s="231">
        <f t="shared" si="26"/>
        <v>92.238234186382186</v>
      </c>
      <c r="S13" s="231">
        <f t="shared" si="26"/>
        <v>101.46205760502042</v>
      </c>
      <c r="T13" s="231">
        <f t="shared" si="26"/>
        <v>111.60826336552248</v>
      </c>
      <c r="U13" s="459"/>
    </row>
    <row r="14" spans="1:257">
      <c r="A14" s="71"/>
      <c r="B14" s="454" t="s">
        <v>214</v>
      </c>
      <c r="C14" s="455"/>
      <c r="D14" s="461">
        <f>CF!G24</f>
        <v>-64.557000000000002</v>
      </c>
      <c r="E14" s="461">
        <f>CF!I24</f>
        <v>-87.156748142934219</v>
      </c>
      <c r="F14" s="461">
        <f>CF!J24</f>
        <v>-108.75629434395964</v>
      </c>
      <c r="G14" s="461">
        <f>CF!K24</f>
        <v>-110.17837284187596</v>
      </c>
      <c r="H14" s="461">
        <f>CF!L24</f>
        <v>-117.51824523515805</v>
      </c>
      <c r="I14" s="461">
        <f>CF!M24</f>
        <v>-103.50045209738786</v>
      </c>
      <c r="J14" s="461">
        <f>CF!N24</f>
        <v>-115.90340660937238</v>
      </c>
      <c r="K14" s="461">
        <f>CF!O24</f>
        <v>-115.34118097763991</v>
      </c>
      <c r="L14" s="461">
        <f>CF!P24</f>
        <v>-113.4829907657583</v>
      </c>
      <c r="M14" s="231">
        <f t="shared" si="18"/>
        <v>-124.83128984233414</v>
      </c>
      <c r="N14" s="231">
        <f t="shared" si="19"/>
        <v>-137.31441882656756</v>
      </c>
      <c r="O14" s="231">
        <f t="shared" si="20"/>
        <v>-151.04586070922434</v>
      </c>
      <c r="P14" s="231">
        <f t="shared" si="21"/>
        <v>-166.15044678014678</v>
      </c>
      <c r="Q14" s="231">
        <f t="shared" si="22"/>
        <v>-182.76549145816148</v>
      </c>
      <c r="R14" s="231">
        <f t="shared" si="23"/>
        <v>-201.04204060397765</v>
      </c>
      <c r="S14" s="231">
        <f t="shared" si="24"/>
        <v>-221.14624466437544</v>
      </c>
      <c r="T14" s="231">
        <f t="shared" si="25"/>
        <v>-243.26086913081301</v>
      </c>
      <c r="U14" s="459"/>
    </row>
    <row r="15" spans="1:257">
      <c r="A15" s="71"/>
      <c r="B15" s="454" t="s">
        <v>215</v>
      </c>
      <c r="C15" s="455"/>
      <c r="D15" s="456">
        <f t="shared" ref="D15:O15" si="27">SUM(D11:D14)</f>
        <v>-565.81500000000017</v>
      </c>
      <c r="E15" s="456">
        <f t="shared" si="27"/>
        <v>-614.04450075357761</v>
      </c>
      <c r="F15" s="456">
        <f t="shared" si="27"/>
        <v>-238.96052763758982</v>
      </c>
      <c r="G15" s="456">
        <f t="shared" si="27"/>
        <v>62.241195601163014</v>
      </c>
      <c r="H15" s="456">
        <f t="shared" si="27"/>
        <v>383.13685880542118</v>
      </c>
      <c r="I15" s="456">
        <f t="shared" si="27"/>
        <v>746.13865588808437</v>
      </c>
      <c r="J15" s="456">
        <f t="shared" si="27"/>
        <v>1086.625706300219</v>
      </c>
      <c r="K15" s="456">
        <f t="shared" si="27"/>
        <v>1216.3473488614179</v>
      </c>
      <c r="L15" s="456">
        <f t="shared" si="27"/>
        <v>1089.651271989324</v>
      </c>
      <c r="M15" s="456">
        <f t="shared" si="27"/>
        <v>1259.4493936861772</v>
      </c>
      <c r="N15" s="456">
        <f t="shared" si="27"/>
        <v>1412.3198738793578</v>
      </c>
      <c r="O15" s="456">
        <f t="shared" si="27"/>
        <v>1549.4391762794437</v>
      </c>
      <c r="P15" s="456">
        <f t="shared" ref="P15:R15" si="28">SUM(P11:P14)</f>
        <v>1672.3341233099293</v>
      </c>
      <c r="Q15" s="456">
        <f t="shared" si="28"/>
        <v>1784.9000823068106</v>
      </c>
      <c r="R15" s="456">
        <f t="shared" si="28"/>
        <v>1898.1499333434929</v>
      </c>
      <c r="S15" s="456">
        <f t="shared" ref="S15:T15" si="29">SUM(S11:S14)</f>
        <v>1969.9885643442663</v>
      </c>
      <c r="T15" s="456">
        <f t="shared" si="29"/>
        <v>2016.551007340139</v>
      </c>
      <c r="U15" s="457">
        <f>T15*(1+C26)/(C25-C26)</f>
        <v>19589.352642732778</v>
      </c>
    </row>
    <row r="16" spans="1:257">
      <c r="A16" s="72"/>
      <c r="B16" s="458" t="s">
        <v>16</v>
      </c>
      <c r="C16" s="73"/>
      <c r="D16" s="239"/>
      <c r="E16" s="240"/>
      <c r="F16" s="240">
        <f t="shared" ref="F16:O16" si="30">F15/E15-1</f>
        <v>-0.61084167785180254</v>
      </c>
      <c r="G16" s="240">
        <f t="shared" si="30"/>
        <v>-1.2604664302363724</v>
      </c>
      <c r="H16" s="240">
        <f t="shared" si="30"/>
        <v>5.1556796122705268</v>
      </c>
      <c r="I16" s="240">
        <f t="shared" si="30"/>
        <v>0.9474468163007419</v>
      </c>
      <c r="J16" s="240">
        <f t="shared" si="30"/>
        <v>0.45633214111775677</v>
      </c>
      <c r="K16" s="240">
        <f t="shared" si="30"/>
        <v>0.11938024455806384</v>
      </c>
      <c r="L16" s="240">
        <f t="shared" si="30"/>
        <v>-0.10416109920467198</v>
      </c>
      <c r="M16" s="240">
        <f t="shared" si="30"/>
        <v>0.15582794795151389</v>
      </c>
      <c r="N16" s="240">
        <f t="shared" si="30"/>
        <v>0.12137881915664495</v>
      </c>
      <c r="O16" s="240">
        <f t="shared" si="30"/>
        <v>9.7087993262777506E-2</v>
      </c>
      <c r="P16" s="240">
        <f t="shared" ref="P16" si="31">P15/O15-1</f>
        <v>7.9315760768089216E-2</v>
      </c>
      <c r="Q16" s="240">
        <f t="shared" ref="Q16" si="32">Q15/P15-1</f>
        <v>6.7310687157472904E-2</v>
      </c>
      <c r="R16" s="240">
        <f t="shared" ref="R16" si="33">R15/Q15-1</f>
        <v>6.3448846329996034E-2</v>
      </c>
      <c r="S16" s="240">
        <f t="shared" ref="S16" si="34">S15/R15-1</f>
        <v>3.7846657810762796E-2</v>
      </c>
      <c r="T16" s="240">
        <f t="shared" ref="T16" si="35">T15/S15-1</f>
        <v>2.3635895069965329E-2</v>
      </c>
      <c r="U16" s="74">
        <f>R15/P15-1</f>
        <v>0.13503031893328998</v>
      </c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</row>
    <row r="17" spans="1:257" ht="13.5" thickBot="1">
      <c r="A17" s="71"/>
      <c r="B17" s="462" t="s">
        <v>216</v>
      </c>
      <c r="C17" s="463"/>
      <c r="D17" s="464">
        <f t="shared" ref="D17:U17" si="36">D15/(1+$C$25)^(D5-$C$27)</f>
        <v>-759.54894129286845</v>
      </c>
      <c r="E17" s="464">
        <f t="shared" si="36"/>
        <v>-651.29254564974417</v>
      </c>
      <c r="F17" s="464">
        <f t="shared" si="36"/>
        <v>-225.29414603794024</v>
      </c>
      <c r="G17" s="464">
        <f t="shared" si="36"/>
        <v>52.161388419248212</v>
      </c>
      <c r="H17" s="464">
        <f t="shared" si="36"/>
        <v>285.41226243563574</v>
      </c>
      <c r="I17" s="464">
        <f t="shared" si="36"/>
        <v>494.06684605641834</v>
      </c>
      <c r="J17" s="464">
        <f t="shared" si="36"/>
        <v>639.57815802012522</v>
      </c>
      <c r="K17" s="464">
        <f t="shared" si="36"/>
        <v>636.3832488342789</v>
      </c>
      <c r="L17" s="464">
        <f t="shared" si="36"/>
        <v>506.75277344023112</v>
      </c>
      <c r="M17" s="464">
        <f t="shared" si="36"/>
        <v>520.63912732814288</v>
      </c>
      <c r="N17" s="464">
        <f t="shared" si="36"/>
        <v>518.96327983109245</v>
      </c>
      <c r="O17" s="464">
        <f t="shared" si="36"/>
        <v>506.08745177507774</v>
      </c>
      <c r="P17" s="464">
        <f t="shared" si="36"/>
        <v>485.53614491360156</v>
      </c>
      <c r="Q17" s="464">
        <f t="shared" si="36"/>
        <v>460.63814797113457</v>
      </c>
      <c r="R17" s="464">
        <f t="shared" si="36"/>
        <v>435.43565069821244</v>
      </c>
      <c r="S17" s="464">
        <f t="shared" si="36"/>
        <v>401.702608683373</v>
      </c>
      <c r="T17" s="464">
        <f t="shared" si="36"/>
        <v>365.50863057026186</v>
      </c>
      <c r="U17" s="465">
        <f t="shared" si="36"/>
        <v>3156.1380163527365</v>
      </c>
    </row>
    <row r="18" spans="1:257" ht="13.5" thickTop="1">
      <c r="A18" s="71"/>
      <c r="B18" s="466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  <c r="N18" s="455"/>
      <c r="O18" s="455"/>
      <c r="P18" s="455"/>
      <c r="Q18" s="455"/>
      <c r="R18" s="455"/>
      <c r="S18" s="455"/>
      <c r="T18" s="455"/>
      <c r="U18" s="455"/>
    </row>
    <row r="19" spans="1:257">
      <c r="A19" s="71"/>
      <c r="B19" s="467" t="s">
        <v>217</v>
      </c>
      <c r="C19" s="468">
        <f>SUM(F17:U17)+0.5*E17</f>
        <v>8914.0633164667579</v>
      </c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</row>
    <row r="20" spans="1:257" s="579" customFormat="1">
      <c r="A20" s="71"/>
      <c r="B20" s="466" t="s">
        <v>454</v>
      </c>
      <c r="C20" s="578">
        <f>F45</f>
        <v>1163</v>
      </c>
      <c r="D20" s="455"/>
      <c r="E20" s="455"/>
      <c r="F20" s="455"/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455"/>
      <c r="T20" s="455"/>
      <c r="U20" s="455"/>
      <c r="V20" s="455"/>
      <c r="W20" s="455"/>
      <c r="X20" s="455"/>
      <c r="Y20" s="455"/>
      <c r="Z20" s="455"/>
      <c r="AA20" s="455"/>
      <c r="AB20" s="455"/>
      <c r="AC20" s="455"/>
      <c r="AD20" s="455"/>
      <c r="AE20" s="455"/>
      <c r="AF20" s="455"/>
      <c r="AG20" s="455"/>
      <c r="AH20" s="455"/>
      <c r="AI20" s="455"/>
      <c r="AJ20" s="455"/>
      <c r="AK20" s="455"/>
      <c r="AL20" s="455"/>
      <c r="AM20" s="455"/>
      <c r="AN20" s="455"/>
      <c r="AO20" s="455"/>
      <c r="AP20" s="455"/>
      <c r="AQ20" s="455"/>
      <c r="AR20" s="455"/>
      <c r="AS20" s="455"/>
      <c r="AT20" s="455"/>
      <c r="AU20" s="455"/>
      <c r="AV20" s="455"/>
      <c r="AW20" s="455"/>
      <c r="AX20" s="455"/>
      <c r="AY20" s="455"/>
      <c r="AZ20" s="455"/>
      <c r="BA20" s="455"/>
      <c r="BB20" s="455"/>
      <c r="BC20" s="455"/>
      <c r="BD20" s="455"/>
      <c r="BE20" s="455"/>
      <c r="BF20" s="455"/>
      <c r="BG20" s="455"/>
      <c r="BH20" s="455"/>
      <c r="BI20" s="455"/>
      <c r="BJ20" s="455"/>
      <c r="BK20" s="455"/>
      <c r="BL20" s="455"/>
      <c r="BM20" s="455"/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455"/>
      <c r="BZ20" s="455"/>
      <c r="CA20" s="455"/>
      <c r="CB20" s="455"/>
      <c r="CC20" s="455"/>
      <c r="CD20" s="455"/>
      <c r="CE20" s="455"/>
      <c r="CF20" s="455"/>
      <c r="CG20" s="455"/>
      <c r="CH20" s="455"/>
      <c r="CI20" s="455"/>
      <c r="CJ20" s="455"/>
      <c r="CK20" s="455"/>
      <c r="CL20" s="455"/>
      <c r="CM20" s="455"/>
      <c r="CN20" s="455"/>
      <c r="CO20" s="455"/>
      <c r="CP20" s="455"/>
      <c r="CQ20" s="455"/>
      <c r="CR20" s="455"/>
      <c r="CS20" s="455"/>
      <c r="CT20" s="455"/>
      <c r="CU20" s="455"/>
      <c r="CV20" s="455"/>
      <c r="CW20" s="455"/>
      <c r="CX20" s="455"/>
      <c r="CY20" s="455"/>
      <c r="CZ20" s="455"/>
      <c r="DA20" s="455"/>
      <c r="DB20" s="455"/>
      <c r="DC20" s="455"/>
      <c r="DD20" s="455"/>
      <c r="DE20" s="455"/>
      <c r="DF20" s="455"/>
      <c r="DG20" s="455"/>
      <c r="DH20" s="455"/>
      <c r="DI20" s="455"/>
      <c r="DJ20" s="455"/>
      <c r="DK20" s="455"/>
      <c r="DL20" s="455"/>
      <c r="DM20" s="455"/>
      <c r="DN20" s="455"/>
      <c r="DO20" s="455"/>
      <c r="DP20" s="455"/>
      <c r="DQ20" s="455"/>
      <c r="DR20" s="455"/>
      <c r="DS20" s="455"/>
      <c r="DT20" s="455"/>
      <c r="DU20" s="455"/>
      <c r="DV20" s="455"/>
      <c r="DW20" s="455"/>
      <c r="DX20" s="455"/>
      <c r="DY20" s="455"/>
      <c r="DZ20" s="455"/>
      <c r="EA20" s="455"/>
      <c r="EB20" s="455"/>
      <c r="EC20" s="455"/>
      <c r="ED20" s="455"/>
      <c r="EE20" s="455"/>
      <c r="EF20" s="455"/>
      <c r="EG20" s="455"/>
      <c r="EH20" s="455"/>
      <c r="EI20" s="455"/>
      <c r="EJ20" s="455"/>
      <c r="EK20" s="455"/>
      <c r="EL20" s="455"/>
      <c r="EM20" s="455"/>
      <c r="EN20" s="455"/>
      <c r="EO20" s="455"/>
      <c r="EP20" s="455"/>
      <c r="EQ20" s="455"/>
      <c r="ER20" s="455"/>
      <c r="ES20" s="455"/>
      <c r="ET20" s="455"/>
      <c r="EU20" s="455"/>
      <c r="EV20" s="455"/>
      <c r="EW20" s="455"/>
      <c r="EX20" s="455"/>
      <c r="EY20" s="455"/>
      <c r="EZ20" s="455"/>
      <c r="FA20" s="455"/>
      <c r="FB20" s="455"/>
      <c r="FC20" s="455"/>
      <c r="FD20" s="455"/>
      <c r="FE20" s="455"/>
      <c r="FF20" s="455"/>
      <c r="FG20" s="455"/>
      <c r="FH20" s="455"/>
      <c r="FI20" s="455"/>
      <c r="FJ20" s="455"/>
      <c r="FK20" s="455"/>
      <c r="FL20" s="455"/>
      <c r="FM20" s="455"/>
      <c r="FN20" s="455"/>
      <c r="FO20" s="455"/>
      <c r="FP20" s="455"/>
      <c r="FQ20" s="455"/>
      <c r="FR20" s="455"/>
      <c r="FS20" s="455"/>
      <c r="FT20" s="455"/>
      <c r="FU20" s="455"/>
      <c r="FV20" s="455"/>
      <c r="FW20" s="455"/>
      <c r="FX20" s="455"/>
      <c r="FY20" s="455"/>
      <c r="FZ20" s="455"/>
      <c r="GA20" s="455"/>
      <c r="GB20" s="455"/>
      <c r="GC20" s="455"/>
      <c r="GD20" s="455"/>
      <c r="GE20" s="455"/>
      <c r="GF20" s="455"/>
      <c r="GG20" s="455"/>
      <c r="GH20" s="455"/>
      <c r="GI20" s="455"/>
      <c r="GJ20" s="455"/>
      <c r="GK20" s="455"/>
      <c r="GL20" s="455"/>
      <c r="GM20" s="455"/>
      <c r="GN20" s="455"/>
      <c r="GO20" s="455"/>
      <c r="GP20" s="455"/>
      <c r="GQ20" s="455"/>
      <c r="GR20" s="455"/>
      <c r="GS20" s="455"/>
      <c r="GT20" s="455"/>
      <c r="GU20" s="455"/>
      <c r="GV20" s="455"/>
      <c r="GW20" s="455"/>
      <c r="GX20" s="455"/>
      <c r="GY20" s="455"/>
      <c r="GZ20" s="455"/>
      <c r="HA20" s="455"/>
      <c r="HB20" s="455"/>
      <c r="HC20" s="455"/>
      <c r="HD20" s="455"/>
      <c r="HE20" s="455"/>
      <c r="HF20" s="455"/>
      <c r="HG20" s="455"/>
      <c r="HH20" s="455"/>
      <c r="HI20" s="455"/>
      <c r="HJ20" s="455"/>
      <c r="HK20" s="455"/>
      <c r="HL20" s="455"/>
      <c r="HM20" s="455"/>
      <c r="HN20" s="455"/>
      <c r="HO20" s="455"/>
      <c r="HP20" s="455"/>
      <c r="HQ20" s="455"/>
      <c r="HR20" s="455"/>
      <c r="HS20" s="455"/>
      <c r="HT20" s="455"/>
      <c r="HU20" s="455"/>
      <c r="HV20" s="455"/>
      <c r="HW20" s="455"/>
      <c r="HX20" s="455"/>
      <c r="HY20" s="455"/>
      <c r="HZ20" s="455"/>
      <c r="IA20" s="455"/>
      <c r="IB20" s="455"/>
      <c r="IC20" s="455"/>
      <c r="ID20" s="455"/>
      <c r="IE20" s="455"/>
      <c r="IF20" s="455"/>
      <c r="IG20" s="455"/>
      <c r="IH20" s="455"/>
      <c r="II20" s="455"/>
      <c r="IJ20" s="455"/>
      <c r="IK20" s="455"/>
      <c r="IL20" s="455"/>
      <c r="IM20" s="455"/>
      <c r="IN20" s="455"/>
      <c r="IO20" s="455"/>
      <c r="IP20" s="455"/>
      <c r="IQ20" s="455"/>
      <c r="IR20" s="455"/>
      <c r="IS20" s="455"/>
      <c r="IT20" s="455"/>
      <c r="IU20" s="455"/>
      <c r="IV20" s="455"/>
      <c r="IW20" s="455"/>
    </row>
    <row r="21" spans="1:257">
      <c r="A21" s="71"/>
      <c r="B21" s="466" t="s">
        <v>73</v>
      </c>
      <c r="C21" s="469">
        <f>BS!I5+BS!I6+BS!I13</f>
        <v>1704.537</v>
      </c>
      <c r="D21" s="455"/>
      <c r="E21" s="455"/>
      <c r="F21" s="455"/>
      <c r="G21" s="455"/>
      <c r="H21" s="455"/>
      <c r="I21" s="455"/>
      <c r="J21" s="455"/>
      <c r="K21" s="455"/>
      <c r="L21" s="455"/>
      <c r="M21" s="455"/>
      <c r="N21" s="455"/>
      <c r="O21" s="455"/>
      <c r="P21" s="455"/>
      <c r="Q21" s="455"/>
      <c r="R21" s="455"/>
      <c r="S21" s="455"/>
      <c r="T21" s="455"/>
      <c r="U21" s="455"/>
    </row>
    <row r="22" spans="1:257">
      <c r="A22" s="71"/>
      <c r="B22" s="470" t="s">
        <v>74</v>
      </c>
      <c r="C22" s="471">
        <f>C19+C21+C20</f>
        <v>11781.600316466758</v>
      </c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57">
      <c r="A23" s="71"/>
      <c r="B23" s="470" t="s">
        <v>218</v>
      </c>
      <c r="C23" s="471">
        <f>C22/C28</f>
        <v>117.89998532386268</v>
      </c>
      <c r="D23" s="455"/>
      <c r="E23" s="455"/>
      <c r="F23" s="455"/>
      <c r="G23" s="455"/>
      <c r="H23" s="455"/>
      <c r="I23" s="455"/>
      <c r="J23" s="455"/>
      <c r="K23" s="455"/>
      <c r="L23" s="455"/>
      <c r="M23" s="455"/>
      <c r="N23" s="455"/>
      <c r="O23" s="455"/>
      <c r="P23" s="455"/>
      <c r="Q23" s="455"/>
      <c r="R23" s="455"/>
      <c r="S23" s="455"/>
      <c r="T23" s="455"/>
      <c r="U23" s="455"/>
    </row>
    <row r="24" spans="1:257">
      <c r="A24" s="71"/>
      <c r="B24" s="466"/>
      <c r="C24" s="455"/>
      <c r="D24" s="455"/>
      <c r="E24" s="455"/>
      <c r="F24" s="455"/>
      <c r="G24" s="455"/>
      <c r="H24" s="455"/>
      <c r="I24" s="455"/>
      <c r="J24" s="455"/>
      <c r="K24" s="455"/>
      <c r="L24" s="455"/>
      <c r="M24" s="455"/>
      <c r="N24" s="455"/>
      <c r="O24" s="455"/>
      <c r="P24" s="455"/>
      <c r="Q24" s="455"/>
      <c r="R24" s="455"/>
      <c r="S24" s="455"/>
      <c r="T24" s="455"/>
      <c r="U24" s="455"/>
    </row>
    <row r="25" spans="1:257">
      <c r="A25" s="71"/>
      <c r="B25" s="466" t="s">
        <v>71</v>
      </c>
      <c r="C25" s="472">
        <v>0.125</v>
      </c>
      <c r="D25" s="455"/>
      <c r="E25" s="455"/>
      <c r="F25" s="455"/>
      <c r="G25" s="455"/>
      <c r="H25" s="455"/>
      <c r="I25" s="455"/>
      <c r="J25" s="455"/>
      <c r="K25" s="455"/>
      <c r="L25" s="455"/>
      <c r="M25" s="455"/>
      <c r="N25" s="455"/>
      <c r="O25" s="455"/>
      <c r="P25" s="455"/>
      <c r="Q25" s="455"/>
      <c r="R25" s="455"/>
      <c r="S25" s="455"/>
      <c r="T25" s="455"/>
      <c r="U25" s="455"/>
    </row>
    <row r="26" spans="1:257">
      <c r="A26" s="71"/>
      <c r="B26" s="466" t="s">
        <v>72</v>
      </c>
      <c r="C26" s="473">
        <v>0.02</v>
      </c>
      <c r="D26" s="455"/>
      <c r="E26" s="455"/>
      <c r="F26" s="455"/>
      <c r="G26" s="455"/>
      <c r="H26" s="455"/>
      <c r="I26" s="455"/>
      <c r="J26" s="455"/>
      <c r="K26" s="455"/>
      <c r="L26" s="455"/>
      <c r="M26" s="455"/>
      <c r="N26" s="455"/>
      <c r="O26" s="455"/>
      <c r="P26" s="455"/>
      <c r="Q26" s="455"/>
      <c r="R26" s="455"/>
      <c r="S26" s="455"/>
      <c r="T26" s="455"/>
      <c r="U26" s="455"/>
    </row>
    <row r="27" spans="1:257">
      <c r="A27" s="71"/>
      <c r="B27" s="466" t="s">
        <v>219</v>
      </c>
      <c r="C27" s="455">
        <v>2018.5</v>
      </c>
      <c r="D27" s="455"/>
      <c r="E27" s="455"/>
      <c r="F27" s="455"/>
      <c r="G27" s="455"/>
      <c r="H27" s="455"/>
      <c r="I27" s="455"/>
      <c r="J27" s="455"/>
      <c r="K27" s="455"/>
      <c r="L27" s="455"/>
      <c r="M27" s="455"/>
      <c r="N27" s="455"/>
      <c r="O27" s="455"/>
      <c r="P27" s="455"/>
      <c r="Q27" s="455"/>
      <c r="R27" s="455"/>
      <c r="S27" s="455"/>
      <c r="T27" s="455"/>
      <c r="U27" s="455"/>
    </row>
    <row r="28" spans="1:257">
      <c r="A28" s="71"/>
      <c r="B28" s="466" t="s">
        <v>220</v>
      </c>
      <c r="C28" s="469">
        <f>IS!AK48</f>
        <v>99.928768303944736</v>
      </c>
      <c r="D28" s="455"/>
      <c r="E28" s="455"/>
      <c r="F28" s="455"/>
      <c r="G28" s="455"/>
      <c r="H28" s="455"/>
      <c r="I28" s="455"/>
      <c r="J28" s="455"/>
      <c r="K28" s="455"/>
      <c r="L28" s="455"/>
      <c r="M28" s="455"/>
      <c r="N28" s="455"/>
      <c r="O28" s="455"/>
      <c r="P28" s="455"/>
      <c r="Q28" s="455"/>
      <c r="R28" s="455"/>
      <c r="S28" s="455"/>
      <c r="T28" s="455"/>
      <c r="U28" s="455"/>
    </row>
    <row r="29" spans="1:257">
      <c r="A29" s="71"/>
      <c r="B29" s="71"/>
    </row>
    <row r="30" spans="1:257" ht="13.5" thickBot="1">
      <c r="A30" s="71"/>
      <c r="B30" s="75" t="s">
        <v>221</v>
      </c>
    </row>
    <row r="31" spans="1:257" ht="13.5" thickBot="1">
      <c r="A31" s="76">
        <v>1</v>
      </c>
      <c r="B31" s="77" t="s">
        <v>222</v>
      </c>
      <c r="C31" s="625">
        <v>2</v>
      </c>
      <c r="D31" s="624"/>
      <c r="E31" s="623" t="s">
        <v>223</v>
      </c>
      <c r="F31" s="618"/>
    </row>
    <row r="32" spans="1:257">
      <c r="A32" s="76">
        <v>2</v>
      </c>
      <c r="B32" s="78"/>
      <c r="C32" s="79"/>
      <c r="E32" s="619" t="s">
        <v>224</v>
      </c>
      <c r="F32" s="620"/>
    </row>
    <row r="33" spans="1:9" ht="13.5" thickBot="1">
      <c r="A33" s="76">
        <v>3</v>
      </c>
      <c r="B33" s="80"/>
      <c r="C33" s="81"/>
      <c r="E33" s="621" t="s">
        <v>225</v>
      </c>
      <c r="F33" s="622"/>
    </row>
    <row r="38" spans="1:9">
      <c r="C38" s="572"/>
      <c r="E38" s="573" t="s">
        <v>452</v>
      </c>
      <c r="F38" s="573" t="s">
        <v>453</v>
      </c>
    </row>
    <row r="39" spans="1:9">
      <c r="B39" s="574" t="s">
        <v>454</v>
      </c>
      <c r="C39" s="575" t="s">
        <v>455</v>
      </c>
      <c r="E39" s="573" t="s">
        <v>456</v>
      </c>
      <c r="F39" s="573" t="s">
        <v>457</v>
      </c>
      <c r="G39" s="574"/>
      <c r="H39" s="574"/>
      <c r="I39" s="574"/>
    </row>
    <row r="40" spans="1:9">
      <c r="B40" s="455" t="s">
        <v>413</v>
      </c>
      <c r="C40" s="576">
        <v>35000000</v>
      </c>
      <c r="E40" s="577">
        <f>CHOOSE($C$31,D47,D48,D49)</f>
        <v>480</v>
      </c>
      <c r="F40" s="577">
        <f>CHOOSE($C$31,E47,E48,E49)</f>
        <v>288</v>
      </c>
      <c r="H40" s="455" t="s">
        <v>459</v>
      </c>
      <c r="I40" s="455"/>
    </row>
    <row r="41" spans="1:9">
      <c r="B41" s="455" t="s">
        <v>462</v>
      </c>
      <c r="C41" s="576">
        <v>65000</v>
      </c>
      <c r="E41" s="577">
        <f>CHOOSE($C$31,D50,D51,D52)</f>
        <v>1500</v>
      </c>
      <c r="F41" s="577">
        <f>CHOOSE($C$31,E50,E51,E52)</f>
        <v>375</v>
      </c>
      <c r="H41" s="455" t="s">
        <v>460</v>
      </c>
      <c r="I41" s="455"/>
    </row>
    <row r="42" spans="1:9">
      <c r="B42" s="455" t="s">
        <v>412</v>
      </c>
      <c r="C42" s="580" t="s">
        <v>458</v>
      </c>
      <c r="E42" s="577">
        <f>CHOOSE($C$31,D53,D54,D55)</f>
        <v>0</v>
      </c>
      <c r="F42" s="577">
        <f>CHOOSE($C$31,E53,E54,E55)</f>
        <v>0</v>
      </c>
      <c r="H42" s="455" t="s">
        <v>461</v>
      </c>
      <c r="I42" s="455"/>
    </row>
    <row r="43" spans="1:9">
      <c r="B43" s="455" t="s">
        <v>414</v>
      </c>
      <c r="C43" s="576">
        <v>12000</v>
      </c>
      <c r="E43" s="577">
        <f>CHOOSE($C$31,D56,D57,D58)</f>
        <v>0</v>
      </c>
      <c r="F43" s="577">
        <f>CHOOSE($C$31,E56,E57,E58)</f>
        <v>0</v>
      </c>
      <c r="H43" s="455" t="s">
        <v>416</v>
      </c>
      <c r="I43" s="455"/>
    </row>
    <row r="44" spans="1:9">
      <c r="B44" s="455" t="s">
        <v>264</v>
      </c>
      <c r="C44" s="576"/>
      <c r="E44" s="577"/>
      <c r="F44" s="577">
        <f>IF(C31=3,0,500)</f>
        <v>500</v>
      </c>
    </row>
    <row r="45" spans="1:9">
      <c r="F45" s="577">
        <f>SUM(F40:F44)</f>
        <v>1163</v>
      </c>
    </row>
    <row r="46" spans="1:9">
      <c r="E46" s="577"/>
    </row>
    <row r="47" spans="1:9" outlineLevel="1">
      <c r="B47" s="455" t="s">
        <v>465</v>
      </c>
      <c r="C47" s="576"/>
      <c r="D47" s="577">
        <f>3000*0.16</f>
        <v>480</v>
      </c>
      <c r="E47" s="577">
        <f>0.75*D47</f>
        <v>360</v>
      </c>
    </row>
    <row r="48" spans="1:9" outlineLevel="1">
      <c r="B48" s="455" t="s">
        <v>466</v>
      </c>
      <c r="C48" s="576">
        <v>35000000</v>
      </c>
      <c r="D48" s="577">
        <f>3000*0.16</f>
        <v>480</v>
      </c>
      <c r="E48" s="577">
        <f>0.6*D48</f>
        <v>288</v>
      </c>
    </row>
    <row r="49" spans="2:5" outlineLevel="1">
      <c r="B49" s="455" t="s">
        <v>467</v>
      </c>
      <c r="D49" s="577">
        <v>0</v>
      </c>
      <c r="E49" s="577">
        <f>0.1*D49</f>
        <v>0</v>
      </c>
    </row>
    <row r="50" spans="2:5" outlineLevel="1">
      <c r="B50" s="455" t="s">
        <v>463</v>
      </c>
      <c r="C50" s="576"/>
      <c r="D50" s="577">
        <v>1500</v>
      </c>
      <c r="E50" s="577">
        <f>0.5*D50</f>
        <v>750</v>
      </c>
    </row>
    <row r="51" spans="2:5" outlineLevel="1">
      <c r="B51" s="455" t="s">
        <v>462</v>
      </c>
      <c r="C51" s="576">
        <v>65000</v>
      </c>
      <c r="D51" s="577">
        <v>1500</v>
      </c>
      <c r="E51" s="577">
        <f>0.25*D51</f>
        <v>375</v>
      </c>
    </row>
    <row r="52" spans="2:5" outlineLevel="1">
      <c r="B52" s="455" t="s">
        <v>464</v>
      </c>
      <c r="D52" s="581">
        <v>0</v>
      </c>
      <c r="E52" s="577">
        <f t="shared" ref="E52:E58" si="37">0.1*D52</f>
        <v>0</v>
      </c>
    </row>
    <row r="53" spans="2:5" outlineLevel="1">
      <c r="B53" s="455" t="s">
        <v>468</v>
      </c>
      <c r="C53" s="576"/>
      <c r="D53" s="577">
        <v>500</v>
      </c>
      <c r="E53" s="577">
        <f t="shared" si="37"/>
        <v>50</v>
      </c>
    </row>
    <row r="54" spans="2:5" outlineLevel="1">
      <c r="B54" s="455" t="s">
        <v>469</v>
      </c>
      <c r="C54" s="580" t="s">
        <v>458</v>
      </c>
      <c r="D54" s="577">
        <v>0</v>
      </c>
      <c r="E54" s="577">
        <f t="shared" si="37"/>
        <v>0</v>
      </c>
    </row>
    <row r="55" spans="2:5" outlineLevel="1">
      <c r="B55" s="455" t="s">
        <v>470</v>
      </c>
      <c r="D55" s="581">
        <v>0</v>
      </c>
      <c r="E55" s="577">
        <f t="shared" si="37"/>
        <v>0</v>
      </c>
    </row>
    <row r="56" spans="2:5" outlineLevel="1">
      <c r="B56" s="455" t="s">
        <v>471</v>
      </c>
      <c r="C56" s="576"/>
      <c r="D56" s="577">
        <v>0</v>
      </c>
      <c r="E56" s="577">
        <f t="shared" si="37"/>
        <v>0</v>
      </c>
    </row>
    <row r="57" spans="2:5" outlineLevel="1">
      <c r="B57" s="455" t="s">
        <v>472</v>
      </c>
      <c r="C57" s="576">
        <v>12000</v>
      </c>
      <c r="D57" s="577">
        <v>0</v>
      </c>
      <c r="E57" s="577">
        <f t="shared" si="37"/>
        <v>0</v>
      </c>
    </row>
    <row r="58" spans="2:5" outlineLevel="1">
      <c r="B58" s="455" t="s">
        <v>473</v>
      </c>
      <c r="D58" s="581">
        <v>0</v>
      </c>
      <c r="E58" s="577">
        <f t="shared" si="37"/>
        <v>0</v>
      </c>
    </row>
  </sheetData>
  <mergeCells count="1">
    <mergeCell ref="B4:B5"/>
  </mergeCells>
  <dataValidations count="1">
    <dataValidation type="list" allowBlank="1" showInputMessage="1" showErrorMessage="1" sqref="C31">
      <formula1>$A$31:$A$33</formula1>
    </dataValidation>
  </dataValidations>
  <pageMargins left="0" right="0" top="0" bottom="0" header="0" footer="0"/>
  <pageSetup paperSize="5" scale="1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DA133"/>
  <sheetViews>
    <sheetView showGridLines="0" topLeftCell="A2" zoomScale="85" zoomScaleNormal="85" workbookViewId="0">
      <pane xSplit="2" ySplit="3" topLeftCell="AF5" activePane="bottomRight" state="frozen"/>
      <selection activeCell="A2" sqref="A2"/>
      <selection pane="topRight" activeCell="C2" sqref="C2"/>
      <selection pane="bottomLeft" activeCell="A5" sqref="A5"/>
      <selection pane="bottomRight" activeCell="CT33" sqref="CT33"/>
    </sheetView>
  </sheetViews>
  <sheetFormatPr defaultRowHeight="14.25" customHeight="1" outlineLevelRow="2" outlineLevelCol="2"/>
  <cols>
    <col min="1" max="1" width="1.85546875" style="298" customWidth="1"/>
    <col min="2" max="2" width="51.140625" style="353" customWidth="1"/>
    <col min="3" max="6" width="9.7109375" style="353" hidden="1" customWidth="1" outlineLevel="2"/>
    <col min="7" max="7" width="9.7109375" style="297" hidden="1" customWidth="1" outlineLevel="1"/>
    <col min="8" max="11" width="9.7109375" style="353" hidden="1" customWidth="1" outlineLevel="2"/>
    <col min="12" max="12" width="9.7109375" style="297" hidden="1" customWidth="1" outlineLevel="1"/>
    <col min="13" max="16" width="9.7109375" style="353" hidden="1" customWidth="1" outlineLevel="2"/>
    <col min="17" max="17" width="9.7109375" style="297" hidden="1" customWidth="1"/>
    <col min="18" max="21" width="9.7109375" style="297" hidden="1" customWidth="1" outlineLevel="1"/>
    <col min="22" max="22" width="9.7109375" style="297" hidden="1" customWidth="1"/>
    <col min="23" max="26" width="9.7109375" style="297" hidden="1" customWidth="1" outlineLevel="1"/>
    <col min="27" max="27" width="9.7109375" style="297" hidden="1" customWidth="1" collapsed="1"/>
    <col min="28" max="31" width="9.7109375" style="297" hidden="1" customWidth="1" outlineLevel="1"/>
    <col min="32" max="32" width="9.7109375" style="297" customWidth="1" collapsed="1"/>
    <col min="33" max="36" width="9.7109375" style="297" customWidth="1" outlineLevel="1"/>
    <col min="37" max="37" width="9.7109375" style="297" customWidth="1"/>
    <col min="38" max="41" width="9.7109375" style="297" hidden="1" customWidth="1" outlineLevel="1"/>
    <col min="42" max="42" width="9.7109375" style="297" customWidth="1" collapsed="1"/>
    <col min="43" max="46" width="9.7109375" style="297" hidden="1" customWidth="1" outlineLevel="1"/>
    <col min="47" max="47" width="9.7109375" style="297" customWidth="1" collapsed="1"/>
    <col min="48" max="51" width="9.7109375" style="297" hidden="1" customWidth="1" outlineLevel="1"/>
    <col min="52" max="52" width="9.7109375" style="297" customWidth="1" collapsed="1"/>
    <col min="53" max="56" width="9.7109375" style="297" hidden="1" customWidth="1" outlineLevel="1"/>
    <col min="57" max="57" width="9.7109375" style="297" customWidth="1" collapsed="1"/>
    <col min="58" max="61" width="9.7109375" style="297" hidden="1" customWidth="1" outlineLevel="1"/>
    <col min="62" max="62" width="9.7109375" style="297" customWidth="1" collapsed="1"/>
    <col min="63" max="66" width="9.7109375" style="297" hidden="1" customWidth="1" outlineLevel="1"/>
    <col min="67" max="67" width="9.7109375" style="297" customWidth="1" collapsed="1"/>
    <col min="68" max="71" width="9.7109375" style="297" hidden="1" customWidth="1" outlineLevel="1"/>
    <col min="72" max="72" width="9.7109375" style="297" customWidth="1" collapsed="1"/>
    <col min="73" max="76" width="9.7109375" style="297" hidden="1" customWidth="1" outlineLevel="1"/>
    <col min="77" max="77" width="9.7109375" style="297" customWidth="1" collapsed="1"/>
    <col min="78" max="81" width="9.7109375" style="297" hidden="1" customWidth="1" outlineLevel="1"/>
    <col min="82" max="82" width="9.7109375" style="297" customWidth="1" collapsed="1"/>
    <col min="83" max="86" width="9.7109375" style="297" hidden="1" customWidth="1" outlineLevel="1"/>
    <col min="87" max="87" width="9.7109375" style="297" customWidth="1" collapsed="1"/>
    <col min="88" max="91" width="9.7109375" style="297" hidden="1" customWidth="1" outlineLevel="1"/>
    <col min="92" max="92" width="9.7109375" style="297" customWidth="1" collapsed="1"/>
    <col min="93" max="96" width="9.7109375" style="297" hidden="1" customWidth="1" outlineLevel="1"/>
    <col min="97" max="97" width="9.7109375" style="297" customWidth="1" collapsed="1"/>
    <col min="98" max="99" width="9.140625" style="298"/>
    <col min="100" max="100" width="63.140625" customWidth="1"/>
    <col min="101" max="103" width="9.140625" customWidth="1"/>
    <col min="106" max="16384" width="9.140625" style="298"/>
  </cols>
  <sheetData>
    <row r="1" spans="2:105" ht="14.25" customHeight="1">
      <c r="B1" s="296" t="s">
        <v>76</v>
      </c>
      <c r="C1" s="296"/>
      <c r="D1" s="296"/>
      <c r="E1" s="296"/>
      <c r="F1" s="296"/>
      <c r="H1" s="296"/>
      <c r="I1" s="296"/>
      <c r="J1" s="296"/>
      <c r="K1" s="296"/>
      <c r="M1" s="296"/>
      <c r="N1" s="296"/>
      <c r="O1" s="296"/>
      <c r="P1" s="296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</row>
    <row r="2" spans="2:105" ht="14.25" customHeight="1" thickBot="1">
      <c r="B2" s="299"/>
      <c r="C2" s="299"/>
      <c r="D2" s="299"/>
      <c r="E2" s="299"/>
      <c r="F2" s="299"/>
      <c r="G2" s="300"/>
      <c r="H2" s="299"/>
      <c r="I2" s="299"/>
      <c r="J2" s="299"/>
      <c r="K2" s="299"/>
      <c r="L2" s="301"/>
      <c r="M2" s="299"/>
      <c r="N2" s="299"/>
      <c r="O2" s="299"/>
      <c r="P2" s="299"/>
    </row>
    <row r="3" spans="2:105" s="302" customFormat="1" ht="14.25" hidden="1" customHeight="1" outlineLevel="1" thickBot="1">
      <c r="B3" s="479"/>
      <c r="C3" s="479"/>
      <c r="D3" s="479"/>
      <c r="E3" s="479"/>
      <c r="F3" s="479"/>
      <c r="G3" s="302" t="s">
        <v>0</v>
      </c>
      <c r="H3" s="479"/>
      <c r="I3" s="479"/>
      <c r="J3" s="479"/>
      <c r="K3" s="479"/>
      <c r="L3" s="302" t="s">
        <v>1</v>
      </c>
      <c r="M3" s="479"/>
      <c r="N3" s="479"/>
      <c r="O3" s="479"/>
      <c r="P3" s="479"/>
      <c r="Q3" s="302" t="s">
        <v>2</v>
      </c>
      <c r="V3" s="302" t="s">
        <v>3</v>
      </c>
      <c r="AA3" s="302" t="s">
        <v>4</v>
      </c>
      <c r="AB3" s="302" t="s">
        <v>417</v>
      </c>
      <c r="AC3" s="302" t="s">
        <v>418</v>
      </c>
      <c r="AD3" s="302" t="s">
        <v>419</v>
      </c>
      <c r="AE3" s="302" t="s">
        <v>420</v>
      </c>
      <c r="AF3" s="302" t="s">
        <v>5</v>
      </c>
      <c r="AG3" s="302" t="s">
        <v>421</v>
      </c>
      <c r="AH3" s="302" t="s">
        <v>422</v>
      </c>
      <c r="AI3" s="302" t="s">
        <v>423</v>
      </c>
      <c r="AJ3" s="302" t="s">
        <v>424</v>
      </c>
      <c r="AK3" s="302" t="s">
        <v>6</v>
      </c>
      <c r="AP3" s="302" t="s">
        <v>7</v>
      </c>
      <c r="AU3" s="302" t="s">
        <v>8</v>
      </c>
      <c r="AZ3" s="302" t="s">
        <v>175</v>
      </c>
      <c r="BE3" s="302" t="s">
        <v>425</v>
      </c>
      <c r="BJ3" s="302" t="s">
        <v>426</v>
      </c>
      <c r="BO3" s="302" t="s">
        <v>427</v>
      </c>
      <c r="BT3" s="302" t="s">
        <v>428</v>
      </c>
      <c r="BY3" s="302" t="s">
        <v>540</v>
      </c>
      <c r="CD3" s="302" t="s">
        <v>541</v>
      </c>
      <c r="CI3" s="302" t="s">
        <v>542</v>
      </c>
      <c r="CN3" s="302" t="s">
        <v>543</v>
      </c>
      <c r="CS3" s="302" t="s">
        <v>544</v>
      </c>
      <c r="CV3"/>
      <c r="CW3"/>
      <c r="CX3"/>
      <c r="CY3"/>
      <c r="CZ3"/>
      <c r="DA3"/>
    </row>
    <row r="4" spans="2:105" ht="14.25" customHeight="1" collapsed="1">
      <c r="B4" s="609" t="s">
        <v>246</v>
      </c>
      <c r="C4" s="303" t="s">
        <v>226</v>
      </c>
      <c r="D4" s="303" t="s">
        <v>227</v>
      </c>
      <c r="E4" s="303" t="s">
        <v>228</v>
      </c>
      <c r="F4" s="303" t="s">
        <v>75</v>
      </c>
      <c r="G4" s="304">
        <v>2012</v>
      </c>
      <c r="H4" s="305" t="s">
        <v>204</v>
      </c>
      <c r="I4" s="305" t="s">
        <v>187</v>
      </c>
      <c r="J4" s="305" t="s">
        <v>193</v>
      </c>
      <c r="K4" s="305" t="s">
        <v>203</v>
      </c>
      <c r="L4" s="306">
        <v>2013</v>
      </c>
      <c r="M4" s="474" t="s">
        <v>205</v>
      </c>
      <c r="N4" s="474" t="s">
        <v>229</v>
      </c>
      <c r="O4" s="474" t="s">
        <v>230</v>
      </c>
      <c r="P4" s="474" t="s">
        <v>231</v>
      </c>
      <c r="Q4" s="306">
        <v>2014</v>
      </c>
      <c r="R4" s="474" t="s">
        <v>232</v>
      </c>
      <c r="S4" s="474" t="s">
        <v>233</v>
      </c>
      <c r="T4" s="474" t="s">
        <v>408</v>
      </c>
      <c r="U4" s="474" t="s">
        <v>409</v>
      </c>
      <c r="V4" s="306">
        <v>2015</v>
      </c>
      <c r="W4" s="474" t="s">
        <v>411</v>
      </c>
      <c r="X4" s="474" t="s">
        <v>474</v>
      </c>
      <c r="Y4" s="474" t="s">
        <v>499</v>
      </c>
      <c r="Z4" s="474" t="s">
        <v>502</v>
      </c>
      <c r="AA4" s="306">
        <v>2016</v>
      </c>
      <c r="AB4" s="474" t="s">
        <v>503</v>
      </c>
      <c r="AC4" s="474" t="s">
        <v>504</v>
      </c>
      <c r="AD4" s="474" t="s">
        <v>552</v>
      </c>
      <c r="AE4" s="474" t="s">
        <v>557</v>
      </c>
      <c r="AF4" s="306">
        <v>2017</v>
      </c>
      <c r="AG4" s="474" t="s">
        <v>234</v>
      </c>
      <c r="AH4" s="474" t="s">
        <v>235</v>
      </c>
      <c r="AI4" s="474" t="s">
        <v>236</v>
      </c>
      <c r="AJ4" s="474" t="s">
        <v>237</v>
      </c>
      <c r="AK4" s="306" t="s">
        <v>9</v>
      </c>
      <c r="AL4" s="474" t="s">
        <v>238</v>
      </c>
      <c r="AM4" s="474" t="s">
        <v>239</v>
      </c>
      <c r="AN4" s="474" t="s">
        <v>240</v>
      </c>
      <c r="AO4" s="474" t="s">
        <v>241</v>
      </c>
      <c r="AP4" s="306" t="s">
        <v>10</v>
      </c>
      <c r="AQ4" s="474" t="s">
        <v>242</v>
      </c>
      <c r="AR4" s="474" t="s">
        <v>243</v>
      </c>
      <c r="AS4" s="474" t="s">
        <v>244</v>
      </c>
      <c r="AT4" s="474" t="s">
        <v>245</v>
      </c>
      <c r="AU4" s="306" t="s">
        <v>11</v>
      </c>
      <c r="AV4" s="474" t="s">
        <v>260</v>
      </c>
      <c r="AW4" s="474" t="s">
        <v>261</v>
      </c>
      <c r="AX4" s="474" t="s">
        <v>262</v>
      </c>
      <c r="AY4" s="474" t="s">
        <v>263</v>
      </c>
      <c r="AZ4" s="306" t="s">
        <v>70</v>
      </c>
      <c r="BA4" s="474" t="s">
        <v>260</v>
      </c>
      <c r="BB4" s="474" t="s">
        <v>261</v>
      </c>
      <c r="BC4" s="474" t="s">
        <v>262</v>
      </c>
      <c r="BD4" s="474" t="s">
        <v>263</v>
      </c>
      <c r="BE4" s="306" t="s">
        <v>369</v>
      </c>
      <c r="BF4" s="474" t="s">
        <v>365</v>
      </c>
      <c r="BG4" s="474" t="s">
        <v>366</v>
      </c>
      <c r="BH4" s="474" t="s">
        <v>367</v>
      </c>
      <c r="BI4" s="474" t="s">
        <v>368</v>
      </c>
      <c r="BJ4" s="306" t="s">
        <v>370</v>
      </c>
      <c r="BK4" s="474" t="s">
        <v>398</v>
      </c>
      <c r="BL4" s="474" t="s">
        <v>399</v>
      </c>
      <c r="BM4" s="474" t="s">
        <v>400</v>
      </c>
      <c r="BN4" s="474" t="s">
        <v>401</v>
      </c>
      <c r="BO4" s="306" t="s">
        <v>402</v>
      </c>
      <c r="BP4" s="474" t="s">
        <v>404</v>
      </c>
      <c r="BQ4" s="474" t="s">
        <v>405</v>
      </c>
      <c r="BR4" s="474" t="s">
        <v>406</v>
      </c>
      <c r="BS4" s="474" t="s">
        <v>407</v>
      </c>
      <c r="BT4" s="306" t="s">
        <v>403</v>
      </c>
      <c r="BU4" s="474" t="s">
        <v>515</v>
      </c>
      <c r="BV4" s="474" t="s">
        <v>516</v>
      </c>
      <c r="BW4" s="474" t="s">
        <v>517</v>
      </c>
      <c r="BX4" s="474" t="s">
        <v>518</v>
      </c>
      <c r="BY4" s="306" t="s">
        <v>519</v>
      </c>
      <c r="BZ4" s="474" t="s">
        <v>520</v>
      </c>
      <c r="CA4" s="474" t="s">
        <v>521</v>
      </c>
      <c r="CB4" s="474" t="s">
        <v>522</v>
      </c>
      <c r="CC4" s="474" t="s">
        <v>523</v>
      </c>
      <c r="CD4" s="306" t="s">
        <v>524</v>
      </c>
      <c r="CE4" s="474" t="s">
        <v>525</v>
      </c>
      <c r="CF4" s="474" t="s">
        <v>526</v>
      </c>
      <c r="CG4" s="474" t="s">
        <v>527</v>
      </c>
      <c r="CH4" s="474" t="s">
        <v>528</v>
      </c>
      <c r="CI4" s="306" t="s">
        <v>529</v>
      </c>
      <c r="CJ4" s="474" t="s">
        <v>530</v>
      </c>
      <c r="CK4" s="474" t="s">
        <v>531</v>
      </c>
      <c r="CL4" s="474" t="s">
        <v>532</v>
      </c>
      <c r="CM4" s="474" t="s">
        <v>533</v>
      </c>
      <c r="CN4" s="306" t="s">
        <v>534</v>
      </c>
      <c r="CO4" s="474" t="s">
        <v>535</v>
      </c>
      <c r="CP4" s="474" t="s">
        <v>536</v>
      </c>
      <c r="CQ4" s="474" t="s">
        <v>537</v>
      </c>
      <c r="CR4" s="474" t="s">
        <v>538</v>
      </c>
      <c r="CS4" s="306" t="s">
        <v>539</v>
      </c>
    </row>
    <row r="5" spans="2:105" ht="14.25" customHeight="1">
      <c r="B5" s="614" t="s">
        <v>498</v>
      </c>
      <c r="C5" s="307"/>
      <c r="D5" s="307"/>
      <c r="E5" s="307"/>
      <c r="F5" s="307"/>
      <c r="G5" s="308"/>
      <c r="H5" s="309"/>
      <c r="I5" s="309"/>
      <c r="J5" s="309"/>
      <c r="K5" s="309"/>
      <c r="L5" s="310"/>
      <c r="M5" s="475"/>
      <c r="N5" s="475"/>
      <c r="O5" s="475"/>
      <c r="P5" s="475"/>
      <c r="Q5" s="310"/>
      <c r="R5" s="475"/>
      <c r="S5" s="475"/>
      <c r="T5" s="475"/>
      <c r="U5" s="475"/>
      <c r="V5" s="310"/>
      <c r="W5" s="475"/>
      <c r="X5" s="475"/>
      <c r="Y5" s="475"/>
      <c r="Z5" s="475"/>
      <c r="AA5" s="310"/>
      <c r="AB5" s="475"/>
      <c r="AC5" s="475"/>
      <c r="AD5" s="475"/>
      <c r="AE5" s="475"/>
      <c r="AF5" s="310"/>
      <c r="AG5" s="475"/>
      <c r="AH5" s="475"/>
      <c r="AI5" s="475"/>
      <c r="AJ5" s="475"/>
      <c r="AK5" s="310"/>
      <c r="AL5" s="475"/>
      <c r="AM5" s="475"/>
      <c r="AN5" s="475"/>
      <c r="AO5" s="475"/>
      <c r="AP5" s="310"/>
      <c r="AQ5" s="475"/>
      <c r="AR5" s="475"/>
      <c r="AS5" s="475"/>
      <c r="AT5" s="475"/>
      <c r="AU5" s="310"/>
      <c r="AV5" s="475"/>
      <c r="AW5" s="475"/>
      <c r="AX5" s="475"/>
      <c r="AY5" s="475"/>
      <c r="AZ5" s="310"/>
      <c r="BA5" s="475"/>
      <c r="BB5" s="475"/>
      <c r="BC5" s="475"/>
      <c r="BD5" s="475"/>
      <c r="BE5" s="310"/>
      <c r="BF5" s="475"/>
      <c r="BG5" s="475"/>
      <c r="BH5" s="475"/>
      <c r="BI5" s="475"/>
      <c r="BJ5" s="310"/>
      <c r="BK5" s="475"/>
      <c r="BL5" s="475"/>
      <c r="BM5" s="475"/>
      <c r="BN5" s="475"/>
      <c r="BO5" s="310"/>
      <c r="BP5" s="475"/>
      <c r="BQ5" s="475"/>
      <c r="BR5" s="475"/>
      <c r="BS5" s="475"/>
      <c r="BT5" s="310"/>
      <c r="BU5" s="475"/>
      <c r="BV5" s="475"/>
      <c r="BW5" s="475"/>
      <c r="BX5" s="475"/>
      <c r="BY5" s="310"/>
      <c r="BZ5" s="475"/>
      <c r="CA5" s="475"/>
      <c r="CB5" s="475"/>
      <c r="CC5" s="475"/>
      <c r="CD5" s="310"/>
      <c r="CE5" s="475"/>
      <c r="CF5" s="475"/>
      <c r="CG5" s="475"/>
      <c r="CH5" s="475"/>
      <c r="CI5" s="310"/>
      <c r="CJ5" s="475"/>
      <c r="CK5" s="475"/>
      <c r="CL5" s="475"/>
      <c r="CM5" s="475"/>
      <c r="CN5" s="310"/>
      <c r="CO5" s="475"/>
      <c r="CP5" s="475"/>
      <c r="CQ5" s="475"/>
      <c r="CR5" s="475"/>
      <c r="CS5" s="310"/>
    </row>
    <row r="6" spans="2:105" ht="15" customHeight="1">
      <c r="B6" s="610" t="s">
        <v>12</v>
      </c>
      <c r="C6" s="610"/>
      <c r="D6" s="610"/>
      <c r="E6" s="610"/>
      <c r="F6" s="610"/>
      <c r="G6" s="311"/>
      <c r="H6" s="611"/>
      <c r="I6" s="611"/>
      <c r="J6" s="611"/>
      <c r="K6" s="611"/>
      <c r="L6" s="311"/>
      <c r="M6" s="597"/>
      <c r="N6" s="597"/>
      <c r="O6" s="597"/>
      <c r="P6" s="475"/>
      <c r="Q6" s="477"/>
      <c r="R6" s="597"/>
      <c r="S6" s="597"/>
      <c r="T6" s="597"/>
      <c r="U6" s="475"/>
      <c r="V6" s="477"/>
      <c r="W6" s="597"/>
      <c r="X6" s="597"/>
      <c r="Y6" s="597"/>
      <c r="Z6" s="475"/>
      <c r="AA6" s="477"/>
      <c r="AB6" s="597"/>
      <c r="AC6" s="597"/>
      <c r="AD6" s="597"/>
      <c r="AE6" s="475"/>
      <c r="AF6" s="477"/>
      <c r="AG6" s="476"/>
      <c r="AH6" s="476"/>
      <c r="AI6" s="476"/>
      <c r="AJ6" s="475"/>
      <c r="AK6" s="477"/>
      <c r="AL6" s="476"/>
      <c r="AM6" s="476"/>
      <c r="AN6" s="476"/>
      <c r="AO6" s="475"/>
      <c r="AP6" s="477"/>
      <c r="AQ6" s="476"/>
      <c r="AR6" s="476"/>
      <c r="AS6" s="476"/>
      <c r="AT6" s="475"/>
      <c r="AU6" s="477"/>
      <c r="AV6" s="476"/>
      <c r="AW6" s="476"/>
      <c r="AX6" s="476"/>
      <c r="AY6" s="475"/>
      <c r="AZ6" s="477"/>
      <c r="BA6" s="476"/>
      <c r="BB6" s="476"/>
      <c r="BC6" s="476"/>
      <c r="BD6" s="475"/>
      <c r="BE6" s="477"/>
      <c r="BF6" s="476"/>
      <c r="BG6" s="476"/>
      <c r="BH6" s="476"/>
      <c r="BI6" s="475"/>
      <c r="BJ6" s="477"/>
      <c r="BK6" s="476"/>
      <c r="BL6" s="476"/>
      <c r="BM6" s="476"/>
      <c r="BN6" s="475"/>
      <c r="BO6" s="477"/>
      <c r="BP6" s="476"/>
      <c r="BQ6" s="476"/>
      <c r="BR6" s="476"/>
      <c r="BS6" s="475"/>
      <c r="BT6" s="477"/>
      <c r="BU6" s="476"/>
      <c r="BV6" s="476"/>
      <c r="BW6" s="476"/>
      <c r="BX6" s="475"/>
      <c r="BY6" s="477"/>
      <c r="BZ6" s="476"/>
      <c r="CA6" s="476"/>
      <c r="CB6" s="476"/>
      <c r="CC6" s="475"/>
      <c r="CD6" s="477"/>
      <c r="CE6" s="476"/>
      <c r="CF6" s="476"/>
      <c r="CG6" s="476"/>
      <c r="CH6" s="475"/>
      <c r="CI6" s="477"/>
      <c r="CJ6" s="476"/>
      <c r="CK6" s="476"/>
      <c r="CL6" s="476"/>
      <c r="CM6" s="475"/>
      <c r="CN6" s="477"/>
      <c r="CO6" s="476"/>
      <c r="CP6" s="476"/>
      <c r="CQ6" s="476"/>
      <c r="CR6" s="475"/>
      <c r="CS6" s="477"/>
    </row>
    <row r="7" spans="2:105" ht="15" customHeight="1">
      <c r="B7" s="331" t="s">
        <v>391</v>
      </c>
      <c r="C7" s="312"/>
      <c r="D7" s="312"/>
      <c r="E7" s="312"/>
      <c r="F7" s="312"/>
      <c r="G7" s="313"/>
      <c r="H7" s="312"/>
      <c r="I7" s="312"/>
      <c r="J7" s="312"/>
      <c r="K7" s="312"/>
      <c r="L7" s="313"/>
      <c r="M7" s="312">
        <v>0</v>
      </c>
      <c r="N7" s="312">
        <v>0</v>
      </c>
      <c r="O7" s="312">
        <v>0</v>
      </c>
      <c r="P7" s="312">
        <v>0</v>
      </c>
      <c r="Q7" s="313"/>
      <c r="R7" s="312"/>
      <c r="S7" s="312"/>
      <c r="T7" s="312"/>
      <c r="U7" s="312"/>
      <c r="V7" s="313"/>
      <c r="W7" s="312"/>
      <c r="X7" s="312"/>
      <c r="Y7" s="312"/>
      <c r="Z7" s="312"/>
      <c r="AA7" s="313"/>
      <c r="AB7" s="312"/>
      <c r="AC7" s="312"/>
      <c r="AD7" s="312"/>
      <c r="AE7" s="312"/>
      <c r="AF7" s="313"/>
      <c r="AG7" s="312"/>
      <c r="AH7" s="312"/>
      <c r="AI7" s="312">
        <f>AI8+AI9</f>
        <v>17.271826208820855</v>
      </c>
      <c r="AJ7" s="312">
        <f>AJ8+AJ9</f>
        <v>51.815478626462564</v>
      </c>
      <c r="AK7" s="313">
        <f>AK8+AK9</f>
        <v>69.087304835283419</v>
      </c>
      <c r="AL7" s="312"/>
      <c r="AM7" s="312"/>
      <c r="AN7" s="312"/>
      <c r="AO7" s="312"/>
      <c r="AP7" s="313">
        <f>AP8+AP9</f>
        <v>335.02517737583855</v>
      </c>
      <c r="AQ7" s="312"/>
      <c r="AR7" s="312"/>
      <c r="AS7" s="312"/>
      <c r="AT7" s="312"/>
      <c r="AU7" s="313">
        <f>AU8+AU9</f>
        <v>772.52594493750735</v>
      </c>
      <c r="AV7" s="312"/>
      <c r="AW7" s="312"/>
      <c r="AX7" s="312"/>
      <c r="AY7" s="312"/>
      <c r="AZ7" s="313">
        <f>AZ8+AZ9</f>
        <v>1230.758280390645</v>
      </c>
      <c r="BA7" s="312"/>
      <c r="BB7" s="312"/>
      <c r="BC7" s="312"/>
      <c r="BD7" s="312"/>
      <c r="BE7" s="313">
        <f>BE8+BE9</f>
        <v>1650.0075349564645</v>
      </c>
      <c r="BF7" s="312"/>
      <c r="BG7" s="312"/>
      <c r="BH7" s="312"/>
      <c r="BI7" s="312"/>
      <c r="BJ7" s="313">
        <f>BJ8+BJ9</f>
        <v>2032.3346656249525</v>
      </c>
      <c r="BK7" s="312"/>
      <c r="BL7" s="312"/>
      <c r="BM7" s="312"/>
      <c r="BN7" s="312"/>
      <c r="BO7" s="313">
        <f>BO8+BO9</f>
        <v>2379.0676803753172</v>
      </c>
      <c r="BP7" s="312"/>
      <c r="BQ7" s="312"/>
      <c r="BR7" s="312"/>
      <c r="BS7" s="312"/>
      <c r="BT7" s="313">
        <f>BT8+BT9</f>
        <v>2692.8778235550803</v>
      </c>
      <c r="BU7" s="312"/>
      <c r="BV7" s="312"/>
      <c r="BW7" s="312"/>
      <c r="BX7" s="312"/>
      <c r="BY7" s="313">
        <f>BY8+BY9</f>
        <v>2974.1021677034651</v>
      </c>
      <c r="BZ7" s="312"/>
      <c r="CA7" s="312"/>
      <c r="CB7" s="312"/>
      <c r="CC7" s="312"/>
      <c r="CD7" s="313">
        <f>CD8+CD9</f>
        <v>3221.8513771465828</v>
      </c>
      <c r="CE7" s="312"/>
      <c r="CF7" s="312"/>
      <c r="CG7" s="312"/>
      <c r="CH7" s="312"/>
      <c r="CI7" s="313">
        <f>CI8+CI9</f>
        <v>3438.1385065262452</v>
      </c>
      <c r="CJ7" s="312"/>
      <c r="CK7" s="312"/>
      <c r="CL7" s="312"/>
      <c r="CM7" s="312"/>
      <c r="CN7" s="313">
        <f>CN8+CN9</f>
        <v>3625.4090214355483</v>
      </c>
      <c r="CO7" s="312"/>
      <c r="CP7" s="312"/>
      <c r="CQ7" s="312"/>
      <c r="CR7" s="312"/>
      <c r="CS7" s="313">
        <f>CS8+CS9</f>
        <v>3784.5166067577575</v>
      </c>
    </row>
    <row r="8" spans="2:105" ht="15" customHeight="1">
      <c r="B8" s="605" t="s">
        <v>358</v>
      </c>
      <c r="C8" s="312"/>
      <c r="D8" s="312"/>
      <c r="E8" s="312"/>
      <c r="F8" s="312"/>
      <c r="G8" s="313"/>
      <c r="H8" s="312"/>
      <c r="I8" s="312"/>
      <c r="J8" s="312"/>
      <c r="K8" s="312"/>
      <c r="L8" s="313"/>
      <c r="M8" s="312"/>
      <c r="N8" s="312"/>
      <c r="O8" s="312"/>
      <c r="P8" s="312"/>
      <c r="Q8" s="313"/>
      <c r="R8" s="312"/>
      <c r="S8" s="312"/>
      <c r="T8" s="312"/>
      <c r="U8" s="312"/>
      <c r="V8" s="313"/>
      <c r="W8" s="312"/>
      <c r="X8" s="312"/>
      <c r="Y8" s="312"/>
      <c r="Z8" s="312"/>
      <c r="AA8" s="313"/>
      <c r="AB8" s="312"/>
      <c r="AC8" s="312"/>
      <c r="AD8" s="312"/>
      <c r="AE8" s="312"/>
      <c r="AF8" s="313"/>
      <c r="AG8" s="312"/>
      <c r="AH8" s="312"/>
      <c r="AI8" s="312">
        <f>AK8*0.25</f>
        <v>17.271826208820855</v>
      </c>
      <c r="AJ8" s="312">
        <f>AK8-AI8</f>
        <v>51.815478626462564</v>
      </c>
      <c r="AK8" s="313">
        <f>'hATTR-PN Mkt Model'!H148+'hATTR-PN Mkt Model'!H149+'hATTR-PN Mkt Model'!H150</f>
        <v>69.087304835283419</v>
      </c>
      <c r="AL8" s="312"/>
      <c r="AM8" s="312"/>
      <c r="AN8" s="312"/>
      <c r="AO8" s="312"/>
      <c r="AP8" s="313">
        <f>'hATTR-PN Mkt Model'!I148+'hATTR-PN Mkt Model'!I149+'hATTR-PN Mkt Model'!I150</f>
        <v>316.85161107943412</v>
      </c>
      <c r="AQ8" s="312"/>
      <c r="AR8" s="312"/>
      <c r="AS8" s="312"/>
      <c r="AT8" s="312"/>
      <c r="AU8" s="313">
        <f>'hATTR-PN Mkt Model'!J148+'hATTR-PN Mkt Model'!J149+'hATTR-PN Mkt Model'!J150</f>
        <v>701.51428853861808</v>
      </c>
      <c r="AV8" s="312"/>
      <c r="AW8" s="312"/>
      <c r="AX8" s="312"/>
      <c r="AY8" s="312"/>
      <c r="AZ8" s="313">
        <f>'hATTR-PN Mkt Model'!K148+'hATTR-PN Mkt Model'!K149+'hATTR-PN Mkt Model'!K150</f>
        <v>1100.4011243056459</v>
      </c>
      <c r="BA8" s="312"/>
      <c r="BB8" s="312"/>
      <c r="BC8" s="312"/>
      <c r="BD8" s="312"/>
      <c r="BE8" s="313">
        <f>'hATTR-PN Mkt Model'!L148+'hATTR-PN Mkt Model'!L149+'hATTR-PN Mkt Model'!L150</f>
        <v>1474.3801142688853</v>
      </c>
      <c r="BF8" s="312"/>
      <c r="BG8" s="312"/>
      <c r="BH8" s="312"/>
      <c r="BI8" s="312"/>
      <c r="BJ8" s="313">
        <f>'hATTR-PN Mkt Model'!M148+'hATTR-PN Mkt Model'!M149+'hATTR-PN Mkt Model'!M150</f>
        <v>1821.2298717719809</v>
      </c>
      <c r="BK8" s="312"/>
      <c r="BL8" s="312"/>
      <c r="BM8" s="312"/>
      <c r="BN8" s="312"/>
      <c r="BO8" s="313">
        <f>'hATTR-PN Mkt Model'!N148+'hATTR-PN Mkt Model'!N149+'hATTR-PN Mkt Model'!N150</f>
        <v>2141.4864727056843</v>
      </c>
      <c r="BP8" s="312"/>
      <c r="BQ8" s="312"/>
      <c r="BR8" s="312"/>
      <c r="BS8" s="312"/>
      <c r="BT8" s="313">
        <f>'hATTR-PN Mkt Model'!O148+'hATTR-PN Mkt Model'!O149+'hATTR-PN Mkt Model'!O150</f>
        <v>2434.1236713199382</v>
      </c>
      <c r="BU8" s="312"/>
      <c r="BV8" s="312"/>
      <c r="BW8" s="312"/>
      <c r="BX8" s="312"/>
      <c r="BY8" s="313">
        <f>'hATTR-PN Mkt Model'!P148+'hATTR-PN Mkt Model'!P149+'hATTR-PN Mkt Model'!P150</f>
        <v>2697.5728226915494</v>
      </c>
      <c r="BZ8" s="312"/>
      <c r="CA8" s="312"/>
      <c r="CB8" s="312"/>
      <c r="CC8" s="312"/>
      <c r="CD8" s="313">
        <f>'hATTR-PN Mkt Model'!Q148+'hATTR-PN Mkt Model'!Q149+'hATTR-PN Mkt Model'!Q150</f>
        <v>2931.6607211890687</v>
      </c>
      <c r="CE8" s="312"/>
      <c r="CF8" s="312"/>
      <c r="CG8" s="312"/>
      <c r="CH8" s="312"/>
      <c r="CI8" s="313">
        <f>'hATTR-PN Mkt Model'!R148+'hATTR-PN Mkt Model'!R149+'hATTR-PN Mkt Model'!R150</f>
        <v>3136.7693617984755</v>
      </c>
      <c r="CJ8" s="312"/>
      <c r="CK8" s="312"/>
      <c r="CL8" s="312"/>
      <c r="CM8" s="312"/>
      <c r="CN8" s="313">
        <f>'hATTR-PN Mkt Model'!S148+'hATTR-PN Mkt Model'!S149+'hATTR-PN Mkt Model'!S150</f>
        <v>3313.2381883084445</v>
      </c>
      <c r="CO8" s="312"/>
      <c r="CP8" s="312"/>
      <c r="CQ8" s="312"/>
      <c r="CR8" s="312"/>
      <c r="CS8" s="313">
        <f>'hATTR-PN Mkt Model'!T148+'hATTR-PN Mkt Model'!T149+'hATTR-PN Mkt Model'!T150</f>
        <v>3461.3651746537953</v>
      </c>
    </row>
    <row r="9" spans="2:105" ht="15" customHeight="1">
      <c r="B9" s="605" t="s">
        <v>500</v>
      </c>
      <c r="C9" s="312"/>
      <c r="D9" s="312"/>
      <c r="E9" s="312"/>
      <c r="F9" s="312"/>
      <c r="G9" s="313"/>
      <c r="H9" s="312"/>
      <c r="I9" s="312"/>
      <c r="J9" s="312"/>
      <c r="K9" s="312"/>
      <c r="L9" s="313"/>
      <c r="M9" s="312"/>
      <c r="N9" s="312"/>
      <c r="O9" s="312"/>
      <c r="P9" s="312"/>
      <c r="Q9" s="313"/>
      <c r="R9" s="312"/>
      <c r="S9" s="312"/>
      <c r="T9" s="312"/>
      <c r="U9" s="312"/>
      <c r="V9" s="313"/>
      <c r="W9" s="312"/>
      <c r="X9" s="312"/>
      <c r="Y9" s="312"/>
      <c r="Z9" s="312"/>
      <c r="AA9" s="313"/>
      <c r="AB9" s="312"/>
      <c r="AC9" s="312"/>
      <c r="AD9" s="312"/>
      <c r="AE9" s="312"/>
      <c r="AF9" s="313"/>
      <c r="AG9" s="312"/>
      <c r="AH9" s="312"/>
      <c r="AI9" s="312"/>
      <c r="AJ9" s="312"/>
      <c r="AK9" s="313">
        <f>Givosiran!H75</f>
        <v>0</v>
      </c>
      <c r="AL9" s="312"/>
      <c r="AM9" s="312"/>
      <c r="AN9" s="312"/>
      <c r="AO9" s="312"/>
      <c r="AP9" s="313">
        <f>Givosiran!I75</f>
        <v>18.173566296404402</v>
      </c>
      <c r="AQ9" s="312"/>
      <c r="AR9" s="312"/>
      <c r="AS9" s="312"/>
      <c r="AT9" s="312"/>
      <c r="AU9" s="313">
        <f>Givosiran!J75</f>
        <v>71.011656398889301</v>
      </c>
      <c r="AV9" s="312"/>
      <c r="AW9" s="312"/>
      <c r="AX9" s="312"/>
      <c r="AY9" s="312"/>
      <c r="AZ9" s="313">
        <f>Givosiran!K75</f>
        <v>130.35715608499913</v>
      </c>
      <c r="BA9" s="312"/>
      <c r="BB9" s="312"/>
      <c r="BC9" s="312"/>
      <c r="BD9" s="312"/>
      <c r="BE9" s="313">
        <f>Givosiran!L75</f>
        <v>175.62742068757905</v>
      </c>
      <c r="BF9" s="312"/>
      <c r="BG9" s="312"/>
      <c r="BH9" s="312"/>
      <c r="BI9" s="312"/>
      <c r="BJ9" s="313">
        <f>Givosiran!M75</f>
        <v>211.10479385297157</v>
      </c>
      <c r="BK9" s="312"/>
      <c r="BL9" s="312"/>
      <c r="BM9" s="312"/>
      <c r="BN9" s="312"/>
      <c r="BO9" s="313">
        <f>Givosiran!N75</f>
        <v>237.58120766963299</v>
      </c>
      <c r="BP9" s="312"/>
      <c r="BQ9" s="312"/>
      <c r="BR9" s="312"/>
      <c r="BS9" s="312"/>
      <c r="BT9" s="313">
        <f>Givosiran!O75</f>
        <v>258.7541522351421</v>
      </c>
      <c r="BU9" s="312"/>
      <c r="BV9" s="312"/>
      <c r="BW9" s="312"/>
      <c r="BX9" s="312"/>
      <c r="BY9" s="313">
        <f>Givosiran!P75</f>
        <v>276.52934501191544</v>
      </c>
      <c r="BZ9" s="312"/>
      <c r="CA9" s="312"/>
      <c r="CB9" s="312"/>
      <c r="CC9" s="312"/>
      <c r="CD9" s="313">
        <f>Givosiran!Q75</f>
        <v>290.19065595751397</v>
      </c>
      <c r="CE9" s="312"/>
      <c r="CF9" s="312"/>
      <c r="CG9" s="312"/>
      <c r="CH9" s="312"/>
      <c r="CI9" s="313">
        <f>Givosiran!R75</f>
        <v>301.36914472776971</v>
      </c>
      <c r="CJ9" s="312"/>
      <c r="CK9" s="312"/>
      <c r="CL9" s="312"/>
      <c r="CM9" s="312"/>
      <c r="CN9" s="313">
        <f>Givosiran!S75</f>
        <v>312.17083312710372</v>
      </c>
      <c r="CO9" s="312"/>
      <c r="CP9" s="312"/>
      <c r="CQ9" s="312"/>
      <c r="CR9" s="312"/>
      <c r="CS9" s="313">
        <f>Givosiran!T75</f>
        <v>323.15143210396212</v>
      </c>
    </row>
    <row r="10" spans="2:105" ht="15" customHeight="1">
      <c r="B10" s="605"/>
      <c r="C10" s="312"/>
      <c r="D10" s="312"/>
      <c r="E10" s="312"/>
      <c r="F10" s="312"/>
      <c r="G10" s="313"/>
      <c r="H10" s="312"/>
      <c r="I10" s="312"/>
      <c r="J10" s="312"/>
      <c r="K10" s="312"/>
      <c r="L10" s="313"/>
      <c r="M10" s="312"/>
      <c r="N10" s="312"/>
      <c r="O10" s="312"/>
      <c r="P10" s="312"/>
      <c r="Q10" s="313"/>
      <c r="R10" s="312"/>
      <c r="S10" s="312"/>
      <c r="T10" s="312"/>
      <c r="U10" s="312"/>
      <c r="V10" s="313"/>
      <c r="W10" s="312"/>
      <c r="X10" s="312"/>
      <c r="Y10" s="312"/>
      <c r="Z10" s="312"/>
      <c r="AA10" s="313"/>
      <c r="AB10" s="312"/>
      <c r="AC10" s="312"/>
      <c r="AD10" s="312"/>
      <c r="AE10" s="312"/>
      <c r="AF10" s="313"/>
      <c r="AG10" s="312"/>
      <c r="AH10" s="312"/>
      <c r="AI10" s="312"/>
      <c r="AJ10" s="312"/>
      <c r="AK10" s="313"/>
      <c r="AL10" s="312"/>
      <c r="AM10" s="312"/>
      <c r="AN10" s="312"/>
      <c r="AO10" s="312"/>
      <c r="AP10" s="313"/>
      <c r="AQ10" s="312"/>
      <c r="AR10" s="312"/>
      <c r="AS10" s="312"/>
      <c r="AT10" s="312"/>
      <c r="AU10" s="313"/>
      <c r="AV10" s="312"/>
      <c r="AW10" s="312"/>
      <c r="AX10" s="312"/>
      <c r="AY10" s="312"/>
      <c r="AZ10" s="313"/>
      <c r="BA10" s="312"/>
      <c r="BB10" s="312"/>
      <c r="BC10" s="312"/>
      <c r="BD10" s="312"/>
      <c r="BE10" s="313"/>
      <c r="BF10" s="312"/>
      <c r="BG10" s="312"/>
      <c r="BH10" s="312"/>
      <c r="BI10" s="312"/>
      <c r="BJ10" s="313"/>
      <c r="BK10" s="312"/>
      <c r="BL10" s="312"/>
      <c r="BM10" s="312"/>
      <c r="BN10" s="312"/>
      <c r="BO10" s="313"/>
      <c r="BP10" s="312"/>
      <c r="BQ10" s="312"/>
      <c r="BR10" s="312"/>
      <c r="BS10" s="312"/>
      <c r="BT10" s="313"/>
      <c r="BU10" s="312"/>
      <c r="BV10" s="312"/>
      <c r="BW10" s="312"/>
      <c r="BX10" s="312"/>
      <c r="BY10" s="313"/>
      <c r="BZ10" s="312"/>
      <c r="CA10" s="312"/>
      <c r="CB10" s="312"/>
      <c r="CC10" s="312"/>
      <c r="CD10" s="313"/>
      <c r="CE10" s="312"/>
      <c r="CF10" s="312"/>
      <c r="CG10" s="312"/>
      <c r="CH10" s="312"/>
      <c r="CI10" s="313"/>
      <c r="CJ10" s="312"/>
      <c r="CK10" s="312"/>
      <c r="CL10" s="312"/>
      <c r="CM10" s="312"/>
      <c r="CN10" s="313"/>
      <c r="CO10" s="312"/>
      <c r="CP10" s="312"/>
      <c r="CQ10" s="312"/>
      <c r="CR10" s="312"/>
      <c r="CS10" s="313"/>
    </row>
    <row r="11" spans="2:105" ht="15" customHeight="1">
      <c r="B11" s="331" t="s">
        <v>392</v>
      </c>
      <c r="C11" s="312"/>
      <c r="D11" s="312"/>
      <c r="E11" s="312"/>
      <c r="F11" s="312"/>
      <c r="G11" s="313"/>
      <c r="H11" s="312"/>
      <c r="I11" s="312"/>
      <c r="J11" s="312"/>
      <c r="K11" s="312"/>
      <c r="L11" s="313"/>
      <c r="M11" s="312"/>
      <c r="N11" s="312"/>
      <c r="O11" s="312"/>
      <c r="P11" s="312"/>
      <c r="Q11" s="313"/>
      <c r="R11" s="312"/>
      <c r="S11" s="312"/>
      <c r="T11" s="312"/>
      <c r="U11" s="312"/>
      <c r="V11" s="313"/>
      <c r="W11" s="312"/>
      <c r="X11" s="312"/>
      <c r="Y11" s="312"/>
      <c r="Z11" s="312"/>
      <c r="AA11" s="313"/>
      <c r="AB11" s="312"/>
      <c r="AC11" s="312"/>
      <c r="AD11" s="312"/>
      <c r="AE11" s="312"/>
      <c r="AF11" s="313"/>
      <c r="AG11" s="312"/>
      <c r="AH11" s="312"/>
      <c r="AI11" s="312"/>
      <c r="AJ11" s="312"/>
      <c r="AK11" s="313"/>
      <c r="AL11" s="312"/>
      <c r="AM11" s="312"/>
      <c r="AN11" s="312"/>
      <c r="AO11" s="312"/>
      <c r="AP11" s="313">
        <f>AP12</f>
        <v>0</v>
      </c>
      <c r="AQ11" s="312"/>
      <c r="AR11" s="312"/>
      <c r="AS11" s="312"/>
      <c r="AT11" s="312"/>
      <c r="AU11" s="313">
        <f>AU12</f>
        <v>0</v>
      </c>
      <c r="AV11" s="312"/>
      <c r="AW11" s="312"/>
      <c r="AX11" s="312"/>
      <c r="AY11" s="312"/>
      <c r="AZ11" s="313">
        <f>AZ12</f>
        <v>0</v>
      </c>
      <c r="BA11" s="312"/>
      <c r="BB11" s="312"/>
      <c r="BC11" s="312"/>
      <c r="BD11" s="312"/>
      <c r="BE11" s="313">
        <f>BE12</f>
        <v>0</v>
      </c>
      <c r="BF11" s="312"/>
      <c r="BG11" s="312"/>
      <c r="BH11" s="312"/>
      <c r="BI11" s="312"/>
      <c r="BJ11" s="313">
        <f>BJ12</f>
        <v>0</v>
      </c>
      <c r="BK11" s="312"/>
      <c r="BL11" s="312"/>
      <c r="BM11" s="312"/>
      <c r="BN11" s="312"/>
      <c r="BO11" s="313">
        <f>BO12</f>
        <v>0</v>
      </c>
      <c r="BP11" s="312"/>
      <c r="BQ11" s="312"/>
      <c r="BR11" s="312"/>
      <c r="BS11" s="312"/>
      <c r="BT11" s="313">
        <f>BT12</f>
        <v>0</v>
      </c>
      <c r="BU11" s="312"/>
      <c r="BV11" s="312"/>
      <c r="BW11" s="312"/>
      <c r="BX11" s="312"/>
      <c r="BY11" s="313">
        <f>BY12</f>
        <v>0</v>
      </c>
      <c r="BZ11" s="312"/>
      <c r="CA11" s="312"/>
      <c r="CB11" s="312"/>
      <c r="CC11" s="312"/>
      <c r="CD11" s="313">
        <f>CD12</f>
        <v>0</v>
      </c>
      <c r="CE11" s="312"/>
      <c r="CF11" s="312"/>
      <c r="CG11" s="312"/>
      <c r="CH11" s="312"/>
      <c r="CI11" s="313">
        <f>CI12</f>
        <v>0</v>
      </c>
      <c r="CJ11" s="312"/>
      <c r="CK11" s="312"/>
      <c r="CL11" s="312"/>
      <c r="CM11" s="312"/>
      <c r="CN11" s="313">
        <f>CN12</f>
        <v>0</v>
      </c>
      <c r="CO11" s="312"/>
      <c r="CP11" s="312"/>
      <c r="CQ11" s="312"/>
      <c r="CR11" s="312"/>
      <c r="CS11" s="313">
        <f>CS12</f>
        <v>0</v>
      </c>
    </row>
    <row r="12" spans="2:105" ht="15" customHeight="1">
      <c r="B12" s="605" t="s">
        <v>415</v>
      </c>
      <c r="C12" s="312"/>
      <c r="D12" s="312"/>
      <c r="E12" s="312"/>
      <c r="F12" s="312"/>
      <c r="G12" s="313"/>
      <c r="H12" s="312"/>
      <c r="I12" s="312"/>
      <c r="J12" s="312"/>
      <c r="K12" s="312"/>
      <c r="L12" s="313"/>
      <c r="M12" s="312"/>
      <c r="N12" s="312"/>
      <c r="O12" s="312"/>
      <c r="P12" s="312"/>
      <c r="Q12" s="313"/>
      <c r="R12" s="312"/>
      <c r="S12" s="312"/>
      <c r="T12" s="312"/>
      <c r="U12" s="312"/>
      <c r="V12" s="313"/>
      <c r="W12" s="312"/>
      <c r="X12" s="312"/>
      <c r="Y12" s="312"/>
      <c r="Z12" s="312"/>
      <c r="AA12" s="313"/>
      <c r="AB12" s="312"/>
      <c r="AC12" s="312"/>
      <c r="AD12" s="312"/>
      <c r="AE12" s="312"/>
      <c r="AF12" s="313"/>
      <c r="AG12" s="312"/>
      <c r="AH12" s="312"/>
      <c r="AI12" s="312"/>
      <c r="AJ12" s="312"/>
      <c r="AK12" s="313"/>
      <c r="AL12" s="312"/>
      <c r="AM12" s="312"/>
      <c r="AN12" s="312"/>
      <c r="AO12" s="312"/>
      <c r="AP12" s="313">
        <f>Fitusiran!I149</f>
        <v>0</v>
      </c>
      <c r="AQ12" s="312"/>
      <c r="AR12" s="312"/>
      <c r="AS12" s="312"/>
      <c r="AT12" s="312"/>
      <c r="AU12" s="313">
        <f>Fitusiran!J149</f>
        <v>0</v>
      </c>
      <c r="AV12" s="312"/>
      <c r="AW12" s="312"/>
      <c r="AX12" s="312"/>
      <c r="AY12" s="312"/>
      <c r="AZ12" s="313">
        <f>Fitusiran!K149</f>
        <v>0</v>
      </c>
      <c r="BA12" s="312"/>
      <c r="BB12" s="312"/>
      <c r="BC12" s="312"/>
      <c r="BD12" s="312"/>
      <c r="BE12" s="313">
        <f>Fitusiran!L149</f>
        <v>0</v>
      </c>
      <c r="BF12" s="312"/>
      <c r="BG12" s="312"/>
      <c r="BH12" s="312"/>
      <c r="BI12" s="312"/>
      <c r="BJ12" s="313">
        <f>Fitusiran!M149</f>
        <v>0</v>
      </c>
      <c r="BK12" s="312"/>
      <c r="BL12" s="312"/>
      <c r="BM12" s="312"/>
      <c r="BN12" s="312"/>
      <c r="BO12" s="313">
        <f>Fitusiran!N149</f>
        <v>0</v>
      </c>
      <c r="BP12" s="312"/>
      <c r="BQ12" s="312"/>
      <c r="BR12" s="312"/>
      <c r="BS12" s="312"/>
      <c r="BT12" s="313">
        <f>Fitusiran!O149</f>
        <v>0</v>
      </c>
      <c r="BU12" s="312"/>
      <c r="BV12" s="312"/>
      <c r="BW12" s="312"/>
      <c r="BX12" s="312"/>
      <c r="BY12" s="313">
        <f>Fitusiran!P149</f>
        <v>0</v>
      </c>
      <c r="BZ12" s="312"/>
      <c r="CA12" s="312"/>
      <c r="CB12" s="312"/>
      <c r="CC12" s="312"/>
      <c r="CD12" s="313">
        <f>Fitusiran!Q149</f>
        <v>0</v>
      </c>
      <c r="CE12" s="312"/>
      <c r="CF12" s="312"/>
      <c r="CG12" s="312"/>
      <c r="CH12" s="312"/>
      <c r="CI12" s="313">
        <f>Fitusiran!R149</f>
        <v>0</v>
      </c>
      <c r="CJ12" s="312"/>
      <c r="CK12" s="312"/>
      <c r="CL12" s="312"/>
      <c r="CM12" s="312"/>
      <c r="CN12" s="313">
        <f>Fitusiran!S149</f>
        <v>0</v>
      </c>
      <c r="CO12" s="312"/>
      <c r="CP12" s="312"/>
      <c r="CQ12" s="312"/>
      <c r="CR12" s="312"/>
      <c r="CS12" s="313">
        <f>Fitusiran!T149</f>
        <v>0</v>
      </c>
    </row>
    <row r="13" spans="2:105" ht="15" customHeight="1">
      <c r="B13" s="605"/>
      <c r="C13" s="312"/>
      <c r="D13" s="312"/>
      <c r="E13" s="312"/>
      <c r="F13" s="312"/>
      <c r="G13" s="313"/>
      <c r="H13" s="312"/>
      <c r="I13" s="312"/>
      <c r="J13" s="312"/>
      <c r="K13" s="312"/>
      <c r="L13" s="313"/>
      <c r="M13" s="312"/>
      <c r="N13" s="312"/>
      <c r="O13" s="312"/>
      <c r="P13" s="312"/>
      <c r="Q13" s="313"/>
      <c r="R13" s="312"/>
      <c r="S13" s="312"/>
      <c r="T13" s="312"/>
      <c r="U13" s="312"/>
      <c r="V13" s="313"/>
      <c r="W13" s="312"/>
      <c r="X13" s="312"/>
      <c r="Y13" s="312"/>
      <c r="Z13" s="312"/>
      <c r="AA13" s="313"/>
      <c r="AB13" s="312"/>
      <c r="AC13" s="312"/>
      <c r="AD13" s="312"/>
      <c r="AE13" s="312"/>
      <c r="AF13" s="313"/>
      <c r="AG13" s="312"/>
      <c r="AH13" s="312"/>
      <c r="AI13" s="312"/>
      <c r="AJ13" s="312"/>
      <c r="AK13" s="313"/>
      <c r="AL13" s="312"/>
      <c r="AM13" s="312"/>
      <c r="AN13" s="312"/>
      <c r="AO13" s="312"/>
      <c r="AP13" s="313"/>
      <c r="AQ13" s="312"/>
      <c r="AR13" s="312"/>
      <c r="AS13" s="312"/>
      <c r="AT13" s="312"/>
      <c r="AU13" s="313"/>
      <c r="AV13" s="312"/>
      <c r="AW13" s="312"/>
      <c r="AX13" s="312"/>
      <c r="AY13" s="312"/>
      <c r="AZ13" s="313"/>
      <c r="BA13" s="312"/>
      <c r="BB13" s="312"/>
      <c r="BC13" s="312"/>
      <c r="BD13" s="312"/>
      <c r="BE13" s="313"/>
      <c r="BF13" s="312"/>
      <c r="BG13" s="312"/>
      <c r="BH13" s="312"/>
      <c r="BI13" s="312"/>
      <c r="BJ13" s="313"/>
      <c r="BK13" s="312"/>
      <c r="BL13" s="312"/>
      <c r="BM13" s="312"/>
      <c r="BN13" s="312"/>
      <c r="BO13" s="313"/>
      <c r="BP13" s="312"/>
      <c r="BQ13" s="312"/>
      <c r="BR13" s="312"/>
      <c r="BS13" s="312"/>
      <c r="BT13" s="313"/>
      <c r="BU13" s="312"/>
      <c r="BV13" s="312"/>
      <c r="BW13" s="312"/>
      <c r="BX13" s="312"/>
      <c r="BY13" s="313"/>
      <c r="BZ13" s="312"/>
      <c r="CA13" s="312"/>
      <c r="CB13" s="312"/>
      <c r="CC13" s="312"/>
      <c r="CD13" s="313"/>
      <c r="CE13" s="312"/>
      <c r="CF13" s="312"/>
      <c r="CG13" s="312"/>
      <c r="CH13" s="312"/>
      <c r="CI13" s="313"/>
      <c r="CJ13" s="312"/>
      <c r="CK13" s="312"/>
      <c r="CL13" s="312"/>
      <c r="CM13" s="312"/>
      <c r="CN13" s="313"/>
      <c r="CO13" s="312"/>
      <c r="CP13" s="312"/>
      <c r="CQ13" s="312"/>
      <c r="CR13" s="312"/>
      <c r="CS13" s="313"/>
    </row>
    <row r="14" spans="2:105" ht="15" customHeight="1">
      <c r="B14" s="331" t="s">
        <v>359</v>
      </c>
      <c r="C14" s="312">
        <v>20.587</v>
      </c>
      <c r="D14" s="312">
        <v>20.884</v>
      </c>
      <c r="E14" s="312">
        <v>16.759</v>
      </c>
      <c r="F14" s="312">
        <v>8.4949999999999992</v>
      </c>
      <c r="G14" s="313">
        <f>SUM(C14:F14)</f>
        <v>66.725000000000009</v>
      </c>
      <c r="H14" s="312">
        <v>18.641999999999999</v>
      </c>
      <c r="I14" s="312">
        <v>8.6869999999999994</v>
      </c>
      <c r="J14" s="312">
        <v>8.9909999999999997</v>
      </c>
      <c r="K14" s="312">
        <v>10.847</v>
      </c>
      <c r="L14" s="313">
        <f>SUM(H14:K14)</f>
        <v>47.167000000000002</v>
      </c>
      <c r="M14" s="312">
        <v>8.2750000000000004</v>
      </c>
      <c r="N14" s="312">
        <v>7.2949999999999999</v>
      </c>
      <c r="O14" s="312">
        <v>10.972</v>
      </c>
      <c r="P14" s="312">
        <v>24.018999999999998</v>
      </c>
      <c r="Q14" s="313">
        <f>SUM(M14:P14)</f>
        <v>50.561</v>
      </c>
      <c r="R14" s="312">
        <v>18.536999999999999</v>
      </c>
      <c r="S14" s="312">
        <v>8.6850000000000005</v>
      </c>
      <c r="T14" s="312">
        <v>6.3239999999999998</v>
      </c>
      <c r="U14" s="312">
        <v>7.5510000000000002</v>
      </c>
      <c r="V14" s="313">
        <f>SUM(R14:U14)</f>
        <v>41.097000000000001</v>
      </c>
      <c r="W14" s="312">
        <v>7.3449999999999998</v>
      </c>
      <c r="X14" s="312">
        <v>8.7089999999999996</v>
      </c>
      <c r="Y14" s="312">
        <v>13.651</v>
      </c>
      <c r="Z14" s="312">
        <v>17.454000000000001</v>
      </c>
      <c r="AA14" s="313">
        <f>Z14+Y14+X14+W14</f>
        <v>47.158999999999999</v>
      </c>
      <c r="AB14" s="312">
        <v>18.96</v>
      </c>
      <c r="AC14" s="312">
        <v>15.932</v>
      </c>
      <c r="AD14" s="312">
        <v>17.096</v>
      </c>
      <c r="AE14" s="312">
        <v>37.923999999999999</v>
      </c>
      <c r="AF14" s="313">
        <f>AE14+AD14+AC14+AB14</f>
        <v>89.912000000000006</v>
      </c>
      <c r="AG14" s="312">
        <f>$AK$14*0.25</f>
        <v>16.25</v>
      </c>
      <c r="AH14" s="312">
        <f>$AK$14*0.25</f>
        <v>16.25</v>
      </c>
      <c r="AI14" s="312">
        <f>$AK$14*0.25</f>
        <v>16.25</v>
      </c>
      <c r="AJ14" s="312">
        <f>$AK$14*0.25</f>
        <v>16.25</v>
      </c>
      <c r="AK14" s="313">
        <v>65</v>
      </c>
      <c r="AL14" s="312"/>
      <c r="AM14" s="312"/>
      <c r="AN14" s="312"/>
      <c r="AO14" s="312"/>
      <c r="AP14" s="313">
        <f>50+50</f>
        <v>100</v>
      </c>
      <c r="AQ14" s="312"/>
      <c r="AR14" s="312"/>
      <c r="AS14" s="312"/>
      <c r="AT14" s="312"/>
      <c r="AU14" s="313">
        <v>75</v>
      </c>
      <c r="AV14" s="312"/>
      <c r="AW14" s="312"/>
      <c r="AX14" s="312"/>
      <c r="AY14" s="312"/>
      <c r="AZ14" s="313">
        <f>AU14</f>
        <v>75</v>
      </c>
      <c r="BA14" s="312"/>
      <c r="BB14" s="312"/>
      <c r="BC14" s="312"/>
      <c r="BD14" s="312"/>
      <c r="BE14" s="313">
        <f>AZ14</f>
        <v>75</v>
      </c>
      <c r="BF14" s="312"/>
      <c r="BG14" s="312"/>
      <c r="BH14" s="312"/>
      <c r="BI14" s="312"/>
      <c r="BJ14" s="313">
        <f>BE14</f>
        <v>75</v>
      </c>
      <c r="BK14" s="312"/>
      <c r="BL14" s="312"/>
      <c r="BM14" s="312"/>
      <c r="BN14" s="312"/>
      <c r="BO14" s="313">
        <f>BJ14</f>
        <v>75</v>
      </c>
      <c r="BP14" s="312"/>
      <c r="BQ14" s="312"/>
      <c r="BR14" s="312"/>
      <c r="BS14" s="312"/>
      <c r="BT14" s="313">
        <f>BO14</f>
        <v>75</v>
      </c>
      <c r="BU14" s="312"/>
      <c r="BV14" s="312"/>
      <c r="BW14" s="312"/>
      <c r="BX14" s="312"/>
      <c r="BY14" s="313">
        <f>BT14</f>
        <v>75</v>
      </c>
      <c r="BZ14" s="312"/>
      <c r="CA14" s="312"/>
      <c r="CB14" s="312"/>
      <c r="CC14" s="312"/>
      <c r="CD14" s="313">
        <f>BY14</f>
        <v>75</v>
      </c>
      <c r="CE14" s="312"/>
      <c r="CF14" s="312"/>
      <c r="CG14" s="312"/>
      <c r="CH14" s="312"/>
      <c r="CI14" s="313">
        <f>CD14</f>
        <v>75</v>
      </c>
      <c r="CJ14" s="312"/>
      <c r="CK14" s="312"/>
      <c r="CL14" s="312"/>
      <c r="CM14" s="312"/>
      <c r="CN14" s="313">
        <f>CI14</f>
        <v>75</v>
      </c>
      <c r="CO14" s="312"/>
      <c r="CP14" s="312"/>
      <c r="CQ14" s="312"/>
      <c r="CR14" s="312"/>
      <c r="CS14" s="313">
        <f>CN14</f>
        <v>75</v>
      </c>
    </row>
    <row r="15" spans="2:105" s="317" customFormat="1" ht="15" customHeight="1">
      <c r="B15" s="639" t="s">
        <v>13</v>
      </c>
      <c r="C15" s="314">
        <f t="shared" ref="C15:Q15" si="0">C7+C14</f>
        <v>20.587</v>
      </c>
      <c r="D15" s="314">
        <f t="shared" si="0"/>
        <v>20.884</v>
      </c>
      <c r="E15" s="314">
        <f t="shared" si="0"/>
        <v>16.759</v>
      </c>
      <c r="F15" s="314">
        <f t="shared" si="0"/>
        <v>8.4949999999999992</v>
      </c>
      <c r="G15" s="315">
        <f t="shared" si="0"/>
        <v>66.725000000000009</v>
      </c>
      <c r="H15" s="316">
        <f t="shared" si="0"/>
        <v>18.641999999999999</v>
      </c>
      <c r="I15" s="316">
        <f t="shared" si="0"/>
        <v>8.6869999999999994</v>
      </c>
      <c r="J15" s="316">
        <f t="shared" si="0"/>
        <v>8.9909999999999997</v>
      </c>
      <c r="K15" s="316">
        <f t="shared" si="0"/>
        <v>10.847</v>
      </c>
      <c r="L15" s="315">
        <f t="shared" si="0"/>
        <v>47.167000000000002</v>
      </c>
      <c r="M15" s="316">
        <f t="shared" si="0"/>
        <v>8.2750000000000004</v>
      </c>
      <c r="N15" s="316">
        <f t="shared" si="0"/>
        <v>7.2949999999999999</v>
      </c>
      <c r="O15" s="316">
        <f t="shared" si="0"/>
        <v>10.972</v>
      </c>
      <c r="P15" s="316">
        <f t="shared" si="0"/>
        <v>24.018999999999998</v>
      </c>
      <c r="Q15" s="315">
        <f t="shared" si="0"/>
        <v>50.561</v>
      </c>
      <c r="R15" s="316">
        <f t="shared" ref="R15:AE15" si="1">R7+R14+R11</f>
        <v>18.536999999999999</v>
      </c>
      <c r="S15" s="316">
        <f t="shared" si="1"/>
        <v>8.6850000000000005</v>
      </c>
      <c r="T15" s="316">
        <f t="shared" si="1"/>
        <v>6.3239999999999998</v>
      </c>
      <c r="U15" s="316">
        <f t="shared" si="1"/>
        <v>7.5510000000000002</v>
      </c>
      <c r="V15" s="315">
        <f t="shared" si="1"/>
        <v>41.097000000000001</v>
      </c>
      <c r="W15" s="316">
        <f t="shared" si="1"/>
        <v>7.3449999999999998</v>
      </c>
      <c r="X15" s="316">
        <f t="shared" si="1"/>
        <v>8.7089999999999996</v>
      </c>
      <c r="Y15" s="316">
        <f t="shared" si="1"/>
        <v>13.651</v>
      </c>
      <c r="Z15" s="316">
        <f t="shared" si="1"/>
        <v>17.454000000000001</v>
      </c>
      <c r="AA15" s="315">
        <f t="shared" si="1"/>
        <v>47.158999999999999</v>
      </c>
      <c r="AB15" s="316">
        <f t="shared" si="1"/>
        <v>18.96</v>
      </c>
      <c r="AC15" s="316">
        <f t="shared" si="1"/>
        <v>15.932</v>
      </c>
      <c r="AD15" s="316">
        <f t="shared" si="1"/>
        <v>17.096</v>
      </c>
      <c r="AE15" s="316">
        <f t="shared" si="1"/>
        <v>37.923999999999999</v>
      </c>
      <c r="AF15" s="315">
        <f>AE15+AD15+AC15+AB15</f>
        <v>89.912000000000006</v>
      </c>
      <c r="AG15" s="316">
        <f>AG7+AG14+AG11</f>
        <v>16.25</v>
      </c>
      <c r="AH15" s="316">
        <f>AH7+AH14+AH11</f>
        <v>16.25</v>
      </c>
      <c r="AI15" s="316">
        <f>AI7+AI14+AI11</f>
        <v>33.521826208820855</v>
      </c>
      <c r="AJ15" s="316">
        <f>AJ7+AJ14+AJ11</f>
        <v>68.065478626462564</v>
      </c>
      <c r="AK15" s="315">
        <f>AK7+AK14+AK11</f>
        <v>134.08730483528342</v>
      </c>
      <c r="AL15" s="316"/>
      <c r="AM15" s="316"/>
      <c r="AN15" s="316"/>
      <c r="AO15" s="316"/>
      <c r="AP15" s="315">
        <f>AP7+AP14+AP11</f>
        <v>435.02517737583855</v>
      </c>
      <c r="AQ15" s="316"/>
      <c r="AR15" s="316"/>
      <c r="AS15" s="316"/>
      <c r="AT15" s="316"/>
      <c r="AU15" s="315">
        <f>AU7+AU14+AU11</f>
        <v>847.52594493750735</v>
      </c>
      <c r="AV15" s="316"/>
      <c r="AW15" s="316"/>
      <c r="AX15" s="316"/>
      <c r="AY15" s="316"/>
      <c r="AZ15" s="315">
        <f>AZ7+AZ14+AZ11</f>
        <v>1305.758280390645</v>
      </c>
      <c r="BA15" s="316"/>
      <c r="BB15" s="316"/>
      <c r="BC15" s="316"/>
      <c r="BD15" s="316"/>
      <c r="BE15" s="315">
        <f>BE7+BE14+BE11</f>
        <v>1725.0075349564645</v>
      </c>
      <c r="BF15" s="316"/>
      <c r="BG15" s="316"/>
      <c r="BH15" s="316"/>
      <c r="BI15" s="316"/>
      <c r="BJ15" s="315">
        <f>BJ7+BJ14+BJ11</f>
        <v>2107.3346656249523</v>
      </c>
      <c r="BK15" s="316"/>
      <c r="BL15" s="316"/>
      <c r="BM15" s="316"/>
      <c r="BN15" s="316"/>
      <c r="BO15" s="315">
        <f>BO7+BO14+BO11</f>
        <v>2454.0676803753172</v>
      </c>
      <c r="BP15" s="316"/>
      <c r="BQ15" s="316"/>
      <c r="BR15" s="316"/>
      <c r="BS15" s="316"/>
      <c r="BT15" s="315">
        <f>BT7+BT14+BT11</f>
        <v>2767.8778235550803</v>
      </c>
      <c r="BU15" s="316"/>
      <c r="BV15" s="316"/>
      <c r="BW15" s="316"/>
      <c r="BX15" s="316"/>
      <c r="BY15" s="315">
        <f>BY7+BY14+BY11</f>
        <v>3049.1021677034651</v>
      </c>
      <c r="BZ15" s="316"/>
      <c r="CA15" s="316"/>
      <c r="CB15" s="316"/>
      <c r="CC15" s="316"/>
      <c r="CD15" s="315">
        <f>CD7+CD14+CD11</f>
        <v>3296.8513771465828</v>
      </c>
      <c r="CE15" s="316"/>
      <c r="CF15" s="316"/>
      <c r="CG15" s="316"/>
      <c r="CH15" s="316"/>
      <c r="CI15" s="315">
        <f>CI7+CI14+CI11</f>
        <v>3513.1385065262452</v>
      </c>
      <c r="CJ15" s="316"/>
      <c r="CK15" s="316"/>
      <c r="CL15" s="316"/>
      <c r="CM15" s="316"/>
      <c r="CN15" s="315">
        <f>CN7+CN14+CN11</f>
        <v>3700.4090214355483</v>
      </c>
      <c r="CO15" s="316"/>
      <c r="CP15" s="316"/>
      <c r="CQ15" s="316"/>
      <c r="CR15" s="316"/>
      <c r="CS15" s="315">
        <f>CS7+CS14+CS11</f>
        <v>3859.5166067577575</v>
      </c>
      <c r="CV15"/>
      <c r="CW15"/>
      <c r="CX15"/>
      <c r="CY15"/>
      <c r="CZ15"/>
      <c r="DA15"/>
    </row>
    <row r="16" spans="2:105" s="317" customFormat="1" ht="15" customHeight="1">
      <c r="B16" s="599"/>
      <c r="C16" s="359"/>
      <c r="D16" s="359"/>
      <c r="E16" s="359"/>
      <c r="F16" s="359"/>
      <c r="G16" s="313"/>
      <c r="H16" s="359"/>
      <c r="I16" s="359"/>
      <c r="J16" s="359"/>
      <c r="K16" s="359"/>
      <c r="L16" s="604"/>
      <c r="M16" s="359"/>
      <c r="N16" s="359"/>
      <c r="O16" s="359"/>
      <c r="P16" s="359"/>
      <c r="Q16" s="604"/>
      <c r="R16" s="359"/>
      <c r="S16" s="359"/>
      <c r="T16" s="359"/>
      <c r="U16" s="359"/>
      <c r="V16" s="604"/>
      <c r="W16" s="359"/>
      <c r="X16" s="359"/>
      <c r="Y16" s="359"/>
      <c r="Z16" s="359"/>
      <c r="AA16" s="604"/>
      <c r="AB16" s="359"/>
      <c r="AC16" s="359"/>
      <c r="AD16" s="359"/>
      <c r="AE16" s="359"/>
      <c r="AF16" s="604"/>
      <c r="AG16" s="318"/>
      <c r="AH16" s="318"/>
      <c r="AI16" s="318"/>
      <c r="AJ16" s="318"/>
      <c r="AK16" s="319"/>
      <c r="AL16" s="318"/>
      <c r="AM16" s="318"/>
      <c r="AN16" s="318"/>
      <c r="AO16" s="318"/>
      <c r="AP16" s="319"/>
      <c r="AQ16" s="318"/>
      <c r="AR16" s="318"/>
      <c r="AS16" s="318"/>
      <c r="AT16" s="318"/>
      <c r="AU16" s="319"/>
      <c r="AV16" s="318"/>
      <c r="AW16" s="318"/>
      <c r="AX16" s="318"/>
      <c r="AY16" s="318"/>
      <c r="AZ16" s="319"/>
      <c r="BA16" s="318"/>
      <c r="BB16" s="318"/>
      <c r="BC16" s="318"/>
      <c r="BD16" s="318"/>
      <c r="BE16" s="319"/>
      <c r="BF16" s="318"/>
      <c r="BG16" s="318"/>
      <c r="BH16" s="318"/>
      <c r="BI16" s="318"/>
      <c r="BJ16" s="319"/>
      <c r="BK16" s="318"/>
      <c r="BL16" s="318"/>
      <c r="BM16" s="318"/>
      <c r="BN16" s="318"/>
      <c r="BO16" s="319"/>
      <c r="BP16" s="318"/>
      <c r="BQ16" s="318"/>
      <c r="BR16" s="318"/>
      <c r="BS16" s="318"/>
      <c r="BT16" s="319"/>
      <c r="BU16" s="318"/>
      <c r="BV16" s="318"/>
      <c r="BW16" s="318"/>
      <c r="BX16" s="318"/>
      <c r="BY16" s="319"/>
      <c r="BZ16" s="318"/>
      <c r="CA16" s="318"/>
      <c r="CB16" s="318"/>
      <c r="CC16" s="318"/>
      <c r="CD16" s="319"/>
      <c r="CE16" s="318"/>
      <c r="CF16" s="318"/>
      <c r="CG16" s="318"/>
      <c r="CH16" s="318"/>
      <c r="CI16" s="319"/>
      <c r="CJ16" s="318"/>
      <c r="CK16" s="318"/>
      <c r="CL16" s="318"/>
      <c r="CM16" s="318"/>
      <c r="CN16" s="319"/>
      <c r="CO16" s="318"/>
      <c r="CP16" s="318"/>
      <c r="CQ16" s="318"/>
      <c r="CR16" s="318"/>
      <c r="CS16" s="604"/>
      <c r="CV16"/>
      <c r="CW16"/>
      <c r="CX16"/>
      <c r="CY16"/>
      <c r="CZ16"/>
      <c r="DA16"/>
    </row>
    <row r="17" spans="2:97" ht="15" customHeight="1">
      <c r="B17" s="596" t="s">
        <v>247</v>
      </c>
      <c r="C17" s="312"/>
      <c r="D17" s="312"/>
      <c r="E17" s="312"/>
      <c r="F17" s="312"/>
      <c r="G17" s="313"/>
      <c r="H17" s="312"/>
      <c r="I17" s="312"/>
      <c r="J17" s="312"/>
      <c r="K17" s="312"/>
      <c r="L17" s="313"/>
      <c r="M17" s="312"/>
      <c r="N17" s="312"/>
      <c r="O17" s="312"/>
      <c r="P17" s="312"/>
      <c r="Q17" s="313"/>
      <c r="R17" s="312"/>
      <c r="S17" s="312"/>
      <c r="T17" s="312"/>
      <c r="U17" s="312"/>
      <c r="V17" s="313"/>
      <c r="W17" s="312"/>
      <c r="X17" s="312"/>
      <c r="Y17" s="312"/>
      <c r="Z17" s="312"/>
      <c r="AA17" s="313"/>
      <c r="AB17" s="312"/>
      <c r="AC17" s="312"/>
      <c r="AD17" s="312"/>
      <c r="AE17" s="312"/>
      <c r="AF17" s="313"/>
      <c r="AG17" s="312"/>
      <c r="AH17" s="312"/>
      <c r="AI17" s="312"/>
      <c r="AJ17" s="312"/>
      <c r="AK17" s="313"/>
      <c r="AL17" s="312"/>
      <c r="AM17" s="312"/>
      <c r="AN17" s="312"/>
      <c r="AO17" s="312"/>
      <c r="AP17" s="313"/>
      <c r="AQ17" s="312"/>
      <c r="AR17" s="312"/>
      <c r="AS17" s="312"/>
      <c r="AT17" s="312"/>
      <c r="AU17" s="313"/>
      <c r="AV17" s="312"/>
      <c r="AW17" s="312"/>
      <c r="AX17" s="312"/>
      <c r="AY17" s="312"/>
      <c r="AZ17" s="313"/>
      <c r="BA17" s="312"/>
      <c r="BB17" s="312"/>
      <c r="BC17" s="312"/>
      <c r="BD17" s="312"/>
      <c r="BE17" s="313"/>
      <c r="BF17" s="312"/>
      <c r="BG17" s="312"/>
      <c r="BH17" s="312"/>
      <c r="BI17" s="312"/>
      <c r="BJ17" s="313"/>
      <c r="BK17" s="312"/>
      <c r="BL17" s="312"/>
      <c r="BM17" s="312"/>
      <c r="BN17" s="312"/>
      <c r="BO17" s="313"/>
      <c r="BP17" s="312"/>
      <c r="BQ17" s="312"/>
      <c r="BR17" s="312"/>
      <c r="BS17" s="312"/>
      <c r="BT17" s="313"/>
      <c r="BU17" s="312"/>
      <c r="BV17" s="312"/>
      <c r="BW17" s="312"/>
      <c r="BX17" s="312"/>
      <c r="BY17" s="313"/>
      <c r="BZ17" s="312"/>
      <c r="CA17" s="312"/>
      <c r="CB17" s="312"/>
      <c r="CC17" s="312"/>
      <c r="CD17" s="313"/>
      <c r="CE17" s="312"/>
      <c r="CF17" s="312"/>
      <c r="CG17" s="312"/>
      <c r="CH17" s="312"/>
      <c r="CI17" s="313"/>
      <c r="CJ17" s="312"/>
      <c r="CK17" s="312"/>
      <c r="CL17" s="312"/>
      <c r="CM17" s="312"/>
      <c r="CN17" s="313"/>
      <c r="CO17" s="312"/>
      <c r="CP17" s="312"/>
      <c r="CQ17" s="312"/>
      <c r="CR17" s="312"/>
      <c r="CS17" s="313"/>
    </row>
    <row r="18" spans="2:97" ht="15" hidden="1" customHeight="1" outlineLevel="1">
      <c r="B18" s="331" t="s">
        <v>554</v>
      </c>
      <c r="C18" s="312">
        <v>0</v>
      </c>
      <c r="D18" s="312">
        <v>0</v>
      </c>
      <c r="E18" s="312">
        <v>0</v>
      </c>
      <c r="F18" s="312">
        <v>0</v>
      </c>
      <c r="G18" s="313">
        <f>SUM(C18:F18)</f>
        <v>0</v>
      </c>
      <c r="H18" s="312">
        <v>0</v>
      </c>
      <c r="I18" s="312">
        <v>0</v>
      </c>
      <c r="J18" s="312">
        <v>0</v>
      </c>
      <c r="K18" s="312">
        <v>0</v>
      </c>
      <c r="L18" s="313">
        <f>SUM(H18:K18)</f>
        <v>0</v>
      </c>
      <c r="M18" s="312">
        <v>0</v>
      </c>
      <c r="N18" s="312">
        <v>0</v>
      </c>
      <c r="O18" s="312">
        <v>0</v>
      </c>
      <c r="P18" s="312">
        <v>0</v>
      </c>
      <c r="Q18" s="313">
        <f>SUM(M18:P18)</f>
        <v>0</v>
      </c>
      <c r="R18" s="312">
        <v>0</v>
      </c>
      <c r="S18" s="312">
        <v>0</v>
      </c>
      <c r="T18" s="312">
        <v>0</v>
      </c>
      <c r="U18" s="312">
        <v>0</v>
      </c>
      <c r="V18" s="313">
        <f t="shared" ref="V18" si="2">SUM(R18:U18)</f>
        <v>0</v>
      </c>
      <c r="W18" s="312">
        <v>0</v>
      </c>
      <c r="X18" s="312">
        <v>0</v>
      </c>
      <c r="Y18" s="312">
        <v>0</v>
      </c>
      <c r="Z18" s="312">
        <v>0</v>
      </c>
      <c r="AA18" s="313">
        <f t="shared" ref="AA18" si="3">SUM(W18:Z18)</f>
        <v>0</v>
      </c>
      <c r="AB18" s="312">
        <v>0</v>
      </c>
      <c r="AC18" s="312">
        <v>0</v>
      </c>
      <c r="AD18" s="312">
        <v>0</v>
      </c>
      <c r="AE18" s="312">
        <v>0</v>
      </c>
      <c r="AF18" s="313">
        <f>AE18+AD18+AC18+AB18</f>
        <v>0</v>
      </c>
      <c r="AG18" s="312"/>
      <c r="AH18" s="312"/>
      <c r="AI18" s="312">
        <f>AI19*AI7</f>
        <v>2.0726191450585025</v>
      </c>
      <c r="AJ18" s="312">
        <f>AJ19*AJ7</f>
        <v>6.2178574351755076</v>
      </c>
      <c r="AK18" s="313">
        <f>AJ18+AI18</f>
        <v>8.2904765802340101</v>
      </c>
      <c r="AL18" s="312"/>
      <c r="AM18" s="312"/>
      <c r="AN18" s="312"/>
      <c r="AO18" s="312"/>
      <c r="AP18" s="313">
        <f>AP19*AP7</f>
        <v>40.203021285100625</v>
      </c>
      <c r="AQ18" s="312"/>
      <c r="AR18" s="312"/>
      <c r="AS18" s="312"/>
      <c r="AT18" s="312"/>
      <c r="AU18" s="313">
        <f>AU19*AU7</f>
        <v>77.252594493750735</v>
      </c>
      <c r="AV18" s="312"/>
      <c r="AW18" s="312"/>
      <c r="AX18" s="312"/>
      <c r="AY18" s="312"/>
      <c r="AZ18" s="313">
        <f>AZ19*AZ7</f>
        <v>98.460662431251592</v>
      </c>
      <c r="BA18" s="312"/>
      <c r="BB18" s="312"/>
      <c r="BC18" s="312"/>
      <c r="BD18" s="312"/>
      <c r="BE18" s="313">
        <f>BE19*BE7</f>
        <v>99.00045209738785</v>
      </c>
      <c r="BF18" s="312"/>
      <c r="BG18" s="312"/>
      <c r="BH18" s="312"/>
      <c r="BI18" s="312"/>
      <c r="BJ18" s="313">
        <f>BJ19*BJ7</f>
        <v>101.61673328124763</v>
      </c>
      <c r="BK18" s="312"/>
      <c r="BL18" s="312"/>
      <c r="BM18" s="312"/>
      <c r="BN18" s="312"/>
      <c r="BO18" s="313">
        <f>BO19*BO7</f>
        <v>118.95338401876586</v>
      </c>
      <c r="BP18" s="312"/>
      <c r="BQ18" s="312"/>
      <c r="BR18" s="312"/>
      <c r="BS18" s="312"/>
      <c r="BT18" s="313">
        <f>BT19*BT7</f>
        <v>134.64389117775403</v>
      </c>
      <c r="BU18" s="312"/>
      <c r="BV18" s="312"/>
      <c r="BW18" s="312"/>
      <c r="BX18" s="312"/>
      <c r="BY18" s="313">
        <f>BY19*BY7</f>
        <v>148.70510838517325</v>
      </c>
      <c r="BZ18" s="312"/>
      <c r="CA18" s="312"/>
      <c r="CB18" s="312"/>
      <c r="CC18" s="312"/>
      <c r="CD18" s="313">
        <f>CD19*CD7</f>
        <v>161.09256885732916</v>
      </c>
      <c r="CE18" s="312"/>
      <c r="CF18" s="312"/>
      <c r="CG18" s="312"/>
      <c r="CH18" s="312"/>
      <c r="CI18" s="313">
        <f>CI19*CI7</f>
        <v>171.90692532631226</v>
      </c>
      <c r="CJ18" s="312"/>
      <c r="CK18" s="312"/>
      <c r="CL18" s="312"/>
      <c r="CM18" s="312"/>
      <c r="CN18" s="313">
        <f>CN19*CN7</f>
        <v>181.27045107177742</v>
      </c>
      <c r="CO18" s="312"/>
      <c r="CP18" s="312"/>
      <c r="CQ18" s="312"/>
      <c r="CR18" s="312"/>
      <c r="CS18" s="313">
        <f>CS19*CS7</f>
        <v>189.22583033788788</v>
      </c>
    </row>
    <row r="19" spans="2:97" ht="15" hidden="1" customHeight="1" outlineLevel="2">
      <c r="B19" s="649" t="s">
        <v>363</v>
      </c>
      <c r="C19" s="321"/>
      <c r="D19" s="321"/>
      <c r="E19" s="321"/>
      <c r="F19" s="321"/>
      <c r="G19" s="322"/>
      <c r="H19" s="323"/>
      <c r="I19" s="323"/>
      <c r="J19" s="323"/>
      <c r="K19" s="323"/>
      <c r="L19" s="324"/>
      <c r="M19" s="325"/>
      <c r="N19" s="325"/>
      <c r="O19" s="325"/>
      <c r="P19" s="325"/>
      <c r="Q19" s="324"/>
      <c r="R19" s="325"/>
      <c r="S19" s="325"/>
      <c r="T19" s="325"/>
      <c r="U19" s="325"/>
      <c r="V19" s="326"/>
      <c r="W19" s="325"/>
      <c r="X19" s="325"/>
      <c r="Y19" s="325"/>
      <c r="Z19" s="325"/>
      <c r="AA19" s="324"/>
      <c r="AB19" s="325"/>
      <c r="AC19" s="325"/>
      <c r="AD19" s="325"/>
      <c r="AE19" s="325"/>
      <c r="AF19" s="324"/>
      <c r="AG19" s="325"/>
      <c r="AH19" s="325"/>
      <c r="AI19" s="325">
        <v>0.12</v>
      </c>
      <c r="AJ19" s="325">
        <v>0.12</v>
      </c>
      <c r="AK19" s="626">
        <f>AK18/AK7</f>
        <v>0.12</v>
      </c>
      <c r="AL19" s="627"/>
      <c r="AM19" s="627"/>
      <c r="AN19" s="627"/>
      <c r="AO19" s="627"/>
      <c r="AP19" s="626">
        <v>0.12</v>
      </c>
      <c r="AQ19" s="627"/>
      <c r="AR19" s="627"/>
      <c r="AS19" s="627"/>
      <c r="AT19" s="627"/>
      <c r="AU19" s="626">
        <f>AP19-0.02</f>
        <v>9.9999999999999992E-2</v>
      </c>
      <c r="AV19" s="627"/>
      <c r="AW19" s="627"/>
      <c r="AX19" s="627"/>
      <c r="AY19" s="627"/>
      <c r="AZ19" s="626">
        <f>AU19-0.02</f>
        <v>7.9999999999999988E-2</v>
      </c>
      <c r="BA19" s="627"/>
      <c r="BB19" s="627"/>
      <c r="BC19" s="627"/>
      <c r="BD19" s="627"/>
      <c r="BE19" s="626">
        <f>AZ19-0.02</f>
        <v>5.9999999999999984E-2</v>
      </c>
      <c r="BF19" s="627"/>
      <c r="BG19" s="627"/>
      <c r="BH19" s="627"/>
      <c r="BI19" s="627"/>
      <c r="BJ19" s="626">
        <v>0.05</v>
      </c>
      <c r="BK19" s="627"/>
      <c r="BL19" s="627"/>
      <c r="BM19" s="627"/>
      <c r="BN19" s="627"/>
      <c r="BO19" s="626">
        <v>0.05</v>
      </c>
      <c r="BP19" s="627"/>
      <c r="BQ19" s="627"/>
      <c r="BR19" s="627"/>
      <c r="BS19" s="627"/>
      <c r="BT19" s="626">
        <f>BO19</f>
        <v>0.05</v>
      </c>
      <c r="BU19" s="627"/>
      <c r="BV19" s="627"/>
      <c r="BW19" s="627"/>
      <c r="BX19" s="627"/>
      <c r="BY19" s="626">
        <f>BT19</f>
        <v>0.05</v>
      </c>
      <c r="BZ19" s="627"/>
      <c r="CA19" s="627"/>
      <c r="CB19" s="627"/>
      <c r="CC19" s="627"/>
      <c r="CD19" s="626">
        <f>BY19</f>
        <v>0.05</v>
      </c>
      <c r="CE19" s="627"/>
      <c r="CF19" s="627"/>
      <c r="CG19" s="627"/>
      <c r="CH19" s="627"/>
      <c r="CI19" s="626">
        <f>CD19</f>
        <v>0.05</v>
      </c>
      <c r="CJ19" s="627"/>
      <c r="CK19" s="627"/>
      <c r="CL19" s="627"/>
      <c r="CM19" s="627"/>
      <c r="CN19" s="626">
        <f>CI19</f>
        <v>0.05</v>
      </c>
      <c r="CO19" s="627"/>
      <c r="CP19" s="627"/>
      <c r="CQ19" s="627"/>
      <c r="CR19" s="627"/>
      <c r="CS19" s="626">
        <f>CN19</f>
        <v>0.05</v>
      </c>
    </row>
    <row r="20" spans="2:97" ht="15" hidden="1" customHeight="1" outlineLevel="1">
      <c r="B20" s="331" t="s">
        <v>555</v>
      </c>
      <c r="C20" s="312"/>
      <c r="D20" s="312"/>
      <c r="E20" s="312"/>
      <c r="F20" s="312"/>
      <c r="G20" s="313"/>
      <c r="H20" s="312"/>
      <c r="I20" s="312"/>
      <c r="J20" s="312"/>
      <c r="K20" s="312"/>
      <c r="L20" s="313"/>
      <c r="M20" s="312"/>
      <c r="N20" s="312"/>
      <c r="O20" s="312"/>
      <c r="P20" s="312"/>
      <c r="Q20" s="313"/>
      <c r="R20" s="312"/>
      <c r="S20" s="312"/>
      <c r="T20" s="312"/>
      <c r="U20" s="312"/>
      <c r="V20" s="313"/>
      <c r="W20" s="312"/>
      <c r="X20" s="312"/>
      <c r="Y20" s="312"/>
      <c r="Z20" s="312"/>
      <c r="AA20" s="313"/>
      <c r="AB20" s="312"/>
      <c r="AC20" s="312"/>
      <c r="AD20" s="312"/>
      <c r="AE20" s="312"/>
      <c r="AF20" s="313"/>
      <c r="AG20" s="312"/>
      <c r="AH20" s="312"/>
      <c r="AI20" s="312">
        <v>0</v>
      </c>
      <c r="AJ20" s="312">
        <v>0</v>
      </c>
      <c r="AK20" s="313">
        <f>'hATTR-PN Mkt Model'!H144+'hATTR-PN Mkt Model'!H116</f>
        <v>0</v>
      </c>
      <c r="AL20" s="312"/>
      <c r="AM20" s="312"/>
      <c r="AN20" s="312"/>
      <c r="AO20" s="312"/>
      <c r="AP20" s="313">
        <f>'hATTR-PN Mkt Model'!I144+'hATTR-PN Mkt Model'!I116</f>
        <v>4.12009754322216</v>
      </c>
      <c r="AQ20" s="312"/>
      <c r="AR20" s="312"/>
      <c r="AS20" s="312"/>
      <c r="AT20" s="312"/>
      <c r="AU20" s="313">
        <f>'hATTR-PN Mkt Model'!J144+'hATTR-PN Mkt Model'!J116</f>
        <v>15.810359558119941</v>
      </c>
      <c r="AV20" s="312"/>
      <c r="AW20" s="312"/>
      <c r="AX20" s="312"/>
      <c r="AY20" s="312"/>
      <c r="AZ20" s="313">
        <f>'hATTR-PN Mkt Model'!K144+'hATTR-PN Mkt Model'!K116</f>
        <v>33.097596518410285</v>
      </c>
      <c r="BA20" s="312"/>
      <c r="BB20" s="312"/>
      <c r="BC20" s="312"/>
      <c r="BD20" s="312"/>
      <c r="BE20" s="313">
        <f>'hATTR-PN Mkt Model'!L144+'hATTR-PN Mkt Model'!L116</f>
        <v>55.002434772051423</v>
      </c>
      <c r="BF20" s="312"/>
      <c r="BG20" s="312"/>
      <c r="BH20" s="312"/>
      <c r="BI20" s="312"/>
      <c r="BJ20" s="313">
        <f>'hATTR-PN Mkt Model'!M144+'hATTR-PN Mkt Model'!M116</f>
        <v>76.26871289221333</v>
      </c>
      <c r="BK20" s="312"/>
      <c r="BL20" s="312"/>
      <c r="BM20" s="312"/>
      <c r="BN20" s="312"/>
      <c r="BO20" s="313">
        <f>'hATTR-PN Mkt Model'!N144+'hATTR-PN Mkt Model'!N116</f>
        <v>99.412728710535404</v>
      </c>
      <c r="BP20" s="312"/>
      <c r="BQ20" s="312"/>
      <c r="BR20" s="312"/>
      <c r="BS20" s="312"/>
      <c r="BT20" s="313">
        <f>'hATTR-PN Mkt Model'!O144+'hATTR-PN Mkt Model'!O116</f>
        <v>114.94703372971222</v>
      </c>
      <c r="BU20" s="312"/>
      <c r="BV20" s="312"/>
      <c r="BW20" s="312"/>
      <c r="BX20" s="312"/>
      <c r="BY20" s="313">
        <f>'hATTR-PN Mkt Model'!P144+'hATTR-PN Mkt Model'!P116</f>
        <v>129.38204841087824</v>
      </c>
      <c r="BZ20" s="312"/>
      <c r="CA20" s="312"/>
      <c r="CB20" s="312"/>
      <c r="CC20" s="312"/>
      <c r="CD20" s="313">
        <f>'hATTR-PN Mkt Model'!Q144+'hATTR-PN Mkt Model'!Q116</f>
        <v>142.64638453912119</v>
      </c>
      <c r="CE20" s="312"/>
      <c r="CF20" s="312"/>
      <c r="CG20" s="312"/>
      <c r="CH20" s="312"/>
      <c r="CI20" s="313">
        <f>'hATTR-PN Mkt Model'!R144+'hATTR-PN Mkt Model'!R116</f>
        <v>154.71394739185666</v>
      </c>
      <c r="CJ20" s="312"/>
      <c r="CK20" s="312"/>
      <c r="CL20" s="312"/>
      <c r="CM20" s="312"/>
      <c r="CN20" s="313">
        <f>'hATTR-PN Mkt Model'!S144+'hATTR-PN Mkt Model'!S116</f>
        <v>165.55674764468233</v>
      </c>
      <c r="CO20" s="312"/>
      <c r="CP20" s="312"/>
      <c r="CQ20" s="312"/>
      <c r="CR20" s="312"/>
      <c r="CS20" s="313">
        <f>'hATTR-PN Mkt Model'!T144+'hATTR-PN Mkt Model'!T116</f>
        <v>175.1448601013646</v>
      </c>
    </row>
    <row r="21" spans="2:97" ht="15" customHeight="1" collapsed="1">
      <c r="B21" s="331" t="s">
        <v>556</v>
      </c>
      <c r="C21" s="312"/>
      <c r="D21" s="312"/>
      <c r="E21" s="312"/>
      <c r="F21" s="312"/>
      <c r="G21" s="313"/>
      <c r="H21" s="312"/>
      <c r="I21" s="312"/>
      <c r="J21" s="312"/>
      <c r="K21" s="312"/>
      <c r="L21" s="313"/>
      <c r="M21" s="312"/>
      <c r="N21" s="312"/>
      <c r="O21" s="312"/>
      <c r="P21" s="312"/>
      <c r="Q21" s="313"/>
      <c r="R21" s="312"/>
      <c r="S21" s="312"/>
      <c r="T21" s="312"/>
      <c r="U21" s="312"/>
      <c r="V21" s="313"/>
      <c r="W21" s="312"/>
      <c r="X21" s="312"/>
      <c r="Y21" s="312"/>
      <c r="Z21" s="312"/>
      <c r="AA21" s="313"/>
      <c r="AB21" s="312"/>
      <c r="AC21" s="312"/>
      <c r="AD21" s="312"/>
      <c r="AE21" s="312"/>
      <c r="AF21" s="313"/>
      <c r="AG21" s="312"/>
      <c r="AH21" s="312"/>
      <c r="AI21" s="312">
        <f>AI20+AI18</f>
        <v>2.0726191450585025</v>
      </c>
      <c r="AJ21" s="312">
        <f>AJ20+AJ18</f>
        <v>6.2178574351755076</v>
      </c>
      <c r="AK21" s="313">
        <f>AK20+AK18</f>
        <v>8.2904765802340101</v>
      </c>
      <c r="AL21" s="312"/>
      <c r="AM21" s="312"/>
      <c r="AN21" s="312"/>
      <c r="AO21" s="312"/>
      <c r="AP21" s="313">
        <f>AP20+AP18</f>
        <v>44.323118828322784</v>
      </c>
      <c r="AQ21" s="312"/>
      <c r="AR21" s="312"/>
      <c r="AS21" s="312"/>
      <c r="AT21" s="312"/>
      <c r="AU21" s="313">
        <f>AU20+AU18</f>
        <v>93.062954051870676</v>
      </c>
      <c r="AV21" s="312"/>
      <c r="AW21" s="312"/>
      <c r="AX21" s="312"/>
      <c r="AY21" s="312"/>
      <c r="AZ21" s="313">
        <f>AZ20+AZ18</f>
        <v>131.55825894966188</v>
      </c>
      <c r="BA21" s="312"/>
      <c r="BB21" s="312"/>
      <c r="BC21" s="312"/>
      <c r="BD21" s="312"/>
      <c r="BE21" s="313">
        <f>BE20+BE18</f>
        <v>154.00288686943927</v>
      </c>
      <c r="BF21" s="312"/>
      <c r="BG21" s="312"/>
      <c r="BH21" s="312"/>
      <c r="BI21" s="312"/>
      <c r="BJ21" s="313">
        <f>BJ20+BJ18</f>
        <v>177.88544617346096</v>
      </c>
      <c r="BK21" s="312"/>
      <c r="BL21" s="312"/>
      <c r="BM21" s="312"/>
      <c r="BN21" s="312"/>
      <c r="BO21" s="313">
        <f>BO20+BO18</f>
        <v>218.36611272930128</v>
      </c>
      <c r="BP21" s="312"/>
      <c r="BQ21" s="312"/>
      <c r="BR21" s="312"/>
      <c r="BS21" s="312"/>
      <c r="BT21" s="313">
        <f>BT20+BT18</f>
        <v>249.59092490746625</v>
      </c>
      <c r="BU21" s="312"/>
      <c r="BV21" s="312"/>
      <c r="BW21" s="312"/>
      <c r="BX21" s="312"/>
      <c r="BY21" s="313">
        <f>BY20+BY18</f>
        <v>278.08715679605149</v>
      </c>
      <c r="BZ21" s="312"/>
      <c r="CA21" s="312"/>
      <c r="CB21" s="312"/>
      <c r="CC21" s="312"/>
      <c r="CD21" s="313">
        <f>CD20+CD18</f>
        <v>303.73895339645037</v>
      </c>
      <c r="CE21" s="312"/>
      <c r="CF21" s="312"/>
      <c r="CG21" s="312"/>
      <c r="CH21" s="312"/>
      <c r="CI21" s="313">
        <f>CI20+CI18</f>
        <v>326.62087271816893</v>
      </c>
      <c r="CJ21" s="312"/>
      <c r="CK21" s="312"/>
      <c r="CL21" s="312"/>
      <c r="CM21" s="312"/>
      <c r="CN21" s="313">
        <f>CN20+CN18</f>
        <v>346.82719871645975</v>
      </c>
      <c r="CO21" s="312"/>
      <c r="CP21" s="312"/>
      <c r="CQ21" s="312"/>
      <c r="CR21" s="312"/>
      <c r="CS21" s="313">
        <f>CS20+CS18</f>
        <v>364.37069043925248</v>
      </c>
    </row>
    <row r="22" spans="2:97" ht="15" customHeight="1">
      <c r="B22" s="320"/>
      <c r="C22" s="321"/>
      <c r="D22" s="321"/>
      <c r="E22" s="321"/>
      <c r="F22" s="321"/>
      <c r="G22" s="327"/>
      <c r="H22" s="321"/>
      <c r="I22" s="321"/>
      <c r="J22" s="321"/>
      <c r="K22" s="321"/>
      <c r="L22" s="328"/>
      <c r="M22" s="329"/>
      <c r="N22" s="329"/>
      <c r="O22" s="329"/>
      <c r="P22" s="329"/>
      <c r="Q22" s="328"/>
      <c r="R22" s="329"/>
      <c r="S22" s="329"/>
      <c r="T22" s="329"/>
      <c r="U22" s="329"/>
      <c r="V22" s="330"/>
      <c r="W22" s="329"/>
      <c r="X22" s="329"/>
      <c r="Y22" s="329"/>
      <c r="Z22" s="329"/>
      <c r="AA22" s="328"/>
      <c r="AB22" s="329"/>
      <c r="AC22" s="329"/>
      <c r="AD22" s="329"/>
      <c r="AE22" s="312"/>
      <c r="AF22" s="328"/>
      <c r="AG22" s="329"/>
      <c r="AH22" s="329"/>
      <c r="AI22" s="329"/>
      <c r="AJ22" s="329"/>
      <c r="AK22" s="328"/>
      <c r="AL22" s="329"/>
      <c r="AM22" s="329"/>
      <c r="AN22" s="329"/>
      <c r="AO22" s="329"/>
      <c r="AP22" s="328"/>
      <c r="AQ22" s="329"/>
      <c r="AR22" s="329"/>
      <c r="AS22" s="329"/>
      <c r="AT22" s="329"/>
      <c r="AU22" s="328"/>
      <c r="AV22" s="329"/>
      <c r="AW22" s="329"/>
      <c r="AX22" s="329"/>
      <c r="AY22" s="329"/>
      <c r="AZ22" s="328"/>
      <c r="BA22" s="329"/>
      <c r="BB22" s="329"/>
      <c r="BC22" s="329"/>
      <c r="BD22" s="329"/>
      <c r="BE22" s="328"/>
      <c r="BF22" s="329"/>
      <c r="BG22" s="329"/>
      <c r="BH22" s="329"/>
      <c r="BI22" s="329"/>
      <c r="BJ22" s="328"/>
      <c r="BK22" s="329"/>
      <c r="BL22" s="329"/>
      <c r="BM22" s="329"/>
      <c r="BN22" s="329"/>
      <c r="BO22" s="328"/>
      <c r="BP22" s="329"/>
      <c r="BQ22" s="329"/>
      <c r="BR22" s="329"/>
      <c r="BS22" s="329"/>
      <c r="BT22" s="328"/>
      <c r="BU22" s="329"/>
      <c r="BV22" s="329"/>
      <c r="BW22" s="329"/>
      <c r="BX22" s="329"/>
      <c r="BY22" s="328"/>
      <c r="BZ22" s="329"/>
      <c r="CA22" s="329"/>
      <c r="CB22" s="329"/>
      <c r="CC22" s="329"/>
      <c r="CD22" s="328"/>
      <c r="CE22" s="329"/>
      <c r="CF22" s="329"/>
      <c r="CG22" s="329"/>
      <c r="CH22" s="329"/>
      <c r="CI22" s="328"/>
      <c r="CJ22" s="329"/>
      <c r="CK22" s="329"/>
      <c r="CL22" s="329"/>
      <c r="CM22" s="329"/>
      <c r="CN22" s="328"/>
      <c r="CO22" s="329"/>
      <c r="CP22" s="329"/>
      <c r="CQ22" s="329"/>
      <c r="CR22" s="329"/>
      <c r="CS22" s="328"/>
    </row>
    <row r="23" spans="2:97" ht="15" hidden="1" customHeight="1" outlineLevel="1">
      <c r="B23" s="605" t="s">
        <v>82</v>
      </c>
      <c r="C23" s="312">
        <f t="shared" ref="C23" si="4">C24</f>
        <v>21.074000000000002</v>
      </c>
      <c r="D23" s="312">
        <f t="shared" ref="D23" si="5">D24</f>
        <v>21.722999999999999</v>
      </c>
      <c r="E23" s="312">
        <f t="shared" ref="E23" si="6">E24</f>
        <v>22.094000000000001</v>
      </c>
      <c r="F23" s="312">
        <f t="shared" ref="F23" si="7">F24</f>
        <v>21.678000000000001</v>
      </c>
      <c r="G23" s="313">
        <f t="shared" ref="G23:G25" si="8">SUM(C23:F23)</f>
        <v>86.568999999999988</v>
      </c>
      <c r="H23" s="312">
        <f t="shared" ref="H23" si="9">H24</f>
        <v>22.178999999999998</v>
      </c>
      <c r="I23" s="312">
        <f t="shared" ref="I23" si="10">I24</f>
        <v>24.215</v>
      </c>
      <c r="J23" s="312">
        <f t="shared" ref="J23" si="11">J24</f>
        <v>34.457000000000001</v>
      </c>
      <c r="K23" s="312">
        <f t="shared" ref="K23" si="12">K24</f>
        <v>32.106000000000002</v>
      </c>
      <c r="L23" s="313">
        <f t="shared" ref="L23:L25" si="13">SUM(H23:K23)</f>
        <v>112.95699999999999</v>
      </c>
      <c r="M23" s="312">
        <f t="shared" ref="M23:P23" si="14">M24</f>
        <v>43.758000000000003</v>
      </c>
      <c r="N23" s="312">
        <f t="shared" si="14"/>
        <v>44.671999999999997</v>
      </c>
      <c r="O23" s="312">
        <f t="shared" si="14"/>
        <v>46.273000000000003</v>
      </c>
      <c r="P23" s="312">
        <f t="shared" si="14"/>
        <v>55.545999999999999</v>
      </c>
      <c r="Q23" s="313">
        <f t="shared" ref="Q23:Q25" si="15">SUM(M23:P23)</f>
        <v>190.249</v>
      </c>
      <c r="R23" s="312">
        <f>R24</f>
        <v>58.034999999999997</v>
      </c>
      <c r="S23" s="312">
        <f>S26</f>
        <v>67.007000000000005</v>
      </c>
      <c r="T23" s="312">
        <f>T26</f>
        <v>68.617999999999995</v>
      </c>
      <c r="U23" s="312">
        <f>U26</f>
        <v>82.834999999999994</v>
      </c>
      <c r="V23" s="313">
        <f t="shared" ref="V23:V25" si="16">SUM(R23:U23)</f>
        <v>276.495</v>
      </c>
      <c r="W23" s="312">
        <f>W26</f>
        <v>96.272999999999996</v>
      </c>
      <c r="X23" s="312">
        <f>X26</f>
        <v>83.171999999999997</v>
      </c>
      <c r="Y23" s="312">
        <f t="shared" ref="Y23:Z23" si="17">Y79</f>
        <v>97.936000000000007</v>
      </c>
      <c r="Z23" s="312">
        <f t="shared" si="17"/>
        <v>105.011</v>
      </c>
      <c r="AA23" s="313">
        <f t="shared" ref="AA23:AA25" si="18">SUM(W23:Z23)</f>
        <v>382.39199999999994</v>
      </c>
      <c r="AB23" s="312">
        <f t="shared" ref="AB23" si="19">AB79</f>
        <v>78.283999999999992</v>
      </c>
      <c r="AC23" s="312">
        <f t="shared" ref="AC23" si="20">AC79</f>
        <v>77.37299999999999</v>
      </c>
      <c r="AD23" s="312">
        <f t="shared" ref="AD23:AE25" si="21">AD24</f>
        <v>80.161999999999992</v>
      </c>
      <c r="AE23" s="312">
        <f t="shared" si="21"/>
        <v>102.935</v>
      </c>
      <c r="AF23" s="313">
        <f t="shared" ref="AF23:AF31" si="22">AE23+AD23+AC23+AB23</f>
        <v>338.75399999999996</v>
      </c>
      <c r="AG23" s="312">
        <f t="shared" ref="AG23:AJ23" si="23">AG79</f>
        <v>97.463579999999993</v>
      </c>
      <c r="AH23" s="312">
        <f t="shared" si="23"/>
        <v>98.263709999999989</v>
      </c>
      <c r="AI23" s="312">
        <f t="shared" si="23"/>
        <v>101.80573999999999</v>
      </c>
      <c r="AJ23" s="312">
        <f t="shared" si="23"/>
        <v>112.19915000000002</v>
      </c>
      <c r="AK23" s="313">
        <f>AK79</f>
        <v>409.73217999999997</v>
      </c>
      <c r="AL23" s="312"/>
      <c r="AM23" s="312"/>
      <c r="AN23" s="312"/>
      <c r="AO23" s="312"/>
      <c r="AP23" s="313">
        <f>AP79</f>
        <v>450.705398</v>
      </c>
      <c r="AQ23" s="312"/>
      <c r="AR23" s="312"/>
      <c r="AS23" s="312"/>
      <c r="AT23" s="312"/>
      <c r="AU23" s="313">
        <f>AU79</f>
        <v>489.01535682999997</v>
      </c>
      <c r="AV23" s="312"/>
      <c r="AW23" s="312"/>
      <c r="AX23" s="312"/>
      <c r="AY23" s="312"/>
      <c r="AZ23" s="313">
        <f>AZ79</f>
        <v>523.24643180810006</v>
      </c>
      <c r="BA23" s="312"/>
      <c r="BB23" s="312"/>
      <c r="BC23" s="312"/>
      <c r="BD23" s="312"/>
      <c r="BE23" s="313">
        <f>BE79</f>
        <v>552.02498555754551</v>
      </c>
      <c r="BF23" s="312"/>
      <c r="BG23" s="312"/>
      <c r="BH23" s="312"/>
      <c r="BI23" s="312"/>
      <c r="BJ23" s="313">
        <f>BJ79</f>
        <v>579.62623483542279</v>
      </c>
      <c r="BK23" s="312"/>
      <c r="BL23" s="312"/>
      <c r="BM23" s="312"/>
      <c r="BN23" s="312"/>
      <c r="BO23" s="313">
        <f>BO79</f>
        <v>605.70941540301681</v>
      </c>
      <c r="BP23" s="312"/>
      <c r="BQ23" s="312"/>
      <c r="BR23" s="312"/>
      <c r="BS23" s="312"/>
      <c r="BT23" s="313">
        <f>BT79</f>
        <v>629.93779201913753</v>
      </c>
      <c r="BU23" s="312"/>
      <c r="BV23" s="312"/>
      <c r="BW23" s="312"/>
      <c r="BX23" s="312"/>
      <c r="BY23" s="313">
        <f>BY79</f>
        <v>651.98561473980726</v>
      </c>
      <c r="BZ23" s="312"/>
      <c r="CA23" s="312"/>
      <c r="CB23" s="312"/>
      <c r="CC23" s="312"/>
      <c r="CD23" s="313">
        <f>CD79</f>
        <v>671.54518318200155</v>
      </c>
      <c r="CE23" s="312"/>
      <c r="CF23" s="312"/>
      <c r="CG23" s="312"/>
      <c r="CH23" s="312"/>
      <c r="CI23" s="313">
        <f>CI79</f>
        <v>688.33381276155148</v>
      </c>
      <c r="CJ23" s="312"/>
      <c r="CK23" s="312"/>
      <c r="CL23" s="312"/>
      <c r="CM23" s="312"/>
      <c r="CN23" s="313">
        <f>CN79</f>
        <v>702.10048901678249</v>
      </c>
      <c r="CO23" s="312"/>
      <c r="CP23" s="312"/>
      <c r="CQ23" s="312"/>
      <c r="CR23" s="312"/>
      <c r="CS23" s="313">
        <f>CS79</f>
        <v>712.63199635203432</v>
      </c>
    </row>
    <row r="24" spans="2:97" ht="15" hidden="1" customHeight="1" outlineLevel="1">
      <c r="B24" s="605" t="s">
        <v>83</v>
      </c>
      <c r="C24" s="312">
        <f t="shared" ref="C24:F24" si="24">C26</f>
        <v>21.074000000000002</v>
      </c>
      <c r="D24" s="312">
        <f t="shared" si="24"/>
        <v>21.722999999999999</v>
      </c>
      <c r="E24" s="312">
        <f t="shared" si="24"/>
        <v>22.094000000000001</v>
      </c>
      <c r="F24" s="312">
        <f t="shared" si="24"/>
        <v>21.678000000000001</v>
      </c>
      <c r="G24" s="313">
        <f t="shared" si="8"/>
        <v>86.568999999999988</v>
      </c>
      <c r="H24" s="312">
        <f t="shared" ref="H24:K24" si="25">H26</f>
        <v>22.178999999999998</v>
      </c>
      <c r="I24" s="312">
        <f t="shared" si="25"/>
        <v>24.215</v>
      </c>
      <c r="J24" s="312">
        <f t="shared" si="25"/>
        <v>34.457000000000001</v>
      </c>
      <c r="K24" s="312">
        <f t="shared" si="25"/>
        <v>32.106000000000002</v>
      </c>
      <c r="L24" s="313">
        <f t="shared" si="13"/>
        <v>112.95699999999999</v>
      </c>
      <c r="M24" s="312">
        <f t="shared" ref="M24:P24" si="26">M26</f>
        <v>43.758000000000003</v>
      </c>
      <c r="N24" s="312">
        <f t="shared" si="26"/>
        <v>44.671999999999997</v>
      </c>
      <c r="O24" s="312">
        <f t="shared" si="26"/>
        <v>46.273000000000003</v>
      </c>
      <c r="P24" s="312">
        <f t="shared" si="26"/>
        <v>55.545999999999999</v>
      </c>
      <c r="Q24" s="313">
        <f t="shared" si="15"/>
        <v>190.249</v>
      </c>
      <c r="R24" s="312">
        <f>R26</f>
        <v>58.034999999999997</v>
      </c>
      <c r="S24" s="312">
        <f>S26</f>
        <v>67.007000000000005</v>
      </c>
      <c r="T24" s="312">
        <f>T26</f>
        <v>68.617999999999995</v>
      </c>
      <c r="U24" s="312">
        <f>U26</f>
        <v>82.834999999999994</v>
      </c>
      <c r="V24" s="313">
        <f t="shared" si="16"/>
        <v>276.495</v>
      </c>
      <c r="W24" s="312">
        <f>W26</f>
        <v>96.272999999999996</v>
      </c>
      <c r="X24" s="312">
        <f>X26</f>
        <v>83.171999999999997</v>
      </c>
      <c r="Y24" s="312">
        <f t="shared" ref="Y24:Z24" si="27">Y80</f>
        <v>97.936000000000007</v>
      </c>
      <c r="Z24" s="312">
        <f t="shared" si="27"/>
        <v>105.011</v>
      </c>
      <c r="AA24" s="313">
        <f t="shared" si="18"/>
        <v>382.39199999999994</v>
      </c>
      <c r="AB24" s="312">
        <f t="shared" ref="AB24" si="28">AB80</f>
        <v>78.283999999999992</v>
      </c>
      <c r="AC24" s="312">
        <f t="shared" ref="AC24" si="29">AC80</f>
        <v>77.37299999999999</v>
      </c>
      <c r="AD24" s="312">
        <f t="shared" si="21"/>
        <v>80.161999999999992</v>
      </c>
      <c r="AE24" s="312">
        <f t="shared" si="21"/>
        <v>102.935</v>
      </c>
      <c r="AF24" s="313">
        <f t="shared" si="22"/>
        <v>338.75399999999996</v>
      </c>
      <c r="AG24" s="312">
        <f t="shared" ref="AG24:AJ24" si="30">AG80</f>
        <v>97.463579999999993</v>
      </c>
      <c r="AH24" s="312">
        <f t="shared" si="30"/>
        <v>98.263709999999989</v>
      </c>
      <c r="AI24" s="312">
        <f t="shared" si="30"/>
        <v>101.80573999999999</v>
      </c>
      <c r="AJ24" s="312">
        <f t="shared" si="30"/>
        <v>112.19915000000002</v>
      </c>
      <c r="AK24" s="313">
        <f t="shared" ref="AK24:AK25" si="31">AK80</f>
        <v>409.73217999999997</v>
      </c>
      <c r="AL24" s="312"/>
      <c r="AM24" s="312"/>
      <c r="AN24" s="312"/>
      <c r="AO24" s="312"/>
      <c r="AP24" s="313">
        <f t="shared" ref="AP24:AP25" si="32">AP80</f>
        <v>450.705398</v>
      </c>
      <c r="AQ24" s="312"/>
      <c r="AR24" s="312"/>
      <c r="AS24" s="312"/>
      <c r="AT24" s="312"/>
      <c r="AU24" s="313">
        <f t="shared" ref="AU24:AU25" si="33">AU80</f>
        <v>484.50830285000001</v>
      </c>
      <c r="AV24" s="312"/>
      <c r="AW24" s="312"/>
      <c r="AX24" s="312"/>
      <c r="AY24" s="312"/>
      <c r="AZ24" s="313">
        <f t="shared" ref="AZ24:AZ25" si="34">AZ80</f>
        <v>508.73371799250003</v>
      </c>
      <c r="BA24" s="312"/>
      <c r="BB24" s="312"/>
      <c r="BC24" s="312"/>
      <c r="BD24" s="312"/>
      <c r="BE24" s="313">
        <f t="shared" ref="BE24:BE25" si="35">BE80</f>
        <v>523.99572953227505</v>
      </c>
      <c r="BF24" s="312"/>
      <c r="BG24" s="312"/>
      <c r="BH24" s="312"/>
      <c r="BI24" s="312"/>
      <c r="BJ24" s="313">
        <f t="shared" ref="BJ24:BJ25" si="36">BJ80</f>
        <v>534.47564412292058</v>
      </c>
      <c r="BK24" s="312"/>
      <c r="BL24" s="312"/>
      <c r="BM24" s="312"/>
      <c r="BN24" s="312"/>
      <c r="BO24" s="313">
        <f t="shared" ref="BO24:BO25" si="37">BO80</f>
        <v>539.82040056414985</v>
      </c>
      <c r="BP24" s="312"/>
      <c r="BQ24" s="312"/>
      <c r="BR24" s="312"/>
      <c r="BS24" s="312"/>
      <c r="BT24" s="313">
        <f t="shared" ref="BT24:BT25" si="38">BT80</f>
        <v>539.82040056414985</v>
      </c>
      <c r="BU24" s="312"/>
      <c r="BV24" s="312"/>
      <c r="BW24" s="312"/>
      <c r="BX24" s="312"/>
      <c r="BY24" s="313">
        <f t="shared" ref="BY24:BY25" si="39">BY80</f>
        <v>534.42219655850829</v>
      </c>
      <c r="BZ24" s="312"/>
      <c r="CA24" s="312"/>
      <c r="CB24" s="312"/>
      <c r="CC24" s="312"/>
      <c r="CD24" s="313">
        <f t="shared" ref="CD24:CD25" si="40">CD80</f>
        <v>526.40586361013061</v>
      </c>
      <c r="CE24" s="312"/>
      <c r="CF24" s="312"/>
      <c r="CG24" s="312"/>
      <c r="CH24" s="312"/>
      <c r="CI24" s="313">
        <f t="shared" ref="CI24:CI25" si="41">CI80</f>
        <v>515.87774633792799</v>
      </c>
      <c r="CJ24" s="312"/>
      <c r="CK24" s="312"/>
      <c r="CL24" s="312"/>
      <c r="CM24" s="312"/>
      <c r="CN24" s="313">
        <f t="shared" ref="CN24:CN25" si="42">CN80</f>
        <v>502.98080267947978</v>
      </c>
      <c r="CO24" s="312"/>
      <c r="CP24" s="312"/>
      <c r="CQ24" s="312"/>
      <c r="CR24" s="312"/>
      <c r="CS24" s="313">
        <f t="shared" ref="CS24:CS25" si="43">CS80</f>
        <v>487.89137859909539</v>
      </c>
    </row>
    <row r="25" spans="2:97" ht="15" hidden="1" customHeight="1" outlineLevel="1">
      <c r="B25" s="605" t="s">
        <v>84</v>
      </c>
      <c r="C25" s="312">
        <f t="shared" ref="C25" si="44">C26</f>
        <v>21.074000000000002</v>
      </c>
      <c r="D25" s="312">
        <f t="shared" ref="D25" si="45">D26</f>
        <v>21.722999999999999</v>
      </c>
      <c r="E25" s="312">
        <f t="shared" ref="E25" si="46">E26</f>
        <v>22.094000000000001</v>
      </c>
      <c r="F25" s="312">
        <f t="shared" ref="F25" si="47">F26</f>
        <v>21.678000000000001</v>
      </c>
      <c r="G25" s="313">
        <f t="shared" si="8"/>
        <v>86.568999999999988</v>
      </c>
      <c r="H25" s="312">
        <f t="shared" ref="H25" si="48">H26</f>
        <v>22.178999999999998</v>
      </c>
      <c r="I25" s="312">
        <f t="shared" ref="I25" si="49">I26</f>
        <v>24.215</v>
      </c>
      <c r="J25" s="312">
        <f t="shared" ref="J25" si="50">J26</f>
        <v>34.457000000000001</v>
      </c>
      <c r="K25" s="312">
        <f t="shared" ref="K25" si="51">K26</f>
        <v>32.106000000000002</v>
      </c>
      <c r="L25" s="313">
        <f t="shared" si="13"/>
        <v>112.95699999999999</v>
      </c>
      <c r="M25" s="312">
        <f t="shared" ref="M25:P25" si="52">M26</f>
        <v>43.758000000000003</v>
      </c>
      <c r="N25" s="312">
        <f t="shared" si="52"/>
        <v>44.671999999999997</v>
      </c>
      <c r="O25" s="312">
        <f t="shared" si="52"/>
        <v>46.273000000000003</v>
      </c>
      <c r="P25" s="312">
        <f t="shared" si="52"/>
        <v>55.545999999999999</v>
      </c>
      <c r="Q25" s="313">
        <f t="shared" si="15"/>
        <v>190.249</v>
      </c>
      <c r="R25" s="312">
        <f>R26</f>
        <v>58.034999999999997</v>
      </c>
      <c r="S25" s="312">
        <f>S26</f>
        <v>67.007000000000005</v>
      </c>
      <c r="T25" s="312">
        <f>T26</f>
        <v>68.617999999999995</v>
      </c>
      <c r="U25" s="312">
        <f>U26</f>
        <v>82.834999999999994</v>
      </c>
      <c r="V25" s="313">
        <f t="shared" si="16"/>
        <v>276.495</v>
      </c>
      <c r="W25" s="312">
        <f>W26</f>
        <v>96.272999999999996</v>
      </c>
      <c r="X25" s="312">
        <f>X26</f>
        <v>83.171999999999997</v>
      </c>
      <c r="Y25" s="312">
        <f t="shared" ref="Y25:Z25" si="53">Y81</f>
        <v>97.936000000000007</v>
      </c>
      <c r="Z25" s="312">
        <f t="shared" si="53"/>
        <v>105.011</v>
      </c>
      <c r="AA25" s="313">
        <f t="shared" si="18"/>
        <v>382.39199999999994</v>
      </c>
      <c r="AB25" s="312">
        <f t="shared" ref="AB25" si="54">AB81</f>
        <v>78.283999999999992</v>
      </c>
      <c r="AC25" s="312">
        <f t="shared" ref="AC25" si="55">AC81</f>
        <v>77.37299999999999</v>
      </c>
      <c r="AD25" s="312">
        <f t="shared" si="21"/>
        <v>80.161999999999992</v>
      </c>
      <c r="AE25" s="312">
        <f t="shared" si="21"/>
        <v>102.935</v>
      </c>
      <c r="AF25" s="313">
        <f t="shared" si="22"/>
        <v>338.75399999999996</v>
      </c>
      <c r="AG25" s="312">
        <f t="shared" ref="AG25:AJ25" si="56">AG81</f>
        <v>97.463579999999993</v>
      </c>
      <c r="AH25" s="312">
        <f t="shared" si="56"/>
        <v>98.263709999999989</v>
      </c>
      <c r="AI25" s="312">
        <f t="shared" si="56"/>
        <v>100.20249999999999</v>
      </c>
      <c r="AJ25" s="312">
        <f t="shared" si="56"/>
        <v>128.66874999999999</v>
      </c>
      <c r="AK25" s="313">
        <f t="shared" si="31"/>
        <v>424.59853999999996</v>
      </c>
      <c r="AL25" s="312"/>
      <c r="AM25" s="312"/>
      <c r="AN25" s="312"/>
      <c r="AO25" s="312"/>
      <c r="AP25" s="313">
        <f t="shared" si="32"/>
        <v>424.59853999999996</v>
      </c>
      <c r="AQ25" s="312"/>
      <c r="AR25" s="312"/>
      <c r="AS25" s="312"/>
      <c r="AT25" s="312"/>
      <c r="AU25" s="313">
        <f t="shared" si="33"/>
        <v>424.59853999999996</v>
      </c>
      <c r="AV25" s="312"/>
      <c r="AW25" s="312"/>
      <c r="AX25" s="312"/>
      <c r="AY25" s="312"/>
      <c r="AZ25" s="313">
        <f t="shared" si="34"/>
        <v>424.59853999999996</v>
      </c>
      <c r="BA25" s="312"/>
      <c r="BB25" s="312"/>
      <c r="BC25" s="312"/>
      <c r="BD25" s="312"/>
      <c r="BE25" s="313">
        <f t="shared" si="35"/>
        <v>424.59853999999996</v>
      </c>
      <c r="BF25" s="312"/>
      <c r="BG25" s="312"/>
      <c r="BH25" s="312"/>
      <c r="BI25" s="312"/>
      <c r="BJ25" s="313">
        <f t="shared" si="36"/>
        <v>424.59853999999996</v>
      </c>
      <c r="BK25" s="312"/>
      <c r="BL25" s="312"/>
      <c r="BM25" s="312"/>
      <c r="BN25" s="312"/>
      <c r="BO25" s="313">
        <f t="shared" si="37"/>
        <v>424.59853999999996</v>
      </c>
      <c r="BP25" s="312"/>
      <c r="BQ25" s="312"/>
      <c r="BR25" s="312"/>
      <c r="BS25" s="312"/>
      <c r="BT25" s="313">
        <f t="shared" si="38"/>
        <v>424.59853999999996</v>
      </c>
      <c r="BU25" s="312"/>
      <c r="BV25" s="312"/>
      <c r="BW25" s="312"/>
      <c r="BX25" s="312"/>
      <c r="BY25" s="313">
        <f t="shared" si="39"/>
        <v>424.59853999999996</v>
      </c>
      <c r="BZ25" s="312"/>
      <c r="CA25" s="312"/>
      <c r="CB25" s="312"/>
      <c r="CC25" s="312"/>
      <c r="CD25" s="313">
        <f t="shared" si="40"/>
        <v>424.59853999999996</v>
      </c>
      <c r="CE25" s="312"/>
      <c r="CF25" s="312"/>
      <c r="CG25" s="312"/>
      <c r="CH25" s="312"/>
      <c r="CI25" s="313">
        <f t="shared" si="41"/>
        <v>424.59853999999996</v>
      </c>
      <c r="CJ25" s="312"/>
      <c r="CK25" s="312"/>
      <c r="CL25" s="312"/>
      <c r="CM25" s="312"/>
      <c r="CN25" s="313">
        <f t="shared" si="42"/>
        <v>424.59853999999996</v>
      </c>
      <c r="CO25" s="312"/>
      <c r="CP25" s="312"/>
      <c r="CQ25" s="312"/>
      <c r="CR25" s="312"/>
      <c r="CS25" s="313">
        <f t="shared" si="43"/>
        <v>424.59853999999996</v>
      </c>
    </row>
    <row r="26" spans="2:97" ht="15" customHeight="1" collapsed="1" thickBot="1">
      <c r="B26" s="331" t="s">
        <v>15</v>
      </c>
      <c r="C26" s="312">
        <v>21.074000000000002</v>
      </c>
      <c r="D26" s="312">
        <v>21.722999999999999</v>
      </c>
      <c r="E26" s="312">
        <v>22.094000000000001</v>
      </c>
      <c r="F26" s="312">
        <v>21.678000000000001</v>
      </c>
      <c r="G26" s="313">
        <f t="shared" ref="G26:G31" si="57">SUM(C26:F26)</f>
        <v>86.568999999999988</v>
      </c>
      <c r="H26" s="312">
        <v>22.178999999999998</v>
      </c>
      <c r="I26" s="312">
        <v>24.215</v>
      </c>
      <c r="J26" s="312">
        <v>34.457000000000001</v>
      </c>
      <c r="K26" s="312">
        <v>32.106000000000002</v>
      </c>
      <c r="L26" s="313">
        <f t="shared" ref="L26:L31" si="58">SUM(H26:K26)</f>
        <v>112.95699999999999</v>
      </c>
      <c r="M26" s="312">
        <v>43.758000000000003</v>
      </c>
      <c r="N26" s="312">
        <v>44.671999999999997</v>
      </c>
      <c r="O26" s="312">
        <v>46.273000000000003</v>
      </c>
      <c r="P26" s="312">
        <v>55.545999999999999</v>
      </c>
      <c r="Q26" s="313">
        <f t="shared" ref="Q26:Q31" si="59">SUM(M26:P26)</f>
        <v>190.249</v>
      </c>
      <c r="R26" s="312">
        <v>58.034999999999997</v>
      </c>
      <c r="S26" s="312">
        <v>67.007000000000005</v>
      </c>
      <c r="T26" s="312">
        <v>68.617999999999995</v>
      </c>
      <c r="U26" s="312">
        <v>82.834999999999994</v>
      </c>
      <c r="V26" s="313">
        <f t="shared" ref="V26:V31" si="60">SUM(R26:U26)</f>
        <v>276.495</v>
      </c>
      <c r="W26" s="312">
        <v>96.272999999999996</v>
      </c>
      <c r="X26" s="312">
        <v>83.171999999999997</v>
      </c>
      <c r="Y26" s="312">
        <v>97.936000000000007</v>
      </c>
      <c r="Z26" s="312">
        <v>105.011</v>
      </c>
      <c r="AA26" s="313">
        <f t="shared" ref="AA26:AA31" si="61">SUM(W26:Z26)</f>
        <v>382.39199999999994</v>
      </c>
      <c r="AB26" s="312">
        <f>86.984-AB66</f>
        <v>78.283999999999992</v>
      </c>
      <c r="AC26" s="312">
        <f>90.627-AC66</f>
        <v>77.37299999999999</v>
      </c>
      <c r="AD26" s="312">
        <f>95.252-AD66</f>
        <v>80.161999999999992</v>
      </c>
      <c r="AE26" s="312">
        <f>117.772-AE66</f>
        <v>102.935</v>
      </c>
      <c r="AF26" s="313">
        <f t="shared" si="22"/>
        <v>338.75399999999996</v>
      </c>
      <c r="AG26" s="312">
        <f>CHOOSE($B$76,AG23,AG24,AG25)</f>
        <v>97.463579999999993</v>
      </c>
      <c r="AH26" s="312">
        <f>CHOOSE($B$76,AH23,AH24,AH25)</f>
        <v>98.263709999999989</v>
      </c>
      <c r="AI26" s="312">
        <f>CHOOSE($B$76,AI23,AI24,AI25)</f>
        <v>101.80573999999999</v>
      </c>
      <c r="AJ26" s="312">
        <f>CHOOSE($B$76,AJ23,AJ24,AJ25)</f>
        <v>112.19915000000002</v>
      </c>
      <c r="AK26" s="313">
        <f>CHOOSE($B$76,AK23,AK24,AK25)</f>
        <v>409.73217999999997</v>
      </c>
      <c r="AL26" s="312"/>
      <c r="AM26" s="312"/>
      <c r="AN26" s="312"/>
      <c r="AO26" s="312"/>
      <c r="AP26" s="313">
        <f>CHOOSE($B$76,AP23,AP24,AP25)</f>
        <v>450.705398</v>
      </c>
      <c r="AQ26" s="312"/>
      <c r="AR26" s="312"/>
      <c r="AS26" s="312"/>
      <c r="AT26" s="312"/>
      <c r="AU26" s="313">
        <f>CHOOSE($B$76,AU23,AU24,AU25)</f>
        <v>484.50830285000001</v>
      </c>
      <c r="AV26" s="312"/>
      <c r="AW26" s="312"/>
      <c r="AX26" s="312"/>
      <c r="AY26" s="312"/>
      <c r="AZ26" s="313">
        <f>CHOOSE($B$76,AZ23,AZ24,AZ25)</f>
        <v>508.73371799250003</v>
      </c>
      <c r="BA26" s="312"/>
      <c r="BB26" s="312"/>
      <c r="BC26" s="312"/>
      <c r="BD26" s="312"/>
      <c r="BE26" s="313">
        <f>CHOOSE($B$76,BE23,BE24,BE25)</f>
        <v>523.99572953227505</v>
      </c>
      <c r="BF26" s="312"/>
      <c r="BG26" s="312"/>
      <c r="BH26" s="312"/>
      <c r="BI26" s="312"/>
      <c r="BJ26" s="313">
        <f>CHOOSE($B$76,BJ23,BJ24,BJ25)</f>
        <v>534.47564412292058</v>
      </c>
      <c r="BK26" s="312"/>
      <c r="BL26" s="312"/>
      <c r="BM26" s="312"/>
      <c r="BN26" s="312"/>
      <c r="BO26" s="313">
        <f>CHOOSE($B$76,BO23,BO24,BO25)</f>
        <v>539.82040056414985</v>
      </c>
      <c r="BP26" s="312"/>
      <c r="BQ26" s="312"/>
      <c r="BR26" s="312"/>
      <c r="BS26" s="312"/>
      <c r="BT26" s="313">
        <f>CHOOSE($B$76,BT23,BT24,BT25)</f>
        <v>539.82040056414985</v>
      </c>
      <c r="BU26" s="312"/>
      <c r="BV26" s="312"/>
      <c r="BW26" s="312"/>
      <c r="BX26" s="312"/>
      <c r="BY26" s="313">
        <f>CHOOSE($B$76,BY23,BY24,BY25)</f>
        <v>534.42219655850829</v>
      </c>
      <c r="BZ26" s="312"/>
      <c r="CA26" s="312"/>
      <c r="CB26" s="312"/>
      <c r="CC26" s="312"/>
      <c r="CD26" s="313">
        <f>CHOOSE($B$76,CD23,CD24,CD25)</f>
        <v>526.40586361013061</v>
      </c>
      <c r="CE26" s="312"/>
      <c r="CF26" s="312"/>
      <c r="CG26" s="312"/>
      <c r="CH26" s="312"/>
      <c r="CI26" s="313">
        <f>CHOOSE($B$76,CI23,CI24,CI25)</f>
        <v>515.87774633792799</v>
      </c>
      <c r="CJ26" s="312"/>
      <c r="CK26" s="312"/>
      <c r="CL26" s="312"/>
      <c r="CM26" s="312"/>
      <c r="CN26" s="313">
        <f>CHOOSE($B$76,CN23,CN24,CN25)</f>
        <v>502.98080267947978</v>
      </c>
      <c r="CO26" s="312"/>
      <c r="CP26" s="312"/>
      <c r="CQ26" s="312"/>
      <c r="CR26" s="312"/>
      <c r="CS26" s="313">
        <f>CHOOSE($B$76,CS23,CS24,CS25)</f>
        <v>487.89137859909539</v>
      </c>
    </row>
    <row r="27" spans="2:97" ht="15" customHeight="1" thickBot="1">
      <c r="B27" s="331"/>
      <c r="C27" s="312"/>
      <c r="D27" s="312"/>
      <c r="E27" s="312"/>
      <c r="F27" s="312"/>
      <c r="G27" s="313"/>
      <c r="H27" s="312"/>
      <c r="I27" s="312"/>
      <c r="J27" s="312"/>
      <c r="K27" s="312"/>
      <c r="L27" s="313"/>
      <c r="M27" s="312"/>
      <c r="N27" s="312"/>
      <c r="O27" s="312"/>
      <c r="P27" s="312"/>
      <c r="Q27" s="313"/>
      <c r="R27" s="312"/>
      <c r="S27" s="312"/>
      <c r="T27" s="312"/>
      <c r="U27" s="312"/>
      <c r="V27" s="313"/>
      <c r="W27" s="312"/>
      <c r="X27" s="312"/>
      <c r="Y27" s="312"/>
      <c r="Z27" s="312"/>
      <c r="AA27" s="313"/>
      <c r="AB27" s="312"/>
      <c r="AC27" s="312"/>
      <c r="AD27" s="312"/>
      <c r="AE27" s="312"/>
      <c r="AF27" s="313"/>
      <c r="AG27" s="312"/>
      <c r="AH27" s="312"/>
      <c r="AI27" s="653" t="s">
        <v>561</v>
      </c>
      <c r="AJ27" s="653"/>
      <c r="AK27" s="654" t="s">
        <v>562</v>
      </c>
      <c r="AL27" s="312"/>
      <c r="AM27" s="312"/>
      <c r="AN27" s="312"/>
      <c r="AO27" s="312"/>
      <c r="AP27" s="313"/>
      <c r="AQ27" s="312"/>
      <c r="AR27" s="312"/>
      <c r="AS27" s="312"/>
      <c r="AT27" s="312"/>
      <c r="AU27" s="313"/>
      <c r="AV27" s="312"/>
      <c r="AW27" s="312"/>
      <c r="AX27" s="312"/>
      <c r="AY27" s="312"/>
      <c r="AZ27" s="313"/>
      <c r="BA27" s="312"/>
      <c r="BB27" s="312"/>
      <c r="BC27" s="312"/>
      <c r="BD27" s="312"/>
      <c r="BE27" s="313"/>
      <c r="BF27" s="312"/>
      <c r="BG27" s="312"/>
      <c r="BH27" s="312"/>
      <c r="BI27" s="312"/>
      <c r="BJ27" s="313"/>
      <c r="BK27" s="312"/>
      <c r="BL27" s="312"/>
      <c r="BM27" s="312"/>
      <c r="BN27" s="312"/>
      <c r="BO27" s="313"/>
      <c r="BP27" s="312"/>
      <c r="BQ27" s="312"/>
      <c r="BR27" s="312"/>
      <c r="BS27" s="312"/>
      <c r="BT27" s="313"/>
      <c r="BU27" s="312"/>
      <c r="BV27" s="312"/>
      <c r="BW27" s="312"/>
      <c r="BX27" s="312"/>
      <c r="BY27" s="313"/>
      <c r="BZ27" s="312"/>
      <c r="CA27" s="312"/>
      <c r="CB27" s="312"/>
      <c r="CC27" s="312"/>
      <c r="CD27" s="313"/>
      <c r="CE27" s="312"/>
      <c r="CF27" s="312"/>
      <c r="CG27" s="312"/>
      <c r="CH27" s="312"/>
      <c r="CI27" s="313"/>
      <c r="CJ27" s="312"/>
      <c r="CK27" s="312"/>
      <c r="CL27" s="312"/>
      <c r="CM27" s="312"/>
      <c r="CN27" s="313"/>
      <c r="CO27" s="312"/>
      <c r="CP27" s="312"/>
      <c r="CQ27" s="312"/>
      <c r="CR27" s="312"/>
      <c r="CS27" s="313"/>
    </row>
    <row r="28" spans="2:97" ht="15" hidden="1" customHeight="1" outlineLevel="1">
      <c r="B28" s="605" t="s">
        <v>82</v>
      </c>
      <c r="C28" s="312">
        <f>C87</f>
        <v>10.406000000000001</v>
      </c>
      <c r="D28" s="312">
        <f t="shared" ref="D28:F28" si="62">D87</f>
        <v>11.228</v>
      </c>
      <c r="E28" s="312">
        <f t="shared" si="62"/>
        <v>12.811999999999999</v>
      </c>
      <c r="F28" s="312">
        <f t="shared" si="62"/>
        <v>10.166</v>
      </c>
      <c r="G28" s="313">
        <f t="shared" si="57"/>
        <v>44.611999999999995</v>
      </c>
      <c r="H28" s="312">
        <f>H87</f>
        <v>6.2670000000000003</v>
      </c>
      <c r="I28" s="312">
        <f t="shared" ref="I28:K28" si="63">I87</f>
        <v>5.7839999999999998</v>
      </c>
      <c r="J28" s="312">
        <f t="shared" si="63"/>
        <v>6.7679999999999998</v>
      </c>
      <c r="K28" s="312">
        <f t="shared" si="63"/>
        <v>8.3330000000000002</v>
      </c>
      <c r="L28" s="313">
        <f t="shared" si="58"/>
        <v>27.152000000000001</v>
      </c>
      <c r="M28" s="312">
        <f>M87</f>
        <v>8.9250000000000007</v>
      </c>
      <c r="N28" s="312">
        <f t="shared" ref="N28:P28" si="64">N87</f>
        <v>11.518000000000001</v>
      </c>
      <c r="O28" s="312">
        <f t="shared" si="64"/>
        <v>9.8979999999999997</v>
      </c>
      <c r="P28" s="312">
        <f t="shared" si="64"/>
        <v>14.185</v>
      </c>
      <c r="Q28" s="313">
        <f t="shared" si="59"/>
        <v>44.526000000000003</v>
      </c>
      <c r="R28" s="312">
        <f>R87</f>
        <v>12.724</v>
      </c>
      <c r="S28" s="312">
        <f t="shared" ref="S28" si="65">S87</f>
        <v>14.622</v>
      </c>
      <c r="T28" s="312">
        <f>T31</f>
        <v>16.036000000000001</v>
      </c>
      <c r="U28" s="312">
        <f>U31</f>
        <v>17.228000000000002</v>
      </c>
      <c r="V28" s="313">
        <f t="shared" si="60"/>
        <v>60.610000000000007</v>
      </c>
      <c r="W28" s="312">
        <f>W31</f>
        <v>21.1</v>
      </c>
      <c r="X28" s="312">
        <f>X31</f>
        <v>17.986999999999998</v>
      </c>
      <c r="Y28" s="312">
        <f t="shared" ref="Y28:Z30" si="66">Y87</f>
        <v>22.390999999999998</v>
      </c>
      <c r="Z28" s="312">
        <f t="shared" si="66"/>
        <v>27.876000000000001</v>
      </c>
      <c r="AA28" s="313">
        <f t="shared" si="61"/>
        <v>89.353999999999999</v>
      </c>
      <c r="AB28" s="312">
        <f t="shared" ref="AB28:AC28" si="67">AB87</f>
        <v>31.487000000000002</v>
      </c>
      <c r="AC28" s="312">
        <f t="shared" si="67"/>
        <v>35.003</v>
      </c>
      <c r="AD28" s="312">
        <f t="shared" ref="AD28:AE30" si="68">AD29</f>
        <v>36.778999999999996</v>
      </c>
      <c r="AE28" s="312">
        <f t="shared" si="68"/>
        <v>55.174999999999997</v>
      </c>
      <c r="AF28" s="313">
        <f t="shared" si="22"/>
        <v>158.44399999999999</v>
      </c>
      <c r="AG28" s="312">
        <f>AG87</f>
        <v>61.399650000000001</v>
      </c>
      <c r="AH28" s="312">
        <f t="shared" ref="AH28:AJ28" si="69">AH87</f>
        <v>71.756149999999991</v>
      </c>
      <c r="AI28" s="312">
        <f t="shared" si="69"/>
        <v>79.074849999999984</v>
      </c>
      <c r="AJ28" s="312">
        <f t="shared" si="69"/>
        <v>88.28</v>
      </c>
      <c r="AK28" s="313">
        <f t="shared" ref="AK28:AK31" si="70">AJ28+AI28+AH28+AG28</f>
        <v>300.51065</v>
      </c>
      <c r="AL28" s="312"/>
      <c r="AM28" s="312"/>
      <c r="AN28" s="312"/>
      <c r="AO28" s="312"/>
      <c r="AP28" s="313">
        <f t="shared" ref="AP28:AP30" si="71">AP87</f>
        <v>315.53618249999994</v>
      </c>
      <c r="AQ28" s="312"/>
      <c r="AR28" s="312"/>
      <c r="AS28" s="312"/>
      <c r="AT28" s="312"/>
      <c r="AU28" s="313">
        <f t="shared" ref="AU28:AU30" si="72">AU87</f>
        <v>328.94647025624994</v>
      </c>
      <c r="AV28" s="312"/>
      <c r="AW28" s="312"/>
      <c r="AX28" s="312"/>
      <c r="AY28" s="312"/>
      <c r="AZ28" s="313">
        <f t="shared" ref="AZ28:AZ30" si="73">AZ87</f>
        <v>340.45959671521865</v>
      </c>
      <c r="BA28" s="312"/>
      <c r="BB28" s="312"/>
      <c r="BC28" s="312"/>
      <c r="BD28" s="312"/>
      <c r="BE28" s="313">
        <f t="shared" ref="BE28:BE30" si="74">BE87</f>
        <v>349.82223562488718</v>
      </c>
      <c r="BF28" s="312"/>
      <c r="BG28" s="312"/>
      <c r="BH28" s="312"/>
      <c r="BI28" s="312"/>
      <c r="BJ28" s="313">
        <f t="shared" ref="BJ28:BJ30" si="75">BJ87</f>
        <v>357.69323592644713</v>
      </c>
      <c r="BK28" s="312"/>
      <c r="BL28" s="312"/>
      <c r="BM28" s="312"/>
      <c r="BN28" s="312"/>
      <c r="BO28" s="313">
        <f t="shared" ref="BO28:BO30" si="76">BO87</f>
        <v>363.95286755515997</v>
      </c>
      <c r="BP28" s="312"/>
      <c r="BQ28" s="312"/>
      <c r="BR28" s="312"/>
      <c r="BS28" s="312"/>
      <c r="BT28" s="313">
        <f t="shared" ref="BT28:BT30" si="77">BT87</f>
        <v>368.50227839959945</v>
      </c>
      <c r="BU28" s="312"/>
      <c r="BV28" s="312"/>
      <c r="BW28" s="312"/>
      <c r="BX28" s="312"/>
      <c r="BY28" s="313">
        <f t="shared" ref="BY28:BY30" si="78">BY87</f>
        <v>372.18730118359542</v>
      </c>
      <c r="BZ28" s="312"/>
      <c r="CA28" s="312"/>
      <c r="CB28" s="312"/>
      <c r="CC28" s="312"/>
      <c r="CD28" s="313">
        <f t="shared" ref="CD28:CD30" si="79">CD87</f>
        <v>374.9787059424724</v>
      </c>
      <c r="CE28" s="312"/>
      <c r="CF28" s="312"/>
      <c r="CG28" s="312"/>
      <c r="CH28" s="312"/>
      <c r="CI28" s="313">
        <f t="shared" ref="CI28:CI30" si="80">CI87</f>
        <v>376.85359947218473</v>
      </c>
      <c r="CJ28" s="312"/>
      <c r="CK28" s="312"/>
      <c r="CL28" s="312"/>
      <c r="CM28" s="312"/>
      <c r="CN28" s="313">
        <f t="shared" ref="CN28:CN30" si="81">CN87</f>
        <v>377.79573347086517</v>
      </c>
      <c r="CO28" s="312"/>
      <c r="CP28" s="312"/>
      <c r="CQ28" s="312"/>
      <c r="CR28" s="312"/>
      <c r="CS28" s="313">
        <f t="shared" ref="CS28:CS30" si="82">CS87</f>
        <v>377.79573347086517</v>
      </c>
    </row>
    <row r="29" spans="2:97" ht="15" hidden="1" customHeight="1" outlineLevel="1">
      <c r="B29" s="605" t="s">
        <v>83</v>
      </c>
      <c r="C29" s="312">
        <f t="shared" ref="C29:F29" si="83">C88</f>
        <v>10.406000000000001</v>
      </c>
      <c r="D29" s="312">
        <f t="shared" si="83"/>
        <v>11.228</v>
      </c>
      <c r="E29" s="312">
        <f t="shared" si="83"/>
        <v>12.811999999999999</v>
      </c>
      <c r="F29" s="312">
        <f t="shared" si="83"/>
        <v>10.166</v>
      </c>
      <c r="G29" s="313">
        <f t="shared" si="57"/>
        <v>44.611999999999995</v>
      </c>
      <c r="H29" s="312">
        <f t="shared" ref="H29:K29" si="84">H88</f>
        <v>6.2670000000000003</v>
      </c>
      <c r="I29" s="312">
        <f t="shared" si="84"/>
        <v>5.7839999999999998</v>
      </c>
      <c r="J29" s="312">
        <f t="shared" si="84"/>
        <v>6.7679999999999998</v>
      </c>
      <c r="K29" s="312">
        <f t="shared" si="84"/>
        <v>8.3330000000000002</v>
      </c>
      <c r="L29" s="313">
        <f t="shared" si="58"/>
        <v>27.152000000000001</v>
      </c>
      <c r="M29" s="312">
        <f t="shared" ref="M29:P29" si="85">M88</f>
        <v>8.9250000000000007</v>
      </c>
      <c r="N29" s="312">
        <f t="shared" si="85"/>
        <v>11.518000000000001</v>
      </c>
      <c r="O29" s="312">
        <f t="shared" si="85"/>
        <v>9.8979999999999997</v>
      </c>
      <c r="P29" s="312">
        <f t="shared" si="85"/>
        <v>14.185</v>
      </c>
      <c r="Q29" s="313">
        <f t="shared" si="59"/>
        <v>44.526000000000003</v>
      </c>
      <c r="R29" s="312">
        <f t="shared" ref="R29:S29" si="86">R88</f>
        <v>12.724</v>
      </c>
      <c r="S29" s="312">
        <f t="shared" si="86"/>
        <v>14.622</v>
      </c>
      <c r="T29" s="312">
        <f>T31</f>
        <v>16.036000000000001</v>
      </c>
      <c r="U29" s="312">
        <f>U31</f>
        <v>17.228000000000002</v>
      </c>
      <c r="V29" s="313">
        <f t="shared" si="60"/>
        <v>60.610000000000007</v>
      </c>
      <c r="W29" s="312">
        <f>W31</f>
        <v>21.1</v>
      </c>
      <c r="X29" s="312">
        <f>X31</f>
        <v>17.986999999999998</v>
      </c>
      <c r="Y29" s="312">
        <f t="shared" si="66"/>
        <v>22.390999999999998</v>
      </c>
      <c r="Z29" s="312">
        <f t="shared" si="66"/>
        <v>27.876000000000001</v>
      </c>
      <c r="AA29" s="313">
        <f t="shared" si="61"/>
        <v>89.353999999999999</v>
      </c>
      <c r="AB29" s="312">
        <f t="shared" ref="AB29:AC29" si="87">AB88</f>
        <v>31.487000000000002</v>
      </c>
      <c r="AC29" s="312">
        <f t="shared" si="87"/>
        <v>35.003</v>
      </c>
      <c r="AD29" s="312">
        <f t="shared" si="68"/>
        <v>36.778999999999996</v>
      </c>
      <c r="AE29" s="312">
        <f t="shared" si="68"/>
        <v>55.174999999999997</v>
      </c>
      <c r="AF29" s="313">
        <f t="shared" si="22"/>
        <v>158.44399999999999</v>
      </c>
      <c r="AG29" s="312">
        <f t="shared" ref="AG29:AJ30" si="88">AG88</f>
        <v>61.399650000000001</v>
      </c>
      <c r="AH29" s="312">
        <f t="shared" si="88"/>
        <v>71.756149999999991</v>
      </c>
      <c r="AI29" s="312">
        <f t="shared" si="88"/>
        <v>79.074849999999984</v>
      </c>
      <c r="AJ29" s="312">
        <f t="shared" si="88"/>
        <v>88.28</v>
      </c>
      <c r="AK29" s="313">
        <f t="shared" si="70"/>
        <v>300.51065</v>
      </c>
      <c r="AL29" s="312"/>
      <c r="AM29" s="312"/>
      <c r="AN29" s="312"/>
      <c r="AO29" s="312"/>
      <c r="AP29" s="313">
        <f t="shared" si="71"/>
        <v>315.53618249999994</v>
      </c>
      <c r="AQ29" s="312"/>
      <c r="AR29" s="312"/>
      <c r="AS29" s="312"/>
      <c r="AT29" s="312"/>
      <c r="AU29" s="313">
        <f t="shared" si="72"/>
        <v>328.15762979999994</v>
      </c>
      <c r="AV29" s="312"/>
      <c r="AW29" s="312"/>
      <c r="AX29" s="312"/>
      <c r="AY29" s="312"/>
      <c r="AZ29" s="313">
        <f t="shared" si="73"/>
        <v>338.00235869399995</v>
      </c>
      <c r="BA29" s="312"/>
      <c r="BB29" s="312"/>
      <c r="BC29" s="312"/>
      <c r="BD29" s="312"/>
      <c r="BE29" s="313">
        <f t="shared" si="74"/>
        <v>344.76240586787998</v>
      </c>
      <c r="BF29" s="312"/>
      <c r="BG29" s="312"/>
      <c r="BH29" s="312"/>
      <c r="BI29" s="312"/>
      <c r="BJ29" s="313">
        <f t="shared" si="75"/>
        <v>349.93384195589812</v>
      </c>
      <c r="BK29" s="312"/>
      <c r="BL29" s="312"/>
      <c r="BM29" s="312"/>
      <c r="BN29" s="312"/>
      <c r="BO29" s="313">
        <f t="shared" si="76"/>
        <v>353.43318037545708</v>
      </c>
      <c r="BP29" s="312"/>
      <c r="BQ29" s="312"/>
      <c r="BR29" s="312"/>
      <c r="BS29" s="312"/>
      <c r="BT29" s="313">
        <f t="shared" si="77"/>
        <v>355.20034627733435</v>
      </c>
      <c r="BU29" s="312"/>
      <c r="BV29" s="312"/>
      <c r="BW29" s="312"/>
      <c r="BX29" s="312"/>
      <c r="BY29" s="313">
        <f t="shared" si="78"/>
        <v>355.20034627733435</v>
      </c>
      <c r="BZ29" s="312"/>
      <c r="CA29" s="312"/>
      <c r="CB29" s="312"/>
      <c r="CC29" s="312"/>
      <c r="CD29" s="313">
        <f t="shared" si="79"/>
        <v>353.42434454594769</v>
      </c>
      <c r="CE29" s="312"/>
      <c r="CF29" s="312"/>
      <c r="CG29" s="312"/>
      <c r="CH29" s="312"/>
      <c r="CI29" s="313">
        <f t="shared" si="80"/>
        <v>349.89010110048821</v>
      </c>
      <c r="CJ29" s="312"/>
      <c r="CK29" s="312"/>
      <c r="CL29" s="312"/>
      <c r="CM29" s="312"/>
      <c r="CN29" s="313">
        <f t="shared" si="81"/>
        <v>344.64174958398087</v>
      </c>
      <c r="CO29" s="312"/>
      <c r="CP29" s="312"/>
      <c r="CQ29" s="312"/>
      <c r="CR29" s="312"/>
      <c r="CS29" s="313">
        <f t="shared" si="82"/>
        <v>337.74891459230122</v>
      </c>
    </row>
    <row r="30" spans="2:97" ht="15" hidden="1" customHeight="1" outlineLevel="1">
      <c r="B30" s="605" t="s">
        <v>84</v>
      </c>
      <c r="C30" s="312">
        <f t="shared" ref="C30:F30" si="89">C89</f>
        <v>10.406000000000001</v>
      </c>
      <c r="D30" s="312">
        <f t="shared" si="89"/>
        <v>11.228</v>
      </c>
      <c r="E30" s="312">
        <f t="shared" si="89"/>
        <v>12.811999999999999</v>
      </c>
      <c r="F30" s="312">
        <f t="shared" si="89"/>
        <v>10.166</v>
      </c>
      <c r="G30" s="313">
        <f t="shared" si="57"/>
        <v>44.611999999999995</v>
      </c>
      <c r="H30" s="312">
        <f t="shared" ref="H30:K30" si="90">H89</f>
        <v>6.2670000000000003</v>
      </c>
      <c r="I30" s="312">
        <f t="shared" si="90"/>
        <v>5.7839999999999998</v>
      </c>
      <c r="J30" s="312">
        <f t="shared" si="90"/>
        <v>6.7679999999999998</v>
      </c>
      <c r="K30" s="312">
        <f t="shared" si="90"/>
        <v>8.3330000000000002</v>
      </c>
      <c r="L30" s="313">
        <f t="shared" si="58"/>
        <v>27.152000000000001</v>
      </c>
      <c r="M30" s="312">
        <f t="shared" ref="M30:P30" si="91">M89</f>
        <v>8.9250000000000007</v>
      </c>
      <c r="N30" s="312">
        <f t="shared" si="91"/>
        <v>11.518000000000001</v>
      </c>
      <c r="O30" s="312">
        <f t="shared" si="91"/>
        <v>9.8979999999999997</v>
      </c>
      <c r="P30" s="312">
        <f t="shared" si="91"/>
        <v>14.185</v>
      </c>
      <c r="Q30" s="313">
        <f t="shared" si="59"/>
        <v>44.526000000000003</v>
      </c>
      <c r="R30" s="312">
        <f t="shared" ref="R30:S30" si="92">R89</f>
        <v>12.724</v>
      </c>
      <c r="S30" s="312">
        <f t="shared" si="92"/>
        <v>14.622</v>
      </c>
      <c r="T30" s="312">
        <f>T31</f>
        <v>16.036000000000001</v>
      </c>
      <c r="U30" s="312">
        <f>U31</f>
        <v>17.228000000000002</v>
      </c>
      <c r="V30" s="313">
        <f t="shared" si="60"/>
        <v>60.610000000000007</v>
      </c>
      <c r="W30" s="312">
        <f>W31</f>
        <v>21.1</v>
      </c>
      <c r="X30" s="312">
        <f>X31</f>
        <v>17.986999999999998</v>
      </c>
      <c r="Y30" s="312">
        <f t="shared" si="66"/>
        <v>22.390999999999998</v>
      </c>
      <c r="Z30" s="312">
        <f t="shared" si="66"/>
        <v>27.876000000000001</v>
      </c>
      <c r="AA30" s="313">
        <f t="shared" si="61"/>
        <v>89.353999999999999</v>
      </c>
      <c r="AB30" s="312">
        <f t="shared" ref="AB30:AC30" si="93">AB89</f>
        <v>31.487000000000002</v>
      </c>
      <c r="AC30" s="312">
        <f t="shared" si="93"/>
        <v>35.003</v>
      </c>
      <c r="AD30" s="312">
        <f t="shared" si="68"/>
        <v>36.778999999999996</v>
      </c>
      <c r="AE30" s="312">
        <f t="shared" si="68"/>
        <v>55.174999999999997</v>
      </c>
      <c r="AF30" s="313">
        <f t="shared" si="22"/>
        <v>158.44399999999999</v>
      </c>
      <c r="AG30" s="312">
        <f t="shared" si="88"/>
        <v>61.399650000000001</v>
      </c>
      <c r="AH30" s="312">
        <f t="shared" si="88"/>
        <v>71.756149999999991</v>
      </c>
      <c r="AI30" s="312">
        <f t="shared" si="88"/>
        <v>75.39694999999999</v>
      </c>
      <c r="AJ30" s="312">
        <f t="shared" si="88"/>
        <v>82.762499999999989</v>
      </c>
      <c r="AK30" s="313">
        <f t="shared" si="70"/>
        <v>291.31524999999999</v>
      </c>
      <c r="AL30" s="312"/>
      <c r="AM30" s="312"/>
      <c r="AN30" s="312"/>
      <c r="AO30" s="312"/>
      <c r="AP30" s="313">
        <f t="shared" si="71"/>
        <v>297.14155499999998</v>
      </c>
      <c r="AQ30" s="312"/>
      <c r="AR30" s="312"/>
      <c r="AS30" s="312"/>
      <c r="AT30" s="312"/>
      <c r="AU30" s="313">
        <f t="shared" si="72"/>
        <v>301.59867832499998</v>
      </c>
      <c r="AV30" s="312"/>
      <c r="AW30" s="312"/>
      <c r="AX30" s="312"/>
      <c r="AY30" s="312"/>
      <c r="AZ30" s="313">
        <f t="shared" si="73"/>
        <v>304.61466510824999</v>
      </c>
      <c r="BA30" s="312"/>
      <c r="BB30" s="312"/>
      <c r="BC30" s="312"/>
      <c r="BD30" s="312"/>
      <c r="BE30" s="313">
        <f t="shared" si="74"/>
        <v>306.13773843379118</v>
      </c>
      <c r="BF30" s="312"/>
      <c r="BG30" s="312"/>
      <c r="BH30" s="312"/>
      <c r="BI30" s="312"/>
      <c r="BJ30" s="313">
        <f t="shared" si="75"/>
        <v>306.13773843379118</v>
      </c>
      <c r="BK30" s="312"/>
      <c r="BL30" s="312"/>
      <c r="BM30" s="312"/>
      <c r="BN30" s="312"/>
      <c r="BO30" s="313">
        <f t="shared" si="76"/>
        <v>306.13773843379118</v>
      </c>
      <c r="BP30" s="312"/>
      <c r="BQ30" s="312"/>
      <c r="BR30" s="312"/>
      <c r="BS30" s="312"/>
      <c r="BT30" s="313">
        <f t="shared" si="77"/>
        <v>306.13773843379118</v>
      </c>
      <c r="BU30" s="312"/>
      <c r="BV30" s="312"/>
      <c r="BW30" s="312"/>
      <c r="BX30" s="312"/>
      <c r="BY30" s="313">
        <f t="shared" si="78"/>
        <v>306.13773843379118</v>
      </c>
      <c r="BZ30" s="312"/>
      <c r="CA30" s="312"/>
      <c r="CB30" s="312"/>
      <c r="CC30" s="312"/>
      <c r="CD30" s="313">
        <f t="shared" si="79"/>
        <v>306.13773843379118</v>
      </c>
      <c r="CE30" s="312"/>
      <c r="CF30" s="312"/>
      <c r="CG30" s="312"/>
      <c r="CH30" s="312"/>
      <c r="CI30" s="313">
        <f t="shared" si="80"/>
        <v>306.13773843379118</v>
      </c>
      <c r="CJ30" s="312"/>
      <c r="CK30" s="312"/>
      <c r="CL30" s="312"/>
      <c r="CM30" s="312"/>
      <c r="CN30" s="313">
        <f t="shared" si="81"/>
        <v>306.13773843379118</v>
      </c>
      <c r="CO30" s="312"/>
      <c r="CP30" s="312"/>
      <c r="CQ30" s="312"/>
      <c r="CR30" s="312"/>
      <c r="CS30" s="313">
        <f t="shared" si="82"/>
        <v>306.13773843379118</v>
      </c>
    </row>
    <row r="31" spans="2:97" ht="15" customHeight="1" collapsed="1" thickBot="1">
      <c r="B31" s="331" t="s">
        <v>17</v>
      </c>
      <c r="C31" s="312">
        <v>10.406000000000001</v>
      </c>
      <c r="D31" s="312">
        <v>11.228</v>
      </c>
      <c r="E31" s="312">
        <v>12.811999999999999</v>
      </c>
      <c r="F31" s="312">
        <v>10.166</v>
      </c>
      <c r="G31" s="313">
        <f t="shared" si="57"/>
        <v>44.611999999999995</v>
      </c>
      <c r="H31" s="312">
        <v>6.2670000000000003</v>
      </c>
      <c r="I31" s="312">
        <v>5.7839999999999998</v>
      </c>
      <c r="J31" s="312">
        <v>6.7679999999999998</v>
      </c>
      <c r="K31" s="312">
        <v>8.3330000000000002</v>
      </c>
      <c r="L31" s="313">
        <f t="shared" si="58"/>
        <v>27.152000000000001</v>
      </c>
      <c r="M31" s="312">
        <v>8.9250000000000007</v>
      </c>
      <c r="N31" s="312">
        <v>11.518000000000001</v>
      </c>
      <c r="O31" s="312">
        <v>9.8979999999999997</v>
      </c>
      <c r="P31" s="312">
        <v>14.185</v>
      </c>
      <c r="Q31" s="313">
        <f t="shared" si="59"/>
        <v>44.526000000000003</v>
      </c>
      <c r="R31" s="312">
        <v>12.724</v>
      </c>
      <c r="S31" s="312">
        <v>14.622</v>
      </c>
      <c r="T31" s="312">
        <v>16.036000000000001</v>
      </c>
      <c r="U31" s="312">
        <v>17.228000000000002</v>
      </c>
      <c r="V31" s="313">
        <f t="shared" si="60"/>
        <v>60.610000000000007</v>
      </c>
      <c r="W31" s="312">
        <v>21.1</v>
      </c>
      <c r="X31" s="312">
        <v>17.986999999999998</v>
      </c>
      <c r="Y31" s="312">
        <v>22.390999999999998</v>
      </c>
      <c r="Z31" s="312">
        <v>27.876000000000001</v>
      </c>
      <c r="AA31" s="313">
        <f t="shared" si="61"/>
        <v>89.353999999999999</v>
      </c>
      <c r="AB31" s="312">
        <f>38.487-AB67</f>
        <v>31.487000000000002</v>
      </c>
      <c r="AC31" s="312">
        <f>45.779-AC67</f>
        <v>35.003</v>
      </c>
      <c r="AD31" s="312">
        <f>47.644-AD67</f>
        <v>36.778999999999996</v>
      </c>
      <c r="AE31" s="312">
        <f>67.455-AE67</f>
        <v>55.174999999999997</v>
      </c>
      <c r="AF31" s="313">
        <f t="shared" si="22"/>
        <v>158.44399999999999</v>
      </c>
      <c r="AG31" s="312">
        <f>CHOOSE($B$76,AG28,AG29,AG30)</f>
        <v>61.399650000000001</v>
      </c>
      <c r="AH31" s="312">
        <f>CHOOSE($B$76,AH28,AH29,AH30)</f>
        <v>71.756149999999991</v>
      </c>
      <c r="AI31" s="312">
        <f>CHOOSE($B$76,AI28,AI29,AI30)</f>
        <v>79.074849999999984</v>
      </c>
      <c r="AJ31" s="312">
        <f>CHOOSE($B$76,AJ28,AJ29,AJ30)</f>
        <v>88.28</v>
      </c>
      <c r="AK31" s="313">
        <f t="shared" si="70"/>
        <v>300.51065</v>
      </c>
      <c r="AL31" s="312"/>
      <c r="AM31" s="312"/>
      <c r="AN31" s="312"/>
      <c r="AO31" s="312"/>
      <c r="AP31" s="313">
        <f>CHOOSE($B$76,AP28,AP29,AP30)</f>
        <v>315.53618249999994</v>
      </c>
      <c r="AQ31" s="312"/>
      <c r="AR31" s="312"/>
      <c r="AS31" s="312"/>
      <c r="AT31" s="312"/>
      <c r="AU31" s="313">
        <f>CHOOSE($B$76,AU28,AU29,AU30)</f>
        <v>328.15762979999994</v>
      </c>
      <c r="AV31" s="312"/>
      <c r="AW31" s="312"/>
      <c r="AX31" s="312"/>
      <c r="AY31" s="312"/>
      <c r="AZ31" s="313">
        <f>CHOOSE($B$76,AZ28,AZ29,AZ30)</f>
        <v>338.00235869399995</v>
      </c>
      <c r="BA31" s="312"/>
      <c r="BB31" s="312"/>
      <c r="BC31" s="312"/>
      <c r="BD31" s="312"/>
      <c r="BE31" s="313">
        <f>CHOOSE($B$76,BE28,BE29,BE30)</f>
        <v>344.76240586787998</v>
      </c>
      <c r="BF31" s="312"/>
      <c r="BG31" s="312"/>
      <c r="BH31" s="312"/>
      <c r="BI31" s="312"/>
      <c r="BJ31" s="313">
        <f>CHOOSE($B$76,BJ28,BJ29,BJ30)</f>
        <v>349.93384195589812</v>
      </c>
      <c r="BK31" s="312"/>
      <c r="BL31" s="312"/>
      <c r="BM31" s="312"/>
      <c r="BN31" s="312"/>
      <c r="BO31" s="313">
        <f>CHOOSE($B$76,BO28,BO29,BO30)</f>
        <v>353.43318037545708</v>
      </c>
      <c r="BP31" s="312"/>
      <c r="BQ31" s="312"/>
      <c r="BR31" s="312"/>
      <c r="BS31" s="312"/>
      <c r="BT31" s="313">
        <f>CHOOSE($B$76,BT28,BT29,BT30)</f>
        <v>355.20034627733435</v>
      </c>
      <c r="BU31" s="312"/>
      <c r="BV31" s="312"/>
      <c r="BW31" s="312"/>
      <c r="BX31" s="312"/>
      <c r="BY31" s="313">
        <f>CHOOSE($B$76,BY28,BY29,BY30)</f>
        <v>355.20034627733435</v>
      </c>
      <c r="BZ31" s="312"/>
      <c r="CA31" s="312"/>
      <c r="CB31" s="312"/>
      <c r="CC31" s="312"/>
      <c r="CD31" s="313">
        <f>CHOOSE($B$76,CD28,CD29,CD30)</f>
        <v>353.42434454594769</v>
      </c>
      <c r="CE31" s="312"/>
      <c r="CF31" s="312"/>
      <c r="CG31" s="312"/>
      <c r="CH31" s="312"/>
      <c r="CI31" s="313">
        <f>CHOOSE($B$76,CI28,CI29,CI30)</f>
        <v>349.89010110048821</v>
      </c>
      <c r="CJ31" s="312"/>
      <c r="CK31" s="312"/>
      <c r="CL31" s="312"/>
      <c r="CM31" s="312"/>
      <c r="CN31" s="313">
        <f>CHOOSE($B$76,CN28,CN29,CN30)</f>
        <v>344.64174958398087</v>
      </c>
      <c r="CO31" s="312"/>
      <c r="CP31" s="312"/>
      <c r="CQ31" s="312"/>
      <c r="CR31" s="312"/>
      <c r="CS31" s="313">
        <f>CHOOSE($B$76,CS28,CS29,CS30)</f>
        <v>337.74891459230122</v>
      </c>
    </row>
    <row r="32" spans="2:97" ht="15" customHeight="1" thickBot="1">
      <c r="B32" s="331"/>
      <c r="C32" s="312"/>
      <c r="D32" s="312"/>
      <c r="E32" s="312"/>
      <c r="F32" s="312"/>
      <c r="G32" s="313"/>
      <c r="H32" s="312"/>
      <c r="I32" s="312"/>
      <c r="J32" s="312"/>
      <c r="K32" s="312"/>
      <c r="L32" s="313"/>
      <c r="M32" s="312"/>
      <c r="N32" s="312"/>
      <c r="O32" s="312"/>
      <c r="P32" s="312"/>
      <c r="Q32" s="313"/>
      <c r="R32" s="312"/>
      <c r="S32" s="312"/>
      <c r="T32" s="312"/>
      <c r="U32" s="312"/>
      <c r="V32" s="313"/>
      <c r="W32" s="312"/>
      <c r="X32" s="312"/>
      <c r="Y32" s="312"/>
      <c r="Z32" s="312"/>
      <c r="AA32" s="313"/>
      <c r="AB32" s="312"/>
      <c r="AC32" s="312"/>
      <c r="AD32" s="312"/>
      <c r="AE32" s="312"/>
      <c r="AF32" s="313"/>
      <c r="AG32" s="312"/>
      <c r="AH32" s="312"/>
      <c r="AI32" s="653" t="s">
        <v>561</v>
      </c>
      <c r="AJ32" s="653"/>
      <c r="AK32" s="654" t="s">
        <v>563</v>
      </c>
      <c r="AL32" s="312"/>
      <c r="AM32" s="312"/>
      <c r="AN32" s="312"/>
      <c r="AO32" s="312"/>
      <c r="AP32" s="313"/>
      <c r="AQ32" s="312"/>
      <c r="AR32" s="312"/>
      <c r="AS32" s="312"/>
      <c r="AT32" s="312"/>
      <c r="AU32" s="313"/>
      <c r="AV32" s="312"/>
      <c r="AW32" s="312"/>
      <c r="AX32" s="312"/>
      <c r="AY32" s="312"/>
      <c r="AZ32" s="313"/>
      <c r="BA32" s="312"/>
      <c r="BB32" s="312"/>
      <c r="BC32" s="312"/>
      <c r="BD32" s="312"/>
      <c r="BE32" s="313"/>
      <c r="BF32" s="312"/>
      <c r="BG32" s="312"/>
      <c r="BH32" s="312"/>
      <c r="BI32" s="312"/>
      <c r="BJ32" s="313"/>
      <c r="BK32" s="312"/>
      <c r="BL32" s="312"/>
      <c r="BM32" s="312"/>
      <c r="BN32" s="312"/>
      <c r="BO32" s="313"/>
      <c r="BP32" s="312"/>
      <c r="BQ32" s="312"/>
      <c r="BR32" s="312"/>
      <c r="BS32" s="312"/>
      <c r="BT32" s="313"/>
      <c r="BU32" s="312"/>
      <c r="BV32" s="312"/>
      <c r="BW32" s="312"/>
      <c r="BX32" s="312"/>
      <c r="BY32" s="313"/>
      <c r="BZ32" s="312"/>
      <c r="CA32" s="312"/>
      <c r="CB32" s="312"/>
      <c r="CC32" s="312"/>
      <c r="CD32" s="313"/>
      <c r="CE32" s="312"/>
      <c r="CF32" s="312"/>
      <c r="CG32" s="312"/>
      <c r="CH32" s="312"/>
      <c r="CI32" s="313"/>
      <c r="CJ32" s="312"/>
      <c r="CK32" s="312"/>
      <c r="CL32" s="312"/>
      <c r="CM32" s="312"/>
      <c r="CN32" s="313"/>
      <c r="CO32" s="312"/>
      <c r="CP32" s="312"/>
      <c r="CQ32" s="312"/>
      <c r="CR32" s="312"/>
      <c r="CS32" s="313"/>
    </row>
    <row r="33" spans="2:105" ht="15" customHeight="1">
      <c r="B33" s="331"/>
      <c r="C33" s="478"/>
      <c r="D33" s="478"/>
      <c r="E33" s="478"/>
      <c r="F33" s="478"/>
      <c r="G33" s="595"/>
      <c r="H33" s="478"/>
      <c r="I33" s="478"/>
      <c r="J33" s="478"/>
      <c r="K33" s="478"/>
      <c r="L33" s="595"/>
      <c r="M33" s="478"/>
      <c r="N33" s="478"/>
      <c r="O33" s="478"/>
      <c r="P33" s="478"/>
      <c r="Q33" s="595"/>
      <c r="R33" s="478"/>
      <c r="S33" s="478"/>
      <c r="T33" s="478"/>
      <c r="U33" s="478"/>
      <c r="V33" s="595"/>
      <c r="W33" s="478"/>
      <c r="X33" s="478"/>
      <c r="Y33" s="478"/>
      <c r="Z33" s="478"/>
      <c r="AA33" s="595"/>
      <c r="AB33" s="478"/>
      <c r="AC33" s="478"/>
      <c r="AD33" s="478"/>
      <c r="AE33" s="478"/>
      <c r="AF33" s="595"/>
      <c r="AG33" s="332"/>
      <c r="AH33" s="332"/>
      <c r="AI33" s="332"/>
      <c r="AJ33" s="332"/>
      <c r="AK33" s="333"/>
      <c r="AL33" s="332"/>
      <c r="AM33" s="332"/>
      <c r="AN33" s="332"/>
      <c r="AO33" s="332"/>
      <c r="AP33" s="333"/>
      <c r="AQ33" s="332"/>
      <c r="AR33" s="332"/>
      <c r="AS33" s="332"/>
      <c r="AT33" s="332"/>
      <c r="AU33" s="333"/>
      <c r="AV33" s="332"/>
      <c r="AW33" s="332"/>
      <c r="AX33" s="332"/>
      <c r="AY33" s="332"/>
      <c r="AZ33" s="333"/>
      <c r="BA33" s="332"/>
      <c r="BB33" s="332"/>
      <c r="BC33" s="332"/>
      <c r="BD33" s="332"/>
      <c r="BE33" s="333"/>
      <c r="BF33" s="332"/>
      <c r="BG33" s="332"/>
      <c r="BH33" s="332"/>
      <c r="BI33" s="332"/>
      <c r="BJ33" s="333"/>
      <c r="BK33" s="332"/>
      <c r="BL33" s="332"/>
      <c r="BM33" s="332"/>
      <c r="BN33" s="332"/>
      <c r="BO33" s="333"/>
      <c r="BP33" s="332"/>
      <c r="BQ33" s="332"/>
      <c r="BR33" s="332"/>
      <c r="BS33" s="332"/>
      <c r="BT33" s="333"/>
      <c r="BU33" s="332"/>
      <c r="BV33" s="332"/>
      <c r="BW33" s="332"/>
      <c r="BX33" s="332"/>
      <c r="BY33" s="333"/>
      <c r="BZ33" s="332"/>
      <c r="CA33" s="332"/>
      <c r="CB33" s="332"/>
      <c r="CC33" s="332"/>
      <c r="CD33" s="333"/>
      <c r="CE33" s="332"/>
      <c r="CF33" s="332"/>
      <c r="CG33" s="332"/>
      <c r="CH33" s="332"/>
      <c r="CI33" s="333"/>
      <c r="CJ33" s="332"/>
      <c r="CK33" s="332"/>
      <c r="CL33" s="332"/>
      <c r="CM33" s="332"/>
      <c r="CN33" s="333"/>
      <c r="CO33" s="332"/>
      <c r="CP33" s="332"/>
      <c r="CQ33" s="332"/>
      <c r="CR33" s="332"/>
      <c r="CS33" s="595"/>
    </row>
    <row r="34" spans="2:105" s="317" customFormat="1" ht="15" customHeight="1">
      <c r="B34" s="639" t="s">
        <v>248</v>
      </c>
      <c r="C34" s="314">
        <f t="shared" ref="C34:AJ34" si="94">C15-C21-C26-C31</f>
        <v>-10.893000000000002</v>
      </c>
      <c r="D34" s="314">
        <f t="shared" si="94"/>
        <v>-12.066999999999998</v>
      </c>
      <c r="E34" s="314">
        <f t="shared" si="94"/>
        <v>-18.146999999999998</v>
      </c>
      <c r="F34" s="314">
        <f t="shared" si="94"/>
        <v>-23.349000000000004</v>
      </c>
      <c r="G34" s="315">
        <f t="shared" si="94"/>
        <v>-64.455999999999975</v>
      </c>
      <c r="H34" s="314">
        <f t="shared" si="94"/>
        <v>-9.8039999999999985</v>
      </c>
      <c r="I34" s="314">
        <f t="shared" si="94"/>
        <v>-21.312000000000001</v>
      </c>
      <c r="J34" s="314">
        <f t="shared" si="94"/>
        <v>-32.234000000000002</v>
      </c>
      <c r="K34" s="314">
        <f t="shared" si="94"/>
        <v>-29.591999999999999</v>
      </c>
      <c r="L34" s="315">
        <f t="shared" si="94"/>
        <v>-92.941999999999993</v>
      </c>
      <c r="M34" s="314">
        <f t="shared" si="94"/>
        <v>-44.408000000000001</v>
      </c>
      <c r="N34" s="314">
        <f t="shared" si="94"/>
        <v>-48.894999999999996</v>
      </c>
      <c r="O34" s="314">
        <f t="shared" si="94"/>
        <v>-45.198999999999998</v>
      </c>
      <c r="P34" s="314">
        <f t="shared" si="94"/>
        <v>-45.712000000000003</v>
      </c>
      <c r="Q34" s="315">
        <f t="shared" si="94"/>
        <v>-184.214</v>
      </c>
      <c r="R34" s="314">
        <f t="shared" si="94"/>
        <v>-52.221999999999994</v>
      </c>
      <c r="S34" s="314">
        <f t="shared" si="94"/>
        <v>-72.944000000000003</v>
      </c>
      <c r="T34" s="314">
        <f t="shared" si="94"/>
        <v>-78.33</v>
      </c>
      <c r="U34" s="314">
        <f t="shared" si="94"/>
        <v>-92.512</v>
      </c>
      <c r="V34" s="315">
        <f t="shared" si="94"/>
        <v>-296.00799999999998</v>
      </c>
      <c r="W34" s="314">
        <f t="shared" si="94"/>
        <v>-110.02799999999999</v>
      </c>
      <c r="X34" s="314">
        <f t="shared" si="94"/>
        <v>-92.449999999999989</v>
      </c>
      <c r="Y34" s="314">
        <f t="shared" si="94"/>
        <v>-106.67600000000002</v>
      </c>
      <c r="Z34" s="314">
        <f t="shared" si="94"/>
        <v>-115.43299999999999</v>
      </c>
      <c r="AA34" s="315">
        <f t="shared" si="94"/>
        <v>-424.58699999999993</v>
      </c>
      <c r="AB34" s="314">
        <f t="shared" si="94"/>
        <v>-90.810999999999993</v>
      </c>
      <c r="AC34" s="314">
        <f t="shared" si="94"/>
        <v>-96.443999999999988</v>
      </c>
      <c r="AD34" s="314">
        <f t="shared" si="94"/>
        <v>-99.844999999999985</v>
      </c>
      <c r="AE34" s="314">
        <f t="shared" si="94"/>
        <v>-120.18599999999999</v>
      </c>
      <c r="AF34" s="315">
        <f t="shared" si="94"/>
        <v>-407.28599999999994</v>
      </c>
      <c r="AG34" s="316">
        <f t="shared" si="94"/>
        <v>-142.61322999999999</v>
      </c>
      <c r="AH34" s="316">
        <f t="shared" si="94"/>
        <v>-153.76985999999999</v>
      </c>
      <c r="AI34" s="316">
        <f t="shared" si="94"/>
        <v>-149.43138293623764</v>
      </c>
      <c r="AJ34" s="316">
        <f t="shared" si="94"/>
        <v>-138.63152880871297</v>
      </c>
      <c r="AK34" s="315">
        <f>AJ34+AI34+AH34+AG34</f>
        <v>-584.44600174495054</v>
      </c>
      <c r="AL34" s="316"/>
      <c r="AM34" s="316"/>
      <c r="AN34" s="316"/>
      <c r="AO34" s="316"/>
      <c r="AP34" s="315">
        <f>AP15-AP21-AP26-AP31</f>
        <v>-375.53952195248417</v>
      </c>
      <c r="AQ34" s="316"/>
      <c r="AR34" s="316"/>
      <c r="AS34" s="316"/>
      <c r="AT34" s="316"/>
      <c r="AU34" s="315">
        <f>AU15-AU21-AU26-AU31</f>
        <v>-58.202941764363231</v>
      </c>
      <c r="AV34" s="316"/>
      <c r="AW34" s="316"/>
      <c r="AX34" s="316"/>
      <c r="AY34" s="316"/>
      <c r="AZ34" s="315">
        <f>AZ15-AZ21-AZ26-AZ31</f>
        <v>327.46394475448318</v>
      </c>
      <c r="BA34" s="316"/>
      <c r="BB34" s="316"/>
      <c r="BC34" s="316"/>
      <c r="BD34" s="316"/>
      <c r="BE34" s="315">
        <f>BE15-BE21-BE26-BE31</f>
        <v>702.24651268687035</v>
      </c>
      <c r="BF34" s="316"/>
      <c r="BG34" s="316"/>
      <c r="BH34" s="316"/>
      <c r="BI34" s="316"/>
      <c r="BJ34" s="315">
        <f>BJ15-BJ21-BJ26-BJ31</f>
        <v>1045.0397333726728</v>
      </c>
      <c r="BK34" s="316"/>
      <c r="BL34" s="316"/>
      <c r="BM34" s="316"/>
      <c r="BN34" s="316"/>
      <c r="BO34" s="315">
        <f>BO15-BO21-BO26-BO31</f>
        <v>1342.447986706409</v>
      </c>
      <c r="BP34" s="316"/>
      <c r="BQ34" s="316"/>
      <c r="BR34" s="316"/>
      <c r="BS34" s="316"/>
      <c r="BT34" s="315">
        <f>BT15-BT21-BT26-BT31</f>
        <v>1623.26615180613</v>
      </c>
      <c r="BU34" s="316"/>
      <c r="BV34" s="316"/>
      <c r="BW34" s="316"/>
      <c r="BX34" s="316"/>
      <c r="BY34" s="315">
        <f>BY15-BY21-BY26-BY31</f>
        <v>1881.3924680715706</v>
      </c>
      <c r="BZ34" s="316"/>
      <c r="CA34" s="316"/>
      <c r="CB34" s="316"/>
      <c r="CC34" s="316"/>
      <c r="CD34" s="315">
        <f>CD15-CD21-CD26-CD31</f>
        <v>2113.2822155940539</v>
      </c>
      <c r="CE34" s="316"/>
      <c r="CF34" s="316"/>
      <c r="CG34" s="316"/>
      <c r="CH34" s="316"/>
      <c r="CI34" s="315">
        <f>CI15-CI21-CI26-CI31</f>
        <v>2320.7497863696603</v>
      </c>
      <c r="CJ34" s="316"/>
      <c r="CK34" s="316"/>
      <c r="CL34" s="316"/>
      <c r="CM34" s="316"/>
      <c r="CN34" s="315">
        <f>CN15-CN21-CN26-CN31</f>
        <v>2505.9592704556276</v>
      </c>
      <c r="CO34" s="316"/>
      <c r="CP34" s="316"/>
      <c r="CQ34" s="316"/>
      <c r="CR34" s="316"/>
      <c r="CS34" s="315">
        <f>CS15-CS21-CS26-CS31</f>
        <v>2669.5056231271083</v>
      </c>
      <c r="CV34"/>
      <c r="CW34"/>
      <c r="CX34"/>
      <c r="CY34"/>
      <c r="CZ34"/>
      <c r="DA34"/>
    </row>
    <row r="35" spans="2:105" s="317" customFormat="1" ht="7.5" customHeight="1">
      <c r="B35" s="599"/>
      <c r="C35" s="334"/>
      <c r="D35" s="334"/>
      <c r="E35" s="334"/>
      <c r="F35" s="334"/>
      <c r="G35" s="335"/>
      <c r="H35" s="334"/>
      <c r="I35" s="334"/>
      <c r="J35" s="334"/>
      <c r="K35" s="334"/>
      <c r="L35" s="335"/>
      <c r="M35" s="334"/>
      <c r="N35" s="334"/>
      <c r="O35" s="334"/>
      <c r="P35" s="334"/>
      <c r="Q35" s="335"/>
      <c r="R35" s="334"/>
      <c r="S35" s="334"/>
      <c r="T35" s="334"/>
      <c r="U35" s="334"/>
      <c r="V35" s="335"/>
      <c r="W35" s="334"/>
      <c r="X35" s="334"/>
      <c r="Y35" s="334"/>
      <c r="Z35" s="334"/>
      <c r="AA35" s="335"/>
      <c r="AB35" s="334"/>
      <c r="AC35" s="334"/>
      <c r="AD35" s="334"/>
      <c r="AE35" s="334"/>
      <c r="AF35" s="335"/>
      <c r="AG35" s="334"/>
      <c r="AH35" s="334"/>
      <c r="AI35" s="334"/>
      <c r="AJ35" s="334"/>
      <c r="AK35" s="335"/>
      <c r="AL35" s="334"/>
      <c r="AM35" s="334"/>
      <c r="AN35" s="334"/>
      <c r="AO35" s="334"/>
      <c r="AP35" s="335"/>
      <c r="AQ35" s="334"/>
      <c r="AR35" s="334"/>
      <c r="AS35" s="334"/>
      <c r="AT35" s="334"/>
      <c r="AU35" s="335"/>
      <c r="AV35" s="334"/>
      <c r="AW35" s="334"/>
      <c r="AX35" s="334"/>
      <c r="AY35" s="334"/>
      <c r="AZ35" s="335"/>
      <c r="BA35" s="334"/>
      <c r="BB35" s="334"/>
      <c r="BC35" s="334"/>
      <c r="BD35" s="334"/>
      <c r="BE35" s="335"/>
      <c r="BF35" s="334"/>
      <c r="BG35" s="334"/>
      <c r="BH35" s="334"/>
      <c r="BI35" s="334"/>
      <c r="BJ35" s="335"/>
      <c r="BK35" s="334"/>
      <c r="BL35" s="334"/>
      <c r="BM35" s="334"/>
      <c r="BN35" s="334"/>
      <c r="BO35" s="335"/>
      <c r="BP35" s="334"/>
      <c r="BQ35" s="334"/>
      <c r="BR35" s="334"/>
      <c r="BS35" s="334"/>
      <c r="BT35" s="335"/>
      <c r="BU35" s="334"/>
      <c r="BV35" s="334"/>
      <c r="BW35" s="334"/>
      <c r="BX35" s="334"/>
      <c r="BY35" s="335"/>
      <c r="BZ35" s="334"/>
      <c r="CA35" s="334"/>
      <c r="CB35" s="334"/>
      <c r="CC35" s="334"/>
      <c r="CD35" s="335"/>
      <c r="CE35" s="334"/>
      <c r="CF35" s="334"/>
      <c r="CG35" s="334"/>
      <c r="CH35" s="334"/>
      <c r="CI35" s="335"/>
      <c r="CJ35" s="334"/>
      <c r="CK35" s="334"/>
      <c r="CL35" s="334"/>
      <c r="CM35" s="334"/>
      <c r="CN35" s="335"/>
      <c r="CO35" s="334"/>
      <c r="CP35" s="334"/>
      <c r="CQ35" s="334"/>
      <c r="CR35" s="334"/>
      <c r="CS35" s="335"/>
      <c r="CV35"/>
      <c r="CW35"/>
      <c r="CX35"/>
      <c r="CY35"/>
      <c r="CZ35"/>
      <c r="DA35"/>
    </row>
    <row r="36" spans="2:105" s="317" customFormat="1" ht="15" customHeight="1">
      <c r="B36" s="599" t="s">
        <v>18</v>
      </c>
      <c r="C36" s="334"/>
      <c r="D36" s="334"/>
      <c r="E36" s="334"/>
      <c r="F36" s="334"/>
      <c r="G36" s="335"/>
      <c r="H36" s="334"/>
      <c r="I36" s="334"/>
      <c r="J36" s="334"/>
      <c r="K36" s="334"/>
      <c r="L36" s="335"/>
      <c r="M36" s="334"/>
      <c r="N36" s="334"/>
      <c r="O36" s="334"/>
      <c r="P36" s="334"/>
      <c r="Q36" s="335"/>
      <c r="R36" s="334"/>
      <c r="S36" s="334"/>
      <c r="T36" s="334"/>
      <c r="U36" s="334"/>
      <c r="V36" s="335"/>
      <c r="W36" s="334"/>
      <c r="X36" s="334"/>
      <c r="Y36" s="334"/>
      <c r="Z36" s="334"/>
      <c r="AA36" s="335"/>
      <c r="AB36" s="334"/>
      <c r="AC36" s="334"/>
      <c r="AD36" s="334"/>
      <c r="AE36" s="334"/>
      <c r="AF36" s="335"/>
      <c r="AG36" s="334"/>
      <c r="AH36" s="334"/>
      <c r="AI36" s="334"/>
      <c r="AJ36" s="334"/>
      <c r="AK36" s="335"/>
      <c r="AL36" s="334"/>
      <c r="AM36" s="334"/>
      <c r="AN36" s="334"/>
      <c r="AO36" s="334"/>
      <c r="AP36" s="335"/>
      <c r="AQ36" s="334"/>
      <c r="AR36" s="334"/>
      <c r="AS36" s="334"/>
      <c r="AT36" s="334"/>
      <c r="AU36" s="335"/>
      <c r="AV36" s="334"/>
      <c r="AW36" s="334"/>
      <c r="AX36" s="334"/>
      <c r="AY36" s="334"/>
      <c r="AZ36" s="335"/>
      <c r="BA36" s="334"/>
      <c r="BB36" s="334"/>
      <c r="BC36" s="334"/>
      <c r="BD36" s="334"/>
      <c r="BE36" s="335"/>
      <c r="BF36" s="334"/>
      <c r="BG36" s="334"/>
      <c r="BH36" s="334"/>
      <c r="BI36" s="334"/>
      <c r="BJ36" s="335"/>
      <c r="BK36" s="334"/>
      <c r="BL36" s="334"/>
      <c r="BM36" s="334"/>
      <c r="BN36" s="334"/>
      <c r="BO36" s="335"/>
      <c r="BP36" s="334"/>
      <c r="BQ36" s="334"/>
      <c r="BR36" s="334"/>
      <c r="BS36" s="334"/>
      <c r="BT36" s="335"/>
      <c r="BU36" s="334"/>
      <c r="BV36" s="334"/>
      <c r="BW36" s="334"/>
      <c r="BX36" s="334"/>
      <c r="BY36" s="335"/>
      <c r="BZ36" s="334"/>
      <c r="CA36" s="334"/>
      <c r="CB36" s="334"/>
      <c r="CC36" s="334"/>
      <c r="CD36" s="335"/>
      <c r="CE36" s="334"/>
      <c r="CF36" s="334"/>
      <c r="CG36" s="334"/>
      <c r="CH36" s="334"/>
      <c r="CI36" s="335"/>
      <c r="CJ36" s="334"/>
      <c r="CK36" s="334"/>
      <c r="CL36" s="334"/>
      <c r="CM36" s="334"/>
      <c r="CN36" s="335"/>
      <c r="CO36" s="334"/>
      <c r="CP36" s="334"/>
      <c r="CQ36" s="334"/>
      <c r="CR36" s="334"/>
      <c r="CS36" s="335"/>
      <c r="CV36"/>
      <c r="CW36"/>
      <c r="CX36"/>
      <c r="CY36"/>
      <c r="CZ36"/>
      <c r="DA36"/>
    </row>
    <row r="37" spans="2:105" ht="15" customHeight="1">
      <c r="B37" s="336" t="s">
        <v>496</v>
      </c>
      <c r="C37" s="337">
        <v>0.223</v>
      </c>
      <c r="D37" s="338">
        <v>0.27100000000000002</v>
      </c>
      <c r="E37" s="338">
        <v>0.26100000000000001</v>
      </c>
      <c r="F37" s="338">
        <v>0.222</v>
      </c>
      <c r="G37" s="313">
        <f>SUM(C37:F37)</f>
        <v>0.97699999999999998</v>
      </c>
      <c r="H37" s="312">
        <v>0.224</v>
      </c>
      <c r="I37" s="312">
        <v>0.27</v>
      </c>
      <c r="J37" s="312">
        <v>0.28999999999999998</v>
      </c>
      <c r="K37" s="312">
        <v>0.28499999999999998</v>
      </c>
      <c r="L37" s="313">
        <f>SUM(H37:K37)</f>
        <v>1.069</v>
      </c>
      <c r="M37" s="312">
        <v>0.33300000000000002</v>
      </c>
      <c r="N37" s="312">
        <v>0.69299999999999995</v>
      </c>
      <c r="O37" s="312">
        <v>0.753</v>
      </c>
      <c r="P37" s="312">
        <v>0.78</v>
      </c>
      <c r="Q37" s="313">
        <f>SUM(M37:P37)</f>
        <v>2.5590000000000002</v>
      </c>
      <c r="R37" s="312">
        <v>1.014</v>
      </c>
      <c r="S37" s="312">
        <v>1.619</v>
      </c>
      <c r="T37" s="312">
        <v>1.61</v>
      </c>
      <c r="U37" s="312">
        <v>1.6160000000000001</v>
      </c>
      <c r="V37" s="313">
        <f>U37+T37+S37+R37</f>
        <v>5.859</v>
      </c>
      <c r="W37" s="312">
        <v>1.8129999999999999</v>
      </c>
      <c r="X37" s="312">
        <v>2.0920000000000001</v>
      </c>
      <c r="Y37" s="312">
        <v>2.2040000000000002</v>
      </c>
      <c r="Z37" s="312">
        <v>2.1989999999999998</v>
      </c>
      <c r="AA37" s="313">
        <f t="shared" ref="AA37" si="95">SUM(W37:Z37)</f>
        <v>8.3079999999999998</v>
      </c>
      <c r="AB37" s="312">
        <v>2.1280000000000001</v>
      </c>
      <c r="AC37" s="312">
        <v>2.577</v>
      </c>
      <c r="AD37" s="312">
        <v>3.2959999999999998</v>
      </c>
      <c r="AE37" s="312">
        <v>4.2350000000000003</v>
      </c>
      <c r="AF37" s="313">
        <f>AE37+AD37+AC37+AB37</f>
        <v>12.236000000000001</v>
      </c>
      <c r="AG37" s="312">
        <v>3.5</v>
      </c>
      <c r="AH37" s="312">
        <v>3.5</v>
      </c>
      <c r="AI37" s="312">
        <v>3.5</v>
      </c>
      <c r="AJ37" s="312">
        <v>3.5</v>
      </c>
      <c r="AK37" s="313">
        <f>AJ37+AI37+AH37+AG37</f>
        <v>14</v>
      </c>
      <c r="AL37" s="312"/>
      <c r="AM37" s="312"/>
      <c r="AN37" s="312"/>
      <c r="AO37" s="312"/>
      <c r="AP37" s="313">
        <f>AP97-AP109</f>
        <v>5.7974638908895164</v>
      </c>
      <c r="AQ37" s="312"/>
      <c r="AR37" s="312"/>
      <c r="AS37" s="312"/>
      <c r="AT37" s="312"/>
      <c r="AU37" s="313">
        <v>0</v>
      </c>
      <c r="AV37" s="312"/>
      <c r="AW37" s="312"/>
      <c r="AX37" s="312"/>
      <c r="AY37" s="312"/>
      <c r="AZ37" s="313">
        <f>AZ97-AZ109</f>
        <v>4.0924693342962302</v>
      </c>
      <c r="BA37" s="312"/>
      <c r="BB37" s="312"/>
      <c r="BC37" s="312"/>
      <c r="BD37" s="312"/>
      <c r="BE37" s="313">
        <f>BE97-BE109</f>
        <v>6.1006508235938242</v>
      </c>
      <c r="BF37" s="312"/>
      <c r="BG37" s="312"/>
      <c r="BH37" s="312"/>
      <c r="BI37" s="312"/>
      <c r="BJ37" s="313">
        <f>BJ97-BJ109</f>
        <v>10.458952264347975</v>
      </c>
      <c r="BK37" s="312"/>
      <c r="BL37" s="312"/>
      <c r="BM37" s="312"/>
      <c r="BN37" s="312"/>
      <c r="BO37" s="313">
        <f>BO97-BO109</f>
        <v>16.582149978223718</v>
      </c>
      <c r="BP37" s="312"/>
      <c r="BQ37" s="312"/>
      <c r="BR37" s="312"/>
      <c r="BS37" s="312"/>
      <c r="BT37" s="313">
        <f>BT97-BT109</f>
        <v>23.525818188063198</v>
      </c>
      <c r="BU37" s="312"/>
      <c r="BV37" s="312"/>
      <c r="BW37" s="312"/>
      <c r="BX37" s="312"/>
      <c r="BY37" s="313">
        <f>BY97-BY109</f>
        <v>29.983574884632148</v>
      </c>
      <c r="BZ37" s="312"/>
      <c r="CA37" s="312"/>
      <c r="CB37" s="312"/>
      <c r="CC37" s="312"/>
      <c r="CD37" s="313">
        <f>CD97-CD109</f>
        <v>37.302745631379494</v>
      </c>
      <c r="CE37" s="312"/>
      <c r="CF37" s="312"/>
      <c r="CG37" s="312"/>
      <c r="CH37" s="312"/>
      <c r="CI37" s="313">
        <f>CI97-CI109</f>
        <v>45.613768704175847</v>
      </c>
      <c r="CJ37" s="312"/>
      <c r="CK37" s="312"/>
      <c r="CL37" s="312"/>
      <c r="CM37" s="312"/>
      <c r="CN37" s="313">
        <f>CN97-CN109</f>
        <v>54.707714544048947</v>
      </c>
      <c r="CO37" s="312"/>
      <c r="CP37" s="312"/>
      <c r="CQ37" s="312"/>
      <c r="CR37" s="312"/>
      <c r="CS37" s="313">
        <f>CS97-CS109</f>
        <v>54.707714544048947</v>
      </c>
    </row>
    <row r="38" spans="2:105" ht="15" customHeight="1">
      <c r="B38" s="320" t="s">
        <v>495</v>
      </c>
      <c r="C38" s="321">
        <v>0.191</v>
      </c>
      <c r="D38" s="321">
        <v>-2.1000000000000001E-2</v>
      </c>
      <c r="E38" s="321">
        <v>-3.0000000000000001E-3</v>
      </c>
      <c r="F38" s="321">
        <v>0.16400000000000001</v>
      </c>
      <c r="G38" s="313">
        <f>SUM(C38:F38)</f>
        <v>0.33100000000000002</v>
      </c>
      <c r="H38" s="312">
        <v>5.0000000000000001E-3</v>
      </c>
      <c r="I38" s="312">
        <v>-1.0999999999999999E-2</v>
      </c>
      <c r="J38" s="312">
        <v>-1.2E-2</v>
      </c>
      <c r="K38" s="312">
        <v>-2.9000000000000001E-2</v>
      </c>
      <c r="L38" s="313">
        <f>SUM(H38:K38)</f>
        <v>-4.7E-2</v>
      </c>
      <c r="M38" s="312">
        <v>-8.2000000000000003E-2</v>
      </c>
      <c r="N38" s="312">
        <v>-7.6999999999999999E-2</v>
      </c>
      <c r="O38" s="312">
        <v>0.52400000000000002</v>
      </c>
      <c r="P38" s="312">
        <v>1.452</v>
      </c>
      <c r="Q38" s="313">
        <f>SUM(M38:P38)</f>
        <v>1.8169999999999999</v>
      </c>
      <c r="R38" s="312">
        <v>0</v>
      </c>
      <c r="S38" s="312">
        <v>-2.7E-2</v>
      </c>
      <c r="T38" s="312">
        <v>-7.1999999999999995E-2</v>
      </c>
      <c r="U38" s="312">
        <v>0.17499999999999999</v>
      </c>
      <c r="V38" s="313">
        <f>U38+T38+S38+R38</f>
        <v>7.5999999999999998E-2</v>
      </c>
      <c r="W38" s="312">
        <v>5.2409999999999997</v>
      </c>
      <c r="X38" s="312">
        <v>0.22900000000000001</v>
      </c>
      <c r="Y38" s="312">
        <v>0.40100000000000002</v>
      </c>
      <c r="Z38" s="312">
        <v>0.3</v>
      </c>
      <c r="AA38" s="313">
        <f t="shared" ref="AA38:AA40" si="96">SUM(W38:Z38)</f>
        <v>6.1709999999999994</v>
      </c>
      <c r="AB38" s="312">
        <v>-2.907</v>
      </c>
      <c r="AC38" s="312">
        <v>-0.52300000000000002</v>
      </c>
      <c r="AD38" s="312">
        <v>-0.433</v>
      </c>
      <c r="AE38" s="312">
        <v>0.84099999999999997</v>
      </c>
      <c r="AF38" s="313">
        <f>AE38+AD38+AC38+AB38</f>
        <v>-3.0220000000000002</v>
      </c>
      <c r="AG38" s="312">
        <v>0</v>
      </c>
      <c r="AH38" s="312">
        <v>0</v>
      </c>
      <c r="AI38" s="312">
        <v>0</v>
      </c>
      <c r="AJ38" s="312">
        <v>0</v>
      </c>
      <c r="AK38" s="313">
        <f>AJ38+AI38+AH38+AG38</f>
        <v>0</v>
      </c>
      <c r="AL38" s="312"/>
      <c r="AM38" s="312"/>
      <c r="AN38" s="312"/>
      <c r="AO38" s="312"/>
      <c r="AP38" s="313">
        <v>0</v>
      </c>
      <c r="AQ38" s="312"/>
      <c r="AR38" s="312"/>
      <c r="AS38" s="312"/>
      <c r="AT38" s="312"/>
      <c r="AU38" s="313">
        <v>0</v>
      </c>
      <c r="AV38" s="312"/>
      <c r="AW38" s="312"/>
      <c r="AX38" s="312"/>
      <c r="AY38" s="312"/>
      <c r="AZ38" s="313">
        <v>0</v>
      </c>
      <c r="BA38" s="312"/>
      <c r="BB38" s="312"/>
      <c r="BC38" s="312"/>
      <c r="BD38" s="312"/>
      <c r="BE38" s="313">
        <v>0</v>
      </c>
      <c r="BF38" s="312"/>
      <c r="BG38" s="312"/>
      <c r="BH38" s="312"/>
      <c r="BI38" s="312"/>
      <c r="BJ38" s="313">
        <v>0</v>
      </c>
      <c r="BK38" s="312"/>
      <c r="BL38" s="312"/>
      <c r="BM38" s="312"/>
      <c r="BN38" s="312"/>
      <c r="BO38" s="313">
        <v>0</v>
      </c>
      <c r="BP38" s="312"/>
      <c r="BQ38" s="312"/>
      <c r="BR38" s="312"/>
      <c r="BS38" s="312"/>
      <c r="BT38" s="313">
        <v>0</v>
      </c>
      <c r="BU38" s="312"/>
      <c r="BV38" s="312"/>
      <c r="BW38" s="312"/>
      <c r="BX38" s="312"/>
      <c r="BY38" s="313">
        <v>0</v>
      </c>
      <c r="BZ38" s="312"/>
      <c r="CA38" s="312"/>
      <c r="CB38" s="312"/>
      <c r="CC38" s="312"/>
      <c r="CD38" s="313">
        <v>0</v>
      </c>
      <c r="CE38" s="312"/>
      <c r="CF38" s="312"/>
      <c r="CG38" s="312"/>
      <c r="CH38" s="312"/>
      <c r="CI38" s="313">
        <v>0</v>
      </c>
      <c r="CJ38" s="312"/>
      <c r="CK38" s="312"/>
      <c r="CL38" s="312"/>
      <c r="CM38" s="312"/>
      <c r="CN38" s="313">
        <v>0</v>
      </c>
      <c r="CO38" s="312"/>
      <c r="CP38" s="312"/>
      <c r="CQ38" s="312"/>
      <c r="CR38" s="312"/>
      <c r="CS38" s="313">
        <v>0</v>
      </c>
    </row>
    <row r="39" spans="2:105" s="317" customFormat="1" ht="15" customHeight="1">
      <c r="B39" s="639" t="s">
        <v>19</v>
      </c>
      <c r="C39" s="314">
        <f>C34+C37+C38</f>
        <v>-10.479000000000001</v>
      </c>
      <c r="D39" s="314">
        <f>D34+D37+D38</f>
        <v>-11.816999999999998</v>
      </c>
      <c r="E39" s="314">
        <f t="shared" ref="E39" si="97">E34+E37+E38</f>
        <v>-17.888999999999999</v>
      </c>
      <c r="F39" s="314">
        <f t="shared" ref="F39" si="98">F34+F37+F38</f>
        <v>-22.963000000000001</v>
      </c>
      <c r="G39" s="315">
        <f t="shared" ref="G39" si="99">G34+G37+G38</f>
        <v>-63.147999999999975</v>
      </c>
      <c r="H39" s="316">
        <f>H34+H37+H38</f>
        <v>-9.5749999999999975</v>
      </c>
      <c r="I39" s="316">
        <f>I34+I37+I38</f>
        <v>-21.053000000000001</v>
      </c>
      <c r="J39" s="316">
        <f t="shared" ref="J39:L39" si="100">J34+J37+J38</f>
        <v>-31.956000000000003</v>
      </c>
      <c r="K39" s="316">
        <f t="shared" si="100"/>
        <v>-29.335999999999999</v>
      </c>
      <c r="L39" s="315">
        <f t="shared" si="100"/>
        <v>-91.919999999999987</v>
      </c>
      <c r="M39" s="316">
        <f>M34+M37+M38</f>
        <v>-44.157000000000004</v>
      </c>
      <c r="N39" s="316">
        <f>N34+N37+N38</f>
        <v>-48.278999999999996</v>
      </c>
      <c r="O39" s="316">
        <f t="shared" ref="O39:Q39" si="101">O34+O37+O38</f>
        <v>-43.921999999999997</v>
      </c>
      <c r="P39" s="316">
        <f t="shared" si="101"/>
        <v>-43.480000000000004</v>
      </c>
      <c r="Q39" s="315">
        <f t="shared" si="101"/>
        <v>-179.83799999999999</v>
      </c>
      <c r="R39" s="316">
        <f>R34+R37+R38</f>
        <v>-51.207999999999991</v>
      </c>
      <c r="S39" s="316">
        <f>S34+S37+S38</f>
        <v>-71.352000000000004</v>
      </c>
      <c r="T39" s="316">
        <f t="shared" ref="T39:AJ39" si="102">T34+T37+T38</f>
        <v>-76.792000000000002</v>
      </c>
      <c r="U39" s="316">
        <f t="shared" si="102"/>
        <v>-90.721000000000004</v>
      </c>
      <c r="V39" s="315">
        <f t="shared" si="102"/>
        <v>-290.07299999999998</v>
      </c>
      <c r="W39" s="316">
        <f t="shared" si="102"/>
        <v>-102.97399999999999</v>
      </c>
      <c r="X39" s="316">
        <f t="shared" si="102"/>
        <v>-90.128999999999991</v>
      </c>
      <c r="Y39" s="316">
        <f t="shared" si="102"/>
        <v>-104.07100000000003</v>
      </c>
      <c r="Z39" s="316">
        <f t="shared" si="102"/>
        <v>-112.934</v>
      </c>
      <c r="AA39" s="315">
        <f t="shared" si="102"/>
        <v>-410.10799999999995</v>
      </c>
      <c r="AB39" s="316">
        <f t="shared" si="102"/>
        <v>-91.589999999999989</v>
      </c>
      <c r="AC39" s="316">
        <f t="shared" si="102"/>
        <v>-94.389999999999986</v>
      </c>
      <c r="AD39" s="316">
        <f t="shared" si="102"/>
        <v>-96.981999999999985</v>
      </c>
      <c r="AE39" s="316">
        <f t="shared" si="102"/>
        <v>-115.11</v>
      </c>
      <c r="AF39" s="315">
        <f t="shared" ref="AF39" si="103">AF34+AF37+AF38</f>
        <v>-398.07199999999995</v>
      </c>
      <c r="AG39" s="316">
        <f t="shared" si="102"/>
        <v>-139.11322999999999</v>
      </c>
      <c r="AH39" s="316">
        <f t="shared" si="102"/>
        <v>-150.26985999999999</v>
      </c>
      <c r="AI39" s="316">
        <f t="shared" si="102"/>
        <v>-145.93138293623764</v>
      </c>
      <c r="AJ39" s="316">
        <f t="shared" si="102"/>
        <v>-135.13152880871297</v>
      </c>
      <c r="AK39" s="315">
        <f>AJ39+AI39+AH39+AG39</f>
        <v>-570.44600174495054</v>
      </c>
      <c r="AL39" s="316"/>
      <c r="AM39" s="316"/>
      <c r="AN39" s="316"/>
      <c r="AO39" s="316"/>
      <c r="AP39" s="315">
        <f t="shared" ref="AP39" si="104">AP34+AP37+AP38</f>
        <v>-369.74205806159466</v>
      </c>
      <c r="AQ39" s="316"/>
      <c r="AR39" s="316"/>
      <c r="AS39" s="316"/>
      <c r="AT39" s="316"/>
      <c r="AU39" s="315">
        <f t="shared" ref="AU39" si="105">AU34+AU37+AU38</f>
        <v>-58.202941764363231</v>
      </c>
      <c r="AV39" s="316"/>
      <c r="AW39" s="316"/>
      <c r="AX39" s="316"/>
      <c r="AY39" s="316"/>
      <c r="AZ39" s="315">
        <f t="shared" ref="AZ39" si="106">AZ34+AZ37+AZ38</f>
        <v>331.55641408877943</v>
      </c>
      <c r="BA39" s="316"/>
      <c r="BB39" s="316"/>
      <c r="BC39" s="316"/>
      <c r="BD39" s="316"/>
      <c r="BE39" s="315">
        <f t="shared" ref="BE39" si="107">BE34+BE37+BE38</f>
        <v>708.34716351046416</v>
      </c>
      <c r="BF39" s="316"/>
      <c r="BG39" s="316"/>
      <c r="BH39" s="316"/>
      <c r="BI39" s="316"/>
      <c r="BJ39" s="315">
        <f t="shared" ref="BJ39" si="108">BJ34+BJ37+BJ38</f>
        <v>1055.4986856370208</v>
      </c>
      <c r="BK39" s="316"/>
      <c r="BL39" s="316"/>
      <c r="BM39" s="316"/>
      <c r="BN39" s="316"/>
      <c r="BO39" s="315">
        <f t="shared" ref="BO39" si="109">BO34+BO37+BO38</f>
        <v>1359.0301366846327</v>
      </c>
      <c r="BP39" s="316"/>
      <c r="BQ39" s="316"/>
      <c r="BR39" s="316"/>
      <c r="BS39" s="316"/>
      <c r="BT39" s="315">
        <f t="shared" ref="BT39" si="110">BT34+BT37+BT38</f>
        <v>1646.7919699941931</v>
      </c>
      <c r="BU39" s="316"/>
      <c r="BV39" s="316"/>
      <c r="BW39" s="316"/>
      <c r="BX39" s="316"/>
      <c r="BY39" s="315">
        <f t="shared" ref="BY39" si="111">BY34+BY37+BY38</f>
        <v>1911.3760429562028</v>
      </c>
      <c r="BZ39" s="316"/>
      <c r="CA39" s="316"/>
      <c r="CB39" s="316"/>
      <c r="CC39" s="316"/>
      <c r="CD39" s="315">
        <f t="shared" ref="CD39" si="112">CD34+CD37+CD38</f>
        <v>2150.5849612254333</v>
      </c>
      <c r="CE39" s="316"/>
      <c r="CF39" s="316"/>
      <c r="CG39" s="316"/>
      <c r="CH39" s="316"/>
      <c r="CI39" s="315">
        <f t="shared" ref="CI39" si="113">CI34+CI37+CI38</f>
        <v>2366.3635550738363</v>
      </c>
      <c r="CJ39" s="316"/>
      <c r="CK39" s="316"/>
      <c r="CL39" s="316"/>
      <c r="CM39" s="316"/>
      <c r="CN39" s="315">
        <f t="shared" ref="CN39" si="114">CN34+CN37+CN38</f>
        <v>2560.6669849996765</v>
      </c>
      <c r="CO39" s="316"/>
      <c r="CP39" s="316"/>
      <c r="CQ39" s="316"/>
      <c r="CR39" s="316"/>
      <c r="CS39" s="315">
        <f t="shared" ref="CS39" si="115">CS34+CS37+CS38</f>
        <v>2724.2133376711572</v>
      </c>
      <c r="CV39"/>
      <c r="CW39"/>
      <c r="CX39"/>
      <c r="CY39"/>
      <c r="CZ39"/>
      <c r="DA39"/>
    </row>
    <row r="40" spans="2:105" s="317" customFormat="1" ht="15" customHeight="1">
      <c r="B40" s="336" t="s">
        <v>256</v>
      </c>
      <c r="C40" s="338">
        <v>0</v>
      </c>
      <c r="D40" s="338">
        <v>0</v>
      </c>
      <c r="E40" s="338">
        <v>0</v>
      </c>
      <c r="F40" s="338">
        <v>-10.571999999999999</v>
      </c>
      <c r="G40" s="339">
        <f>SUM(C40:F40)</f>
        <v>-10.571999999999999</v>
      </c>
      <c r="H40" s="338">
        <v>-0.56200000000000006</v>
      </c>
      <c r="I40" s="338">
        <v>-2.8839999999999999</v>
      </c>
      <c r="J40" s="338">
        <v>-2.27</v>
      </c>
      <c r="K40" s="338">
        <v>3.0209999999999999</v>
      </c>
      <c r="L40" s="339">
        <f>SUM(H40:K40)</f>
        <v>-2.6949999999999994</v>
      </c>
      <c r="M40" s="338">
        <v>-17.87</v>
      </c>
      <c r="N40" s="338">
        <v>-0.315</v>
      </c>
      <c r="O40" s="338">
        <v>6.7000000000000004E-2</v>
      </c>
      <c r="P40" s="338">
        <v>-22.091000000000001</v>
      </c>
      <c r="Q40" s="339">
        <f>SUM(M40:P40)</f>
        <v>-40.209000000000003</v>
      </c>
      <c r="R40" s="338">
        <v>-0.43099999999999999</v>
      </c>
      <c r="S40" s="338">
        <v>0.43099999999999999</v>
      </c>
      <c r="T40" s="338">
        <f>T119</f>
        <v>0</v>
      </c>
      <c r="U40" s="338">
        <f>U119</f>
        <v>0</v>
      </c>
      <c r="V40" s="313">
        <f>U40+T40+S40+R40</f>
        <v>0</v>
      </c>
      <c r="W40" s="338">
        <v>0</v>
      </c>
      <c r="X40" s="338">
        <v>0</v>
      </c>
      <c r="Y40" s="338">
        <v>0</v>
      </c>
      <c r="Z40" s="338">
        <v>0</v>
      </c>
      <c r="AA40" s="313">
        <f t="shared" si="96"/>
        <v>0</v>
      </c>
      <c r="AB40" s="338">
        <v>0</v>
      </c>
      <c r="AC40" s="338">
        <v>0</v>
      </c>
      <c r="AD40" s="338">
        <v>0</v>
      </c>
      <c r="AE40" s="338">
        <v>0</v>
      </c>
      <c r="AF40" s="339">
        <f>AE40+AD40+AC40+AB40</f>
        <v>0</v>
      </c>
      <c r="AG40" s="338">
        <v>0</v>
      </c>
      <c r="AH40" s="338">
        <v>0</v>
      </c>
      <c r="AI40" s="338">
        <v>0</v>
      </c>
      <c r="AJ40" s="338">
        <v>0</v>
      </c>
      <c r="AK40" s="339">
        <f>AJ40+AI40+AH40+AG40</f>
        <v>0</v>
      </c>
      <c r="AL40" s="338"/>
      <c r="AM40" s="338"/>
      <c r="AN40" s="338"/>
      <c r="AO40" s="338"/>
      <c r="AP40" s="339">
        <f>AP119</f>
        <v>0</v>
      </c>
      <c r="AQ40" s="338"/>
      <c r="AR40" s="338"/>
      <c r="AS40" s="338"/>
      <c r="AT40" s="338"/>
      <c r="AU40" s="339">
        <f>AU119</f>
        <v>0</v>
      </c>
      <c r="AV40" s="338"/>
      <c r="AW40" s="338"/>
      <c r="AX40" s="338"/>
      <c r="AY40" s="338"/>
      <c r="AZ40" s="339">
        <f>AZ119</f>
        <v>0</v>
      </c>
      <c r="BA40" s="338"/>
      <c r="BB40" s="338"/>
      <c r="BC40" s="338"/>
      <c r="BD40" s="338"/>
      <c r="BE40" s="339">
        <f>BE119</f>
        <v>0</v>
      </c>
      <c r="BF40" s="338"/>
      <c r="BG40" s="338"/>
      <c r="BH40" s="338"/>
      <c r="BI40" s="338"/>
      <c r="BJ40" s="339">
        <f>BJ119</f>
        <v>0</v>
      </c>
      <c r="BK40" s="338"/>
      <c r="BL40" s="338"/>
      <c r="BM40" s="338"/>
      <c r="BN40" s="338"/>
      <c r="BO40" s="339">
        <f>BO119</f>
        <v>166.65263942249607</v>
      </c>
      <c r="BP40" s="338"/>
      <c r="BQ40" s="338"/>
      <c r="BR40" s="338"/>
      <c r="BS40" s="338"/>
      <c r="BT40" s="339">
        <f>BT119</f>
        <v>576.37718949796749</v>
      </c>
      <c r="BU40" s="338"/>
      <c r="BV40" s="338"/>
      <c r="BW40" s="338"/>
      <c r="BX40" s="338"/>
      <c r="BY40" s="339">
        <f>BY119</f>
        <v>668.98161503467099</v>
      </c>
      <c r="BZ40" s="338"/>
      <c r="CA40" s="338"/>
      <c r="CB40" s="338"/>
      <c r="CC40" s="338"/>
      <c r="CD40" s="339">
        <f>CD119</f>
        <v>752.70473642890158</v>
      </c>
      <c r="CE40" s="338"/>
      <c r="CF40" s="338"/>
      <c r="CG40" s="338"/>
      <c r="CH40" s="338"/>
      <c r="CI40" s="339">
        <f>CI119</f>
        <v>828.22724427584262</v>
      </c>
      <c r="CJ40" s="338"/>
      <c r="CK40" s="338"/>
      <c r="CL40" s="338"/>
      <c r="CM40" s="338"/>
      <c r="CN40" s="339">
        <f>CN119</f>
        <v>896.23344474988676</v>
      </c>
      <c r="CO40" s="338"/>
      <c r="CP40" s="338"/>
      <c r="CQ40" s="338"/>
      <c r="CR40" s="338"/>
      <c r="CS40" s="339">
        <f>CS119</f>
        <v>953.474668184905</v>
      </c>
      <c r="CV40"/>
      <c r="CW40"/>
      <c r="CX40"/>
      <c r="CY40"/>
      <c r="CZ40"/>
      <c r="DA40"/>
    </row>
    <row r="41" spans="2:105" s="317" customFormat="1" ht="15" customHeight="1">
      <c r="B41" s="603" t="s">
        <v>20</v>
      </c>
      <c r="C41" s="340">
        <f t="shared" ref="C41:P41" si="116">C40/C39</f>
        <v>0</v>
      </c>
      <c r="D41" s="340">
        <f t="shared" si="116"/>
        <v>0</v>
      </c>
      <c r="E41" s="340">
        <f t="shared" si="116"/>
        <v>0</v>
      </c>
      <c r="F41" s="340">
        <f t="shared" ref="F41" si="117">F40/F39</f>
        <v>0.46039280581805508</v>
      </c>
      <c r="G41" s="341" t="str">
        <f>IF(G39&lt;0,"NM",G40/G39)</f>
        <v>NM</v>
      </c>
      <c r="H41" s="340">
        <f t="shared" si="116"/>
        <v>5.8694516971279392E-2</v>
      </c>
      <c r="I41" s="340">
        <f t="shared" si="116"/>
        <v>0.13698760271695246</v>
      </c>
      <c r="J41" s="340">
        <f t="shared" si="116"/>
        <v>7.1035173363374629E-2</v>
      </c>
      <c r="K41" s="340">
        <f t="shared" si="116"/>
        <v>-0.10297927461139897</v>
      </c>
      <c r="L41" s="341" t="str">
        <f>IF(L39&lt;0,"NM",L40/L39)</f>
        <v>NM</v>
      </c>
      <c r="M41" s="340">
        <f t="shared" si="116"/>
        <v>0.40469234775913215</v>
      </c>
      <c r="N41" s="340">
        <f t="shared" si="116"/>
        <v>6.5245759025663336E-3</v>
      </c>
      <c r="O41" s="340">
        <f t="shared" si="116"/>
        <v>-1.5254314466554349E-3</v>
      </c>
      <c r="P41" s="340">
        <f t="shared" si="116"/>
        <v>0.50807267709291626</v>
      </c>
      <c r="Q41" s="341" t="str">
        <f>IF(Q39&lt;0,"NM",Q40/Q39)</f>
        <v>NM</v>
      </c>
      <c r="R41" s="342" t="str">
        <f t="shared" ref="R41:Z41" si="118">IF(R39&lt;0,"NM",R40/R39)</f>
        <v>NM</v>
      </c>
      <c r="S41" s="342" t="str">
        <f t="shared" si="118"/>
        <v>NM</v>
      </c>
      <c r="T41" s="342" t="str">
        <f t="shared" si="118"/>
        <v>NM</v>
      </c>
      <c r="U41" s="342" t="str">
        <f t="shared" si="118"/>
        <v>NM</v>
      </c>
      <c r="V41" s="341" t="str">
        <f>IF(V39&lt;0,"NM",V40/V39)</f>
        <v>NM</v>
      </c>
      <c r="W41" s="342" t="str">
        <f t="shared" si="118"/>
        <v>NM</v>
      </c>
      <c r="X41" s="342" t="str">
        <f t="shared" si="118"/>
        <v>NM</v>
      </c>
      <c r="Y41" s="342" t="str">
        <f t="shared" si="118"/>
        <v>NM</v>
      </c>
      <c r="Z41" s="342" t="str">
        <f t="shared" si="118"/>
        <v>NM</v>
      </c>
      <c r="AA41" s="341" t="str">
        <f>IF(AA39&lt;0,"NM",AA40/AA39)</f>
        <v>NM</v>
      </c>
      <c r="AB41" s="617" t="s">
        <v>501</v>
      </c>
      <c r="AC41" s="617" t="s">
        <v>501</v>
      </c>
      <c r="AD41" s="617" t="s">
        <v>501</v>
      </c>
      <c r="AE41" s="617" t="s">
        <v>501</v>
      </c>
      <c r="AF41" s="341" t="str">
        <f>IF(AF39&lt;0,"NM",AF40/AF39)</f>
        <v>NM</v>
      </c>
      <c r="AG41" s="617" t="s">
        <v>501</v>
      </c>
      <c r="AH41" s="617" t="s">
        <v>501</v>
      </c>
      <c r="AI41" s="617" t="s">
        <v>501</v>
      </c>
      <c r="AJ41" s="617" t="s">
        <v>501</v>
      </c>
      <c r="AK41" s="341" t="str">
        <f>IF(AK39&lt;0,"NM",AK40/AK39)</f>
        <v>NM</v>
      </c>
      <c r="AL41" s="343"/>
      <c r="AM41" s="343"/>
      <c r="AN41" s="343"/>
      <c r="AO41" s="343"/>
      <c r="AP41" s="341" t="str">
        <f>IF(AP39&lt;0,"NM",AP40/AP39)</f>
        <v>NM</v>
      </c>
      <c r="AQ41" s="343"/>
      <c r="AR41" s="343"/>
      <c r="AS41" s="343"/>
      <c r="AT41" s="343"/>
      <c r="AU41" s="341" t="str">
        <f>IF(AU39&lt;0,"NM",AU40/AU39)</f>
        <v>NM</v>
      </c>
      <c r="AV41" s="343"/>
      <c r="AW41" s="343"/>
      <c r="AX41" s="343"/>
      <c r="AY41" s="343"/>
      <c r="AZ41" s="341">
        <f>IF(AZ39&lt;0,"NM",AZ40/AZ39)</f>
        <v>0</v>
      </c>
      <c r="BA41" s="343"/>
      <c r="BB41" s="343"/>
      <c r="BC41" s="343"/>
      <c r="BD41" s="343"/>
      <c r="BE41" s="341">
        <f>IF(BE39&lt;0,"NM",BE40/BE39)</f>
        <v>0</v>
      </c>
      <c r="BF41" s="343"/>
      <c r="BG41" s="343"/>
      <c r="BH41" s="343"/>
      <c r="BI41" s="343"/>
      <c r="BJ41" s="341">
        <f>IF(BJ39&lt;0,"NM",BJ40/BJ39)</f>
        <v>0</v>
      </c>
      <c r="BK41" s="343"/>
      <c r="BL41" s="343"/>
      <c r="BM41" s="343"/>
      <c r="BN41" s="343"/>
      <c r="BO41" s="341">
        <f>IF(BO39&lt;0,"NM",BO40/BO39)</f>
        <v>0.12262615443469621</v>
      </c>
      <c r="BP41" s="343"/>
      <c r="BQ41" s="343"/>
      <c r="BR41" s="343"/>
      <c r="BS41" s="343"/>
      <c r="BT41" s="341">
        <f>IF(BT39&lt;0,"NM",BT40/BT39)</f>
        <v>0.34999999999999992</v>
      </c>
      <c r="BU41" s="343"/>
      <c r="BV41" s="343"/>
      <c r="BW41" s="343"/>
      <c r="BX41" s="343"/>
      <c r="BY41" s="341">
        <f>IF(BY39&lt;0,"NM",BY40/BY39)</f>
        <v>0.35000000000000003</v>
      </c>
      <c r="BZ41" s="343"/>
      <c r="CA41" s="343"/>
      <c r="CB41" s="343"/>
      <c r="CC41" s="343"/>
      <c r="CD41" s="341">
        <f>IF(CD39&lt;0,"NM",CD40/CD39)</f>
        <v>0.35</v>
      </c>
      <c r="CE41" s="343"/>
      <c r="CF41" s="343"/>
      <c r="CG41" s="343"/>
      <c r="CH41" s="343"/>
      <c r="CI41" s="341">
        <f>IF(CI39&lt;0,"NM",CI40/CI39)</f>
        <v>0.35</v>
      </c>
      <c r="CJ41" s="343"/>
      <c r="CK41" s="343"/>
      <c r="CL41" s="343"/>
      <c r="CM41" s="343"/>
      <c r="CN41" s="341">
        <f>IF(CN39&lt;0,"NM",CN40/CN39)</f>
        <v>0.35</v>
      </c>
      <c r="CO41" s="343"/>
      <c r="CP41" s="343"/>
      <c r="CQ41" s="343"/>
      <c r="CR41" s="343"/>
      <c r="CS41" s="341">
        <f>IF(CS39&lt;0,"NM",CS40/CS39)</f>
        <v>0.35</v>
      </c>
      <c r="CV41"/>
      <c r="CW41"/>
      <c r="CX41"/>
      <c r="CY41"/>
      <c r="CZ41"/>
      <c r="DA41"/>
    </row>
    <row r="42" spans="2:105" s="317" customFormat="1" ht="15" customHeight="1">
      <c r="B42" s="639" t="s">
        <v>440</v>
      </c>
      <c r="C42" s="314">
        <f>C39-C40</f>
        <v>-10.479000000000001</v>
      </c>
      <c r="D42" s="314">
        <f>D39-D40</f>
        <v>-11.816999999999998</v>
      </c>
      <c r="E42" s="314">
        <f t="shared" ref="E42:G42" si="119">E39-E40</f>
        <v>-17.888999999999999</v>
      </c>
      <c r="F42" s="314">
        <f t="shared" si="119"/>
        <v>-12.391000000000002</v>
      </c>
      <c r="G42" s="315">
        <f t="shared" si="119"/>
        <v>-52.575999999999979</v>
      </c>
      <c r="H42" s="316">
        <f>H39-H40</f>
        <v>-9.0129999999999981</v>
      </c>
      <c r="I42" s="316">
        <f>I39-I40</f>
        <v>-18.169</v>
      </c>
      <c r="J42" s="316">
        <f t="shared" ref="J42:L42" si="120">J39-J40</f>
        <v>-29.686000000000003</v>
      </c>
      <c r="K42" s="316">
        <f t="shared" si="120"/>
        <v>-32.356999999999999</v>
      </c>
      <c r="L42" s="315">
        <f t="shared" si="120"/>
        <v>-89.224999999999994</v>
      </c>
      <c r="M42" s="316">
        <f>M39-M40</f>
        <v>-26.287000000000003</v>
      </c>
      <c r="N42" s="316">
        <f>N39-N40</f>
        <v>-47.963999999999999</v>
      </c>
      <c r="O42" s="316">
        <f t="shared" ref="O42:Q42" si="121">O39-O40</f>
        <v>-43.988999999999997</v>
      </c>
      <c r="P42" s="316">
        <f t="shared" si="121"/>
        <v>-21.389000000000003</v>
      </c>
      <c r="Q42" s="315">
        <f t="shared" si="121"/>
        <v>-139.62899999999999</v>
      </c>
      <c r="R42" s="316">
        <f>R39-R40</f>
        <v>-50.776999999999994</v>
      </c>
      <c r="S42" s="316">
        <f>S39-S40</f>
        <v>-71.783000000000001</v>
      </c>
      <c r="T42" s="316">
        <f t="shared" ref="T42:U42" si="122">T39-T40</f>
        <v>-76.792000000000002</v>
      </c>
      <c r="U42" s="316">
        <f t="shared" si="122"/>
        <v>-90.721000000000004</v>
      </c>
      <c r="V42" s="315">
        <f t="shared" ref="V42" si="123">V39-V40</f>
        <v>-290.07299999999998</v>
      </c>
      <c r="W42" s="316">
        <f>W39-W40</f>
        <v>-102.97399999999999</v>
      </c>
      <c r="X42" s="316">
        <f>X39-X40</f>
        <v>-90.128999999999991</v>
      </c>
      <c r="Y42" s="316">
        <f t="shared" ref="Y42:AJ42" si="124">Y39-Y40</f>
        <v>-104.07100000000003</v>
      </c>
      <c r="Z42" s="316">
        <f t="shared" si="124"/>
        <v>-112.934</v>
      </c>
      <c r="AA42" s="315">
        <f t="shared" si="124"/>
        <v>-410.10799999999995</v>
      </c>
      <c r="AB42" s="316">
        <f t="shared" si="124"/>
        <v>-91.589999999999989</v>
      </c>
      <c r="AC42" s="316">
        <f t="shared" si="124"/>
        <v>-94.389999999999986</v>
      </c>
      <c r="AD42" s="316">
        <f t="shared" si="124"/>
        <v>-96.981999999999985</v>
      </c>
      <c r="AE42" s="316">
        <f t="shared" si="124"/>
        <v>-115.11</v>
      </c>
      <c r="AF42" s="315">
        <f t="shared" ref="AF42" si="125">AF39-AF40</f>
        <v>-398.07199999999995</v>
      </c>
      <c r="AG42" s="316">
        <f t="shared" si="124"/>
        <v>-139.11322999999999</v>
      </c>
      <c r="AH42" s="316">
        <f t="shared" si="124"/>
        <v>-150.26985999999999</v>
      </c>
      <c r="AI42" s="316">
        <f t="shared" si="124"/>
        <v>-145.93138293623764</v>
      </c>
      <c r="AJ42" s="316">
        <f t="shared" si="124"/>
        <v>-135.13152880871297</v>
      </c>
      <c r="AK42" s="315">
        <f>AJ42+AI42+AH42+AG42</f>
        <v>-570.44600174495054</v>
      </c>
      <c r="AL42" s="316"/>
      <c r="AM42" s="316"/>
      <c r="AN42" s="316"/>
      <c r="AO42" s="316"/>
      <c r="AP42" s="315">
        <f t="shared" ref="AP42" si="126">AP39-AP40</f>
        <v>-369.74205806159466</v>
      </c>
      <c r="AQ42" s="316"/>
      <c r="AR42" s="316"/>
      <c r="AS42" s="316"/>
      <c r="AT42" s="316"/>
      <c r="AU42" s="315">
        <f t="shared" ref="AU42" si="127">AU39-AU40</f>
        <v>-58.202941764363231</v>
      </c>
      <c r="AV42" s="316"/>
      <c r="AW42" s="316"/>
      <c r="AX42" s="316"/>
      <c r="AY42" s="316"/>
      <c r="AZ42" s="315">
        <f t="shared" ref="AZ42" si="128">AZ39-AZ40</f>
        <v>331.55641408877943</v>
      </c>
      <c r="BA42" s="316"/>
      <c r="BB42" s="316"/>
      <c r="BC42" s="316"/>
      <c r="BD42" s="316"/>
      <c r="BE42" s="315">
        <f t="shared" ref="BE42" si="129">BE39-BE40</f>
        <v>708.34716351046416</v>
      </c>
      <c r="BF42" s="316"/>
      <c r="BG42" s="316"/>
      <c r="BH42" s="316"/>
      <c r="BI42" s="316"/>
      <c r="BJ42" s="315">
        <f t="shared" ref="BJ42" si="130">BJ39-BJ40</f>
        <v>1055.4986856370208</v>
      </c>
      <c r="BK42" s="316"/>
      <c r="BL42" s="316"/>
      <c r="BM42" s="316"/>
      <c r="BN42" s="316"/>
      <c r="BO42" s="315">
        <f t="shared" ref="BO42" si="131">BO39-BO40</f>
        <v>1192.3774972621366</v>
      </c>
      <c r="BP42" s="316"/>
      <c r="BQ42" s="316"/>
      <c r="BR42" s="316"/>
      <c r="BS42" s="316"/>
      <c r="BT42" s="315">
        <f t="shared" ref="BT42" si="132">BT39-BT40</f>
        <v>1070.4147804962256</v>
      </c>
      <c r="BU42" s="316"/>
      <c r="BV42" s="316"/>
      <c r="BW42" s="316"/>
      <c r="BX42" s="316"/>
      <c r="BY42" s="315">
        <f t="shared" ref="BY42" si="133">BY39-BY40</f>
        <v>1242.3944279215318</v>
      </c>
      <c r="BZ42" s="316"/>
      <c r="CA42" s="316"/>
      <c r="CB42" s="316"/>
      <c r="CC42" s="316"/>
      <c r="CD42" s="315">
        <f t="shared" ref="CD42" si="134">CD39-CD40</f>
        <v>1397.8802247965318</v>
      </c>
      <c r="CE42" s="316"/>
      <c r="CF42" s="316"/>
      <c r="CG42" s="316"/>
      <c r="CH42" s="316"/>
      <c r="CI42" s="315">
        <f t="shared" ref="CI42" si="135">CI39-CI40</f>
        <v>1538.1363107979937</v>
      </c>
      <c r="CJ42" s="316"/>
      <c r="CK42" s="316"/>
      <c r="CL42" s="316"/>
      <c r="CM42" s="316"/>
      <c r="CN42" s="315">
        <f t="shared" ref="CN42" si="136">CN39-CN40</f>
        <v>1664.4335402497898</v>
      </c>
      <c r="CO42" s="316"/>
      <c r="CP42" s="316"/>
      <c r="CQ42" s="316"/>
      <c r="CR42" s="316"/>
      <c r="CS42" s="315">
        <f t="shared" ref="CS42" si="137">CS39-CS40</f>
        <v>1770.7386694862521</v>
      </c>
      <c r="CV42"/>
      <c r="CW42"/>
      <c r="CX42"/>
      <c r="CY42"/>
      <c r="CZ42"/>
      <c r="DA42"/>
    </row>
    <row r="43" spans="2:105" ht="15" customHeight="1">
      <c r="B43" s="331"/>
      <c r="C43" s="344"/>
      <c r="D43" s="344"/>
      <c r="E43" s="344"/>
      <c r="F43" s="344"/>
      <c r="G43" s="313"/>
      <c r="H43" s="344"/>
      <c r="I43" s="344"/>
      <c r="J43" s="344"/>
      <c r="K43" s="344"/>
      <c r="L43" s="313"/>
      <c r="M43" s="344"/>
      <c r="N43" s="344"/>
      <c r="O43" s="344"/>
      <c r="P43" s="344"/>
      <c r="Q43" s="313"/>
      <c r="R43" s="344"/>
      <c r="S43" s="344"/>
      <c r="T43" s="344"/>
      <c r="U43" s="344"/>
      <c r="V43" s="313"/>
      <c r="W43" s="344"/>
      <c r="X43" s="344"/>
      <c r="Y43" s="344"/>
      <c r="Z43" s="344"/>
      <c r="AA43" s="313"/>
      <c r="AB43" s="312"/>
      <c r="AC43" s="312"/>
      <c r="AD43" s="312"/>
      <c r="AE43" s="312"/>
      <c r="AF43" s="313"/>
      <c r="AG43" s="312"/>
      <c r="AH43" s="312"/>
      <c r="AI43" s="312"/>
      <c r="AJ43" s="312"/>
      <c r="AK43" s="313"/>
      <c r="AL43" s="312"/>
      <c r="AM43" s="312"/>
      <c r="AN43" s="312"/>
      <c r="AO43" s="312"/>
      <c r="AP43" s="313"/>
      <c r="AQ43" s="312"/>
      <c r="AR43" s="312"/>
      <c r="AS43" s="312"/>
      <c r="AT43" s="312"/>
      <c r="AU43" s="313"/>
      <c r="AV43" s="312"/>
      <c r="AW43" s="312"/>
      <c r="AX43" s="312"/>
      <c r="AY43" s="312"/>
      <c r="AZ43" s="313"/>
      <c r="BA43" s="312"/>
      <c r="BB43" s="312"/>
      <c r="BC43" s="312"/>
      <c r="BD43" s="312"/>
      <c r="BE43" s="313"/>
      <c r="BF43" s="312"/>
      <c r="BG43" s="312"/>
      <c r="BH43" s="312"/>
      <c r="BI43" s="312"/>
      <c r="BJ43" s="313"/>
      <c r="BK43" s="312"/>
      <c r="BL43" s="312"/>
      <c r="BM43" s="312"/>
      <c r="BN43" s="312"/>
      <c r="BO43" s="313"/>
      <c r="BP43" s="312"/>
      <c r="BQ43" s="312"/>
      <c r="BR43" s="312"/>
      <c r="BS43" s="312"/>
      <c r="BT43" s="313"/>
      <c r="BU43" s="312"/>
      <c r="BV43" s="312"/>
      <c r="BW43" s="312"/>
      <c r="BX43" s="312"/>
      <c r="BY43" s="313"/>
      <c r="BZ43" s="312"/>
      <c r="CA43" s="312"/>
      <c r="CB43" s="312"/>
      <c r="CC43" s="312"/>
      <c r="CD43" s="313"/>
      <c r="CE43" s="312"/>
      <c r="CF43" s="312"/>
      <c r="CG43" s="312"/>
      <c r="CH43" s="312"/>
      <c r="CI43" s="313"/>
      <c r="CJ43" s="312"/>
      <c r="CK43" s="312"/>
      <c r="CL43" s="312"/>
      <c r="CM43" s="312"/>
      <c r="CN43" s="313"/>
      <c r="CO43" s="312"/>
      <c r="CP43" s="312"/>
      <c r="CQ43" s="312"/>
      <c r="CR43" s="312"/>
      <c r="CS43" s="313"/>
    </row>
    <row r="44" spans="2:105" s="317" customFormat="1" ht="15" customHeight="1">
      <c r="B44" s="640" t="s">
        <v>558</v>
      </c>
      <c r="C44" s="345">
        <f t="shared" ref="C44:AA44" si="138">C42/C47</f>
        <v>-0.22676909759792255</v>
      </c>
      <c r="D44" s="345">
        <f t="shared" si="138"/>
        <v>-0.23044071762870511</v>
      </c>
      <c r="E44" s="345">
        <f t="shared" si="138"/>
        <v>-0.34707617088975978</v>
      </c>
      <c r="F44" s="345">
        <f t="shared" si="138"/>
        <v>-0.23911155709075477</v>
      </c>
      <c r="G44" s="346">
        <f t="shared" si="138"/>
        <v>-1.0455395139800339</v>
      </c>
      <c r="H44" s="347">
        <f t="shared" si="138"/>
        <v>-0.1523160901086644</v>
      </c>
      <c r="I44" s="347">
        <f t="shared" si="138"/>
        <v>-0.29465950925220158</v>
      </c>
      <c r="J44" s="347">
        <f t="shared" si="138"/>
        <v>-0.47561522686490654</v>
      </c>
      <c r="K44" s="347">
        <f t="shared" si="138"/>
        <v>-0.51434611899728178</v>
      </c>
      <c r="L44" s="346">
        <f t="shared" si="138"/>
        <v>-1.4496108917807995</v>
      </c>
      <c r="M44" s="347">
        <f t="shared" si="138"/>
        <v>-0.38779393975157117</v>
      </c>
      <c r="N44" s="347">
        <f t="shared" si="138"/>
        <v>-0.63247840706797653</v>
      </c>
      <c r="O44" s="347">
        <f t="shared" si="138"/>
        <v>-0.57571196733326346</v>
      </c>
      <c r="P44" s="347">
        <f t="shared" si="138"/>
        <v>-0.27793443091596615</v>
      </c>
      <c r="Q44" s="346">
        <f t="shared" si="138"/>
        <v>-1.8798163655456526</v>
      </c>
      <c r="R44" s="347">
        <f t="shared" si="138"/>
        <v>-0.61867339230450558</v>
      </c>
      <c r="S44" s="347">
        <f t="shared" si="138"/>
        <v>-0.85098336751508552</v>
      </c>
      <c r="T44" s="347">
        <f t="shared" si="138"/>
        <v>-0.90735292380040888</v>
      </c>
      <c r="U44" s="347">
        <f t="shared" si="138"/>
        <v>-1.0689281379976672</v>
      </c>
      <c r="V44" s="346">
        <f t="shared" si="138"/>
        <v>-3.4535789122773592</v>
      </c>
      <c r="W44" s="347">
        <f t="shared" si="138"/>
        <v>-1.2075237168286876</v>
      </c>
      <c r="X44" s="347">
        <f t="shared" si="138"/>
        <v>-1.0535858320182359</v>
      </c>
      <c r="Y44" s="347">
        <f t="shared" si="138"/>
        <v>-1.2141373839189886</v>
      </c>
      <c r="Z44" s="347">
        <f t="shared" si="138"/>
        <v>-1.3155877590484955</v>
      </c>
      <c r="AA44" s="346">
        <f t="shared" si="138"/>
        <v>-4.7912051965045084</v>
      </c>
      <c r="AB44" s="347">
        <f t="shared" ref="AB44:AE44" si="139">AB42/AB47</f>
        <v>-1.0646657444755714</v>
      </c>
      <c r="AC44" s="347">
        <f t="shared" si="139"/>
        <v>-1.0714204635746554</v>
      </c>
      <c r="AD44" s="347">
        <f t="shared" si="139"/>
        <v>-1.0561266716034323</v>
      </c>
      <c r="AE44" s="347">
        <f t="shared" si="139"/>
        <v>-1.1973288675771541</v>
      </c>
      <c r="AF44" s="346">
        <f>AF42/AF47</f>
        <v>-4.3974680467947369</v>
      </c>
      <c r="AG44" s="347">
        <f t="shared" ref="AG44:AJ44" si="140">AG42/AG47</f>
        <v>-1.3942135118612131</v>
      </c>
      <c r="AH44" s="347">
        <f t="shared" si="140"/>
        <v>-1.5045223970949828</v>
      </c>
      <c r="AI44" s="347">
        <f t="shared" si="140"/>
        <v>-1.4596253458294557</v>
      </c>
      <c r="AJ44" s="347">
        <f t="shared" si="140"/>
        <v>-1.3502534968497237</v>
      </c>
      <c r="AK44" s="346">
        <f>AK42/AK47</f>
        <v>-5.7085262975510114</v>
      </c>
      <c r="AL44" s="348"/>
      <c r="AM44" s="348"/>
      <c r="AN44" s="348"/>
      <c r="AO44" s="348"/>
      <c r="AP44" s="346">
        <f>AP42/AP47</f>
        <v>-3.6816479536293549</v>
      </c>
      <c r="AQ44" s="348"/>
      <c r="AR44" s="348"/>
      <c r="AS44" s="348"/>
      <c r="AT44" s="348"/>
      <c r="AU44" s="346">
        <f>AU42/AU47</f>
        <v>-0.57666325348278602</v>
      </c>
      <c r="AV44" s="348"/>
      <c r="AW44" s="348"/>
      <c r="AX44" s="348"/>
      <c r="AY44" s="348"/>
      <c r="AZ44" s="346">
        <f>AZ42/AZ47</f>
        <v>3.268652216219468</v>
      </c>
      <c r="BA44" s="348"/>
      <c r="BB44" s="348"/>
      <c r="BC44" s="348"/>
      <c r="BD44" s="348"/>
      <c r="BE44" s="346">
        <f>BE42/BE47</f>
        <v>6.948505053352795</v>
      </c>
      <c r="BF44" s="348"/>
      <c r="BG44" s="348"/>
      <c r="BH44" s="348"/>
      <c r="BI44" s="348"/>
      <c r="BJ44" s="346">
        <f>BJ42/BJ47</f>
        <v>10.302363132616748</v>
      </c>
      <c r="BK44" s="348"/>
      <c r="BL44" s="348"/>
      <c r="BM44" s="348"/>
      <c r="BN44" s="348"/>
      <c r="BO44" s="346">
        <f>BO42/BO47</f>
        <v>11.580488146689564</v>
      </c>
      <c r="BP44" s="348"/>
      <c r="BQ44" s="348"/>
      <c r="BR44" s="348"/>
      <c r="BS44" s="348"/>
      <c r="BT44" s="346">
        <f>BT42/BT47</f>
        <v>10.344252918116331</v>
      </c>
      <c r="BU44" s="348"/>
      <c r="BV44" s="348"/>
      <c r="BW44" s="348"/>
      <c r="BX44" s="348"/>
      <c r="BY44" s="346">
        <f>BY42/BY47</f>
        <v>11.946493920991944</v>
      </c>
      <c r="BZ44" s="348"/>
      <c r="CA44" s="348"/>
      <c r="CB44" s="348"/>
      <c r="CC44" s="348"/>
      <c r="CD44" s="346">
        <f>CD42/CD47</f>
        <v>13.374725299332839</v>
      </c>
      <c r="CE44" s="348"/>
      <c r="CF44" s="348"/>
      <c r="CG44" s="348"/>
      <c r="CH44" s="348"/>
      <c r="CI44" s="346">
        <f>CI42/CI47</f>
        <v>14.643458902012272</v>
      </c>
      <c r="CJ44" s="348"/>
      <c r="CK44" s="348"/>
      <c r="CL44" s="348"/>
      <c r="CM44" s="348"/>
      <c r="CN44" s="346">
        <f>CN42/CN47</f>
        <v>15.767006438860824</v>
      </c>
      <c r="CO44" s="348"/>
      <c r="CP44" s="348"/>
      <c r="CQ44" s="348"/>
      <c r="CR44" s="348"/>
      <c r="CS44" s="346">
        <f>CS42/CS47</f>
        <v>16.690571056264947</v>
      </c>
      <c r="CV44"/>
      <c r="CW44"/>
      <c r="CX44"/>
      <c r="CY44"/>
      <c r="CZ44"/>
      <c r="DA44"/>
    </row>
    <row r="45" spans="2:105" s="317" customFormat="1" ht="15" customHeight="1">
      <c r="B45" s="640" t="s">
        <v>559</v>
      </c>
      <c r="C45" s="345">
        <f t="shared" ref="C45:AA45" si="141">C42/C48</f>
        <v>-0.22676909759792255</v>
      </c>
      <c r="D45" s="345">
        <f t="shared" si="141"/>
        <v>-0.23044071762870511</v>
      </c>
      <c r="E45" s="345">
        <f t="shared" si="141"/>
        <v>-0.34707617088975978</v>
      </c>
      <c r="F45" s="345">
        <f t="shared" si="141"/>
        <v>-0.23911155709075477</v>
      </c>
      <c r="G45" s="346">
        <f t="shared" si="141"/>
        <v>-1.0455395139800339</v>
      </c>
      <c r="H45" s="347">
        <f t="shared" si="141"/>
        <v>-0.1523160901086644</v>
      </c>
      <c r="I45" s="347">
        <f t="shared" si="141"/>
        <v>-0.29465950925220158</v>
      </c>
      <c r="J45" s="347">
        <f t="shared" si="141"/>
        <v>-0.47561522686490654</v>
      </c>
      <c r="K45" s="347">
        <f t="shared" si="141"/>
        <v>-0.51434611899728178</v>
      </c>
      <c r="L45" s="346">
        <f t="shared" si="141"/>
        <v>-1.4496108917807995</v>
      </c>
      <c r="M45" s="347">
        <f t="shared" si="141"/>
        <v>-0.38779393975157117</v>
      </c>
      <c r="N45" s="347">
        <f t="shared" si="141"/>
        <v>-0.63247840706797653</v>
      </c>
      <c r="O45" s="347">
        <f t="shared" si="141"/>
        <v>-0.57571196733326346</v>
      </c>
      <c r="P45" s="347">
        <f t="shared" si="141"/>
        <v>-0.27793443091596615</v>
      </c>
      <c r="Q45" s="346">
        <f t="shared" si="141"/>
        <v>-1.8798163655456526</v>
      </c>
      <c r="R45" s="347">
        <f t="shared" si="141"/>
        <v>-0.61867339230450558</v>
      </c>
      <c r="S45" s="347">
        <f t="shared" si="141"/>
        <v>-0.85098336751508552</v>
      </c>
      <c r="T45" s="347">
        <f t="shared" si="141"/>
        <v>-0.90735292380040888</v>
      </c>
      <c r="U45" s="347">
        <f t="shared" si="141"/>
        <v>-1.0689281379976672</v>
      </c>
      <c r="V45" s="346">
        <f t="shared" si="141"/>
        <v>-3.4535789122773592</v>
      </c>
      <c r="W45" s="347">
        <f t="shared" si="141"/>
        <v>-1.2075237168286876</v>
      </c>
      <c r="X45" s="347">
        <f t="shared" si="141"/>
        <v>-1.0535858320182359</v>
      </c>
      <c r="Y45" s="347">
        <f t="shared" si="141"/>
        <v>-1.2141373839189886</v>
      </c>
      <c r="Z45" s="347">
        <f t="shared" si="141"/>
        <v>-1.3155877590484955</v>
      </c>
      <c r="AA45" s="346">
        <f t="shared" si="141"/>
        <v>-4.7912051965045084</v>
      </c>
      <c r="AB45" s="347">
        <f t="shared" ref="AB45:AE45" si="142">AB42/AB48</f>
        <v>-1.0646657444755714</v>
      </c>
      <c r="AC45" s="347">
        <f t="shared" si="142"/>
        <v>-1.0714204635746554</v>
      </c>
      <c r="AD45" s="347">
        <f t="shared" si="142"/>
        <v>-1.0561266716034323</v>
      </c>
      <c r="AE45" s="347">
        <f t="shared" si="142"/>
        <v>-1.1973288675771541</v>
      </c>
      <c r="AF45" s="346">
        <f>AF42/AF48</f>
        <v>-4.3974680467947369</v>
      </c>
      <c r="AG45" s="347">
        <f t="shared" ref="AG45:AJ45" si="143">AG42/AG48</f>
        <v>-1.3942135118612131</v>
      </c>
      <c r="AH45" s="347">
        <f t="shared" si="143"/>
        <v>-1.5045223970949828</v>
      </c>
      <c r="AI45" s="347">
        <f t="shared" si="143"/>
        <v>-1.4596253458294557</v>
      </c>
      <c r="AJ45" s="347">
        <f t="shared" si="143"/>
        <v>-1.3502534968497237</v>
      </c>
      <c r="AK45" s="346">
        <f>AK42/AK48</f>
        <v>-5.7085262975510114</v>
      </c>
      <c r="AL45" s="348"/>
      <c r="AM45" s="348"/>
      <c r="AN45" s="348"/>
      <c r="AO45" s="348"/>
      <c r="AP45" s="346">
        <f>AP42/AP48</f>
        <v>-3.6816479536293549</v>
      </c>
      <c r="AQ45" s="348"/>
      <c r="AR45" s="348"/>
      <c r="AS45" s="348"/>
      <c r="AT45" s="348"/>
      <c r="AU45" s="346">
        <f>AU42/AU48</f>
        <v>-0.57666325348278602</v>
      </c>
      <c r="AV45" s="348"/>
      <c r="AW45" s="348"/>
      <c r="AX45" s="348"/>
      <c r="AY45" s="348"/>
      <c r="AZ45" s="346">
        <f>AZ42/AZ48</f>
        <v>3.268652216219468</v>
      </c>
      <c r="BA45" s="348"/>
      <c r="BB45" s="348"/>
      <c r="BC45" s="348"/>
      <c r="BD45" s="348"/>
      <c r="BE45" s="346">
        <f>BE42/BE48</f>
        <v>6.948505053352795</v>
      </c>
      <c r="BF45" s="348"/>
      <c r="BG45" s="348"/>
      <c r="BH45" s="348"/>
      <c r="BI45" s="348"/>
      <c r="BJ45" s="346">
        <f>BJ42/BJ48</f>
        <v>10.302363132616748</v>
      </c>
      <c r="BK45" s="348"/>
      <c r="BL45" s="348"/>
      <c r="BM45" s="348"/>
      <c r="BN45" s="348"/>
      <c r="BO45" s="346">
        <f>BO42/BO48</f>
        <v>11.580488146689564</v>
      </c>
      <c r="BP45" s="348"/>
      <c r="BQ45" s="348"/>
      <c r="BR45" s="348"/>
      <c r="BS45" s="348"/>
      <c r="BT45" s="346">
        <f>BT42/BT48</f>
        <v>10.344252918116331</v>
      </c>
      <c r="BU45" s="348"/>
      <c r="BV45" s="348"/>
      <c r="BW45" s="348"/>
      <c r="BX45" s="348"/>
      <c r="BY45" s="346">
        <f>BY42/BY48</f>
        <v>11.946493920991944</v>
      </c>
      <c r="BZ45" s="348"/>
      <c r="CA45" s="348"/>
      <c r="CB45" s="348"/>
      <c r="CC45" s="348"/>
      <c r="CD45" s="346">
        <f>CD42/CD48</f>
        <v>13.374725299332839</v>
      </c>
      <c r="CE45" s="348"/>
      <c r="CF45" s="348"/>
      <c r="CG45" s="348"/>
      <c r="CH45" s="348"/>
      <c r="CI45" s="346">
        <f>CI42/CI48</f>
        <v>14.643458902012272</v>
      </c>
      <c r="CJ45" s="348"/>
      <c r="CK45" s="348"/>
      <c r="CL45" s="348"/>
      <c r="CM45" s="348"/>
      <c r="CN45" s="346">
        <f>CN42/CN48</f>
        <v>15.767006438860824</v>
      </c>
      <c r="CO45" s="348"/>
      <c r="CP45" s="348"/>
      <c r="CQ45" s="348"/>
      <c r="CR45" s="348"/>
      <c r="CS45" s="346">
        <f>CS42/CS48</f>
        <v>16.690571056264947</v>
      </c>
      <c r="CV45"/>
      <c r="CW45"/>
      <c r="CX45"/>
      <c r="CY45"/>
      <c r="CZ45"/>
      <c r="DA45"/>
    </row>
    <row r="46" spans="2:105" s="317" customFormat="1" ht="15" customHeight="1">
      <c r="B46" s="640" t="s">
        <v>253</v>
      </c>
      <c r="C46" s="345"/>
      <c r="D46" s="345"/>
      <c r="E46" s="345"/>
      <c r="F46" s="345"/>
      <c r="G46" s="346"/>
      <c r="H46" s="347"/>
      <c r="I46" s="347"/>
      <c r="J46" s="347"/>
      <c r="K46" s="347"/>
      <c r="L46" s="346"/>
      <c r="M46" s="347"/>
      <c r="N46" s="347"/>
      <c r="O46" s="347"/>
      <c r="P46" s="347"/>
      <c r="Q46" s="346"/>
      <c r="R46" s="347"/>
      <c r="S46" s="347"/>
      <c r="T46" s="347"/>
      <c r="U46" s="347"/>
      <c r="V46" s="346"/>
      <c r="W46" s="347"/>
      <c r="X46" s="347"/>
      <c r="Y46" s="347"/>
      <c r="Z46" s="347"/>
      <c r="AA46" s="346">
        <f>AA61</f>
        <v>-5.6732557596149347</v>
      </c>
      <c r="AB46" s="347">
        <f t="shared" ref="AB46:AK46" si="144">AB61</f>
        <v>-1.2471665872342403</v>
      </c>
      <c r="AC46" s="347">
        <f t="shared" si="144"/>
        <v>-1.3441848850144156</v>
      </c>
      <c r="AD46" s="347">
        <f t="shared" si="144"/>
        <v>-1.3387746656793134</v>
      </c>
      <c r="AE46" s="347">
        <f t="shared" si="144"/>
        <v>-1.4793892176952121</v>
      </c>
      <c r="AF46" s="346">
        <f t="shared" si="144"/>
        <v>-5.4226439689360708</v>
      </c>
      <c r="AG46" s="347">
        <f t="shared" si="144"/>
        <v>-1.7362727834770955</v>
      </c>
      <c r="AH46" s="347">
        <f t="shared" si="144"/>
        <v>-1.8462399511568033</v>
      </c>
      <c r="AI46" s="347">
        <f t="shared" si="144"/>
        <v>-1.8010015237133923</v>
      </c>
      <c r="AJ46" s="347">
        <f t="shared" si="144"/>
        <v>-1.691288639590919</v>
      </c>
      <c r="AK46" s="346">
        <f t="shared" si="144"/>
        <v>-7.0747127378261414</v>
      </c>
      <c r="AL46" s="348"/>
      <c r="AM46" s="348"/>
      <c r="AN46" s="348"/>
      <c r="AO46" s="348"/>
      <c r="AP46" s="346">
        <f t="shared" ref="AP46" si="145">AP61</f>
        <v>-5.2073563768316733</v>
      </c>
      <c r="AQ46" s="348"/>
      <c r="AR46" s="348"/>
      <c r="AS46" s="348"/>
      <c r="AT46" s="348"/>
      <c r="AU46" s="346">
        <f t="shared" ref="AU46" si="146">AU61</f>
        <v>-2.2519192895478275</v>
      </c>
      <c r="AV46" s="348"/>
      <c r="AW46" s="348"/>
      <c r="AX46" s="348"/>
      <c r="AY46" s="348"/>
      <c r="AZ46" s="346">
        <f t="shared" ref="AZ46" si="147">AZ61</f>
        <v>1.4981882344907256</v>
      </c>
      <c r="BA46" s="348"/>
      <c r="BB46" s="348"/>
      <c r="BC46" s="348"/>
      <c r="BD46" s="348"/>
      <c r="BE46" s="346">
        <f t="shared" ref="BE46" si="148">BE61</f>
        <v>5.1447986243722958</v>
      </c>
      <c r="BF46" s="348"/>
      <c r="BG46" s="348"/>
      <c r="BH46" s="348"/>
      <c r="BI46" s="348"/>
      <c r="BJ46" s="346">
        <f t="shared" ref="BJ46" si="149">BJ61</f>
        <v>8.4737525823728355</v>
      </c>
      <c r="BK46" s="348"/>
      <c r="BL46" s="348"/>
      <c r="BM46" s="348"/>
      <c r="BN46" s="348"/>
      <c r="BO46" s="346">
        <f t="shared" ref="BO46" si="150">BO61</f>
        <v>9.7126638633092703</v>
      </c>
      <c r="BP46" s="348"/>
      <c r="BQ46" s="348"/>
      <c r="BR46" s="348"/>
      <c r="BS46" s="348"/>
      <c r="BT46" s="346">
        <f t="shared" ref="BT46" si="151">BT61</f>
        <v>8.4536669417165413</v>
      </c>
      <c r="BU46" s="348"/>
      <c r="BV46" s="348"/>
      <c r="BW46" s="348"/>
      <c r="BX46" s="348"/>
      <c r="BY46" s="346">
        <f t="shared" ref="BY46" si="152">BY61</f>
        <v>10.049486664712058</v>
      </c>
      <c r="BZ46" s="348"/>
      <c r="CA46" s="348"/>
      <c r="CB46" s="348"/>
      <c r="CC46" s="348"/>
      <c r="CD46" s="346">
        <f t="shared" ref="CD46" si="153">CD61</f>
        <v>11.482438226986641</v>
      </c>
      <c r="CE46" s="348"/>
      <c r="CF46" s="348"/>
      <c r="CG46" s="348"/>
      <c r="CH46" s="348"/>
      <c r="CI46" s="346">
        <f t="shared" ref="CI46" si="154">CI61</f>
        <v>12.766461344271203</v>
      </c>
      <c r="CJ46" s="348"/>
      <c r="CK46" s="348"/>
      <c r="CL46" s="348"/>
      <c r="CM46" s="348"/>
      <c r="CN46" s="346">
        <f t="shared" ref="CN46" si="155">CN61</f>
        <v>13.91515304785689</v>
      </c>
      <c r="CO46" s="348"/>
      <c r="CP46" s="348"/>
      <c r="CQ46" s="348"/>
      <c r="CR46" s="348"/>
      <c r="CS46" s="346">
        <f t="shared" ref="CS46" si="156">CS61</f>
        <v>14.873051546775459</v>
      </c>
      <c r="CV46"/>
      <c r="CW46"/>
      <c r="CX46"/>
      <c r="CY46"/>
      <c r="CZ46"/>
      <c r="DA46"/>
    </row>
    <row r="47" spans="2:105" s="317" customFormat="1" ht="15" customHeight="1">
      <c r="B47" s="336" t="s">
        <v>23</v>
      </c>
      <c r="C47" s="338">
        <v>46.21</v>
      </c>
      <c r="D47" s="338">
        <v>51.28</v>
      </c>
      <c r="E47" s="338">
        <v>51.542000000000002</v>
      </c>
      <c r="F47" s="338">
        <v>51.820999999999998</v>
      </c>
      <c r="G47" s="339">
        <v>50.286000000000001</v>
      </c>
      <c r="H47" s="338">
        <v>59.173000000000002</v>
      </c>
      <c r="I47" s="338">
        <v>61.661000000000001</v>
      </c>
      <c r="J47" s="338">
        <v>62.415999999999997</v>
      </c>
      <c r="K47" s="338">
        <v>62.908999999999999</v>
      </c>
      <c r="L47" s="339">
        <v>61.551000000000002</v>
      </c>
      <c r="M47" s="338">
        <v>67.786000000000001</v>
      </c>
      <c r="N47" s="338">
        <v>75.834999999999994</v>
      </c>
      <c r="O47" s="338">
        <v>76.408000000000001</v>
      </c>
      <c r="P47" s="338">
        <v>76.956999999999994</v>
      </c>
      <c r="Q47" s="339">
        <v>74.278000000000006</v>
      </c>
      <c r="R47" s="338">
        <v>82.073999999999998</v>
      </c>
      <c r="S47" s="338">
        <v>84.352999999999994</v>
      </c>
      <c r="T47" s="338">
        <v>84.632999999999996</v>
      </c>
      <c r="U47" s="338">
        <v>84.870999999999995</v>
      </c>
      <c r="V47" s="339">
        <v>83.992000000000004</v>
      </c>
      <c r="W47" s="338">
        <v>85.277000000000001</v>
      </c>
      <c r="X47" s="338">
        <v>85.545000000000002</v>
      </c>
      <c r="Y47" s="338">
        <v>85.715999999999994</v>
      </c>
      <c r="Z47" s="338">
        <v>85.843000000000004</v>
      </c>
      <c r="AA47" s="339">
        <v>85.596000000000004</v>
      </c>
      <c r="AB47" s="338">
        <v>86.027000000000001</v>
      </c>
      <c r="AC47" s="338">
        <v>88.097999999999999</v>
      </c>
      <c r="AD47" s="338">
        <v>91.828000000000003</v>
      </c>
      <c r="AE47" s="338">
        <v>96.138999999999996</v>
      </c>
      <c r="AF47" s="339">
        <f>(AB47+AC47+AD47+AE47)/4</f>
        <v>90.522999999999996</v>
      </c>
      <c r="AG47" s="338">
        <f>AE47+((6.44+0.84)*0.5)</f>
        <v>99.778999999999996</v>
      </c>
      <c r="AH47" s="338">
        <f>AG47*1.001</f>
        <v>99.87877899999998</v>
      </c>
      <c r="AI47" s="338">
        <f>AH47*1.001</f>
        <v>99.978657778999974</v>
      </c>
      <c r="AJ47" s="338">
        <f>AI47*1.001</f>
        <v>100.07863643677896</v>
      </c>
      <c r="AK47" s="339">
        <f>(AG47+AH47+AI47+AJ47)/4</f>
        <v>99.928768303944736</v>
      </c>
      <c r="AL47" s="338"/>
      <c r="AM47" s="338"/>
      <c r="AN47" s="338"/>
      <c r="AO47" s="338"/>
      <c r="AP47" s="339">
        <f>AK47*1.005+(CF!J$73/1000)</f>
        <v>100.42841214546445</v>
      </c>
      <c r="AQ47" s="338"/>
      <c r="AR47" s="338"/>
      <c r="AS47" s="338"/>
      <c r="AT47" s="338"/>
      <c r="AU47" s="339">
        <f>AP47*1.005+(CF!K$73/1000)</f>
        <v>100.93055420619176</v>
      </c>
      <c r="AV47" s="338"/>
      <c r="AW47" s="338"/>
      <c r="AX47" s="338"/>
      <c r="AY47" s="338"/>
      <c r="AZ47" s="339">
        <f>AU47*1.005+(CF!L$73/1000)</f>
        <v>101.43520697722271</v>
      </c>
      <c r="BA47" s="338"/>
      <c r="BB47" s="338"/>
      <c r="BC47" s="338"/>
      <c r="BD47" s="338"/>
      <c r="BE47" s="339">
        <f>AZ47*1.005+(CF!M$73/1000)</f>
        <v>101.94238301210881</v>
      </c>
      <c r="BF47" s="338"/>
      <c r="BG47" s="338"/>
      <c r="BH47" s="338"/>
      <c r="BI47" s="338"/>
      <c r="BJ47" s="339">
        <f>BE47*1.005+(CF!N$73/1000)</f>
        <v>102.45209492716934</v>
      </c>
      <c r="BK47" s="338"/>
      <c r="BL47" s="338"/>
      <c r="BM47" s="338"/>
      <c r="BN47" s="338"/>
      <c r="BO47" s="339">
        <f>BJ47*1.005+(CF!O$73/1000)</f>
        <v>102.96435540180518</v>
      </c>
      <c r="BP47" s="338"/>
      <c r="BQ47" s="338"/>
      <c r="BR47" s="338"/>
      <c r="BS47" s="338"/>
      <c r="BT47" s="339">
        <f>BO47*1.005+(CF!P$73/1000)</f>
        <v>103.4791771788142</v>
      </c>
      <c r="BU47" s="338"/>
      <c r="BV47" s="338"/>
      <c r="BW47" s="338"/>
      <c r="BX47" s="338"/>
      <c r="BY47" s="339">
        <f>BT47*1.005+(CF!Q$73/1000)</f>
        <v>103.99657306470826</v>
      </c>
      <c r="BZ47" s="338"/>
      <c r="CA47" s="338"/>
      <c r="CB47" s="338"/>
      <c r="CC47" s="338"/>
      <c r="CD47" s="339">
        <f>BY47*1.005+(CF!R$73/1000)</f>
        <v>104.51655593003179</v>
      </c>
      <c r="CE47" s="338"/>
      <c r="CF47" s="338"/>
      <c r="CG47" s="338"/>
      <c r="CH47" s="338"/>
      <c r="CI47" s="339">
        <f>CD47*1.005+(CF!S$73/1000)</f>
        <v>105.03913870968194</v>
      </c>
      <c r="CJ47" s="338"/>
      <c r="CK47" s="338"/>
      <c r="CL47" s="338"/>
      <c r="CM47" s="338"/>
      <c r="CN47" s="339">
        <f>CI47*1.005+(CF!T$73/1000)</f>
        <v>105.56433440323033</v>
      </c>
      <c r="CO47" s="338"/>
      <c r="CP47" s="338"/>
      <c r="CQ47" s="338"/>
      <c r="CR47" s="338"/>
      <c r="CS47" s="339">
        <f>CN47*1.005+(CF!U$73/1000)</f>
        <v>106.09215607524648</v>
      </c>
      <c r="CV47"/>
      <c r="CW47"/>
      <c r="CX47"/>
      <c r="CY47"/>
      <c r="CZ47"/>
      <c r="DA47"/>
    </row>
    <row r="48" spans="2:105" s="317" customFormat="1" ht="15" customHeight="1">
      <c r="B48" s="336" t="s">
        <v>24</v>
      </c>
      <c r="C48" s="338">
        <v>46.21</v>
      </c>
      <c r="D48" s="338">
        <v>51.28</v>
      </c>
      <c r="E48" s="338">
        <v>51.542000000000002</v>
      </c>
      <c r="F48" s="338">
        <v>51.820999999999998</v>
      </c>
      <c r="G48" s="339">
        <v>50.286000000000001</v>
      </c>
      <c r="H48" s="338">
        <v>59.173000000000002</v>
      </c>
      <c r="I48" s="338">
        <v>61.661000000000001</v>
      </c>
      <c r="J48" s="338">
        <v>62.415999999999997</v>
      </c>
      <c r="K48" s="338">
        <v>62.908999999999999</v>
      </c>
      <c r="L48" s="339">
        <v>61.551000000000002</v>
      </c>
      <c r="M48" s="338">
        <v>67.786000000000001</v>
      </c>
      <c r="N48" s="338">
        <f>N47</f>
        <v>75.834999999999994</v>
      </c>
      <c r="O48" s="338">
        <v>76.408000000000001</v>
      </c>
      <c r="P48" s="338">
        <v>76.956999999999994</v>
      </c>
      <c r="Q48" s="339">
        <v>74.278000000000006</v>
      </c>
      <c r="R48" s="338">
        <v>82.073999999999998</v>
      </c>
      <c r="S48" s="338">
        <f t="shared" ref="S48:X48" si="157">S47</f>
        <v>84.352999999999994</v>
      </c>
      <c r="T48" s="338">
        <f t="shared" si="157"/>
        <v>84.632999999999996</v>
      </c>
      <c r="U48" s="338">
        <f t="shared" si="157"/>
        <v>84.870999999999995</v>
      </c>
      <c r="V48" s="339">
        <f t="shared" si="157"/>
        <v>83.992000000000004</v>
      </c>
      <c r="W48" s="338">
        <f t="shared" si="157"/>
        <v>85.277000000000001</v>
      </c>
      <c r="X48" s="338">
        <f t="shared" si="157"/>
        <v>85.545000000000002</v>
      </c>
      <c r="Y48" s="338">
        <f t="shared" ref="Y48:AC48" si="158">Y47</f>
        <v>85.715999999999994</v>
      </c>
      <c r="Z48" s="338">
        <f t="shared" si="158"/>
        <v>85.843000000000004</v>
      </c>
      <c r="AA48" s="339">
        <f t="shared" si="158"/>
        <v>85.596000000000004</v>
      </c>
      <c r="AB48" s="338">
        <f t="shared" si="158"/>
        <v>86.027000000000001</v>
      </c>
      <c r="AC48" s="338">
        <f t="shared" si="158"/>
        <v>88.097999999999999</v>
      </c>
      <c r="AD48" s="338">
        <f>AD47</f>
        <v>91.828000000000003</v>
      </c>
      <c r="AE48" s="338">
        <f>AE47</f>
        <v>96.138999999999996</v>
      </c>
      <c r="AF48" s="339">
        <f>(AB48+AC48+AD48+AE48)/4</f>
        <v>90.522999999999996</v>
      </c>
      <c r="AG48" s="338">
        <f>AG47</f>
        <v>99.778999999999996</v>
      </c>
      <c r="AH48" s="338">
        <f>AH47</f>
        <v>99.87877899999998</v>
      </c>
      <c r="AI48" s="338">
        <f>AI47</f>
        <v>99.978657778999974</v>
      </c>
      <c r="AJ48" s="338">
        <f>AJ47</f>
        <v>100.07863643677896</v>
      </c>
      <c r="AK48" s="339">
        <f>(AG48+AH48+AI48+AJ48)/4</f>
        <v>99.928768303944736</v>
      </c>
      <c r="AL48" s="338"/>
      <c r="AM48" s="338"/>
      <c r="AN48" s="338"/>
      <c r="AO48" s="338"/>
      <c r="AP48" s="339">
        <f>AK48*1.005+(CF!J$73/1000)</f>
        <v>100.42841214546445</v>
      </c>
      <c r="AQ48" s="338"/>
      <c r="AR48" s="338"/>
      <c r="AS48" s="338"/>
      <c r="AT48" s="338"/>
      <c r="AU48" s="339">
        <f>AP48*1.005+(CF!K$73/1000)</f>
        <v>100.93055420619176</v>
      </c>
      <c r="AV48" s="338"/>
      <c r="AW48" s="338"/>
      <c r="AX48" s="338"/>
      <c r="AY48" s="338"/>
      <c r="AZ48" s="339">
        <f>AU48*1.005+(CF!L$73/1000)</f>
        <v>101.43520697722271</v>
      </c>
      <c r="BA48" s="338"/>
      <c r="BB48" s="338"/>
      <c r="BC48" s="338"/>
      <c r="BD48" s="338"/>
      <c r="BE48" s="339">
        <f>AZ48*1.005+(CF!M$73/1000)</f>
        <v>101.94238301210881</v>
      </c>
      <c r="BF48" s="338"/>
      <c r="BG48" s="338"/>
      <c r="BH48" s="338"/>
      <c r="BI48" s="338"/>
      <c r="BJ48" s="339">
        <f>BE48*1.005+(CF!N$73/1000)</f>
        <v>102.45209492716934</v>
      </c>
      <c r="BK48" s="338"/>
      <c r="BL48" s="338"/>
      <c r="BM48" s="338"/>
      <c r="BN48" s="338"/>
      <c r="BO48" s="339">
        <f>BJ48*1.005+(CF!O$73/1000)</f>
        <v>102.96435540180518</v>
      </c>
      <c r="BP48" s="338"/>
      <c r="BQ48" s="338"/>
      <c r="BR48" s="338"/>
      <c r="BS48" s="338"/>
      <c r="BT48" s="339">
        <f>BO48*1.005+(CF!P$73/1000)</f>
        <v>103.4791771788142</v>
      </c>
      <c r="BU48" s="338"/>
      <c r="BV48" s="338"/>
      <c r="BW48" s="338"/>
      <c r="BX48" s="338"/>
      <c r="BY48" s="339">
        <f>BT48*1.005+(CF!Q$73/1000)</f>
        <v>103.99657306470826</v>
      </c>
      <c r="BZ48" s="338"/>
      <c r="CA48" s="338"/>
      <c r="CB48" s="338"/>
      <c r="CC48" s="338"/>
      <c r="CD48" s="339">
        <f>BY48*1.005+(CF!R$73/1000)</f>
        <v>104.51655593003179</v>
      </c>
      <c r="CE48" s="338"/>
      <c r="CF48" s="338"/>
      <c r="CG48" s="338"/>
      <c r="CH48" s="338"/>
      <c r="CI48" s="339">
        <f>CD48*1.005+(CF!S$73/1000)</f>
        <v>105.03913870968194</v>
      </c>
      <c r="CJ48" s="338"/>
      <c r="CK48" s="338"/>
      <c r="CL48" s="338"/>
      <c r="CM48" s="338"/>
      <c r="CN48" s="339">
        <f>CI48*1.005+(CF!T$73/1000)</f>
        <v>105.56433440323033</v>
      </c>
      <c r="CO48" s="338"/>
      <c r="CP48" s="338"/>
      <c r="CQ48" s="338"/>
      <c r="CR48" s="338"/>
      <c r="CS48" s="339">
        <f>CN48*1.005+(CF!U$73/1000)</f>
        <v>106.09215607524648</v>
      </c>
      <c r="CV48"/>
      <c r="CW48"/>
      <c r="CX48"/>
      <c r="CY48"/>
      <c r="CZ48"/>
      <c r="DA48"/>
    </row>
    <row r="49" spans="2:105" ht="15" customHeight="1">
      <c r="B49" s="331"/>
      <c r="C49" s="344"/>
      <c r="D49" s="344"/>
      <c r="E49" s="344"/>
      <c r="F49" s="344"/>
      <c r="G49" s="313"/>
      <c r="H49" s="344"/>
      <c r="I49" s="344"/>
      <c r="J49" s="344"/>
      <c r="K49" s="344"/>
      <c r="L49" s="313"/>
      <c r="M49" s="344"/>
      <c r="N49" s="344"/>
      <c r="O49" s="344"/>
      <c r="P49" s="344"/>
      <c r="Q49" s="313"/>
      <c r="R49" s="344"/>
      <c r="S49" s="344"/>
      <c r="T49" s="344"/>
      <c r="U49" s="344"/>
      <c r="V49" s="313"/>
      <c r="W49" s="344"/>
      <c r="X49" s="344"/>
      <c r="Y49" s="344"/>
      <c r="Z49" s="344"/>
      <c r="AA49" s="313"/>
      <c r="AB49" s="312"/>
      <c r="AC49" s="312"/>
      <c r="AD49" s="312"/>
      <c r="AE49" s="312"/>
      <c r="AF49" s="313"/>
      <c r="AG49" s="312"/>
      <c r="AH49" s="312"/>
      <c r="AI49" s="312"/>
      <c r="AJ49" s="312"/>
      <c r="AK49" s="313"/>
      <c r="AL49" s="312"/>
      <c r="AM49" s="312"/>
      <c r="AN49" s="312"/>
      <c r="AO49" s="312"/>
      <c r="AP49" s="313"/>
      <c r="AQ49" s="312"/>
      <c r="AR49" s="312"/>
      <c r="AS49" s="312"/>
      <c r="AT49" s="312"/>
      <c r="AU49" s="313"/>
      <c r="AV49" s="312"/>
      <c r="AW49" s="312"/>
      <c r="AX49" s="312"/>
      <c r="AY49" s="312"/>
      <c r="AZ49" s="313"/>
      <c r="BA49" s="312"/>
      <c r="BB49" s="312"/>
      <c r="BC49" s="312"/>
      <c r="BD49" s="312"/>
      <c r="BE49" s="313"/>
      <c r="BF49" s="312"/>
      <c r="BG49" s="312"/>
      <c r="BH49" s="312"/>
      <c r="BI49" s="312"/>
      <c r="BJ49" s="313"/>
      <c r="BK49" s="312"/>
      <c r="BL49" s="312"/>
      <c r="BM49" s="312"/>
      <c r="BN49" s="312"/>
      <c r="BO49" s="313"/>
      <c r="BP49" s="312"/>
      <c r="BQ49" s="312"/>
      <c r="BR49" s="312"/>
      <c r="BS49" s="312"/>
      <c r="BT49" s="313"/>
      <c r="BU49" s="312"/>
      <c r="BV49" s="312"/>
      <c r="BW49" s="312"/>
      <c r="BX49" s="312"/>
      <c r="BY49" s="313"/>
      <c r="BZ49" s="312"/>
      <c r="CA49" s="312"/>
      <c r="CB49" s="312"/>
      <c r="CC49" s="312"/>
      <c r="CD49" s="313"/>
      <c r="CE49" s="312"/>
      <c r="CF49" s="312"/>
      <c r="CG49" s="312"/>
      <c r="CH49" s="312"/>
      <c r="CI49" s="313"/>
      <c r="CJ49" s="312"/>
      <c r="CK49" s="312"/>
      <c r="CL49" s="312"/>
      <c r="CM49" s="312"/>
      <c r="CN49" s="313"/>
      <c r="CO49" s="312"/>
      <c r="CP49" s="312"/>
      <c r="CQ49" s="312"/>
      <c r="CR49" s="312"/>
      <c r="CS49" s="313"/>
    </row>
    <row r="50" spans="2:105" ht="15" hidden="1" customHeight="1" outlineLevel="1">
      <c r="B50" s="320" t="s">
        <v>254</v>
      </c>
      <c r="C50" s="321">
        <v>0.88900000000000001</v>
      </c>
      <c r="D50" s="321">
        <v>1.139</v>
      </c>
      <c r="E50" s="321">
        <f>--1.613</f>
        <v>1.613</v>
      </c>
      <c r="F50" s="321">
        <f>65+0.881-16.084</f>
        <v>49.796999999999997</v>
      </c>
      <c r="G50" s="313">
        <f>SUM(C50:F50)</f>
        <v>53.437999999999995</v>
      </c>
      <c r="H50" s="312">
        <v>0</v>
      </c>
      <c r="I50" s="312">
        <v>0</v>
      </c>
      <c r="J50" s="312">
        <v>0</v>
      </c>
      <c r="K50" s="312">
        <v>0</v>
      </c>
      <c r="L50" s="313">
        <f>SUM(H50:K50)</f>
        <v>0</v>
      </c>
      <c r="M50" s="312">
        <v>224.65600000000001</v>
      </c>
      <c r="N50" s="312">
        <v>-3.89</v>
      </c>
      <c r="O50" s="312">
        <v>0</v>
      </c>
      <c r="P50" s="312">
        <v>0</v>
      </c>
      <c r="Q50" s="313">
        <f>SUM(M50:P50)</f>
        <v>220.76600000000002</v>
      </c>
      <c r="R50" s="312">
        <v>0</v>
      </c>
      <c r="S50" s="312">
        <v>0</v>
      </c>
      <c r="T50" s="312">
        <v>0</v>
      </c>
      <c r="U50" s="312">
        <v>0</v>
      </c>
      <c r="V50" s="313">
        <f>U50+T50+S50+R50</f>
        <v>0</v>
      </c>
      <c r="W50" s="312">
        <v>0</v>
      </c>
      <c r="X50" s="312">
        <v>0</v>
      </c>
      <c r="Y50" s="312">
        <v>0</v>
      </c>
      <c r="Z50" s="312">
        <v>0</v>
      </c>
      <c r="AA50" s="313">
        <f>Z50+Y50+X50+W50</f>
        <v>0</v>
      </c>
      <c r="AB50" s="312"/>
      <c r="AC50" s="312"/>
      <c r="AD50" s="312"/>
      <c r="AE50" s="312"/>
      <c r="AF50" s="313">
        <v>0</v>
      </c>
      <c r="AG50" s="312"/>
      <c r="AH50" s="312"/>
      <c r="AI50" s="312"/>
      <c r="AJ50" s="312"/>
      <c r="AK50" s="313">
        <v>0</v>
      </c>
      <c r="AL50" s="312"/>
      <c r="AM50" s="312"/>
      <c r="AN50" s="312"/>
      <c r="AO50" s="312"/>
      <c r="AP50" s="313">
        <v>0</v>
      </c>
      <c r="AQ50" s="312"/>
      <c r="AR50" s="312"/>
      <c r="AS50" s="312"/>
      <c r="AT50" s="312"/>
      <c r="AU50" s="313">
        <v>0</v>
      </c>
      <c r="AV50" s="312"/>
      <c r="AW50" s="312"/>
      <c r="AX50" s="312"/>
      <c r="AY50" s="312"/>
      <c r="AZ50" s="313">
        <v>0</v>
      </c>
      <c r="BA50" s="312"/>
      <c r="BB50" s="312"/>
      <c r="BC50" s="312"/>
      <c r="BD50" s="312"/>
      <c r="BE50" s="313">
        <v>0</v>
      </c>
      <c r="BF50" s="312"/>
      <c r="BG50" s="312"/>
      <c r="BH50" s="312"/>
      <c r="BI50" s="312"/>
      <c r="BJ50" s="313">
        <v>0</v>
      </c>
      <c r="BK50" s="312"/>
      <c r="BL50" s="312"/>
      <c r="BM50" s="312"/>
      <c r="BN50" s="312"/>
      <c r="BO50" s="313">
        <v>0</v>
      </c>
      <c r="BP50" s="312"/>
      <c r="BQ50" s="312"/>
      <c r="BR50" s="312"/>
      <c r="BS50" s="312"/>
      <c r="BT50" s="313">
        <v>0</v>
      </c>
      <c r="BU50" s="312"/>
      <c r="BV50" s="312"/>
      <c r="BW50" s="312"/>
      <c r="BX50" s="312"/>
      <c r="BY50" s="313">
        <v>0</v>
      </c>
      <c r="BZ50" s="312"/>
      <c r="CA50" s="312"/>
      <c r="CB50" s="312"/>
      <c r="CC50" s="312"/>
      <c r="CD50" s="313">
        <v>0</v>
      </c>
      <c r="CE50" s="312"/>
      <c r="CF50" s="312"/>
      <c r="CG50" s="312"/>
      <c r="CH50" s="312"/>
      <c r="CI50" s="313">
        <v>0</v>
      </c>
      <c r="CJ50" s="312"/>
      <c r="CK50" s="312"/>
      <c r="CL50" s="312"/>
      <c r="CM50" s="312"/>
      <c r="CN50" s="313">
        <v>0</v>
      </c>
      <c r="CO50" s="312"/>
      <c r="CP50" s="312"/>
      <c r="CQ50" s="312"/>
      <c r="CR50" s="312"/>
      <c r="CS50" s="313">
        <v>0</v>
      </c>
    </row>
    <row r="51" spans="2:105" ht="15" hidden="1" customHeight="1" outlineLevel="1">
      <c r="B51" s="331"/>
      <c r="C51" s="312"/>
      <c r="D51" s="312"/>
      <c r="E51" s="312"/>
      <c r="F51" s="312"/>
      <c r="G51" s="313"/>
      <c r="H51" s="312"/>
      <c r="I51" s="312"/>
      <c r="J51" s="312"/>
      <c r="K51" s="312"/>
      <c r="L51" s="313"/>
      <c r="M51" s="312"/>
      <c r="N51" s="312"/>
      <c r="O51" s="312"/>
      <c r="P51" s="312"/>
      <c r="Q51" s="313"/>
      <c r="R51" s="312"/>
      <c r="S51" s="312"/>
      <c r="T51" s="312"/>
      <c r="U51" s="312"/>
      <c r="V51" s="313"/>
      <c r="W51" s="312"/>
      <c r="X51" s="312"/>
      <c r="Y51" s="312"/>
      <c r="Z51" s="312"/>
      <c r="AA51" s="313"/>
      <c r="AB51" s="312"/>
      <c r="AC51" s="312"/>
      <c r="AD51" s="312"/>
      <c r="AE51" s="312"/>
      <c r="AF51" s="313"/>
      <c r="AG51" s="312"/>
      <c r="AH51" s="312"/>
      <c r="AI51" s="312"/>
      <c r="AJ51" s="312"/>
      <c r="AK51" s="313"/>
      <c r="AL51" s="312"/>
      <c r="AM51" s="312"/>
      <c r="AN51" s="312"/>
      <c r="AO51" s="312"/>
      <c r="AP51" s="313"/>
      <c r="AQ51" s="312"/>
      <c r="AR51" s="312"/>
      <c r="AS51" s="312"/>
      <c r="AT51" s="312"/>
      <c r="AU51" s="313"/>
      <c r="AV51" s="312"/>
      <c r="AW51" s="312"/>
      <c r="AX51" s="312"/>
      <c r="AY51" s="312"/>
      <c r="AZ51" s="313"/>
      <c r="BA51" s="312"/>
      <c r="BB51" s="312"/>
      <c r="BC51" s="312"/>
      <c r="BD51" s="312"/>
      <c r="BE51" s="313"/>
      <c r="BF51" s="312"/>
      <c r="BG51" s="312"/>
      <c r="BH51" s="312"/>
      <c r="BI51" s="312"/>
      <c r="BJ51" s="313"/>
      <c r="BK51" s="312"/>
      <c r="BL51" s="312"/>
      <c r="BM51" s="312"/>
      <c r="BN51" s="312"/>
      <c r="BO51" s="313"/>
      <c r="BP51" s="312"/>
      <c r="BQ51" s="312"/>
      <c r="BR51" s="312"/>
      <c r="BS51" s="312"/>
      <c r="BT51" s="313"/>
      <c r="BU51" s="312"/>
      <c r="BV51" s="312"/>
      <c r="BW51" s="312"/>
      <c r="BX51" s="312"/>
      <c r="BY51" s="313"/>
      <c r="BZ51" s="312"/>
      <c r="CA51" s="312"/>
      <c r="CB51" s="312"/>
      <c r="CC51" s="312"/>
      <c r="CD51" s="313"/>
      <c r="CE51" s="312"/>
      <c r="CF51" s="312"/>
      <c r="CG51" s="312"/>
      <c r="CH51" s="312"/>
      <c r="CI51" s="313"/>
      <c r="CJ51" s="312"/>
      <c r="CK51" s="312"/>
      <c r="CL51" s="312"/>
      <c r="CM51" s="312"/>
      <c r="CN51" s="313"/>
      <c r="CO51" s="312"/>
      <c r="CP51" s="312"/>
      <c r="CQ51" s="312"/>
      <c r="CR51" s="312"/>
      <c r="CS51" s="313"/>
    </row>
    <row r="52" spans="2:105" s="317" customFormat="1" ht="15" hidden="1" customHeight="1" outlineLevel="1">
      <c r="B52" s="639" t="s">
        <v>25</v>
      </c>
      <c r="C52" s="314">
        <f t="shared" ref="C52:AA52" si="159">C42-C50</f>
        <v>-11.368</v>
      </c>
      <c r="D52" s="314">
        <f t="shared" si="159"/>
        <v>-12.955999999999998</v>
      </c>
      <c r="E52" s="314">
        <f t="shared" si="159"/>
        <v>-19.501999999999999</v>
      </c>
      <c r="F52" s="314">
        <f t="shared" si="159"/>
        <v>-62.188000000000002</v>
      </c>
      <c r="G52" s="315">
        <f t="shared" si="159"/>
        <v>-106.01399999999998</v>
      </c>
      <c r="H52" s="316">
        <f t="shared" si="159"/>
        <v>-9.0129999999999981</v>
      </c>
      <c r="I52" s="316">
        <f t="shared" si="159"/>
        <v>-18.169</v>
      </c>
      <c r="J52" s="316">
        <f t="shared" si="159"/>
        <v>-29.686000000000003</v>
      </c>
      <c r="K52" s="316">
        <f t="shared" si="159"/>
        <v>-32.356999999999999</v>
      </c>
      <c r="L52" s="315">
        <f t="shared" si="159"/>
        <v>-89.224999999999994</v>
      </c>
      <c r="M52" s="316">
        <f t="shared" si="159"/>
        <v>-250.94300000000001</v>
      </c>
      <c r="N52" s="316">
        <f t="shared" si="159"/>
        <v>-44.073999999999998</v>
      </c>
      <c r="O52" s="316">
        <f t="shared" si="159"/>
        <v>-43.988999999999997</v>
      </c>
      <c r="P52" s="316">
        <f t="shared" si="159"/>
        <v>-21.389000000000003</v>
      </c>
      <c r="Q52" s="315">
        <f t="shared" si="159"/>
        <v>-360.39499999999998</v>
      </c>
      <c r="R52" s="316">
        <f t="shared" si="159"/>
        <v>-50.776999999999994</v>
      </c>
      <c r="S52" s="316">
        <f t="shared" si="159"/>
        <v>-71.783000000000001</v>
      </c>
      <c r="T52" s="316">
        <f t="shared" si="159"/>
        <v>-76.792000000000002</v>
      </c>
      <c r="U52" s="316">
        <f t="shared" si="159"/>
        <v>-90.721000000000004</v>
      </c>
      <c r="V52" s="315">
        <f t="shared" si="159"/>
        <v>-290.07299999999998</v>
      </c>
      <c r="W52" s="316">
        <f t="shared" si="159"/>
        <v>-102.97399999999999</v>
      </c>
      <c r="X52" s="316">
        <f t="shared" si="159"/>
        <v>-90.128999999999991</v>
      </c>
      <c r="Y52" s="316">
        <f t="shared" si="159"/>
        <v>-104.07100000000003</v>
      </c>
      <c r="Z52" s="316">
        <f t="shared" si="159"/>
        <v>-112.934</v>
      </c>
      <c r="AA52" s="315">
        <f t="shared" si="159"/>
        <v>-410.10799999999995</v>
      </c>
      <c r="AB52" s="316"/>
      <c r="AC52" s="316"/>
      <c r="AD52" s="316"/>
      <c r="AE52" s="316"/>
      <c r="AF52" s="315">
        <f>AF42-AF50</f>
        <v>-398.07199999999995</v>
      </c>
      <c r="AG52" s="316"/>
      <c r="AH52" s="316"/>
      <c r="AI52" s="316"/>
      <c r="AJ52" s="316"/>
      <c r="AK52" s="315">
        <f>AK42-AK50</f>
        <v>-570.44600174495054</v>
      </c>
      <c r="AL52" s="316"/>
      <c r="AM52" s="316"/>
      <c r="AN52" s="316"/>
      <c r="AO52" s="316"/>
      <c r="AP52" s="315">
        <f>AP42-AP50</f>
        <v>-369.74205806159466</v>
      </c>
      <c r="AQ52" s="316"/>
      <c r="AR52" s="316"/>
      <c r="AS52" s="316"/>
      <c r="AT52" s="316"/>
      <c r="AU52" s="315">
        <f>AU42-AU50</f>
        <v>-58.202941764363231</v>
      </c>
      <c r="AV52" s="316"/>
      <c r="AW52" s="316"/>
      <c r="AX52" s="316"/>
      <c r="AY52" s="316"/>
      <c r="AZ52" s="315">
        <f>AZ42-AZ50</f>
        <v>331.55641408877943</v>
      </c>
      <c r="BA52" s="316"/>
      <c r="BB52" s="316"/>
      <c r="BC52" s="316"/>
      <c r="BD52" s="316"/>
      <c r="BE52" s="315">
        <f>BE42-BE50</f>
        <v>708.34716351046416</v>
      </c>
      <c r="BF52" s="316"/>
      <c r="BG52" s="316"/>
      <c r="BH52" s="316"/>
      <c r="BI52" s="316"/>
      <c r="BJ52" s="315">
        <f>BJ42-BJ50</f>
        <v>1055.4986856370208</v>
      </c>
      <c r="BK52" s="316"/>
      <c r="BL52" s="316"/>
      <c r="BM52" s="316"/>
      <c r="BN52" s="316"/>
      <c r="BO52" s="315">
        <f>BO42-BO50</f>
        <v>1192.3774972621366</v>
      </c>
      <c r="BP52" s="316"/>
      <c r="BQ52" s="316"/>
      <c r="BR52" s="316"/>
      <c r="BS52" s="316"/>
      <c r="BT52" s="315">
        <f>BT42-BT50</f>
        <v>1070.4147804962256</v>
      </c>
      <c r="BU52" s="316"/>
      <c r="BV52" s="316"/>
      <c r="BW52" s="316"/>
      <c r="BX52" s="316"/>
      <c r="BY52" s="315">
        <f>BY42-BY50</f>
        <v>1242.3944279215318</v>
      </c>
      <c r="BZ52" s="316"/>
      <c r="CA52" s="316"/>
      <c r="CB52" s="316"/>
      <c r="CC52" s="316"/>
      <c r="CD52" s="315">
        <f>CD42-CD50</f>
        <v>1397.8802247965318</v>
      </c>
      <c r="CE52" s="316"/>
      <c r="CF52" s="316"/>
      <c r="CG52" s="316"/>
      <c r="CH52" s="316"/>
      <c r="CI52" s="315">
        <f>CI42-CI50</f>
        <v>1538.1363107979937</v>
      </c>
      <c r="CJ52" s="316"/>
      <c r="CK52" s="316"/>
      <c r="CL52" s="316"/>
      <c r="CM52" s="316"/>
      <c r="CN52" s="315">
        <f>CN42-CN50</f>
        <v>1664.4335402497898</v>
      </c>
      <c r="CO52" s="316"/>
      <c r="CP52" s="316"/>
      <c r="CQ52" s="316"/>
      <c r="CR52" s="316"/>
      <c r="CS52" s="315">
        <f>CS42-CS50</f>
        <v>1770.7386694862521</v>
      </c>
      <c r="CV52"/>
      <c r="CW52"/>
      <c r="CX52"/>
      <c r="CY52"/>
      <c r="CZ52"/>
      <c r="DA52"/>
    </row>
    <row r="53" spans="2:105" s="317" customFormat="1" ht="15" hidden="1" customHeight="1" outlineLevel="1">
      <c r="B53" s="349"/>
      <c r="C53" s="350"/>
      <c r="D53" s="350"/>
      <c r="E53" s="350"/>
      <c r="F53" s="350"/>
      <c r="G53" s="351"/>
      <c r="H53" s="350"/>
      <c r="I53" s="350"/>
      <c r="J53" s="350"/>
      <c r="K53" s="350"/>
      <c r="L53" s="351"/>
      <c r="M53" s="350"/>
      <c r="N53" s="350"/>
      <c r="O53" s="350"/>
      <c r="P53" s="350"/>
      <c r="Q53" s="351"/>
      <c r="R53" s="350"/>
      <c r="S53" s="350"/>
      <c r="T53" s="350"/>
      <c r="U53" s="350"/>
      <c r="V53" s="351"/>
      <c r="W53" s="350"/>
      <c r="X53" s="350"/>
      <c r="Y53" s="350"/>
      <c r="Z53" s="350"/>
      <c r="AA53" s="351"/>
      <c r="AB53" s="352"/>
      <c r="AC53" s="352"/>
      <c r="AD53" s="352"/>
      <c r="AE53" s="352"/>
      <c r="AF53" s="351"/>
      <c r="AG53" s="352"/>
      <c r="AH53" s="352"/>
      <c r="AI53" s="352"/>
      <c r="AJ53" s="352"/>
      <c r="AK53" s="351"/>
      <c r="AL53" s="352"/>
      <c r="AM53" s="352"/>
      <c r="AN53" s="352"/>
      <c r="AO53" s="352"/>
      <c r="AP53" s="351"/>
      <c r="AQ53" s="352"/>
      <c r="AR53" s="352"/>
      <c r="AS53" s="352"/>
      <c r="AT53" s="352"/>
      <c r="AU53" s="351"/>
      <c r="AV53" s="352"/>
      <c r="AW53" s="352"/>
      <c r="AX53" s="352"/>
      <c r="AY53" s="352"/>
      <c r="AZ53" s="351"/>
      <c r="BA53" s="352"/>
      <c r="BB53" s="352"/>
      <c r="BC53" s="352"/>
      <c r="BD53" s="352"/>
      <c r="BE53" s="351"/>
      <c r="BF53" s="352"/>
      <c r="BG53" s="352"/>
      <c r="BH53" s="352"/>
      <c r="BI53" s="352"/>
      <c r="BJ53" s="351"/>
      <c r="BK53" s="352"/>
      <c r="BL53" s="352"/>
      <c r="BM53" s="352"/>
      <c r="BN53" s="352"/>
      <c r="BO53" s="351"/>
      <c r="BP53" s="352"/>
      <c r="BQ53" s="352"/>
      <c r="BR53" s="352"/>
      <c r="BS53" s="352"/>
      <c r="BT53" s="351"/>
      <c r="BU53" s="352"/>
      <c r="BV53" s="352"/>
      <c r="BW53" s="352"/>
      <c r="BX53" s="352"/>
      <c r="BY53" s="351"/>
      <c r="BZ53" s="352"/>
      <c r="CA53" s="352"/>
      <c r="CB53" s="352"/>
      <c r="CC53" s="352"/>
      <c r="CD53" s="351"/>
      <c r="CE53" s="352"/>
      <c r="CF53" s="352"/>
      <c r="CG53" s="352"/>
      <c r="CH53" s="352"/>
      <c r="CI53" s="351"/>
      <c r="CJ53" s="352"/>
      <c r="CK53" s="352"/>
      <c r="CL53" s="352"/>
      <c r="CM53" s="352"/>
      <c r="CN53" s="351"/>
      <c r="CO53" s="352"/>
      <c r="CP53" s="352"/>
      <c r="CQ53" s="352"/>
      <c r="CR53" s="352"/>
      <c r="CS53" s="351"/>
      <c r="CV53"/>
      <c r="CW53"/>
      <c r="CX53"/>
      <c r="CY53"/>
      <c r="CZ53"/>
      <c r="DA53"/>
    </row>
    <row r="54" spans="2:105" s="317" customFormat="1" ht="15" hidden="1" customHeight="1" outlineLevel="1">
      <c r="B54" s="640" t="s">
        <v>252</v>
      </c>
      <c r="C54" s="345">
        <f t="shared" ref="C54:AA54" si="160">C52/C47</f>
        <v>-0.24600735771478036</v>
      </c>
      <c r="D54" s="345">
        <f t="shared" si="160"/>
        <v>-0.25265210608424332</v>
      </c>
      <c r="E54" s="345">
        <f t="shared" si="160"/>
        <v>-0.37837103721237048</v>
      </c>
      <c r="F54" s="345">
        <f t="shared" si="160"/>
        <v>-1.2000540321491289</v>
      </c>
      <c r="G54" s="346">
        <f t="shared" si="160"/>
        <v>-2.1082209760171815</v>
      </c>
      <c r="H54" s="347">
        <f t="shared" si="160"/>
        <v>-0.1523160901086644</v>
      </c>
      <c r="I54" s="347">
        <f t="shared" si="160"/>
        <v>-0.29465950925220158</v>
      </c>
      <c r="J54" s="347">
        <f t="shared" si="160"/>
        <v>-0.47561522686490654</v>
      </c>
      <c r="K54" s="347">
        <f t="shared" si="160"/>
        <v>-0.51434611899728178</v>
      </c>
      <c r="L54" s="346">
        <f t="shared" si="160"/>
        <v>-1.4496108917807995</v>
      </c>
      <c r="M54" s="347">
        <f t="shared" si="160"/>
        <v>-3.7019886112176557</v>
      </c>
      <c r="N54" s="347">
        <f t="shared" si="160"/>
        <v>-0.58118283114656821</v>
      </c>
      <c r="O54" s="347">
        <f t="shared" si="160"/>
        <v>-0.57571196733326346</v>
      </c>
      <c r="P54" s="347">
        <f t="shared" si="160"/>
        <v>-0.27793443091596615</v>
      </c>
      <c r="Q54" s="346">
        <f t="shared" si="160"/>
        <v>-4.8519750127897892</v>
      </c>
      <c r="R54" s="347">
        <f t="shared" si="160"/>
        <v>-0.61867339230450558</v>
      </c>
      <c r="S54" s="347">
        <f t="shared" si="160"/>
        <v>-0.85098336751508552</v>
      </c>
      <c r="T54" s="347">
        <f t="shared" si="160"/>
        <v>-0.90735292380040888</v>
      </c>
      <c r="U54" s="347">
        <f t="shared" si="160"/>
        <v>-1.0689281379976672</v>
      </c>
      <c r="V54" s="346">
        <f t="shared" si="160"/>
        <v>-3.4535789122773592</v>
      </c>
      <c r="W54" s="347">
        <f t="shared" si="160"/>
        <v>-1.2075237168286876</v>
      </c>
      <c r="X54" s="347">
        <f t="shared" si="160"/>
        <v>-1.0535858320182359</v>
      </c>
      <c r="Y54" s="347">
        <f t="shared" si="160"/>
        <v>-1.2141373839189886</v>
      </c>
      <c r="Z54" s="347">
        <f t="shared" si="160"/>
        <v>-1.3155877590484955</v>
      </c>
      <c r="AA54" s="346">
        <f t="shared" si="160"/>
        <v>-4.7912051965045084</v>
      </c>
      <c r="AB54" s="348"/>
      <c r="AC54" s="348"/>
      <c r="AD54" s="348"/>
      <c r="AE54" s="348"/>
      <c r="AF54" s="346">
        <f>AF52/AF47</f>
        <v>-4.3974680467947369</v>
      </c>
      <c r="AG54" s="348"/>
      <c r="AH54" s="348"/>
      <c r="AI54" s="348"/>
      <c r="AJ54" s="348"/>
      <c r="AK54" s="346">
        <f>AK52/AK47</f>
        <v>-5.7085262975510114</v>
      </c>
      <c r="AL54" s="348"/>
      <c r="AM54" s="348"/>
      <c r="AN54" s="348"/>
      <c r="AO54" s="348"/>
      <c r="AP54" s="346">
        <f>AP52/AP47</f>
        <v>-3.6816479536293549</v>
      </c>
      <c r="AQ54" s="348"/>
      <c r="AR54" s="348"/>
      <c r="AS54" s="348"/>
      <c r="AT54" s="348"/>
      <c r="AU54" s="346">
        <f>AU52/AU47</f>
        <v>-0.57666325348278602</v>
      </c>
      <c r="AV54" s="348"/>
      <c r="AW54" s="348"/>
      <c r="AX54" s="348"/>
      <c r="AY54" s="348"/>
      <c r="AZ54" s="346">
        <f>AZ52/AZ47</f>
        <v>3.268652216219468</v>
      </c>
      <c r="BA54" s="348"/>
      <c r="BB54" s="348"/>
      <c r="BC54" s="348"/>
      <c r="BD54" s="348"/>
      <c r="BE54" s="346">
        <f>BE52/BE47</f>
        <v>6.948505053352795</v>
      </c>
      <c r="BF54" s="348"/>
      <c r="BG54" s="348"/>
      <c r="BH54" s="348"/>
      <c r="BI54" s="348"/>
      <c r="BJ54" s="346">
        <f>BJ52/BJ47</f>
        <v>10.302363132616748</v>
      </c>
      <c r="BK54" s="348"/>
      <c r="BL54" s="348"/>
      <c r="BM54" s="348"/>
      <c r="BN54" s="348"/>
      <c r="BO54" s="346">
        <f>BO52/BO47</f>
        <v>11.580488146689564</v>
      </c>
      <c r="BP54" s="348"/>
      <c r="BQ54" s="348"/>
      <c r="BR54" s="348"/>
      <c r="BS54" s="348"/>
      <c r="BT54" s="346">
        <f>BT52/BT47</f>
        <v>10.344252918116331</v>
      </c>
      <c r="BU54" s="348"/>
      <c r="BV54" s="348"/>
      <c r="BW54" s="348"/>
      <c r="BX54" s="348"/>
      <c r="BY54" s="346">
        <f>BY52/BY47</f>
        <v>11.946493920991944</v>
      </c>
      <c r="BZ54" s="348"/>
      <c r="CA54" s="348"/>
      <c r="CB54" s="348"/>
      <c r="CC54" s="348"/>
      <c r="CD54" s="346">
        <f>CD52/CD47</f>
        <v>13.374725299332839</v>
      </c>
      <c r="CE54" s="348"/>
      <c r="CF54" s="348"/>
      <c r="CG54" s="348"/>
      <c r="CH54" s="348"/>
      <c r="CI54" s="346">
        <f>CI52/CI47</f>
        <v>14.643458902012272</v>
      </c>
      <c r="CJ54" s="348"/>
      <c r="CK54" s="348"/>
      <c r="CL54" s="348"/>
      <c r="CM54" s="348"/>
      <c r="CN54" s="346">
        <f>CN52/CN47</f>
        <v>15.767006438860824</v>
      </c>
      <c r="CO54" s="348"/>
      <c r="CP54" s="348"/>
      <c r="CQ54" s="348"/>
      <c r="CR54" s="348"/>
      <c r="CS54" s="346">
        <f>CS52/CS47</f>
        <v>16.690571056264947</v>
      </c>
      <c r="CV54"/>
      <c r="CW54"/>
      <c r="CX54"/>
      <c r="CY54"/>
      <c r="CZ54"/>
      <c r="DA54"/>
    </row>
    <row r="55" spans="2:105" s="317" customFormat="1" ht="15" hidden="1" customHeight="1" outlineLevel="1">
      <c r="B55" s="640" t="s">
        <v>253</v>
      </c>
      <c r="C55" s="345">
        <f t="shared" ref="C55:AA55" si="161">C52/C48</f>
        <v>-0.24600735771478036</v>
      </c>
      <c r="D55" s="345">
        <f t="shared" si="161"/>
        <v>-0.25265210608424332</v>
      </c>
      <c r="E55" s="345">
        <f t="shared" si="161"/>
        <v>-0.37837103721237048</v>
      </c>
      <c r="F55" s="345">
        <f t="shared" si="161"/>
        <v>-1.2000540321491289</v>
      </c>
      <c r="G55" s="346">
        <f t="shared" si="161"/>
        <v>-2.1082209760171815</v>
      </c>
      <c r="H55" s="347">
        <f t="shared" si="161"/>
        <v>-0.1523160901086644</v>
      </c>
      <c r="I55" s="347">
        <f t="shared" si="161"/>
        <v>-0.29465950925220158</v>
      </c>
      <c r="J55" s="347">
        <f t="shared" si="161"/>
        <v>-0.47561522686490654</v>
      </c>
      <c r="K55" s="347">
        <f t="shared" si="161"/>
        <v>-0.51434611899728178</v>
      </c>
      <c r="L55" s="346">
        <f t="shared" si="161"/>
        <v>-1.4496108917807995</v>
      </c>
      <c r="M55" s="347">
        <f t="shared" si="161"/>
        <v>-3.7019886112176557</v>
      </c>
      <c r="N55" s="347">
        <f t="shared" si="161"/>
        <v>-0.58118283114656821</v>
      </c>
      <c r="O55" s="347">
        <f t="shared" si="161"/>
        <v>-0.57571196733326346</v>
      </c>
      <c r="P55" s="347">
        <f t="shared" si="161"/>
        <v>-0.27793443091596615</v>
      </c>
      <c r="Q55" s="346">
        <f t="shared" si="161"/>
        <v>-4.8519750127897892</v>
      </c>
      <c r="R55" s="347">
        <f t="shared" si="161"/>
        <v>-0.61867339230450558</v>
      </c>
      <c r="S55" s="347">
        <f t="shared" si="161"/>
        <v>-0.85098336751508552</v>
      </c>
      <c r="T55" s="347">
        <f t="shared" si="161"/>
        <v>-0.90735292380040888</v>
      </c>
      <c r="U55" s="347">
        <f t="shared" si="161"/>
        <v>-1.0689281379976672</v>
      </c>
      <c r="V55" s="346">
        <f t="shared" si="161"/>
        <v>-3.4535789122773592</v>
      </c>
      <c r="W55" s="347">
        <f t="shared" si="161"/>
        <v>-1.2075237168286876</v>
      </c>
      <c r="X55" s="347">
        <f t="shared" si="161"/>
        <v>-1.0535858320182359</v>
      </c>
      <c r="Y55" s="347">
        <f t="shared" si="161"/>
        <v>-1.2141373839189886</v>
      </c>
      <c r="Z55" s="347">
        <f t="shared" si="161"/>
        <v>-1.3155877590484955</v>
      </c>
      <c r="AA55" s="346">
        <f t="shared" si="161"/>
        <v>-4.7912051965045084</v>
      </c>
      <c r="AB55" s="348"/>
      <c r="AC55" s="348"/>
      <c r="AD55" s="348"/>
      <c r="AE55" s="348"/>
      <c r="AF55" s="346">
        <f>AF52/AF48</f>
        <v>-4.3974680467947369</v>
      </c>
      <c r="AG55" s="348"/>
      <c r="AH55" s="348"/>
      <c r="AI55" s="348"/>
      <c r="AJ55" s="348"/>
      <c r="AK55" s="346">
        <f>AK52/AK48</f>
        <v>-5.7085262975510114</v>
      </c>
      <c r="AL55" s="348"/>
      <c r="AM55" s="348"/>
      <c r="AN55" s="348"/>
      <c r="AO55" s="348"/>
      <c r="AP55" s="346">
        <f>AP52/AP48</f>
        <v>-3.6816479536293549</v>
      </c>
      <c r="AQ55" s="348"/>
      <c r="AR55" s="348"/>
      <c r="AS55" s="348"/>
      <c r="AT55" s="348"/>
      <c r="AU55" s="346">
        <f>AU52/AU48</f>
        <v>-0.57666325348278602</v>
      </c>
      <c r="AV55" s="348"/>
      <c r="AW55" s="348"/>
      <c r="AX55" s="348"/>
      <c r="AY55" s="348"/>
      <c r="AZ55" s="346">
        <f>AZ52/AZ48</f>
        <v>3.268652216219468</v>
      </c>
      <c r="BA55" s="348"/>
      <c r="BB55" s="348"/>
      <c r="BC55" s="348"/>
      <c r="BD55" s="348"/>
      <c r="BE55" s="346">
        <f>BE52/BE48</f>
        <v>6.948505053352795</v>
      </c>
      <c r="BF55" s="348"/>
      <c r="BG55" s="348"/>
      <c r="BH55" s="348"/>
      <c r="BI55" s="348"/>
      <c r="BJ55" s="346">
        <f>BJ52/BJ48</f>
        <v>10.302363132616748</v>
      </c>
      <c r="BK55" s="348"/>
      <c r="BL55" s="348"/>
      <c r="BM55" s="348"/>
      <c r="BN55" s="348"/>
      <c r="BO55" s="346">
        <f>BO52/BO48</f>
        <v>11.580488146689564</v>
      </c>
      <c r="BP55" s="348"/>
      <c r="BQ55" s="348"/>
      <c r="BR55" s="348"/>
      <c r="BS55" s="348"/>
      <c r="BT55" s="346">
        <f>BT52/BT48</f>
        <v>10.344252918116331</v>
      </c>
      <c r="BU55" s="348"/>
      <c r="BV55" s="348"/>
      <c r="BW55" s="348"/>
      <c r="BX55" s="348"/>
      <c r="BY55" s="346">
        <f>BY52/BY48</f>
        <v>11.946493920991944</v>
      </c>
      <c r="BZ55" s="348"/>
      <c r="CA55" s="348"/>
      <c r="CB55" s="348"/>
      <c r="CC55" s="348"/>
      <c r="CD55" s="346">
        <f>CD52/CD48</f>
        <v>13.374725299332839</v>
      </c>
      <c r="CE55" s="348"/>
      <c r="CF55" s="348"/>
      <c r="CG55" s="348"/>
      <c r="CH55" s="348"/>
      <c r="CI55" s="346">
        <f>CI52/CI48</f>
        <v>14.643458902012272</v>
      </c>
      <c r="CJ55" s="348"/>
      <c r="CK55" s="348"/>
      <c r="CL55" s="348"/>
      <c r="CM55" s="348"/>
      <c r="CN55" s="346">
        <f>CN52/CN48</f>
        <v>15.767006438860824</v>
      </c>
      <c r="CO55" s="348"/>
      <c r="CP55" s="348"/>
      <c r="CQ55" s="348"/>
      <c r="CR55" s="348"/>
      <c r="CS55" s="346">
        <f>CS52/CS48</f>
        <v>16.690571056264947</v>
      </c>
      <c r="CV55"/>
      <c r="CW55"/>
      <c r="CX55"/>
      <c r="CY55"/>
      <c r="CZ55"/>
      <c r="DA55"/>
    </row>
    <row r="56" spans="2:105" ht="14.25" hidden="1" customHeight="1" outlineLevel="1">
      <c r="C56" s="344"/>
      <c r="D56" s="344"/>
      <c r="E56" s="344"/>
      <c r="F56" s="344"/>
      <c r="H56" s="344"/>
      <c r="I56" s="344"/>
      <c r="J56" s="344"/>
      <c r="K56" s="344"/>
      <c r="M56" s="344"/>
      <c r="N56" s="344"/>
      <c r="O56" s="344"/>
      <c r="P56" s="344"/>
      <c r="R56" s="344"/>
      <c r="S56" s="344"/>
      <c r="T56" s="344"/>
      <c r="U56" s="344"/>
      <c r="W56" s="344"/>
      <c r="X56" s="344"/>
      <c r="Y56" s="344"/>
      <c r="Z56" s="344"/>
      <c r="AB56" s="312"/>
      <c r="AC56" s="312"/>
      <c r="AD56" s="312"/>
      <c r="AE56" s="312"/>
      <c r="AG56" s="312"/>
      <c r="AH56" s="312"/>
      <c r="AI56" s="312"/>
      <c r="AJ56" s="312"/>
      <c r="AL56" s="312"/>
      <c r="AM56" s="312"/>
      <c r="AN56" s="312"/>
      <c r="AO56" s="312"/>
      <c r="AQ56" s="312"/>
      <c r="AR56" s="312"/>
      <c r="AS56" s="312"/>
      <c r="AT56" s="312"/>
      <c r="AV56" s="312"/>
      <c r="AW56" s="312"/>
      <c r="AX56" s="312"/>
      <c r="AY56" s="312"/>
      <c r="BA56" s="312"/>
      <c r="BB56" s="312"/>
      <c r="BC56" s="312"/>
      <c r="BD56" s="312"/>
      <c r="BF56" s="312"/>
      <c r="BG56" s="312"/>
      <c r="BH56" s="312"/>
      <c r="BI56" s="312"/>
      <c r="BK56" s="312"/>
      <c r="BL56" s="312"/>
      <c r="BM56" s="312"/>
      <c r="BN56" s="312"/>
      <c r="BP56" s="312"/>
      <c r="BQ56" s="312"/>
      <c r="BR56" s="312"/>
      <c r="BS56" s="312"/>
      <c r="BU56" s="312"/>
      <c r="BV56" s="312"/>
      <c r="BW56" s="312"/>
      <c r="BX56" s="312"/>
      <c r="BZ56" s="312"/>
      <c r="CA56" s="312"/>
      <c r="CB56" s="312"/>
      <c r="CC56" s="312"/>
      <c r="CE56" s="312"/>
      <c r="CF56" s="312"/>
      <c r="CG56" s="312"/>
      <c r="CH56" s="312"/>
      <c r="CJ56" s="312"/>
      <c r="CK56" s="312"/>
      <c r="CL56" s="312"/>
      <c r="CM56" s="312"/>
      <c r="CO56" s="312"/>
      <c r="CP56" s="312"/>
      <c r="CQ56" s="312"/>
      <c r="CR56" s="312"/>
    </row>
    <row r="57" spans="2:105" s="317" customFormat="1" ht="15" customHeight="1" collapsed="1">
      <c r="B57" s="480" t="s">
        <v>350</v>
      </c>
      <c r="C57" s="331"/>
      <c r="D57" s="331"/>
      <c r="E57" s="331"/>
      <c r="F57" s="331"/>
      <c r="G57" s="339"/>
      <c r="H57" s="338">
        <f>H68</f>
        <v>3.0750000000000002</v>
      </c>
      <c r="I57" s="338">
        <f t="shared" ref="I57:Q57" si="162">I68</f>
        <v>3.3770000000000002</v>
      </c>
      <c r="J57" s="338">
        <f t="shared" si="162"/>
        <v>8.8449999999999989</v>
      </c>
      <c r="K57" s="338">
        <f t="shared" si="162"/>
        <v>5.4060000000000006</v>
      </c>
      <c r="L57" s="339">
        <f t="shared" si="162"/>
        <v>20.702999999999999</v>
      </c>
      <c r="M57" s="338">
        <f t="shared" si="162"/>
        <v>5.5910000000000002</v>
      </c>
      <c r="N57" s="338">
        <f t="shared" si="162"/>
        <v>7.68</v>
      </c>
      <c r="O57" s="338">
        <f t="shared" si="162"/>
        <v>6.3520000000000003</v>
      </c>
      <c r="P57" s="338">
        <f t="shared" si="162"/>
        <v>13.438000000000001</v>
      </c>
      <c r="Q57" s="339">
        <f t="shared" si="162"/>
        <v>33.061</v>
      </c>
      <c r="R57" s="338">
        <f t="shared" ref="R57:AA57" si="163">R68</f>
        <v>8.2360000000000007</v>
      </c>
      <c r="S57" s="338">
        <f t="shared" si="163"/>
        <v>10.179</v>
      </c>
      <c r="T57" s="338">
        <f t="shared" si="163"/>
        <v>11.847999999999999</v>
      </c>
      <c r="U57" s="338">
        <f t="shared" si="163"/>
        <v>15.52</v>
      </c>
      <c r="V57" s="339">
        <f t="shared" si="163"/>
        <v>45.783000000000001</v>
      </c>
      <c r="W57" s="338">
        <f t="shared" si="163"/>
        <v>23.5</v>
      </c>
      <c r="X57" s="338">
        <f t="shared" si="163"/>
        <v>15.8</v>
      </c>
      <c r="Y57" s="338">
        <f t="shared" si="163"/>
        <v>15.5</v>
      </c>
      <c r="Z57" s="338">
        <f t="shared" si="163"/>
        <v>20.7</v>
      </c>
      <c r="AA57" s="339">
        <f t="shared" si="163"/>
        <v>75.5</v>
      </c>
      <c r="AB57" s="338">
        <f>AB68</f>
        <v>15.7</v>
      </c>
      <c r="AC57" s="338">
        <f>AC68</f>
        <v>24.03</v>
      </c>
      <c r="AD57" s="338">
        <f>AD68</f>
        <v>25.954999999999998</v>
      </c>
      <c r="AE57" s="338">
        <f>AE68</f>
        <v>27.116999999999997</v>
      </c>
      <c r="AF57" s="339">
        <f t="shared" ref="AF57:AK57" si="164">AF68</f>
        <v>92.801999999999992</v>
      </c>
      <c r="AG57" s="338">
        <f t="shared" si="164"/>
        <v>34.130332062561116</v>
      </c>
      <c r="AH57" s="338">
        <f t="shared" si="164"/>
        <v>34.130332062561116</v>
      </c>
      <c r="AI57" s="338">
        <f t="shared" si="164"/>
        <v>34.130332062561116</v>
      </c>
      <c r="AJ57" s="338">
        <f t="shared" si="164"/>
        <v>34.130332062561116</v>
      </c>
      <c r="AK57" s="339">
        <f t="shared" si="164"/>
        <v>136.52132825024447</v>
      </c>
      <c r="AL57" s="338"/>
      <c r="AM57" s="338"/>
      <c r="AN57" s="338"/>
      <c r="AO57" s="338"/>
      <c r="AP57" s="339">
        <f>AP68</f>
        <v>153.22447433916909</v>
      </c>
      <c r="AQ57" s="338"/>
      <c r="AR57" s="338"/>
      <c r="AS57" s="338"/>
      <c r="AT57" s="338"/>
      <c r="AU57" s="339">
        <f>AU68</f>
        <v>169.08452015731262</v>
      </c>
      <c r="AV57" s="338"/>
      <c r="AW57" s="338"/>
      <c r="AX57" s="338"/>
      <c r="AY57" s="338"/>
      <c r="AZ57" s="339">
        <f>AZ68</f>
        <v>179.58738043237281</v>
      </c>
      <c r="BA57" s="338"/>
      <c r="BB57" s="338"/>
      <c r="BC57" s="338"/>
      <c r="BD57" s="338"/>
      <c r="BE57" s="339">
        <f>BE68</f>
        <v>183.87413162453316</v>
      </c>
      <c r="BF57" s="338"/>
      <c r="BG57" s="338"/>
      <c r="BH57" s="338"/>
      <c r="BI57" s="338"/>
      <c r="BJ57" s="339">
        <f>BJ68</f>
        <v>187.34498167841261</v>
      </c>
      <c r="BK57" s="338"/>
      <c r="BL57" s="338"/>
      <c r="BM57" s="338"/>
      <c r="BN57" s="338"/>
      <c r="BO57" s="339">
        <f>BO68</f>
        <v>192.31932334209083</v>
      </c>
      <c r="BP57" s="338"/>
      <c r="BQ57" s="338"/>
      <c r="BR57" s="338"/>
      <c r="BS57" s="338"/>
      <c r="BT57" s="339">
        <f>BT68</f>
        <v>195.63628122365529</v>
      </c>
      <c r="BU57" s="338"/>
      <c r="BV57" s="338"/>
      <c r="BW57" s="338"/>
      <c r="BX57" s="338"/>
      <c r="BY57" s="339">
        <f>BY68</f>
        <v>197.28225373199302</v>
      </c>
      <c r="BZ57" s="338"/>
      <c r="CA57" s="338"/>
      <c r="CB57" s="338"/>
      <c r="CC57" s="338"/>
      <c r="CD57" s="339">
        <f>CD68</f>
        <v>197.77532763254743</v>
      </c>
      <c r="CE57" s="338"/>
      <c r="CF57" s="338"/>
      <c r="CG57" s="338"/>
      <c r="CH57" s="338"/>
      <c r="CI57" s="339">
        <f>CI68</f>
        <v>197.15820682529841</v>
      </c>
      <c r="CJ57" s="338"/>
      <c r="CK57" s="338"/>
      <c r="CL57" s="338"/>
      <c r="CM57" s="338"/>
      <c r="CN57" s="339">
        <f>CN68</f>
        <v>195.48967063369523</v>
      </c>
      <c r="CO57" s="338"/>
      <c r="CP57" s="338"/>
      <c r="CQ57" s="338"/>
      <c r="CR57" s="338"/>
      <c r="CS57" s="339">
        <f>CS68</f>
        <v>192.82456347056407</v>
      </c>
      <c r="CV57"/>
      <c r="CW57"/>
      <c r="CX57"/>
      <c r="CY57"/>
      <c r="CZ57"/>
      <c r="DA57"/>
    </row>
    <row r="58" spans="2:105" s="317" customFormat="1" ht="15" hidden="1" customHeight="1">
      <c r="B58" s="481" t="s">
        <v>351</v>
      </c>
      <c r="C58" s="331"/>
      <c r="D58" s="331"/>
      <c r="E58" s="331"/>
      <c r="F58" s="331"/>
      <c r="G58" s="331"/>
      <c r="H58" s="352">
        <f t="shared" ref="H58:V58" si="165">H57/(H31+H26+H18)</f>
        <v>0.10809955705547354</v>
      </c>
      <c r="I58" s="352">
        <f t="shared" si="165"/>
        <v>0.11257041901396714</v>
      </c>
      <c r="J58" s="352">
        <f t="shared" si="165"/>
        <v>0.21455427531837473</v>
      </c>
      <c r="K58" s="352">
        <f t="shared" si="165"/>
        <v>0.13368283093053737</v>
      </c>
      <c r="L58" s="351">
        <f t="shared" si="165"/>
        <v>0.14776352696828898</v>
      </c>
      <c r="M58" s="352">
        <f t="shared" si="165"/>
        <v>0.10612531556669133</v>
      </c>
      <c r="N58" s="352">
        <f t="shared" si="165"/>
        <v>0.13667912439935931</v>
      </c>
      <c r="O58" s="352">
        <f t="shared" si="165"/>
        <v>0.11308326360577521</v>
      </c>
      <c r="P58" s="352">
        <f t="shared" si="165"/>
        <v>0.19271199323113108</v>
      </c>
      <c r="Q58" s="351">
        <f t="shared" si="165"/>
        <v>0.14081993397934192</v>
      </c>
      <c r="R58" s="352">
        <f t="shared" si="165"/>
        <v>0.11639508755070027</v>
      </c>
      <c r="S58" s="352">
        <f t="shared" si="165"/>
        <v>0.1246983302502787</v>
      </c>
      <c r="T58" s="352">
        <f t="shared" si="165"/>
        <v>0.13995794646443169</v>
      </c>
      <c r="U58" s="352">
        <f t="shared" si="165"/>
        <v>0.15510228556009714</v>
      </c>
      <c r="V58" s="351">
        <f t="shared" si="165"/>
        <v>0.13581228400646683</v>
      </c>
      <c r="W58" s="352"/>
      <c r="X58" s="352"/>
      <c r="Y58" s="352"/>
      <c r="Z58" s="352"/>
      <c r="AA58" s="351"/>
      <c r="AB58" s="352"/>
      <c r="AC58" s="352"/>
      <c r="AD58" s="352"/>
      <c r="AE58" s="352"/>
      <c r="AF58" s="351"/>
      <c r="AG58" s="352"/>
      <c r="AH58" s="352"/>
      <c r="AI58" s="352"/>
      <c r="AJ58" s="352"/>
      <c r="AK58" s="351"/>
      <c r="AL58" s="352"/>
      <c r="AM58" s="352"/>
      <c r="AN58" s="352"/>
      <c r="AO58" s="352"/>
      <c r="AP58" s="351"/>
      <c r="AQ58" s="352"/>
      <c r="AR58" s="352"/>
      <c r="AS58" s="352"/>
      <c r="AT58" s="352"/>
      <c r="AU58" s="351"/>
      <c r="AV58" s="352"/>
      <c r="AW58" s="352"/>
      <c r="AX58" s="352"/>
      <c r="AY58" s="352"/>
      <c r="AZ58" s="351"/>
      <c r="BA58" s="352"/>
      <c r="BB58" s="352"/>
      <c r="BC58" s="352"/>
      <c r="BD58" s="352"/>
      <c r="BE58" s="351"/>
      <c r="BF58" s="352"/>
      <c r="BG58" s="352"/>
      <c r="BH58" s="352"/>
      <c r="BI58" s="352"/>
      <c r="BJ58" s="351"/>
      <c r="BK58" s="352"/>
      <c r="BL58" s="352"/>
      <c r="BM58" s="352"/>
      <c r="BN58" s="352"/>
      <c r="BO58" s="351"/>
      <c r="BP58" s="352"/>
      <c r="BQ58" s="352"/>
      <c r="BR58" s="352"/>
      <c r="BS58" s="352"/>
      <c r="BT58" s="351"/>
      <c r="BU58" s="352"/>
      <c r="BV58" s="352"/>
      <c r="BW58" s="352"/>
      <c r="BX58" s="352"/>
      <c r="BY58" s="351"/>
      <c r="BZ58" s="352"/>
      <c r="CA58" s="352"/>
      <c r="CB58" s="352"/>
      <c r="CC58" s="352"/>
      <c r="CD58" s="351"/>
      <c r="CE58" s="352"/>
      <c r="CF58" s="352"/>
      <c r="CG58" s="352"/>
      <c r="CH58" s="352"/>
      <c r="CI58" s="351"/>
      <c r="CJ58" s="352"/>
      <c r="CK58" s="352"/>
      <c r="CL58" s="352"/>
      <c r="CM58" s="352"/>
      <c r="CN58" s="351"/>
      <c r="CO58" s="352"/>
      <c r="CP58" s="352"/>
      <c r="CQ58" s="352"/>
      <c r="CR58" s="352"/>
      <c r="CS58" s="351"/>
      <c r="CV58"/>
      <c r="CW58"/>
      <c r="CX58"/>
      <c r="CY58"/>
      <c r="CZ58"/>
      <c r="DA58"/>
    </row>
    <row r="59" spans="2:105" s="317" customFormat="1" ht="15" hidden="1" customHeight="1">
      <c r="B59" s="480" t="s">
        <v>352</v>
      </c>
      <c r="C59" s="331"/>
      <c r="D59" s="331"/>
      <c r="E59" s="331"/>
      <c r="F59" s="331"/>
      <c r="G59" s="339"/>
      <c r="H59" s="338">
        <v>0</v>
      </c>
      <c r="I59" s="338">
        <v>0</v>
      </c>
      <c r="J59" s="338">
        <v>0</v>
      </c>
      <c r="K59" s="338">
        <v>0</v>
      </c>
      <c r="L59" s="339">
        <v>0</v>
      </c>
      <c r="M59" s="338">
        <v>0</v>
      </c>
      <c r="N59" s="338">
        <v>0</v>
      </c>
      <c r="O59" s="338">
        <v>0</v>
      </c>
      <c r="P59" s="338">
        <v>0</v>
      </c>
      <c r="Q59" s="339">
        <v>0</v>
      </c>
      <c r="R59" s="338"/>
      <c r="S59" s="338"/>
      <c r="T59" s="338"/>
      <c r="U59" s="338"/>
      <c r="V59" s="339">
        <v>0</v>
      </c>
      <c r="W59" s="338"/>
      <c r="X59" s="338"/>
      <c r="Y59" s="338"/>
      <c r="Z59" s="338"/>
      <c r="AA59" s="339"/>
      <c r="AB59" s="338"/>
      <c r="AC59" s="338"/>
      <c r="AD59" s="338"/>
      <c r="AE59" s="338"/>
      <c r="AF59" s="339"/>
      <c r="AG59" s="338"/>
      <c r="AH59" s="338"/>
      <c r="AI59" s="338"/>
      <c r="AJ59" s="338"/>
      <c r="AK59" s="339"/>
      <c r="AL59" s="339"/>
      <c r="AM59" s="339"/>
      <c r="AN59" s="339"/>
      <c r="AO59" s="339"/>
      <c r="AP59" s="339"/>
      <c r="AQ59" s="339"/>
      <c r="AR59" s="339"/>
      <c r="AS59" s="339"/>
      <c r="AT59" s="339"/>
      <c r="AU59" s="339"/>
      <c r="AV59" s="339"/>
      <c r="AW59" s="339"/>
      <c r="AX59" s="339"/>
      <c r="AY59" s="339"/>
      <c r="AZ59" s="339"/>
      <c r="BA59" s="339"/>
      <c r="BB59" s="339"/>
      <c r="BC59" s="339"/>
      <c r="BD59" s="339"/>
      <c r="BE59" s="339"/>
      <c r="BF59" s="339"/>
      <c r="BG59" s="339"/>
      <c r="BH59" s="339"/>
      <c r="BI59" s="339"/>
      <c r="BJ59" s="339"/>
      <c r="BK59" s="339"/>
      <c r="BL59" s="339"/>
      <c r="BM59" s="339"/>
      <c r="BN59" s="339"/>
      <c r="BO59" s="339"/>
      <c r="BP59" s="339"/>
      <c r="BQ59" s="339"/>
      <c r="BR59" s="339"/>
      <c r="BS59" s="339"/>
      <c r="BT59" s="339"/>
      <c r="BU59" s="339"/>
      <c r="BV59" s="339"/>
      <c r="BW59" s="339"/>
      <c r="BX59" s="339"/>
      <c r="BY59" s="339"/>
      <c r="BZ59" s="339"/>
      <c r="CA59" s="339"/>
      <c r="CB59" s="339"/>
      <c r="CC59" s="339"/>
      <c r="CD59" s="339"/>
      <c r="CE59" s="339"/>
      <c r="CF59" s="339"/>
      <c r="CG59" s="339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V59"/>
      <c r="CW59"/>
      <c r="CX59"/>
      <c r="CY59"/>
      <c r="CZ59"/>
      <c r="DA59"/>
    </row>
    <row r="60" spans="2:105" s="317" customFormat="1" ht="15" customHeight="1">
      <c r="B60" s="480" t="s">
        <v>25</v>
      </c>
      <c r="C60" s="331"/>
      <c r="D60" s="331"/>
      <c r="E60" s="331"/>
      <c r="F60" s="331"/>
      <c r="G60" s="339"/>
      <c r="H60" s="338">
        <f>H54-H57-H59</f>
        <v>-3.2273160901086646</v>
      </c>
      <c r="I60" s="338">
        <f>I54-I57-I59</f>
        <v>-3.6716595092522017</v>
      </c>
      <c r="J60" s="338">
        <f>J54-J57-J59</f>
        <v>-9.3206152268649056</v>
      </c>
      <c r="K60" s="338">
        <f>K54-K57-K59</f>
        <v>-5.9203461189972826</v>
      </c>
      <c r="L60" s="339">
        <f>L42-L57-L59</f>
        <v>-109.928</v>
      </c>
      <c r="M60" s="338">
        <f>M54-M57-M59</f>
        <v>-9.2929886112176554</v>
      </c>
      <c r="N60" s="338">
        <f>N54-N57-N59</f>
        <v>-8.2611828311465683</v>
      </c>
      <c r="O60" s="338">
        <f>O54-O57-O59</f>
        <v>-6.9277119673332637</v>
      </c>
      <c r="P60" s="338">
        <f>P54-P57-P59</f>
        <v>-13.715934430915967</v>
      </c>
      <c r="Q60" s="339">
        <f>Q42-Q57-Q59</f>
        <v>-172.69</v>
      </c>
      <c r="R60" s="338"/>
      <c r="S60" s="338"/>
      <c r="T60" s="338"/>
      <c r="U60" s="338"/>
      <c r="V60" s="339">
        <f>V42-V57-V59</f>
        <v>-335.85599999999999</v>
      </c>
      <c r="W60" s="338">
        <f t="shared" ref="W60:Y60" si="166">W42-W57-W59</f>
        <v>-126.47399999999999</v>
      </c>
      <c r="X60" s="338">
        <f t="shared" si="166"/>
        <v>-105.92899999999999</v>
      </c>
      <c r="Y60" s="338">
        <f t="shared" si="166"/>
        <v>-119.57100000000003</v>
      </c>
      <c r="Z60" s="338">
        <f t="shared" ref="Z60" si="167">Z42-Z57-Z59</f>
        <v>-133.63399999999999</v>
      </c>
      <c r="AA60" s="339">
        <f>AA42-AA57-AA59</f>
        <v>-485.60799999999995</v>
      </c>
      <c r="AB60" s="338">
        <f t="shared" ref="AB60:CM60" si="168">AB42-AB57-AB59</f>
        <v>-107.28999999999999</v>
      </c>
      <c r="AC60" s="338">
        <f t="shared" si="168"/>
        <v>-118.41999999999999</v>
      </c>
      <c r="AD60" s="338">
        <f t="shared" si="168"/>
        <v>-122.93699999999998</v>
      </c>
      <c r="AE60" s="338">
        <f t="shared" si="168"/>
        <v>-142.227</v>
      </c>
      <c r="AF60" s="339">
        <f t="shared" si="168"/>
        <v>-490.87399999999991</v>
      </c>
      <c r="AG60" s="338">
        <f t="shared" si="168"/>
        <v>-173.2435620625611</v>
      </c>
      <c r="AH60" s="338">
        <f t="shared" si="168"/>
        <v>-184.4001920625611</v>
      </c>
      <c r="AI60" s="338">
        <f t="shared" si="168"/>
        <v>-180.06171499879875</v>
      </c>
      <c r="AJ60" s="338">
        <f t="shared" si="168"/>
        <v>-169.26186087127408</v>
      </c>
      <c r="AK60" s="339">
        <f t="shared" si="168"/>
        <v>-706.96732999519497</v>
      </c>
      <c r="AL60" s="338">
        <f t="shared" si="168"/>
        <v>0</v>
      </c>
      <c r="AM60" s="338">
        <f t="shared" si="168"/>
        <v>0</v>
      </c>
      <c r="AN60" s="338">
        <f t="shared" si="168"/>
        <v>0</v>
      </c>
      <c r="AO60" s="338">
        <f t="shared" si="168"/>
        <v>0</v>
      </c>
      <c r="AP60" s="339">
        <f t="shared" si="168"/>
        <v>-522.96653240076375</v>
      </c>
      <c r="AQ60" s="338">
        <f t="shared" si="168"/>
        <v>0</v>
      </c>
      <c r="AR60" s="338">
        <f t="shared" si="168"/>
        <v>0</v>
      </c>
      <c r="AS60" s="338">
        <f t="shared" si="168"/>
        <v>0</v>
      </c>
      <c r="AT60" s="338">
        <f t="shared" si="168"/>
        <v>0</v>
      </c>
      <c r="AU60" s="339">
        <f t="shared" si="168"/>
        <v>-227.28746192167586</v>
      </c>
      <c r="AV60" s="338">
        <f t="shared" si="168"/>
        <v>0</v>
      </c>
      <c r="AW60" s="338">
        <f t="shared" si="168"/>
        <v>0</v>
      </c>
      <c r="AX60" s="338">
        <f t="shared" si="168"/>
        <v>0</v>
      </c>
      <c r="AY60" s="338">
        <f t="shared" si="168"/>
        <v>0</v>
      </c>
      <c r="AZ60" s="339">
        <f t="shared" si="168"/>
        <v>151.96903365640662</v>
      </c>
      <c r="BA60" s="338">
        <f t="shared" si="168"/>
        <v>0</v>
      </c>
      <c r="BB60" s="338">
        <f t="shared" si="168"/>
        <v>0</v>
      </c>
      <c r="BC60" s="338">
        <f t="shared" si="168"/>
        <v>0</v>
      </c>
      <c r="BD60" s="338">
        <f t="shared" si="168"/>
        <v>0</v>
      </c>
      <c r="BE60" s="339">
        <f t="shared" si="168"/>
        <v>524.47303188593105</v>
      </c>
      <c r="BF60" s="338">
        <f t="shared" si="168"/>
        <v>0</v>
      </c>
      <c r="BG60" s="338">
        <f t="shared" si="168"/>
        <v>0</v>
      </c>
      <c r="BH60" s="338">
        <f t="shared" si="168"/>
        <v>0</v>
      </c>
      <c r="BI60" s="338">
        <f t="shared" si="168"/>
        <v>0</v>
      </c>
      <c r="BJ60" s="339">
        <f t="shared" si="168"/>
        <v>868.15370395860816</v>
      </c>
      <c r="BK60" s="338">
        <f t="shared" si="168"/>
        <v>0</v>
      </c>
      <c r="BL60" s="338">
        <f t="shared" si="168"/>
        <v>0</v>
      </c>
      <c r="BM60" s="338">
        <f t="shared" si="168"/>
        <v>0</v>
      </c>
      <c r="BN60" s="338">
        <f t="shared" si="168"/>
        <v>0</v>
      </c>
      <c r="BO60" s="339">
        <f t="shared" si="168"/>
        <v>1000.0581739200458</v>
      </c>
      <c r="BP60" s="338">
        <f t="shared" si="168"/>
        <v>0</v>
      </c>
      <c r="BQ60" s="338">
        <f t="shared" si="168"/>
        <v>0</v>
      </c>
      <c r="BR60" s="338">
        <f t="shared" si="168"/>
        <v>0</v>
      </c>
      <c r="BS60" s="338">
        <f t="shared" si="168"/>
        <v>0</v>
      </c>
      <c r="BT60" s="339">
        <f t="shared" si="168"/>
        <v>874.77849927257034</v>
      </c>
      <c r="BU60" s="338">
        <f t="shared" si="168"/>
        <v>0</v>
      </c>
      <c r="BV60" s="338">
        <f t="shared" si="168"/>
        <v>0</v>
      </c>
      <c r="BW60" s="338">
        <f t="shared" si="168"/>
        <v>0</v>
      </c>
      <c r="BX60" s="338">
        <f t="shared" si="168"/>
        <v>0</v>
      </c>
      <c r="BY60" s="339">
        <f t="shared" si="168"/>
        <v>1045.1121741895388</v>
      </c>
      <c r="BZ60" s="338">
        <f t="shared" si="168"/>
        <v>0</v>
      </c>
      <c r="CA60" s="338">
        <f t="shared" si="168"/>
        <v>0</v>
      </c>
      <c r="CB60" s="338">
        <f t="shared" si="168"/>
        <v>0</v>
      </c>
      <c r="CC60" s="338">
        <f t="shared" si="168"/>
        <v>0</v>
      </c>
      <c r="CD60" s="339">
        <f t="shared" si="168"/>
        <v>1200.1048971639843</v>
      </c>
      <c r="CE60" s="338">
        <f t="shared" si="168"/>
        <v>0</v>
      </c>
      <c r="CF60" s="338">
        <f t="shared" si="168"/>
        <v>0</v>
      </c>
      <c r="CG60" s="338">
        <f t="shared" si="168"/>
        <v>0</v>
      </c>
      <c r="CH60" s="338">
        <f t="shared" si="168"/>
        <v>0</v>
      </c>
      <c r="CI60" s="339">
        <f t="shared" si="168"/>
        <v>1340.9781039726954</v>
      </c>
      <c r="CJ60" s="338">
        <f t="shared" si="168"/>
        <v>0</v>
      </c>
      <c r="CK60" s="338">
        <f t="shared" si="168"/>
        <v>0</v>
      </c>
      <c r="CL60" s="338">
        <f t="shared" si="168"/>
        <v>0</v>
      </c>
      <c r="CM60" s="338">
        <f t="shared" si="168"/>
        <v>0</v>
      </c>
      <c r="CN60" s="339">
        <f t="shared" ref="CN60:CS60" si="169">CN42-CN57-CN59</f>
        <v>1468.9438696160946</v>
      </c>
      <c r="CO60" s="338">
        <f t="shared" si="169"/>
        <v>0</v>
      </c>
      <c r="CP60" s="338">
        <f t="shared" si="169"/>
        <v>0</v>
      </c>
      <c r="CQ60" s="338">
        <f t="shared" si="169"/>
        <v>0</v>
      </c>
      <c r="CR60" s="338">
        <f t="shared" si="169"/>
        <v>0</v>
      </c>
      <c r="CS60" s="339">
        <f t="shared" si="169"/>
        <v>1577.914106015688</v>
      </c>
      <c r="CV60"/>
      <c r="CW60"/>
      <c r="CX60"/>
      <c r="CY60"/>
      <c r="CZ60"/>
      <c r="DA60"/>
    </row>
    <row r="61" spans="2:105" s="317" customFormat="1" ht="15" customHeight="1">
      <c r="B61" s="480" t="s">
        <v>560</v>
      </c>
      <c r="C61" s="331"/>
      <c r="D61" s="331"/>
      <c r="E61" s="331"/>
      <c r="F61" s="331"/>
      <c r="G61" s="339"/>
      <c r="H61" s="354">
        <f>+H60/H64</f>
        <v>-0.62557008918562995</v>
      </c>
      <c r="I61" s="354">
        <f>+I60/I64</f>
        <v>-0.50234772325245614</v>
      </c>
      <c r="J61" s="354">
        <f>+J60/J64</f>
        <v>9.6887892171152874</v>
      </c>
      <c r="K61" s="354">
        <f>+K60/K64</f>
        <v>0.79457067762679945</v>
      </c>
      <c r="L61" s="355">
        <f>+L60/L48</f>
        <v>-1.7859661094052086</v>
      </c>
      <c r="M61" s="354">
        <f>+M60/M64</f>
        <v>-1.7491038229282243</v>
      </c>
      <c r="N61" s="354">
        <f>+N60/N64</f>
        <v>2.7112513393982827</v>
      </c>
      <c r="O61" s="354">
        <f>+O60/O64</f>
        <v>1.1119922901016475</v>
      </c>
      <c r="P61" s="354">
        <f>+P60/P64</f>
        <v>-0.39086758516189241</v>
      </c>
      <c r="Q61" s="355">
        <f>+Q60/Q48</f>
        <v>-2.3249145103529978</v>
      </c>
      <c r="R61" s="354"/>
      <c r="S61" s="354"/>
      <c r="T61" s="354"/>
      <c r="U61" s="354"/>
      <c r="V61" s="355">
        <f>+V60/V48</f>
        <v>-3.9986665396704444</v>
      </c>
      <c r="W61" s="354">
        <f t="shared" ref="W61:Z61" si="170">+W60/W48</f>
        <v>-1.4830962627672173</v>
      </c>
      <c r="X61" s="354">
        <f t="shared" si="170"/>
        <v>-1.238283944122976</v>
      </c>
      <c r="Y61" s="354">
        <f t="shared" si="170"/>
        <v>-1.3949671006579873</v>
      </c>
      <c r="Z61" s="354">
        <f t="shared" si="170"/>
        <v>-1.5567256503151099</v>
      </c>
      <c r="AA61" s="355">
        <f>+AA60/AA48</f>
        <v>-5.6732557596149347</v>
      </c>
      <c r="AB61" s="354">
        <f>+AB60/AB48</f>
        <v>-1.2471665872342403</v>
      </c>
      <c r="AC61" s="354">
        <f t="shared" ref="AC61:AJ61" si="171">+AC60/AC48</f>
        <v>-1.3441848850144156</v>
      </c>
      <c r="AD61" s="354">
        <f t="shared" si="171"/>
        <v>-1.3387746656793134</v>
      </c>
      <c r="AE61" s="354">
        <f t="shared" si="171"/>
        <v>-1.4793892176952121</v>
      </c>
      <c r="AF61" s="355">
        <f>+AF60/AF48</f>
        <v>-5.4226439689360708</v>
      </c>
      <c r="AG61" s="354">
        <f t="shared" si="171"/>
        <v>-1.7362727834770955</v>
      </c>
      <c r="AH61" s="354">
        <f t="shared" si="171"/>
        <v>-1.8462399511568033</v>
      </c>
      <c r="AI61" s="354">
        <f t="shared" si="171"/>
        <v>-1.8010015237133923</v>
      </c>
      <c r="AJ61" s="354">
        <f t="shared" si="171"/>
        <v>-1.691288639590919</v>
      </c>
      <c r="AK61" s="355">
        <f>+AK60/AK48</f>
        <v>-7.0747127378261414</v>
      </c>
      <c r="AL61" s="354"/>
      <c r="AM61" s="354"/>
      <c r="AN61" s="354"/>
      <c r="AO61" s="354"/>
      <c r="AP61" s="355">
        <f>+AP60/AP48</f>
        <v>-5.2073563768316733</v>
      </c>
      <c r="AQ61" s="354"/>
      <c r="AR61" s="354"/>
      <c r="AS61" s="354"/>
      <c r="AT61" s="354"/>
      <c r="AU61" s="355">
        <f>+AU60/AU48</f>
        <v>-2.2519192895478275</v>
      </c>
      <c r="AV61" s="354"/>
      <c r="AW61" s="354"/>
      <c r="AX61" s="354"/>
      <c r="AY61" s="354"/>
      <c r="AZ61" s="355">
        <f>+AZ60/AZ48</f>
        <v>1.4981882344907256</v>
      </c>
      <c r="BA61" s="354"/>
      <c r="BB61" s="354"/>
      <c r="BC61" s="354"/>
      <c r="BD61" s="354"/>
      <c r="BE61" s="355">
        <f>+BE60/BE48</f>
        <v>5.1447986243722958</v>
      </c>
      <c r="BF61" s="354"/>
      <c r="BG61" s="354"/>
      <c r="BH61" s="354"/>
      <c r="BI61" s="354"/>
      <c r="BJ61" s="355">
        <f>+BJ60/BJ48</f>
        <v>8.4737525823728355</v>
      </c>
      <c r="BK61" s="354"/>
      <c r="BL61" s="354"/>
      <c r="BM61" s="354"/>
      <c r="BN61" s="354"/>
      <c r="BO61" s="355">
        <f>+BO60/BO48</f>
        <v>9.7126638633092703</v>
      </c>
      <c r="BP61" s="354"/>
      <c r="BQ61" s="354"/>
      <c r="BR61" s="354"/>
      <c r="BS61" s="354"/>
      <c r="BT61" s="355">
        <f>+BT60/BT48</f>
        <v>8.4536669417165413</v>
      </c>
      <c r="BU61" s="354"/>
      <c r="BV61" s="354"/>
      <c r="BW61" s="354"/>
      <c r="BX61" s="354"/>
      <c r="BY61" s="355">
        <f>+BY60/BY48</f>
        <v>10.049486664712058</v>
      </c>
      <c r="BZ61" s="354"/>
      <c r="CA61" s="354"/>
      <c r="CB61" s="354"/>
      <c r="CC61" s="354"/>
      <c r="CD61" s="355">
        <f>+CD60/CD48</f>
        <v>11.482438226986641</v>
      </c>
      <c r="CE61" s="354"/>
      <c r="CF61" s="354"/>
      <c r="CG61" s="354"/>
      <c r="CH61" s="354"/>
      <c r="CI61" s="355">
        <f>+CI60/CI48</f>
        <v>12.766461344271203</v>
      </c>
      <c r="CJ61" s="354"/>
      <c r="CK61" s="354"/>
      <c r="CL61" s="354"/>
      <c r="CM61" s="354"/>
      <c r="CN61" s="355">
        <f>+CN60/CN48</f>
        <v>13.91515304785689</v>
      </c>
      <c r="CO61" s="354"/>
      <c r="CP61" s="354"/>
      <c r="CQ61" s="354"/>
      <c r="CR61" s="354"/>
      <c r="CS61" s="355">
        <f>+CS60/CS48</f>
        <v>14.873051546775459</v>
      </c>
      <c r="CV61"/>
      <c r="CW61"/>
      <c r="CX61"/>
      <c r="CY61"/>
      <c r="CZ61"/>
      <c r="DA61"/>
    </row>
    <row r="62" spans="2:105" s="317" customFormat="1" ht="15" customHeight="1">
      <c r="B62" s="349"/>
      <c r="C62" s="352"/>
      <c r="D62" s="352"/>
      <c r="E62" s="352"/>
      <c r="F62" s="352"/>
      <c r="G62" s="351"/>
      <c r="H62" s="352"/>
      <c r="I62" s="352"/>
      <c r="J62" s="352"/>
      <c r="K62" s="352"/>
      <c r="L62" s="351"/>
      <c r="M62" s="352"/>
      <c r="N62" s="352"/>
      <c r="O62" s="352"/>
      <c r="P62" s="352"/>
      <c r="Q62" s="351"/>
      <c r="R62" s="352"/>
      <c r="S62" s="352"/>
      <c r="T62" s="352"/>
      <c r="U62" s="352"/>
      <c r="V62" s="351"/>
      <c r="W62" s="352"/>
      <c r="X62" s="352"/>
      <c r="Y62" s="352"/>
      <c r="Z62" s="352"/>
      <c r="AA62" s="351"/>
      <c r="AB62" s="352"/>
      <c r="AC62" s="352"/>
      <c r="AD62" s="352"/>
      <c r="AE62" s="352"/>
      <c r="AF62" s="351"/>
      <c r="AG62" s="352"/>
      <c r="AH62" s="352"/>
      <c r="AI62" s="352"/>
      <c r="AJ62" s="352"/>
      <c r="AK62" s="351"/>
      <c r="AL62" s="352"/>
      <c r="AM62" s="352"/>
      <c r="AN62" s="352"/>
      <c r="AO62" s="352"/>
      <c r="AP62" s="351"/>
      <c r="AQ62" s="352"/>
      <c r="AR62" s="352"/>
      <c r="AS62" s="352"/>
      <c r="AT62" s="352"/>
      <c r="AU62" s="351"/>
      <c r="AV62" s="352"/>
      <c r="AW62" s="352"/>
      <c r="AX62" s="352"/>
      <c r="AY62" s="352"/>
      <c r="AZ62" s="351"/>
      <c r="BA62" s="352"/>
      <c r="BB62" s="352"/>
      <c r="BC62" s="352"/>
      <c r="BD62" s="352"/>
      <c r="BE62" s="351"/>
      <c r="BF62" s="352"/>
      <c r="BG62" s="352"/>
      <c r="BH62" s="352"/>
      <c r="BI62" s="352"/>
      <c r="BJ62" s="351"/>
      <c r="BK62" s="352"/>
      <c r="BL62" s="352"/>
      <c r="BM62" s="352"/>
      <c r="BN62" s="352"/>
      <c r="BO62" s="351"/>
      <c r="BP62" s="352"/>
      <c r="BQ62" s="352"/>
      <c r="BR62" s="352"/>
      <c r="BS62" s="352"/>
      <c r="BT62" s="351"/>
      <c r="BU62" s="352"/>
      <c r="BV62" s="352"/>
      <c r="BW62" s="352"/>
      <c r="BX62" s="352"/>
      <c r="BY62" s="351"/>
      <c r="BZ62" s="352"/>
      <c r="CA62" s="352"/>
      <c r="CB62" s="352"/>
      <c r="CC62" s="352"/>
      <c r="CD62" s="351"/>
      <c r="CE62" s="352"/>
      <c r="CF62" s="352"/>
      <c r="CG62" s="352"/>
      <c r="CH62" s="352"/>
      <c r="CI62" s="351"/>
      <c r="CJ62" s="352"/>
      <c r="CK62" s="352"/>
      <c r="CL62" s="352"/>
      <c r="CM62" s="352"/>
      <c r="CN62" s="351"/>
      <c r="CO62" s="352"/>
      <c r="CP62" s="352"/>
      <c r="CQ62" s="352"/>
      <c r="CR62" s="352"/>
      <c r="CS62" s="351"/>
      <c r="CV62"/>
      <c r="CW62"/>
      <c r="CX62"/>
      <c r="CY62"/>
      <c r="CZ62"/>
      <c r="DA62"/>
    </row>
    <row r="63" spans="2:105" s="317" customFormat="1" ht="15" customHeight="1">
      <c r="B63" s="349"/>
      <c r="C63" s="352"/>
      <c r="D63" s="352"/>
      <c r="E63" s="352"/>
      <c r="F63" s="352"/>
      <c r="G63" s="351"/>
      <c r="H63" s="352"/>
      <c r="I63" s="352"/>
      <c r="J63" s="352"/>
      <c r="K63" s="352"/>
      <c r="L63" s="351"/>
      <c r="M63" s="352"/>
      <c r="N63" s="352"/>
      <c r="O63" s="352"/>
      <c r="P63" s="352"/>
      <c r="Q63" s="351"/>
      <c r="R63" s="352"/>
      <c r="S63" s="352"/>
      <c r="T63" s="352"/>
      <c r="U63" s="352"/>
      <c r="V63" s="351"/>
      <c r="W63" s="352"/>
      <c r="X63" s="352"/>
      <c r="Y63" s="352"/>
      <c r="Z63" s="352"/>
      <c r="AA63" s="351"/>
      <c r="AB63" s="352"/>
      <c r="AC63" s="352"/>
      <c r="AD63" s="352"/>
      <c r="AE63" s="352"/>
      <c r="AF63" s="351"/>
      <c r="AG63" s="352"/>
      <c r="AH63" s="352"/>
      <c r="AI63" s="352"/>
      <c r="AJ63" s="352"/>
      <c r="AK63" s="351"/>
      <c r="AL63" s="352"/>
      <c r="AM63" s="352"/>
      <c r="AN63" s="352"/>
      <c r="AO63" s="352"/>
      <c r="AP63" s="351"/>
      <c r="AQ63" s="352"/>
      <c r="AR63" s="352"/>
      <c r="AS63" s="352"/>
      <c r="AT63" s="352"/>
      <c r="AU63" s="351"/>
      <c r="AV63" s="352"/>
      <c r="AW63" s="352"/>
      <c r="AX63" s="352"/>
      <c r="AY63" s="352"/>
      <c r="AZ63" s="351"/>
      <c r="BA63" s="352"/>
      <c r="BB63" s="352"/>
      <c r="BC63" s="352"/>
      <c r="BD63" s="352"/>
      <c r="BE63" s="351"/>
      <c r="BF63" s="352"/>
      <c r="BG63" s="352"/>
      <c r="BH63" s="352"/>
      <c r="BI63" s="352"/>
      <c r="BJ63" s="351"/>
      <c r="BK63" s="352"/>
      <c r="BL63" s="352"/>
      <c r="BM63" s="352"/>
      <c r="BN63" s="352"/>
      <c r="BO63" s="351"/>
      <c r="BP63" s="352"/>
      <c r="BQ63" s="352"/>
      <c r="BR63" s="352"/>
      <c r="BS63" s="352"/>
      <c r="BT63" s="351"/>
      <c r="BU63" s="352"/>
      <c r="BV63" s="352"/>
      <c r="BW63" s="352"/>
      <c r="BX63" s="352"/>
      <c r="BY63" s="351"/>
      <c r="BZ63" s="352"/>
      <c r="CA63" s="352"/>
      <c r="CB63" s="352"/>
      <c r="CC63" s="352"/>
      <c r="CD63" s="351"/>
      <c r="CE63" s="352"/>
      <c r="CF63" s="352"/>
      <c r="CG63" s="352"/>
      <c r="CH63" s="352"/>
      <c r="CI63" s="351"/>
      <c r="CJ63" s="352"/>
      <c r="CK63" s="352"/>
      <c r="CL63" s="352"/>
      <c r="CM63" s="352"/>
      <c r="CN63" s="351"/>
      <c r="CO63" s="352"/>
      <c r="CP63" s="352"/>
      <c r="CQ63" s="352"/>
      <c r="CR63" s="352"/>
      <c r="CS63" s="351"/>
      <c r="CV63"/>
      <c r="CW63"/>
      <c r="CX63"/>
      <c r="CY63"/>
      <c r="CZ63"/>
      <c r="DA63"/>
    </row>
    <row r="64" spans="2:105" ht="15" customHeight="1">
      <c r="B64" s="336" t="s">
        <v>250</v>
      </c>
      <c r="C64" s="356">
        <v>0.128</v>
      </c>
      <c r="D64" s="356">
        <v>-2.5000000000000001E-2</v>
      </c>
      <c r="E64" s="356">
        <v>0.17</v>
      </c>
      <c r="F64" s="356">
        <v>15.554</v>
      </c>
      <c r="G64" s="339">
        <f>SUM(C64:F64)</f>
        <v>15.827</v>
      </c>
      <c r="H64" s="338">
        <v>5.1589999999999998</v>
      </c>
      <c r="I64" s="338">
        <v>7.3090000000000002</v>
      </c>
      <c r="J64" s="338">
        <v>-0.96199999999999997</v>
      </c>
      <c r="K64" s="338">
        <v>-7.4509999999999996</v>
      </c>
      <c r="L64" s="339">
        <f>SUM(H64:K64)</f>
        <v>4.0550000000000006</v>
      </c>
      <c r="M64" s="338">
        <v>5.3129999999999997</v>
      </c>
      <c r="N64" s="338">
        <v>-3.0470000000000002</v>
      </c>
      <c r="O64" s="338">
        <v>-6.23</v>
      </c>
      <c r="P64" s="338">
        <v>35.091000000000001</v>
      </c>
      <c r="Q64" s="339">
        <f>SUM(M64:P64)</f>
        <v>31.126999999999999</v>
      </c>
      <c r="R64" s="338">
        <v>3.6219999999999999</v>
      </c>
      <c r="S64" s="338">
        <v>-33.622999999999998</v>
      </c>
      <c r="T64" s="338">
        <v>-25.981000000000002</v>
      </c>
      <c r="U64" s="338">
        <v>11.587999999999999</v>
      </c>
      <c r="V64" s="313">
        <f>U64+T64+S64+R64</f>
        <v>-44.393999999999998</v>
      </c>
      <c r="W64" s="338">
        <v>-8.2240000000000002</v>
      </c>
      <c r="X64" s="338"/>
      <c r="Y64" s="338"/>
      <c r="Z64" s="338"/>
      <c r="AA64" s="313"/>
      <c r="AB64" s="338">
        <v>-1.9359999999999999</v>
      </c>
      <c r="AC64" s="338"/>
      <c r="AD64" s="338"/>
      <c r="AE64" s="338"/>
      <c r="AF64" s="339"/>
      <c r="AG64" s="338"/>
      <c r="AH64" s="338"/>
      <c r="AI64" s="338"/>
      <c r="AJ64" s="338"/>
      <c r="AK64" s="339"/>
      <c r="AL64" s="338"/>
      <c r="AM64" s="338"/>
      <c r="AN64" s="338"/>
      <c r="AO64" s="338"/>
      <c r="AP64" s="339"/>
      <c r="AQ64" s="338"/>
      <c r="AR64" s="338"/>
      <c r="AS64" s="338"/>
      <c r="AT64" s="338"/>
      <c r="AU64" s="339"/>
      <c r="AV64" s="338"/>
      <c r="AW64" s="338"/>
      <c r="AX64" s="338"/>
      <c r="AY64" s="338"/>
      <c r="AZ64" s="339"/>
      <c r="BA64" s="338"/>
      <c r="BB64" s="338"/>
      <c r="BC64" s="338"/>
      <c r="BD64" s="338"/>
      <c r="BE64" s="339"/>
      <c r="BF64" s="338"/>
      <c r="BG64" s="338"/>
      <c r="BH64" s="338"/>
      <c r="BI64" s="338"/>
      <c r="BJ64" s="339"/>
      <c r="BK64" s="338"/>
      <c r="BL64" s="338"/>
      <c r="BM64" s="338"/>
      <c r="BN64" s="338"/>
      <c r="BO64" s="339"/>
      <c r="BP64" s="338"/>
      <c r="BQ64" s="338"/>
      <c r="BR64" s="338"/>
      <c r="BS64" s="338"/>
      <c r="BT64" s="339"/>
      <c r="BU64" s="338"/>
      <c r="BV64" s="338"/>
      <c r="BW64" s="338"/>
      <c r="BX64" s="338"/>
      <c r="BY64" s="339"/>
      <c r="BZ64" s="338"/>
      <c r="CA64" s="338"/>
      <c r="CB64" s="338"/>
      <c r="CC64" s="338"/>
      <c r="CD64" s="339"/>
      <c r="CE64" s="338"/>
      <c r="CF64" s="338"/>
      <c r="CG64" s="338"/>
      <c r="CH64" s="338"/>
      <c r="CI64" s="339"/>
      <c r="CJ64" s="338"/>
      <c r="CK64" s="338"/>
      <c r="CL64" s="338"/>
      <c r="CM64" s="338"/>
      <c r="CN64" s="339"/>
      <c r="CO64" s="338"/>
      <c r="CP64" s="338"/>
      <c r="CQ64" s="338"/>
      <c r="CR64" s="338"/>
      <c r="CS64" s="339"/>
    </row>
    <row r="65" spans="2:105" ht="15" customHeight="1">
      <c r="B65" s="336" t="s">
        <v>257</v>
      </c>
      <c r="C65" s="356">
        <v>0</v>
      </c>
      <c r="D65" s="356">
        <v>0</v>
      </c>
      <c r="E65" s="356">
        <v>0</v>
      </c>
      <c r="F65" s="356">
        <v>0</v>
      </c>
      <c r="G65" s="339">
        <f>SUM(C65:F65)</f>
        <v>0</v>
      </c>
      <c r="H65" s="338">
        <v>0</v>
      </c>
      <c r="I65" s="338">
        <v>0</v>
      </c>
      <c r="J65" s="338">
        <v>0</v>
      </c>
      <c r="K65" s="338">
        <v>0</v>
      </c>
      <c r="L65" s="339">
        <f>SUM(H65:K65)</f>
        <v>0</v>
      </c>
      <c r="M65" s="338">
        <v>0</v>
      </c>
      <c r="N65" s="338">
        <v>0</v>
      </c>
      <c r="O65" s="338">
        <v>-0.56699999999999995</v>
      </c>
      <c r="P65" s="338">
        <v>-1.514</v>
      </c>
      <c r="Q65" s="339">
        <f>SUM(M65:P65)</f>
        <v>-2.081</v>
      </c>
      <c r="R65" s="338">
        <v>0</v>
      </c>
      <c r="S65" s="338">
        <v>0</v>
      </c>
      <c r="T65" s="338">
        <v>0</v>
      </c>
      <c r="U65" s="338">
        <v>0</v>
      </c>
      <c r="V65" s="313">
        <f>U65+T65+S65+R65</f>
        <v>0</v>
      </c>
      <c r="W65" s="338">
        <v>-5.1559999999999997</v>
      </c>
      <c r="X65" s="338"/>
      <c r="Y65" s="338"/>
      <c r="Z65" s="338"/>
      <c r="AA65" s="313"/>
      <c r="AB65" s="338">
        <v>1.5489999999999999</v>
      </c>
      <c r="AC65" s="338"/>
      <c r="AD65" s="338"/>
      <c r="AE65" s="338"/>
      <c r="AF65" s="339"/>
      <c r="AG65" s="338"/>
      <c r="AH65" s="338"/>
      <c r="AI65" s="338"/>
      <c r="AJ65" s="338"/>
      <c r="AK65" s="339"/>
      <c r="AL65" s="338"/>
      <c r="AM65" s="338"/>
      <c r="AN65" s="338"/>
      <c r="AO65" s="338"/>
      <c r="AP65" s="339"/>
      <c r="AQ65" s="338"/>
      <c r="AR65" s="338"/>
      <c r="AS65" s="338"/>
      <c r="AT65" s="338"/>
      <c r="AU65" s="339"/>
      <c r="AV65" s="338"/>
      <c r="AW65" s="338"/>
      <c r="AX65" s="338"/>
      <c r="AY65" s="338"/>
      <c r="AZ65" s="339"/>
      <c r="BA65" s="338"/>
      <c r="BB65" s="338"/>
      <c r="BC65" s="338"/>
      <c r="BD65" s="338"/>
      <c r="BE65" s="339"/>
      <c r="BF65" s="338"/>
      <c r="BG65" s="338"/>
      <c r="BH65" s="338"/>
      <c r="BI65" s="338"/>
      <c r="BJ65" s="339"/>
      <c r="BK65" s="338"/>
      <c r="BL65" s="338"/>
      <c r="BM65" s="338"/>
      <c r="BN65" s="338"/>
      <c r="BO65" s="339"/>
      <c r="BP65" s="338"/>
      <c r="BQ65" s="338"/>
      <c r="BR65" s="338"/>
      <c r="BS65" s="338"/>
      <c r="BT65" s="339"/>
      <c r="BU65" s="338"/>
      <c r="BV65" s="338"/>
      <c r="BW65" s="338"/>
      <c r="BX65" s="338"/>
      <c r="BY65" s="339"/>
      <c r="BZ65" s="338"/>
      <c r="CA65" s="338"/>
      <c r="CB65" s="338"/>
      <c r="CC65" s="338"/>
      <c r="CD65" s="339"/>
      <c r="CE65" s="338"/>
      <c r="CF65" s="338"/>
      <c r="CG65" s="338"/>
      <c r="CH65" s="338"/>
      <c r="CI65" s="339"/>
      <c r="CJ65" s="338"/>
      <c r="CK65" s="338"/>
      <c r="CL65" s="338"/>
      <c r="CM65" s="338"/>
      <c r="CN65" s="339"/>
      <c r="CO65" s="338"/>
      <c r="CP65" s="338"/>
      <c r="CQ65" s="338"/>
      <c r="CR65" s="338"/>
      <c r="CS65" s="339"/>
    </row>
    <row r="66" spans="2:105" s="336" customFormat="1" ht="15" customHeight="1">
      <c r="B66" s="357" t="s">
        <v>15</v>
      </c>
      <c r="C66" s="344">
        <v>2.0880000000000001</v>
      </c>
      <c r="D66" s="344">
        <v>1.998</v>
      </c>
      <c r="E66" s="344">
        <v>2.2709999999999999</v>
      </c>
      <c r="F66" s="344">
        <v>1.6839999999999999</v>
      </c>
      <c r="G66" s="313">
        <f>SUM(C66:F66)</f>
        <v>8.0410000000000004</v>
      </c>
      <c r="H66" s="312">
        <v>2.0870000000000002</v>
      </c>
      <c r="I66" s="312">
        <v>2.2000000000000002</v>
      </c>
      <c r="J66" s="312">
        <v>6.8049999999999997</v>
      </c>
      <c r="K66" s="312">
        <v>3.2770000000000001</v>
      </c>
      <c r="L66" s="313">
        <f>SUM(H66:K66)</f>
        <v>14.369</v>
      </c>
      <c r="M66" s="312">
        <v>3.681</v>
      </c>
      <c r="N66" s="312">
        <v>2.5569999999999999</v>
      </c>
      <c r="O66" s="312">
        <v>3.7810000000000001</v>
      </c>
      <c r="P66" s="312">
        <v>8.2140000000000004</v>
      </c>
      <c r="Q66" s="313">
        <f>SUM(M66:P66)</f>
        <v>18.233000000000001</v>
      </c>
      <c r="R66" s="312">
        <v>5.3460000000000001</v>
      </c>
      <c r="S66" s="312">
        <v>6.149</v>
      </c>
      <c r="T66" s="312">
        <v>6.3339999999999996</v>
      </c>
      <c r="U66" s="312">
        <v>9.2569999999999997</v>
      </c>
      <c r="V66" s="313">
        <f>U66+T66+S66+R66</f>
        <v>27.085999999999999</v>
      </c>
      <c r="W66" s="312">
        <v>14.4</v>
      </c>
      <c r="X66" s="312">
        <v>9.3000000000000007</v>
      </c>
      <c r="Y66" s="312">
        <v>9.3000000000000007</v>
      </c>
      <c r="Z66" s="312">
        <v>10</v>
      </c>
      <c r="AA66" s="313">
        <f>Z66+Y66+X66+W66</f>
        <v>43</v>
      </c>
      <c r="AB66" s="312">
        <v>8.6999999999999993</v>
      </c>
      <c r="AC66" s="312">
        <v>13.254</v>
      </c>
      <c r="AD66" s="312">
        <v>15.09</v>
      </c>
      <c r="AE66" s="638">
        <v>14.837</v>
      </c>
      <c r="AF66" s="313">
        <f>AE66+AD66+AC66+AB66</f>
        <v>51.881</v>
      </c>
      <c r="AG66" s="312">
        <f>0.25*$AK$66</f>
        <v>19.080577549381839</v>
      </c>
      <c r="AH66" s="312">
        <f>0.25*$AK$66</f>
        <v>19.080577549381839</v>
      </c>
      <c r="AI66" s="312">
        <f>0.25*$AK$66</f>
        <v>19.080577549381839</v>
      </c>
      <c r="AJ66" s="312">
        <f>0.25*$AK$66</f>
        <v>19.080577549381839</v>
      </c>
      <c r="AK66" s="313">
        <f>AF66/AF68*AK68</f>
        <v>76.322310197527358</v>
      </c>
      <c r="AL66" s="312"/>
      <c r="AM66" s="312"/>
      <c r="AN66" s="312"/>
      <c r="AO66" s="312"/>
      <c r="AP66" s="313">
        <f>AK66/AK68*AP68</f>
        <v>85.660211559992604</v>
      </c>
      <c r="AQ66" s="312"/>
      <c r="AR66" s="312"/>
      <c r="AS66" s="312"/>
      <c r="AT66" s="312"/>
      <c r="AU66" s="313">
        <f>AP66/AP68*AU68</f>
        <v>94.526777335418828</v>
      </c>
      <c r="AV66" s="312"/>
      <c r="AW66" s="312"/>
      <c r="AX66" s="312"/>
      <c r="AY66" s="312"/>
      <c r="AZ66" s="313">
        <f>AU66/AU68*AZ68</f>
        <v>100.39840611422098</v>
      </c>
      <c r="BA66" s="312"/>
      <c r="BB66" s="312"/>
      <c r="BC66" s="312"/>
      <c r="BD66" s="312"/>
      <c r="BE66" s="313">
        <f>AZ66/AZ68*BE68</f>
        <v>102.79491630366164</v>
      </c>
      <c r="BF66" s="312"/>
      <c r="BG66" s="312"/>
      <c r="BH66" s="312"/>
      <c r="BI66" s="312"/>
      <c r="BJ66" s="313">
        <f>BE66/BE68*BJ68</f>
        <v>104.73529659336788</v>
      </c>
      <c r="BK66" s="312"/>
      <c r="BL66" s="312"/>
      <c r="BM66" s="312"/>
      <c r="BN66" s="312"/>
      <c r="BO66" s="313">
        <f>BJ66/BJ68*BO68</f>
        <v>107.51620454635693</v>
      </c>
      <c r="BP66" s="312"/>
      <c r="BQ66" s="312"/>
      <c r="BR66" s="312"/>
      <c r="BS66" s="312"/>
      <c r="BT66" s="313">
        <f>BO66/BO68*BT68</f>
        <v>109.37055134764834</v>
      </c>
      <c r="BU66" s="312"/>
      <c r="BV66" s="312"/>
      <c r="BW66" s="312"/>
      <c r="BX66" s="312"/>
      <c r="BY66" s="313">
        <f>BT66/BT68*BY68</f>
        <v>110.29073302158932</v>
      </c>
      <c r="BZ66" s="312"/>
      <c r="CA66" s="312"/>
      <c r="CB66" s="312"/>
      <c r="CC66" s="312"/>
      <c r="CD66" s="313">
        <f>BY66/BY68*CD68</f>
        <v>110.56638620831657</v>
      </c>
      <c r="CE66" s="312"/>
      <c r="CF66" s="312"/>
      <c r="CG66" s="312"/>
      <c r="CH66" s="312"/>
      <c r="CI66" s="313">
        <f>CD66/CD68*CI68</f>
        <v>110.22138454239465</v>
      </c>
      <c r="CJ66" s="312"/>
      <c r="CK66" s="312"/>
      <c r="CL66" s="312"/>
      <c r="CM66" s="312"/>
      <c r="CN66" s="313">
        <f>CI66/CI68*CN68</f>
        <v>109.28858863113666</v>
      </c>
      <c r="CO66" s="312"/>
      <c r="CP66" s="312"/>
      <c r="CQ66" s="312"/>
      <c r="CR66" s="312"/>
      <c r="CS66" s="313">
        <f>CN66/CN68*CS68</f>
        <v>107.79865926829525</v>
      </c>
      <c r="CV66"/>
      <c r="CW66"/>
      <c r="CX66"/>
      <c r="CY66"/>
      <c r="CZ66"/>
      <c r="DA66"/>
    </row>
    <row r="67" spans="2:105" s="336" customFormat="1" ht="15" customHeight="1">
      <c r="B67" s="357" t="s">
        <v>249</v>
      </c>
      <c r="C67" s="344">
        <v>1.0680000000000001</v>
      </c>
      <c r="D67" s="344">
        <v>1.0980000000000001</v>
      </c>
      <c r="E67" s="344">
        <v>1.115</v>
      </c>
      <c r="F67" s="344">
        <v>1.038</v>
      </c>
      <c r="G67" s="313">
        <f>SUM(C67:F67)</f>
        <v>4.3190000000000008</v>
      </c>
      <c r="H67" s="312">
        <v>0.98799999999999999</v>
      </c>
      <c r="I67" s="312">
        <v>1.177</v>
      </c>
      <c r="J67" s="312">
        <v>2.04</v>
      </c>
      <c r="K67" s="312">
        <v>2.129</v>
      </c>
      <c r="L67" s="313">
        <f>SUM(H67:K67)</f>
        <v>6.3339999999999996</v>
      </c>
      <c r="M67" s="312">
        <v>1.91</v>
      </c>
      <c r="N67" s="312">
        <v>5.1230000000000002</v>
      </c>
      <c r="O67" s="312">
        <v>2.5710000000000002</v>
      </c>
      <c r="P67" s="312">
        <v>5.2240000000000002</v>
      </c>
      <c r="Q67" s="313">
        <f>SUM(M67:P67)</f>
        <v>14.828000000000001</v>
      </c>
      <c r="R67" s="312">
        <v>2.89</v>
      </c>
      <c r="S67" s="312">
        <v>4.03</v>
      </c>
      <c r="T67" s="312">
        <v>5.5140000000000002</v>
      </c>
      <c r="U67" s="312">
        <v>6.2629999999999999</v>
      </c>
      <c r="V67" s="313">
        <f>U67+T67+S67+R67</f>
        <v>18.697000000000003</v>
      </c>
      <c r="W67" s="312">
        <v>9.1</v>
      </c>
      <c r="X67" s="312">
        <v>6.5</v>
      </c>
      <c r="Y67" s="312">
        <v>6.2</v>
      </c>
      <c r="Z67" s="312">
        <v>10.7</v>
      </c>
      <c r="AA67" s="313">
        <f>Z67+Y67+X67+W67</f>
        <v>32.5</v>
      </c>
      <c r="AB67" s="312">
        <v>7</v>
      </c>
      <c r="AC67" s="312">
        <v>10.776</v>
      </c>
      <c r="AD67" s="312">
        <v>10.865</v>
      </c>
      <c r="AE67" s="638">
        <v>12.28</v>
      </c>
      <c r="AF67" s="313">
        <f>AE67+AD67+AC67+AB67</f>
        <v>40.920999999999999</v>
      </c>
      <c r="AG67" s="312">
        <f>0.25*$AK$67</f>
        <v>15.049754513179277</v>
      </c>
      <c r="AH67" s="312">
        <f>0.25*$AK$67</f>
        <v>15.049754513179277</v>
      </c>
      <c r="AI67" s="312">
        <f>0.25*$AK$67</f>
        <v>15.049754513179277</v>
      </c>
      <c r="AJ67" s="312">
        <f>0.25*$AK$67</f>
        <v>15.049754513179277</v>
      </c>
      <c r="AK67" s="313">
        <f>AK68-AK66</f>
        <v>60.199018052717108</v>
      </c>
      <c r="AL67" s="312"/>
      <c r="AM67" s="312"/>
      <c r="AN67" s="312"/>
      <c r="AO67" s="312"/>
      <c r="AP67" s="313">
        <f>AP68-AP66</f>
        <v>67.564262779176488</v>
      </c>
      <c r="AQ67" s="312"/>
      <c r="AR67" s="312"/>
      <c r="AS67" s="312"/>
      <c r="AT67" s="312"/>
      <c r="AU67" s="313">
        <f>AU68-AU66</f>
        <v>74.557742821893797</v>
      </c>
      <c r="AV67" s="312"/>
      <c r="AW67" s="312"/>
      <c r="AX67" s="312"/>
      <c r="AY67" s="312"/>
      <c r="AZ67" s="313">
        <f>AZ68-AZ66</f>
        <v>79.188974318151836</v>
      </c>
      <c r="BA67" s="312"/>
      <c r="BB67" s="312"/>
      <c r="BC67" s="312"/>
      <c r="BD67" s="312"/>
      <c r="BE67" s="313">
        <f>BE68-BE66</f>
        <v>81.079215320871526</v>
      </c>
      <c r="BF67" s="312"/>
      <c r="BG67" s="312"/>
      <c r="BH67" s="312"/>
      <c r="BI67" s="312"/>
      <c r="BJ67" s="313">
        <f>BJ68-BJ66</f>
        <v>82.609685085044731</v>
      </c>
      <c r="BK67" s="312"/>
      <c r="BL67" s="312"/>
      <c r="BM67" s="312"/>
      <c r="BN67" s="312"/>
      <c r="BO67" s="313">
        <f>BO68-BO66</f>
        <v>84.803118795733894</v>
      </c>
      <c r="BP67" s="312"/>
      <c r="BQ67" s="312"/>
      <c r="BR67" s="312"/>
      <c r="BS67" s="312"/>
      <c r="BT67" s="313">
        <f>BT68-BT66</f>
        <v>86.265729876006944</v>
      </c>
      <c r="BU67" s="312"/>
      <c r="BV67" s="312"/>
      <c r="BW67" s="312"/>
      <c r="BX67" s="312"/>
      <c r="BY67" s="313">
        <f>BY68-BY66</f>
        <v>86.991520710403705</v>
      </c>
      <c r="BZ67" s="312"/>
      <c r="CA67" s="312"/>
      <c r="CB67" s="312"/>
      <c r="CC67" s="312"/>
      <c r="CD67" s="313">
        <f>CD68-CD66</f>
        <v>87.208941424230858</v>
      </c>
      <c r="CE67" s="312"/>
      <c r="CF67" s="312"/>
      <c r="CG67" s="312"/>
      <c r="CH67" s="312"/>
      <c r="CI67" s="313">
        <f>CI68-CI66</f>
        <v>86.936822282903762</v>
      </c>
      <c r="CJ67" s="312"/>
      <c r="CK67" s="312"/>
      <c r="CL67" s="312"/>
      <c r="CM67" s="312"/>
      <c r="CN67" s="313">
        <f>CN68-CN66</f>
        <v>86.201082002558564</v>
      </c>
      <c r="CO67" s="312"/>
      <c r="CP67" s="312"/>
      <c r="CQ67" s="312"/>
      <c r="CR67" s="312"/>
      <c r="CS67" s="313">
        <f>CS68-CS66</f>
        <v>85.025904202268819</v>
      </c>
      <c r="CV67"/>
      <c r="CW67"/>
      <c r="CX67"/>
      <c r="CY67"/>
      <c r="CZ67"/>
      <c r="DA67"/>
    </row>
    <row r="68" spans="2:105" ht="15" customHeight="1">
      <c r="B68" s="336" t="s">
        <v>21</v>
      </c>
      <c r="C68" s="356">
        <f>SUM(C66:C67)</f>
        <v>3.1560000000000001</v>
      </c>
      <c r="D68" s="356">
        <f t="shared" ref="D68:Q68" si="172">SUM(D66:D67)</f>
        <v>3.0960000000000001</v>
      </c>
      <c r="E68" s="356">
        <f t="shared" ref="E68" si="173">SUM(E66:E67)</f>
        <v>3.3860000000000001</v>
      </c>
      <c r="F68" s="356">
        <f t="shared" ref="F68" si="174">SUM(F66:F67)</f>
        <v>2.722</v>
      </c>
      <c r="G68" s="339">
        <f t="shared" ref="G68" si="175">SUM(G66:G67)</f>
        <v>12.360000000000001</v>
      </c>
      <c r="H68" s="338">
        <f>SUM(H66:H67)</f>
        <v>3.0750000000000002</v>
      </c>
      <c r="I68" s="338">
        <f t="shared" si="172"/>
        <v>3.3770000000000002</v>
      </c>
      <c r="J68" s="338">
        <f t="shared" si="172"/>
        <v>8.8449999999999989</v>
      </c>
      <c r="K68" s="338">
        <f t="shared" si="172"/>
        <v>5.4060000000000006</v>
      </c>
      <c r="L68" s="339">
        <f t="shared" si="172"/>
        <v>20.702999999999999</v>
      </c>
      <c r="M68" s="338">
        <f>SUM(M66:M67)</f>
        <v>5.5910000000000002</v>
      </c>
      <c r="N68" s="338">
        <f t="shared" si="172"/>
        <v>7.68</v>
      </c>
      <c r="O68" s="338">
        <f t="shared" si="172"/>
        <v>6.3520000000000003</v>
      </c>
      <c r="P68" s="338">
        <f t="shared" si="172"/>
        <v>13.438000000000001</v>
      </c>
      <c r="Q68" s="339">
        <f t="shared" si="172"/>
        <v>33.061</v>
      </c>
      <c r="R68" s="338">
        <f>SUM(R66:R67)</f>
        <v>8.2360000000000007</v>
      </c>
      <c r="S68" s="338">
        <f>SUM(S66:S67)</f>
        <v>10.179</v>
      </c>
      <c r="T68" s="338">
        <f>SUM(T66:T67)</f>
        <v>11.847999999999999</v>
      </c>
      <c r="U68" s="338">
        <f>SUM(U66:U67)</f>
        <v>15.52</v>
      </c>
      <c r="V68" s="313">
        <f>U68+T68+S68+R68</f>
        <v>45.783000000000001</v>
      </c>
      <c r="W68" s="338">
        <f>SUM(W66:W67)</f>
        <v>23.5</v>
      </c>
      <c r="X68" s="338">
        <f>SUM(X66:X67)</f>
        <v>15.8</v>
      </c>
      <c r="Y68" s="338">
        <f>SUM(Y66:Y67)</f>
        <v>15.5</v>
      </c>
      <c r="Z68" s="338">
        <f>SUM(Z66:Z67)</f>
        <v>20.7</v>
      </c>
      <c r="AA68" s="313">
        <f>AA67+AA66</f>
        <v>75.5</v>
      </c>
      <c r="AB68" s="338">
        <f t="shared" ref="AB68:AE68" si="176">SUM(AB66:AB67)</f>
        <v>15.7</v>
      </c>
      <c r="AC68" s="338">
        <f>AC67+AC66</f>
        <v>24.03</v>
      </c>
      <c r="AD68" s="338">
        <f t="shared" si="176"/>
        <v>25.954999999999998</v>
      </c>
      <c r="AE68" s="338">
        <f t="shared" si="176"/>
        <v>27.116999999999997</v>
      </c>
      <c r="AF68" s="339">
        <f>AF67+AF66</f>
        <v>92.801999999999992</v>
      </c>
      <c r="AG68" s="338">
        <f>AG66+AG67</f>
        <v>34.130332062561116</v>
      </c>
      <c r="AH68" s="338">
        <f t="shared" ref="AH68:AJ68" si="177">AH66+AH67</f>
        <v>34.130332062561116</v>
      </c>
      <c r="AI68" s="338">
        <f t="shared" si="177"/>
        <v>34.130332062561116</v>
      </c>
      <c r="AJ68" s="338">
        <f t="shared" si="177"/>
        <v>34.130332062561116</v>
      </c>
      <c r="AK68" s="339">
        <f>AK69*(AK18+AK26+AK31)</f>
        <v>136.52132825024447</v>
      </c>
      <c r="AL68" s="338"/>
      <c r="AM68" s="338"/>
      <c r="AN68" s="338"/>
      <c r="AO68" s="338"/>
      <c r="AP68" s="339">
        <f>AP69*(AP18+AP26+AP31)</f>
        <v>153.22447433916909</v>
      </c>
      <c r="AQ68" s="338"/>
      <c r="AR68" s="338"/>
      <c r="AS68" s="338"/>
      <c r="AT68" s="338"/>
      <c r="AU68" s="339">
        <f>AU69*(AU18+AU26+AU31)</f>
        <v>169.08452015731262</v>
      </c>
      <c r="AV68" s="338"/>
      <c r="AW68" s="338"/>
      <c r="AX68" s="338"/>
      <c r="AY68" s="338"/>
      <c r="AZ68" s="339">
        <f>AZ69*(AZ18+AZ26+AZ31)</f>
        <v>179.58738043237281</v>
      </c>
      <c r="BA68" s="338"/>
      <c r="BB68" s="338"/>
      <c r="BC68" s="338"/>
      <c r="BD68" s="338"/>
      <c r="BE68" s="339">
        <f>BE69*(BE18+BE26+BE31)</f>
        <v>183.87413162453316</v>
      </c>
      <c r="BF68" s="338"/>
      <c r="BG68" s="338"/>
      <c r="BH68" s="338"/>
      <c r="BI68" s="338"/>
      <c r="BJ68" s="339">
        <f>BJ69*(BJ18+BJ26+BJ31)</f>
        <v>187.34498167841261</v>
      </c>
      <c r="BK68" s="338"/>
      <c r="BL68" s="338"/>
      <c r="BM68" s="338"/>
      <c r="BN68" s="338"/>
      <c r="BO68" s="339">
        <f>BO69*(BO18+BO26+BO31)</f>
        <v>192.31932334209083</v>
      </c>
      <c r="BP68" s="338"/>
      <c r="BQ68" s="338"/>
      <c r="BR68" s="338"/>
      <c r="BS68" s="338"/>
      <c r="BT68" s="339">
        <f>BT69*(BT18+BT26+BT31)</f>
        <v>195.63628122365529</v>
      </c>
      <c r="BU68" s="338"/>
      <c r="BV68" s="338"/>
      <c r="BW68" s="338"/>
      <c r="BX68" s="338"/>
      <c r="BY68" s="339">
        <f>BY69*(BY18+BY26+BY31)</f>
        <v>197.28225373199302</v>
      </c>
      <c r="BZ68" s="338"/>
      <c r="CA68" s="338"/>
      <c r="CB68" s="338"/>
      <c r="CC68" s="338"/>
      <c r="CD68" s="339">
        <f>CD69*(CD18+CD26+CD31)</f>
        <v>197.77532763254743</v>
      </c>
      <c r="CE68" s="338"/>
      <c r="CF68" s="338"/>
      <c r="CG68" s="338"/>
      <c r="CH68" s="338"/>
      <c r="CI68" s="339">
        <f>CI69*(CI18+CI26+CI31)</f>
        <v>197.15820682529841</v>
      </c>
      <c r="CJ68" s="338"/>
      <c r="CK68" s="338"/>
      <c r="CL68" s="338"/>
      <c r="CM68" s="338"/>
      <c r="CN68" s="339">
        <f>CN69*(CN18+CN26+CN31)</f>
        <v>195.48967063369523</v>
      </c>
      <c r="CO68" s="338"/>
      <c r="CP68" s="338"/>
      <c r="CQ68" s="338"/>
      <c r="CR68" s="338"/>
      <c r="CS68" s="339">
        <f>CS69*(CS18+CS26+CS31)</f>
        <v>192.82456347056407</v>
      </c>
    </row>
    <row r="69" spans="2:105" s="317" customFormat="1" ht="15" customHeight="1">
      <c r="B69" s="349" t="s">
        <v>22</v>
      </c>
      <c r="C69" s="352">
        <f t="shared" ref="C69:U69" si="178">C68/(C18+C31+C26)</f>
        <v>0.1002541296060991</v>
      </c>
      <c r="D69" s="352">
        <f t="shared" si="178"/>
        <v>9.3957694758884408E-2</v>
      </c>
      <c r="E69" s="352">
        <f t="shared" si="178"/>
        <v>9.7003380507649117E-2</v>
      </c>
      <c r="F69" s="352">
        <f t="shared" si="178"/>
        <v>8.5479211154377593E-2</v>
      </c>
      <c r="G69" s="351">
        <f t="shared" si="178"/>
        <v>9.422096187710112E-2</v>
      </c>
      <c r="H69" s="352">
        <f t="shared" si="178"/>
        <v>0.10809955705547354</v>
      </c>
      <c r="I69" s="352">
        <f t="shared" si="178"/>
        <v>0.11257041901396714</v>
      </c>
      <c r="J69" s="352">
        <f t="shared" si="178"/>
        <v>0.21455427531837473</v>
      </c>
      <c r="K69" s="352">
        <f t="shared" si="178"/>
        <v>0.13368283093053737</v>
      </c>
      <c r="L69" s="351">
        <f t="shared" si="178"/>
        <v>0.14776352696828898</v>
      </c>
      <c r="M69" s="352">
        <f t="shared" si="178"/>
        <v>0.10612531556669133</v>
      </c>
      <c r="N69" s="352">
        <f t="shared" si="178"/>
        <v>0.13667912439935931</v>
      </c>
      <c r="O69" s="352">
        <f t="shared" si="178"/>
        <v>0.11308326360577521</v>
      </c>
      <c r="P69" s="352">
        <f t="shared" si="178"/>
        <v>0.19271199323113108</v>
      </c>
      <c r="Q69" s="351">
        <f t="shared" si="178"/>
        <v>0.14081993397934192</v>
      </c>
      <c r="R69" s="352">
        <f t="shared" si="178"/>
        <v>0.11639508755070027</v>
      </c>
      <c r="S69" s="352">
        <f t="shared" si="178"/>
        <v>0.1246983302502787</v>
      </c>
      <c r="T69" s="352">
        <f t="shared" si="178"/>
        <v>0.13995794646443169</v>
      </c>
      <c r="U69" s="352">
        <f t="shared" si="178"/>
        <v>0.15510228556009714</v>
      </c>
      <c r="V69" s="412">
        <f>V68/(V31+V26+V18)</f>
        <v>0.13581228400646683</v>
      </c>
      <c r="W69" s="352">
        <f t="shared" ref="W69:AJ69" si="179">W68/(W18+W31+W26)</f>
        <v>0.20021640411338215</v>
      </c>
      <c r="X69" s="352">
        <f t="shared" si="179"/>
        <v>0.15618976067379078</v>
      </c>
      <c r="Y69" s="352">
        <f t="shared" si="179"/>
        <v>0.12881564403666676</v>
      </c>
      <c r="Z69" s="352">
        <f t="shared" si="179"/>
        <v>0.15577144491184239</v>
      </c>
      <c r="AA69" s="351">
        <f t="shared" si="179"/>
        <v>0.16004375235826063</v>
      </c>
      <c r="AB69" s="352">
        <f t="shared" si="179"/>
        <v>0.14302502482440718</v>
      </c>
      <c r="AC69" s="352">
        <f t="shared" si="179"/>
        <v>0.21383569445433193</v>
      </c>
      <c r="AD69" s="352">
        <f t="shared" si="179"/>
        <v>0.22194953010492471</v>
      </c>
      <c r="AE69" s="352">
        <f t="shared" si="179"/>
        <v>0.17150717854658146</v>
      </c>
      <c r="AF69" s="412">
        <f t="shared" si="179"/>
        <v>0.1866499865244832</v>
      </c>
      <c r="AG69" s="352">
        <f t="shared" si="179"/>
        <v>0.21484098027316403</v>
      </c>
      <c r="AH69" s="352">
        <f t="shared" si="179"/>
        <v>0.20074320766151152</v>
      </c>
      <c r="AI69" s="352">
        <f t="shared" si="179"/>
        <v>0.18655224591059311</v>
      </c>
      <c r="AJ69" s="352">
        <f t="shared" si="179"/>
        <v>0.1651225263784484</v>
      </c>
      <c r="AK69" s="358">
        <v>0.19</v>
      </c>
      <c r="AL69" s="352"/>
      <c r="AM69" s="352"/>
      <c r="AN69" s="352"/>
      <c r="AO69" s="352"/>
      <c r="AP69" s="358">
        <f>AK69</f>
        <v>0.19</v>
      </c>
      <c r="AQ69" s="352"/>
      <c r="AR69" s="352"/>
      <c r="AS69" s="352"/>
      <c r="AT69" s="352"/>
      <c r="AU69" s="358">
        <f>AP69</f>
        <v>0.19</v>
      </c>
      <c r="AV69" s="352"/>
      <c r="AW69" s="352"/>
      <c r="AX69" s="352"/>
      <c r="AY69" s="352"/>
      <c r="AZ69" s="358">
        <f>AU69</f>
        <v>0.19</v>
      </c>
      <c r="BA69" s="352"/>
      <c r="BB69" s="352"/>
      <c r="BC69" s="352"/>
      <c r="BD69" s="352"/>
      <c r="BE69" s="358">
        <f>AZ69</f>
        <v>0.19</v>
      </c>
      <c r="BF69" s="352"/>
      <c r="BG69" s="352"/>
      <c r="BH69" s="352"/>
      <c r="BI69" s="352"/>
      <c r="BJ69" s="358">
        <f>BE69</f>
        <v>0.19</v>
      </c>
      <c r="BK69" s="352"/>
      <c r="BL69" s="352"/>
      <c r="BM69" s="352"/>
      <c r="BN69" s="352"/>
      <c r="BO69" s="358">
        <f>BJ69</f>
        <v>0.19</v>
      </c>
      <c r="BP69" s="352"/>
      <c r="BQ69" s="352"/>
      <c r="BR69" s="352"/>
      <c r="BS69" s="352"/>
      <c r="BT69" s="358">
        <f>BO69</f>
        <v>0.19</v>
      </c>
      <c r="BU69" s="352"/>
      <c r="BV69" s="352"/>
      <c r="BW69" s="352"/>
      <c r="BX69" s="352"/>
      <c r="BY69" s="358">
        <f>BT69</f>
        <v>0.19</v>
      </c>
      <c r="BZ69" s="352"/>
      <c r="CA69" s="352"/>
      <c r="CB69" s="352"/>
      <c r="CC69" s="352"/>
      <c r="CD69" s="358">
        <f>BY69</f>
        <v>0.19</v>
      </c>
      <c r="CE69" s="352"/>
      <c r="CF69" s="352"/>
      <c r="CG69" s="352"/>
      <c r="CH69" s="352"/>
      <c r="CI69" s="358">
        <f>CD69</f>
        <v>0.19</v>
      </c>
      <c r="CJ69" s="352"/>
      <c r="CK69" s="352"/>
      <c r="CL69" s="352"/>
      <c r="CM69" s="352"/>
      <c r="CN69" s="358">
        <f>CI69</f>
        <v>0.19</v>
      </c>
      <c r="CO69" s="352"/>
      <c r="CP69" s="352"/>
      <c r="CQ69" s="352"/>
      <c r="CR69" s="352"/>
      <c r="CS69" s="358">
        <f>CN69</f>
        <v>0.19</v>
      </c>
      <c r="CV69"/>
      <c r="CW69"/>
      <c r="CX69"/>
      <c r="CY69"/>
      <c r="CZ69"/>
      <c r="DA69"/>
    </row>
    <row r="70" spans="2:105" s="317" customFormat="1" ht="15" customHeight="1">
      <c r="B70" s="349"/>
      <c r="C70" s="352"/>
      <c r="D70" s="352"/>
      <c r="E70" s="352"/>
      <c r="F70" s="352"/>
      <c r="G70" s="351"/>
      <c r="H70" s="352"/>
      <c r="I70" s="352"/>
      <c r="J70" s="352"/>
      <c r="K70" s="352"/>
      <c r="L70" s="351"/>
      <c r="M70" s="352"/>
      <c r="N70" s="352"/>
      <c r="O70" s="352"/>
      <c r="P70" s="352"/>
      <c r="Q70" s="351"/>
      <c r="R70" s="352"/>
      <c r="S70" s="352"/>
      <c r="T70" s="352"/>
      <c r="U70" s="352"/>
      <c r="V70" s="351"/>
      <c r="W70" s="352"/>
      <c r="X70" s="352"/>
      <c r="Y70" s="352"/>
      <c r="Z70" s="352"/>
      <c r="AA70" s="351"/>
      <c r="AB70" s="352"/>
      <c r="AC70" s="352"/>
      <c r="AD70" s="352"/>
      <c r="AE70" s="352"/>
      <c r="AF70" s="351"/>
      <c r="AG70" s="352"/>
      <c r="AH70" s="352"/>
      <c r="AI70" s="352"/>
      <c r="AJ70" s="352"/>
      <c r="AK70" s="351"/>
      <c r="AL70" s="352"/>
      <c r="AM70" s="352"/>
      <c r="AN70" s="352"/>
      <c r="AO70" s="352"/>
      <c r="AP70" s="351"/>
      <c r="AQ70" s="352"/>
      <c r="AR70" s="352"/>
      <c r="AS70" s="352"/>
      <c r="AT70" s="352"/>
      <c r="AU70" s="351"/>
      <c r="AV70" s="352"/>
      <c r="AW70" s="352"/>
      <c r="AX70" s="352"/>
      <c r="AY70" s="352"/>
      <c r="AZ70" s="351"/>
      <c r="BA70" s="352"/>
      <c r="BB70" s="352"/>
      <c r="BC70" s="352"/>
      <c r="BD70" s="352"/>
      <c r="BE70" s="351"/>
      <c r="BF70" s="352"/>
      <c r="BG70" s="352"/>
      <c r="BH70" s="352"/>
      <c r="BI70" s="352"/>
      <c r="BJ70" s="351"/>
      <c r="BK70" s="352"/>
      <c r="BL70" s="352"/>
      <c r="BM70" s="352"/>
      <c r="BN70" s="352"/>
      <c r="BO70" s="351"/>
      <c r="BP70" s="352"/>
      <c r="BQ70" s="352"/>
      <c r="BR70" s="352"/>
      <c r="BS70" s="352"/>
      <c r="BT70" s="351"/>
      <c r="BU70" s="352"/>
      <c r="BV70" s="352"/>
      <c r="BW70" s="352"/>
      <c r="BX70" s="352"/>
      <c r="BY70" s="351"/>
      <c r="BZ70" s="352"/>
      <c r="CA70" s="352"/>
      <c r="CB70" s="352"/>
      <c r="CC70" s="352"/>
      <c r="CD70" s="351"/>
      <c r="CE70" s="352"/>
      <c r="CF70" s="352"/>
      <c r="CG70" s="352"/>
      <c r="CH70" s="352"/>
      <c r="CI70" s="351"/>
      <c r="CJ70" s="352"/>
      <c r="CK70" s="352"/>
      <c r="CL70" s="352"/>
      <c r="CM70" s="352"/>
      <c r="CN70" s="351"/>
      <c r="CO70" s="352"/>
      <c r="CP70" s="352"/>
      <c r="CQ70" s="352"/>
      <c r="CR70" s="352"/>
      <c r="CS70" s="351"/>
      <c r="CV70"/>
      <c r="CW70"/>
      <c r="CX70"/>
      <c r="CY70"/>
      <c r="CZ70"/>
      <c r="DA70"/>
    </row>
    <row r="71" spans="2:105" s="317" customFormat="1" ht="15" customHeight="1">
      <c r="B71" s="357" t="s">
        <v>282</v>
      </c>
      <c r="C71" s="344"/>
      <c r="D71" s="344"/>
      <c r="E71" s="344"/>
      <c r="F71" s="344"/>
      <c r="G71" s="313"/>
      <c r="H71" s="312"/>
      <c r="I71" s="312"/>
      <c r="J71" s="312"/>
      <c r="K71" s="312"/>
      <c r="L71" s="313">
        <f>CF!D8</f>
        <v>10.228999999999999</v>
      </c>
      <c r="M71" s="312"/>
      <c r="N71" s="312"/>
      <c r="O71" s="312"/>
      <c r="P71" s="312"/>
      <c r="Q71" s="313">
        <f>CF!E8</f>
        <v>11.926</v>
      </c>
      <c r="R71" s="312"/>
      <c r="S71" s="312"/>
      <c r="T71" s="312"/>
      <c r="U71" s="312"/>
      <c r="V71" s="313">
        <f>CF!F8</f>
        <v>19.05</v>
      </c>
      <c r="W71" s="312"/>
      <c r="X71" s="312"/>
      <c r="Y71" s="312"/>
      <c r="Z71" s="312"/>
      <c r="AA71" s="313">
        <f>CF!G8</f>
        <v>15.13</v>
      </c>
      <c r="AB71" s="312">
        <f>AF71*0.25</f>
        <v>3.3417500000000002</v>
      </c>
      <c r="AC71" s="312">
        <f>AF71*0.25</f>
        <v>3.3417500000000002</v>
      </c>
      <c r="AD71" s="312">
        <f>AF71*0.25</f>
        <v>3.3417500000000002</v>
      </c>
      <c r="AE71" s="312">
        <f>AF71*0.25</f>
        <v>3.3417500000000002</v>
      </c>
      <c r="AF71" s="313">
        <f>CF!H8</f>
        <v>13.367000000000001</v>
      </c>
      <c r="AG71" s="312">
        <f>$AK$71*0.25</f>
        <v>7.7390551005366772</v>
      </c>
      <c r="AH71" s="312">
        <f>$AK$71*0.25</f>
        <v>7.7390551005366772</v>
      </c>
      <c r="AI71" s="312">
        <f>$AK$71*0.25</f>
        <v>7.7390551005366772</v>
      </c>
      <c r="AJ71" s="312">
        <f>$AK$71*0.25</f>
        <v>7.7390551005366772</v>
      </c>
      <c r="AK71" s="313">
        <f>CF!I8</f>
        <v>30.956220402146709</v>
      </c>
      <c r="AL71" s="312"/>
      <c r="AM71" s="312"/>
      <c r="AN71" s="312"/>
      <c r="AO71" s="312"/>
      <c r="AP71" s="313">
        <f>CF!J8</f>
        <v>39.998804226991403</v>
      </c>
      <c r="AQ71" s="312"/>
      <c r="AR71" s="312"/>
      <c r="AS71" s="312"/>
      <c r="AT71" s="312"/>
      <c r="AU71" s="313">
        <f>CF!K8</f>
        <v>50.267776116733181</v>
      </c>
      <c r="AV71" s="312"/>
      <c r="AW71" s="312"/>
      <c r="AX71" s="312"/>
      <c r="AY71" s="312"/>
      <c r="AZ71" s="313">
        <f>CF!L8</f>
        <v>61.042621697989887</v>
      </c>
      <c r="BA71" s="312"/>
      <c r="BB71" s="312"/>
      <c r="BC71" s="312"/>
      <c r="BD71" s="312"/>
      <c r="BE71" s="313">
        <f>CF!M8</f>
        <v>71.544569774281683</v>
      </c>
      <c r="BF71" s="312"/>
      <c r="BG71" s="312"/>
      <c r="BH71" s="312"/>
      <c r="BI71" s="312"/>
      <c r="BJ71" s="313">
        <f>CF!N8</f>
        <v>82.02067459831774</v>
      </c>
      <c r="BK71" s="312"/>
      <c r="BL71" s="312"/>
      <c r="BM71" s="312"/>
      <c r="BN71" s="312"/>
      <c r="BO71" s="313">
        <f>CF!O8</f>
        <v>93.138224677496595</v>
      </c>
      <c r="BP71" s="312"/>
      <c r="BQ71" s="312"/>
      <c r="BR71" s="312"/>
      <c r="BS71" s="312"/>
      <c r="BT71" s="313">
        <f>CF!P8</f>
        <v>104.17922189451194</v>
      </c>
      <c r="BU71" s="312"/>
      <c r="BV71" s="312"/>
      <c r="BW71" s="312"/>
      <c r="BX71" s="312"/>
      <c r="BY71" s="313">
        <f>CF!Q8</f>
        <v>115.13402020991214</v>
      </c>
      <c r="BZ71" s="312"/>
      <c r="CA71" s="312"/>
      <c r="CB71" s="312"/>
      <c r="CC71" s="312"/>
      <c r="CD71" s="313">
        <f>CF!R8</f>
        <v>125.26713822846742</v>
      </c>
      <c r="CE71" s="312"/>
      <c r="CF71" s="312"/>
      <c r="CG71" s="312"/>
      <c r="CH71" s="312"/>
      <c r="CI71" s="313">
        <f>CF!S8</f>
        <v>125.88735122586876</v>
      </c>
      <c r="CJ71" s="312"/>
      <c r="CK71" s="312"/>
      <c r="CL71" s="312"/>
      <c r="CM71" s="312"/>
      <c r="CN71" s="313">
        <f>CF!T8</f>
        <v>119.93677564360482</v>
      </c>
      <c r="CO71" s="312"/>
      <c r="CP71" s="312"/>
      <c r="CQ71" s="312"/>
      <c r="CR71" s="312"/>
      <c r="CS71" s="313">
        <f>CF!U8</f>
        <v>103.11269355366751</v>
      </c>
      <c r="CV71"/>
      <c r="CW71"/>
      <c r="CX71"/>
      <c r="CY71"/>
      <c r="CZ71"/>
      <c r="DA71"/>
    </row>
    <row r="72" spans="2:105" s="317" customFormat="1" ht="15" customHeight="1">
      <c r="B72" s="482" t="s">
        <v>283</v>
      </c>
      <c r="C72" s="352"/>
      <c r="D72" s="352"/>
      <c r="E72" s="352"/>
      <c r="F72" s="352"/>
      <c r="G72" s="313"/>
      <c r="H72" s="312"/>
      <c r="I72" s="312"/>
      <c r="J72" s="312"/>
      <c r="K72" s="312"/>
      <c r="L72" s="313">
        <f>L34+L71</f>
        <v>-82.712999999999994</v>
      </c>
      <c r="M72" s="312"/>
      <c r="N72" s="312"/>
      <c r="O72" s="312"/>
      <c r="P72" s="312"/>
      <c r="Q72" s="313">
        <f>Q34+Q71</f>
        <v>-172.28800000000001</v>
      </c>
      <c r="R72" s="312"/>
      <c r="S72" s="312"/>
      <c r="T72" s="312"/>
      <c r="U72" s="312"/>
      <c r="V72" s="313">
        <f>V34+V71</f>
        <v>-276.95799999999997</v>
      </c>
      <c r="W72" s="312"/>
      <c r="X72" s="312"/>
      <c r="Y72" s="312"/>
      <c r="Z72" s="312"/>
      <c r="AA72" s="313">
        <f>AA34+AA71</f>
        <v>-409.45699999999994</v>
      </c>
      <c r="AB72" s="312">
        <f t="shared" ref="AB72:AE72" si="180">AB34+AB71</f>
        <v>-87.469249999999988</v>
      </c>
      <c r="AC72" s="312">
        <f t="shared" si="180"/>
        <v>-93.102249999999984</v>
      </c>
      <c r="AD72" s="312">
        <f t="shared" si="180"/>
        <v>-96.50324999999998</v>
      </c>
      <c r="AE72" s="312">
        <f t="shared" si="180"/>
        <v>-116.84424999999999</v>
      </c>
      <c r="AF72" s="313">
        <f>AF34+AF71</f>
        <v>-393.91899999999993</v>
      </c>
      <c r="AG72" s="312">
        <f t="shared" ref="AG72:AJ72" si="181">AG34+AG71</f>
        <v>-134.8741748994633</v>
      </c>
      <c r="AH72" s="312">
        <f t="shared" si="181"/>
        <v>-146.03080489946331</v>
      </c>
      <c r="AI72" s="312">
        <f t="shared" si="181"/>
        <v>-141.69232783570095</v>
      </c>
      <c r="AJ72" s="312">
        <f t="shared" si="181"/>
        <v>-130.89247370817628</v>
      </c>
      <c r="AK72" s="313">
        <f>AK34+AK71</f>
        <v>-553.48978134280378</v>
      </c>
      <c r="AL72" s="312"/>
      <c r="AM72" s="312"/>
      <c r="AN72" s="312"/>
      <c r="AO72" s="312"/>
      <c r="AP72" s="313">
        <f>AP34+AP71</f>
        <v>-335.54071772549275</v>
      </c>
      <c r="AQ72" s="312"/>
      <c r="AR72" s="312"/>
      <c r="AS72" s="312"/>
      <c r="AT72" s="312"/>
      <c r="AU72" s="313">
        <f>AU34+AU71</f>
        <v>-7.9351656476300505</v>
      </c>
      <c r="AV72" s="312"/>
      <c r="AW72" s="312"/>
      <c r="AX72" s="312"/>
      <c r="AY72" s="312"/>
      <c r="AZ72" s="313">
        <f>AZ34+AZ71</f>
        <v>388.50656645247307</v>
      </c>
      <c r="BA72" s="312"/>
      <c r="BB72" s="312"/>
      <c r="BC72" s="312"/>
      <c r="BD72" s="312"/>
      <c r="BE72" s="313">
        <f>BE34+BE71</f>
        <v>773.79108246115197</v>
      </c>
      <c r="BF72" s="312"/>
      <c r="BG72" s="312"/>
      <c r="BH72" s="312"/>
      <c r="BI72" s="312"/>
      <c r="BJ72" s="313">
        <f>BJ34+BJ71</f>
        <v>1127.0604079709906</v>
      </c>
      <c r="BK72" s="312"/>
      <c r="BL72" s="312"/>
      <c r="BM72" s="312"/>
      <c r="BN72" s="312"/>
      <c r="BO72" s="313">
        <f>BO34+BO71</f>
        <v>1435.5862113839055</v>
      </c>
      <c r="BP72" s="312"/>
      <c r="BQ72" s="312"/>
      <c r="BR72" s="312"/>
      <c r="BS72" s="312"/>
      <c r="BT72" s="313">
        <f>BT34+BT71</f>
        <v>1727.445373700642</v>
      </c>
      <c r="BU72" s="312"/>
      <c r="BV72" s="312"/>
      <c r="BW72" s="312"/>
      <c r="BX72" s="312"/>
      <c r="BY72" s="313">
        <f>BY34+BY71</f>
        <v>1996.5264882814827</v>
      </c>
      <c r="BZ72" s="312"/>
      <c r="CA72" s="312"/>
      <c r="CB72" s="312"/>
      <c r="CC72" s="312"/>
      <c r="CD72" s="313">
        <f>CD34+CD71</f>
        <v>2238.5493538225214</v>
      </c>
      <c r="CE72" s="312"/>
      <c r="CF72" s="312"/>
      <c r="CG72" s="312"/>
      <c r="CH72" s="312"/>
      <c r="CI72" s="313">
        <f>CI34+CI71</f>
        <v>2446.6371375955291</v>
      </c>
      <c r="CJ72" s="312"/>
      <c r="CK72" s="312"/>
      <c r="CL72" s="312"/>
      <c r="CM72" s="312"/>
      <c r="CN72" s="313">
        <f>CN34+CN71</f>
        <v>2625.8960460992325</v>
      </c>
      <c r="CO72" s="312"/>
      <c r="CP72" s="312"/>
      <c r="CQ72" s="312"/>
      <c r="CR72" s="312"/>
      <c r="CS72" s="313">
        <f>CS34+CS71</f>
        <v>2772.6183166807759</v>
      </c>
      <c r="CV72"/>
      <c r="CW72"/>
      <c r="CX72"/>
      <c r="CY72"/>
      <c r="CZ72"/>
      <c r="DA72"/>
    </row>
    <row r="73" spans="2:105" s="317" customFormat="1" ht="15" customHeight="1">
      <c r="B73" s="482" t="s">
        <v>284</v>
      </c>
      <c r="C73" s="352"/>
      <c r="D73" s="352"/>
      <c r="E73" s="352"/>
      <c r="F73" s="352"/>
      <c r="G73" s="313"/>
      <c r="H73" s="312"/>
      <c r="I73" s="312"/>
      <c r="J73" s="312"/>
      <c r="K73" s="312"/>
      <c r="L73" s="313">
        <f>L34-L50+L71</f>
        <v>-82.712999999999994</v>
      </c>
      <c r="M73" s="312"/>
      <c r="N73" s="312"/>
      <c r="O73" s="312"/>
      <c r="P73" s="312"/>
      <c r="Q73" s="313">
        <f>Q34-Q50+Q71</f>
        <v>-393.05400000000003</v>
      </c>
      <c r="R73" s="312"/>
      <c r="S73" s="312"/>
      <c r="T73" s="312"/>
      <c r="U73" s="312"/>
      <c r="V73" s="313">
        <f>V34-V50+V71</f>
        <v>-276.95799999999997</v>
      </c>
      <c r="W73" s="312"/>
      <c r="X73" s="312"/>
      <c r="Y73" s="312"/>
      <c r="Z73" s="312"/>
      <c r="AA73" s="313">
        <f>AA34-AA50+AA71</f>
        <v>-409.45699999999994</v>
      </c>
      <c r="AB73" s="312">
        <f t="shared" ref="AB73:AE73" si="182">AB34-AB50+AB71</f>
        <v>-87.469249999999988</v>
      </c>
      <c r="AC73" s="312">
        <f t="shared" si="182"/>
        <v>-93.102249999999984</v>
      </c>
      <c r="AD73" s="312">
        <f t="shared" si="182"/>
        <v>-96.50324999999998</v>
      </c>
      <c r="AE73" s="312">
        <f t="shared" si="182"/>
        <v>-116.84424999999999</v>
      </c>
      <c r="AF73" s="313">
        <f>AF34-AF50+AF71</f>
        <v>-393.91899999999993</v>
      </c>
      <c r="AG73" s="312">
        <f t="shared" ref="AG73:AJ73" si="183">AG34-AG50+AG71</f>
        <v>-134.8741748994633</v>
      </c>
      <c r="AH73" s="312">
        <f t="shared" si="183"/>
        <v>-146.03080489946331</v>
      </c>
      <c r="AI73" s="312">
        <f t="shared" si="183"/>
        <v>-141.69232783570095</v>
      </c>
      <c r="AJ73" s="312">
        <f t="shared" si="183"/>
        <v>-130.89247370817628</v>
      </c>
      <c r="AK73" s="313">
        <f>AK34-AK50+AK71</f>
        <v>-553.48978134280378</v>
      </c>
      <c r="AL73" s="312"/>
      <c r="AM73" s="312"/>
      <c r="AN73" s="312"/>
      <c r="AO73" s="312"/>
      <c r="AP73" s="313">
        <f>AP34-AP50+AP71</f>
        <v>-335.54071772549275</v>
      </c>
      <c r="AQ73" s="312"/>
      <c r="AR73" s="312"/>
      <c r="AS73" s="312"/>
      <c r="AT73" s="312"/>
      <c r="AU73" s="313">
        <f>AU34-AU50+AU71</f>
        <v>-7.9351656476300505</v>
      </c>
      <c r="AV73" s="312"/>
      <c r="AW73" s="312"/>
      <c r="AX73" s="312"/>
      <c r="AY73" s="312"/>
      <c r="AZ73" s="313">
        <f>AZ34-AZ50+AZ71</f>
        <v>388.50656645247307</v>
      </c>
      <c r="BA73" s="312"/>
      <c r="BB73" s="312"/>
      <c r="BC73" s="312"/>
      <c r="BD73" s="312"/>
      <c r="BE73" s="313">
        <f>BE34-BE50+BE71</f>
        <v>773.79108246115197</v>
      </c>
      <c r="BF73" s="312"/>
      <c r="BG73" s="312"/>
      <c r="BH73" s="312"/>
      <c r="BI73" s="312"/>
      <c r="BJ73" s="313">
        <f>BJ34-BJ50+BJ71</f>
        <v>1127.0604079709906</v>
      </c>
      <c r="BK73" s="312"/>
      <c r="BL73" s="312"/>
      <c r="BM73" s="312"/>
      <c r="BN73" s="312"/>
      <c r="BO73" s="313">
        <f>BO34-BO50+BO71</f>
        <v>1435.5862113839055</v>
      </c>
      <c r="BP73" s="312"/>
      <c r="BQ73" s="312"/>
      <c r="BR73" s="312"/>
      <c r="BS73" s="312"/>
      <c r="BT73" s="313">
        <f>BT34-BT50+BT71</f>
        <v>1727.445373700642</v>
      </c>
      <c r="BU73" s="312"/>
      <c r="BV73" s="312"/>
      <c r="BW73" s="312"/>
      <c r="BX73" s="312"/>
      <c r="BY73" s="313">
        <f>BY34-BY50+BY71</f>
        <v>1996.5264882814827</v>
      </c>
      <c r="BZ73" s="312"/>
      <c r="CA73" s="312"/>
      <c r="CB73" s="312"/>
      <c r="CC73" s="312"/>
      <c r="CD73" s="313">
        <f>CD34-CD50+CD71</f>
        <v>2238.5493538225214</v>
      </c>
      <c r="CE73" s="312"/>
      <c r="CF73" s="312"/>
      <c r="CG73" s="312"/>
      <c r="CH73" s="312"/>
      <c r="CI73" s="313">
        <f>CI34-CI50+CI71</f>
        <v>2446.6371375955291</v>
      </c>
      <c r="CJ73" s="312"/>
      <c r="CK73" s="312"/>
      <c r="CL73" s="312"/>
      <c r="CM73" s="312"/>
      <c r="CN73" s="313">
        <f>CN34-CN50+CN71</f>
        <v>2625.8960460992325</v>
      </c>
      <c r="CO73" s="312"/>
      <c r="CP73" s="312"/>
      <c r="CQ73" s="312"/>
      <c r="CR73" s="312"/>
      <c r="CS73" s="313">
        <f>CS34-CS50+CS71</f>
        <v>2772.6183166807759</v>
      </c>
      <c r="CV73"/>
      <c r="CW73"/>
      <c r="CX73"/>
      <c r="CY73"/>
      <c r="CZ73"/>
      <c r="DA73"/>
    </row>
    <row r="74" spans="2:105" s="317" customFormat="1" ht="15" customHeight="1">
      <c r="B74" s="349"/>
      <c r="C74" s="352"/>
      <c r="D74" s="352"/>
      <c r="E74" s="352"/>
      <c r="F74" s="352"/>
      <c r="G74" s="351"/>
      <c r="H74" s="352"/>
      <c r="I74" s="352"/>
      <c r="J74" s="352"/>
      <c r="K74" s="352"/>
      <c r="L74" s="351"/>
      <c r="M74" s="352"/>
      <c r="N74" s="352"/>
      <c r="O74" s="352"/>
      <c r="P74" s="352"/>
      <c r="Q74" s="351"/>
      <c r="R74" s="352"/>
      <c r="S74" s="352"/>
      <c r="T74" s="352"/>
      <c r="U74" s="352"/>
      <c r="V74" s="351"/>
      <c r="W74" s="352"/>
      <c r="X74" s="352"/>
      <c r="Y74" s="352"/>
      <c r="Z74" s="352"/>
      <c r="AA74" s="351"/>
      <c r="AB74" s="352"/>
      <c r="AC74" s="352"/>
      <c r="AD74" s="352"/>
      <c r="AE74" s="352"/>
      <c r="AF74" s="351"/>
      <c r="AG74" s="352"/>
      <c r="AH74" s="352"/>
      <c r="AI74" s="352"/>
      <c r="AJ74" s="352"/>
      <c r="AK74" s="351"/>
      <c r="AL74" s="352"/>
      <c r="AM74" s="352"/>
      <c r="AN74" s="352"/>
      <c r="AO74" s="352"/>
      <c r="AP74" s="351"/>
      <c r="AQ74" s="352"/>
      <c r="AR74" s="352"/>
      <c r="AS74" s="352"/>
      <c r="AT74" s="352"/>
      <c r="AU74" s="351"/>
      <c r="AV74" s="352"/>
      <c r="AW74" s="352"/>
      <c r="AX74" s="352"/>
      <c r="AY74" s="352"/>
      <c r="AZ74" s="351"/>
      <c r="BA74" s="352"/>
      <c r="BB74" s="352"/>
      <c r="BC74" s="352"/>
      <c r="BD74" s="352"/>
      <c r="BE74" s="351"/>
      <c r="BF74" s="352"/>
      <c r="BG74" s="352"/>
      <c r="BH74" s="352"/>
      <c r="BI74" s="352"/>
      <c r="BJ74" s="351"/>
      <c r="BK74" s="352"/>
      <c r="BL74" s="352"/>
      <c r="BM74" s="352"/>
      <c r="BN74" s="352"/>
      <c r="BO74" s="351"/>
      <c r="BP74" s="352"/>
      <c r="BQ74" s="352"/>
      <c r="BR74" s="352"/>
      <c r="BS74" s="352"/>
      <c r="BT74" s="351"/>
      <c r="BU74" s="352"/>
      <c r="BV74" s="352"/>
      <c r="BW74" s="352"/>
      <c r="BX74" s="352"/>
      <c r="BY74" s="351"/>
      <c r="BZ74" s="352"/>
      <c r="CA74" s="352"/>
      <c r="CB74" s="352"/>
      <c r="CC74" s="352"/>
      <c r="CD74" s="351"/>
      <c r="CE74" s="352"/>
      <c r="CF74" s="352"/>
      <c r="CG74" s="352"/>
      <c r="CH74" s="352"/>
      <c r="CI74" s="351"/>
      <c r="CJ74" s="352"/>
      <c r="CK74" s="352"/>
      <c r="CL74" s="352"/>
      <c r="CM74" s="352"/>
      <c r="CN74" s="351"/>
      <c r="CO74" s="352"/>
      <c r="CP74" s="352"/>
      <c r="CQ74" s="352"/>
      <c r="CR74" s="352"/>
      <c r="CS74" s="351"/>
      <c r="CV74"/>
      <c r="CW74"/>
      <c r="CX74"/>
      <c r="CY74"/>
      <c r="CZ74"/>
      <c r="DA74"/>
    </row>
    <row r="75" spans="2:105" s="317" customFormat="1" ht="15" customHeight="1" thickBot="1">
      <c r="B75" s="483" t="s">
        <v>271</v>
      </c>
      <c r="C75" s="352"/>
      <c r="D75" s="352"/>
      <c r="E75" s="352"/>
      <c r="F75" s="352"/>
      <c r="G75" s="351"/>
      <c r="H75" s="352"/>
      <c r="I75" s="352"/>
      <c r="J75" s="352"/>
      <c r="K75" s="352"/>
      <c r="L75" s="351"/>
      <c r="M75" s="352"/>
      <c r="N75" s="352"/>
      <c r="O75" s="352"/>
      <c r="P75" s="352"/>
      <c r="Q75" s="351"/>
      <c r="R75" s="352"/>
      <c r="S75" s="352"/>
      <c r="T75" s="352"/>
      <c r="U75" s="352"/>
      <c r="V75" s="351"/>
      <c r="W75" s="352"/>
      <c r="X75" s="352"/>
      <c r="Y75" s="352"/>
      <c r="Z75" s="352"/>
      <c r="AA75" s="351"/>
      <c r="AB75" s="352"/>
      <c r="AC75" s="352"/>
      <c r="AD75" s="352"/>
      <c r="AE75" s="352"/>
      <c r="AF75" s="351"/>
      <c r="AG75" s="352"/>
      <c r="AH75" s="352"/>
      <c r="AI75" s="352"/>
      <c r="AJ75" s="352"/>
      <c r="AK75" s="351"/>
      <c r="AL75" s="352"/>
      <c r="AM75" s="352"/>
      <c r="AN75" s="352"/>
      <c r="AO75" s="352"/>
      <c r="AP75" s="351"/>
      <c r="AQ75" s="352"/>
      <c r="AR75" s="352"/>
      <c r="AS75" s="352"/>
      <c r="AT75" s="352"/>
      <c r="AU75" s="351"/>
      <c r="AV75" s="352"/>
      <c r="AW75" s="352"/>
      <c r="AX75" s="352"/>
      <c r="AY75" s="352"/>
      <c r="AZ75" s="351"/>
      <c r="BA75" s="352"/>
      <c r="BB75" s="352"/>
      <c r="BC75" s="352"/>
      <c r="BD75" s="352"/>
      <c r="BE75" s="351"/>
      <c r="BF75" s="352"/>
      <c r="BG75" s="352"/>
      <c r="BH75" s="352"/>
      <c r="BI75" s="352"/>
      <c r="BJ75" s="351"/>
      <c r="BK75" s="352"/>
      <c r="BL75" s="352"/>
      <c r="BM75" s="352"/>
      <c r="BN75" s="352"/>
      <c r="BO75" s="351"/>
      <c r="BP75" s="352"/>
      <c r="BQ75" s="352"/>
      <c r="BR75" s="352"/>
      <c r="BS75" s="352"/>
      <c r="BT75" s="351"/>
      <c r="BU75" s="352"/>
      <c r="BV75" s="352"/>
      <c r="BW75" s="352"/>
      <c r="BX75" s="352"/>
      <c r="BY75" s="351"/>
      <c r="BZ75" s="352"/>
      <c r="CA75" s="352"/>
      <c r="CB75" s="352"/>
      <c r="CC75" s="352"/>
      <c r="CD75" s="351"/>
      <c r="CE75" s="352"/>
      <c r="CF75" s="352"/>
      <c r="CG75" s="352"/>
      <c r="CH75" s="352"/>
      <c r="CI75" s="351"/>
      <c r="CJ75" s="352"/>
      <c r="CK75" s="352"/>
      <c r="CL75" s="352"/>
      <c r="CM75" s="352"/>
      <c r="CN75" s="351"/>
      <c r="CO75" s="352"/>
      <c r="CP75" s="352"/>
      <c r="CQ75" s="352"/>
      <c r="CR75" s="352"/>
      <c r="CS75" s="351"/>
      <c r="CV75"/>
      <c r="CW75"/>
      <c r="CX75"/>
      <c r="CY75"/>
      <c r="CZ75"/>
      <c r="DA75"/>
    </row>
    <row r="76" spans="2:105" s="317" customFormat="1" ht="15" customHeight="1" thickBot="1">
      <c r="B76" s="641">
        <f>DCF!C31</f>
        <v>2</v>
      </c>
      <c r="C76" s="352"/>
      <c r="D76" s="352"/>
      <c r="E76" s="352"/>
      <c r="F76" s="352"/>
      <c r="G76" s="351"/>
      <c r="H76" s="352"/>
      <c r="I76" s="352"/>
      <c r="J76" s="352"/>
      <c r="K76" s="352"/>
      <c r="L76" s="351"/>
      <c r="M76" s="352"/>
      <c r="N76" s="352"/>
      <c r="O76" s="352"/>
      <c r="P76" s="352"/>
      <c r="Q76" s="351"/>
      <c r="R76" s="352"/>
      <c r="S76" s="352"/>
      <c r="T76" s="352"/>
      <c r="U76" s="352"/>
      <c r="V76" s="351"/>
      <c r="W76" s="352"/>
      <c r="X76" s="352"/>
      <c r="Y76" s="352"/>
      <c r="Z76" s="352"/>
      <c r="AA76" s="351"/>
      <c r="AB76" s="352"/>
      <c r="AC76" s="352"/>
      <c r="AD76" s="352"/>
      <c r="AE76" s="352"/>
      <c r="AF76" s="351"/>
      <c r="AG76" s="352"/>
      <c r="AH76" s="352"/>
      <c r="AI76" s="352"/>
      <c r="AJ76" s="352"/>
      <c r="AK76" s="339"/>
      <c r="AL76" s="352"/>
      <c r="AM76" s="352"/>
      <c r="AN76" s="352"/>
      <c r="AO76" s="352"/>
      <c r="AP76" s="351"/>
      <c r="AQ76" s="352"/>
      <c r="AR76" s="352"/>
      <c r="AS76" s="352"/>
      <c r="AT76" s="352"/>
      <c r="AU76" s="351"/>
      <c r="AV76" s="352"/>
      <c r="AW76" s="352"/>
      <c r="AX76" s="352"/>
      <c r="AY76" s="352"/>
      <c r="AZ76" s="351"/>
      <c r="BA76" s="352"/>
      <c r="BB76" s="352"/>
      <c r="BC76" s="352"/>
      <c r="BD76" s="352"/>
      <c r="BE76" s="351"/>
      <c r="BF76" s="352"/>
      <c r="BG76" s="352"/>
      <c r="BH76" s="352"/>
      <c r="BI76" s="352"/>
      <c r="BJ76" s="351"/>
      <c r="BK76" s="352"/>
      <c r="BL76" s="352"/>
      <c r="BM76" s="352"/>
      <c r="BN76" s="352"/>
      <c r="BO76" s="351"/>
      <c r="BP76" s="352"/>
      <c r="BQ76" s="352"/>
      <c r="BR76" s="352"/>
      <c r="BS76" s="352"/>
      <c r="BT76" s="351"/>
      <c r="BU76" s="352"/>
      <c r="BV76" s="352"/>
      <c r="BW76" s="352"/>
      <c r="BX76" s="352"/>
      <c r="BY76" s="351"/>
      <c r="BZ76" s="352"/>
      <c r="CA76" s="352"/>
      <c r="CB76" s="352"/>
      <c r="CC76" s="352"/>
      <c r="CD76" s="351"/>
      <c r="CE76" s="352"/>
      <c r="CF76" s="352"/>
      <c r="CG76" s="352"/>
      <c r="CH76" s="352"/>
      <c r="CI76" s="351"/>
      <c r="CJ76" s="352"/>
      <c r="CK76" s="352"/>
      <c r="CL76" s="352"/>
      <c r="CM76" s="352"/>
      <c r="CN76" s="351"/>
      <c r="CO76" s="352"/>
      <c r="CP76" s="352"/>
      <c r="CQ76" s="352"/>
      <c r="CR76" s="352"/>
      <c r="CS76" s="351"/>
      <c r="CV76"/>
      <c r="CW76"/>
      <c r="CX76"/>
      <c r="CY76"/>
      <c r="CZ76"/>
      <c r="DA76"/>
    </row>
    <row r="77" spans="2:105" s="317" customFormat="1" ht="15" customHeight="1">
      <c r="B77" s="349"/>
      <c r="C77" s="352"/>
      <c r="D77" s="352"/>
      <c r="E77" s="352"/>
      <c r="F77" s="352"/>
      <c r="G77" s="351"/>
      <c r="H77" s="352"/>
      <c r="I77" s="352"/>
      <c r="J77" s="352"/>
      <c r="K77" s="352"/>
      <c r="L77" s="351"/>
      <c r="M77" s="352"/>
      <c r="N77" s="352"/>
      <c r="O77" s="352"/>
      <c r="P77" s="352"/>
      <c r="Q77" s="351"/>
      <c r="R77" s="352"/>
      <c r="S77" s="352"/>
      <c r="T77" s="352"/>
      <c r="U77" s="352"/>
      <c r="V77" s="351"/>
      <c r="W77" s="352"/>
      <c r="X77" s="352"/>
      <c r="Y77" s="352"/>
      <c r="Z77" s="352"/>
      <c r="AA77" s="351"/>
      <c r="AB77" s="352"/>
      <c r="AC77" s="352"/>
      <c r="AD77" s="352"/>
      <c r="AE77" s="352"/>
      <c r="AF77" s="351"/>
      <c r="AG77" s="352"/>
      <c r="AH77" s="352"/>
      <c r="AI77" s="352"/>
      <c r="AJ77" s="352"/>
      <c r="AK77" s="339"/>
      <c r="AL77" s="352"/>
      <c r="AM77" s="352"/>
      <c r="AN77" s="352"/>
      <c r="AO77" s="352"/>
      <c r="AP77" s="351"/>
      <c r="AQ77" s="352"/>
      <c r="AR77" s="352"/>
      <c r="AS77" s="352"/>
      <c r="AT77" s="352"/>
      <c r="AU77" s="351"/>
      <c r="AV77" s="352"/>
      <c r="AW77" s="352"/>
      <c r="AX77" s="352"/>
      <c r="AY77" s="352"/>
      <c r="AZ77" s="351"/>
      <c r="BA77" s="352"/>
      <c r="BB77" s="352"/>
      <c r="BC77" s="352"/>
      <c r="BD77" s="352"/>
      <c r="BE77" s="351"/>
      <c r="BF77" s="352"/>
      <c r="BG77" s="352"/>
      <c r="BH77" s="352"/>
      <c r="BI77" s="352"/>
      <c r="BJ77" s="351"/>
      <c r="BK77" s="352"/>
      <c r="BL77" s="352"/>
      <c r="BM77" s="352"/>
      <c r="BN77" s="352"/>
      <c r="BO77" s="351"/>
      <c r="BP77" s="352"/>
      <c r="BQ77" s="352"/>
      <c r="BR77" s="352"/>
      <c r="BS77" s="352"/>
      <c r="BT77" s="351"/>
      <c r="BU77" s="352"/>
      <c r="BV77" s="352"/>
      <c r="BW77" s="352"/>
      <c r="BX77" s="352"/>
      <c r="BY77" s="351"/>
      <c r="BZ77" s="352"/>
      <c r="CA77" s="352"/>
      <c r="CB77" s="352"/>
      <c r="CC77" s="352"/>
      <c r="CD77" s="351"/>
      <c r="CE77" s="352"/>
      <c r="CF77" s="352"/>
      <c r="CG77" s="352"/>
      <c r="CH77" s="352"/>
      <c r="CI77" s="351"/>
      <c r="CJ77" s="352"/>
      <c r="CK77" s="352"/>
      <c r="CL77" s="352"/>
      <c r="CM77" s="352"/>
      <c r="CN77" s="351"/>
      <c r="CO77" s="352"/>
      <c r="CP77" s="352"/>
      <c r="CQ77" s="352"/>
      <c r="CR77" s="352"/>
      <c r="CS77" s="351"/>
      <c r="CV77"/>
      <c r="CW77"/>
      <c r="CX77"/>
      <c r="CY77"/>
      <c r="CZ77"/>
      <c r="DA77"/>
    </row>
    <row r="78" spans="2:105" s="317" customFormat="1" ht="15" customHeight="1">
      <c r="B78" s="484" t="s">
        <v>15</v>
      </c>
      <c r="C78" s="352"/>
      <c r="D78" s="352"/>
      <c r="E78" s="352"/>
      <c r="F78" s="352"/>
      <c r="G78" s="351"/>
      <c r="H78" s="352"/>
      <c r="I78" s="352"/>
      <c r="J78" s="352"/>
      <c r="K78" s="352"/>
      <c r="L78" s="351"/>
      <c r="M78" s="352"/>
      <c r="N78" s="352"/>
      <c r="O78" s="352"/>
      <c r="P78" s="352"/>
      <c r="Q78" s="351"/>
      <c r="R78" s="352"/>
      <c r="S78" s="352"/>
      <c r="T78" s="352"/>
      <c r="U78" s="352"/>
      <c r="V78" s="351"/>
      <c r="W78" s="352"/>
      <c r="X78" s="352"/>
      <c r="Y78" s="352"/>
      <c r="Z78" s="352"/>
      <c r="AA78" s="351"/>
      <c r="AB78" s="352"/>
      <c r="AC78" s="352"/>
      <c r="AD78" s="352"/>
      <c r="AE78" s="352"/>
      <c r="AF78" s="351"/>
      <c r="AG78" s="352"/>
      <c r="AH78" s="352"/>
      <c r="AI78" s="352"/>
      <c r="AJ78" s="352"/>
      <c r="AK78" s="339"/>
      <c r="AL78" s="352"/>
      <c r="AM78" s="352"/>
      <c r="AN78" s="352"/>
      <c r="AO78" s="352"/>
      <c r="AP78" s="351"/>
      <c r="AQ78" s="352"/>
      <c r="AR78" s="352"/>
      <c r="AS78" s="352"/>
      <c r="AT78" s="352"/>
      <c r="AU78" s="351"/>
      <c r="AV78" s="352"/>
      <c r="AW78" s="352"/>
      <c r="AX78" s="352"/>
      <c r="AY78" s="352"/>
      <c r="AZ78" s="351"/>
      <c r="BA78" s="352"/>
      <c r="BB78" s="352"/>
      <c r="BC78" s="352"/>
      <c r="BD78" s="352"/>
      <c r="BE78" s="351"/>
      <c r="BF78" s="352"/>
      <c r="BG78" s="352"/>
      <c r="BH78" s="352"/>
      <c r="BI78" s="352"/>
      <c r="BJ78" s="351"/>
      <c r="BK78" s="352"/>
      <c r="BL78" s="352"/>
      <c r="BM78" s="352"/>
      <c r="BN78" s="352"/>
      <c r="BO78" s="351"/>
      <c r="BP78" s="352"/>
      <c r="BQ78" s="352"/>
      <c r="BR78" s="352"/>
      <c r="BS78" s="352"/>
      <c r="BT78" s="351"/>
      <c r="BU78" s="352"/>
      <c r="BV78" s="352"/>
      <c r="BW78" s="352"/>
      <c r="BX78" s="352"/>
      <c r="BY78" s="351"/>
      <c r="BZ78" s="352"/>
      <c r="CA78" s="352"/>
      <c r="CB78" s="352"/>
      <c r="CC78" s="352"/>
      <c r="CD78" s="351"/>
      <c r="CE78" s="352"/>
      <c r="CF78" s="352"/>
      <c r="CG78" s="352"/>
      <c r="CH78" s="352"/>
      <c r="CI78" s="351"/>
      <c r="CJ78" s="352"/>
      <c r="CK78" s="352"/>
      <c r="CL78" s="352"/>
      <c r="CM78" s="352"/>
      <c r="CN78" s="351"/>
      <c r="CO78" s="352"/>
      <c r="CP78" s="352"/>
      <c r="CQ78" s="352"/>
      <c r="CR78" s="352"/>
      <c r="CS78" s="351"/>
      <c r="CV78"/>
      <c r="CW78"/>
      <c r="CX78"/>
      <c r="CY78"/>
      <c r="CZ78"/>
      <c r="DA78"/>
    </row>
    <row r="79" spans="2:105" s="317" customFormat="1" ht="15" customHeight="1">
      <c r="B79" s="642" t="s">
        <v>265</v>
      </c>
      <c r="C79" s="359">
        <f>C80</f>
        <v>21.074000000000002</v>
      </c>
      <c r="D79" s="359">
        <f t="shared" ref="D79:F79" si="184">D80</f>
        <v>21.722999999999999</v>
      </c>
      <c r="E79" s="359">
        <f t="shared" si="184"/>
        <v>22.094000000000001</v>
      </c>
      <c r="F79" s="359">
        <f t="shared" si="184"/>
        <v>21.678000000000001</v>
      </c>
      <c r="G79" s="360">
        <f>SUM(C79:F79)</f>
        <v>86.568999999999988</v>
      </c>
      <c r="H79" s="359">
        <f>H80</f>
        <v>22.178999999999998</v>
      </c>
      <c r="I79" s="359">
        <f t="shared" ref="I79" si="185">I80</f>
        <v>24.215</v>
      </c>
      <c r="J79" s="359">
        <f t="shared" ref="J79" si="186">J80</f>
        <v>34.457000000000001</v>
      </c>
      <c r="K79" s="359">
        <f t="shared" ref="K79" si="187">K80</f>
        <v>32.106000000000002</v>
      </c>
      <c r="L79" s="360">
        <f>SUM(H79:K79)</f>
        <v>112.95699999999999</v>
      </c>
      <c r="M79" s="359">
        <f>M80</f>
        <v>43.758000000000003</v>
      </c>
      <c r="N79" s="359">
        <f t="shared" ref="N79" si="188">N80</f>
        <v>44.671999999999997</v>
      </c>
      <c r="O79" s="359">
        <f t="shared" ref="O79" si="189">O80</f>
        <v>46.273000000000003</v>
      </c>
      <c r="P79" s="359">
        <f t="shared" ref="P79" si="190">P80</f>
        <v>55.545999999999999</v>
      </c>
      <c r="Q79" s="405">
        <f>SUM(M79:P79)</f>
        <v>190.249</v>
      </c>
      <c r="R79" s="406">
        <f>R80</f>
        <v>58.034999999999997</v>
      </c>
      <c r="S79" s="406">
        <f t="shared" ref="S79:AE79" si="191">S80</f>
        <v>67.007000000000005</v>
      </c>
      <c r="T79" s="406">
        <f t="shared" si="191"/>
        <v>68.617999999999995</v>
      </c>
      <c r="U79" s="406">
        <f t="shared" si="191"/>
        <v>82.834999999999994</v>
      </c>
      <c r="V79" s="405">
        <f>SUM(R79:U79)</f>
        <v>276.495</v>
      </c>
      <c r="W79" s="406">
        <f t="shared" si="191"/>
        <v>96.272999999999996</v>
      </c>
      <c r="X79" s="406">
        <f t="shared" si="191"/>
        <v>83.171999999999997</v>
      </c>
      <c r="Y79" s="406">
        <f t="shared" si="191"/>
        <v>97.936000000000007</v>
      </c>
      <c r="Z79" s="406">
        <f t="shared" si="191"/>
        <v>105.011</v>
      </c>
      <c r="AA79" s="405">
        <f>SUM(W79:Z79)</f>
        <v>382.39199999999994</v>
      </c>
      <c r="AB79" s="406">
        <f t="shared" si="191"/>
        <v>78.283999999999992</v>
      </c>
      <c r="AC79" s="406">
        <f t="shared" si="191"/>
        <v>77.37299999999999</v>
      </c>
      <c r="AD79" s="406">
        <f t="shared" si="191"/>
        <v>80.161999999999992</v>
      </c>
      <c r="AE79" s="406">
        <f t="shared" si="191"/>
        <v>102.935</v>
      </c>
      <c r="AF79" s="405">
        <f>SUM(AB79:AE79)</f>
        <v>338.75399999999996</v>
      </c>
      <c r="AG79" s="406">
        <f t="shared" ref="AG79:AG81" si="192">AB79*(1+AG82)</f>
        <v>97.463579999999993</v>
      </c>
      <c r="AH79" s="406">
        <f t="shared" ref="AH79:AH81" si="193">AC79*(1+AH82)</f>
        <v>98.263709999999989</v>
      </c>
      <c r="AI79" s="406">
        <f t="shared" ref="AI79:AI81" si="194">AD79*(1+AI82)</f>
        <v>101.80573999999999</v>
      </c>
      <c r="AJ79" s="406">
        <f t="shared" ref="AJ79:AJ81" si="195">AE79*(1+AJ82)</f>
        <v>112.19915000000002</v>
      </c>
      <c r="AK79" s="405">
        <f>SUM(AG79:AJ79)</f>
        <v>409.73217999999997</v>
      </c>
      <c r="AL79" s="406"/>
      <c r="AM79" s="406"/>
      <c r="AN79" s="406"/>
      <c r="AO79" s="406"/>
      <c r="AP79" s="405">
        <f t="shared" ref="AP79:AP81" si="196">AK79*(1+AP82)</f>
        <v>450.705398</v>
      </c>
      <c r="AQ79" s="406"/>
      <c r="AR79" s="406"/>
      <c r="AS79" s="406"/>
      <c r="AT79" s="406"/>
      <c r="AU79" s="405">
        <f t="shared" ref="AU79:AU81" si="197">AP79*(1+AU82)</f>
        <v>489.01535682999997</v>
      </c>
      <c r="AV79" s="406"/>
      <c r="AW79" s="406"/>
      <c r="AX79" s="406"/>
      <c r="AY79" s="406"/>
      <c r="AZ79" s="405">
        <f t="shared" ref="AZ79:AZ81" si="198">AU79*(1+AZ82)</f>
        <v>523.24643180810006</v>
      </c>
      <c r="BA79" s="406"/>
      <c r="BB79" s="406"/>
      <c r="BC79" s="406"/>
      <c r="BD79" s="406"/>
      <c r="BE79" s="405">
        <f t="shared" ref="BE79:BE81" si="199">AZ79*(1+BE82)</f>
        <v>552.02498555754551</v>
      </c>
      <c r="BF79" s="406"/>
      <c r="BG79" s="406"/>
      <c r="BH79" s="406"/>
      <c r="BI79" s="406"/>
      <c r="BJ79" s="405">
        <f t="shared" ref="BJ79:BJ81" si="200">BE79*(1+BJ82)</f>
        <v>579.62623483542279</v>
      </c>
      <c r="BK79" s="406"/>
      <c r="BL79" s="406"/>
      <c r="BM79" s="406"/>
      <c r="BN79" s="406"/>
      <c r="BO79" s="405">
        <f t="shared" ref="BO79:BO81" si="201">BJ79*(1+BO82)</f>
        <v>605.70941540301681</v>
      </c>
      <c r="BP79" s="406"/>
      <c r="BQ79" s="406"/>
      <c r="BR79" s="406"/>
      <c r="BS79" s="406"/>
      <c r="BT79" s="405">
        <f t="shared" ref="BT79:BT81" si="202">BO79*(1+BT82)</f>
        <v>629.93779201913753</v>
      </c>
      <c r="BU79" s="406"/>
      <c r="BV79" s="406"/>
      <c r="BW79" s="406"/>
      <c r="BX79" s="406"/>
      <c r="BY79" s="405">
        <f t="shared" ref="BY79:BY81" si="203">BT79*(1+BY82)</f>
        <v>651.98561473980726</v>
      </c>
      <c r="BZ79" s="406"/>
      <c r="CA79" s="406"/>
      <c r="CB79" s="406"/>
      <c r="CC79" s="406"/>
      <c r="CD79" s="405">
        <f t="shared" ref="CD79:CD81" si="204">BY79*(1+CD82)</f>
        <v>671.54518318200155</v>
      </c>
      <c r="CE79" s="406"/>
      <c r="CF79" s="406"/>
      <c r="CG79" s="406"/>
      <c r="CH79" s="406"/>
      <c r="CI79" s="405">
        <f t="shared" ref="CI79:CI81" si="205">CD79*(1+CI82)</f>
        <v>688.33381276155148</v>
      </c>
      <c r="CJ79" s="406"/>
      <c r="CK79" s="406"/>
      <c r="CL79" s="406"/>
      <c r="CM79" s="406"/>
      <c r="CN79" s="405">
        <f t="shared" ref="CN79:CN81" si="206">CI79*(1+CN82)</f>
        <v>702.10048901678249</v>
      </c>
      <c r="CO79" s="406"/>
      <c r="CP79" s="406"/>
      <c r="CQ79" s="406"/>
      <c r="CR79" s="406"/>
      <c r="CS79" s="405">
        <f t="shared" ref="CS79:CS81" si="207">CN79*(1+CS82)</f>
        <v>712.63199635203432</v>
      </c>
      <c r="CV79"/>
      <c r="CW79"/>
      <c r="CX79"/>
      <c r="CY79"/>
      <c r="CZ79"/>
      <c r="DA79"/>
    </row>
    <row r="80" spans="2:105" ht="15" customHeight="1" collapsed="1">
      <c r="B80" s="643" t="s">
        <v>266</v>
      </c>
      <c r="C80" s="312">
        <f>C26</f>
        <v>21.074000000000002</v>
      </c>
      <c r="D80" s="312">
        <f>D26</f>
        <v>21.722999999999999</v>
      </c>
      <c r="E80" s="312">
        <f>E26</f>
        <v>22.094000000000001</v>
      </c>
      <c r="F80" s="312">
        <f>F26</f>
        <v>21.678000000000001</v>
      </c>
      <c r="G80" s="339">
        <f t="shared" ref="G80:G81" si="208">SUM(C80:F80)</f>
        <v>86.568999999999988</v>
      </c>
      <c r="H80" s="312">
        <f>H26</f>
        <v>22.178999999999998</v>
      </c>
      <c r="I80" s="312">
        <f>I26</f>
        <v>24.215</v>
      </c>
      <c r="J80" s="312">
        <f>J26</f>
        <v>34.457000000000001</v>
      </c>
      <c r="K80" s="312">
        <f>K26</f>
        <v>32.106000000000002</v>
      </c>
      <c r="L80" s="339">
        <f t="shared" ref="L80:L81" si="209">SUM(H80:K80)</f>
        <v>112.95699999999999</v>
      </c>
      <c r="M80" s="312">
        <f>M26</f>
        <v>43.758000000000003</v>
      </c>
      <c r="N80" s="312">
        <f>N26</f>
        <v>44.671999999999997</v>
      </c>
      <c r="O80" s="312">
        <f>O26</f>
        <v>46.273000000000003</v>
      </c>
      <c r="P80" s="312">
        <f>P26</f>
        <v>55.545999999999999</v>
      </c>
      <c r="Q80" s="408">
        <f t="shared" ref="Q80:Q81" si="210">SUM(M80:P80)</f>
        <v>190.249</v>
      </c>
      <c r="R80" s="409">
        <f>R26</f>
        <v>58.034999999999997</v>
      </c>
      <c r="S80" s="409">
        <f>S26</f>
        <v>67.007000000000005</v>
      </c>
      <c r="T80" s="409">
        <f>T26</f>
        <v>68.617999999999995</v>
      </c>
      <c r="U80" s="409">
        <f>U26</f>
        <v>82.834999999999994</v>
      </c>
      <c r="V80" s="408">
        <f t="shared" ref="V80:V81" si="211">SUM(R80:U80)</f>
        <v>276.495</v>
      </c>
      <c r="W80" s="409">
        <f>W26</f>
        <v>96.272999999999996</v>
      </c>
      <c r="X80" s="409">
        <f>X26</f>
        <v>83.171999999999997</v>
      </c>
      <c r="Y80" s="409">
        <f>Y26</f>
        <v>97.936000000000007</v>
      </c>
      <c r="Z80" s="409">
        <f>Z26</f>
        <v>105.011</v>
      </c>
      <c r="AA80" s="408">
        <f t="shared" ref="AA80:AA81" si="212">SUM(W80:Z80)</f>
        <v>382.39199999999994</v>
      </c>
      <c r="AB80" s="409">
        <f>AB26</f>
        <v>78.283999999999992</v>
      </c>
      <c r="AC80" s="409">
        <f>AC26</f>
        <v>77.37299999999999</v>
      </c>
      <c r="AD80" s="409">
        <f>AD26</f>
        <v>80.161999999999992</v>
      </c>
      <c r="AE80" s="409">
        <f>AE26</f>
        <v>102.935</v>
      </c>
      <c r="AF80" s="408">
        <f t="shared" ref="AF80:AF81" si="213">SUM(AB80:AE80)</f>
        <v>338.75399999999996</v>
      </c>
      <c r="AG80" s="409">
        <f t="shared" si="192"/>
        <v>97.463579999999993</v>
      </c>
      <c r="AH80" s="409">
        <f t="shared" si="193"/>
        <v>98.263709999999989</v>
      </c>
      <c r="AI80" s="409">
        <f t="shared" si="194"/>
        <v>101.80573999999999</v>
      </c>
      <c r="AJ80" s="409">
        <f t="shared" si="195"/>
        <v>112.19915000000002</v>
      </c>
      <c r="AK80" s="408">
        <f t="shared" ref="AK80" si="214">SUM(AG80:AJ80)</f>
        <v>409.73217999999997</v>
      </c>
      <c r="AL80" s="409"/>
      <c r="AM80" s="409"/>
      <c r="AN80" s="409"/>
      <c r="AO80" s="409"/>
      <c r="AP80" s="408">
        <f t="shared" si="196"/>
        <v>450.705398</v>
      </c>
      <c r="AQ80" s="409"/>
      <c r="AR80" s="409"/>
      <c r="AS80" s="409"/>
      <c r="AT80" s="409"/>
      <c r="AU80" s="408">
        <f t="shared" si="197"/>
        <v>484.50830285000001</v>
      </c>
      <c r="AV80" s="409"/>
      <c r="AW80" s="409"/>
      <c r="AX80" s="409"/>
      <c r="AY80" s="409"/>
      <c r="AZ80" s="408">
        <f t="shared" si="198"/>
        <v>508.73371799250003</v>
      </c>
      <c r="BA80" s="409"/>
      <c r="BB80" s="409"/>
      <c r="BC80" s="409"/>
      <c r="BD80" s="409"/>
      <c r="BE80" s="408">
        <f t="shared" si="199"/>
        <v>523.99572953227505</v>
      </c>
      <c r="BF80" s="409"/>
      <c r="BG80" s="409"/>
      <c r="BH80" s="409"/>
      <c r="BI80" s="409"/>
      <c r="BJ80" s="408">
        <f t="shared" si="200"/>
        <v>534.47564412292058</v>
      </c>
      <c r="BK80" s="409"/>
      <c r="BL80" s="409"/>
      <c r="BM80" s="409"/>
      <c r="BN80" s="409"/>
      <c r="BO80" s="408">
        <f t="shared" si="201"/>
        <v>539.82040056414985</v>
      </c>
      <c r="BP80" s="409"/>
      <c r="BQ80" s="409"/>
      <c r="BR80" s="409"/>
      <c r="BS80" s="409"/>
      <c r="BT80" s="408">
        <f t="shared" si="202"/>
        <v>539.82040056414985</v>
      </c>
      <c r="BU80" s="409"/>
      <c r="BV80" s="409"/>
      <c r="BW80" s="409"/>
      <c r="BX80" s="409"/>
      <c r="BY80" s="408">
        <f t="shared" si="203"/>
        <v>534.42219655850829</v>
      </c>
      <c r="BZ80" s="409"/>
      <c r="CA80" s="409"/>
      <c r="CB80" s="409"/>
      <c r="CC80" s="409"/>
      <c r="CD80" s="408">
        <f t="shared" si="204"/>
        <v>526.40586361013061</v>
      </c>
      <c r="CE80" s="409"/>
      <c r="CF80" s="409"/>
      <c r="CG80" s="409"/>
      <c r="CH80" s="409"/>
      <c r="CI80" s="408">
        <f t="shared" si="205"/>
        <v>515.87774633792799</v>
      </c>
      <c r="CJ80" s="409"/>
      <c r="CK80" s="409"/>
      <c r="CL80" s="409"/>
      <c r="CM80" s="409"/>
      <c r="CN80" s="408">
        <f t="shared" si="206"/>
        <v>502.98080267947978</v>
      </c>
      <c r="CO80" s="409"/>
      <c r="CP80" s="409"/>
      <c r="CQ80" s="409"/>
      <c r="CR80" s="409"/>
      <c r="CS80" s="408">
        <f t="shared" si="207"/>
        <v>487.89137859909539</v>
      </c>
    </row>
    <row r="81" spans="2:105" s="317" customFormat="1" ht="15" customHeight="1">
      <c r="B81" s="643" t="s">
        <v>267</v>
      </c>
      <c r="C81" s="312">
        <f>C80</f>
        <v>21.074000000000002</v>
      </c>
      <c r="D81" s="312">
        <f t="shared" ref="D81:F81" si="215">D80</f>
        <v>21.722999999999999</v>
      </c>
      <c r="E81" s="312">
        <f t="shared" si="215"/>
        <v>22.094000000000001</v>
      </c>
      <c r="F81" s="312">
        <f t="shared" si="215"/>
        <v>21.678000000000001</v>
      </c>
      <c r="G81" s="339">
        <f t="shared" si="208"/>
        <v>86.568999999999988</v>
      </c>
      <c r="H81" s="312">
        <f>H80</f>
        <v>22.178999999999998</v>
      </c>
      <c r="I81" s="312">
        <f t="shared" ref="I81" si="216">I80</f>
        <v>24.215</v>
      </c>
      <c r="J81" s="312">
        <f t="shared" ref="J81" si="217">J80</f>
        <v>34.457000000000001</v>
      </c>
      <c r="K81" s="312">
        <f t="shared" ref="K81" si="218">K80</f>
        <v>32.106000000000002</v>
      </c>
      <c r="L81" s="339">
        <f t="shared" si="209"/>
        <v>112.95699999999999</v>
      </c>
      <c r="M81" s="312">
        <f>M80</f>
        <v>43.758000000000003</v>
      </c>
      <c r="N81" s="312">
        <f t="shared" ref="N81" si="219">N80</f>
        <v>44.671999999999997</v>
      </c>
      <c r="O81" s="312">
        <f t="shared" ref="O81" si="220">O80</f>
        <v>46.273000000000003</v>
      </c>
      <c r="P81" s="312">
        <f t="shared" ref="P81" si="221">P80</f>
        <v>55.545999999999999</v>
      </c>
      <c r="Q81" s="408">
        <f t="shared" si="210"/>
        <v>190.249</v>
      </c>
      <c r="R81" s="409">
        <f>R80</f>
        <v>58.034999999999997</v>
      </c>
      <c r="S81" s="409">
        <f t="shared" ref="S81:U81" si="222">S80</f>
        <v>67.007000000000005</v>
      </c>
      <c r="T81" s="409">
        <f t="shared" si="222"/>
        <v>68.617999999999995</v>
      </c>
      <c r="U81" s="409">
        <f t="shared" si="222"/>
        <v>82.834999999999994</v>
      </c>
      <c r="V81" s="408">
        <f t="shared" si="211"/>
        <v>276.495</v>
      </c>
      <c r="W81" s="409">
        <f t="shared" ref="W81:X81" si="223">W80</f>
        <v>96.272999999999996</v>
      </c>
      <c r="X81" s="409">
        <f t="shared" si="223"/>
        <v>83.171999999999997</v>
      </c>
      <c r="Y81" s="409">
        <f t="shared" ref="Y81:Z81" si="224">Y80</f>
        <v>97.936000000000007</v>
      </c>
      <c r="Z81" s="409">
        <f t="shared" si="224"/>
        <v>105.011</v>
      </c>
      <c r="AA81" s="408">
        <f t="shared" si="212"/>
        <v>382.39199999999994</v>
      </c>
      <c r="AB81" s="409">
        <f t="shared" ref="AB81:AC81" si="225">AB80</f>
        <v>78.283999999999992</v>
      </c>
      <c r="AC81" s="409">
        <f t="shared" si="225"/>
        <v>77.37299999999999</v>
      </c>
      <c r="AD81" s="409">
        <f t="shared" ref="AD81:AE81" si="226">AD80</f>
        <v>80.161999999999992</v>
      </c>
      <c r="AE81" s="409">
        <f t="shared" si="226"/>
        <v>102.935</v>
      </c>
      <c r="AF81" s="408">
        <f t="shared" si="213"/>
        <v>338.75399999999996</v>
      </c>
      <c r="AG81" s="409">
        <f t="shared" si="192"/>
        <v>97.463579999999993</v>
      </c>
      <c r="AH81" s="409">
        <f t="shared" si="193"/>
        <v>98.263709999999989</v>
      </c>
      <c r="AI81" s="409">
        <f t="shared" si="194"/>
        <v>100.20249999999999</v>
      </c>
      <c r="AJ81" s="409">
        <f t="shared" si="195"/>
        <v>128.66874999999999</v>
      </c>
      <c r="AK81" s="408">
        <f t="shared" ref="AK81" si="227">SUM(AG81:AJ81)</f>
        <v>424.59853999999996</v>
      </c>
      <c r="AL81" s="409"/>
      <c r="AM81" s="409"/>
      <c r="AN81" s="409"/>
      <c r="AO81" s="409"/>
      <c r="AP81" s="408">
        <f t="shared" si="196"/>
        <v>424.59853999999996</v>
      </c>
      <c r="AQ81" s="409"/>
      <c r="AR81" s="409"/>
      <c r="AS81" s="409"/>
      <c r="AT81" s="409"/>
      <c r="AU81" s="408">
        <f t="shared" si="197"/>
        <v>424.59853999999996</v>
      </c>
      <c r="AV81" s="409"/>
      <c r="AW81" s="409"/>
      <c r="AX81" s="409"/>
      <c r="AY81" s="409"/>
      <c r="AZ81" s="408">
        <f t="shared" si="198"/>
        <v>424.59853999999996</v>
      </c>
      <c r="BA81" s="409"/>
      <c r="BB81" s="409"/>
      <c r="BC81" s="409"/>
      <c r="BD81" s="409"/>
      <c r="BE81" s="408">
        <f t="shared" si="199"/>
        <v>424.59853999999996</v>
      </c>
      <c r="BF81" s="409"/>
      <c r="BG81" s="409"/>
      <c r="BH81" s="409"/>
      <c r="BI81" s="409"/>
      <c r="BJ81" s="408">
        <f t="shared" si="200"/>
        <v>424.59853999999996</v>
      </c>
      <c r="BK81" s="409"/>
      <c r="BL81" s="409"/>
      <c r="BM81" s="409"/>
      <c r="BN81" s="409"/>
      <c r="BO81" s="408">
        <f t="shared" si="201"/>
        <v>424.59853999999996</v>
      </c>
      <c r="BP81" s="409"/>
      <c r="BQ81" s="409"/>
      <c r="BR81" s="409"/>
      <c r="BS81" s="409"/>
      <c r="BT81" s="408">
        <f t="shared" si="202"/>
        <v>424.59853999999996</v>
      </c>
      <c r="BU81" s="409"/>
      <c r="BV81" s="409"/>
      <c r="BW81" s="409"/>
      <c r="BX81" s="409"/>
      <c r="BY81" s="408">
        <f t="shared" si="203"/>
        <v>424.59853999999996</v>
      </c>
      <c r="BZ81" s="409"/>
      <c r="CA81" s="409"/>
      <c r="CB81" s="409"/>
      <c r="CC81" s="409"/>
      <c r="CD81" s="408">
        <f t="shared" si="204"/>
        <v>424.59853999999996</v>
      </c>
      <c r="CE81" s="409"/>
      <c r="CF81" s="409"/>
      <c r="CG81" s="409"/>
      <c r="CH81" s="409"/>
      <c r="CI81" s="408">
        <f t="shared" si="205"/>
        <v>424.59853999999996</v>
      </c>
      <c r="CJ81" s="409"/>
      <c r="CK81" s="409"/>
      <c r="CL81" s="409"/>
      <c r="CM81" s="409"/>
      <c r="CN81" s="408">
        <f t="shared" si="206"/>
        <v>424.59853999999996</v>
      </c>
      <c r="CO81" s="409"/>
      <c r="CP81" s="409"/>
      <c r="CQ81" s="409"/>
      <c r="CR81" s="409"/>
      <c r="CS81" s="408">
        <f t="shared" si="207"/>
        <v>424.59853999999996</v>
      </c>
      <c r="CV81"/>
      <c r="CW81"/>
      <c r="CX81"/>
      <c r="CY81"/>
      <c r="CZ81"/>
      <c r="DA81"/>
    </row>
    <row r="82" spans="2:105" s="317" customFormat="1" ht="15" customHeight="1">
      <c r="B82" s="643" t="s">
        <v>268</v>
      </c>
      <c r="C82" s="352"/>
      <c r="D82" s="352"/>
      <c r="E82" s="352"/>
      <c r="F82" s="352"/>
      <c r="G82" s="361"/>
      <c r="H82" s="362">
        <f>H79/C79-1</f>
        <v>5.2434279206605039E-2</v>
      </c>
      <c r="I82" s="362">
        <f t="shared" ref="I82:K82" si="228">I79/D79-1</f>
        <v>0.11471712010311652</v>
      </c>
      <c r="J82" s="362">
        <f t="shared" si="228"/>
        <v>0.55956368244772325</v>
      </c>
      <c r="K82" s="362">
        <f t="shared" si="228"/>
        <v>0.48104068641018549</v>
      </c>
      <c r="L82" s="361">
        <f>(L79/G79)-1</f>
        <v>0.30482043225635058</v>
      </c>
      <c r="M82" s="362">
        <f>M79/H79-1</f>
        <v>0.9729473826592725</v>
      </c>
      <c r="N82" s="362">
        <f t="shared" ref="N82:N84" si="229">N79/I79-1</f>
        <v>0.84480693784844085</v>
      </c>
      <c r="O82" s="362">
        <f t="shared" ref="O82:O84" si="230">O79/J79-1</f>
        <v>0.34292016136053638</v>
      </c>
      <c r="P82" s="362">
        <f t="shared" ref="P82:P84" si="231">P79/K79-1</f>
        <v>0.73008160468448247</v>
      </c>
      <c r="Q82" s="361">
        <f>(Q79/L79)-1</f>
        <v>0.68426038226935915</v>
      </c>
      <c r="R82" s="362">
        <f>R79/M79-1</f>
        <v>0.32627176744823783</v>
      </c>
      <c r="S82" s="362">
        <f t="shared" ref="S82:S84" si="232">S79/N79-1</f>
        <v>0.49997761461318069</v>
      </c>
      <c r="T82" s="362">
        <f t="shared" ref="T82:T84" si="233">T79/O79-1</f>
        <v>0.48289499276035674</v>
      </c>
      <c r="U82" s="362">
        <f t="shared" ref="U82:AE84" si="234">U79/P79-1</f>
        <v>0.49128650127821971</v>
      </c>
      <c r="V82" s="361">
        <f>(V79/Q79)-1</f>
        <v>0.45333221199585805</v>
      </c>
      <c r="W82" s="362">
        <f t="shared" si="234"/>
        <v>0.65887826311708464</v>
      </c>
      <c r="X82" s="362">
        <f t="shared" si="234"/>
        <v>0.24124345217663823</v>
      </c>
      <c r="Y82" s="362">
        <f t="shared" si="234"/>
        <v>0.42726398321140246</v>
      </c>
      <c r="Z82" s="362">
        <f t="shared" si="234"/>
        <v>0.26771292328122165</v>
      </c>
      <c r="AA82" s="361">
        <f>(AA79/V79)-1</f>
        <v>0.38299788422937109</v>
      </c>
      <c r="AB82" s="362">
        <f t="shared" si="234"/>
        <v>-0.18685405046066916</v>
      </c>
      <c r="AC82" s="362">
        <f t="shared" si="234"/>
        <v>-6.9722983696436369E-2</v>
      </c>
      <c r="AD82" s="362">
        <f t="shared" si="234"/>
        <v>-0.18148586832216973</v>
      </c>
      <c r="AE82" s="362">
        <f t="shared" si="234"/>
        <v>-1.9769357495881268E-2</v>
      </c>
      <c r="AF82" s="361">
        <f>(AF79/AA79)-1</f>
        <v>-0.11411849620284942</v>
      </c>
      <c r="AG82" s="363">
        <f>AG83</f>
        <v>0.245</v>
      </c>
      <c r="AH82" s="363">
        <f>AH83</f>
        <v>0.27</v>
      </c>
      <c r="AI82" s="363">
        <f>AI83</f>
        <v>0.27</v>
      </c>
      <c r="AJ82" s="363">
        <f>AJ83</f>
        <v>0.09</v>
      </c>
      <c r="AK82" s="361">
        <f>(AK79/AF79)-1</f>
        <v>0.209527208534807</v>
      </c>
      <c r="AL82" s="363">
        <f t="shared" ref="AL82:AO82" si="235">AG82-0.005</f>
        <v>0.24</v>
      </c>
      <c r="AM82" s="363">
        <f t="shared" si="235"/>
        <v>0.26500000000000001</v>
      </c>
      <c r="AN82" s="363">
        <f t="shared" si="235"/>
        <v>0.26500000000000001</v>
      </c>
      <c r="AO82" s="363">
        <f t="shared" si="235"/>
        <v>8.4999999999999992E-2</v>
      </c>
      <c r="AP82" s="364">
        <f>AP83</f>
        <v>0.1</v>
      </c>
      <c r="AQ82" s="363"/>
      <c r="AR82" s="363"/>
      <c r="AS82" s="363"/>
      <c r="AT82" s="363"/>
      <c r="AU82" s="364">
        <f>AP82-0.015</f>
        <v>8.5000000000000006E-2</v>
      </c>
      <c r="AV82" s="363"/>
      <c r="AW82" s="363"/>
      <c r="AX82" s="363"/>
      <c r="AY82" s="363"/>
      <c r="AZ82" s="364">
        <f>AU82-0.015</f>
        <v>7.0000000000000007E-2</v>
      </c>
      <c r="BA82" s="363"/>
      <c r="BB82" s="363"/>
      <c r="BC82" s="363"/>
      <c r="BD82" s="363"/>
      <c r="BE82" s="364">
        <f>AZ82-0.015</f>
        <v>5.5000000000000007E-2</v>
      </c>
      <c r="BF82" s="363"/>
      <c r="BG82" s="363"/>
      <c r="BH82" s="363"/>
      <c r="BI82" s="363"/>
      <c r="BJ82" s="364">
        <f>BE82-0.005</f>
        <v>5.000000000000001E-2</v>
      </c>
      <c r="BK82" s="363"/>
      <c r="BL82" s="363"/>
      <c r="BM82" s="363"/>
      <c r="BN82" s="363"/>
      <c r="BO82" s="364">
        <f>BJ82-0.005</f>
        <v>4.5000000000000012E-2</v>
      </c>
      <c r="BP82" s="363"/>
      <c r="BQ82" s="363"/>
      <c r="BR82" s="363"/>
      <c r="BS82" s="363"/>
      <c r="BT82" s="364">
        <f>BO82-0.005</f>
        <v>4.0000000000000015E-2</v>
      </c>
      <c r="BU82" s="363"/>
      <c r="BV82" s="363"/>
      <c r="BW82" s="363"/>
      <c r="BX82" s="363"/>
      <c r="BY82" s="364">
        <f>BT82-0.005</f>
        <v>3.5000000000000017E-2</v>
      </c>
      <c r="BZ82" s="363"/>
      <c r="CA82" s="363"/>
      <c r="CB82" s="363"/>
      <c r="CC82" s="363"/>
      <c r="CD82" s="364">
        <f>BY82-0.005</f>
        <v>3.0000000000000016E-2</v>
      </c>
      <c r="CE82" s="363"/>
      <c r="CF82" s="363"/>
      <c r="CG82" s="363"/>
      <c r="CH82" s="363"/>
      <c r="CI82" s="364">
        <f>CD82-0.005</f>
        <v>2.5000000000000015E-2</v>
      </c>
      <c r="CJ82" s="363"/>
      <c r="CK82" s="363"/>
      <c r="CL82" s="363"/>
      <c r="CM82" s="363"/>
      <c r="CN82" s="364">
        <f>CI82-0.005</f>
        <v>2.0000000000000014E-2</v>
      </c>
      <c r="CO82" s="363"/>
      <c r="CP82" s="363"/>
      <c r="CQ82" s="363"/>
      <c r="CR82" s="363"/>
      <c r="CS82" s="364">
        <f>CN82-0.005</f>
        <v>1.5000000000000013E-2</v>
      </c>
      <c r="CV82"/>
      <c r="CW82"/>
      <c r="CX82"/>
      <c r="CY82"/>
      <c r="CZ82"/>
      <c r="DA82"/>
    </row>
    <row r="83" spans="2:105" s="317" customFormat="1" ht="15" customHeight="1">
      <c r="B83" s="643" t="s">
        <v>269</v>
      </c>
      <c r="C83" s="352"/>
      <c r="D83" s="352"/>
      <c r="E83" s="352"/>
      <c r="F83" s="352"/>
      <c r="G83" s="361"/>
      <c r="H83" s="362">
        <f t="shared" ref="H83:K83" si="236">H80/C80-1</f>
        <v>5.2434279206605039E-2</v>
      </c>
      <c r="I83" s="362">
        <f t="shared" si="236"/>
        <v>0.11471712010311652</v>
      </c>
      <c r="J83" s="362">
        <f t="shared" si="236"/>
        <v>0.55956368244772325</v>
      </c>
      <c r="K83" s="362">
        <f t="shared" si="236"/>
        <v>0.48104068641018549</v>
      </c>
      <c r="L83" s="361">
        <f>(L80/G80)-1</f>
        <v>0.30482043225635058</v>
      </c>
      <c r="M83" s="362">
        <f t="shared" ref="M83:M84" si="237">M80/H80-1</f>
        <v>0.9729473826592725</v>
      </c>
      <c r="N83" s="362">
        <f t="shared" si="229"/>
        <v>0.84480693784844085</v>
      </c>
      <c r="O83" s="362">
        <f t="shared" si="230"/>
        <v>0.34292016136053638</v>
      </c>
      <c r="P83" s="362">
        <f t="shared" si="231"/>
        <v>0.73008160468448247</v>
      </c>
      <c r="Q83" s="361">
        <f>(Q80/L80)-1</f>
        <v>0.68426038226935915</v>
      </c>
      <c r="R83" s="362">
        <f t="shared" ref="R83:R84" si="238">R80/M80-1</f>
        <v>0.32627176744823783</v>
      </c>
      <c r="S83" s="362">
        <f t="shared" si="232"/>
        <v>0.49997761461318069</v>
      </c>
      <c r="T83" s="362">
        <f t="shared" si="233"/>
        <v>0.48289499276035674</v>
      </c>
      <c r="U83" s="362">
        <f t="shared" si="234"/>
        <v>0.49128650127821971</v>
      </c>
      <c r="V83" s="361">
        <f>(V80/Q80)-1</f>
        <v>0.45333221199585805</v>
      </c>
      <c r="W83" s="362">
        <f t="shared" si="234"/>
        <v>0.65887826311708464</v>
      </c>
      <c r="X83" s="362">
        <f t="shared" si="234"/>
        <v>0.24124345217663823</v>
      </c>
      <c r="Y83" s="362">
        <f t="shared" si="234"/>
        <v>0.42726398321140246</v>
      </c>
      <c r="Z83" s="362">
        <f t="shared" si="234"/>
        <v>0.26771292328122165</v>
      </c>
      <c r="AA83" s="361">
        <f>(AA80/V80)-1</f>
        <v>0.38299788422937109</v>
      </c>
      <c r="AB83" s="362">
        <f t="shared" si="234"/>
        <v>-0.18685405046066916</v>
      </c>
      <c r="AC83" s="362">
        <f t="shared" si="234"/>
        <v>-6.9722983696436369E-2</v>
      </c>
      <c r="AD83" s="362">
        <f t="shared" si="234"/>
        <v>-0.18148586832216973</v>
      </c>
      <c r="AE83" s="362">
        <f t="shared" si="234"/>
        <v>-1.9769357495881268E-2</v>
      </c>
      <c r="AF83" s="361">
        <f>(AF80/AA80)-1</f>
        <v>-0.11411849620284942</v>
      </c>
      <c r="AG83" s="363">
        <v>0.245</v>
      </c>
      <c r="AH83" s="363">
        <v>0.27</v>
      </c>
      <c r="AI83" s="363">
        <v>0.27</v>
      </c>
      <c r="AJ83" s="363">
        <v>0.09</v>
      </c>
      <c r="AK83" s="361">
        <f>(AK80/AF80)-1</f>
        <v>0.209527208534807</v>
      </c>
      <c r="AL83" s="363"/>
      <c r="AM83" s="363"/>
      <c r="AN83" s="363"/>
      <c r="AO83" s="363"/>
      <c r="AP83" s="364">
        <v>0.1</v>
      </c>
      <c r="AQ83" s="363"/>
      <c r="AR83" s="363"/>
      <c r="AS83" s="363"/>
      <c r="AT83" s="363"/>
      <c r="AU83" s="364">
        <v>7.4999999999999997E-2</v>
      </c>
      <c r="AV83" s="363"/>
      <c r="AW83" s="363"/>
      <c r="AX83" s="363"/>
      <c r="AY83" s="363"/>
      <c r="AZ83" s="364">
        <v>0.05</v>
      </c>
      <c r="BA83" s="363"/>
      <c r="BB83" s="363"/>
      <c r="BC83" s="363"/>
      <c r="BD83" s="363"/>
      <c r="BE83" s="364">
        <f>AZ83-0.02</f>
        <v>3.0000000000000002E-2</v>
      </c>
      <c r="BF83" s="363"/>
      <c r="BG83" s="363"/>
      <c r="BH83" s="363"/>
      <c r="BI83" s="363"/>
      <c r="BJ83" s="364">
        <f>BE83-0.01</f>
        <v>2.0000000000000004E-2</v>
      </c>
      <c r="BK83" s="363"/>
      <c r="BL83" s="363"/>
      <c r="BM83" s="363"/>
      <c r="BN83" s="363"/>
      <c r="BO83" s="364">
        <f>BJ83-0.01</f>
        <v>1.0000000000000004E-2</v>
      </c>
      <c r="BP83" s="363"/>
      <c r="BQ83" s="363"/>
      <c r="BR83" s="363"/>
      <c r="BS83" s="363"/>
      <c r="BT83" s="364">
        <f>BO83-0.01</f>
        <v>0</v>
      </c>
      <c r="BU83" s="363"/>
      <c r="BV83" s="363"/>
      <c r="BW83" s="363"/>
      <c r="BX83" s="363"/>
      <c r="BY83" s="364">
        <f>BT83-0.01</f>
        <v>-0.01</v>
      </c>
      <c r="BZ83" s="363"/>
      <c r="CA83" s="363"/>
      <c r="CB83" s="363"/>
      <c r="CC83" s="363"/>
      <c r="CD83" s="364">
        <f>BY83-0.005</f>
        <v>-1.4999999999999999E-2</v>
      </c>
      <c r="CE83" s="363"/>
      <c r="CF83" s="363"/>
      <c r="CG83" s="363"/>
      <c r="CH83" s="363"/>
      <c r="CI83" s="364">
        <f>CD83-0.005</f>
        <v>-0.02</v>
      </c>
      <c r="CJ83" s="363"/>
      <c r="CK83" s="363"/>
      <c r="CL83" s="363"/>
      <c r="CM83" s="363"/>
      <c r="CN83" s="364">
        <f>CI83-0.005</f>
        <v>-2.5000000000000001E-2</v>
      </c>
      <c r="CO83" s="363"/>
      <c r="CP83" s="363"/>
      <c r="CQ83" s="363"/>
      <c r="CR83" s="363"/>
      <c r="CS83" s="364">
        <f>CN83-0.005</f>
        <v>-3.0000000000000002E-2</v>
      </c>
      <c r="CV83"/>
      <c r="CW83"/>
      <c r="CX83"/>
      <c r="CY83"/>
      <c r="CZ83"/>
      <c r="DA83"/>
    </row>
    <row r="84" spans="2:105" s="317" customFormat="1" ht="15" customHeight="1">
      <c r="B84" s="644" t="s">
        <v>270</v>
      </c>
      <c r="C84" s="365"/>
      <c r="D84" s="365"/>
      <c r="E84" s="365"/>
      <c r="F84" s="365"/>
      <c r="G84" s="366"/>
      <c r="H84" s="367">
        <f t="shared" ref="H84:K84" si="239">H81/C81-1</f>
        <v>5.2434279206605039E-2</v>
      </c>
      <c r="I84" s="367">
        <f t="shared" si="239"/>
        <v>0.11471712010311652</v>
      </c>
      <c r="J84" s="367">
        <f t="shared" si="239"/>
        <v>0.55956368244772325</v>
      </c>
      <c r="K84" s="367">
        <f t="shared" si="239"/>
        <v>0.48104068641018549</v>
      </c>
      <c r="L84" s="366">
        <f>(L81/G81)-1</f>
        <v>0.30482043225635058</v>
      </c>
      <c r="M84" s="367">
        <f t="shared" si="237"/>
        <v>0.9729473826592725</v>
      </c>
      <c r="N84" s="367">
        <f t="shared" si="229"/>
        <v>0.84480693784844085</v>
      </c>
      <c r="O84" s="367">
        <f t="shared" si="230"/>
        <v>0.34292016136053638</v>
      </c>
      <c r="P84" s="367">
        <f t="shared" si="231"/>
        <v>0.73008160468448247</v>
      </c>
      <c r="Q84" s="366">
        <f>(Q81/L81)-1</f>
        <v>0.68426038226935915</v>
      </c>
      <c r="R84" s="367">
        <f t="shared" si="238"/>
        <v>0.32627176744823783</v>
      </c>
      <c r="S84" s="367">
        <f t="shared" si="232"/>
        <v>0.49997761461318069</v>
      </c>
      <c r="T84" s="367">
        <f t="shared" si="233"/>
        <v>0.48289499276035674</v>
      </c>
      <c r="U84" s="367">
        <f t="shared" si="234"/>
        <v>0.49128650127821971</v>
      </c>
      <c r="V84" s="366">
        <f>(V81/Q81)-1</f>
        <v>0.45333221199585805</v>
      </c>
      <c r="W84" s="367">
        <f t="shared" si="234"/>
        <v>0.65887826311708464</v>
      </c>
      <c r="X84" s="367">
        <f t="shared" si="234"/>
        <v>0.24124345217663823</v>
      </c>
      <c r="Y84" s="367">
        <f t="shared" si="234"/>
        <v>0.42726398321140246</v>
      </c>
      <c r="Z84" s="367">
        <f t="shared" si="234"/>
        <v>0.26771292328122165</v>
      </c>
      <c r="AA84" s="366">
        <f>(AA81/V81)-1</f>
        <v>0.38299788422937109</v>
      </c>
      <c r="AB84" s="367">
        <f t="shared" si="234"/>
        <v>-0.18685405046066916</v>
      </c>
      <c r="AC84" s="367">
        <f t="shared" si="234"/>
        <v>-6.9722983696436369E-2</v>
      </c>
      <c r="AD84" s="367">
        <f t="shared" si="234"/>
        <v>-0.18148586832216973</v>
      </c>
      <c r="AE84" s="367">
        <f t="shared" si="234"/>
        <v>-1.9769357495881268E-2</v>
      </c>
      <c r="AF84" s="366">
        <f>(AF81/AA81)-1</f>
        <v>-0.11411849620284942</v>
      </c>
      <c r="AG84" s="368">
        <f>AG83</f>
        <v>0.245</v>
      </c>
      <c r="AH84" s="368">
        <f>AH83</f>
        <v>0.27</v>
      </c>
      <c r="AI84" s="368">
        <v>0.25</v>
      </c>
      <c r="AJ84" s="368">
        <v>0.25</v>
      </c>
      <c r="AK84" s="366">
        <f>(AK81/AF81)-1</f>
        <v>0.25341262390997588</v>
      </c>
      <c r="AL84" s="368">
        <v>0</v>
      </c>
      <c r="AM84" s="368">
        <v>0</v>
      </c>
      <c r="AN84" s="368">
        <v>0</v>
      </c>
      <c r="AO84" s="368">
        <v>0</v>
      </c>
      <c r="AP84" s="369">
        <v>0</v>
      </c>
      <c r="AQ84" s="368"/>
      <c r="AR84" s="368"/>
      <c r="AS84" s="368"/>
      <c r="AT84" s="368"/>
      <c r="AU84" s="369">
        <v>0</v>
      </c>
      <c r="AV84" s="368"/>
      <c r="AW84" s="368"/>
      <c r="AX84" s="368"/>
      <c r="AY84" s="368"/>
      <c r="AZ84" s="369">
        <v>0</v>
      </c>
      <c r="BA84" s="368"/>
      <c r="BB84" s="368"/>
      <c r="BC84" s="368"/>
      <c r="BD84" s="368"/>
      <c r="BE84" s="369">
        <v>0</v>
      </c>
      <c r="BF84" s="368"/>
      <c r="BG84" s="368"/>
      <c r="BH84" s="368"/>
      <c r="BI84" s="368"/>
      <c r="BJ84" s="369">
        <v>0</v>
      </c>
      <c r="BK84" s="368"/>
      <c r="BL84" s="368"/>
      <c r="BM84" s="368"/>
      <c r="BN84" s="368"/>
      <c r="BO84" s="369">
        <v>0</v>
      </c>
      <c r="BP84" s="368"/>
      <c r="BQ84" s="368"/>
      <c r="BR84" s="368"/>
      <c r="BS84" s="368"/>
      <c r="BT84" s="369">
        <v>0</v>
      </c>
      <c r="BU84" s="368"/>
      <c r="BV84" s="368"/>
      <c r="BW84" s="368"/>
      <c r="BX84" s="368"/>
      <c r="BY84" s="369">
        <v>0</v>
      </c>
      <c r="BZ84" s="368"/>
      <c r="CA84" s="368"/>
      <c r="CB84" s="368"/>
      <c r="CC84" s="368"/>
      <c r="CD84" s="369">
        <v>0</v>
      </c>
      <c r="CE84" s="368"/>
      <c r="CF84" s="368"/>
      <c r="CG84" s="368"/>
      <c r="CH84" s="368"/>
      <c r="CI84" s="369">
        <v>0</v>
      </c>
      <c r="CJ84" s="368"/>
      <c r="CK84" s="368"/>
      <c r="CL84" s="368"/>
      <c r="CM84" s="368"/>
      <c r="CN84" s="369">
        <v>0</v>
      </c>
      <c r="CO84" s="368"/>
      <c r="CP84" s="368"/>
      <c r="CQ84" s="368"/>
      <c r="CR84" s="368"/>
      <c r="CS84" s="369">
        <v>0</v>
      </c>
      <c r="CV84"/>
      <c r="CW84"/>
      <c r="CX84"/>
      <c r="CY84"/>
      <c r="CZ84"/>
      <c r="DA84"/>
    </row>
    <row r="85" spans="2:105" s="317" customFormat="1" ht="15" customHeight="1">
      <c r="B85" s="349"/>
      <c r="C85" s="352"/>
      <c r="D85" s="352"/>
      <c r="E85" s="352"/>
      <c r="F85" s="352"/>
      <c r="G85" s="351"/>
      <c r="H85" s="352"/>
      <c r="I85" s="352"/>
      <c r="J85" s="352"/>
      <c r="K85" s="352"/>
      <c r="L85" s="351"/>
      <c r="M85" s="352"/>
      <c r="N85" s="352"/>
      <c r="O85" s="352"/>
      <c r="P85" s="352"/>
      <c r="Q85" s="351"/>
      <c r="R85" s="352"/>
      <c r="S85" s="352"/>
      <c r="T85" s="352"/>
      <c r="U85" s="352"/>
      <c r="V85" s="351"/>
      <c r="W85" s="352"/>
      <c r="X85" s="352"/>
      <c r="Y85" s="352"/>
      <c r="Z85" s="352"/>
      <c r="AA85" s="351"/>
      <c r="AB85" s="352"/>
      <c r="AC85" s="352"/>
      <c r="AD85" s="352"/>
      <c r="AE85" s="352"/>
      <c r="AF85" s="351"/>
      <c r="AG85" s="352"/>
      <c r="AH85" s="352"/>
      <c r="AI85" s="352"/>
      <c r="AJ85" s="352"/>
      <c r="AK85" s="351"/>
      <c r="AL85" s="352"/>
      <c r="AM85" s="352"/>
      <c r="AN85" s="352"/>
      <c r="AO85" s="352"/>
      <c r="AP85" s="351"/>
      <c r="AQ85" s="352"/>
      <c r="AR85" s="352"/>
      <c r="AS85" s="352"/>
      <c r="AT85" s="352"/>
      <c r="AU85" s="351"/>
      <c r="AV85" s="352"/>
      <c r="AW85" s="352"/>
      <c r="AX85" s="352"/>
      <c r="AY85" s="352"/>
      <c r="AZ85" s="351"/>
      <c r="BA85" s="352"/>
      <c r="BB85" s="352"/>
      <c r="BC85" s="352"/>
      <c r="BD85" s="352"/>
      <c r="BE85" s="351"/>
      <c r="BF85" s="352"/>
      <c r="BG85" s="352"/>
      <c r="BH85" s="352"/>
      <c r="BI85" s="352"/>
      <c r="BJ85" s="351"/>
      <c r="BK85" s="352"/>
      <c r="BL85" s="352"/>
      <c r="BM85" s="352"/>
      <c r="BN85" s="352"/>
      <c r="BO85" s="351"/>
      <c r="BP85" s="352"/>
      <c r="BQ85" s="352"/>
      <c r="BR85" s="352"/>
      <c r="BS85" s="352"/>
      <c r="BT85" s="351"/>
      <c r="BU85" s="352"/>
      <c r="BV85" s="352"/>
      <c r="BW85" s="352"/>
      <c r="BX85" s="352"/>
      <c r="BY85" s="351"/>
      <c r="BZ85" s="352"/>
      <c r="CA85" s="352"/>
      <c r="CB85" s="352"/>
      <c r="CC85" s="352"/>
      <c r="CD85" s="351"/>
      <c r="CE85" s="352"/>
      <c r="CF85" s="352"/>
      <c r="CG85" s="352"/>
      <c r="CH85" s="352"/>
      <c r="CI85" s="351"/>
      <c r="CJ85" s="352"/>
      <c r="CK85" s="352"/>
      <c r="CL85" s="352"/>
      <c r="CM85" s="352"/>
      <c r="CN85" s="351"/>
      <c r="CO85" s="352"/>
      <c r="CP85" s="352"/>
      <c r="CQ85" s="352"/>
      <c r="CR85" s="352"/>
      <c r="CS85" s="351"/>
      <c r="CV85"/>
      <c r="CW85"/>
      <c r="CX85"/>
      <c r="CY85"/>
      <c r="CZ85"/>
      <c r="DA85"/>
    </row>
    <row r="86" spans="2:105" ht="14.25" customHeight="1">
      <c r="B86" s="602" t="s">
        <v>17</v>
      </c>
      <c r="C86" s="352"/>
      <c r="D86" s="352"/>
      <c r="E86" s="352"/>
      <c r="F86" s="352"/>
      <c r="H86" s="352"/>
      <c r="I86" s="352"/>
      <c r="J86" s="352"/>
      <c r="K86" s="352"/>
      <c r="M86" s="352"/>
      <c r="N86" s="352"/>
      <c r="O86" s="352"/>
      <c r="P86" s="352"/>
      <c r="R86" s="352"/>
      <c r="S86" s="352"/>
      <c r="T86" s="352"/>
      <c r="U86" s="352"/>
      <c r="W86" s="352"/>
      <c r="X86" s="352"/>
      <c r="Y86" s="352"/>
      <c r="Z86" s="352"/>
      <c r="AB86" s="352"/>
      <c r="AC86" s="352"/>
      <c r="AD86" s="352"/>
      <c r="AE86" s="352"/>
      <c r="AG86" s="352"/>
      <c r="AH86" s="352"/>
      <c r="AI86" s="352"/>
      <c r="AJ86" s="352"/>
      <c r="AL86" s="352"/>
      <c r="AM86" s="352"/>
      <c r="AN86" s="352"/>
      <c r="AO86" s="352"/>
      <c r="AQ86" s="352"/>
      <c r="AR86" s="352"/>
      <c r="AS86" s="352"/>
      <c r="AT86" s="352"/>
      <c r="AV86" s="352"/>
      <c r="AW86" s="352"/>
      <c r="AX86" s="352"/>
      <c r="AY86" s="352"/>
      <c r="BA86" s="352"/>
      <c r="BB86" s="352"/>
      <c r="BC86" s="352"/>
      <c r="BD86" s="352"/>
      <c r="BF86" s="352"/>
      <c r="BG86" s="352"/>
      <c r="BH86" s="352"/>
      <c r="BI86" s="352"/>
      <c r="BK86" s="352"/>
      <c r="BL86" s="352"/>
      <c r="BM86" s="352"/>
      <c r="BN86" s="352"/>
      <c r="BP86" s="352"/>
      <c r="BQ86" s="352"/>
      <c r="BR86" s="352"/>
      <c r="BS86" s="352"/>
      <c r="BU86" s="352"/>
      <c r="BV86" s="352"/>
      <c r="BW86" s="352"/>
      <c r="BX86" s="352"/>
      <c r="BZ86" s="352"/>
      <c r="CA86" s="352"/>
      <c r="CB86" s="352"/>
      <c r="CC86" s="352"/>
      <c r="CE86" s="352"/>
      <c r="CF86" s="352"/>
      <c r="CG86" s="352"/>
      <c r="CH86" s="352"/>
      <c r="CJ86" s="352"/>
      <c r="CK86" s="352"/>
      <c r="CL86" s="352"/>
      <c r="CM86" s="352"/>
      <c r="CO86" s="352"/>
      <c r="CP86" s="352"/>
      <c r="CQ86" s="352"/>
      <c r="CR86" s="352"/>
    </row>
    <row r="87" spans="2:105" ht="14.25" customHeight="1">
      <c r="B87" s="642" t="s">
        <v>272</v>
      </c>
      <c r="C87" s="359">
        <f>C88</f>
        <v>10.406000000000001</v>
      </c>
      <c r="D87" s="359">
        <f t="shared" ref="D87" si="240">D88</f>
        <v>11.228</v>
      </c>
      <c r="E87" s="359">
        <f t="shared" ref="E87" si="241">E88</f>
        <v>12.811999999999999</v>
      </c>
      <c r="F87" s="359">
        <f t="shared" ref="F87" si="242">F88</f>
        <v>10.166</v>
      </c>
      <c r="G87" s="360">
        <f>SUM(C87:F87)</f>
        <v>44.611999999999995</v>
      </c>
      <c r="H87" s="359">
        <f>H88</f>
        <v>6.2670000000000003</v>
      </c>
      <c r="I87" s="359">
        <f t="shared" ref="I87" si="243">I88</f>
        <v>5.7839999999999998</v>
      </c>
      <c r="J87" s="359">
        <f t="shared" ref="J87" si="244">J88</f>
        <v>6.7679999999999998</v>
      </c>
      <c r="K87" s="359">
        <f t="shared" ref="K87" si="245">K88</f>
        <v>8.3330000000000002</v>
      </c>
      <c r="L87" s="360">
        <f>SUM(H87:K87)</f>
        <v>27.152000000000001</v>
      </c>
      <c r="M87" s="359">
        <f>M88</f>
        <v>8.9250000000000007</v>
      </c>
      <c r="N87" s="359">
        <f t="shared" ref="N87" si="246">N88</f>
        <v>11.518000000000001</v>
      </c>
      <c r="O87" s="359">
        <f t="shared" ref="O87" si="247">O88</f>
        <v>9.8979999999999997</v>
      </c>
      <c r="P87" s="359">
        <f t="shared" ref="P87" si="248">P88</f>
        <v>14.185</v>
      </c>
      <c r="Q87" s="405">
        <f>SUM(M87:P87)</f>
        <v>44.526000000000003</v>
      </c>
      <c r="R87" s="406">
        <f>R88</f>
        <v>12.724</v>
      </c>
      <c r="S87" s="406">
        <f t="shared" ref="S87:AE87" si="249">S88</f>
        <v>14.622</v>
      </c>
      <c r="T87" s="406">
        <f t="shared" si="249"/>
        <v>16.036000000000001</v>
      </c>
      <c r="U87" s="406">
        <f t="shared" si="249"/>
        <v>17.228000000000002</v>
      </c>
      <c r="V87" s="405">
        <f>SUM(R87:U87)</f>
        <v>60.610000000000007</v>
      </c>
      <c r="W87" s="406">
        <f t="shared" si="249"/>
        <v>21.1</v>
      </c>
      <c r="X87" s="406">
        <f t="shared" si="249"/>
        <v>17.986999999999998</v>
      </c>
      <c r="Y87" s="406">
        <f t="shared" si="249"/>
        <v>22.390999999999998</v>
      </c>
      <c r="Z87" s="406">
        <f t="shared" si="249"/>
        <v>27.876000000000001</v>
      </c>
      <c r="AA87" s="405">
        <f>SUM(W87:Z87)</f>
        <v>89.353999999999999</v>
      </c>
      <c r="AB87" s="406">
        <f t="shared" si="249"/>
        <v>31.487000000000002</v>
      </c>
      <c r="AC87" s="406">
        <f t="shared" si="249"/>
        <v>35.003</v>
      </c>
      <c r="AD87" s="406">
        <f t="shared" si="249"/>
        <v>36.778999999999996</v>
      </c>
      <c r="AE87" s="406">
        <f t="shared" si="249"/>
        <v>55.174999999999997</v>
      </c>
      <c r="AF87" s="405">
        <f>SUM(AB87:AE87)</f>
        <v>158.44400000000002</v>
      </c>
      <c r="AG87" s="406">
        <f t="shared" ref="AG87:AG89" si="250">AB87*(1+AG90)</f>
        <v>61.399650000000001</v>
      </c>
      <c r="AH87" s="406">
        <f t="shared" ref="AH87:AH89" si="251">AC87*(1+AH90)</f>
        <v>71.756149999999991</v>
      </c>
      <c r="AI87" s="406">
        <f t="shared" ref="AI87:AI89" si="252">AD87*(1+AI90)</f>
        <v>79.074849999999984</v>
      </c>
      <c r="AJ87" s="406">
        <f t="shared" ref="AJ87:AJ89" si="253">AE87*(1+AJ90)</f>
        <v>88.28</v>
      </c>
      <c r="AK87" s="405">
        <f>SUM(AG87:AJ87)</f>
        <v>300.51064999999994</v>
      </c>
      <c r="AL87" s="406"/>
      <c r="AM87" s="406"/>
      <c r="AN87" s="406"/>
      <c r="AO87" s="406"/>
      <c r="AP87" s="405">
        <f t="shared" ref="AP87:AP89" si="254">AK87*(1+AP90)</f>
        <v>315.53618249999994</v>
      </c>
      <c r="AQ87" s="406"/>
      <c r="AR87" s="406"/>
      <c r="AS87" s="406"/>
      <c r="AT87" s="406"/>
      <c r="AU87" s="405">
        <f t="shared" ref="AU87:AU89" si="255">AP87*(1+AU90)</f>
        <v>328.94647025624994</v>
      </c>
      <c r="AV87" s="406"/>
      <c r="AW87" s="406"/>
      <c r="AX87" s="406"/>
      <c r="AY87" s="406"/>
      <c r="AZ87" s="405">
        <f t="shared" ref="AZ87:AZ89" si="256">AU87*(1+AZ90)</f>
        <v>340.45959671521865</v>
      </c>
      <c r="BA87" s="406"/>
      <c r="BB87" s="406"/>
      <c r="BC87" s="406"/>
      <c r="BD87" s="406"/>
      <c r="BE87" s="405">
        <f t="shared" ref="BE87:BE89" si="257">AZ87*(1+BE90)</f>
        <v>349.82223562488718</v>
      </c>
      <c r="BF87" s="406"/>
      <c r="BG87" s="406"/>
      <c r="BH87" s="406"/>
      <c r="BI87" s="406"/>
      <c r="BJ87" s="405">
        <f t="shared" ref="BJ87:BJ89" si="258">BE87*(1+BJ90)</f>
        <v>357.69323592644713</v>
      </c>
      <c r="BK87" s="406"/>
      <c r="BL87" s="406"/>
      <c r="BM87" s="406"/>
      <c r="BN87" s="406"/>
      <c r="BO87" s="405">
        <f t="shared" ref="BO87:BO89" si="259">BJ87*(1+BO90)</f>
        <v>363.95286755515997</v>
      </c>
      <c r="BP87" s="406"/>
      <c r="BQ87" s="406"/>
      <c r="BR87" s="406"/>
      <c r="BS87" s="406"/>
      <c r="BT87" s="405">
        <f t="shared" ref="BT87:BT89" si="260">BO87*(1+BT90)</f>
        <v>368.50227839959945</v>
      </c>
      <c r="BU87" s="406"/>
      <c r="BV87" s="406"/>
      <c r="BW87" s="406"/>
      <c r="BX87" s="406"/>
      <c r="BY87" s="405">
        <f t="shared" ref="BY87:BY89" si="261">BT87*(1+BY90)</f>
        <v>372.18730118359542</v>
      </c>
      <c r="BZ87" s="406"/>
      <c r="CA87" s="406"/>
      <c r="CB87" s="406"/>
      <c r="CC87" s="406"/>
      <c r="CD87" s="405">
        <f t="shared" ref="CD87:CD89" si="262">BY87*(1+CD90)</f>
        <v>374.9787059424724</v>
      </c>
      <c r="CE87" s="406"/>
      <c r="CF87" s="406"/>
      <c r="CG87" s="406"/>
      <c r="CH87" s="406"/>
      <c r="CI87" s="405">
        <f t="shared" ref="CI87:CI89" si="263">CD87*(1+CI90)</f>
        <v>376.85359947218473</v>
      </c>
      <c r="CJ87" s="406"/>
      <c r="CK87" s="406"/>
      <c r="CL87" s="406"/>
      <c r="CM87" s="406"/>
      <c r="CN87" s="405">
        <f t="shared" ref="CN87:CN89" si="264">CI87*(1+CN90)</f>
        <v>377.79573347086517</v>
      </c>
      <c r="CO87" s="406"/>
      <c r="CP87" s="406"/>
      <c r="CQ87" s="406"/>
      <c r="CR87" s="406"/>
      <c r="CS87" s="405">
        <f t="shared" ref="CS87:CS89" si="265">CN87*(1+CS90)</f>
        <v>377.79573347086517</v>
      </c>
    </row>
    <row r="88" spans="2:105" ht="14.25" customHeight="1">
      <c r="B88" s="643" t="s">
        <v>273</v>
      </c>
      <c r="C88" s="312">
        <f>C31</f>
        <v>10.406000000000001</v>
      </c>
      <c r="D88" s="312">
        <f>D31</f>
        <v>11.228</v>
      </c>
      <c r="E88" s="312">
        <f>E31</f>
        <v>12.811999999999999</v>
      </c>
      <c r="F88" s="312">
        <f>F31</f>
        <v>10.166</v>
      </c>
      <c r="G88" s="339">
        <f t="shared" ref="G88:G89" si="266">SUM(C88:F88)</f>
        <v>44.611999999999995</v>
      </c>
      <c r="H88" s="312">
        <f>H31</f>
        <v>6.2670000000000003</v>
      </c>
      <c r="I88" s="312">
        <f>I31</f>
        <v>5.7839999999999998</v>
      </c>
      <c r="J88" s="312">
        <f>J31</f>
        <v>6.7679999999999998</v>
      </c>
      <c r="K88" s="312">
        <f>K31</f>
        <v>8.3330000000000002</v>
      </c>
      <c r="L88" s="339">
        <f t="shared" ref="L88:L89" si="267">SUM(H88:K88)</f>
        <v>27.152000000000001</v>
      </c>
      <c r="M88" s="312">
        <f>M31</f>
        <v>8.9250000000000007</v>
      </c>
      <c r="N88" s="312">
        <f>N31</f>
        <v>11.518000000000001</v>
      </c>
      <c r="O88" s="312">
        <f>O31</f>
        <v>9.8979999999999997</v>
      </c>
      <c r="P88" s="312">
        <f>P31</f>
        <v>14.185</v>
      </c>
      <c r="Q88" s="408">
        <f t="shared" ref="Q88:Q89" si="268">SUM(M88:P88)</f>
        <v>44.526000000000003</v>
      </c>
      <c r="R88" s="409">
        <f>R31</f>
        <v>12.724</v>
      </c>
      <c r="S88" s="409">
        <f>S31</f>
        <v>14.622</v>
      </c>
      <c r="T88" s="409">
        <f>T31</f>
        <v>16.036000000000001</v>
      </c>
      <c r="U88" s="409">
        <f>U31</f>
        <v>17.228000000000002</v>
      </c>
      <c r="V88" s="408">
        <f t="shared" ref="V88:V89" si="269">SUM(R88:U88)</f>
        <v>60.610000000000007</v>
      </c>
      <c r="W88" s="409">
        <f>W31</f>
        <v>21.1</v>
      </c>
      <c r="X88" s="409">
        <f>X31</f>
        <v>17.986999999999998</v>
      </c>
      <c r="Y88" s="409">
        <f>Y31</f>
        <v>22.390999999999998</v>
      </c>
      <c r="Z88" s="409">
        <f>Z31</f>
        <v>27.876000000000001</v>
      </c>
      <c r="AA88" s="408">
        <f t="shared" ref="AA88:AA89" si="270">SUM(W88:Z88)</f>
        <v>89.353999999999999</v>
      </c>
      <c r="AB88" s="409">
        <f>AB31</f>
        <v>31.487000000000002</v>
      </c>
      <c r="AC88" s="409">
        <f>AC31</f>
        <v>35.003</v>
      </c>
      <c r="AD88" s="409">
        <f>AD31</f>
        <v>36.778999999999996</v>
      </c>
      <c r="AE88" s="409">
        <f>AE31</f>
        <v>55.174999999999997</v>
      </c>
      <c r="AF88" s="408">
        <f t="shared" ref="AF88:AF89" si="271">SUM(AB88:AE88)</f>
        <v>158.44400000000002</v>
      </c>
      <c r="AG88" s="409">
        <f t="shared" si="250"/>
        <v>61.399650000000001</v>
      </c>
      <c r="AH88" s="409">
        <f t="shared" si="251"/>
        <v>71.756149999999991</v>
      </c>
      <c r="AI88" s="409">
        <f t="shared" si="252"/>
        <v>79.074849999999984</v>
      </c>
      <c r="AJ88" s="409">
        <f t="shared" si="253"/>
        <v>88.28</v>
      </c>
      <c r="AK88" s="408">
        <f t="shared" ref="AK88:AK89" si="272">SUM(AG88:AJ88)</f>
        <v>300.51064999999994</v>
      </c>
      <c r="AL88" s="409"/>
      <c r="AM88" s="409"/>
      <c r="AN88" s="409"/>
      <c r="AO88" s="409"/>
      <c r="AP88" s="408">
        <f t="shared" si="254"/>
        <v>315.53618249999994</v>
      </c>
      <c r="AQ88" s="409"/>
      <c r="AR88" s="409"/>
      <c r="AS88" s="409"/>
      <c r="AT88" s="409"/>
      <c r="AU88" s="408">
        <f t="shared" si="255"/>
        <v>328.15762979999994</v>
      </c>
      <c r="AV88" s="409"/>
      <c r="AW88" s="409"/>
      <c r="AX88" s="409"/>
      <c r="AY88" s="409"/>
      <c r="AZ88" s="408">
        <f t="shared" si="256"/>
        <v>338.00235869399995</v>
      </c>
      <c r="BA88" s="409"/>
      <c r="BB88" s="409"/>
      <c r="BC88" s="409"/>
      <c r="BD88" s="409"/>
      <c r="BE88" s="408">
        <f t="shared" si="257"/>
        <v>344.76240586787998</v>
      </c>
      <c r="BF88" s="409"/>
      <c r="BG88" s="409"/>
      <c r="BH88" s="409"/>
      <c r="BI88" s="409"/>
      <c r="BJ88" s="408">
        <f t="shared" si="258"/>
        <v>349.93384195589812</v>
      </c>
      <c r="BK88" s="409"/>
      <c r="BL88" s="409"/>
      <c r="BM88" s="409"/>
      <c r="BN88" s="409"/>
      <c r="BO88" s="408">
        <f t="shared" si="259"/>
        <v>353.43318037545708</v>
      </c>
      <c r="BP88" s="409"/>
      <c r="BQ88" s="409"/>
      <c r="BR88" s="409"/>
      <c r="BS88" s="409"/>
      <c r="BT88" s="408">
        <f t="shared" si="260"/>
        <v>355.20034627733435</v>
      </c>
      <c r="BU88" s="409"/>
      <c r="BV88" s="409"/>
      <c r="BW88" s="409"/>
      <c r="BX88" s="409"/>
      <c r="BY88" s="408">
        <f t="shared" si="261"/>
        <v>355.20034627733435</v>
      </c>
      <c r="BZ88" s="409"/>
      <c r="CA88" s="409"/>
      <c r="CB88" s="409"/>
      <c r="CC88" s="409"/>
      <c r="CD88" s="408">
        <f t="shared" si="262"/>
        <v>353.42434454594769</v>
      </c>
      <c r="CE88" s="409"/>
      <c r="CF88" s="409"/>
      <c r="CG88" s="409"/>
      <c r="CH88" s="409"/>
      <c r="CI88" s="408">
        <f t="shared" si="263"/>
        <v>349.89010110048821</v>
      </c>
      <c r="CJ88" s="409"/>
      <c r="CK88" s="409"/>
      <c r="CL88" s="409"/>
      <c r="CM88" s="409"/>
      <c r="CN88" s="408">
        <f t="shared" si="264"/>
        <v>344.64174958398087</v>
      </c>
      <c r="CO88" s="409"/>
      <c r="CP88" s="409"/>
      <c r="CQ88" s="409"/>
      <c r="CR88" s="409"/>
      <c r="CS88" s="408">
        <f t="shared" si="265"/>
        <v>337.74891459230122</v>
      </c>
    </row>
    <row r="89" spans="2:105" ht="14.25" customHeight="1">
      <c r="B89" s="643" t="s">
        <v>274</v>
      </c>
      <c r="C89" s="312">
        <f>C88</f>
        <v>10.406000000000001</v>
      </c>
      <c r="D89" s="312">
        <f t="shared" ref="D89" si="273">D88</f>
        <v>11.228</v>
      </c>
      <c r="E89" s="312">
        <f t="shared" ref="E89" si="274">E88</f>
        <v>12.811999999999999</v>
      </c>
      <c r="F89" s="312">
        <f t="shared" ref="F89" si="275">F88</f>
        <v>10.166</v>
      </c>
      <c r="G89" s="339">
        <f t="shared" si="266"/>
        <v>44.611999999999995</v>
      </c>
      <c r="H89" s="312">
        <f>H88</f>
        <v>6.2670000000000003</v>
      </c>
      <c r="I89" s="312">
        <f t="shared" ref="I89" si="276">I88</f>
        <v>5.7839999999999998</v>
      </c>
      <c r="J89" s="312">
        <f t="shared" ref="J89" si="277">J88</f>
        <v>6.7679999999999998</v>
      </c>
      <c r="K89" s="312">
        <f t="shared" ref="K89" si="278">K88</f>
        <v>8.3330000000000002</v>
      </c>
      <c r="L89" s="339">
        <f t="shared" si="267"/>
        <v>27.152000000000001</v>
      </c>
      <c r="M89" s="312">
        <f>M88</f>
        <v>8.9250000000000007</v>
      </c>
      <c r="N89" s="312">
        <f t="shared" ref="N89" si="279">N88</f>
        <v>11.518000000000001</v>
      </c>
      <c r="O89" s="312">
        <f t="shared" ref="O89" si="280">O88</f>
        <v>9.8979999999999997</v>
      </c>
      <c r="P89" s="312">
        <f t="shared" ref="P89" si="281">P88</f>
        <v>14.185</v>
      </c>
      <c r="Q89" s="408">
        <f t="shared" si="268"/>
        <v>44.526000000000003</v>
      </c>
      <c r="R89" s="409">
        <f>R88</f>
        <v>12.724</v>
      </c>
      <c r="S89" s="409">
        <f t="shared" ref="S89:U89" si="282">S88</f>
        <v>14.622</v>
      </c>
      <c r="T89" s="409">
        <f t="shared" si="282"/>
        <v>16.036000000000001</v>
      </c>
      <c r="U89" s="409">
        <f t="shared" si="282"/>
        <v>17.228000000000002</v>
      </c>
      <c r="V89" s="408">
        <f t="shared" si="269"/>
        <v>60.610000000000007</v>
      </c>
      <c r="W89" s="409">
        <f t="shared" ref="W89:X89" si="283">W88</f>
        <v>21.1</v>
      </c>
      <c r="X89" s="409">
        <f t="shared" si="283"/>
        <v>17.986999999999998</v>
      </c>
      <c r="Y89" s="409">
        <f t="shared" ref="Y89:Z89" si="284">Y88</f>
        <v>22.390999999999998</v>
      </c>
      <c r="Z89" s="409">
        <f t="shared" si="284"/>
        <v>27.876000000000001</v>
      </c>
      <c r="AA89" s="408">
        <f t="shared" si="270"/>
        <v>89.353999999999999</v>
      </c>
      <c r="AB89" s="409">
        <f t="shared" ref="AB89:AC89" si="285">AB88</f>
        <v>31.487000000000002</v>
      </c>
      <c r="AC89" s="409">
        <f t="shared" si="285"/>
        <v>35.003</v>
      </c>
      <c r="AD89" s="409">
        <f t="shared" ref="AD89:AE89" si="286">AD88</f>
        <v>36.778999999999996</v>
      </c>
      <c r="AE89" s="409">
        <f t="shared" si="286"/>
        <v>55.174999999999997</v>
      </c>
      <c r="AF89" s="408">
        <f t="shared" si="271"/>
        <v>158.44400000000002</v>
      </c>
      <c r="AG89" s="409">
        <f t="shared" si="250"/>
        <v>61.399650000000001</v>
      </c>
      <c r="AH89" s="409">
        <f t="shared" si="251"/>
        <v>71.756149999999991</v>
      </c>
      <c r="AI89" s="409">
        <f t="shared" si="252"/>
        <v>75.39694999999999</v>
      </c>
      <c r="AJ89" s="409">
        <f t="shared" si="253"/>
        <v>82.762499999999989</v>
      </c>
      <c r="AK89" s="408">
        <f t="shared" si="272"/>
        <v>291.31524999999999</v>
      </c>
      <c r="AL89" s="409"/>
      <c r="AM89" s="409"/>
      <c r="AN89" s="409"/>
      <c r="AO89" s="409"/>
      <c r="AP89" s="408">
        <f t="shared" si="254"/>
        <v>297.14155499999998</v>
      </c>
      <c r="AQ89" s="409"/>
      <c r="AR89" s="409"/>
      <c r="AS89" s="409"/>
      <c r="AT89" s="409"/>
      <c r="AU89" s="408">
        <f t="shared" si="255"/>
        <v>301.59867832499998</v>
      </c>
      <c r="AV89" s="409"/>
      <c r="AW89" s="409"/>
      <c r="AX89" s="409"/>
      <c r="AY89" s="409"/>
      <c r="AZ89" s="408">
        <f t="shared" si="256"/>
        <v>304.61466510824999</v>
      </c>
      <c r="BA89" s="409"/>
      <c r="BB89" s="409"/>
      <c r="BC89" s="409"/>
      <c r="BD89" s="409"/>
      <c r="BE89" s="408">
        <f t="shared" si="257"/>
        <v>306.13773843379118</v>
      </c>
      <c r="BF89" s="409"/>
      <c r="BG89" s="409"/>
      <c r="BH89" s="409"/>
      <c r="BI89" s="409"/>
      <c r="BJ89" s="408">
        <f t="shared" si="258"/>
        <v>306.13773843379118</v>
      </c>
      <c r="BK89" s="409"/>
      <c r="BL89" s="409"/>
      <c r="BM89" s="409"/>
      <c r="BN89" s="409"/>
      <c r="BO89" s="408">
        <f t="shared" si="259"/>
        <v>306.13773843379118</v>
      </c>
      <c r="BP89" s="409"/>
      <c r="BQ89" s="409"/>
      <c r="BR89" s="409"/>
      <c r="BS89" s="409"/>
      <c r="BT89" s="408">
        <f t="shared" si="260"/>
        <v>306.13773843379118</v>
      </c>
      <c r="BU89" s="409"/>
      <c r="BV89" s="409"/>
      <c r="BW89" s="409"/>
      <c r="BX89" s="409"/>
      <c r="BY89" s="408">
        <f t="shared" si="261"/>
        <v>306.13773843379118</v>
      </c>
      <c r="BZ89" s="409"/>
      <c r="CA89" s="409"/>
      <c r="CB89" s="409"/>
      <c r="CC89" s="409"/>
      <c r="CD89" s="408">
        <f t="shared" si="262"/>
        <v>306.13773843379118</v>
      </c>
      <c r="CE89" s="409"/>
      <c r="CF89" s="409"/>
      <c r="CG89" s="409"/>
      <c r="CH89" s="409"/>
      <c r="CI89" s="408">
        <f t="shared" si="263"/>
        <v>306.13773843379118</v>
      </c>
      <c r="CJ89" s="409"/>
      <c r="CK89" s="409"/>
      <c r="CL89" s="409"/>
      <c r="CM89" s="409"/>
      <c r="CN89" s="408">
        <f t="shared" si="264"/>
        <v>306.13773843379118</v>
      </c>
      <c r="CO89" s="409"/>
      <c r="CP89" s="409"/>
      <c r="CQ89" s="409"/>
      <c r="CR89" s="409"/>
      <c r="CS89" s="408">
        <f t="shared" si="265"/>
        <v>306.13773843379118</v>
      </c>
    </row>
    <row r="90" spans="2:105" ht="14.25" customHeight="1">
      <c r="B90" s="643" t="s">
        <v>268</v>
      </c>
      <c r="C90" s="352"/>
      <c r="D90" s="352"/>
      <c r="E90" s="352"/>
      <c r="F90" s="352"/>
      <c r="G90" s="361"/>
      <c r="H90" s="362">
        <f>H87/C87-1</f>
        <v>-0.39775129732846437</v>
      </c>
      <c r="I90" s="362">
        <f t="shared" ref="I90:I92" si="287">I87/D87-1</f>
        <v>-0.4848592803705023</v>
      </c>
      <c r="J90" s="362">
        <f t="shared" ref="J90:J92" si="288">J87/E87-1</f>
        <v>-0.47174523883858877</v>
      </c>
      <c r="K90" s="362">
        <f t="shared" ref="K90:K92" si="289">K87/F87-1</f>
        <v>-0.18030690537084404</v>
      </c>
      <c r="L90" s="361">
        <f>(L87/G87)-1</f>
        <v>-0.39137451806688772</v>
      </c>
      <c r="M90" s="362">
        <f>M87/H87-1</f>
        <v>0.42412637625658212</v>
      </c>
      <c r="N90" s="362">
        <f t="shared" ref="N90:N92" si="290">N87/I87-1</f>
        <v>0.99135546334716484</v>
      </c>
      <c r="O90" s="362">
        <f t="shared" ref="O90:O92" si="291">O87/J87-1</f>
        <v>0.46247044917257685</v>
      </c>
      <c r="P90" s="362">
        <f t="shared" ref="P90:P92" si="292">P87/K87-1</f>
        <v>0.70226809072362895</v>
      </c>
      <c r="Q90" s="361">
        <f>(Q87/L87)-1</f>
        <v>0.63987919858573949</v>
      </c>
      <c r="R90" s="362">
        <f>R87/M87-1</f>
        <v>0.42565826330532208</v>
      </c>
      <c r="S90" s="362">
        <f t="shared" ref="S90:AE92" si="293">S87/N87-1</f>
        <v>0.26949123111651319</v>
      </c>
      <c r="T90" s="362">
        <f t="shared" si="293"/>
        <v>0.62012527783390592</v>
      </c>
      <c r="U90" s="362">
        <f t="shared" si="293"/>
        <v>0.21452238279873104</v>
      </c>
      <c r="V90" s="361">
        <f>(V87/Q87)-1</f>
        <v>0.36122714818308399</v>
      </c>
      <c r="W90" s="362">
        <f t="shared" si="293"/>
        <v>0.65828355862936183</v>
      </c>
      <c r="X90" s="362">
        <f t="shared" si="293"/>
        <v>0.23013267678840088</v>
      </c>
      <c r="Y90" s="362">
        <f t="shared" si="293"/>
        <v>0.39629583437266125</v>
      </c>
      <c r="Z90" s="362">
        <f t="shared" si="293"/>
        <v>0.61806361736707682</v>
      </c>
      <c r="AA90" s="361">
        <f>(AA87/V87)-1</f>
        <v>0.47424517406368571</v>
      </c>
      <c r="AB90" s="362">
        <f t="shared" si="293"/>
        <v>0.4922748815165876</v>
      </c>
      <c r="AC90" s="362">
        <f t="shared" si="293"/>
        <v>0.94601656752098751</v>
      </c>
      <c r="AD90" s="362">
        <f t="shared" si="293"/>
        <v>0.64257960787816537</v>
      </c>
      <c r="AE90" s="362">
        <f t="shared" si="293"/>
        <v>0.97930119098866397</v>
      </c>
      <c r="AF90" s="361">
        <f>(AF87/AA87)-1</f>
        <v>0.7732166439107373</v>
      </c>
      <c r="AG90" s="363">
        <f>AG91</f>
        <v>0.95</v>
      </c>
      <c r="AH90" s="363">
        <f>AH91</f>
        <v>1.05</v>
      </c>
      <c r="AI90" s="363">
        <f>AI91</f>
        <v>1.1499999999999999</v>
      </c>
      <c r="AJ90" s="363">
        <f>AJ91</f>
        <v>0.6</v>
      </c>
      <c r="AK90" s="361">
        <f>(AK87/AF87)-1</f>
        <v>0.89663635101360684</v>
      </c>
      <c r="AL90" s="363">
        <f t="shared" ref="AL90:AO90" si="294">AG90-0.01</f>
        <v>0.94</v>
      </c>
      <c r="AM90" s="363">
        <f t="shared" si="294"/>
        <v>1.04</v>
      </c>
      <c r="AN90" s="363">
        <f t="shared" si="294"/>
        <v>1.1399999999999999</v>
      </c>
      <c r="AO90" s="363">
        <f t="shared" si="294"/>
        <v>0.59</v>
      </c>
      <c r="AP90" s="364">
        <f>AP91</f>
        <v>0.05</v>
      </c>
      <c r="AQ90" s="363"/>
      <c r="AR90" s="363"/>
      <c r="AS90" s="363"/>
      <c r="AT90" s="363"/>
      <c r="AU90" s="364">
        <f>AP90-0.0075</f>
        <v>4.2500000000000003E-2</v>
      </c>
      <c r="AV90" s="363"/>
      <c r="AW90" s="363"/>
      <c r="AX90" s="363"/>
      <c r="AY90" s="363"/>
      <c r="AZ90" s="364">
        <f>AU90-0.0075</f>
        <v>3.5000000000000003E-2</v>
      </c>
      <c r="BA90" s="363"/>
      <c r="BB90" s="363"/>
      <c r="BC90" s="363"/>
      <c r="BD90" s="363"/>
      <c r="BE90" s="364">
        <f>AZ90-0.0075</f>
        <v>2.7500000000000004E-2</v>
      </c>
      <c r="BF90" s="363"/>
      <c r="BG90" s="363"/>
      <c r="BH90" s="363"/>
      <c r="BI90" s="363"/>
      <c r="BJ90" s="364">
        <f>BE90-0.005</f>
        <v>2.2500000000000003E-2</v>
      </c>
      <c r="BK90" s="363"/>
      <c r="BL90" s="363"/>
      <c r="BM90" s="363"/>
      <c r="BN90" s="363"/>
      <c r="BO90" s="364">
        <f>BJ90-0.005</f>
        <v>1.7500000000000002E-2</v>
      </c>
      <c r="BP90" s="363"/>
      <c r="BQ90" s="363"/>
      <c r="BR90" s="363"/>
      <c r="BS90" s="363"/>
      <c r="BT90" s="364">
        <f>BO90-0.005</f>
        <v>1.2500000000000001E-2</v>
      </c>
      <c r="BU90" s="363"/>
      <c r="BV90" s="363"/>
      <c r="BW90" s="363"/>
      <c r="BX90" s="363"/>
      <c r="BY90" s="364">
        <f>BT90-0.0025</f>
        <v>0.01</v>
      </c>
      <c r="BZ90" s="363"/>
      <c r="CA90" s="363"/>
      <c r="CB90" s="363"/>
      <c r="CC90" s="363"/>
      <c r="CD90" s="364">
        <f>BY90-0.0025</f>
        <v>7.4999999999999997E-3</v>
      </c>
      <c r="CE90" s="363"/>
      <c r="CF90" s="363"/>
      <c r="CG90" s="363"/>
      <c r="CH90" s="363"/>
      <c r="CI90" s="364">
        <f>CD90-0.0025</f>
        <v>4.9999999999999992E-3</v>
      </c>
      <c r="CJ90" s="363"/>
      <c r="CK90" s="363"/>
      <c r="CL90" s="363"/>
      <c r="CM90" s="363"/>
      <c r="CN90" s="364">
        <f>CI90-0.0025</f>
        <v>2.4999999999999992E-3</v>
      </c>
      <c r="CO90" s="363"/>
      <c r="CP90" s="363"/>
      <c r="CQ90" s="363"/>
      <c r="CR90" s="363"/>
      <c r="CS90" s="364">
        <f>CN90-0.0025</f>
        <v>0</v>
      </c>
    </row>
    <row r="91" spans="2:105" ht="14.25" customHeight="1">
      <c r="B91" s="643" t="s">
        <v>269</v>
      </c>
      <c r="C91" s="352"/>
      <c r="D91" s="352"/>
      <c r="E91" s="352"/>
      <c r="F91" s="352"/>
      <c r="G91" s="361"/>
      <c r="H91" s="362">
        <f t="shared" ref="H91:H92" si="295">H88/C88-1</f>
        <v>-0.39775129732846437</v>
      </c>
      <c r="I91" s="362">
        <f t="shared" si="287"/>
        <v>-0.4848592803705023</v>
      </c>
      <c r="J91" s="362">
        <f t="shared" si="288"/>
        <v>-0.47174523883858877</v>
      </c>
      <c r="K91" s="362">
        <f t="shared" si="289"/>
        <v>-0.18030690537084404</v>
      </c>
      <c r="L91" s="361">
        <f>(L88/G88)-1</f>
        <v>-0.39137451806688772</v>
      </c>
      <c r="M91" s="362">
        <f t="shared" ref="M91:M92" si="296">M88/H88-1</f>
        <v>0.42412637625658212</v>
      </c>
      <c r="N91" s="362">
        <f t="shared" si="290"/>
        <v>0.99135546334716484</v>
      </c>
      <c r="O91" s="362">
        <f t="shared" si="291"/>
        <v>0.46247044917257685</v>
      </c>
      <c r="P91" s="362">
        <f t="shared" si="292"/>
        <v>0.70226809072362895</v>
      </c>
      <c r="Q91" s="361">
        <f>(Q88/L88)-1</f>
        <v>0.63987919858573949</v>
      </c>
      <c r="R91" s="362">
        <f t="shared" ref="R91:R92" si="297">R88/M88-1</f>
        <v>0.42565826330532208</v>
      </c>
      <c r="S91" s="362">
        <f t="shared" si="293"/>
        <v>0.26949123111651319</v>
      </c>
      <c r="T91" s="362">
        <f t="shared" si="293"/>
        <v>0.62012527783390592</v>
      </c>
      <c r="U91" s="362">
        <f t="shared" si="293"/>
        <v>0.21452238279873104</v>
      </c>
      <c r="V91" s="361">
        <f>(V88/Q88)-1</f>
        <v>0.36122714818308399</v>
      </c>
      <c r="W91" s="362">
        <f t="shared" si="293"/>
        <v>0.65828355862936183</v>
      </c>
      <c r="X91" s="362">
        <f t="shared" si="293"/>
        <v>0.23013267678840088</v>
      </c>
      <c r="Y91" s="362">
        <f t="shared" si="293"/>
        <v>0.39629583437266125</v>
      </c>
      <c r="Z91" s="362">
        <f t="shared" si="293"/>
        <v>0.61806361736707682</v>
      </c>
      <c r="AA91" s="361">
        <f>(AA88/V88)-1</f>
        <v>0.47424517406368571</v>
      </c>
      <c r="AB91" s="362">
        <f t="shared" si="293"/>
        <v>0.4922748815165876</v>
      </c>
      <c r="AC91" s="362">
        <f t="shared" si="293"/>
        <v>0.94601656752098751</v>
      </c>
      <c r="AD91" s="362">
        <f t="shared" si="293"/>
        <v>0.64257960787816537</v>
      </c>
      <c r="AE91" s="362">
        <f t="shared" si="293"/>
        <v>0.97930119098866397</v>
      </c>
      <c r="AF91" s="361">
        <f>(AF88/AA88)-1</f>
        <v>0.7732166439107373</v>
      </c>
      <c r="AG91" s="363">
        <v>0.95</v>
      </c>
      <c r="AH91" s="363">
        <v>1.05</v>
      </c>
      <c r="AI91" s="363">
        <v>1.1499999999999999</v>
      </c>
      <c r="AJ91" s="363">
        <v>0.6</v>
      </c>
      <c r="AK91" s="361">
        <f>(AK88/AF88)-1</f>
        <v>0.89663635101360684</v>
      </c>
      <c r="AL91" s="363"/>
      <c r="AM91" s="363"/>
      <c r="AN91" s="363"/>
      <c r="AO91" s="363"/>
      <c r="AP91" s="364">
        <v>0.05</v>
      </c>
      <c r="AQ91" s="363"/>
      <c r="AR91" s="363"/>
      <c r="AS91" s="363"/>
      <c r="AT91" s="363"/>
      <c r="AU91" s="364">
        <f>AP91-0.01</f>
        <v>0.04</v>
      </c>
      <c r="AV91" s="363"/>
      <c r="AW91" s="363"/>
      <c r="AX91" s="363"/>
      <c r="AY91" s="363"/>
      <c r="AZ91" s="364">
        <f>AU91-0.01</f>
        <v>0.03</v>
      </c>
      <c r="BA91" s="363">
        <f t="shared" ref="BA91:CR91" si="298">AV91</f>
        <v>0</v>
      </c>
      <c r="BB91" s="363">
        <f t="shared" si="298"/>
        <v>0</v>
      </c>
      <c r="BC91" s="363">
        <f t="shared" si="298"/>
        <v>0</v>
      </c>
      <c r="BD91" s="363">
        <f t="shared" si="298"/>
        <v>0</v>
      </c>
      <c r="BE91" s="364">
        <f>AZ91-0.01</f>
        <v>1.9999999999999997E-2</v>
      </c>
      <c r="BF91" s="363">
        <f t="shared" si="298"/>
        <v>0</v>
      </c>
      <c r="BG91" s="363">
        <f t="shared" si="298"/>
        <v>0</v>
      </c>
      <c r="BH91" s="363">
        <f t="shared" si="298"/>
        <v>0</v>
      </c>
      <c r="BI91" s="363">
        <f t="shared" si="298"/>
        <v>0</v>
      </c>
      <c r="BJ91" s="364">
        <f>BE91-0.005</f>
        <v>1.4999999999999996E-2</v>
      </c>
      <c r="BK91" s="363">
        <f t="shared" si="298"/>
        <v>0</v>
      </c>
      <c r="BL91" s="363">
        <f t="shared" si="298"/>
        <v>0</v>
      </c>
      <c r="BM91" s="363">
        <f t="shared" si="298"/>
        <v>0</v>
      </c>
      <c r="BN91" s="363">
        <f t="shared" si="298"/>
        <v>0</v>
      </c>
      <c r="BO91" s="364">
        <f>BJ91-0.005</f>
        <v>9.999999999999995E-3</v>
      </c>
      <c r="BP91" s="363">
        <f t="shared" si="298"/>
        <v>0</v>
      </c>
      <c r="BQ91" s="363">
        <f t="shared" si="298"/>
        <v>0</v>
      </c>
      <c r="BR91" s="363">
        <f t="shared" si="298"/>
        <v>0</v>
      </c>
      <c r="BS91" s="363">
        <f t="shared" si="298"/>
        <v>0</v>
      </c>
      <c r="BT91" s="364">
        <f>BO91-0.005</f>
        <v>4.9999999999999949E-3</v>
      </c>
      <c r="BU91" s="363">
        <f t="shared" si="298"/>
        <v>0</v>
      </c>
      <c r="BV91" s="363">
        <f t="shared" si="298"/>
        <v>0</v>
      </c>
      <c r="BW91" s="363">
        <f t="shared" si="298"/>
        <v>0</v>
      </c>
      <c r="BX91" s="363">
        <f t="shared" si="298"/>
        <v>0</v>
      </c>
      <c r="BY91" s="364">
        <f>BT91-0.005</f>
        <v>0</v>
      </c>
      <c r="BZ91" s="363">
        <f t="shared" si="298"/>
        <v>0</v>
      </c>
      <c r="CA91" s="363">
        <f t="shared" si="298"/>
        <v>0</v>
      </c>
      <c r="CB91" s="363">
        <f t="shared" si="298"/>
        <v>0</v>
      </c>
      <c r="CC91" s="363">
        <f t="shared" si="298"/>
        <v>0</v>
      </c>
      <c r="CD91" s="364">
        <f>BY91-0.005</f>
        <v>-5.0000000000000001E-3</v>
      </c>
      <c r="CE91" s="363">
        <f t="shared" si="298"/>
        <v>0</v>
      </c>
      <c r="CF91" s="363">
        <f t="shared" si="298"/>
        <v>0</v>
      </c>
      <c r="CG91" s="363">
        <f t="shared" si="298"/>
        <v>0</v>
      </c>
      <c r="CH91" s="363">
        <f t="shared" si="298"/>
        <v>0</v>
      </c>
      <c r="CI91" s="364">
        <f>CD91-0.005</f>
        <v>-0.01</v>
      </c>
      <c r="CJ91" s="363">
        <f t="shared" si="298"/>
        <v>0</v>
      </c>
      <c r="CK91" s="363">
        <f t="shared" si="298"/>
        <v>0</v>
      </c>
      <c r="CL91" s="363">
        <f t="shared" si="298"/>
        <v>0</v>
      </c>
      <c r="CM91" s="363">
        <f t="shared" si="298"/>
        <v>0</v>
      </c>
      <c r="CN91" s="364">
        <f>CI91-0.005</f>
        <v>-1.4999999999999999E-2</v>
      </c>
      <c r="CO91" s="363">
        <f t="shared" si="298"/>
        <v>0</v>
      </c>
      <c r="CP91" s="363">
        <f t="shared" si="298"/>
        <v>0</v>
      </c>
      <c r="CQ91" s="363">
        <f t="shared" si="298"/>
        <v>0</v>
      </c>
      <c r="CR91" s="363">
        <f t="shared" si="298"/>
        <v>0</v>
      </c>
      <c r="CS91" s="364">
        <f>CN91-0.005</f>
        <v>-0.02</v>
      </c>
    </row>
    <row r="92" spans="2:105" ht="14.25" customHeight="1">
      <c r="B92" s="644" t="s">
        <v>270</v>
      </c>
      <c r="C92" s="365"/>
      <c r="D92" s="365"/>
      <c r="E92" s="365"/>
      <c r="F92" s="365"/>
      <c r="G92" s="366"/>
      <c r="H92" s="367">
        <f t="shared" si="295"/>
        <v>-0.39775129732846437</v>
      </c>
      <c r="I92" s="367">
        <f t="shared" si="287"/>
        <v>-0.4848592803705023</v>
      </c>
      <c r="J92" s="367">
        <f t="shared" si="288"/>
        <v>-0.47174523883858877</v>
      </c>
      <c r="K92" s="367">
        <f t="shared" si="289"/>
        <v>-0.18030690537084404</v>
      </c>
      <c r="L92" s="366">
        <f>(L89/G89)-1</f>
        <v>-0.39137451806688772</v>
      </c>
      <c r="M92" s="367">
        <f t="shared" si="296"/>
        <v>0.42412637625658212</v>
      </c>
      <c r="N92" s="367">
        <f t="shared" si="290"/>
        <v>0.99135546334716484</v>
      </c>
      <c r="O92" s="367">
        <f t="shared" si="291"/>
        <v>0.46247044917257685</v>
      </c>
      <c r="P92" s="367">
        <f t="shared" si="292"/>
        <v>0.70226809072362895</v>
      </c>
      <c r="Q92" s="366">
        <f>(Q89/L89)-1</f>
        <v>0.63987919858573949</v>
      </c>
      <c r="R92" s="367">
        <f t="shared" si="297"/>
        <v>0.42565826330532208</v>
      </c>
      <c r="S92" s="367">
        <f t="shared" si="293"/>
        <v>0.26949123111651319</v>
      </c>
      <c r="T92" s="367">
        <f t="shared" si="293"/>
        <v>0.62012527783390592</v>
      </c>
      <c r="U92" s="367">
        <f t="shared" si="293"/>
        <v>0.21452238279873104</v>
      </c>
      <c r="V92" s="366">
        <f>(V89/Q89)-1</f>
        <v>0.36122714818308399</v>
      </c>
      <c r="W92" s="367">
        <f t="shared" si="293"/>
        <v>0.65828355862936183</v>
      </c>
      <c r="X92" s="367">
        <f t="shared" si="293"/>
        <v>0.23013267678840088</v>
      </c>
      <c r="Y92" s="367">
        <f t="shared" si="293"/>
        <v>0.39629583437266125</v>
      </c>
      <c r="Z92" s="367">
        <f t="shared" si="293"/>
        <v>0.61806361736707682</v>
      </c>
      <c r="AA92" s="366">
        <f>(AA89/V89)-1</f>
        <v>0.47424517406368571</v>
      </c>
      <c r="AB92" s="367">
        <f t="shared" si="293"/>
        <v>0.4922748815165876</v>
      </c>
      <c r="AC92" s="367">
        <f t="shared" si="293"/>
        <v>0.94601656752098751</v>
      </c>
      <c r="AD92" s="367">
        <f t="shared" si="293"/>
        <v>0.64257960787816537</v>
      </c>
      <c r="AE92" s="367">
        <f t="shared" si="293"/>
        <v>0.97930119098866397</v>
      </c>
      <c r="AF92" s="366">
        <f>(AF89/AA89)-1</f>
        <v>0.7732166439107373</v>
      </c>
      <c r="AG92" s="368">
        <f>AG91</f>
        <v>0.95</v>
      </c>
      <c r="AH92" s="368">
        <f>AH91</f>
        <v>1.05</v>
      </c>
      <c r="AI92" s="368">
        <f>AH92</f>
        <v>1.05</v>
      </c>
      <c r="AJ92" s="368">
        <v>0.5</v>
      </c>
      <c r="AK92" s="366">
        <f>(AK89/AF89)-1</f>
        <v>0.83860070434980161</v>
      </c>
      <c r="AL92" s="368"/>
      <c r="AM92" s="368"/>
      <c r="AN92" s="368"/>
      <c r="AO92" s="368"/>
      <c r="AP92" s="369">
        <v>0.02</v>
      </c>
      <c r="AQ92" s="368"/>
      <c r="AR92" s="368"/>
      <c r="AS92" s="368"/>
      <c r="AT92" s="368"/>
      <c r="AU92" s="369">
        <v>1.4999999999999999E-2</v>
      </c>
      <c r="AV92" s="368"/>
      <c r="AW92" s="368"/>
      <c r="AX92" s="368"/>
      <c r="AY92" s="368"/>
      <c r="AZ92" s="369">
        <v>0.01</v>
      </c>
      <c r="BA92" s="368"/>
      <c r="BB92" s="368"/>
      <c r="BC92" s="368"/>
      <c r="BD92" s="368"/>
      <c r="BE92" s="369">
        <v>5.0000000000000001E-3</v>
      </c>
      <c r="BF92" s="368"/>
      <c r="BG92" s="368"/>
      <c r="BH92" s="368"/>
      <c r="BI92" s="368"/>
      <c r="BJ92" s="369">
        <v>0</v>
      </c>
      <c r="BK92" s="368"/>
      <c r="BL92" s="368"/>
      <c r="BM92" s="368"/>
      <c r="BN92" s="368"/>
      <c r="BO92" s="369">
        <v>0</v>
      </c>
      <c r="BP92" s="368"/>
      <c r="BQ92" s="368"/>
      <c r="BR92" s="368"/>
      <c r="BS92" s="368"/>
      <c r="BT92" s="369">
        <v>0</v>
      </c>
      <c r="BU92" s="368"/>
      <c r="BV92" s="368"/>
      <c r="BW92" s="368"/>
      <c r="BX92" s="368"/>
      <c r="BY92" s="369">
        <v>0</v>
      </c>
      <c r="BZ92" s="368"/>
      <c r="CA92" s="368"/>
      <c r="CB92" s="368"/>
      <c r="CC92" s="368"/>
      <c r="CD92" s="369">
        <v>0</v>
      </c>
      <c r="CE92" s="368"/>
      <c r="CF92" s="368"/>
      <c r="CG92" s="368"/>
      <c r="CH92" s="368"/>
      <c r="CI92" s="369">
        <v>0</v>
      </c>
      <c r="CJ92" s="368"/>
      <c r="CK92" s="368"/>
      <c r="CL92" s="368"/>
      <c r="CM92" s="368"/>
      <c r="CN92" s="369">
        <v>0</v>
      </c>
      <c r="CO92" s="368"/>
      <c r="CP92" s="368"/>
      <c r="CQ92" s="368"/>
      <c r="CR92" s="368"/>
      <c r="CS92" s="369">
        <v>0</v>
      </c>
    </row>
    <row r="93" spans="2:105" ht="14.25" customHeight="1">
      <c r="C93" s="352"/>
      <c r="D93" s="352"/>
      <c r="E93" s="352"/>
      <c r="F93" s="352"/>
      <c r="H93" s="352"/>
      <c r="I93" s="352"/>
      <c r="J93" s="352"/>
      <c r="K93" s="352"/>
      <c r="M93" s="352"/>
      <c r="N93" s="352"/>
      <c r="O93" s="352"/>
      <c r="P93" s="352"/>
      <c r="R93" s="352"/>
      <c r="S93" s="352"/>
      <c r="T93" s="352"/>
      <c r="U93" s="352"/>
      <c r="W93" s="352"/>
      <c r="X93" s="352"/>
      <c r="Y93" s="352"/>
      <c r="Z93" s="352"/>
      <c r="AB93" s="352"/>
      <c r="AC93" s="352"/>
      <c r="AD93" s="352"/>
      <c r="AE93" s="352"/>
      <c r="AG93" s="352"/>
      <c r="AH93" s="352"/>
      <c r="AI93" s="352"/>
      <c r="AJ93" s="352"/>
      <c r="AL93" s="352"/>
      <c r="AM93" s="352"/>
      <c r="AN93" s="352"/>
      <c r="AO93" s="352"/>
      <c r="AQ93" s="352"/>
      <c r="AR93" s="352"/>
      <c r="AS93" s="352"/>
      <c r="AT93" s="352"/>
      <c r="AV93" s="352"/>
      <c r="AW93" s="352"/>
      <c r="AX93" s="352"/>
      <c r="AY93" s="352"/>
      <c r="BA93" s="352"/>
      <c r="BB93" s="352"/>
      <c r="BC93" s="352"/>
      <c r="BD93" s="352"/>
      <c r="BF93" s="352"/>
      <c r="BG93" s="352"/>
      <c r="BH93" s="352"/>
      <c r="BI93" s="352"/>
      <c r="BK93" s="352"/>
      <c r="BL93" s="352"/>
      <c r="BM93" s="352"/>
      <c r="BN93" s="352"/>
      <c r="BP93" s="352"/>
      <c r="BQ93" s="352"/>
      <c r="BR93" s="352"/>
      <c r="BS93" s="352"/>
      <c r="BU93" s="352"/>
      <c r="BV93" s="352"/>
      <c r="BW93" s="352"/>
      <c r="BX93" s="352"/>
      <c r="BZ93" s="352"/>
      <c r="CA93" s="352"/>
      <c r="CB93" s="352"/>
      <c r="CC93" s="352"/>
      <c r="CE93" s="352"/>
      <c r="CF93" s="352"/>
      <c r="CG93" s="352"/>
      <c r="CH93" s="352"/>
      <c r="CJ93" s="352"/>
      <c r="CK93" s="352"/>
      <c r="CL93" s="352"/>
      <c r="CM93" s="352"/>
      <c r="CO93" s="352"/>
      <c r="CP93" s="352"/>
      <c r="CQ93" s="352"/>
      <c r="CR93" s="352"/>
    </row>
    <row r="94" spans="2:105" ht="14.25" customHeight="1">
      <c r="B94" s="484" t="s">
        <v>29</v>
      </c>
      <c r="C94" s="352"/>
      <c r="D94" s="352"/>
      <c r="E94" s="352"/>
      <c r="F94" s="352"/>
      <c r="H94" s="352"/>
      <c r="I94" s="352"/>
      <c r="J94" s="352"/>
      <c r="K94" s="352"/>
      <c r="M94" s="352"/>
      <c r="N94" s="352"/>
      <c r="O94" s="352"/>
      <c r="P94" s="352"/>
      <c r="R94" s="352"/>
      <c r="S94" s="352"/>
      <c r="T94" s="352"/>
      <c r="U94" s="352"/>
      <c r="W94" s="352"/>
      <c r="X94" s="352"/>
      <c r="Y94" s="352"/>
      <c r="Z94" s="352"/>
      <c r="AB94" s="352"/>
      <c r="AC94" s="352"/>
      <c r="AD94" s="352"/>
      <c r="AE94" s="352"/>
      <c r="AG94" s="352"/>
      <c r="AH94" s="352"/>
      <c r="AI94" s="352"/>
      <c r="AJ94" s="352"/>
      <c r="AL94" s="352"/>
      <c r="AM94" s="352"/>
      <c r="AN94" s="352"/>
      <c r="AO94" s="352"/>
      <c r="AQ94" s="352"/>
      <c r="AR94" s="352"/>
      <c r="AS94" s="352"/>
      <c r="AT94" s="352"/>
      <c r="AV94" s="352"/>
      <c r="AW94" s="352"/>
      <c r="AX94" s="352"/>
      <c r="AY94" s="352"/>
      <c r="BA94" s="352"/>
      <c r="BB94" s="352"/>
      <c r="BC94" s="352"/>
      <c r="BD94" s="352"/>
      <c r="BF94" s="352"/>
      <c r="BG94" s="352"/>
      <c r="BH94" s="352"/>
      <c r="BI94" s="352"/>
      <c r="BK94" s="352"/>
      <c r="BL94" s="352"/>
      <c r="BM94" s="352"/>
      <c r="BN94" s="352"/>
      <c r="BP94" s="352"/>
      <c r="BQ94" s="352"/>
      <c r="BR94" s="352"/>
      <c r="BS94" s="352"/>
      <c r="BU94" s="352"/>
      <c r="BV94" s="352"/>
      <c r="BW94" s="352"/>
      <c r="BX94" s="352"/>
      <c r="BZ94" s="352"/>
      <c r="CA94" s="352"/>
      <c r="CB94" s="352"/>
      <c r="CC94" s="352"/>
      <c r="CE94" s="352"/>
      <c r="CF94" s="352"/>
      <c r="CG94" s="352"/>
      <c r="CH94" s="352"/>
      <c r="CJ94" s="352"/>
      <c r="CK94" s="352"/>
      <c r="CL94" s="352"/>
      <c r="CM94" s="352"/>
      <c r="CO94" s="352"/>
      <c r="CP94" s="352"/>
      <c r="CQ94" s="352"/>
      <c r="CR94" s="352"/>
    </row>
    <row r="95" spans="2:105" ht="14.25" customHeight="1">
      <c r="B95" s="645" t="s">
        <v>275</v>
      </c>
      <c r="C95" s="370"/>
      <c r="D95" s="370"/>
      <c r="E95" s="370"/>
      <c r="F95" s="370"/>
      <c r="G95" s="371"/>
      <c r="H95" s="372"/>
      <c r="I95" s="372"/>
      <c r="J95" s="372"/>
      <c r="K95" s="372"/>
      <c r="L95" s="371">
        <f>(BS!D5+BS!D6+BS!E5+BS!E6)/2</f>
        <v>184.34100000000001</v>
      </c>
      <c r="M95" s="372"/>
      <c r="N95" s="372"/>
      <c r="O95" s="372"/>
      <c r="P95" s="372"/>
      <c r="Q95" s="371">
        <f>(BS!F5+BS!F6+BS!E5+BS!E6)/2</f>
        <v>423.98899999999998</v>
      </c>
      <c r="R95" s="411"/>
      <c r="S95" s="411"/>
      <c r="T95" s="411"/>
      <c r="U95" s="411"/>
      <c r="V95" s="405">
        <f>BS!F5+BS!F6+BS!F13</f>
        <v>881.92899999999997</v>
      </c>
      <c r="W95" s="411"/>
      <c r="X95" s="411"/>
      <c r="Y95" s="411"/>
      <c r="Z95" s="411"/>
      <c r="AA95" s="405">
        <f>BS!G5+BS!G6+BS!G13</f>
        <v>1280.951</v>
      </c>
      <c r="AB95" s="406"/>
      <c r="AC95" s="406"/>
      <c r="AD95" s="406"/>
      <c r="AE95" s="406"/>
      <c r="AF95" s="405">
        <f>BS!H5+BS!H6+BS!H13</f>
        <v>942.601</v>
      </c>
      <c r="AG95" s="406"/>
      <c r="AH95" s="406"/>
      <c r="AI95" s="406"/>
      <c r="AJ95" s="406"/>
      <c r="AK95" s="405">
        <f>BS!I5+BS!I6+BS!I13</f>
        <v>1704.537</v>
      </c>
      <c r="AL95" s="406"/>
      <c r="AM95" s="406"/>
      <c r="AN95" s="406"/>
      <c r="AO95" s="406"/>
      <c r="AP95" s="405">
        <f>BS!J5+BS!J6+BS!J13</f>
        <v>1272.2927781779033</v>
      </c>
      <c r="AQ95" s="406"/>
      <c r="AR95" s="406"/>
      <c r="AS95" s="406"/>
      <c r="AT95" s="406"/>
      <c r="AU95" s="405">
        <f>BS!K5+BS!K6+BS!K13</f>
        <v>861.56439674933972</v>
      </c>
      <c r="AV95" s="406"/>
      <c r="AW95" s="406"/>
      <c r="AX95" s="406"/>
      <c r="AY95" s="406"/>
      <c r="AZ95" s="405">
        <f>BS!L5+BS!L6+BS!L13</f>
        <v>818.49386685924594</v>
      </c>
      <c r="BA95" s="406"/>
      <c r="BB95" s="406"/>
      <c r="BC95" s="406"/>
      <c r="BD95" s="406"/>
      <c r="BE95" s="405">
        <f>BS!M5+BS!M6+BS!M13</f>
        <v>1220.1301647187647</v>
      </c>
      <c r="BF95" s="406"/>
      <c r="BG95" s="406"/>
      <c r="BH95" s="406"/>
      <c r="BI95" s="406"/>
      <c r="BJ95" s="405">
        <f>BS!N5+BS!N6+BS!N13</f>
        <v>2091.7904528695949</v>
      </c>
      <c r="BK95" s="406"/>
      <c r="BL95" s="406"/>
      <c r="BM95" s="406"/>
      <c r="BN95" s="406"/>
      <c r="BO95" s="405">
        <f>BS!O5+BS!O6+BS!O13</f>
        <v>3316.4299956447435</v>
      </c>
      <c r="BP95" s="406"/>
      <c r="BQ95" s="406"/>
      <c r="BR95" s="406"/>
      <c r="BS95" s="406"/>
      <c r="BT95" s="405">
        <f>BS!P5+BS!P6+BS!P13</f>
        <v>4705.1636376126398</v>
      </c>
      <c r="BU95" s="406"/>
      <c r="BV95" s="406"/>
      <c r="BW95" s="406"/>
      <c r="BX95" s="406"/>
      <c r="BY95" s="405">
        <f>BS!Q5+BS!Q6+BS!Q13</f>
        <v>5996.7149769264297</v>
      </c>
      <c r="BZ95" s="406"/>
      <c r="CA95" s="406"/>
      <c r="CB95" s="406"/>
      <c r="CC95" s="406"/>
      <c r="CD95" s="405">
        <f>BS!R5+BS!R6+BS!R13</f>
        <v>7460.5491262758987</v>
      </c>
      <c r="CE95" s="406"/>
      <c r="CF95" s="406"/>
      <c r="CG95" s="406"/>
      <c r="CH95" s="406"/>
      <c r="CI95" s="405">
        <f>BS!S5+BS!S6+BS!S13</f>
        <v>9122.7537408351691</v>
      </c>
      <c r="CJ95" s="406"/>
      <c r="CK95" s="406"/>
      <c r="CL95" s="406"/>
      <c r="CM95" s="406"/>
      <c r="CN95" s="405">
        <f>BS!T5+BS!T6+BS!T13</f>
        <v>10941.54290880979</v>
      </c>
      <c r="CO95" s="406"/>
      <c r="CP95" s="406"/>
      <c r="CQ95" s="406"/>
      <c r="CR95" s="406"/>
      <c r="CS95" s="405">
        <f>CN95</f>
        <v>10941.54290880979</v>
      </c>
    </row>
    <row r="96" spans="2:105" ht="14.25" customHeight="1">
      <c r="B96" s="646" t="s">
        <v>276</v>
      </c>
      <c r="C96" s="352"/>
      <c r="D96" s="352"/>
      <c r="E96" s="352"/>
      <c r="F96" s="352"/>
      <c r="G96" s="373"/>
      <c r="H96" s="373" t="e">
        <f t="shared" ref="H96:Q96" si="299">H97/H95</f>
        <v>#DIV/0!</v>
      </c>
      <c r="I96" s="373" t="e">
        <f t="shared" si="299"/>
        <v>#DIV/0!</v>
      </c>
      <c r="J96" s="373" t="e">
        <f t="shared" si="299"/>
        <v>#DIV/0!</v>
      </c>
      <c r="K96" s="373" t="e">
        <f t="shared" si="299"/>
        <v>#DIV/0!</v>
      </c>
      <c r="L96" s="373">
        <f t="shared" si="299"/>
        <v>5.7990354831535034E-3</v>
      </c>
      <c r="M96" s="362" t="e">
        <f t="shared" si="299"/>
        <v>#DIV/0!</v>
      </c>
      <c r="N96" s="362" t="e">
        <f t="shared" si="299"/>
        <v>#DIV/0!</v>
      </c>
      <c r="O96" s="362" t="e">
        <f t="shared" si="299"/>
        <v>#DIV/0!</v>
      </c>
      <c r="P96" s="362" t="e">
        <f t="shared" si="299"/>
        <v>#DIV/0!</v>
      </c>
      <c r="Q96" s="373">
        <f t="shared" si="299"/>
        <v>6.0355339407390293E-3</v>
      </c>
      <c r="R96" s="362"/>
      <c r="S96" s="362"/>
      <c r="T96" s="362"/>
      <c r="U96" s="362"/>
      <c r="V96" s="364">
        <v>5.0000000000000001E-3</v>
      </c>
      <c r="W96" s="362"/>
      <c r="X96" s="362"/>
      <c r="Y96" s="362"/>
      <c r="Z96" s="362"/>
      <c r="AA96" s="364">
        <f>V96</f>
        <v>5.0000000000000001E-3</v>
      </c>
      <c r="AB96" s="362"/>
      <c r="AC96" s="362"/>
      <c r="AD96" s="362"/>
      <c r="AE96" s="362"/>
      <c r="AF96" s="364">
        <f t="shared" ref="AF96:AZ96" si="300">AA96</f>
        <v>5.0000000000000001E-3</v>
      </c>
      <c r="AG96" s="362"/>
      <c r="AH96" s="362"/>
      <c r="AI96" s="362"/>
      <c r="AJ96" s="362"/>
      <c r="AK96" s="364">
        <f t="shared" si="300"/>
        <v>5.0000000000000001E-3</v>
      </c>
      <c r="AL96" s="364"/>
      <c r="AM96" s="364"/>
      <c r="AN96" s="364"/>
      <c r="AO96" s="364"/>
      <c r="AP96" s="364">
        <f t="shared" si="300"/>
        <v>5.0000000000000001E-3</v>
      </c>
      <c r="AQ96" s="364"/>
      <c r="AR96" s="364"/>
      <c r="AS96" s="364"/>
      <c r="AT96" s="364"/>
      <c r="AU96" s="364">
        <f t="shared" si="300"/>
        <v>5.0000000000000001E-3</v>
      </c>
      <c r="AV96" s="364"/>
      <c r="AW96" s="364"/>
      <c r="AX96" s="364"/>
      <c r="AY96" s="364"/>
      <c r="AZ96" s="364">
        <f t="shared" si="300"/>
        <v>5.0000000000000001E-3</v>
      </c>
      <c r="BA96" s="364"/>
      <c r="BB96" s="364"/>
      <c r="BC96" s="364"/>
      <c r="BD96" s="364"/>
      <c r="BE96" s="364">
        <f t="shared" ref="BE96" si="301">AZ96</f>
        <v>5.0000000000000001E-3</v>
      </c>
      <c r="BF96" s="364"/>
      <c r="BG96" s="364"/>
      <c r="BH96" s="364"/>
      <c r="BI96" s="364"/>
      <c r="BJ96" s="364">
        <f t="shared" ref="BJ96" si="302">BE96</f>
        <v>5.0000000000000001E-3</v>
      </c>
      <c r="BK96" s="364"/>
      <c r="BL96" s="364"/>
      <c r="BM96" s="364"/>
      <c r="BN96" s="364"/>
      <c r="BO96" s="364">
        <f t="shared" ref="BO96" si="303">BJ96</f>
        <v>5.0000000000000001E-3</v>
      </c>
      <c r="BP96" s="364"/>
      <c r="BQ96" s="364"/>
      <c r="BR96" s="364"/>
      <c r="BS96" s="364"/>
      <c r="BT96" s="364">
        <f t="shared" ref="BT96" si="304">BO96</f>
        <v>5.0000000000000001E-3</v>
      </c>
      <c r="BU96" s="364"/>
      <c r="BV96" s="364"/>
      <c r="BW96" s="364"/>
      <c r="BX96" s="364"/>
      <c r="BY96" s="364">
        <f t="shared" ref="BY96" si="305">BT96</f>
        <v>5.0000000000000001E-3</v>
      </c>
      <c r="BZ96" s="364"/>
      <c r="CA96" s="364"/>
      <c r="CB96" s="364"/>
      <c r="CC96" s="364"/>
      <c r="CD96" s="364">
        <f t="shared" ref="CD96" si="306">BY96</f>
        <v>5.0000000000000001E-3</v>
      </c>
      <c r="CE96" s="364"/>
      <c r="CF96" s="364"/>
      <c r="CG96" s="364"/>
      <c r="CH96" s="364"/>
      <c r="CI96" s="364">
        <f t="shared" ref="CI96" si="307">CD96</f>
        <v>5.0000000000000001E-3</v>
      </c>
      <c r="CJ96" s="364"/>
      <c r="CK96" s="364"/>
      <c r="CL96" s="364"/>
      <c r="CM96" s="364"/>
      <c r="CN96" s="364">
        <f t="shared" ref="CN96" si="308">CI96</f>
        <v>5.0000000000000001E-3</v>
      </c>
      <c r="CO96" s="364"/>
      <c r="CP96" s="364"/>
      <c r="CQ96" s="364"/>
      <c r="CR96" s="364"/>
      <c r="CS96" s="364">
        <f t="shared" ref="CS96" si="309">CN96</f>
        <v>5.0000000000000001E-3</v>
      </c>
    </row>
    <row r="97" spans="2:97" ht="14.25" customHeight="1">
      <c r="B97" s="647" t="s">
        <v>29</v>
      </c>
      <c r="C97" s="365"/>
      <c r="D97" s="365"/>
      <c r="E97" s="365"/>
      <c r="F97" s="365"/>
      <c r="G97" s="374"/>
      <c r="H97" s="375"/>
      <c r="I97" s="375"/>
      <c r="J97" s="375"/>
      <c r="K97" s="375"/>
      <c r="L97" s="374">
        <f>L37</f>
        <v>1.069</v>
      </c>
      <c r="M97" s="375"/>
      <c r="N97" s="375"/>
      <c r="O97" s="375"/>
      <c r="P97" s="375"/>
      <c r="Q97" s="374">
        <f>Q37</f>
        <v>2.5590000000000002</v>
      </c>
      <c r="R97" s="375"/>
      <c r="S97" s="375"/>
      <c r="T97" s="375"/>
      <c r="U97" s="375"/>
      <c r="V97" s="374">
        <f>V95*V96</f>
        <v>4.4096450000000003</v>
      </c>
      <c r="W97" s="375">
        <f>W37</f>
        <v>1.8129999999999999</v>
      </c>
      <c r="X97" s="375">
        <f>X37</f>
        <v>2.0920000000000001</v>
      </c>
      <c r="Y97" s="478">
        <f>(AA97-X97-W97)/2</f>
        <v>1.2498775000000006</v>
      </c>
      <c r="Z97" s="478">
        <f>AA97-Y97-X97-W97</f>
        <v>1.2498774999999995</v>
      </c>
      <c r="AA97" s="374">
        <f t="shared" ref="AA97:AZ97" si="310">AA95*AA96</f>
        <v>6.4047550000000006</v>
      </c>
      <c r="AB97" s="375">
        <f>0.25*$AF$97</f>
        <v>1.17825125</v>
      </c>
      <c r="AC97" s="375">
        <f>0.25*$AF$97</f>
        <v>1.17825125</v>
      </c>
      <c r="AD97" s="375">
        <f>0.25*$AF$97</f>
        <v>1.17825125</v>
      </c>
      <c r="AE97" s="375">
        <f>0.25*$AF$97</f>
        <v>1.17825125</v>
      </c>
      <c r="AF97" s="374">
        <f t="shared" si="310"/>
        <v>4.7130049999999999</v>
      </c>
      <c r="AG97" s="375"/>
      <c r="AH97" s="375"/>
      <c r="AI97" s="375"/>
      <c r="AJ97" s="375"/>
      <c r="AK97" s="374">
        <f t="shared" si="310"/>
        <v>8.522685000000001</v>
      </c>
      <c r="AL97" s="375"/>
      <c r="AM97" s="375"/>
      <c r="AN97" s="375"/>
      <c r="AO97" s="375"/>
      <c r="AP97" s="374">
        <f t="shared" si="310"/>
        <v>6.3614638908895165</v>
      </c>
      <c r="AQ97" s="375"/>
      <c r="AR97" s="375"/>
      <c r="AS97" s="375"/>
      <c r="AT97" s="375"/>
      <c r="AU97" s="374">
        <f t="shared" si="310"/>
        <v>4.3078219837466989</v>
      </c>
      <c r="AV97" s="375"/>
      <c r="AW97" s="375"/>
      <c r="AX97" s="375"/>
      <c r="AY97" s="375"/>
      <c r="AZ97" s="374">
        <f t="shared" si="310"/>
        <v>4.0924693342962302</v>
      </c>
      <c r="BA97" s="375"/>
      <c r="BB97" s="375"/>
      <c r="BC97" s="375"/>
      <c r="BD97" s="375"/>
      <c r="BE97" s="374">
        <f t="shared" ref="BE97" si="311">BE95*BE96</f>
        <v>6.1006508235938242</v>
      </c>
      <c r="BF97" s="375"/>
      <c r="BG97" s="375"/>
      <c r="BH97" s="375"/>
      <c r="BI97" s="375"/>
      <c r="BJ97" s="374">
        <f t="shared" ref="BJ97:BO97" si="312">BJ95*BJ96</f>
        <v>10.458952264347975</v>
      </c>
      <c r="BK97" s="375"/>
      <c r="BL97" s="375"/>
      <c r="BM97" s="375"/>
      <c r="BN97" s="375"/>
      <c r="BO97" s="374">
        <f t="shared" si="312"/>
        <v>16.582149978223718</v>
      </c>
      <c r="BP97" s="375"/>
      <c r="BQ97" s="375"/>
      <c r="BR97" s="375"/>
      <c r="BS97" s="375"/>
      <c r="BT97" s="374">
        <f t="shared" ref="BT97" si="313">BT95*BT96</f>
        <v>23.525818188063198</v>
      </c>
      <c r="BU97" s="375"/>
      <c r="BV97" s="375"/>
      <c r="BW97" s="375"/>
      <c r="BX97" s="375"/>
      <c r="BY97" s="374">
        <f t="shared" ref="BY97" si="314">BY95*BY96</f>
        <v>29.983574884632148</v>
      </c>
      <c r="BZ97" s="375"/>
      <c r="CA97" s="375"/>
      <c r="CB97" s="375"/>
      <c r="CC97" s="375"/>
      <c r="CD97" s="374">
        <f t="shared" ref="CD97" si="315">CD95*CD96</f>
        <v>37.302745631379494</v>
      </c>
      <c r="CE97" s="375"/>
      <c r="CF97" s="375"/>
      <c r="CG97" s="375"/>
      <c r="CH97" s="375"/>
      <c r="CI97" s="374">
        <f t="shared" ref="CI97" si="316">CI95*CI96</f>
        <v>45.613768704175847</v>
      </c>
      <c r="CJ97" s="375"/>
      <c r="CK97" s="375"/>
      <c r="CL97" s="375"/>
      <c r="CM97" s="375"/>
      <c r="CN97" s="374">
        <f t="shared" ref="CN97" si="317">CN95*CN96</f>
        <v>54.707714544048947</v>
      </c>
      <c r="CO97" s="375"/>
      <c r="CP97" s="375"/>
      <c r="CQ97" s="375"/>
      <c r="CR97" s="375"/>
      <c r="CS97" s="374">
        <f t="shared" ref="CS97" si="318">CS95*CS96</f>
        <v>54.707714544048947</v>
      </c>
    </row>
    <row r="98" spans="2:97" ht="14.25" customHeight="1">
      <c r="C98" s="352"/>
      <c r="D98" s="352"/>
      <c r="E98" s="352"/>
      <c r="F98" s="352"/>
      <c r="H98" s="352"/>
      <c r="I98" s="352"/>
      <c r="J98" s="352"/>
      <c r="K98" s="352"/>
      <c r="M98" s="352"/>
      <c r="N98" s="352"/>
      <c r="O98" s="352"/>
      <c r="P98" s="352"/>
      <c r="R98" s="352"/>
      <c r="S98" s="352"/>
      <c r="T98" s="352"/>
      <c r="U98" s="352"/>
      <c r="W98" s="352"/>
      <c r="X98" s="352"/>
      <c r="Y98" s="352"/>
      <c r="Z98" s="352"/>
      <c r="AB98" s="352"/>
      <c r="AC98" s="352"/>
      <c r="AD98" s="352"/>
      <c r="AE98" s="352"/>
      <c r="AG98" s="352"/>
      <c r="AH98" s="352"/>
      <c r="AI98" s="352"/>
      <c r="AJ98" s="352"/>
      <c r="AL98" s="352"/>
      <c r="AM98" s="352"/>
      <c r="AN98" s="352"/>
      <c r="AO98" s="352"/>
      <c r="AQ98" s="352"/>
      <c r="AR98" s="352"/>
      <c r="AS98" s="352"/>
      <c r="AT98" s="352"/>
      <c r="AV98" s="352"/>
      <c r="AW98" s="352"/>
      <c r="AX98" s="352"/>
      <c r="AY98" s="352"/>
      <c r="BA98" s="352"/>
      <c r="BB98" s="352"/>
      <c r="BC98" s="352"/>
      <c r="BD98" s="352"/>
      <c r="BF98" s="352"/>
      <c r="BG98" s="352"/>
      <c r="BH98" s="352"/>
      <c r="BI98" s="352"/>
      <c r="BK98" s="352"/>
      <c r="BL98" s="352"/>
      <c r="BM98" s="352"/>
      <c r="BN98" s="352"/>
      <c r="BP98" s="352"/>
      <c r="BQ98" s="352"/>
      <c r="BR98" s="352"/>
      <c r="BS98" s="352"/>
      <c r="BU98" s="352"/>
      <c r="BV98" s="352"/>
      <c r="BW98" s="352"/>
      <c r="BX98" s="352"/>
      <c r="BZ98" s="352"/>
      <c r="CA98" s="352"/>
      <c r="CB98" s="352"/>
      <c r="CC98" s="352"/>
      <c r="CE98" s="352"/>
      <c r="CF98" s="352"/>
      <c r="CG98" s="352"/>
      <c r="CH98" s="352"/>
      <c r="CJ98" s="352"/>
      <c r="CK98" s="352"/>
      <c r="CL98" s="352"/>
      <c r="CM98" s="352"/>
      <c r="CO98" s="352"/>
      <c r="CP98" s="352"/>
      <c r="CQ98" s="352"/>
      <c r="CR98" s="352"/>
    </row>
    <row r="99" spans="2:97" ht="14.25" customHeight="1">
      <c r="B99" s="601" t="s">
        <v>475</v>
      </c>
      <c r="G99" s="399"/>
      <c r="W99" s="409"/>
      <c r="X99" s="409"/>
      <c r="Y99" s="409"/>
      <c r="Z99" s="409"/>
    </row>
    <row r="100" spans="2:97" ht="14.25" customHeight="1">
      <c r="B100" s="263"/>
      <c r="C100" s="583"/>
      <c r="D100" s="583"/>
      <c r="E100" s="583"/>
      <c r="F100" s="583"/>
      <c r="G100" s="584"/>
      <c r="H100" s="583"/>
      <c r="I100" s="583"/>
      <c r="J100" s="583"/>
      <c r="K100" s="583"/>
      <c r="L100" s="585"/>
      <c r="M100" s="583"/>
      <c r="N100" s="583"/>
      <c r="O100" s="583"/>
      <c r="P100" s="583"/>
      <c r="Q100" s="585"/>
      <c r="R100" s="585"/>
      <c r="S100" s="585"/>
      <c r="T100" s="585"/>
      <c r="U100" s="585"/>
      <c r="V100" s="585"/>
      <c r="W100" s="406"/>
      <c r="X100" s="406"/>
      <c r="Y100" s="406"/>
      <c r="Z100" s="406"/>
      <c r="AA100" s="405"/>
      <c r="AB100" s="406"/>
      <c r="AC100" s="406"/>
      <c r="AD100" s="406"/>
      <c r="AE100" s="406"/>
      <c r="AF100" s="405"/>
      <c r="AG100" s="406"/>
      <c r="AH100" s="406"/>
      <c r="AI100" s="406"/>
      <c r="AJ100" s="406"/>
      <c r="AK100" s="405"/>
      <c r="AL100" s="406"/>
      <c r="AM100" s="406"/>
      <c r="AN100" s="406"/>
      <c r="AO100" s="406"/>
      <c r="AP100" s="405"/>
      <c r="AQ100" s="406"/>
      <c r="AR100" s="406"/>
      <c r="AS100" s="406"/>
      <c r="AT100" s="406"/>
      <c r="AU100" s="405"/>
      <c r="AV100" s="406"/>
      <c r="AW100" s="406"/>
      <c r="AX100" s="406"/>
      <c r="AY100" s="406"/>
      <c r="AZ100" s="405"/>
      <c r="BA100" s="406"/>
      <c r="BB100" s="406"/>
      <c r="BC100" s="406"/>
      <c r="BD100" s="406"/>
      <c r="BE100" s="405"/>
      <c r="BF100" s="406"/>
      <c r="BG100" s="406"/>
      <c r="BH100" s="406"/>
      <c r="BI100" s="406"/>
      <c r="BJ100" s="405"/>
      <c r="BK100" s="406"/>
      <c r="BL100" s="406"/>
      <c r="BM100" s="406"/>
      <c r="BN100" s="406"/>
      <c r="BO100" s="405"/>
      <c r="BP100" s="406"/>
      <c r="BQ100" s="406"/>
      <c r="BR100" s="406"/>
      <c r="BS100" s="406"/>
      <c r="BT100" s="405"/>
      <c r="BU100" s="406"/>
      <c r="BV100" s="406"/>
      <c r="BW100" s="406"/>
      <c r="BX100" s="406"/>
      <c r="BY100" s="405"/>
      <c r="BZ100" s="406"/>
      <c r="CA100" s="406"/>
      <c r="CB100" s="406"/>
      <c r="CC100" s="406"/>
      <c r="CD100" s="405"/>
      <c r="CE100" s="406"/>
      <c r="CF100" s="406"/>
      <c r="CG100" s="406"/>
      <c r="CH100" s="406"/>
      <c r="CI100" s="405"/>
      <c r="CJ100" s="406"/>
      <c r="CK100" s="406"/>
      <c r="CL100" s="406"/>
      <c r="CM100" s="406"/>
      <c r="CN100" s="405"/>
      <c r="CO100" s="406"/>
      <c r="CP100" s="406"/>
      <c r="CQ100" s="406"/>
      <c r="CR100" s="406"/>
      <c r="CS100" s="407"/>
    </row>
    <row r="101" spans="2:97" ht="14.25" customHeight="1">
      <c r="B101" s="601" t="s">
        <v>482</v>
      </c>
      <c r="G101" s="399"/>
      <c r="W101" s="409"/>
      <c r="X101" s="409"/>
      <c r="Y101" s="409"/>
      <c r="Z101" s="409"/>
      <c r="AA101" s="408"/>
      <c r="AB101" s="409"/>
      <c r="AC101" s="409"/>
      <c r="AD101" s="409"/>
      <c r="AE101" s="409"/>
      <c r="AF101" s="408"/>
      <c r="AG101" s="409"/>
      <c r="AH101" s="409"/>
      <c r="AI101" s="409"/>
      <c r="AJ101" s="409"/>
      <c r="AK101" s="408"/>
      <c r="AL101" s="409"/>
      <c r="AM101" s="409"/>
      <c r="AN101" s="409"/>
      <c r="AO101" s="409"/>
      <c r="AP101" s="408"/>
      <c r="AQ101" s="409"/>
      <c r="AR101" s="409"/>
      <c r="AS101" s="409"/>
      <c r="AT101" s="409"/>
      <c r="AU101" s="408"/>
      <c r="AV101" s="409"/>
      <c r="AW101" s="409"/>
      <c r="AX101" s="409"/>
      <c r="AY101" s="409"/>
      <c r="AZ101" s="408"/>
      <c r="BA101" s="409"/>
      <c r="BB101" s="409"/>
      <c r="BC101" s="409"/>
      <c r="BD101" s="409"/>
      <c r="BE101" s="408"/>
      <c r="BF101" s="409"/>
      <c r="BG101" s="409"/>
      <c r="BH101" s="409"/>
      <c r="BI101" s="409"/>
      <c r="BJ101" s="408"/>
      <c r="BK101" s="409"/>
      <c r="BL101" s="409"/>
      <c r="BM101" s="409"/>
      <c r="BN101" s="409"/>
      <c r="BO101" s="408"/>
      <c r="BP101" s="409"/>
      <c r="BQ101" s="409"/>
      <c r="BR101" s="409"/>
      <c r="BS101" s="409"/>
      <c r="BT101" s="408"/>
      <c r="BU101" s="409"/>
      <c r="BV101" s="409"/>
      <c r="BW101" s="409"/>
      <c r="BX101" s="409"/>
      <c r="BY101" s="408"/>
      <c r="BZ101" s="409"/>
      <c r="CA101" s="409"/>
      <c r="CB101" s="409"/>
      <c r="CC101" s="409"/>
      <c r="CD101" s="408"/>
      <c r="CE101" s="409"/>
      <c r="CF101" s="409"/>
      <c r="CG101" s="409"/>
      <c r="CH101" s="409"/>
      <c r="CI101" s="408"/>
      <c r="CJ101" s="409"/>
      <c r="CK101" s="409"/>
      <c r="CL101" s="409"/>
      <c r="CM101" s="409"/>
      <c r="CN101" s="408"/>
      <c r="CO101" s="409"/>
      <c r="CP101" s="409"/>
      <c r="CQ101" s="409"/>
      <c r="CR101" s="409"/>
      <c r="CS101" s="410"/>
    </row>
    <row r="102" spans="2:97" ht="14.25" customHeight="1">
      <c r="B102" s="93" t="s">
        <v>476</v>
      </c>
      <c r="V102" s="408">
        <v>150</v>
      </c>
      <c r="W102" s="409"/>
      <c r="X102" s="409"/>
      <c r="Y102" s="409"/>
      <c r="Z102" s="409"/>
      <c r="AA102" s="408"/>
      <c r="AB102" s="409"/>
      <c r="AC102" s="409"/>
      <c r="AD102" s="409"/>
      <c r="AE102" s="409"/>
      <c r="AF102" s="408"/>
      <c r="AG102" s="409"/>
      <c r="AH102" s="409"/>
      <c r="AI102" s="409"/>
      <c r="AJ102" s="409"/>
      <c r="AK102" s="408"/>
      <c r="AL102" s="409"/>
      <c r="AM102" s="409"/>
      <c r="AN102" s="409"/>
      <c r="AO102" s="409"/>
      <c r="AP102" s="408"/>
      <c r="AQ102" s="409"/>
      <c r="AR102" s="409"/>
      <c r="AS102" s="409"/>
      <c r="AT102" s="409"/>
      <c r="AU102" s="408"/>
      <c r="AV102" s="409"/>
      <c r="AW102" s="409"/>
      <c r="AX102" s="409"/>
      <c r="AY102" s="409"/>
      <c r="AZ102" s="408"/>
      <c r="BA102" s="409"/>
      <c r="BB102" s="409"/>
      <c r="BC102" s="409"/>
      <c r="BD102" s="409"/>
      <c r="BE102" s="408"/>
      <c r="BF102" s="409"/>
      <c r="BG102" s="409"/>
      <c r="BH102" s="409"/>
      <c r="BI102" s="409"/>
      <c r="BJ102" s="408"/>
      <c r="BK102" s="409"/>
      <c r="BL102" s="409"/>
      <c r="BM102" s="409"/>
      <c r="BN102" s="409"/>
      <c r="BO102" s="408"/>
      <c r="BP102" s="409"/>
      <c r="BQ102" s="409"/>
      <c r="BR102" s="409"/>
      <c r="BS102" s="409"/>
      <c r="BT102" s="408"/>
      <c r="BU102" s="409"/>
      <c r="BV102" s="409"/>
      <c r="BW102" s="409"/>
      <c r="BX102" s="409"/>
      <c r="BY102" s="408"/>
      <c r="BZ102" s="409"/>
      <c r="CA102" s="409"/>
      <c r="CB102" s="409"/>
      <c r="CC102" s="409"/>
      <c r="CD102" s="408"/>
      <c r="CE102" s="409"/>
      <c r="CF102" s="409"/>
      <c r="CG102" s="409"/>
      <c r="CH102" s="409"/>
      <c r="CI102" s="408"/>
      <c r="CJ102" s="409"/>
      <c r="CK102" s="409"/>
      <c r="CL102" s="409"/>
      <c r="CM102" s="409"/>
      <c r="CN102" s="408"/>
      <c r="CO102" s="409"/>
      <c r="CP102" s="409"/>
      <c r="CQ102" s="409"/>
      <c r="CR102" s="409"/>
      <c r="CS102" s="410"/>
    </row>
    <row r="103" spans="2:97" ht="14.25" customHeight="1">
      <c r="B103" s="601"/>
      <c r="W103" s="409"/>
      <c r="X103" s="409"/>
      <c r="Y103" s="409"/>
      <c r="Z103" s="409"/>
      <c r="AA103" s="408"/>
      <c r="AB103" s="409"/>
      <c r="AC103" s="409"/>
      <c r="AD103" s="409"/>
      <c r="AE103" s="409"/>
      <c r="AF103" s="408"/>
      <c r="AG103" s="409"/>
      <c r="AH103" s="409"/>
      <c r="AI103" s="409"/>
      <c r="AJ103" s="409"/>
      <c r="AK103" s="408"/>
      <c r="AL103" s="409"/>
      <c r="AM103" s="409"/>
      <c r="AN103" s="409"/>
      <c r="AO103" s="409"/>
      <c r="AP103" s="408"/>
      <c r="AQ103" s="409"/>
      <c r="AR103" s="409"/>
      <c r="AS103" s="409"/>
      <c r="AT103" s="409"/>
      <c r="AU103" s="408"/>
      <c r="AV103" s="409"/>
      <c r="AW103" s="409"/>
      <c r="AX103" s="409"/>
      <c r="AY103" s="409"/>
      <c r="AZ103" s="408"/>
      <c r="BA103" s="409"/>
      <c r="BB103" s="409"/>
      <c r="BC103" s="409"/>
      <c r="BD103" s="409"/>
      <c r="BE103" s="408"/>
      <c r="BF103" s="409"/>
      <c r="BG103" s="409"/>
      <c r="BH103" s="409"/>
      <c r="BI103" s="409"/>
      <c r="BJ103" s="408"/>
      <c r="BK103" s="409"/>
      <c r="BL103" s="409"/>
      <c r="BM103" s="409"/>
      <c r="BN103" s="409"/>
      <c r="BO103" s="408"/>
      <c r="BP103" s="409"/>
      <c r="BQ103" s="409"/>
      <c r="BR103" s="409"/>
      <c r="BS103" s="409"/>
      <c r="BT103" s="408"/>
      <c r="BU103" s="409"/>
      <c r="BV103" s="409"/>
      <c r="BW103" s="409"/>
      <c r="BX103" s="409"/>
      <c r="BY103" s="408"/>
      <c r="BZ103" s="409"/>
      <c r="CA103" s="409"/>
      <c r="CB103" s="409"/>
      <c r="CC103" s="409"/>
      <c r="CD103" s="408"/>
      <c r="CE103" s="409"/>
      <c r="CF103" s="409"/>
      <c r="CG103" s="409"/>
      <c r="CH103" s="409"/>
      <c r="CI103" s="408"/>
      <c r="CJ103" s="409"/>
      <c r="CK103" s="409"/>
      <c r="CL103" s="409"/>
      <c r="CM103" s="409"/>
      <c r="CN103" s="408"/>
      <c r="CO103" s="409"/>
      <c r="CP103" s="409"/>
      <c r="CQ103" s="409"/>
      <c r="CR103" s="409"/>
      <c r="CS103" s="410"/>
    </row>
    <row r="104" spans="2:97" ht="14.25" customHeight="1">
      <c r="B104" s="93" t="s">
        <v>477</v>
      </c>
      <c r="W104" s="409"/>
      <c r="X104" s="409"/>
      <c r="Y104" s="409"/>
      <c r="Z104" s="409"/>
      <c r="AA104" s="408">
        <v>0</v>
      </c>
      <c r="AB104" s="409"/>
      <c r="AC104" s="409"/>
      <c r="AD104" s="409"/>
      <c r="AE104" s="409"/>
      <c r="AF104" s="408">
        <f>AA106</f>
        <v>150</v>
      </c>
      <c r="AG104" s="409"/>
      <c r="AH104" s="409"/>
      <c r="AI104" s="409"/>
      <c r="AJ104" s="409"/>
      <c r="AK104" s="408">
        <f>AF106</f>
        <v>30</v>
      </c>
      <c r="AL104" s="409"/>
      <c r="AM104" s="409"/>
      <c r="AN104" s="409"/>
      <c r="AO104" s="409"/>
      <c r="AP104" s="408">
        <f>AK106</f>
        <v>30</v>
      </c>
      <c r="AQ104" s="409"/>
      <c r="AR104" s="409"/>
      <c r="AS104" s="409"/>
      <c r="AT104" s="409"/>
      <c r="AU104" s="408">
        <f>AP106</f>
        <v>30</v>
      </c>
      <c r="AV104" s="409"/>
      <c r="AW104" s="409"/>
      <c r="AX104" s="409"/>
      <c r="AY104" s="409"/>
      <c r="AZ104" s="408">
        <f>AU106</f>
        <v>30</v>
      </c>
      <c r="BA104" s="409"/>
      <c r="BB104" s="409"/>
      <c r="BC104" s="409"/>
      <c r="BD104" s="409"/>
      <c r="BE104" s="408"/>
      <c r="BF104" s="409"/>
      <c r="BG104" s="409"/>
      <c r="BH104" s="409"/>
      <c r="BI104" s="409"/>
      <c r="BJ104" s="408"/>
      <c r="BK104" s="409"/>
      <c r="BL104" s="409"/>
      <c r="BM104" s="409"/>
      <c r="BN104" s="409"/>
      <c r="BO104" s="408"/>
      <c r="BP104" s="409"/>
      <c r="BQ104" s="409"/>
      <c r="BR104" s="409"/>
      <c r="BS104" s="409"/>
      <c r="BT104" s="408"/>
      <c r="BU104" s="409"/>
      <c r="BV104" s="409"/>
      <c r="BW104" s="409"/>
      <c r="BX104" s="409"/>
      <c r="BY104" s="408"/>
      <c r="BZ104" s="409"/>
      <c r="CA104" s="409"/>
      <c r="CB104" s="409"/>
      <c r="CC104" s="409"/>
      <c r="CD104" s="408"/>
      <c r="CE104" s="409"/>
      <c r="CF104" s="409"/>
      <c r="CG104" s="409"/>
      <c r="CH104" s="409"/>
      <c r="CI104" s="408"/>
      <c r="CJ104" s="409"/>
      <c r="CK104" s="409"/>
      <c r="CL104" s="409"/>
      <c r="CM104" s="409"/>
      <c r="CN104" s="408"/>
      <c r="CO104" s="409"/>
      <c r="CP104" s="409"/>
      <c r="CQ104" s="409"/>
      <c r="CR104" s="409"/>
      <c r="CS104" s="410"/>
    </row>
    <row r="105" spans="2:97" ht="14.25" customHeight="1">
      <c r="B105" s="93" t="s">
        <v>478</v>
      </c>
      <c r="W105" s="409"/>
      <c r="X105" s="409"/>
      <c r="Y105" s="409"/>
      <c r="Z105" s="409"/>
      <c r="AA105" s="408">
        <v>0</v>
      </c>
      <c r="AB105" s="409"/>
      <c r="AC105" s="409"/>
      <c r="AD105" s="409"/>
      <c r="AE105" s="409"/>
      <c r="AF105" s="591">
        <v>120</v>
      </c>
      <c r="AG105" s="409"/>
      <c r="AH105" s="409"/>
      <c r="AI105" s="409"/>
      <c r="AJ105" s="409"/>
      <c r="AK105" s="591">
        <v>0</v>
      </c>
      <c r="AL105" s="409"/>
      <c r="AM105" s="409"/>
      <c r="AN105" s="409"/>
      <c r="AO105" s="409"/>
      <c r="AP105" s="591">
        <v>0</v>
      </c>
      <c r="AQ105" s="409"/>
      <c r="AR105" s="409"/>
      <c r="AS105" s="409"/>
      <c r="AT105" s="409"/>
      <c r="AU105" s="591">
        <v>0</v>
      </c>
      <c r="AV105" s="409"/>
      <c r="AW105" s="409"/>
      <c r="AX105" s="409"/>
      <c r="AY105" s="409"/>
      <c r="AZ105" s="591">
        <v>30</v>
      </c>
      <c r="BA105" s="409"/>
      <c r="BB105" s="409"/>
      <c r="BC105" s="409"/>
      <c r="BD105" s="409"/>
      <c r="BE105" s="408"/>
      <c r="BF105" s="409"/>
      <c r="BG105" s="409"/>
      <c r="BH105" s="409"/>
      <c r="BI105" s="409"/>
      <c r="BJ105" s="408"/>
      <c r="BK105" s="409"/>
      <c r="BL105" s="409"/>
      <c r="BM105" s="409"/>
      <c r="BN105" s="409"/>
      <c r="BO105" s="408"/>
      <c r="BP105" s="409"/>
      <c r="BQ105" s="409"/>
      <c r="BR105" s="409"/>
      <c r="BS105" s="409"/>
      <c r="BT105" s="591"/>
      <c r="BU105" s="409"/>
      <c r="BV105" s="409"/>
      <c r="BW105" s="409"/>
      <c r="BX105" s="409"/>
      <c r="BY105" s="591"/>
      <c r="BZ105" s="409"/>
      <c r="CA105" s="409"/>
      <c r="CB105" s="409"/>
      <c r="CC105" s="409"/>
      <c r="CD105" s="591"/>
      <c r="CE105" s="409"/>
      <c r="CF105" s="409"/>
      <c r="CG105" s="409"/>
      <c r="CH105" s="409"/>
      <c r="CI105" s="591"/>
      <c r="CJ105" s="409"/>
      <c r="CK105" s="409"/>
      <c r="CL105" s="409"/>
      <c r="CM105" s="409"/>
      <c r="CN105" s="591"/>
      <c r="CO105" s="409"/>
      <c r="CP105" s="409"/>
      <c r="CQ105" s="409"/>
      <c r="CR105" s="409"/>
      <c r="CS105" s="628"/>
    </row>
    <row r="106" spans="2:97" ht="14.25" customHeight="1">
      <c r="B106" s="93" t="s">
        <v>479</v>
      </c>
      <c r="W106" s="409"/>
      <c r="X106" s="409"/>
      <c r="Y106" s="409"/>
      <c r="Z106" s="409"/>
      <c r="AA106" s="408">
        <f>V102</f>
        <v>150</v>
      </c>
      <c r="AB106" s="409"/>
      <c r="AC106" s="409"/>
      <c r="AD106" s="409"/>
      <c r="AE106" s="409"/>
      <c r="AF106" s="408">
        <f>AF104-AF105</f>
        <v>30</v>
      </c>
      <c r="AG106" s="409"/>
      <c r="AH106" s="409"/>
      <c r="AI106" s="409"/>
      <c r="AJ106" s="409"/>
      <c r="AK106" s="408">
        <f>AK104-AK105</f>
        <v>30</v>
      </c>
      <c r="AL106" s="409"/>
      <c r="AM106" s="409"/>
      <c r="AN106" s="409"/>
      <c r="AO106" s="409"/>
      <c r="AP106" s="408">
        <f>AP104-AP105</f>
        <v>30</v>
      </c>
      <c r="AQ106" s="409"/>
      <c r="AR106" s="409"/>
      <c r="AS106" s="409"/>
      <c r="AT106" s="409"/>
      <c r="AU106" s="408">
        <f>AU104-AU105</f>
        <v>30</v>
      </c>
      <c r="AV106" s="409"/>
      <c r="AW106" s="409"/>
      <c r="AX106" s="409"/>
      <c r="AY106" s="409"/>
      <c r="AZ106" s="408">
        <f>AZ104-AZ105</f>
        <v>0</v>
      </c>
      <c r="BA106" s="409"/>
      <c r="BB106" s="409"/>
      <c r="BC106" s="409"/>
      <c r="BD106" s="409"/>
      <c r="BE106" s="408"/>
      <c r="BF106" s="409"/>
      <c r="BG106" s="409"/>
      <c r="BH106" s="409"/>
      <c r="BI106" s="409"/>
      <c r="BJ106" s="408"/>
      <c r="BK106" s="409"/>
      <c r="BL106" s="409"/>
      <c r="BM106" s="409"/>
      <c r="BN106" s="409"/>
      <c r="BO106" s="408"/>
      <c r="BP106" s="409"/>
      <c r="BQ106" s="409"/>
      <c r="BR106" s="409"/>
      <c r="BS106" s="409"/>
      <c r="BT106" s="408"/>
      <c r="BU106" s="409"/>
      <c r="BV106" s="409"/>
      <c r="BW106" s="409"/>
      <c r="BX106" s="409"/>
      <c r="BY106" s="408"/>
      <c r="BZ106" s="409"/>
      <c r="CA106" s="409"/>
      <c r="CB106" s="409"/>
      <c r="CC106" s="409"/>
      <c r="CD106" s="408"/>
      <c r="CE106" s="409"/>
      <c r="CF106" s="409"/>
      <c r="CG106" s="409"/>
      <c r="CH106" s="409"/>
      <c r="CI106" s="408"/>
      <c r="CJ106" s="409"/>
      <c r="CK106" s="409"/>
      <c r="CL106" s="409"/>
      <c r="CM106" s="409"/>
      <c r="CN106" s="408"/>
      <c r="CO106" s="409"/>
      <c r="CP106" s="409"/>
      <c r="CQ106" s="409"/>
      <c r="CR106" s="409"/>
      <c r="CS106" s="410"/>
    </row>
    <row r="107" spans="2:97" ht="14.25" customHeight="1">
      <c r="B107" s="601"/>
      <c r="W107" s="409"/>
      <c r="X107" s="409"/>
      <c r="Y107" s="409"/>
      <c r="Z107" s="409"/>
      <c r="AA107" s="408"/>
      <c r="AB107" s="409"/>
      <c r="AC107" s="409"/>
      <c r="AD107" s="409"/>
      <c r="AE107" s="409"/>
      <c r="AF107" s="408"/>
      <c r="AG107" s="409"/>
      <c r="AH107" s="409"/>
      <c r="AI107" s="409"/>
      <c r="AJ107" s="409"/>
      <c r="AK107" s="408"/>
      <c r="AL107" s="409"/>
      <c r="AM107" s="409"/>
      <c r="AN107" s="409"/>
      <c r="AO107" s="409"/>
      <c r="AP107" s="408"/>
      <c r="AQ107" s="409"/>
      <c r="AR107" s="409"/>
      <c r="AS107" s="409"/>
      <c r="AT107" s="409"/>
      <c r="AU107" s="408"/>
      <c r="AV107" s="409"/>
      <c r="AW107" s="409"/>
      <c r="AX107" s="409"/>
      <c r="AY107" s="409"/>
      <c r="AZ107" s="408"/>
      <c r="BA107" s="409"/>
      <c r="BB107" s="409"/>
      <c r="BC107" s="409"/>
      <c r="BD107" s="409"/>
      <c r="BE107" s="408"/>
      <c r="BF107" s="409"/>
      <c r="BG107" s="409"/>
      <c r="BH107" s="409"/>
      <c r="BI107" s="409"/>
      <c r="BJ107" s="408"/>
      <c r="BK107" s="409"/>
      <c r="BL107" s="409"/>
      <c r="BM107" s="409"/>
      <c r="BN107" s="409"/>
      <c r="BO107" s="408"/>
      <c r="BP107" s="409"/>
      <c r="BQ107" s="409"/>
      <c r="BR107" s="409"/>
      <c r="BS107" s="409"/>
      <c r="BT107" s="408"/>
      <c r="BU107" s="409"/>
      <c r="BV107" s="409"/>
      <c r="BW107" s="409"/>
      <c r="BX107" s="409"/>
      <c r="BY107" s="408"/>
      <c r="BZ107" s="409"/>
      <c r="CA107" s="409"/>
      <c r="CB107" s="409"/>
      <c r="CC107" s="409"/>
      <c r="CD107" s="408"/>
      <c r="CE107" s="409"/>
      <c r="CF107" s="409"/>
      <c r="CG107" s="409"/>
      <c r="CH107" s="409"/>
      <c r="CI107" s="408"/>
      <c r="CJ107" s="409"/>
      <c r="CK107" s="409"/>
      <c r="CL107" s="409"/>
      <c r="CM107" s="409"/>
      <c r="CN107" s="408"/>
      <c r="CO107" s="409"/>
      <c r="CP107" s="409"/>
      <c r="CQ107" s="409"/>
      <c r="CR107" s="409"/>
      <c r="CS107" s="410"/>
    </row>
    <row r="108" spans="2:97" ht="14.25" customHeight="1">
      <c r="B108" s="93" t="s">
        <v>480</v>
      </c>
      <c r="W108" s="409"/>
      <c r="X108" s="409"/>
      <c r="Y108" s="409"/>
      <c r="Z108" s="409"/>
      <c r="AA108" s="592">
        <f>0.0143+0.0045</f>
        <v>1.8800000000000001E-2</v>
      </c>
      <c r="AB108" s="409"/>
      <c r="AC108" s="409"/>
      <c r="AD108" s="409"/>
      <c r="AE108" s="409"/>
      <c r="AF108" s="592">
        <f>0.0143+0.0045</f>
        <v>1.8800000000000001E-2</v>
      </c>
      <c r="AG108" s="409"/>
      <c r="AH108" s="409"/>
      <c r="AI108" s="409"/>
      <c r="AJ108" s="409"/>
      <c r="AK108" s="592">
        <f>0.0143+0.0045</f>
        <v>1.8800000000000001E-2</v>
      </c>
      <c r="AL108" s="409"/>
      <c r="AM108" s="409"/>
      <c r="AN108" s="409"/>
      <c r="AO108" s="409"/>
      <c r="AP108" s="592">
        <f>0.0143+0.0045</f>
        <v>1.8800000000000001E-2</v>
      </c>
      <c r="AQ108" s="409"/>
      <c r="AR108" s="409"/>
      <c r="AS108" s="409"/>
      <c r="AT108" s="409"/>
      <c r="AU108" s="592">
        <f>0.0143+0.0045</f>
        <v>1.8800000000000001E-2</v>
      </c>
      <c r="AV108" s="409"/>
      <c r="AW108" s="409"/>
      <c r="AX108" s="409"/>
      <c r="AY108" s="409"/>
      <c r="AZ108" s="592">
        <f>0.0143+0.0045</f>
        <v>1.8800000000000001E-2</v>
      </c>
      <c r="BA108" s="409"/>
      <c r="BB108" s="409"/>
      <c r="BC108" s="409"/>
      <c r="BD108" s="409"/>
      <c r="BE108" s="408"/>
      <c r="BF108" s="409"/>
      <c r="BG108" s="409"/>
      <c r="BH108" s="409"/>
      <c r="BI108" s="409"/>
      <c r="BJ108" s="408"/>
      <c r="BK108" s="409"/>
      <c r="BL108" s="409"/>
      <c r="BM108" s="409"/>
      <c r="BN108" s="409"/>
      <c r="BO108" s="408"/>
      <c r="BP108" s="409"/>
      <c r="BQ108" s="409"/>
      <c r="BR108" s="409"/>
      <c r="BS108" s="409"/>
      <c r="BT108" s="592"/>
      <c r="BU108" s="409"/>
      <c r="BV108" s="409"/>
      <c r="BW108" s="409"/>
      <c r="BX108" s="409"/>
      <c r="BY108" s="592"/>
      <c r="BZ108" s="409"/>
      <c r="CA108" s="409"/>
      <c r="CB108" s="409"/>
      <c r="CC108" s="409"/>
      <c r="CD108" s="592"/>
      <c r="CE108" s="409"/>
      <c r="CF108" s="409"/>
      <c r="CG108" s="409"/>
      <c r="CH108" s="409"/>
      <c r="CI108" s="592"/>
      <c r="CJ108" s="409"/>
      <c r="CK108" s="409"/>
      <c r="CL108" s="409"/>
      <c r="CM108" s="409"/>
      <c r="CN108" s="592"/>
      <c r="CO108" s="409"/>
      <c r="CP108" s="409"/>
      <c r="CQ108" s="409"/>
      <c r="CR108" s="409"/>
      <c r="CS108" s="629"/>
    </row>
    <row r="109" spans="2:97" ht="14.25" customHeight="1">
      <c r="B109" s="287" t="s">
        <v>481</v>
      </c>
      <c r="C109" s="586"/>
      <c r="D109" s="586"/>
      <c r="E109" s="586"/>
      <c r="F109" s="586"/>
      <c r="G109" s="587"/>
      <c r="H109" s="586"/>
      <c r="I109" s="586"/>
      <c r="J109" s="586"/>
      <c r="K109" s="586"/>
      <c r="L109" s="587"/>
      <c r="M109" s="586"/>
      <c r="N109" s="586"/>
      <c r="O109" s="586"/>
      <c r="P109" s="586"/>
      <c r="Q109" s="587"/>
      <c r="R109" s="587"/>
      <c r="S109" s="587"/>
      <c r="T109" s="587"/>
      <c r="U109" s="587"/>
      <c r="V109" s="587"/>
      <c r="W109" s="588"/>
      <c r="X109" s="588"/>
      <c r="Y109" s="588">
        <f>AA109*0.25</f>
        <v>0.70500000000000007</v>
      </c>
      <c r="Z109" s="588">
        <f>AA109*0.25</f>
        <v>0.70500000000000007</v>
      </c>
      <c r="AA109" s="589">
        <f>AA106*AA108</f>
        <v>2.8200000000000003</v>
      </c>
      <c r="AB109" s="375">
        <f>0.25*$AF$109</f>
        <v>0.14100000000000001</v>
      </c>
      <c r="AC109" s="375">
        <f>0.25*$AF$109</f>
        <v>0.14100000000000001</v>
      </c>
      <c r="AD109" s="375">
        <f>0.25*$AF$109</f>
        <v>0.14100000000000001</v>
      </c>
      <c r="AE109" s="375">
        <f>0.25*$AF$109</f>
        <v>0.14100000000000001</v>
      </c>
      <c r="AF109" s="589">
        <f>AF106*AF108</f>
        <v>0.56400000000000006</v>
      </c>
      <c r="AG109" s="588"/>
      <c r="AH109" s="588"/>
      <c r="AI109" s="588"/>
      <c r="AJ109" s="588"/>
      <c r="AK109" s="589">
        <f>AK106*AK108</f>
        <v>0.56400000000000006</v>
      </c>
      <c r="AL109" s="588"/>
      <c r="AM109" s="588"/>
      <c r="AN109" s="588"/>
      <c r="AO109" s="588"/>
      <c r="AP109" s="589">
        <f>AP106*AP108</f>
        <v>0.56400000000000006</v>
      </c>
      <c r="AQ109" s="588"/>
      <c r="AR109" s="588"/>
      <c r="AS109" s="588"/>
      <c r="AT109" s="588"/>
      <c r="AU109" s="589">
        <f>AU106*AU108</f>
        <v>0.56400000000000006</v>
      </c>
      <c r="AV109" s="588"/>
      <c r="AW109" s="588"/>
      <c r="AX109" s="588"/>
      <c r="AY109" s="588"/>
      <c r="AZ109" s="589">
        <f>AZ106*AZ108</f>
        <v>0</v>
      </c>
      <c r="BA109" s="588"/>
      <c r="BB109" s="588"/>
      <c r="BC109" s="588"/>
      <c r="BD109" s="588"/>
      <c r="BE109" s="589"/>
      <c r="BF109" s="588"/>
      <c r="BG109" s="588"/>
      <c r="BH109" s="588"/>
      <c r="BI109" s="588"/>
      <c r="BJ109" s="589"/>
      <c r="BK109" s="588"/>
      <c r="BL109" s="588"/>
      <c r="BM109" s="588"/>
      <c r="BN109" s="588"/>
      <c r="BO109" s="589"/>
      <c r="BP109" s="588"/>
      <c r="BQ109" s="588"/>
      <c r="BR109" s="588"/>
      <c r="BS109" s="588"/>
      <c r="BT109" s="589"/>
      <c r="BU109" s="588"/>
      <c r="BV109" s="588"/>
      <c r="BW109" s="588"/>
      <c r="BX109" s="588"/>
      <c r="BY109" s="589"/>
      <c r="BZ109" s="588"/>
      <c r="CA109" s="588"/>
      <c r="CB109" s="588"/>
      <c r="CC109" s="588"/>
      <c r="CD109" s="589"/>
      <c r="CE109" s="588"/>
      <c r="CF109" s="588"/>
      <c r="CG109" s="588"/>
      <c r="CH109" s="588"/>
      <c r="CI109" s="589"/>
      <c r="CJ109" s="588"/>
      <c r="CK109" s="588"/>
      <c r="CL109" s="588"/>
      <c r="CM109" s="588"/>
      <c r="CN109" s="589"/>
      <c r="CO109" s="588"/>
      <c r="CP109" s="588"/>
      <c r="CQ109" s="588"/>
      <c r="CR109" s="588"/>
      <c r="CS109" s="590"/>
    </row>
    <row r="110" spans="2:97" ht="14.25" customHeight="1">
      <c r="C110" s="352"/>
      <c r="D110" s="352"/>
      <c r="E110" s="352"/>
      <c r="F110" s="352"/>
      <c r="H110" s="352"/>
      <c r="I110" s="352"/>
      <c r="J110" s="352"/>
      <c r="K110" s="352"/>
      <c r="M110" s="352"/>
      <c r="N110" s="352"/>
      <c r="O110" s="352"/>
      <c r="P110" s="352"/>
      <c r="R110" s="352"/>
      <c r="S110" s="352"/>
      <c r="T110" s="352"/>
      <c r="U110" s="352"/>
      <c r="W110" s="352"/>
      <c r="X110" s="352"/>
      <c r="Y110" s="352"/>
      <c r="Z110" s="352"/>
      <c r="AB110" s="352"/>
      <c r="AC110" s="352"/>
      <c r="AD110" s="352"/>
      <c r="AE110" s="352"/>
      <c r="AG110" s="352"/>
      <c r="AH110" s="352"/>
      <c r="AI110" s="352"/>
      <c r="AJ110" s="352"/>
      <c r="AL110" s="352"/>
      <c r="AM110" s="352"/>
      <c r="AN110" s="352"/>
      <c r="AO110" s="352"/>
      <c r="AQ110" s="352"/>
      <c r="AR110" s="352"/>
      <c r="AS110" s="352"/>
      <c r="AT110" s="352"/>
      <c r="AV110" s="352"/>
      <c r="AW110" s="352"/>
      <c r="AX110" s="352"/>
      <c r="AY110" s="352"/>
      <c r="BA110" s="352"/>
      <c r="BB110" s="352"/>
      <c r="BC110" s="352"/>
      <c r="BD110" s="352"/>
      <c r="BF110" s="352"/>
      <c r="BG110" s="352"/>
      <c r="BH110" s="352"/>
      <c r="BI110" s="352"/>
      <c r="BK110" s="352"/>
      <c r="BL110" s="352"/>
      <c r="BM110" s="352"/>
      <c r="BN110" s="352"/>
      <c r="BP110" s="352"/>
      <c r="BQ110" s="352"/>
      <c r="BR110" s="352"/>
      <c r="BS110" s="352"/>
      <c r="BU110" s="352"/>
      <c r="BV110" s="352"/>
      <c r="BW110" s="352"/>
      <c r="BX110" s="352"/>
      <c r="BZ110" s="352"/>
      <c r="CA110" s="352"/>
      <c r="CB110" s="352"/>
      <c r="CC110" s="352"/>
      <c r="CE110" s="352"/>
      <c r="CF110" s="352"/>
      <c r="CG110" s="352"/>
      <c r="CH110" s="352"/>
      <c r="CJ110" s="352"/>
      <c r="CK110" s="352"/>
      <c r="CL110" s="352"/>
      <c r="CM110" s="352"/>
      <c r="CO110" s="352"/>
      <c r="CP110" s="352"/>
      <c r="CQ110" s="352"/>
      <c r="CR110" s="352"/>
    </row>
    <row r="111" spans="2:97" ht="14.25" customHeight="1">
      <c r="B111" s="484" t="s">
        <v>277</v>
      </c>
      <c r="C111" s="376"/>
      <c r="D111" s="381"/>
      <c r="E111" s="381"/>
      <c r="F111" s="381"/>
      <c r="G111" s="381"/>
      <c r="H111" s="381"/>
      <c r="I111" s="381"/>
      <c r="J111" s="381"/>
      <c r="K111" s="381"/>
      <c r="L111" s="381"/>
      <c r="M111" s="352"/>
      <c r="N111" s="352"/>
      <c r="O111" s="352"/>
      <c r="P111" s="352"/>
      <c r="R111" s="352"/>
      <c r="S111" s="352"/>
      <c r="T111" s="352"/>
      <c r="U111" s="352"/>
      <c r="W111" s="352"/>
      <c r="X111" s="352"/>
      <c r="Y111" s="352"/>
      <c r="Z111" s="352"/>
      <c r="AB111" s="352"/>
      <c r="AC111" s="352"/>
      <c r="AD111" s="352"/>
      <c r="AE111" s="352"/>
      <c r="AG111" s="352"/>
      <c r="AH111" s="352"/>
      <c r="AI111" s="352"/>
      <c r="AJ111" s="352"/>
      <c r="AL111" s="352"/>
      <c r="AM111" s="352"/>
      <c r="AN111" s="352"/>
      <c r="AO111" s="352"/>
      <c r="AQ111" s="352"/>
      <c r="AR111" s="352"/>
      <c r="AS111" s="352"/>
      <c r="AT111" s="352"/>
      <c r="AV111" s="352"/>
      <c r="AW111" s="352"/>
      <c r="AX111" s="352"/>
      <c r="AY111" s="352"/>
      <c r="BA111" s="352"/>
      <c r="BB111" s="352"/>
      <c r="BC111" s="352"/>
      <c r="BD111" s="352"/>
      <c r="BF111" s="352"/>
      <c r="BG111" s="352"/>
      <c r="BH111" s="352"/>
      <c r="BI111" s="352"/>
      <c r="BK111" s="352"/>
      <c r="BL111" s="352"/>
      <c r="BM111" s="352"/>
      <c r="BN111" s="352"/>
      <c r="BP111" s="352"/>
      <c r="BQ111" s="352"/>
      <c r="BR111" s="352"/>
      <c r="BS111" s="352"/>
      <c r="BU111" s="352"/>
      <c r="BV111" s="352"/>
      <c r="BW111" s="352"/>
      <c r="BX111" s="352"/>
      <c r="BZ111" s="352"/>
      <c r="CA111" s="352"/>
      <c r="CB111" s="352"/>
      <c r="CC111" s="352"/>
      <c r="CE111" s="352"/>
      <c r="CF111" s="352"/>
      <c r="CG111" s="352"/>
      <c r="CH111" s="352"/>
      <c r="CJ111" s="352"/>
      <c r="CK111" s="352"/>
      <c r="CL111" s="352"/>
      <c r="CM111" s="352"/>
      <c r="CO111" s="352"/>
      <c r="CP111" s="352"/>
      <c r="CQ111" s="352"/>
      <c r="CR111" s="352"/>
    </row>
    <row r="112" spans="2:97" ht="14.25" customHeight="1">
      <c r="B112" s="642" t="s">
        <v>278</v>
      </c>
      <c r="C112" s="377"/>
      <c r="D112" s="377"/>
      <c r="E112" s="377"/>
      <c r="F112" s="377"/>
      <c r="G112" s="378">
        <v>0.35</v>
      </c>
      <c r="H112" s="379"/>
      <c r="I112" s="379"/>
      <c r="J112" s="379"/>
      <c r="K112" s="379"/>
      <c r="L112" s="378">
        <f>G112</f>
        <v>0.35</v>
      </c>
      <c r="M112" s="380"/>
      <c r="N112" s="380"/>
      <c r="O112" s="380"/>
      <c r="P112" s="380"/>
      <c r="Q112" s="378">
        <f>L112</f>
        <v>0.35</v>
      </c>
      <c r="R112" s="380"/>
      <c r="S112" s="380"/>
      <c r="T112" s="380"/>
      <c r="U112" s="380"/>
      <c r="V112" s="378">
        <f>Q112</f>
        <v>0.35</v>
      </c>
      <c r="W112" s="380"/>
      <c r="X112" s="380"/>
      <c r="Y112" s="380"/>
      <c r="Z112" s="380"/>
      <c r="AA112" s="378">
        <f>V112</f>
        <v>0.35</v>
      </c>
      <c r="AB112" s="378"/>
      <c r="AC112" s="378"/>
      <c r="AD112" s="378"/>
      <c r="AE112" s="378"/>
      <c r="AF112" s="378">
        <f>AA112</f>
        <v>0.35</v>
      </c>
      <c r="AG112" s="378"/>
      <c r="AH112" s="378"/>
      <c r="AI112" s="378"/>
      <c r="AJ112" s="378"/>
      <c r="AK112" s="378">
        <f>AF112</f>
        <v>0.35</v>
      </c>
      <c r="AL112" s="378"/>
      <c r="AM112" s="378"/>
      <c r="AN112" s="378"/>
      <c r="AO112" s="378"/>
      <c r="AP112" s="378">
        <f>AK112</f>
        <v>0.35</v>
      </c>
      <c r="AQ112" s="378"/>
      <c r="AR112" s="378"/>
      <c r="AS112" s="378"/>
      <c r="AT112" s="378"/>
      <c r="AU112" s="378">
        <f>AP112</f>
        <v>0.35</v>
      </c>
      <c r="AV112" s="378"/>
      <c r="AW112" s="378"/>
      <c r="AX112" s="378"/>
      <c r="AY112" s="378"/>
      <c r="AZ112" s="378">
        <f>AU112</f>
        <v>0.35</v>
      </c>
      <c r="BA112" s="378"/>
      <c r="BB112" s="378"/>
      <c r="BC112" s="378"/>
      <c r="BD112" s="378"/>
      <c r="BE112" s="378">
        <f>AZ112</f>
        <v>0.35</v>
      </c>
      <c r="BF112" s="378"/>
      <c r="BG112" s="378"/>
      <c r="BH112" s="378"/>
      <c r="BI112" s="378"/>
      <c r="BJ112" s="378">
        <f>BE112</f>
        <v>0.35</v>
      </c>
      <c r="BK112" s="378"/>
      <c r="BL112" s="378"/>
      <c r="BM112" s="378"/>
      <c r="BN112" s="378"/>
      <c r="BO112" s="378">
        <f>BJ112</f>
        <v>0.35</v>
      </c>
      <c r="BP112" s="378"/>
      <c r="BQ112" s="378"/>
      <c r="BR112" s="378"/>
      <c r="BS112" s="378"/>
      <c r="BT112" s="378">
        <f>BO112</f>
        <v>0.35</v>
      </c>
      <c r="BU112" s="378"/>
      <c r="BV112" s="378"/>
      <c r="BW112" s="378"/>
      <c r="BX112" s="378"/>
      <c r="BY112" s="378">
        <f>BT112</f>
        <v>0.35</v>
      </c>
      <c r="BZ112" s="378"/>
      <c r="CA112" s="378"/>
      <c r="CB112" s="378"/>
      <c r="CC112" s="378"/>
      <c r="CD112" s="378">
        <f>BY112</f>
        <v>0.35</v>
      </c>
      <c r="CE112" s="378"/>
      <c r="CF112" s="378"/>
      <c r="CG112" s="378"/>
      <c r="CH112" s="378"/>
      <c r="CI112" s="378">
        <f>CD112</f>
        <v>0.35</v>
      </c>
      <c r="CJ112" s="378"/>
      <c r="CK112" s="378"/>
      <c r="CL112" s="378"/>
      <c r="CM112" s="378"/>
      <c r="CN112" s="378">
        <f>CI112</f>
        <v>0.35</v>
      </c>
      <c r="CO112" s="378"/>
      <c r="CP112" s="378"/>
      <c r="CQ112" s="378"/>
      <c r="CR112" s="378"/>
      <c r="CS112" s="401">
        <f>CN112</f>
        <v>0.35</v>
      </c>
    </row>
    <row r="113" spans="2:105" ht="14.25" customHeight="1">
      <c r="B113" s="643" t="s">
        <v>279</v>
      </c>
      <c r="C113" s="376"/>
      <c r="D113" s="381"/>
      <c r="E113" s="381"/>
      <c r="F113" s="381"/>
      <c r="G113" s="382"/>
      <c r="H113" s="381"/>
      <c r="I113" s="381"/>
      <c r="J113" s="381"/>
      <c r="K113" s="381"/>
      <c r="L113" s="383"/>
      <c r="M113" s="352"/>
      <c r="N113" s="352"/>
      <c r="O113" s="352"/>
      <c r="P113" s="352"/>
      <c r="Q113" s="384">
        <v>-701.8</v>
      </c>
      <c r="R113" s="352"/>
      <c r="S113" s="352"/>
      <c r="T113" s="352"/>
      <c r="U113" s="352"/>
      <c r="V113" s="385">
        <f>Q115</f>
        <v>-881.63799999999992</v>
      </c>
      <c r="W113" s="352"/>
      <c r="X113" s="352"/>
      <c r="Y113" s="352"/>
      <c r="Z113" s="352"/>
      <c r="AA113" s="385">
        <f>V115</f>
        <v>-1171.7109999999998</v>
      </c>
      <c r="AB113" s="386"/>
      <c r="AC113" s="386"/>
      <c r="AD113" s="386"/>
      <c r="AE113" s="386"/>
      <c r="AF113" s="385">
        <f>AA115</f>
        <v>-1581.8189999999997</v>
      </c>
      <c r="AG113" s="386"/>
      <c r="AH113" s="386"/>
      <c r="AI113" s="386"/>
      <c r="AJ113" s="386"/>
      <c r="AK113" s="385">
        <f>AF115</f>
        <v>-1979.8909999999996</v>
      </c>
      <c r="AL113" s="386"/>
      <c r="AM113" s="386"/>
      <c r="AN113" s="386"/>
      <c r="AO113" s="386"/>
      <c r="AP113" s="385">
        <f>AK115</f>
        <v>-2550.3370017449502</v>
      </c>
      <c r="AQ113" s="386"/>
      <c r="AR113" s="386"/>
      <c r="AS113" s="386"/>
      <c r="AT113" s="386"/>
      <c r="AU113" s="385">
        <f>AP115</f>
        <v>-2920.079059806545</v>
      </c>
      <c r="AV113" s="386"/>
      <c r="AW113" s="386"/>
      <c r="AX113" s="386"/>
      <c r="AY113" s="386"/>
      <c r="AZ113" s="385">
        <f>AU115</f>
        <v>-2978.2820015709085</v>
      </c>
      <c r="BA113" s="386"/>
      <c r="BB113" s="386"/>
      <c r="BC113" s="386"/>
      <c r="BD113" s="386"/>
      <c r="BE113" s="385">
        <f>AZ115</f>
        <v>-2646.725587482129</v>
      </c>
      <c r="BF113" s="386"/>
      <c r="BG113" s="386"/>
      <c r="BH113" s="386"/>
      <c r="BI113" s="386"/>
      <c r="BJ113" s="385">
        <f>BE115</f>
        <v>-1938.3784239716647</v>
      </c>
      <c r="BK113" s="386"/>
      <c r="BL113" s="386"/>
      <c r="BM113" s="386"/>
      <c r="BN113" s="386"/>
      <c r="BO113" s="385">
        <f>BJ115</f>
        <v>-882.87973833464389</v>
      </c>
      <c r="BP113" s="386"/>
      <c r="BQ113" s="386"/>
      <c r="BR113" s="386"/>
      <c r="BS113" s="386"/>
      <c r="BT113" s="385">
        <f>BO115</f>
        <v>0</v>
      </c>
      <c r="BU113" s="386"/>
      <c r="BV113" s="386"/>
      <c r="BW113" s="386"/>
      <c r="BX113" s="386"/>
      <c r="BY113" s="385">
        <f>BT115</f>
        <v>0</v>
      </c>
      <c r="BZ113" s="386"/>
      <c r="CA113" s="386"/>
      <c r="CB113" s="386"/>
      <c r="CC113" s="386"/>
      <c r="CD113" s="385">
        <f>BY115</f>
        <v>0</v>
      </c>
      <c r="CE113" s="386"/>
      <c r="CF113" s="386"/>
      <c r="CG113" s="386"/>
      <c r="CH113" s="386"/>
      <c r="CI113" s="385">
        <f>CD115</f>
        <v>0</v>
      </c>
      <c r="CJ113" s="386"/>
      <c r="CK113" s="386"/>
      <c r="CL113" s="386"/>
      <c r="CM113" s="386"/>
      <c r="CN113" s="385">
        <f>CI115</f>
        <v>0</v>
      </c>
      <c r="CO113" s="386"/>
      <c r="CP113" s="386"/>
      <c r="CQ113" s="386"/>
      <c r="CR113" s="386"/>
      <c r="CS113" s="402">
        <f>CN115</f>
        <v>0</v>
      </c>
    </row>
    <row r="114" spans="2:105" ht="14.25" customHeight="1">
      <c r="B114" s="643" t="s">
        <v>280</v>
      </c>
      <c r="C114" s="381"/>
      <c r="D114" s="381"/>
      <c r="E114" s="381"/>
      <c r="F114" s="381"/>
      <c r="G114" s="387">
        <f>G39</f>
        <v>-63.147999999999975</v>
      </c>
      <c r="H114" s="381"/>
      <c r="I114" s="381"/>
      <c r="J114" s="381"/>
      <c r="K114" s="381"/>
      <c r="L114" s="387">
        <f>L39</f>
        <v>-91.919999999999987</v>
      </c>
      <c r="M114" s="352"/>
      <c r="N114" s="352"/>
      <c r="O114" s="352"/>
      <c r="P114" s="352"/>
      <c r="Q114" s="387">
        <f>Q39</f>
        <v>-179.83799999999999</v>
      </c>
      <c r="R114" s="352"/>
      <c r="S114" s="352"/>
      <c r="T114" s="352"/>
      <c r="U114" s="352"/>
      <c r="V114" s="387">
        <f>V39</f>
        <v>-290.07299999999998</v>
      </c>
      <c r="W114" s="352"/>
      <c r="X114" s="352"/>
      <c r="Y114" s="352"/>
      <c r="Z114" s="352"/>
      <c r="AA114" s="387">
        <f>AA39</f>
        <v>-410.10799999999995</v>
      </c>
      <c r="AB114" s="352"/>
      <c r="AC114" s="352"/>
      <c r="AD114" s="352"/>
      <c r="AE114" s="352"/>
      <c r="AF114" s="387">
        <f>AF39</f>
        <v>-398.07199999999995</v>
      </c>
      <c r="AG114" s="352"/>
      <c r="AH114" s="352"/>
      <c r="AI114" s="352"/>
      <c r="AJ114" s="352"/>
      <c r="AK114" s="387">
        <f>AK39</f>
        <v>-570.44600174495054</v>
      </c>
      <c r="AL114" s="352"/>
      <c r="AM114" s="352"/>
      <c r="AN114" s="352"/>
      <c r="AO114" s="352"/>
      <c r="AP114" s="387">
        <f>AP39</f>
        <v>-369.74205806159466</v>
      </c>
      <c r="AQ114" s="352"/>
      <c r="AR114" s="352"/>
      <c r="AS114" s="352"/>
      <c r="AT114" s="352"/>
      <c r="AU114" s="387">
        <f>AU39</f>
        <v>-58.202941764363231</v>
      </c>
      <c r="AV114" s="352"/>
      <c r="AW114" s="352"/>
      <c r="AX114" s="352"/>
      <c r="AY114" s="352"/>
      <c r="AZ114" s="387">
        <f>AZ39</f>
        <v>331.55641408877943</v>
      </c>
      <c r="BA114" s="352"/>
      <c r="BB114" s="352"/>
      <c r="BC114" s="352"/>
      <c r="BD114" s="352"/>
      <c r="BE114" s="387">
        <f>BE39</f>
        <v>708.34716351046416</v>
      </c>
      <c r="BF114" s="352"/>
      <c r="BG114" s="352"/>
      <c r="BH114" s="352"/>
      <c r="BI114" s="352"/>
      <c r="BJ114" s="387">
        <f>BJ39</f>
        <v>1055.4986856370208</v>
      </c>
      <c r="BK114" s="352"/>
      <c r="BL114" s="352"/>
      <c r="BM114" s="352"/>
      <c r="BN114" s="352"/>
      <c r="BO114" s="387">
        <f>BO39</f>
        <v>1359.0301366846327</v>
      </c>
      <c r="BP114" s="352"/>
      <c r="BQ114" s="352"/>
      <c r="BR114" s="352"/>
      <c r="BS114" s="352"/>
      <c r="BT114" s="387">
        <f>BT39</f>
        <v>1646.7919699941931</v>
      </c>
      <c r="BU114" s="352"/>
      <c r="BV114" s="352"/>
      <c r="BW114" s="352"/>
      <c r="BX114" s="352"/>
      <c r="BY114" s="387">
        <f>BY39</f>
        <v>1911.3760429562028</v>
      </c>
      <c r="BZ114" s="352"/>
      <c r="CA114" s="352"/>
      <c r="CB114" s="352"/>
      <c r="CC114" s="352"/>
      <c r="CD114" s="387">
        <f>CD39</f>
        <v>2150.5849612254333</v>
      </c>
      <c r="CE114" s="352"/>
      <c r="CF114" s="352"/>
      <c r="CG114" s="352"/>
      <c r="CH114" s="352"/>
      <c r="CI114" s="387">
        <f>CI39</f>
        <v>2366.3635550738363</v>
      </c>
      <c r="CJ114" s="352"/>
      <c r="CK114" s="352"/>
      <c r="CL114" s="352"/>
      <c r="CM114" s="352"/>
      <c r="CN114" s="387">
        <f>CN39</f>
        <v>2560.6669849996765</v>
      </c>
      <c r="CO114" s="352"/>
      <c r="CP114" s="352"/>
      <c r="CQ114" s="352"/>
      <c r="CR114" s="352"/>
      <c r="CS114" s="403">
        <f>CS39</f>
        <v>2724.2133376711572</v>
      </c>
    </row>
    <row r="115" spans="2:105" ht="14.25" customHeight="1">
      <c r="B115" s="643" t="s">
        <v>281</v>
      </c>
      <c r="C115" s="381"/>
      <c r="D115" s="381"/>
      <c r="E115" s="381"/>
      <c r="F115" s="381"/>
      <c r="G115" s="387">
        <f>IF(G113+G114&lt;0,G113+G114,0)</f>
        <v>-63.147999999999975</v>
      </c>
      <c r="H115" s="381"/>
      <c r="I115" s="381"/>
      <c r="J115" s="381"/>
      <c r="K115" s="381"/>
      <c r="L115" s="387">
        <f>IF(L113+L114&lt;0,L113+L114,0)</f>
        <v>-91.919999999999987</v>
      </c>
      <c r="M115" s="352"/>
      <c r="N115" s="352"/>
      <c r="O115" s="352"/>
      <c r="P115" s="352"/>
      <c r="Q115" s="387">
        <f>IF(Q113+Q114&lt;0,Q113+Q114,0)</f>
        <v>-881.63799999999992</v>
      </c>
      <c r="R115" s="352"/>
      <c r="S115" s="352"/>
      <c r="T115" s="352"/>
      <c r="U115" s="352"/>
      <c r="V115" s="387">
        <f>IF(V113+V114&lt;0,V113+V114,0)</f>
        <v>-1171.7109999999998</v>
      </c>
      <c r="W115" s="352"/>
      <c r="X115" s="352"/>
      <c r="Y115" s="352"/>
      <c r="Z115" s="352"/>
      <c r="AA115" s="387">
        <f>IF(AA113+AA114&lt;0,AA113+AA114,0)</f>
        <v>-1581.8189999999997</v>
      </c>
      <c r="AB115" s="352"/>
      <c r="AC115" s="352"/>
      <c r="AD115" s="352"/>
      <c r="AE115" s="352"/>
      <c r="AF115" s="387">
        <f>IF(AF113+AF114&lt;0,AF113+AF114,0)</f>
        <v>-1979.8909999999996</v>
      </c>
      <c r="AG115" s="352"/>
      <c r="AH115" s="352"/>
      <c r="AI115" s="352"/>
      <c r="AJ115" s="352"/>
      <c r="AK115" s="387">
        <f>IF(AK113+AK114&lt;0,AK113+AK114,0)</f>
        <v>-2550.3370017449502</v>
      </c>
      <c r="AL115" s="352"/>
      <c r="AM115" s="352"/>
      <c r="AN115" s="352"/>
      <c r="AO115" s="352"/>
      <c r="AP115" s="387">
        <f>IF(AP113+AP114&lt;0,AP113+AP114,0)</f>
        <v>-2920.079059806545</v>
      </c>
      <c r="AQ115" s="352"/>
      <c r="AR115" s="352"/>
      <c r="AS115" s="352"/>
      <c r="AT115" s="352"/>
      <c r="AU115" s="387">
        <f>IF(AU113+AU114&lt;0,AU113+AU114,0)</f>
        <v>-2978.2820015709085</v>
      </c>
      <c r="AV115" s="352"/>
      <c r="AW115" s="352"/>
      <c r="AX115" s="352"/>
      <c r="AY115" s="352"/>
      <c r="AZ115" s="387">
        <f>IF(AZ113+AZ114&lt;0,AZ113+AZ114,0)</f>
        <v>-2646.725587482129</v>
      </c>
      <c r="BA115" s="352"/>
      <c r="BB115" s="352"/>
      <c r="BC115" s="352"/>
      <c r="BD115" s="352"/>
      <c r="BE115" s="387">
        <f>IF(BE113+BE114&lt;0,BE113+BE114,0)</f>
        <v>-1938.3784239716647</v>
      </c>
      <c r="BF115" s="352"/>
      <c r="BG115" s="352"/>
      <c r="BH115" s="352"/>
      <c r="BI115" s="352"/>
      <c r="BJ115" s="387">
        <f>IF(BJ113+BJ114&lt;0,BJ113+BJ114,0)</f>
        <v>-882.87973833464389</v>
      </c>
      <c r="BK115" s="352"/>
      <c r="BL115" s="352"/>
      <c r="BM115" s="352"/>
      <c r="BN115" s="352"/>
      <c r="BO115" s="387">
        <f>IF(BO113+BO114&lt;0,BO113+BO114,0)</f>
        <v>0</v>
      </c>
      <c r="BP115" s="352"/>
      <c r="BQ115" s="352"/>
      <c r="BR115" s="352"/>
      <c r="BS115" s="352"/>
      <c r="BT115" s="387">
        <f>IF(BT113+BT114&lt;0,BT113+BT114,0)</f>
        <v>0</v>
      </c>
      <c r="BU115" s="352"/>
      <c r="BV115" s="352"/>
      <c r="BW115" s="352"/>
      <c r="BX115" s="352"/>
      <c r="BY115" s="387">
        <f>IF(BY113+BY114&lt;0,BY113+BY114,0)</f>
        <v>0</v>
      </c>
      <c r="BZ115" s="352"/>
      <c r="CA115" s="352"/>
      <c r="CB115" s="352"/>
      <c r="CC115" s="352"/>
      <c r="CD115" s="387">
        <f>IF(CD113+CD114&lt;0,CD113+CD114,0)</f>
        <v>0</v>
      </c>
      <c r="CE115" s="352"/>
      <c r="CF115" s="352"/>
      <c r="CG115" s="352"/>
      <c r="CH115" s="352"/>
      <c r="CI115" s="387">
        <f>IF(CI113+CI114&lt;0,CI113+CI114,0)</f>
        <v>0</v>
      </c>
      <c r="CJ115" s="352"/>
      <c r="CK115" s="352"/>
      <c r="CL115" s="352"/>
      <c r="CM115" s="352"/>
      <c r="CN115" s="387">
        <f>IF(CN113+CN114&lt;0,CN113+CN114,0)</f>
        <v>0</v>
      </c>
      <c r="CO115" s="352"/>
      <c r="CP115" s="352"/>
      <c r="CQ115" s="352"/>
      <c r="CR115" s="352"/>
      <c r="CS115" s="403">
        <f>IF(CS113+CS114&lt;0,CS113+CS114,0)</f>
        <v>0</v>
      </c>
    </row>
    <row r="116" spans="2:105" ht="14.25" customHeight="1">
      <c r="B116" s="643"/>
      <c r="C116" s="381"/>
      <c r="D116" s="381"/>
      <c r="E116" s="381"/>
      <c r="F116" s="381"/>
      <c r="G116" s="381"/>
      <c r="H116" s="381"/>
      <c r="I116" s="381"/>
      <c r="J116" s="381"/>
      <c r="K116" s="381"/>
      <c r="L116" s="388"/>
      <c r="M116" s="352"/>
      <c r="N116" s="352"/>
      <c r="O116" s="352"/>
      <c r="P116" s="352"/>
      <c r="R116" s="352"/>
      <c r="S116" s="352"/>
      <c r="T116" s="352"/>
      <c r="U116" s="352"/>
      <c r="W116" s="352"/>
      <c r="X116" s="352"/>
      <c r="Y116" s="352"/>
      <c r="Z116" s="352"/>
      <c r="AB116" s="352"/>
      <c r="AC116" s="352"/>
      <c r="AD116" s="352"/>
      <c r="AE116" s="352"/>
      <c r="AG116" s="352"/>
      <c r="AH116" s="352"/>
      <c r="AI116" s="352"/>
      <c r="AJ116" s="352"/>
      <c r="AL116" s="352"/>
      <c r="AM116" s="352"/>
      <c r="AN116" s="352"/>
      <c r="AO116" s="352"/>
      <c r="AQ116" s="352"/>
      <c r="AR116" s="352"/>
      <c r="AS116" s="352"/>
      <c r="AT116" s="352"/>
      <c r="AV116" s="352"/>
      <c r="AW116" s="352"/>
      <c r="AX116" s="352"/>
      <c r="AY116" s="352"/>
      <c r="BA116" s="352"/>
      <c r="BB116" s="352"/>
      <c r="BC116" s="352"/>
      <c r="BD116" s="352"/>
      <c r="BF116" s="352"/>
      <c r="BG116" s="352"/>
      <c r="BH116" s="352"/>
      <c r="BI116" s="352"/>
      <c r="BK116" s="352"/>
      <c r="BL116" s="352"/>
      <c r="BM116" s="352"/>
      <c r="BN116" s="352"/>
      <c r="BP116" s="352"/>
      <c r="BQ116" s="352"/>
      <c r="BR116" s="352"/>
      <c r="BS116" s="352"/>
      <c r="BU116" s="352"/>
      <c r="BV116" s="352"/>
      <c r="BW116" s="352"/>
      <c r="BX116" s="352"/>
      <c r="BZ116" s="352"/>
      <c r="CA116" s="352"/>
      <c r="CB116" s="352"/>
      <c r="CC116" s="352"/>
      <c r="CE116" s="352"/>
      <c r="CF116" s="352"/>
      <c r="CG116" s="352"/>
      <c r="CH116" s="352"/>
      <c r="CJ116" s="352"/>
      <c r="CK116" s="352"/>
      <c r="CL116" s="352"/>
      <c r="CM116" s="352"/>
      <c r="CO116" s="352"/>
      <c r="CP116" s="352"/>
      <c r="CQ116" s="352"/>
      <c r="CR116" s="352"/>
      <c r="CS116" s="404"/>
    </row>
    <row r="117" spans="2:105" ht="14.25" customHeight="1">
      <c r="B117" s="643" t="s">
        <v>26</v>
      </c>
      <c r="C117" s="381"/>
      <c r="D117" s="381"/>
      <c r="E117" s="381"/>
      <c r="F117" s="381"/>
      <c r="G117" s="387">
        <f>IF(G115&lt;0,0,G113+G114)</f>
        <v>0</v>
      </c>
      <c r="H117" s="381"/>
      <c r="I117" s="381"/>
      <c r="J117" s="381"/>
      <c r="K117" s="381"/>
      <c r="L117" s="387">
        <f>IF(L115&lt;0,0,L113+L114)</f>
        <v>0</v>
      </c>
      <c r="M117" s="352"/>
      <c r="N117" s="352"/>
      <c r="O117" s="352"/>
      <c r="P117" s="352"/>
      <c r="Q117" s="387">
        <f>IF(Q115&lt;0,0,Q113+Q114)</f>
        <v>0</v>
      </c>
      <c r="R117" s="352"/>
      <c r="S117" s="352"/>
      <c r="T117" s="352"/>
      <c r="U117" s="352"/>
      <c r="V117" s="387">
        <f>IF(V115&lt;0,0,V113+V114)</f>
        <v>0</v>
      </c>
      <c r="W117" s="352"/>
      <c r="X117" s="352"/>
      <c r="Y117" s="352"/>
      <c r="Z117" s="352"/>
      <c r="AA117" s="387">
        <f>IF(AA115&lt;0,0,AA113+AA114)</f>
        <v>0</v>
      </c>
      <c r="AB117" s="387"/>
      <c r="AC117" s="387"/>
      <c r="AD117" s="387"/>
      <c r="AE117" s="387"/>
      <c r="AF117" s="387">
        <f>IF(AF115&lt;0,0,AF113+AF114)</f>
        <v>0</v>
      </c>
      <c r="AG117" s="387"/>
      <c r="AH117" s="387"/>
      <c r="AI117" s="387"/>
      <c r="AJ117" s="387"/>
      <c r="AK117" s="387">
        <f>IF(AK115&lt;0,0,AK113+AK114)</f>
        <v>0</v>
      </c>
      <c r="AL117" s="387"/>
      <c r="AM117" s="387"/>
      <c r="AN117" s="387"/>
      <c r="AO117" s="387"/>
      <c r="AP117" s="387">
        <f>IF(AP115&lt;0,0,AP113+AP114)</f>
        <v>0</v>
      </c>
      <c r="AQ117" s="387"/>
      <c r="AR117" s="387"/>
      <c r="AS117" s="387"/>
      <c r="AT117" s="387"/>
      <c r="AU117" s="387">
        <f>IF(AU115&lt;0,0,AU113+AU114)</f>
        <v>0</v>
      </c>
      <c r="AV117" s="387"/>
      <c r="AW117" s="387"/>
      <c r="AX117" s="387"/>
      <c r="AY117" s="387"/>
      <c r="AZ117" s="387">
        <f>IF(AZ115&lt;0,0,AZ113+AZ114)</f>
        <v>0</v>
      </c>
      <c r="BA117" s="387"/>
      <c r="BB117" s="387"/>
      <c r="BC117" s="387"/>
      <c r="BD117" s="387"/>
      <c r="BE117" s="387">
        <f>IF(BE115&lt;0,0,BE113+BE114)</f>
        <v>0</v>
      </c>
      <c r="BF117" s="387"/>
      <c r="BG117" s="387"/>
      <c r="BH117" s="387"/>
      <c r="BI117" s="387"/>
      <c r="BJ117" s="387">
        <f>IF(BJ115&lt;0,0,BJ113+BJ114)</f>
        <v>0</v>
      </c>
      <c r="BK117" s="387"/>
      <c r="BL117" s="387"/>
      <c r="BM117" s="387"/>
      <c r="BN117" s="387"/>
      <c r="BO117" s="387">
        <f>IF(BO115&lt;0,0,BO113+BO114)</f>
        <v>476.15039834998879</v>
      </c>
      <c r="BP117" s="387"/>
      <c r="BQ117" s="387"/>
      <c r="BR117" s="387"/>
      <c r="BS117" s="387"/>
      <c r="BT117" s="387">
        <f>IF(BT115&lt;0,0,BT113+BT114)</f>
        <v>1646.7919699941931</v>
      </c>
      <c r="BU117" s="387"/>
      <c r="BV117" s="387"/>
      <c r="BW117" s="387"/>
      <c r="BX117" s="387"/>
      <c r="BY117" s="387">
        <f>IF(BY115&lt;0,0,BY113+BY114)</f>
        <v>1911.3760429562028</v>
      </c>
      <c r="BZ117" s="387"/>
      <c r="CA117" s="387"/>
      <c r="CB117" s="387"/>
      <c r="CC117" s="387"/>
      <c r="CD117" s="387">
        <f>IF(CD115&lt;0,0,CD113+CD114)</f>
        <v>2150.5849612254333</v>
      </c>
      <c r="CE117" s="387"/>
      <c r="CF117" s="387"/>
      <c r="CG117" s="387"/>
      <c r="CH117" s="387"/>
      <c r="CI117" s="387">
        <f>IF(CI115&lt;0,0,CI113+CI114)</f>
        <v>2366.3635550738363</v>
      </c>
      <c r="CJ117" s="387"/>
      <c r="CK117" s="387"/>
      <c r="CL117" s="387"/>
      <c r="CM117" s="387"/>
      <c r="CN117" s="387">
        <f>IF(CN115&lt;0,0,CN113+CN114)</f>
        <v>2560.6669849996765</v>
      </c>
      <c r="CO117" s="387"/>
      <c r="CP117" s="387"/>
      <c r="CQ117" s="387"/>
      <c r="CR117" s="387"/>
      <c r="CS117" s="403">
        <f>IF(CS115&lt;0,0,CS113+CS114)</f>
        <v>2724.2133376711572</v>
      </c>
    </row>
    <row r="118" spans="2:105" ht="14.25" customHeight="1">
      <c r="B118" s="643" t="s">
        <v>27</v>
      </c>
      <c r="C118" s="381"/>
      <c r="D118" s="381"/>
      <c r="E118" s="381"/>
      <c r="F118" s="381"/>
      <c r="G118" s="387">
        <f>IF(G115&lt;0,0,G112*G114)</f>
        <v>0</v>
      </c>
      <c r="H118" s="387"/>
      <c r="I118" s="387"/>
      <c r="J118" s="387"/>
      <c r="K118" s="387"/>
      <c r="L118" s="387">
        <f>IF(L115&lt;0,0,L112*L114)</f>
        <v>0</v>
      </c>
      <c r="M118" s="352"/>
      <c r="N118" s="352"/>
      <c r="O118" s="352"/>
      <c r="P118" s="352"/>
      <c r="Q118" s="387">
        <f>IF(Q115&lt;0,0,Q112*Q114)</f>
        <v>0</v>
      </c>
      <c r="R118" s="352"/>
      <c r="S118" s="352"/>
      <c r="T118" s="352"/>
      <c r="U118" s="352"/>
      <c r="V118" s="387">
        <f>IF(V115&lt;0,0,V112*V114)</f>
        <v>0</v>
      </c>
      <c r="W118" s="352"/>
      <c r="X118" s="352"/>
      <c r="Y118" s="352"/>
      <c r="Z118" s="352"/>
      <c r="AA118" s="387">
        <f>IF(AA115&lt;0,0,AA112*AA114)</f>
        <v>0</v>
      </c>
      <c r="AB118" s="387"/>
      <c r="AC118" s="387"/>
      <c r="AD118" s="387"/>
      <c r="AE118" s="387"/>
      <c r="AF118" s="387">
        <f>IF(AF115&lt;0,0,AF112*AF114)</f>
        <v>0</v>
      </c>
      <c r="AG118" s="387"/>
      <c r="AH118" s="387"/>
      <c r="AI118" s="387"/>
      <c r="AJ118" s="387"/>
      <c r="AK118" s="387">
        <f>IF(AK115&lt;0,0,AK112*AK114)</f>
        <v>0</v>
      </c>
      <c r="AL118" s="387"/>
      <c r="AM118" s="387"/>
      <c r="AN118" s="387"/>
      <c r="AO118" s="387"/>
      <c r="AP118" s="387">
        <f>IF(AP115&lt;0,0,AP112*AP114)</f>
        <v>0</v>
      </c>
      <c r="AQ118" s="387"/>
      <c r="AR118" s="387"/>
      <c r="AS118" s="387"/>
      <c r="AT118" s="387"/>
      <c r="AU118" s="387">
        <f>IF(AU115&lt;0,0,AU112*AU114)</f>
        <v>0</v>
      </c>
      <c r="AV118" s="387"/>
      <c r="AW118" s="387"/>
      <c r="AX118" s="387"/>
      <c r="AY118" s="387"/>
      <c r="AZ118" s="387">
        <f>IF(AZ115&lt;0,0,AZ112*AZ114)</f>
        <v>0</v>
      </c>
      <c r="BA118" s="387"/>
      <c r="BB118" s="387"/>
      <c r="BC118" s="387"/>
      <c r="BD118" s="387"/>
      <c r="BE118" s="387">
        <f>IF(BE115&lt;0,0,BE112*BE114)</f>
        <v>0</v>
      </c>
      <c r="BF118" s="387"/>
      <c r="BG118" s="387"/>
      <c r="BH118" s="387"/>
      <c r="BI118" s="387"/>
      <c r="BJ118" s="387">
        <f>IF(BJ115&lt;0,0,BJ112*BJ114)</f>
        <v>0</v>
      </c>
      <c r="BK118" s="387"/>
      <c r="BL118" s="387"/>
      <c r="BM118" s="387"/>
      <c r="BN118" s="387"/>
      <c r="BO118" s="387">
        <f>IF(BO115&lt;0,0,BO112*BO114)</f>
        <v>475.66054783962142</v>
      </c>
      <c r="BP118" s="387"/>
      <c r="BQ118" s="387"/>
      <c r="BR118" s="387"/>
      <c r="BS118" s="387"/>
      <c r="BT118" s="387">
        <f>IF(BT115&lt;0,0,BT112*BT114)</f>
        <v>576.37718949796749</v>
      </c>
      <c r="BU118" s="387"/>
      <c r="BV118" s="387"/>
      <c r="BW118" s="387"/>
      <c r="BX118" s="387"/>
      <c r="BY118" s="387">
        <f>IF(BY115&lt;0,0,BY112*BY114)</f>
        <v>668.98161503467099</v>
      </c>
      <c r="BZ118" s="387"/>
      <c r="CA118" s="387"/>
      <c r="CB118" s="387"/>
      <c r="CC118" s="387"/>
      <c r="CD118" s="387">
        <f>IF(CD115&lt;0,0,CD112*CD114)</f>
        <v>752.70473642890158</v>
      </c>
      <c r="CE118" s="387"/>
      <c r="CF118" s="387"/>
      <c r="CG118" s="387"/>
      <c r="CH118" s="387"/>
      <c r="CI118" s="387">
        <f>IF(CI115&lt;0,0,CI112*CI114)</f>
        <v>828.22724427584262</v>
      </c>
      <c r="CJ118" s="387"/>
      <c r="CK118" s="387"/>
      <c r="CL118" s="387"/>
      <c r="CM118" s="387"/>
      <c r="CN118" s="387">
        <f>IF(CN115&lt;0,0,CN112*CN114)</f>
        <v>896.23344474988676</v>
      </c>
      <c r="CO118" s="387"/>
      <c r="CP118" s="387"/>
      <c r="CQ118" s="387"/>
      <c r="CR118" s="387"/>
      <c r="CS118" s="403">
        <f>IF(CS115&lt;0,0,CS112*CS114)</f>
        <v>953.474668184905</v>
      </c>
    </row>
    <row r="119" spans="2:105" ht="14.25" customHeight="1">
      <c r="B119" s="644" t="s">
        <v>28</v>
      </c>
      <c r="C119" s="389"/>
      <c r="D119" s="389"/>
      <c r="E119" s="389"/>
      <c r="F119" s="389"/>
      <c r="G119" s="390">
        <f>G112*G117</f>
        <v>0</v>
      </c>
      <c r="H119" s="389"/>
      <c r="I119" s="389"/>
      <c r="J119" s="389"/>
      <c r="K119" s="389"/>
      <c r="L119" s="390">
        <f>L112*L117</f>
        <v>0</v>
      </c>
      <c r="M119" s="365"/>
      <c r="N119" s="365"/>
      <c r="O119" s="365"/>
      <c r="P119" s="365"/>
      <c r="Q119" s="390">
        <f>Q112*Q117</f>
        <v>0</v>
      </c>
      <c r="R119" s="365"/>
      <c r="S119" s="365"/>
      <c r="T119" s="365"/>
      <c r="U119" s="365"/>
      <c r="V119" s="390">
        <f>V112*V117</f>
        <v>0</v>
      </c>
      <c r="W119" s="365"/>
      <c r="X119" s="365"/>
      <c r="Y119" s="365"/>
      <c r="Z119" s="365"/>
      <c r="AA119" s="390">
        <f>AA112*AA117</f>
        <v>0</v>
      </c>
      <c r="AB119" s="390"/>
      <c r="AC119" s="390"/>
      <c r="AD119" s="390"/>
      <c r="AE119" s="390"/>
      <c r="AF119" s="390">
        <f>AF112*AF117</f>
        <v>0</v>
      </c>
      <c r="AG119" s="390"/>
      <c r="AH119" s="390"/>
      <c r="AI119" s="390"/>
      <c r="AJ119" s="390"/>
      <c r="AK119" s="390">
        <f>AK112*AK117</f>
        <v>0</v>
      </c>
      <c r="AL119" s="390"/>
      <c r="AM119" s="390"/>
      <c r="AN119" s="390"/>
      <c r="AO119" s="390"/>
      <c r="AP119" s="390">
        <f>AP112*AP117</f>
        <v>0</v>
      </c>
      <c r="AQ119" s="390"/>
      <c r="AR119" s="390"/>
      <c r="AS119" s="390"/>
      <c r="AT119" s="390"/>
      <c r="AU119" s="390">
        <f>AU112*AU117</f>
        <v>0</v>
      </c>
      <c r="AV119" s="390"/>
      <c r="AW119" s="390"/>
      <c r="AX119" s="390"/>
      <c r="AY119" s="390"/>
      <c r="AZ119" s="390">
        <f>AZ112*AZ117</f>
        <v>0</v>
      </c>
      <c r="BA119" s="390"/>
      <c r="BB119" s="390"/>
      <c r="BC119" s="390"/>
      <c r="BD119" s="390"/>
      <c r="BE119" s="390">
        <f>BE112*BE117</f>
        <v>0</v>
      </c>
      <c r="BF119" s="390"/>
      <c r="BG119" s="390"/>
      <c r="BH119" s="390"/>
      <c r="BI119" s="390"/>
      <c r="BJ119" s="390">
        <f>BJ112*BJ117</f>
        <v>0</v>
      </c>
      <c r="BK119" s="390"/>
      <c r="BL119" s="390"/>
      <c r="BM119" s="390"/>
      <c r="BN119" s="390"/>
      <c r="BO119" s="390">
        <f>BO112*BO117</f>
        <v>166.65263942249607</v>
      </c>
      <c r="BP119" s="390"/>
      <c r="BQ119" s="390"/>
      <c r="BR119" s="390"/>
      <c r="BS119" s="390"/>
      <c r="BT119" s="390">
        <f>BT112*BT117</f>
        <v>576.37718949796749</v>
      </c>
      <c r="BU119" s="390"/>
      <c r="BV119" s="390"/>
      <c r="BW119" s="390"/>
      <c r="BX119" s="390"/>
      <c r="BY119" s="390">
        <f>BY112*BY117</f>
        <v>668.98161503467099</v>
      </c>
      <c r="BZ119" s="390"/>
      <c r="CA119" s="390"/>
      <c r="CB119" s="390"/>
      <c r="CC119" s="390"/>
      <c r="CD119" s="390">
        <f>CD112*CD117</f>
        <v>752.70473642890158</v>
      </c>
      <c r="CE119" s="390"/>
      <c r="CF119" s="390"/>
      <c r="CG119" s="390"/>
      <c r="CH119" s="390"/>
      <c r="CI119" s="390">
        <f>CI112*CI117</f>
        <v>828.22724427584262</v>
      </c>
      <c r="CJ119" s="390"/>
      <c r="CK119" s="390"/>
      <c r="CL119" s="390"/>
      <c r="CM119" s="390"/>
      <c r="CN119" s="390">
        <f>CN112*CN117</f>
        <v>896.23344474988676</v>
      </c>
      <c r="CO119" s="390"/>
      <c r="CP119" s="390"/>
      <c r="CQ119" s="390"/>
      <c r="CR119" s="390"/>
      <c r="CS119" s="582">
        <f>CS112*CS117</f>
        <v>953.474668184905</v>
      </c>
    </row>
    <row r="120" spans="2:105" s="317" customFormat="1" ht="15" customHeight="1">
      <c r="B120" s="349"/>
      <c r="C120" s="352"/>
      <c r="D120" s="352"/>
      <c r="E120" s="352"/>
      <c r="F120" s="352"/>
      <c r="G120" s="351"/>
      <c r="H120" s="352"/>
      <c r="I120" s="352"/>
      <c r="J120" s="352"/>
      <c r="K120" s="352"/>
      <c r="L120" s="351"/>
      <c r="M120" s="352"/>
      <c r="N120" s="352"/>
      <c r="O120" s="352"/>
      <c r="P120" s="352"/>
      <c r="Q120" s="351"/>
      <c r="R120" s="352"/>
      <c r="S120" s="352"/>
      <c r="T120" s="352"/>
      <c r="U120" s="352"/>
      <c r="V120" s="351"/>
      <c r="W120" s="352"/>
      <c r="X120" s="352"/>
      <c r="Y120" s="352"/>
      <c r="Z120" s="352"/>
      <c r="AA120" s="351"/>
      <c r="AB120" s="352"/>
      <c r="AC120" s="352"/>
      <c r="AD120" s="352"/>
      <c r="AE120" s="352"/>
      <c r="AF120" s="351"/>
      <c r="AG120" s="352"/>
      <c r="AH120" s="352"/>
      <c r="AI120" s="352"/>
      <c r="AJ120" s="352"/>
      <c r="AK120" s="351"/>
      <c r="AL120" s="352"/>
      <c r="AM120" s="352"/>
      <c r="AN120" s="352"/>
      <c r="AO120" s="352"/>
      <c r="AP120" s="351"/>
      <c r="AQ120" s="352"/>
      <c r="AR120" s="352"/>
      <c r="AS120" s="352"/>
      <c r="AT120" s="352"/>
      <c r="AU120" s="351"/>
      <c r="AV120" s="352"/>
      <c r="AW120" s="352"/>
      <c r="AX120" s="352"/>
      <c r="AY120" s="352"/>
      <c r="AZ120" s="351"/>
      <c r="BA120" s="352"/>
      <c r="BB120" s="352"/>
      <c r="BC120" s="352"/>
      <c r="BD120" s="352"/>
      <c r="BE120" s="351"/>
      <c r="BF120" s="352"/>
      <c r="BG120" s="352"/>
      <c r="BH120" s="352"/>
      <c r="BI120" s="352"/>
      <c r="BJ120" s="351"/>
      <c r="BK120" s="352"/>
      <c r="BL120" s="352"/>
      <c r="BM120" s="352"/>
      <c r="BN120" s="352"/>
      <c r="BO120" s="351"/>
      <c r="BP120" s="352"/>
      <c r="BQ120" s="352"/>
      <c r="BR120" s="352"/>
      <c r="BS120" s="352"/>
      <c r="BT120" s="351"/>
      <c r="BU120" s="352"/>
      <c r="BV120" s="352"/>
      <c r="BW120" s="352"/>
      <c r="BX120" s="352"/>
      <c r="BY120" s="351"/>
      <c r="BZ120" s="352"/>
      <c r="CA120" s="352"/>
      <c r="CB120" s="352"/>
      <c r="CC120" s="352"/>
      <c r="CD120" s="351"/>
      <c r="CE120" s="352"/>
      <c r="CF120" s="352"/>
      <c r="CG120" s="352"/>
      <c r="CH120" s="352"/>
      <c r="CI120" s="351"/>
      <c r="CJ120" s="352"/>
      <c r="CK120" s="352"/>
      <c r="CL120" s="352"/>
      <c r="CM120" s="352"/>
      <c r="CN120" s="351"/>
      <c r="CO120" s="352"/>
      <c r="CP120" s="352"/>
      <c r="CQ120" s="352"/>
      <c r="CR120" s="352"/>
      <c r="CS120" s="351"/>
      <c r="CV120"/>
      <c r="CW120"/>
      <c r="CX120"/>
      <c r="CY120"/>
      <c r="CZ120"/>
      <c r="DA120"/>
    </row>
    <row r="121" spans="2:105" s="395" customFormat="1" ht="14.25" customHeight="1">
      <c r="B121" s="391"/>
      <c r="C121" s="391"/>
      <c r="D121" s="391"/>
      <c r="E121" s="391"/>
      <c r="F121" s="391"/>
      <c r="G121" s="392"/>
      <c r="H121" s="391"/>
      <c r="I121" s="391"/>
      <c r="J121" s="391"/>
      <c r="K121" s="391"/>
      <c r="L121" s="393"/>
      <c r="M121" s="391"/>
      <c r="N121" s="391"/>
      <c r="O121" s="391"/>
      <c r="P121" s="391"/>
      <c r="Q121" s="394"/>
      <c r="R121" s="394"/>
      <c r="S121" s="394"/>
      <c r="T121" s="394"/>
      <c r="U121" s="394"/>
      <c r="V121" s="394"/>
      <c r="W121" s="394"/>
      <c r="X121" s="394"/>
      <c r="Y121" s="394"/>
      <c r="Z121" s="394"/>
      <c r="AA121" s="394"/>
      <c r="AB121" s="394"/>
      <c r="AC121" s="394"/>
      <c r="AD121" s="394"/>
      <c r="AE121" s="394"/>
      <c r="AF121" s="394"/>
      <c r="AG121" s="394"/>
      <c r="AH121" s="394"/>
      <c r="AI121" s="394"/>
      <c r="AJ121" s="394"/>
      <c r="AK121" s="394"/>
      <c r="AL121" s="394"/>
      <c r="AM121" s="394"/>
      <c r="AN121" s="394"/>
      <c r="AO121" s="394"/>
      <c r="AP121" s="394"/>
      <c r="AQ121" s="394"/>
      <c r="AR121" s="394"/>
      <c r="AS121" s="394"/>
      <c r="AT121" s="394"/>
      <c r="AU121" s="394"/>
      <c r="AV121" s="394"/>
      <c r="AW121" s="394"/>
      <c r="AX121" s="394"/>
      <c r="AY121" s="394"/>
      <c r="AZ121" s="394"/>
      <c r="BA121" s="394"/>
      <c r="BB121" s="394"/>
      <c r="BC121" s="394"/>
      <c r="BD121" s="394"/>
      <c r="BE121" s="394"/>
      <c r="BF121" s="394"/>
      <c r="BG121" s="394"/>
      <c r="BH121" s="394"/>
      <c r="BI121" s="394"/>
      <c r="BJ121" s="394"/>
      <c r="BK121" s="394"/>
      <c r="BL121" s="394"/>
      <c r="BM121" s="394"/>
      <c r="BN121" s="394"/>
      <c r="BO121" s="394"/>
      <c r="BP121" s="394"/>
      <c r="BQ121" s="394"/>
      <c r="BR121" s="394"/>
      <c r="BS121" s="394"/>
      <c r="BT121" s="394"/>
      <c r="BU121" s="394"/>
      <c r="BV121" s="394"/>
      <c r="BW121" s="394"/>
      <c r="BX121" s="394"/>
      <c r="BY121" s="394"/>
      <c r="BZ121" s="394"/>
      <c r="CA121" s="394"/>
      <c r="CB121" s="394"/>
      <c r="CC121" s="394"/>
      <c r="CD121" s="394"/>
      <c r="CE121" s="394"/>
      <c r="CF121" s="394"/>
      <c r="CG121" s="394"/>
      <c r="CH121" s="394"/>
      <c r="CI121" s="394"/>
      <c r="CJ121" s="394"/>
      <c r="CK121" s="394"/>
      <c r="CL121" s="394"/>
      <c r="CM121" s="394"/>
      <c r="CN121" s="394"/>
      <c r="CO121" s="394"/>
      <c r="CP121" s="394"/>
      <c r="CQ121" s="394"/>
      <c r="CR121" s="394"/>
      <c r="CS121" s="394"/>
      <c r="CV121"/>
      <c r="CW121"/>
      <c r="CX121"/>
      <c r="CY121"/>
      <c r="CZ121"/>
      <c r="DA121"/>
    </row>
    <row r="122" spans="2:105" s="396" customFormat="1" ht="14.25" customHeight="1">
      <c r="B122" s="391"/>
      <c r="C122" s="391"/>
      <c r="D122" s="391"/>
      <c r="E122" s="391"/>
      <c r="F122" s="391"/>
      <c r="G122" s="392"/>
      <c r="H122" s="391"/>
      <c r="I122" s="391"/>
      <c r="J122" s="391"/>
      <c r="K122" s="391"/>
      <c r="L122" s="393"/>
      <c r="M122" s="391"/>
      <c r="N122" s="391"/>
      <c r="O122" s="391"/>
      <c r="P122" s="391"/>
      <c r="Q122" s="394"/>
      <c r="R122" s="394"/>
      <c r="S122" s="394"/>
      <c r="T122" s="394"/>
      <c r="U122" s="394"/>
      <c r="V122" s="394"/>
      <c r="W122" s="394"/>
      <c r="X122" s="394"/>
      <c r="Y122" s="394"/>
      <c r="Z122" s="394"/>
      <c r="AA122" s="394"/>
      <c r="AB122" s="394"/>
      <c r="AC122" s="394"/>
      <c r="AD122" s="394"/>
      <c r="AE122" s="394"/>
      <c r="AF122" s="394"/>
      <c r="AG122" s="394"/>
      <c r="AH122" s="394"/>
      <c r="AI122" s="394"/>
      <c r="AJ122" s="394"/>
      <c r="AK122" s="394"/>
      <c r="AL122" s="394"/>
      <c r="AM122" s="394"/>
      <c r="AN122" s="394"/>
      <c r="AO122" s="394"/>
      <c r="AP122" s="394"/>
      <c r="AQ122" s="394"/>
      <c r="AR122" s="394"/>
      <c r="AS122" s="394"/>
      <c r="AT122" s="394"/>
      <c r="AU122" s="394"/>
      <c r="AV122" s="394"/>
      <c r="AW122" s="394"/>
      <c r="AX122" s="394"/>
      <c r="AY122" s="394"/>
      <c r="AZ122" s="394"/>
      <c r="BA122" s="394"/>
      <c r="BB122" s="394"/>
      <c r="BC122" s="394"/>
      <c r="BD122" s="394"/>
      <c r="BE122" s="394"/>
      <c r="BF122" s="394"/>
      <c r="BG122" s="394"/>
      <c r="BH122" s="394"/>
      <c r="BI122" s="394"/>
      <c r="BJ122" s="394"/>
      <c r="BK122" s="394"/>
      <c r="BL122" s="394"/>
      <c r="BM122" s="394"/>
      <c r="BN122" s="394"/>
      <c r="BO122" s="394"/>
      <c r="BP122" s="394"/>
      <c r="BQ122" s="394"/>
      <c r="BR122" s="394"/>
      <c r="BS122" s="394"/>
      <c r="BT122" s="394"/>
      <c r="BU122" s="394"/>
      <c r="BV122" s="394"/>
      <c r="BW122" s="394"/>
      <c r="BX122" s="394"/>
      <c r="BY122" s="394"/>
      <c r="BZ122" s="394"/>
      <c r="CA122" s="394"/>
      <c r="CB122" s="394"/>
      <c r="CC122" s="394"/>
      <c r="CD122" s="394"/>
      <c r="CE122" s="394"/>
      <c r="CF122" s="394"/>
      <c r="CG122" s="394"/>
      <c r="CH122" s="394"/>
      <c r="CI122" s="394"/>
      <c r="CJ122" s="394"/>
      <c r="CK122" s="394"/>
      <c r="CL122" s="394"/>
      <c r="CM122" s="394"/>
      <c r="CN122" s="394"/>
      <c r="CO122" s="394"/>
      <c r="CP122" s="394"/>
      <c r="CQ122" s="394"/>
      <c r="CR122" s="394"/>
      <c r="CS122" s="394"/>
      <c r="CV122"/>
      <c r="CW122"/>
      <c r="CX122"/>
      <c r="CY122"/>
      <c r="CZ122"/>
      <c r="DA122"/>
    </row>
    <row r="123" spans="2:105" s="396" customFormat="1" ht="14.25" customHeight="1">
      <c r="B123" s="391"/>
      <c r="C123" s="391"/>
      <c r="D123" s="391"/>
      <c r="E123" s="391"/>
      <c r="F123" s="391"/>
      <c r="G123" s="392"/>
      <c r="H123" s="391"/>
      <c r="I123" s="391"/>
      <c r="J123" s="391"/>
      <c r="K123" s="391"/>
      <c r="L123" s="393"/>
      <c r="M123" s="391"/>
      <c r="N123" s="391"/>
      <c r="O123" s="391"/>
      <c r="P123" s="391"/>
      <c r="Q123" s="394"/>
      <c r="R123" s="394"/>
      <c r="S123" s="394"/>
      <c r="T123" s="394"/>
      <c r="U123" s="394"/>
      <c r="V123" s="394"/>
      <c r="W123" s="394"/>
      <c r="X123" s="394"/>
      <c r="Y123" s="394"/>
      <c r="Z123" s="394"/>
      <c r="AA123" s="394"/>
      <c r="AB123" s="394"/>
      <c r="AC123" s="394"/>
      <c r="AD123" s="394"/>
      <c r="AE123" s="394"/>
      <c r="AF123" s="394"/>
      <c r="AG123" s="394"/>
      <c r="AH123" s="394"/>
      <c r="AI123" s="394"/>
      <c r="AJ123" s="394"/>
      <c r="AK123" s="394"/>
      <c r="AL123" s="394"/>
      <c r="AM123" s="394"/>
      <c r="AN123" s="394"/>
      <c r="AO123" s="394"/>
      <c r="AP123" s="394"/>
      <c r="AQ123" s="394"/>
      <c r="AR123" s="394"/>
      <c r="AS123" s="394"/>
      <c r="AT123" s="394"/>
      <c r="AU123" s="394"/>
      <c r="AV123" s="394"/>
      <c r="AW123" s="394"/>
      <c r="AX123" s="394"/>
      <c r="AY123" s="394"/>
      <c r="AZ123" s="394"/>
      <c r="BA123" s="394"/>
      <c r="BB123" s="394"/>
      <c r="BC123" s="394"/>
      <c r="BD123" s="394"/>
      <c r="BE123" s="394"/>
      <c r="BF123" s="394"/>
      <c r="BG123" s="394"/>
      <c r="BH123" s="394"/>
      <c r="BI123" s="394"/>
      <c r="BJ123" s="394"/>
      <c r="BK123" s="394"/>
      <c r="BL123" s="394"/>
      <c r="BM123" s="394"/>
      <c r="BN123" s="394"/>
      <c r="BO123" s="394"/>
      <c r="BP123" s="394"/>
      <c r="BQ123" s="394"/>
      <c r="BR123" s="394"/>
      <c r="BS123" s="394"/>
      <c r="BT123" s="394"/>
      <c r="BU123" s="394"/>
      <c r="BV123" s="394"/>
      <c r="BW123" s="394"/>
      <c r="BX123" s="394"/>
      <c r="BY123" s="394"/>
      <c r="BZ123" s="394"/>
      <c r="CA123" s="394"/>
      <c r="CB123" s="394"/>
      <c r="CC123" s="394"/>
      <c r="CD123" s="394"/>
      <c r="CE123" s="394"/>
      <c r="CF123" s="394"/>
      <c r="CG123" s="394"/>
      <c r="CH123" s="394"/>
      <c r="CI123" s="394"/>
      <c r="CJ123" s="394"/>
      <c r="CK123" s="394"/>
      <c r="CL123" s="394"/>
      <c r="CM123" s="394"/>
      <c r="CN123" s="394"/>
      <c r="CO123" s="394"/>
      <c r="CP123" s="394"/>
      <c r="CQ123" s="394"/>
      <c r="CR123" s="394"/>
      <c r="CS123" s="394"/>
      <c r="CV123"/>
      <c r="CW123"/>
      <c r="CX123"/>
      <c r="CY123"/>
      <c r="CZ123"/>
      <c r="DA123"/>
    </row>
    <row r="124" spans="2:105" ht="14.25" customHeight="1">
      <c r="B124" s="397"/>
      <c r="C124" s="397"/>
      <c r="D124" s="397"/>
      <c r="E124" s="397"/>
      <c r="F124" s="397"/>
      <c r="G124" s="398"/>
      <c r="H124" s="397"/>
      <c r="I124" s="397"/>
      <c r="J124" s="397"/>
      <c r="K124" s="397"/>
      <c r="M124" s="397"/>
      <c r="N124" s="397"/>
      <c r="O124" s="397"/>
      <c r="P124" s="397"/>
      <c r="Q124" s="394"/>
      <c r="R124" s="394"/>
      <c r="S124" s="394"/>
      <c r="T124" s="394"/>
      <c r="U124" s="394"/>
      <c r="V124" s="394"/>
      <c r="W124" s="394"/>
      <c r="X124" s="394"/>
      <c r="Y124" s="394"/>
      <c r="Z124" s="394"/>
      <c r="AA124" s="394"/>
      <c r="AB124" s="394"/>
      <c r="AC124" s="394"/>
      <c r="AD124" s="394"/>
      <c r="AE124" s="394"/>
      <c r="AF124" s="394"/>
      <c r="AG124" s="394"/>
      <c r="AH124" s="394"/>
      <c r="AI124" s="394"/>
      <c r="AJ124" s="394"/>
      <c r="AK124" s="394"/>
      <c r="AL124" s="394"/>
      <c r="AM124" s="394"/>
      <c r="AN124" s="394"/>
      <c r="AO124" s="394"/>
      <c r="AP124" s="394"/>
      <c r="AQ124" s="394"/>
      <c r="AR124" s="394"/>
      <c r="AS124" s="394"/>
      <c r="AT124" s="394"/>
      <c r="AU124" s="394"/>
      <c r="AV124" s="394"/>
      <c r="AW124" s="394"/>
      <c r="AX124" s="394"/>
      <c r="AY124" s="394"/>
      <c r="AZ124" s="394"/>
      <c r="BA124" s="394"/>
      <c r="BB124" s="394"/>
      <c r="BC124" s="394"/>
      <c r="BD124" s="394"/>
      <c r="BE124" s="394"/>
      <c r="BF124" s="394"/>
      <c r="BG124" s="394"/>
      <c r="BH124" s="394"/>
      <c r="BI124" s="394"/>
      <c r="BJ124" s="394"/>
      <c r="BK124" s="394"/>
      <c r="BL124" s="394"/>
      <c r="BM124" s="394"/>
      <c r="BN124" s="394"/>
      <c r="BO124" s="394"/>
      <c r="BP124" s="394"/>
      <c r="BQ124" s="394"/>
      <c r="BR124" s="394"/>
      <c r="BS124" s="394"/>
      <c r="BT124" s="394"/>
      <c r="BU124" s="394"/>
      <c r="BV124" s="394"/>
      <c r="BW124" s="394"/>
      <c r="BX124" s="394"/>
      <c r="BY124" s="394"/>
      <c r="BZ124" s="394"/>
      <c r="CA124" s="394"/>
      <c r="CB124" s="394"/>
      <c r="CC124" s="394"/>
      <c r="CD124" s="394"/>
      <c r="CE124" s="394"/>
      <c r="CF124" s="394"/>
      <c r="CG124" s="394"/>
      <c r="CH124" s="394"/>
      <c r="CI124" s="394"/>
      <c r="CJ124" s="394"/>
      <c r="CK124" s="394"/>
      <c r="CL124" s="394"/>
      <c r="CM124" s="394"/>
      <c r="CN124" s="394"/>
      <c r="CO124" s="394"/>
      <c r="CP124" s="394"/>
      <c r="CQ124" s="394"/>
      <c r="CR124" s="394"/>
      <c r="CS124" s="394"/>
    </row>
    <row r="125" spans="2:105" customFormat="1" ht="14.25" customHeight="1"/>
    <row r="126" spans="2:105" ht="14.25" customHeight="1">
      <c r="G126" s="399"/>
    </row>
    <row r="127" spans="2:105" ht="14.25" customHeight="1">
      <c r="G127" s="399"/>
    </row>
    <row r="128" spans="2:105" ht="14.25" customHeight="1">
      <c r="B128" s="485" t="s">
        <v>430</v>
      </c>
      <c r="G128" s="399"/>
    </row>
    <row r="129" spans="2:97" ht="14.25" customHeight="1">
      <c r="B129" s="353" t="s">
        <v>431</v>
      </c>
      <c r="C129" s="353" t="s">
        <v>433</v>
      </c>
      <c r="D129" s="353" t="s">
        <v>433</v>
      </c>
      <c r="E129" s="353" t="s">
        <v>433</v>
      </c>
      <c r="F129" s="353" t="s">
        <v>433</v>
      </c>
      <c r="G129" s="353">
        <v>52.489936</v>
      </c>
      <c r="H129" s="353" t="s">
        <v>433</v>
      </c>
      <c r="I129" s="353" t="s">
        <v>433</v>
      </c>
      <c r="J129" s="353" t="s">
        <v>433</v>
      </c>
      <c r="K129" s="353" t="s">
        <v>433</v>
      </c>
      <c r="L129" s="353">
        <v>63.741573000000002</v>
      </c>
      <c r="M129" s="353" t="s">
        <v>433</v>
      </c>
      <c r="N129" s="353" t="s">
        <v>433</v>
      </c>
      <c r="O129" s="353" t="s">
        <v>433</v>
      </c>
      <c r="P129" s="353" t="s">
        <v>433</v>
      </c>
      <c r="Q129" s="353">
        <v>77.202753000000001</v>
      </c>
      <c r="R129" s="353" t="s">
        <v>433</v>
      </c>
      <c r="S129" s="353" t="s">
        <v>433</v>
      </c>
      <c r="T129" s="353" t="s">
        <v>433</v>
      </c>
      <c r="U129" s="353" t="s">
        <v>433</v>
      </c>
      <c r="V129" s="353">
        <v>85.090968000000004</v>
      </c>
      <c r="W129" s="353" t="s">
        <v>433</v>
      </c>
      <c r="X129" s="353" t="s">
        <v>433</v>
      </c>
      <c r="Y129" s="353" t="s">
        <v>433</v>
      </c>
      <c r="Z129" s="353" t="s">
        <v>433</v>
      </c>
      <c r="AA129" s="353">
        <f>+V129</f>
        <v>85.090968000000004</v>
      </c>
      <c r="AB129" s="353" t="s">
        <v>433</v>
      </c>
      <c r="AC129" s="353" t="s">
        <v>433</v>
      </c>
      <c r="AD129" s="353" t="s">
        <v>433</v>
      </c>
      <c r="AE129" s="353" t="s">
        <v>433</v>
      </c>
      <c r="AF129" s="353">
        <f>+AA129</f>
        <v>85.090968000000004</v>
      </c>
      <c r="AG129" s="353" t="s">
        <v>433</v>
      </c>
      <c r="AH129" s="353" t="s">
        <v>433</v>
      </c>
      <c r="AI129" s="353" t="s">
        <v>433</v>
      </c>
      <c r="AJ129" s="353" t="s">
        <v>433</v>
      </c>
      <c r="AK129" s="353">
        <f>+AF129</f>
        <v>85.090968000000004</v>
      </c>
      <c r="AL129" s="353" t="s">
        <v>433</v>
      </c>
      <c r="AM129" s="353" t="s">
        <v>433</v>
      </c>
      <c r="AN129" s="353" t="s">
        <v>433</v>
      </c>
      <c r="AO129" s="353" t="s">
        <v>433</v>
      </c>
      <c r="AP129" s="353">
        <f>+AK129</f>
        <v>85.090968000000004</v>
      </c>
      <c r="AQ129" s="353" t="s">
        <v>433</v>
      </c>
      <c r="AR129" s="353" t="s">
        <v>433</v>
      </c>
      <c r="AS129" s="353" t="s">
        <v>433</v>
      </c>
      <c r="AT129" s="353" t="s">
        <v>433</v>
      </c>
      <c r="AU129" s="353">
        <f>+AP129</f>
        <v>85.090968000000004</v>
      </c>
      <c r="AV129" s="353" t="s">
        <v>433</v>
      </c>
      <c r="AW129" s="353" t="s">
        <v>433</v>
      </c>
      <c r="AX129" s="353" t="s">
        <v>433</v>
      </c>
      <c r="AY129" s="353" t="s">
        <v>433</v>
      </c>
      <c r="AZ129" s="353">
        <f>+AU129</f>
        <v>85.090968000000004</v>
      </c>
      <c r="BA129" s="353" t="s">
        <v>433</v>
      </c>
      <c r="BB129" s="353" t="s">
        <v>433</v>
      </c>
      <c r="BC129" s="353" t="s">
        <v>433</v>
      </c>
      <c r="BD129" s="353" t="s">
        <v>433</v>
      </c>
      <c r="BE129" s="353">
        <f>+AZ129</f>
        <v>85.090968000000004</v>
      </c>
      <c r="BF129" s="353" t="s">
        <v>433</v>
      </c>
      <c r="BG129" s="353" t="s">
        <v>433</v>
      </c>
      <c r="BH129" s="353" t="s">
        <v>433</v>
      </c>
      <c r="BI129" s="353" t="s">
        <v>433</v>
      </c>
      <c r="BJ129" s="353">
        <f>+BE129</f>
        <v>85.090968000000004</v>
      </c>
      <c r="BK129" s="353" t="s">
        <v>433</v>
      </c>
      <c r="BL129" s="353" t="s">
        <v>433</v>
      </c>
      <c r="BM129" s="353" t="s">
        <v>433</v>
      </c>
      <c r="BN129" s="353" t="s">
        <v>433</v>
      </c>
      <c r="BO129" s="353">
        <f>+BJ129</f>
        <v>85.090968000000004</v>
      </c>
      <c r="BP129" s="353" t="s">
        <v>433</v>
      </c>
      <c r="BQ129" s="353" t="s">
        <v>433</v>
      </c>
      <c r="BR129" s="353" t="s">
        <v>433</v>
      </c>
      <c r="BS129" s="353" t="s">
        <v>433</v>
      </c>
      <c r="BT129" s="353">
        <f>+BO129</f>
        <v>85.090968000000004</v>
      </c>
      <c r="BU129" s="353" t="s">
        <v>433</v>
      </c>
      <c r="BV129" s="353" t="s">
        <v>433</v>
      </c>
      <c r="BW129" s="353" t="s">
        <v>433</v>
      </c>
      <c r="BX129" s="353" t="s">
        <v>433</v>
      </c>
      <c r="BY129" s="353">
        <f>+BT129</f>
        <v>85.090968000000004</v>
      </c>
      <c r="BZ129" s="353" t="s">
        <v>433</v>
      </c>
      <c r="CA129" s="353" t="s">
        <v>433</v>
      </c>
      <c r="CB129" s="353" t="s">
        <v>433</v>
      </c>
      <c r="CC129" s="353" t="s">
        <v>433</v>
      </c>
      <c r="CD129" s="353">
        <f>+BY129</f>
        <v>85.090968000000004</v>
      </c>
      <c r="CE129" s="353" t="s">
        <v>433</v>
      </c>
      <c r="CF129" s="353" t="s">
        <v>433</v>
      </c>
      <c r="CG129" s="353" t="s">
        <v>433</v>
      </c>
      <c r="CH129" s="353" t="s">
        <v>433</v>
      </c>
      <c r="CI129" s="353">
        <f>+CD129</f>
        <v>85.090968000000004</v>
      </c>
      <c r="CJ129" s="353" t="s">
        <v>433</v>
      </c>
      <c r="CK129" s="353" t="s">
        <v>433</v>
      </c>
      <c r="CL129" s="353" t="s">
        <v>433</v>
      </c>
      <c r="CM129" s="353" t="s">
        <v>433</v>
      </c>
      <c r="CN129" s="353">
        <f>+CI129</f>
        <v>85.090968000000004</v>
      </c>
      <c r="CO129" s="353" t="s">
        <v>433</v>
      </c>
      <c r="CP129" s="353" t="s">
        <v>433</v>
      </c>
      <c r="CQ129" s="353" t="s">
        <v>433</v>
      </c>
      <c r="CR129" s="353" t="s">
        <v>433</v>
      </c>
      <c r="CS129" s="353">
        <f>+CN129</f>
        <v>85.090968000000004</v>
      </c>
    </row>
    <row r="130" spans="2:97" ht="14.25" customHeight="1">
      <c r="G130" s="399"/>
    </row>
    <row r="131" spans="2:97" ht="14.25" customHeight="1">
      <c r="G131" s="399"/>
    </row>
    <row r="132" spans="2:97" ht="14.25" customHeight="1">
      <c r="G132" s="399"/>
    </row>
    <row r="133" spans="2:97" ht="14.25" customHeight="1">
      <c r="B133" s="600"/>
      <c r="G133" s="399"/>
    </row>
  </sheetData>
  <phoneticPr fontId="4" type="noConversion"/>
  <pageMargins left="0" right="0" top="0" bottom="0" header="0" footer="0"/>
  <pageSetup paperSize="5" scale="37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J123"/>
  <sheetViews>
    <sheetView showGridLines="0" topLeftCell="B1" zoomScale="85" zoomScaleNormal="85" workbookViewId="0">
      <pane xSplit="2" ySplit="2" topLeftCell="D3" activePane="bottomRight" state="frozen"/>
      <selection activeCell="B1" sqref="B1"/>
      <selection pane="topRight" activeCell="C1" sqref="C1"/>
      <selection pane="bottomLeft" activeCell="B6" sqref="B6"/>
      <selection pane="bottomRight" activeCell="C2" sqref="C2:V40"/>
    </sheetView>
  </sheetViews>
  <sheetFormatPr defaultRowHeight="12.75" outlineLevelRow="1" outlineLevelCol="1"/>
  <cols>
    <col min="1" max="2" width="1.85546875" style="84" customWidth="1"/>
    <col min="3" max="3" width="59.5703125" style="493" customWidth="1"/>
    <col min="4" max="4" width="9.5703125" style="95" hidden="1" customWidth="1" outlineLevel="1"/>
    <col min="5" max="6" width="10.5703125" style="95" hidden="1" customWidth="1" outlineLevel="1"/>
    <col min="7" max="8" width="9.5703125" style="95" hidden="1" customWidth="1" outlineLevel="1"/>
    <col min="9" max="9" width="9.5703125" style="95" bestFit="1" customWidth="1" collapsed="1"/>
    <col min="10" max="10" width="9" style="95" bestFit="1" customWidth="1"/>
    <col min="11" max="16" width="9.5703125" style="95" bestFit="1" customWidth="1"/>
    <col min="17" max="18" width="9.140625" style="85"/>
    <col min="19" max="19" width="10" style="85" customWidth="1"/>
    <col min="20" max="22" width="9.85546875" style="85" bestFit="1" customWidth="1"/>
    <col min="23" max="27" width="9.140625" style="85"/>
    <col min="28" max="28" width="64.140625" bestFit="1" customWidth="1"/>
    <col min="34" max="36" width="9.140625" style="85"/>
    <col min="37" max="16384" width="9.140625" style="84"/>
  </cols>
  <sheetData>
    <row r="1" spans="1:35" s="83" customFormat="1" ht="12.75" customHeight="1">
      <c r="A1" s="84"/>
      <c r="B1" s="84"/>
      <c r="C1" s="256"/>
      <c r="D1" s="122"/>
      <c r="E1" s="122"/>
      <c r="F1" s="122"/>
      <c r="G1" s="95"/>
      <c r="H1" s="95"/>
      <c r="I1" s="95"/>
      <c r="J1" s="95"/>
      <c r="K1" s="95"/>
      <c r="L1" s="95"/>
      <c r="M1" s="95"/>
      <c r="N1" s="95"/>
      <c r="O1" s="95"/>
      <c r="P1" s="9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/>
      <c r="AC1"/>
      <c r="AD1"/>
      <c r="AE1"/>
      <c r="AF1"/>
      <c r="AG1"/>
      <c r="AH1" s="85"/>
      <c r="AI1" s="85"/>
    </row>
    <row r="2" spans="1:35" s="87" customFormat="1" ht="12.75" customHeight="1">
      <c r="A2" s="86"/>
      <c r="B2" s="117"/>
      <c r="C2" s="486" t="s">
        <v>246</v>
      </c>
      <c r="D2" s="120">
        <v>2012</v>
      </c>
      <c r="E2" s="120">
        <v>2013</v>
      </c>
      <c r="F2" s="120">
        <v>2014</v>
      </c>
      <c r="G2" s="120">
        <v>2015</v>
      </c>
      <c r="H2" s="120">
        <v>2016</v>
      </c>
      <c r="I2" s="120">
        <v>2017</v>
      </c>
      <c r="J2" s="120" t="s">
        <v>9</v>
      </c>
      <c r="K2" s="120" t="s">
        <v>10</v>
      </c>
      <c r="L2" s="120" t="s">
        <v>11</v>
      </c>
      <c r="M2" s="120" t="s">
        <v>70</v>
      </c>
      <c r="N2" s="120" t="s">
        <v>369</v>
      </c>
      <c r="O2" s="120" t="s">
        <v>370</v>
      </c>
      <c r="P2" s="120" t="s">
        <v>402</v>
      </c>
      <c r="Q2" s="120" t="s">
        <v>403</v>
      </c>
      <c r="R2" s="120" t="s">
        <v>519</v>
      </c>
      <c r="S2" s="120" t="s">
        <v>524</v>
      </c>
      <c r="T2" s="120" t="s">
        <v>529</v>
      </c>
      <c r="U2" s="120" t="s">
        <v>534</v>
      </c>
      <c r="V2" s="120" t="s">
        <v>539</v>
      </c>
      <c r="W2" s="117"/>
      <c r="X2" s="86"/>
      <c r="Y2" s="86"/>
      <c r="Z2" s="86"/>
      <c r="AA2" s="86"/>
      <c r="AB2"/>
      <c r="AC2"/>
      <c r="AD2"/>
      <c r="AE2"/>
      <c r="AF2"/>
      <c r="AG2"/>
      <c r="AH2" s="86"/>
      <c r="AI2" s="86"/>
    </row>
    <row r="3" spans="1:35" s="598" customFormat="1" ht="12.75" customHeight="1">
      <c r="A3" s="607"/>
      <c r="B3" s="607"/>
      <c r="C3" s="614" t="s">
        <v>498</v>
      </c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/>
      <c r="AC3"/>
      <c r="AD3"/>
      <c r="AE3"/>
      <c r="AF3"/>
      <c r="AG3"/>
      <c r="AH3" s="607"/>
      <c r="AI3" s="607"/>
    </row>
    <row r="4" spans="1:35" s="83" customFormat="1" ht="12.75" customHeight="1">
      <c r="A4" s="85"/>
      <c r="B4" s="85"/>
      <c r="C4" s="487" t="s">
        <v>31</v>
      </c>
      <c r="D4" s="95"/>
      <c r="E4" s="94"/>
      <c r="F4" s="95"/>
      <c r="G4" s="95"/>
      <c r="H4" s="95"/>
      <c r="I4" s="95"/>
      <c r="J4" s="110"/>
      <c r="K4" s="110"/>
      <c r="L4" s="110"/>
      <c r="M4" s="110"/>
      <c r="N4" s="110"/>
      <c r="O4" s="110"/>
      <c r="P4" s="110"/>
      <c r="Q4" s="110"/>
      <c r="R4" s="85"/>
      <c r="S4" s="85"/>
      <c r="T4" s="85"/>
      <c r="U4" s="85"/>
      <c r="V4" s="85"/>
      <c r="W4" s="85"/>
      <c r="X4" s="85"/>
      <c r="Y4" s="85"/>
      <c r="Z4" s="85"/>
      <c r="AA4" s="85"/>
      <c r="AB4"/>
      <c r="AC4"/>
      <c r="AD4"/>
      <c r="AE4"/>
      <c r="AF4"/>
      <c r="AG4"/>
      <c r="AH4" s="85"/>
      <c r="AI4" s="85"/>
    </row>
    <row r="5" spans="1:35" s="83" customFormat="1" ht="12.75" customHeight="1">
      <c r="A5" s="84"/>
      <c r="B5" s="84"/>
      <c r="C5" s="488" t="s">
        <v>32</v>
      </c>
      <c r="D5" s="111">
        <v>51.405000000000001</v>
      </c>
      <c r="E5" s="111">
        <v>53.168999999999997</v>
      </c>
      <c r="F5" s="111">
        <v>75.179000000000002</v>
      </c>
      <c r="G5" s="615">
        <v>180.89500000000001</v>
      </c>
      <c r="H5" s="615">
        <v>193.61699999999999</v>
      </c>
      <c r="I5" s="615">
        <v>645.36099999999999</v>
      </c>
      <c r="J5" s="615">
        <f>CF!I42</f>
        <v>463.1167781779032</v>
      </c>
      <c r="K5" s="615">
        <f>CF!J42</f>
        <v>302.38839674933968</v>
      </c>
      <c r="L5" s="615">
        <f>CF!K42</f>
        <v>459.3178668592459</v>
      </c>
      <c r="M5" s="615">
        <f>CF!L42</f>
        <v>860.95416471876456</v>
      </c>
      <c r="N5" s="615">
        <f>CF!M42</f>
        <v>1732.614452869595</v>
      </c>
      <c r="O5" s="615">
        <f>CF!N42</f>
        <v>2957.2539956447436</v>
      </c>
      <c r="P5" s="615">
        <f>CF!O42</f>
        <v>4345.9876376126394</v>
      </c>
      <c r="Q5" s="615">
        <f>CF!P42</f>
        <v>5637.5389769264293</v>
      </c>
      <c r="R5" s="615">
        <f>CF!Q42</f>
        <v>7101.3731262758984</v>
      </c>
      <c r="S5" s="615">
        <f>CF!R42</f>
        <v>8763.5777408351696</v>
      </c>
      <c r="T5" s="615">
        <f>CF!S42</f>
        <v>10582.36690880979</v>
      </c>
      <c r="U5" s="615">
        <f>CF!T42</f>
        <v>12536.753381357339</v>
      </c>
      <c r="V5" s="615">
        <f>CF!U42</f>
        <v>14591.796438558533</v>
      </c>
      <c r="W5" s="85"/>
      <c r="X5" s="85"/>
      <c r="Y5" s="85"/>
      <c r="Z5" s="85"/>
      <c r="AA5" s="85"/>
      <c r="AB5"/>
      <c r="AC5"/>
      <c r="AD5"/>
      <c r="AE5"/>
      <c r="AF5"/>
      <c r="AG5"/>
      <c r="AH5" s="85"/>
      <c r="AI5" s="85"/>
    </row>
    <row r="6" spans="1:35" s="83" customFormat="1" ht="12.75" customHeight="1">
      <c r="A6" s="84"/>
      <c r="B6" s="84"/>
      <c r="C6" s="488" t="s">
        <v>69</v>
      </c>
      <c r="D6" s="111">
        <v>71.406999999999996</v>
      </c>
      <c r="E6" s="111">
        <v>192.70099999999999</v>
      </c>
      <c r="F6" s="111">
        <v>526.92899999999997</v>
      </c>
      <c r="G6" s="615">
        <v>848.21699999999998</v>
      </c>
      <c r="H6" s="615">
        <v>424.185</v>
      </c>
      <c r="I6" s="615">
        <v>1045.2570000000001</v>
      </c>
      <c r="J6" s="615">
        <f>I6-CF!I25-CF!I26</f>
        <v>795.25700000000006</v>
      </c>
      <c r="K6" s="615">
        <f>J6-CF!J25-CF!J26+J13</f>
        <v>559.17600000000004</v>
      </c>
      <c r="L6" s="615">
        <f>K6-CF!K25-CF!K26</f>
        <v>359.17600000000004</v>
      </c>
      <c r="M6" s="615">
        <f>L6-CF!L25-CF!L26</f>
        <v>359.17600000000004</v>
      </c>
      <c r="N6" s="615">
        <f>M6-CF!M25-CF!M26</f>
        <v>359.17600000000004</v>
      </c>
      <c r="O6" s="615">
        <f>N6-CF!N25-CF!N26</f>
        <v>359.17600000000004</v>
      </c>
      <c r="P6" s="615">
        <f>O6-CF!O25-CF!O26</f>
        <v>359.17600000000004</v>
      </c>
      <c r="Q6" s="615">
        <f>P6-CF!P25-CF!P26</f>
        <v>359.17600000000004</v>
      </c>
      <c r="R6" s="615">
        <f>Q6-CF!Q25-CF!Q26</f>
        <v>359.17600000000004</v>
      </c>
      <c r="S6" s="615">
        <f>R6-CF!R25-CF!R26</f>
        <v>359.17600000000004</v>
      </c>
      <c r="T6" s="615">
        <f>S6-CF!S25-CF!S26</f>
        <v>359.17600000000004</v>
      </c>
      <c r="U6" s="615">
        <f>T6-CF!T25-CF!T26</f>
        <v>359.17600000000004</v>
      </c>
      <c r="V6" s="615">
        <f>U6-CF!U25-CF!U26</f>
        <v>359.17600000000004</v>
      </c>
      <c r="W6" s="85"/>
      <c r="X6" s="85"/>
      <c r="Y6" s="85"/>
      <c r="Z6" s="85"/>
      <c r="AA6" s="85"/>
      <c r="AB6"/>
      <c r="AC6"/>
      <c r="AD6"/>
      <c r="AE6"/>
      <c r="AF6"/>
      <c r="AG6"/>
      <c r="AH6" s="85"/>
      <c r="AI6" s="85"/>
    </row>
    <row r="7" spans="1:35" s="83" customFormat="1" ht="12.75" customHeight="1">
      <c r="A7" s="84"/>
      <c r="B7" s="84"/>
      <c r="C7" s="488" t="s">
        <v>494</v>
      </c>
      <c r="D7" s="111">
        <v>0</v>
      </c>
      <c r="E7" s="111">
        <v>0</v>
      </c>
      <c r="F7" s="111">
        <v>94.582999999999998</v>
      </c>
      <c r="G7" s="615">
        <v>51.418999999999997</v>
      </c>
      <c r="H7" s="615">
        <v>8.9969999999999999</v>
      </c>
      <c r="I7" s="615">
        <v>0</v>
      </c>
      <c r="J7" s="615">
        <f t="shared" ref="J7:O7" si="0">I7</f>
        <v>0</v>
      </c>
      <c r="K7" s="615">
        <f t="shared" si="0"/>
        <v>0</v>
      </c>
      <c r="L7" s="615">
        <f t="shared" si="0"/>
        <v>0</v>
      </c>
      <c r="M7" s="615">
        <f t="shared" si="0"/>
        <v>0</v>
      </c>
      <c r="N7" s="615">
        <f t="shared" si="0"/>
        <v>0</v>
      </c>
      <c r="O7" s="615">
        <f t="shared" si="0"/>
        <v>0</v>
      </c>
      <c r="P7" s="615">
        <f t="shared" ref="P7" si="1">O7</f>
        <v>0</v>
      </c>
      <c r="Q7" s="615">
        <f t="shared" ref="Q7" si="2">P7</f>
        <v>0</v>
      </c>
      <c r="R7" s="615">
        <f t="shared" ref="R7" si="3">Q7</f>
        <v>0</v>
      </c>
      <c r="S7" s="615">
        <f t="shared" ref="S7" si="4">R7</f>
        <v>0</v>
      </c>
      <c r="T7" s="615">
        <f t="shared" ref="T7" si="5">S7</f>
        <v>0</v>
      </c>
      <c r="U7" s="615">
        <f t="shared" ref="U7" si="6">T7</f>
        <v>0</v>
      </c>
      <c r="V7" s="615">
        <f t="shared" ref="V7" si="7">U7</f>
        <v>0</v>
      </c>
      <c r="W7" s="85"/>
      <c r="X7" s="85"/>
      <c r="Y7" s="85"/>
      <c r="Z7" s="85"/>
      <c r="AA7" s="85"/>
      <c r="AB7"/>
      <c r="AC7"/>
      <c r="AD7"/>
      <c r="AE7"/>
      <c r="AF7"/>
      <c r="AG7"/>
      <c r="AH7" s="85"/>
      <c r="AI7" s="85"/>
    </row>
    <row r="8" spans="1:35" s="83" customFormat="1" ht="12.75" customHeight="1">
      <c r="A8" s="84"/>
      <c r="B8" s="84"/>
      <c r="C8" s="488" t="s">
        <v>77</v>
      </c>
      <c r="D8" s="111">
        <v>0.104</v>
      </c>
      <c r="E8" s="111">
        <v>4.2480000000000002</v>
      </c>
      <c r="F8" s="111">
        <v>39.936999999999998</v>
      </c>
      <c r="G8" s="615">
        <v>8.298</v>
      </c>
      <c r="H8" s="615">
        <v>23.334</v>
      </c>
      <c r="I8" s="615">
        <v>34.002000000000002</v>
      </c>
      <c r="J8" s="615">
        <f t="shared" ref="J8:M8" si="8">J62</f>
        <v>36.203572305526528</v>
      </c>
      <c r="K8" s="615">
        <f t="shared" si="8"/>
        <v>108.75629434395964</v>
      </c>
      <c r="L8" s="615">
        <f t="shared" si="8"/>
        <v>194.93096733562669</v>
      </c>
      <c r="M8" s="615">
        <f t="shared" si="8"/>
        <v>221.97890766640967</v>
      </c>
      <c r="N8" s="615">
        <f t="shared" ref="N8:O8" si="9">N62</f>
        <v>241.50105489390506</v>
      </c>
      <c r="O8" s="615">
        <f t="shared" si="9"/>
        <v>273.95350653124382</v>
      </c>
      <c r="P8" s="615">
        <f t="shared" ref="P8:Q8" si="10">P62</f>
        <v>294.48812164503806</v>
      </c>
      <c r="Q8" s="615">
        <f t="shared" si="10"/>
        <v>304.46656059105885</v>
      </c>
      <c r="R8" s="615">
        <f t="shared" ref="R8:V8" si="11">R62</f>
        <v>335.40123844738116</v>
      </c>
      <c r="S8" s="615">
        <f t="shared" si="11"/>
        <v>362.65365148612409</v>
      </c>
      <c r="T8" s="615">
        <f t="shared" si="11"/>
        <v>386.44523571788699</v>
      </c>
      <c r="U8" s="615">
        <f t="shared" si="11"/>
        <v>407.0449923579103</v>
      </c>
      <c r="V8" s="615">
        <f t="shared" si="11"/>
        <v>424.54682674335334</v>
      </c>
      <c r="W8" s="85"/>
      <c r="X8" s="85"/>
      <c r="Y8" s="85"/>
      <c r="Z8" s="85"/>
      <c r="AA8" s="85"/>
      <c r="AB8"/>
      <c r="AC8"/>
      <c r="AD8"/>
      <c r="AE8"/>
      <c r="AF8"/>
      <c r="AG8"/>
      <c r="AH8" s="85"/>
      <c r="AI8" s="85"/>
    </row>
    <row r="9" spans="1:35" s="83" customFormat="1" ht="12.75" customHeight="1">
      <c r="A9" s="84"/>
      <c r="B9" s="84"/>
      <c r="C9" s="488" t="s">
        <v>33</v>
      </c>
      <c r="D9" s="111">
        <v>2.641</v>
      </c>
      <c r="E9" s="111">
        <v>3.91</v>
      </c>
      <c r="F9" s="111">
        <v>9.7390000000000008</v>
      </c>
      <c r="G9" s="615">
        <v>16.559000000000001</v>
      </c>
      <c r="H9" s="615">
        <v>21.744</v>
      </c>
      <c r="I9" s="615">
        <v>40.119999999999997</v>
      </c>
      <c r="J9" s="615">
        <f t="shared" ref="J9:M9" si="12">J64</f>
        <v>46.930556692349192</v>
      </c>
      <c r="K9" s="615">
        <f t="shared" si="12"/>
        <v>130.50755321275156</v>
      </c>
      <c r="L9" s="615">
        <f t="shared" si="12"/>
        <v>169.50518898750147</v>
      </c>
      <c r="M9" s="615">
        <f t="shared" si="12"/>
        <v>195.86374205859676</v>
      </c>
      <c r="N9" s="615">
        <f t="shared" ref="N9:O9" si="13">N64</f>
        <v>207.00090419477573</v>
      </c>
      <c r="O9" s="615">
        <f t="shared" si="13"/>
        <v>221.27013989061999</v>
      </c>
      <c r="P9" s="615">
        <f t="shared" ref="P9:Q9" si="14">P64</f>
        <v>245.40676803753172</v>
      </c>
      <c r="Q9" s="615">
        <f t="shared" si="14"/>
        <v>276.78778235550806</v>
      </c>
      <c r="R9" s="615">
        <f t="shared" ref="R9:V9" si="15">R64</f>
        <v>304.91021677034649</v>
      </c>
      <c r="S9" s="615">
        <f t="shared" si="15"/>
        <v>329.68513771465831</v>
      </c>
      <c r="T9" s="615">
        <f t="shared" si="15"/>
        <v>351.31385065262452</v>
      </c>
      <c r="U9" s="615">
        <f t="shared" si="15"/>
        <v>370.04090214355483</v>
      </c>
      <c r="V9" s="615">
        <f t="shared" si="15"/>
        <v>385.95166067577577</v>
      </c>
      <c r="W9" s="85"/>
      <c r="X9" s="85"/>
      <c r="Y9" s="85"/>
      <c r="Z9" s="85"/>
      <c r="AA9" s="85"/>
      <c r="AB9"/>
      <c r="AC9"/>
      <c r="AD9"/>
      <c r="AE9"/>
      <c r="AF9"/>
      <c r="AG9"/>
      <c r="AH9" s="85"/>
      <c r="AI9" s="85"/>
    </row>
    <row r="10" spans="1:35" s="83" customFormat="1" ht="12.75" customHeight="1">
      <c r="A10" s="84"/>
      <c r="B10" s="84"/>
      <c r="C10" s="631" t="s">
        <v>130</v>
      </c>
      <c r="D10" s="119">
        <v>0</v>
      </c>
      <c r="E10" s="119">
        <v>0</v>
      </c>
      <c r="F10" s="119">
        <v>0</v>
      </c>
      <c r="G10" s="616">
        <v>0</v>
      </c>
      <c r="H10" s="616">
        <v>0</v>
      </c>
      <c r="I10" s="616">
        <v>0</v>
      </c>
      <c r="J10" s="616">
        <f t="shared" ref="J10:M10" si="16">J66</f>
        <v>26.817460967056686</v>
      </c>
      <c r="K10" s="616">
        <f t="shared" si="16"/>
        <v>82.654783701409329</v>
      </c>
      <c r="L10" s="616">
        <f t="shared" si="16"/>
        <v>152.55467008875132</v>
      </c>
      <c r="M10" s="616">
        <f t="shared" si="16"/>
        <v>221.97890766640964</v>
      </c>
      <c r="N10" s="616">
        <f t="shared" ref="N10:O10" si="17">N66</f>
        <v>276.00120559303429</v>
      </c>
      <c r="O10" s="616">
        <f t="shared" si="17"/>
        <v>316.10019984374276</v>
      </c>
      <c r="P10" s="616">
        <f t="shared" ref="P10:Q10" si="18">P66</f>
        <v>343.56947525254429</v>
      </c>
      <c r="Q10" s="616">
        <f t="shared" si="18"/>
        <v>359.82411706216033</v>
      </c>
      <c r="R10" s="616">
        <f t="shared" ref="R10:V10" si="19">R66</f>
        <v>365.89226012441566</v>
      </c>
      <c r="S10" s="616">
        <f t="shared" si="19"/>
        <v>362.65365148612398</v>
      </c>
      <c r="T10" s="616">
        <f t="shared" si="19"/>
        <v>351.31385065262441</v>
      </c>
      <c r="U10" s="616">
        <f t="shared" si="19"/>
        <v>333.03681192919925</v>
      </c>
      <c r="V10" s="616">
        <f t="shared" si="19"/>
        <v>308.76132854062053</v>
      </c>
      <c r="W10" s="85"/>
      <c r="X10" s="85"/>
      <c r="Y10" s="85"/>
      <c r="Z10" s="85"/>
      <c r="AA10" s="85"/>
      <c r="AB10"/>
      <c r="AC10"/>
      <c r="AD10"/>
      <c r="AE10"/>
      <c r="AF10"/>
      <c r="AG10"/>
      <c r="AH10" s="85"/>
      <c r="AI10" s="85"/>
    </row>
    <row r="11" spans="1:35" s="83" customFormat="1" ht="12.75" customHeight="1">
      <c r="A11" s="85"/>
      <c r="B11" s="85"/>
      <c r="C11" s="489" t="s">
        <v>34</v>
      </c>
      <c r="D11" s="96">
        <f t="shared" ref="D11:M11" si="20">SUM(D5:D10)</f>
        <v>125.557</v>
      </c>
      <c r="E11" s="96">
        <f t="shared" si="20"/>
        <v>254.02799999999999</v>
      </c>
      <c r="F11" s="96">
        <f t="shared" si="20"/>
        <v>746.36699999999996</v>
      </c>
      <c r="G11" s="594">
        <f t="shared" si="20"/>
        <v>1105.3880000000001</v>
      </c>
      <c r="H11" s="594">
        <f t="shared" si="20"/>
        <v>671.87699999999995</v>
      </c>
      <c r="I11" s="594">
        <f t="shared" si="20"/>
        <v>1764.7399999999998</v>
      </c>
      <c r="J11" s="594">
        <f t="shared" si="20"/>
        <v>1368.3253681428355</v>
      </c>
      <c r="K11" s="594">
        <f t="shared" si="20"/>
        <v>1183.4830280074602</v>
      </c>
      <c r="L11" s="594">
        <f t="shared" si="20"/>
        <v>1335.4846932711253</v>
      </c>
      <c r="M11" s="594">
        <f t="shared" si="20"/>
        <v>1859.9517221101808</v>
      </c>
      <c r="N11" s="594">
        <f t="shared" ref="N11:O11" si="21">SUM(N5:N10)</f>
        <v>2816.2936175513096</v>
      </c>
      <c r="O11" s="594">
        <f t="shared" si="21"/>
        <v>4127.7538419103503</v>
      </c>
      <c r="P11" s="594">
        <f t="shared" ref="P11:Q11" si="22">SUM(P5:P10)</f>
        <v>5588.6280025477545</v>
      </c>
      <c r="Q11" s="594">
        <f t="shared" si="22"/>
        <v>6937.7934369351569</v>
      </c>
      <c r="R11" s="594">
        <f t="shared" ref="R11:V11" si="23">SUM(R5:R10)</f>
        <v>8466.7528416180412</v>
      </c>
      <c r="S11" s="594">
        <f t="shared" si="23"/>
        <v>10177.746181522074</v>
      </c>
      <c r="T11" s="594">
        <f t="shared" si="23"/>
        <v>12030.615845832926</v>
      </c>
      <c r="U11" s="594">
        <f t="shared" si="23"/>
        <v>14006.052087788004</v>
      </c>
      <c r="V11" s="594">
        <f t="shared" si="23"/>
        <v>16070.232254518281</v>
      </c>
      <c r="W11" s="85"/>
      <c r="X11" s="85"/>
      <c r="Y11" s="85"/>
      <c r="Z11" s="85"/>
      <c r="AA11" s="85"/>
      <c r="AB11"/>
      <c r="AC11"/>
      <c r="AD11"/>
      <c r="AE11"/>
      <c r="AF11"/>
      <c r="AG11"/>
      <c r="AH11" s="85"/>
      <c r="AI11" s="85"/>
    </row>
    <row r="12" spans="1:35" s="83" customFormat="1" ht="12.75" customHeight="1">
      <c r="A12" s="85"/>
      <c r="B12" s="85"/>
      <c r="C12" s="489"/>
      <c r="D12" s="96"/>
      <c r="E12" s="96"/>
      <c r="F12" s="96"/>
      <c r="G12" s="513"/>
      <c r="H12" s="513"/>
      <c r="I12" s="513"/>
      <c r="J12" s="513"/>
      <c r="K12" s="513"/>
      <c r="L12" s="513"/>
      <c r="M12" s="513"/>
      <c r="N12" s="513"/>
      <c r="O12" s="513"/>
      <c r="P12" s="513"/>
      <c r="Q12" s="513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/>
      <c r="AC12"/>
      <c r="AD12"/>
      <c r="AE12"/>
      <c r="AF12"/>
      <c r="AG12"/>
      <c r="AH12" s="85"/>
      <c r="AI12" s="85"/>
    </row>
    <row r="13" spans="1:35" s="83" customFormat="1">
      <c r="A13" s="84"/>
      <c r="B13" s="84"/>
      <c r="C13" s="488" t="s">
        <v>69</v>
      </c>
      <c r="D13" s="111">
        <v>103.416</v>
      </c>
      <c r="E13" s="111">
        <v>104.602</v>
      </c>
      <c r="F13" s="111">
        <v>279.82100000000003</v>
      </c>
      <c r="G13" s="615">
        <v>251.839</v>
      </c>
      <c r="H13" s="615">
        <v>324.79899999999998</v>
      </c>
      <c r="I13" s="615">
        <v>13.919</v>
      </c>
      <c r="J13" s="615">
        <f t="shared" ref="J13:O13" si="24">I13</f>
        <v>13.919</v>
      </c>
      <c r="K13" s="615">
        <f>J13-J13</f>
        <v>0</v>
      </c>
      <c r="L13" s="615">
        <f t="shared" si="24"/>
        <v>0</v>
      </c>
      <c r="M13" s="615">
        <f t="shared" si="24"/>
        <v>0</v>
      </c>
      <c r="N13" s="615">
        <f t="shared" si="24"/>
        <v>0</v>
      </c>
      <c r="O13" s="615">
        <f t="shared" si="24"/>
        <v>0</v>
      </c>
      <c r="P13" s="615">
        <f t="shared" ref="P13:P15" si="25">O13</f>
        <v>0</v>
      </c>
      <c r="Q13" s="615">
        <f t="shared" ref="Q13:Q15" si="26">P13</f>
        <v>0</v>
      </c>
      <c r="R13" s="615">
        <f t="shared" ref="R13:R15" si="27">Q13</f>
        <v>0</v>
      </c>
      <c r="S13" s="615">
        <f t="shared" ref="S13:S15" si="28">R13</f>
        <v>0</v>
      </c>
      <c r="T13" s="615">
        <f t="shared" ref="T13:T15" si="29">S13</f>
        <v>0</v>
      </c>
      <c r="U13" s="615">
        <f t="shared" ref="U13:U15" si="30">T13</f>
        <v>0</v>
      </c>
      <c r="V13" s="615">
        <f t="shared" ref="V13:V15" si="31">U13</f>
        <v>0</v>
      </c>
      <c r="W13" s="85"/>
      <c r="X13" s="85"/>
      <c r="Y13" s="85"/>
      <c r="Z13" s="85"/>
      <c r="AA13" s="85"/>
      <c r="AB13"/>
      <c r="AC13"/>
      <c r="AD13"/>
      <c r="AE13"/>
      <c r="AF13"/>
      <c r="AG13"/>
      <c r="AH13" s="85"/>
      <c r="AI13" s="85"/>
    </row>
    <row r="14" spans="1:35" s="83" customFormat="1" ht="12.75" hidden="1" customHeight="1" outlineLevel="1">
      <c r="A14" s="84"/>
      <c r="B14" s="84"/>
      <c r="C14" s="488" t="s">
        <v>81</v>
      </c>
      <c r="D14" s="111">
        <v>0</v>
      </c>
      <c r="E14" s="111">
        <v>0</v>
      </c>
      <c r="F14" s="111">
        <v>31.667000000000002</v>
      </c>
      <c r="G14" s="615">
        <v>0</v>
      </c>
      <c r="H14" s="615">
        <v>0</v>
      </c>
      <c r="I14" s="615">
        <v>0</v>
      </c>
      <c r="J14" s="615">
        <f t="shared" ref="G14:O15" si="32">I14</f>
        <v>0</v>
      </c>
      <c r="K14" s="615">
        <f t="shared" si="32"/>
        <v>0</v>
      </c>
      <c r="L14" s="615">
        <f t="shared" si="32"/>
        <v>0</v>
      </c>
      <c r="M14" s="615">
        <f t="shared" si="32"/>
        <v>0</v>
      </c>
      <c r="N14" s="615">
        <f t="shared" si="32"/>
        <v>0</v>
      </c>
      <c r="O14" s="615">
        <f t="shared" si="32"/>
        <v>0</v>
      </c>
      <c r="P14" s="615">
        <f t="shared" si="25"/>
        <v>0</v>
      </c>
      <c r="Q14" s="615">
        <f t="shared" si="26"/>
        <v>0</v>
      </c>
      <c r="R14" s="615">
        <f t="shared" si="27"/>
        <v>0</v>
      </c>
      <c r="S14" s="615">
        <f t="shared" si="28"/>
        <v>0</v>
      </c>
      <c r="T14" s="615">
        <f t="shared" si="29"/>
        <v>0</v>
      </c>
      <c r="U14" s="615">
        <f t="shared" si="30"/>
        <v>0</v>
      </c>
      <c r="V14" s="615">
        <f t="shared" si="31"/>
        <v>0</v>
      </c>
      <c r="W14" s="85"/>
      <c r="X14" s="85"/>
      <c r="Y14" s="85"/>
      <c r="Z14" s="85"/>
      <c r="AA14" s="85"/>
      <c r="AB14"/>
      <c r="AC14"/>
      <c r="AD14"/>
      <c r="AE14"/>
      <c r="AF14"/>
      <c r="AG14"/>
      <c r="AH14" s="85"/>
      <c r="AI14" s="85"/>
    </row>
    <row r="15" spans="1:35" s="83" customFormat="1" ht="12.75" hidden="1" customHeight="1" outlineLevel="1">
      <c r="A15" s="84"/>
      <c r="B15" s="84"/>
      <c r="C15" s="488" t="s">
        <v>493</v>
      </c>
      <c r="D15" s="111">
        <v>38.747999999999998</v>
      </c>
      <c r="E15" s="111">
        <v>45.451999999999998</v>
      </c>
      <c r="F15" s="111">
        <v>0</v>
      </c>
      <c r="G15" s="615">
        <f t="shared" si="32"/>
        <v>0</v>
      </c>
      <c r="H15" s="615">
        <f t="shared" si="32"/>
        <v>0</v>
      </c>
      <c r="I15" s="615">
        <v>0</v>
      </c>
      <c r="J15" s="615">
        <f t="shared" si="32"/>
        <v>0</v>
      </c>
      <c r="K15" s="615">
        <f t="shared" si="32"/>
        <v>0</v>
      </c>
      <c r="L15" s="615">
        <f t="shared" si="32"/>
        <v>0</v>
      </c>
      <c r="M15" s="615">
        <f t="shared" si="32"/>
        <v>0</v>
      </c>
      <c r="N15" s="615">
        <f t="shared" si="32"/>
        <v>0</v>
      </c>
      <c r="O15" s="615">
        <f t="shared" si="32"/>
        <v>0</v>
      </c>
      <c r="P15" s="615">
        <f t="shared" si="25"/>
        <v>0</v>
      </c>
      <c r="Q15" s="615">
        <f t="shared" si="26"/>
        <v>0</v>
      </c>
      <c r="R15" s="615">
        <f t="shared" si="27"/>
        <v>0</v>
      </c>
      <c r="S15" s="615">
        <f t="shared" si="28"/>
        <v>0</v>
      </c>
      <c r="T15" s="615">
        <f t="shared" si="29"/>
        <v>0</v>
      </c>
      <c r="U15" s="615">
        <f t="shared" si="30"/>
        <v>0</v>
      </c>
      <c r="V15" s="615">
        <f t="shared" si="31"/>
        <v>0</v>
      </c>
      <c r="W15" s="85"/>
      <c r="X15" s="85"/>
      <c r="Y15" s="85"/>
      <c r="Z15" s="85"/>
      <c r="AA15" s="85"/>
      <c r="AB15"/>
      <c r="AC15"/>
      <c r="AD15"/>
      <c r="AE15"/>
      <c r="AF15"/>
      <c r="AG15"/>
      <c r="AH15" s="85"/>
      <c r="AI15" s="85"/>
    </row>
    <row r="16" spans="1:35" s="83" customFormat="1" ht="12.75" customHeight="1" collapsed="1">
      <c r="A16" s="84"/>
      <c r="B16" s="84"/>
      <c r="C16" s="488" t="s">
        <v>35</v>
      </c>
      <c r="D16" s="111">
        <v>19.798999999999999</v>
      </c>
      <c r="E16" s="111">
        <v>16.448</v>
      </c>
      <c r="F16" s="111">
        <v>21.74</v>
      </c>
      <c r="G16" s="615">
        <v>27.812000000000001</v>
      </c>
      <c r="H16" s="615">
        <v>114.572</v>
      </c>
      <c r="I16" s="615">
        <v>181.9</v>
      </c>
      <c r="J16" s="615">
        <f t="shared" ref="J16:M16" si="33">J85</f>
        <v>238.10052774078753</v>
      </c>
      <c r="K16" s="615">
        <f t="shared" si="33"/>
        <v>306.85801785775573</v>
      </c>
      <c r="L16" s="615">
        <f t="shared" si="33"/>
        <v>366.76861458289852</v>
      </c>
      <c r="M16" s="615">
        <f t="shared" si="33"/>
        <v>423.24423812006665</v>
      </c>
      <c r="N16" s="615">
        <f t="shared" ref="N16:O16" si="34">N85</f>
        <v>455.20012044317281</v>
      </c>
      <c r="O16" s="615">
        <f t="shared" si="34"/>
        <v>489.08285245422741</v>
      </c>
      <c r="P16" s="615">
        <f t="shared" ref="P16" si="35">P85</f>
        <v>511.28580875437069</v>
      </c>
      <c r="Q16" s="615">
        <f t="shared" ref="Q16:V16" si="36">Q85</f>
        <v>520.58957762561715</v>
      </c>
      <c r="R16" s="615">
        <f t="shared" si="36"/>
        <v>518.2723376207332</v>
      </c>
      <c r="S16" s="615">
        <f t="shared" si="36"/>
        <v>501.80129483810299</v>
      </c>
      <c r="T16" s="615">
        <f t="shared" si="36"/>
        <v>481.30809880802155</v>
      </c>
      <c r="U16" s="615">
        <f t="shared" si="36"/>
        <v>461.28236674317657</v>
      </c>
      <c r="V16" s="615">
        <f t="shared" si="36"/>
        <v>454.65758835845298</v>
      </c>
      <c r="W16" s="85"/>
      <c r="X16" s="85"/>
      <c r="Y16" s="85"/>
      <c r="Z16" s="85"/>
      <c r="AA16" s="85"/>
      <c r="AB16"/>
      <c r="AC16"/>
      <c r="AD16"/>
      <c r="AE16"/>
      <c r="AF16"/>
      <c r="AG16"/>
      <c r="AH16" s="85"/>
      <c r="AI16" s="85"/>
    </row>
    <row r="17" spans="1:35" s="83" customFormat="1" ht="12.75" customHeight="1">
      <c r="A17" s="84"/>
      <c r="B17" s="84"/>
      <c r="C17" s="631" t="s">
        <v>483</v>
      </c>
      <c r="D17" s="111">
        <v>0</v>
      </c>
      <c r="E17" s="111">
        <v>0</v>
      </c>
      <c r="F17" s="111">
        <v>0</v>
      </c>
      <c r="G17" s="616">
        <v>1.4710000000000001</v>
      </c>
      <c r="H17" s="616">
        <f>150+1.562</f>
        <v>151.56200000000001</v>
      </c>
      <c r="I17" s="616">
        <f>30+4.171</f>
        <v>34.170999999999999</v>
      </c>
      <c r="J17" s="616">
        <f t="shared" ref="J17" si="37">I17</f>
        <v>34.170999999999999</v>
      </c>
      <c r="K17" s="616">
        <f t="shared" ref="K17" si="38">J17</f>
        <v>34.170999999999999</v>
      </c>
      <c r="L17" s="616">
        <f t="shared" ref="L17" si="39">K17</f>
        <v>34.170999999999999</v>
      </c>
      <c r="M17" s="616">
        <f t="shared" ref="M17" si="40">L17</f>
        <v>34.170999999999999</v>
      </c>
      <c r="N17" s="616">
        <f t="shared" ref="N17" si="41">M17</f>
        <v>34.170999999999999</v>
      </c>
      <c r="O17" s="616">
        <f t="shared" ref="O17" si="42">N17</f>
        <v>34.170999999999999</v>
      </c>
      <c r="P17" s="616">
        <f t="shared" ref="P17" si="43">O17</f>
        <v>34.170999999999999</v>
      </c>
      <c r="Q17" s="616">
        <f t="shared" ref="Q17" si="44">P17</f>
        <v>34.170999999999999</v>
      </c>
      <c r="R17" s="616">
        <f t="shared" ref="R17" si="45">Q17</f>
        <v>34.170999999999999</v>
      </c>
      <c r="S17" s="616">
        <f t="shared" ref="S17" si="46">R17</f>
        <v>34.170999999999999</v>
      </c>
      <c r="T17" s="616">
        <f t="shared" ref="T17" si="47">S17</f>
        <v>34.170999999999999</v>
      </c>
      <c r="U17" s="616">
        <f t="shared" ref="U17" si="48">T17</f>
        <v>34.170999999999999</v>
      </c>
      <c r="V17" s="616">
        <f t="shared" ref="V17" si="49">U17</f>
        <v>34.170999999999999</v>
      </c>
      <c r="W17" s="85"/>
      <c r="X17" s="85"/>
      <c r="Y17" s="85"/>
      <c r="Z17" s="85"/>
      <c r="AA17" s="85"/>
      <c r="AB17"/>
      <c r="AC17"/>
      <c r="AD17"/>
      <c r="AE17"/>
      <c r="AF17"/>
      <c r="AG17"/>
      <c r="AH17" s="85"/>
      <c r="AI17" s="85"/>
    </row>
    <row r="18" spans="1:35" s="83" customFormat="1" ht="12.75" customHeight="1">
      <c r="A18" s="85"/>
      <c r="B18" s="85"/>
      <c r="C18" s="632" t="s">
        <v>36</v>
      </c>
      <c r="D18" s="112">
        <f t="shared" ref="D18:M18" si="50">SUM(D11:D17)</f>
        <v>287.52</v>
      </c>
      <c r="E18" s="112">
        <f t="shared" si="50"/>
        <v>420.53</v>
      </c>
      <c r="F18" s="112">
        <f t="shared" si="50"/>
        <v>1079.595</v>
      </c>
      <c r="G18" s="608">
        <f t="shared" si="50"/>
        <v>1386.51</v>
      </c>
      <c r="H18" s="608">
        <f t="shared" si="50"/>
        <v>1262.81</v>
      </c>
      <c r="I18" s="608">
        <f t="shared" si="50"/>
        <v>1994.73</v>
      </c>
      <c r="J18" s="608">
        <f t="shared" si="50"/>
        <v>1654.5158958836232</v>
      </c>
      <c r="K18" s="608">
        <f t="shared" si="50"/>
        <v>1524.5120458652161</v>
      </c>
      <c r="L18" s="608">
        <f t="shared" si="50"/>
        <v>1736.4243078540237</v>
      </c>
      <c r="M18" s="608">
        <f t="shared" si="50"/>
        <v>2317.3669602302471</v>
      </c>
      <c r="N18" s="608">
        <f t="shared" ref="N18:O18" si="51">SUM(N11:N17)</f>
        <v>3305.664737994482</v>
      </c>
      <c r="O18" s="608">
        <f t="shared" si="51"/>
        <v>4651.0076943645781</v>
      </c>
      <c r="P18" s="608">
        <f t="shared" ref="P18" si="52">SUM(P11:P17)</f>
        <v>6134.0848113021257</v>
      </c>
      <c r="Q18" s="608">
        <f t="shared" ref="Q18:V18" si="53">SUM(Q11:Q17)</f>
        <v>7492.5540145607747</v>
      </c>
      <c r="R18" s="608">
        <f t="shared" si="53"/>
        <v>9019.1961792387756</v>
      </c>
      <c r="S18" s="608">
        <f t="shared" si="53"/>
        <v>10713.718476360178</v>
      </c>
      <c r="T18" s="608">
        <f t="shared" si="53"/>
        <v>12546.094944640949</v>
      </c>
      <c r="U18" s="608">
        <f t="shared" si="53"/>
        <v>14501.505454531181</v>
      </c>
      <c r="V18" s="608">
        <f t="shared" si="53"/>
        <v>16559.060842876734</v>
      </c>
      <c r="W18" s="85"/>
      <c r="X18" s="85"/>
      <c r="Y18" s="85"/>
      <c r="Z18" s="85"/>
      <c r="AA18" s="85"/>
      <c r="AB18"/>
      <c r="AC18"/>
      <c r="AD18"/>
      <c r="AE18"/>
      <c r="AF18"/>
      <c r="AG18"/>
      <c r="AH18" s="85"/>
      <c r="AI18" s="85"/>
    </row>
    <row r="19" spans="1:35" s="83" customFormat="1" ht="9" customHeight="1">
      <c r="A19" s="85"/>
      <c r="B19" s="85"/>
      <c r="C19" s="490"/>
      <c r="D19" s="96"/>
      <c r="E19" s="96"/>
      <c r="F19" s="96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/>
      <c r="AC19"/>
      <c r="AD19"/>
      <c r="AE19"/>
      <c r="AF19"/>
      <c r="AG19"/>
      <c r="AH19" s="85"/>
      <c r="AI19" s="85"/>
    </row>
    <row r="20" spans="1:35" s="83" customFormat="1" ht="12.75" customHeight="1">
      <c r="A20" s="85"/>
      <c r="B20" s="85"/>
      <c r="C20" s="490" t="s">
        <v>37</v>
      </c>
      <c r="D20" s="96"/>
      <c r="E20" s="96"/>
      <c r="F20" s="96"/>
      <c r="G20" s="513"/>
      <c r="H20" s="513"/>
      <c r="I20" s="513"/>
      <c r="J20" s="513"/>
      <c r="K20" s="513"/>
      <c r="L20" s="513"/>
      <c r="M20" s="513"/>
      <c r="N20" s="513"/>
      <c r="O20" s="513"/>
      <c r="P20" s="513"/>
      <c r="Q20" s="513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/>
      <c r="AC20"/>
      <c r="AD20"/>
      <c r="AE20"/>
      <c r="AF20"/>
      <c r="AG20"/>
      <c r="AH20" s="85"/>
      <c r="AI20" s="85"/>
    </row>
    <row r="21" spans="1:35" s="83" customFormat="1" ht="12.75" customHeight="1">
      <c r="A21" s="88"/>
      <c r="B21" s="88"/>
      <c r="C21" s="488" t="s">
        <v>38</v>
      </c>
      <c r="D21" s="111">
        <v>4.42</v>
      </c>
      <c r="E21" s="111">
        <v>5.8959999999999999</v>
      </c>
      <c r="F21" s="111">
        <v>15.111000000000001</v>
      </c>
      <c r="G21" s="511">
        <v>16.786999999999999</v>
      </c>
      <c r="H21" s="511">
        <v>54.465000000000003</v>
      </c>
      <c r="I21" s="511">
        <v>28.355</v>
      </c>
      <c r="J21" s="511">
        <f t="shared" ref="J21:M21" si="54">J70</f>
        <v>30.89693218295006</v>
      </c>
      <c r="K21" s="511">
        <f t="shared" si="54"/>
        <v>34.677117876759318</v>
      </c>
      <c r="L21" s="511">
        <f t="shared" si="54"/>
        <v>38.266496667181279</v>
      </c>
      <c r="M21" s="511">
        <f t="shared" si="54"/>
        <v>40.643459782063317</v>
      </c>
      <c r="N21" s="511">
        <f t="shared" ref="N21:O21" si="55">N70</f>
        <v>41.613619262394344</v>
      </c>
      <c r="O21" s="511">
        <f t="shared" si="55"/>
        <v>42.39912743248285</v>
      </c>
      <c r="P21" s="511">
        <f t="shared" ref="P21:Q21" si="56">P70</f>
        <v>43.524899493210022</v>
      </c>
      <c r="Q21" s="511">
        <f t="shared" si="56"/>
        <v>44.275579434827243</v>
      </c>
      <c r="R21" s="511">
        <f t="shared" ref="R21:V21" si="57">R70</f>
        <v>44.648089002503681</v>
      </c>
      <c r="S21" s="511">
        <f t="shared" si="57"/>
        <v>44.759679411576521</v>
      </c>
      <c r="T21" s="511">
        <f t="shared" si="57"/>
        <v>44.620015228883318</v>
      </c>
      <c r="U21" s="511">
        <f t="shared" si="57"/>
        <v>44.242399143415234</v>
      </c>
      <c r="V21" s="511">
        <f t="shared" si="57"/>
        <v>43.63924331175923</v>
      </c>
      <c r="W21" s="89"/>
      <c r="X21" s="89"/>
      <c r="Y21" s="89"/>
      <c r="Z21" s="89"/>
      <c r="AA21" s="89"/>
      <c r="AB21"/>
      <c r="AC21"/>
      <c r="AD21"/>
      <c r="AE21"/>
      <c r="AF21"/>
      <c r="AG21"/>
      <c r="AH21" s="89"/>
      <c r="AI21" s="89"/>
    </row>
    <row r="22" spans="1:35" s="83" customFormat="1" ht="12.75" customHeight="1">
      <c r="A22" s="88"/>
      <c r="B22" s="88"/>
      <c r="C22" s="488" t="s">
        <v>484</v>
      </c>
      <c r="D22" s="111">
        <v>11.558</v>
      </c>
      <c r="E22" s="111">
        <v>14.16</v>
      </c>
      <c r="F22" s="111">
        <v>23.68</v>
      </c>
      <c r="G22" s="511">
        <v>28.797999999999998</v>
      </c>
      <c r="H22" s="511">
        <v>42.118000000000002</v>
      </c>
      <c r="I22" s="511">
        <v>72.203000000000003</v>
      </c>
      <c r="J22" s="511">
        <f t="shared" ref="J22:M22" si="58">J74</f>
        <v>79.038663723825735</v>
      </c>
      <c r="K22" s="511">
        <f t="shared" si="58"/>
        <v>80.644460178510059</v>
      </c>
      <c r="L22" s="511">
        <f t="shared" si="58"/>
        <v>84.542260078656312</v>
      </c>
      <c r="M22" s="511">
        <f t="shared" si="58"/>
        <v>85.067706520597639</v>
      </c>
      <c r="N22" s="511">
        <f t="shared" ref="N22:O22" si="59">N74</f>
        <v>87.098272874778871</v>
      </c>
      <c r="O22" s="511">
        <f t="shared" si="59"/>
        <v>88.742359742405966</v>
      </c>
      <c r="P22" s="511">
        <f t="shared" ref="P22:Q22" si="60">P74</f>
        <v>91.098626846253538</v>
      </c>
      <c r="Q22" s="511">
        <f t="shared" si="60"/>
        <v>92.669817421731437</v>
      </c>
      <c r="R22" s="511">
        <f t="shared" ref="R22:V22" si="61">R74</f>
        <v>93.449488609891432</v>
      </c>
      <c r="S22" s="511">
        <f t="shared" si="61"/>
        <v>93.683049931206682</v>
      </c>
      <c r="T22" s="511">
        <f t="shared" si="61"/>
        <v>93.390729548825561</v>
      </c>
      <c r="U22" s="511">
        <f t="shared" si="61"/>
        <v>92.60037030017142</v>
      </c>
      <c r="V22" s="511">
        <f t="shared" si="61"/>
        <v>91.337951117635612</v>
      </c>
      <c r="W22" s="89"/>
      <c r="X22" s="89"/>
      <c r="Y22" s="89"/>
      <c r="Z22" s="89"/>
      <c r="AA22" s="89"/>
      <c r="AB22"/>
      <c r="AC22"/>
      <c r="AD22"/>
      <c r="AE22"/>
      <c r="AF22"/>
      <c r="AG22"/>
      <c r="AH22" s="89"/>
      <c r="AI22" s="89"/>
    </row>
    <row r="23" spans="1:35" s="83" customFormat="1" ht="12.75" customHeight="1">
      <c r="A23" s="88"/>
      <c r="B23" s="88"/>
      <c r="C23" s="488" t="s">
        <v>78</v>
      </c>
      <c r="D23" s="111">
        <v>0.95</v>
      </c>
      <c r="E23" s="111">
        <v>1.1120000000000001</v>
      </c>
      <c r="F23" s="111">
        <v>1.0049999999999999</v>
      </c>
      <c r="G23" s="511">
        <v>1.1619999999999999</v>
      </c>
      <c r="H23" s="511">
        <v>1.5760000000000001</v>
      </c>
      <c r="I23" s="511">
        <v>1.988</v>
      </c>
      <c r="J23" s="511">
        <f t="shared" ref="J23:O23" si="62">I23</f>
        <v>1.988</v>
      </c>
      <c r="K23" s="511">
        <f t="shared" si="62"/>
        <v>1.988</v>
      </c>
      <c r="L23" s="511">
        <f t="shared" si="62"/>
        <v>1.988</v>
      </c>
      <c r="M23" s="511">
        <f t="shared" si="62"/>
        <v>1.988</v>
      </c>
      <c r="N23" s="511">
        <f t="shared" si="62"/>
        <v>1.988</v>
      </c>
      <c r="O23" s="511">
        <f t="shared" si="62"/>
        <v>1.988</v>
      </c>
      <c r="P23" s="511">
        <f t="shared" ref="P23" si="63">O23</f>
        <v>1.988</v>
      </c>
      <c r="Q23" s="511">
        <f t="shared" ref="Q23" si="64">P23</f>
        <v>1.988</v>
      </c>
      <c r="R23" s="511">
        <f t="shared" ref="R23" si="65">Q23</f>
        <v>1.988</v>
      </c>
      <c r="S23" s="511">
        <f t="shared" ref="S23" si="66">R23</f>
        <v>1.988</v>
      </c>
      <c r="T23" s="511">
        <f t="shared" ref="T23" si="67">S23</f>
        <v>1.988</v>
      </c>
      <c r="U23" s="511">
        <f t="shared" ref="U23" si="68">T23</f>
        <v>1.988</v>
      </c>
      <c r="V23" s="511">
        <f t="shared" ref="V23" si="69">U23</f>
        <v>1.988</v>
      </c>
      <c r="W23" s="89"/>
      <c r="X23" s="89"/>
      <c r="Y23" s="89"/>
      <c r="Z23" s="89"/>
      <c r="AA23" s="89"/>
      <c r="AB23"/>
      <c r="AC23"/>
      <c r="AD23"/>
      <c r="AE23"/>
      <c r="AF23"/>
      <c r="AG23"/>
      <c r="AH23" s="89"/>
      <c r="AI23" s="89"/>
    </row>
    <row r="24" spans="1:35" s="83" customFormat="1" ht="12.75" customHeight="1">
      <c r="A24" s="88"/>
      <c r="B24" s="88"/>
      <c r="C24" s="631" t="s">
        <v>79</v>
      </c>
      <c r="D24" s="119">
        <v>31.417000000000002</v>
      </c>
      <c r="E24" s="119">
        <v>32.695999999999998</v>
      </c>
      <c r="F24" s="119">
        <f>23.871+31.667</f>
        <v>55.537999999999997</v>
      </c>
      <c r="G24" s="512">
        <v>15.352</v>
      </c>
      <c r="H24" s="512">
        <v>33.54</v>
      </c>
      <c r="I24" s="512">
        <v>41.704999999999998</v>
      </c>
      <c r="J24" s="512">
        <f t="shared" ref="J24:O24" si="70">(I24/(I24+I27))*J72</f>
        <v>41.554965325996243</v>
      </c>
      <c r="K24" s="512">
        <f>(J24/(J24+J27))*K72</f>
        <v>42.799540038828368</v>
      </c>
      <c r="L24" s="512">
        <f t="shared" si="70"/>
        <v>50.029822411349954</v>
      </c>
      <c r="M24" s="512">
        <f t="shared" si="70"/>
        <v>57.809606245957376</v>
      </c>
      <c r="N24" s="512">
        <f t="shared" si="70"/>
        <v>63.642462177423347</v>
      </c>
      <c r="O24" s="512">
        <f t="shared" si="70"/>
        <v>72.564843784998885</v>
      </c>
      <c r="P24" s="512">
        <f t="shared" ref="P24" si="71">(O24/(O24+O27))*P72</f>
        <v>78.468365412283788</v>
      </c>
      <c r="Q24" s="512">
        <f t="shared" ref="Q24" si="72">(P24/(P24+P27))*Q72</f>
        <v>81.694511416393937</v>
      </c>
      <c r="R24" s="512">
        <f t="shared" ref="R24" si="73">(Q24/(Q24+Q27))*R72</f>
        <v>82.495332917244824</v>
      </c>
      <c r="S24" s="512">
        <f t="shared" ref="S24" si="74">(R24/(R24+R27))*S72</f>
        <v>89.198340028478441</v>
      </c>
      <c r="T24" s="512">
        <f t="shared" ref="T24" si="75">(S24/(S24+S27))*T72</f>
        <v>95.050121229148829</v>
      </c>
      <c r="U24" s="512">
        <f t="shared" ref="U24" si="76">(T24/(T24+T27))*U72</f>
        <v>100.11684009369337</v>
      </c>
      <c r="V24" s="512">
        <f t="shared" ref="V24" si="77">(U24/(U24+U27))*V72</f>
        <v>104.42159359124528</v>
      </c>
      <c r="W24" s="89"/>
      <c r="X24" s="89"/>
      <c r="Y24" s="89"/>
      <c r="Z24" s="89"/>
      <c r="AA24" s="89"/>
      <c r="AB24"/>
      <c r="AC24"/>
      <c r="AD24"/>
      <c r="AE24"/>
      <c r="AF24"/>
      <c r="AG24"/>
      <c r="AH24" s="89"/>
      <c r="AI24" s="89"/>
    </row>
    <row r="25" spans="1:35" s="83" customFormat="1" ht="12.75" customHeight="1">
      <c r="A25" s="85"/>
      <c r="B25" s="85"/>
      <c r="C25" s="489" t="s">
        <v>39</v>
      </c>
      <c r="D25" s="96">
        <f t="shared" ref="D25:M25" si="78">SUM(D21:D24)</f>
        <v>48.344999999999999</v>
      </c>
      <c r="E25" s="96">
        <f t="shared" si="78"/>
        <v>53.863999999999997</v>
      </c>
      <c r="F25" s="96">
        <f t="shared" si="78"/>
        <v>95.334000000000003</v>
      </c>
      <c r="G25" s="594">
        <f t="shared" si="78"/>
        <v>62.09899999999999</v>
      </c>
      <c r="H25" s="594">
        <f t="shared" si="78"/>
        <v>131.69899999999998</v>
      </c>
      <c r="I25" s="594">
        <f t="shared" si="78"/>
        <v>144.251</v>
      </c>
      <c r="J25" s="594">
        <f t="shared" si="78"/>
        <v>153.47856123277205</v>
      </c>
      <c r="K25" s="594">
        <f t="shared" si="78"/>
        <v>160.10911809409777</v>
      </c>
      <c r="L25" s="594">
        <f t="shared" si="78"/>
        <v>174.82657915718755</v>
      </c>
      <c r="M25" s="594">
        <f t="shared" si="78"/>
        <v>185.50877254861834</v>
      </c>
      <c r="N25" s="594">
        <f t="shared" ref="N25:O25" si="79">SUM(N21:N24)</f>
        <v>194.34235431459655</v>
      </c>
      <c r="O25" s="594">
        <f t="shared" si="79"/>
        <v>205.69433095988771</v>
      </c>
      <c r="P25" s="594">
        <f t="shared" ref="P25:Q25" si="80">SUM(P21:P24)</f>
        <v>215.07989175174734</v>
      </c>
      <c r="Q25" s="594">
        <f t="shared" si="80"/>
        <v>220.62790827295262</v>
      </c>
      <c r="R25" s="594">
        <f t="shared" ref="R25:V25" si="81">SUM(R21:R24)</f>
        <v>222.58091052963994</v>
      </c>
      <c r="S25" s="594">
        <f t="shared" si="81"/>
        <v>229.62906937126164</v>
      </c>
      <c r="T25" s="594">
        <f t="shared" si="81"/>
        <v>235.04886600685771</v>
      </c>
      <c r="U25" s="594">
        <f t="shared" si="81"/>
        <v>238.94760953728002</v>
      </c>
      <c r="V25" s="594">
        <f t="shared" si="81"/>
        <v>241.38678802064013</v>
      </c>
      <c r="W25" s="85"/>
      <c r="X25" s="85"/>
      <c r="Y25" s="85"/>
      <c r="Z25" s="85"/>
      <c r="AA25" s="85"/>
      <c r="AB25"/>
      <c r="AC25"/>
      <c r="AD25"/>
      <c r="AE25"/>
      <c r="AF25"/>
      <c r="AG25"/>
      <c r="AH25" s="85"/>
      <c r="AI25" s="85"/>
    </row>
    <row r="26" spans="1:35" s="83" customFormat="1" ht="12.75" customHeight="1">
      <c r="A26" s="85"/>
      <c r="B26" s="85"/>
      <c r="C26" s="490"/>
      <c r="D26" s="96"/>
      <c r="E26" s="96"/>
      <c r="F26" s="96"/>
      <c r="G26" s="513"/>
      <c r="H26" s="513"/>
      <c r="I26" s="513"/>
      <c r="J26" s="513"/>
      <c r="K26" s="513"/>
      <c r="L26" s="513"/>
      <c r="M26" s="513"/>
      <c r="N26" s="513"/>
      <c r="O26" s="513"/>
      <c r="P26" s="513"/>
      <c r="Q26" s="513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/>
      <c r="AC26"/>
      <c r="AD26"/>
      <c r="AE26"/>
      <c r="AF26"/>
      <c r="AG26"/>
      <c r="AH26" s="85"/>
      <c r="AI26" s="85"/>
    </row>
    <row r="27" spans="1:35" s="83" customFormat="1" ht="12.75" customHeight="1">
      <c r="A27" s="85"/>
      <c r="B27" s="85"/>
      <c r="C27" s="488" t="s">
        <v>80</v>
      </c>
      <c r="D27" s="111">
        <v>100.874</v>
      </c>
      <c r="E27" s="111">
        <v>93.394000000000005</v>
      </c>
      <c r="F27" s="111">
        <v>42.982999999999997</v>
      </c>
      <c r="G27" s="615">
        <v>52.965000000000003</v>
      </c>
      <c r="H27" s="615">
        <v>49.392000000000003</v>
      </c>
      <c r="I27" s="615">
        <v>43.075000000000003</v>
      </c>
      <c r="J27" s="615">
        <f t="shared" ref="J27:M27" si="82">J72-J24</f>
        <v>42.920036720232311</v>
      </c>
      <c r="K27" s="615">
        <f t="shared" si="82"/>
        <v>44.205495436339348</v>
      </c>
      <c r="L27" s="615">
        <f t="shared" si="82"/>
        <v>51.673290981150927</v>
      </c>
      <c r="M27" s="615">
        <f t="shared" si="82"/>
        <v>59.708638989200672</v>
      </c>
      <c r="N27" s="615">
        <f t="shared" ref="N27:O27" si="83">N72-N24</f>
        <v>65.733102944311497</v>
      </c>
      <c r="O27" s="615">
        <f t="shared" si="83"/>
        <v>74.948582808747801</v>
      </c>
      <c r="P27" s="615">
        <f t="shared" ref="P27:Q27" si="84">P72-P24</f>
        <v>81.04603381211183</v>
      </c>
      <c r="Q27" s="615">
        <f t="shared" si="84"/>
        <v>84.378157996910886</v>
      </c>
      <c r="R27" s="615">
        <f t="shared" ref="R27:V27" si="85">R72-R24</f>
        <v>85.205286306445757</v>
      </c>
      <c r="S27" s="615">
        <f t="shared" si="85"/>
        <v>92.128485714583604</v>
      </c>
      <c r="T27" s="615">
        <f t="shared" si="85"/>
        <v>98.172496629794665</v>
      </c>
      <c r="U27" s="615">
        <f t="shared" si="85"/>
        <v>103.40565608526178</v>
      </c>
      <c r="V27" s="615">
        <f t="shared" si="85"/>
        <v>107.85181978043138</v>
      </c>
      <c r="W27" s="85"/>
      <c r="X27" s="85"/>
      <c r="Y27" s="85"/>
      <c r="Z27" s="85"/>
      <c r="AA27" s="85"/>
      <c r="AB27"/>
      <c r="AC27"/>
      <c r="AD27"/>
      <c r="AE27"/>
      <c r="AF27"/>
      <c r="AG27"/>
      <c r="AH27" s="85"/>
      <c r="AI27" s="85"/>
    </row>
    <row r="28" spans="1:35" s="83" customFormat="1" ht="12.75" customHeight="1">
      <c r="A28" s="85"/>
      <c r="B28" s="85"/>
      <c r="C28" s="488" t="s">
        <v>485</v>
      </c>
      <c r="D28" s="111"/>
      <c r="E28" s="111"/>
      <c r="F28" s="111"/>
      <c r="G28" s="615">
        <v>0</v>
      </c>
      <c r="H28" s="615">
        <f>G28+CF!G35</f>
        <v>150</v>
      </c>
      <c r="I28" s="615">
        <v>30</v>
      </c>
      <c r="J28" s="615">
        <f>I28+CF!I35</f>
        <v>30</v>
      </c>
      <c r="K28" s="615">
        <f>J28+CF!J35</f>
        <v>30</v>
      </c>
      <c r="L28" s="615">
        <f>K28+CF!K35</f>
        <v>30</v>
      </c>
      <c r="M28" s="615">
        <f>L28+CF!L35</f>
        <v>0</v>
      </c>
      <c r="N28" s="615">
        <f>M28+CF!M35</f>
        <v>0</v>
      </c>
      <c r="O28" s="615">
        <f>N28+CF!N35</f>
        <v>0</v>
      </c>
      <c r="P28" s="615">
        <f>O28+CF!O35</f>
        <v>0</v>
      </c>
      <c r="Q28" s="615">
        <f>P28+CF!P35</f>
        <v>0</v>
      </c>
      <c r="R28" s="615">
        <f>Q28+CF!Q35</f>
        <v>0</v>
      </c>
      <c r="S28" s="615">
        <f>R28+CF!R35</f>
        <v>0</v>
      </c>
      <c r="T28" s="615">
        <f>S28+CF!S35</f>
        <v>0</v>
      </c>
      <c r="U28" s="615">
        <f>T28+CF!T35</f>
        <v>0</v>
      </c>
      <c r="V28" s="615">
        <f>U28+CF!U35</f>
        <v>0</v>
      </c>
      <c r="W28" s="85"/>
      <c r="X28" s="85"/>
      <c r="Y28" s="85"/>
      <c r="Z28" s="85"/>
      <c r="AA28" s="85"/>
      <c r="AB28"/>
      <c r="AC28"/>
      <c r="AD28"/>
      <c r="AE28"/>
      <c r="AF28"/>
      <c r="AG28"/>
      <c r="AH28" s="85"/>
      <c r="AI28" s="85"/>
    </row>
    <row r="29" spans="1:35" s="83" customFormat="1" ht="12.75" customHeight="1">
      <c r="A29" s="85"/>
      <c r="B29" s="85"/>
      <c r="C29" s="488" t="s">
        <v>40</v>
      </c>
      <c r="D29" s="111">
        <v>4.2480000000000002</v>
      </c>
      <c r="E29" s="111">
        <v>2.9249999999999998</v>
      </c>
      <c r="F29" s="111">
        <v>5.431</v>
      </c>
      <c r="G29" s="616">
        <f>1.301+5.431</f>
        <v>6.7320000000000002</v>
      </c>
      <c r="H29" s="616">
        <f>3.067+8.431</f>
        <v>11.497999999999999</v>
      </c>
      <c r="I29" s="616">
        <f>6.626+4.347</f>
        <v>10.973000000000001</v>
      </c>
      <c r="J29" s="616">
        <f t="shared" ref="J29:M29" si="86">J76</f>
        <v>17.963332664505852</v>
      </c>
      <c r="K29" s="616">
        <f t="shared" si="86"/>
        <v>18.145003540164762</v>
      </c>
      <c r="L29" s="616">
        <f t="shared" si="86"/>
        <v>17.798370542875013</v>
      </c>
      <c r="M29" s="616">
        <f t="shared" si="86"/>
        <v>18.903934782355034</v>
      </c>
      <c r="N29" s="616">
        <f t="shared" ref="N29:O29" si="87">N76</f>
        <v>19.355171749950859</v>
      </c>
      <c r="O29" s="616">
        <f t="shared" si="87"/>
        <v>19.720524387201326</v>
      </c>
      <c r="P29" s="616">
        <f t="shared" ref="P29:Q29" si="88">P76</f>
        <v>20.244139299167454</v>
      </c>
      <c r="Q29" s="616">
        <f t="shared" si="88"/>
        <v>20.593292760384767</v>
      </c>
      <c r="R29" s="616">
        <f t="shared" ref="R29:V29" si="89">R76</f>
        <v>20.766553024420318</v>
      </c>
      <c r="S29" s="616">
        <f t="shared" si="89"/>
        <v>20.81845554026815</v>
      </c>
      <c r="T29" s="616">
        <f t="shared" si="89"/>
        <v>20.753495455294569</v>
      </c>
      <c r="U29" s="616">
        <f t="shared" si="89"/>
        <v>20.577860066704762</v>
      </c>
      <c r="V29" s="616">
        <f t="shared" si="89"/>
        <v>20.297322470585691</v>
      </c>
      <c r="W29" s="85"/>
      <c r="X29" s="85"/>
      <c r="Y29" s="85"/>
      <c r="Z29" s="85"/>
      <c r="AA29" s="85"/>
      <c r="AB29"/>
      <c r="AC29"/>
      <c r="AD29"/>
      <c r="AE29"/>
      <c r="AF29"/>
      <c r="AG29"/>
      <c r="AH29" s="85"/>
      <c r="AI29" s="85"/>
    </row>
    <row r="30" spans="1:35" s="83" customFormat="1" ht="12.75" customHeight="1">
      <c r="A30" s="85"/>
      <c r="B30" s="85"/>
      <c r="C30" s="632" t="s">
        <v>353</v>
      </c>
      <c r="D30" s="112">
        <f t="shared" ref="D30:M30" si="90">SUM(D25:D29)</f>
        <v>153.46699999999998</v>
      </c>
      <c r="E30" s="112">
        <f t="shared" si="90"/>
        <v>150.18300000000002</v>
      </c>
      <c r="F30" s="112">
        <f t="shared" si="90"/>
        <v>143.74800000000002</v>
      </c>
      <c r="G30" s="608">
        <f t="shared" si="90"/>
        <v>121.79599999999999</v>
      </c>
      <c r="H30" s="608">
        <f t="shared" si="90"/>
        <v>342.589</v>
      </c>
      <c r="I30" s="608">
        <f t="shared" si="90"/>
        <v>228.29900000000004</v>
      </c>
      <c r="J30" s="608">
        <f t="shared" si="90"/>
        <v>244.36193061751021</v>
      </c>
      <c r="K30" s="608">
        <f t="shared" si="90"/>
        <v>252.45961707060187</v>
      </c>
      <c r="L30" s="608">
        <f t="shared" si="90"/>
        <v>274.29824068121349</v>
      </c>
      <c r="M30" s="608">
        <f t="shared" si="90"/>
        <v>264.12134632017404</v>
      </c>
      <c r="N30" s="608">
        <f t="shared" ref="N30:O30" si="91">SUM(N25:N29)</f>
        <v>279.43062900885889</v>
      </c>
      <c r="O30" s="608">
        <f t="shared" si="91"/>
        <v>300.36343815583683</v>
      </c>
      <c r="P30" s="608">
        <f t="shared" ref="P30:V30" si="92">SUM(P25:P29)</f>
        <v>316.37006486302658</v>
      </c>
      <c r="Q30" s="608">
        <f t="shared" si="92"/>
        <v>325.59935903024825</v>
      </c>
      <c r="R30" s="608">
        <f t="shared" si="92"/>
        <v>328.55274986050603</v>
      </c>
      <c r="S30" s="608">
        <f t="shared" si="92"/>
        <v>342.57601062611337</v>
      </c>
      <c r="T30" s="608">
        <f t="shared" si="92"/>
        <v>353.97485809194694</v>
      </c>
      <c r="U30" s="608">
        <f t="shared" si="92"/>
        <v>362.93112568924658</v>
      </c>
      <c r="V30" s="608">
        <f t="shared" si="92"/>
        <v>369.53593027165721</v>
      </c>
      <c r="W30" s="85"/>
      <c r="X30" s="85"/>
      <c r="Y30" s="85"/>
      <c r="Z30" s="85"/>
      <c r="AA30" s="85"/>
      <c r="AB30"/>
      <c r="AC30"/>
      <c r="AD30"/>
      <c r="AE30"/>
      <c r="AF30"/>
      <c r="AG30"/>
      <c r="AH30" s="85"/>
      <c r="AI30" s="85"/>
    </row>
    <row r="31" spans="1:35" s="83" customFormat="1" ht="9" customHeight="1">
      <c r="A31" s="85"/>
      <c r="B31" s="85"/>
      <c r="C31" s="490"/>
      <c r="D31" s="96"/>
      <c r="E31" s="96"/>
      <c r="F31" s="96"/>
      <c r="G31" s="513"/>
      <c r="H31" s="513"/>
      <c r="I31" s="513"/>
      <c r="J31" s="513"/>
      <c r="K31" s="513"/>
      <c r="L31" s="513"/>
      <c r="M31" s="513"/>
      <c r="N31" s="513"/>
      <c r="O31" s="513"/>
      <c r="P31" s="513"/>
      <c r="Q31" s="513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/>
      <c r="AC31"/>
      <c r="AD31"/>
      <c r="AE31"/>
      <c r="AF31"/>
      <c r="AG31"/>
      <c r="AH31" s="85"/>
      <c r="AI31" s="85"/>
    </row>
    <row r="32" spans="1:35" s="83" customFormat="1" ht="12.75" customHeight="1">
      <c r="A32" s="84"/>
      <c r="B32" s="84"/>
      <c r="C32" s="491" t="s">
        <v>41</v>
      </c>
      <c r="D32" s="111"/>
      <c r="E32" s="111"/>
      <c r="F32" s="162"/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/>
      <c r="AC32"/>
      <c r="AD32"/>
      <c r="AE32"/>
      <c r="AF32"/>
      <c r="AG32"/>
      <c r="AH32" s="85"/>
      <c r="AI32" s="85"/>
    </row>
    <row r="33" spans="1:35" s="83" customFormat="1" ht="12.75" hidden="1" customHeight="1" outlineLevel="1">
      <c r="A33" s="84"/>
      <c r="B33" s="84"/>
      <c r="C33" s="488" t="s">
        <v>486</v>
      </c>
      <c r="D33" s="111">
        <v>0</v>
      </c>
      <c r="E33" s="111">
        <v>0</v>
      </c>
      <c r="F33" s="111">
        <v>0</v>
      </c>
      <c r="G33" s="615">
        <f t="shared" ref="G33:O34" si="93">F33</f>
        <v>0</v>
      </c>
      <c r="H33" s="615">
        <f t="shared" si="93"/>
        <v>0</v>
      </c>
      <c r="I33" s="615">
        <v>0</v>
      </c>
      <c r="J33" s="615">
        <f t="shared" si="93"/>
        <v>0</v>
      </c>
      <c r="K33" s="615">
        <f t="shared" si="93"/>
        <v>0</v>
      </c>
      <c r="L33" s="615">
        <f t="shared" si="93"/>
        <v>0</v>
      </c>
      <c r="M33" s="615">
        <f t="shared" si="93"/>
        <v>0</v>
      </c>
      <c r="N33" s="615">
        <f t="shared" si="93"/>
        <v>0</v>
      </c>
      <c r="O33" s="615">
        <f t="shared" si="93"/>
        <v>0</v>
      </c>
      <c r="P33" s="615">
        <f t="shared" ref="P33:P34" si="94">O33</f>
        <v>0</v>
      </c>
      <c r="Q33" s="615">
        <f t="shared" ref="Q33:Q34" si="95">P33</f>
        <v>0</v>
      </c>
      <c r="R33" s="615">
        <f t="shared" ref="R33:R34" si="96">Q33</f>
        <v>0</v>
      </c>
      <c r="S33" s="615">
        <f t="shared" ref="S33:S34" si="97">R33</f>
        <v>0</v>
      </c>
      <c r="T33" s="615">
        <f t="shared" ref="T33:T34" si="98">S33</f>
        <v>0</v>
      </c>
      <c r="U33" s="615">
        <f t="shared" ref="U33:U34" si="99">T33</f>
        <v>0</v>
      </c>
      <c r="V33" s="615">
        <f t="shared" ref="V33:V34" si="100">U33</f>
        <v>0</v>
      </c>
      <c r="W33" s="85"/>
      <c r="X33" s="85"/>
      <c r="Y33" s="85"/>
      <c r="Z33" s="85"/>
      <c r="AA33" s="85"/>
      <c r="AB33"/>
      <c r="AC33"/>
      <c r="AD33"/>
      <c r="AE33"/>
      <c r="AF33"/>
      <c r="AG33"/>
      <c r="AH33" s="85"/>
      <c r="AI33" s="85"/>
    </row>
    <row r="34" spans="1:35" s="83" customFormat="1" ht="12.75" customHeight="1" collapsed="1">
      <c r="A34" s="84"/>
      <c r="B34" s="84"/>
      <c r="C34" s="488" t="s">
        <v>487</v>
      </c>
      <c r="D34" s="111">
        <v>0.52500000000000002</v>
      </c>
      <c r="E34" s="111">
        <v>0.63700000000000001</v>
      </c>
      <c r="F34" s="111">
        <v>0.77200000000000002</v>
      </c>
      <c r="G34" s="615">
        <v>0.85099999999999998</v>
      </c>
      <c r="H34" s="615">
        <v>0.85899999999999999</v>
      </c>
      <c r="I34" s="615">
        <v>0.997</v>
      </c>
      <c r="J34" s="615">
        <f t="shared" si="93"/>
        <v>0.997</v>
      </c>
      <c r="K34" s="615">
        <f t="shared" si="93"/>
        <v>0.997</v>
      </c>
      <c r="L34" s="615">
        <f t="shared" si="93"/>
        <v>0.997</v>
      </c>
      <c r="M34" s="615">
        <f t="shared" si="93"/>
        <v>0.997</v>
      </c>
      <c r="N34" s="615">
        <f t="shared" si="93"/>
        <v>0.997</v>
      </c>
      <c r="O34" s="615">
        <f t="shared" si="93"/>
        <v>0.997</v>
      </c>
      <c r="P34" s="615">
        <f t="shared" si="94"/>
        <v>0.997</v>
      </c>
      <c r="Q34" s="615">
        <f t="shared" si="95"/>
        <v>0.997</v>
      </c>
      <c r="R34" s="615">
        <f t="shared" si="96"/>
        <v>0.997</v>
      </c>
      <c r="S34" s="615">
        <f t="shared" si="97"/>
        <v>0.997</v>
      </c>
      <c r="T34" s="615">
        <f t="shared" si="98"/>
        <v>0.997</v>
      </c>
      <c r="U34" s="615">
        <f t="shared" si="99"/>
        <v>0.997</v>
      </c>
      <c r="V34" s="615">
        <f t="shared" si="100"/>
        <v>0.997</v>
      </c>
      <c r="W34" s="85"/>
      <c r="X34" s="85"/>
      <c r="Y34" s="85"/>
      <c r="Z34" s="85"/>
      <c r="AA34" s="85"/>
      <c r="AB34"/>
      <c r="AC34"/>
      <c r="AD34"/>
      <c r="AE34"/>
      <c r="AF34"/>
      <c r="AG34"/>
      <c r="AH34" s="85"/>
      <c r="AI34" s="85"/>
    </row>
    <row r="35" spans="1:35" s="83" customFormat="1" ht="12.75" customHeight="1">
      <c r="A35" s="84"/>
      <c r="B35" s="84"/>
      <c r="C35" s="488" t="s">
        <v>488</v>
      </c>
      <c r="D35" s="111">
        <v>624.87599999999998</v>
      </c>
      <c r="E35" s="111">
        <v>846.22799999999995</v>
      </c>
      <c r="F35" s="111">
        <v>1843.3620000000001</v>
      </c>
      <c r="G35" s="615">
        <v>2506.1970000000001</v>
      </c>
      <c r="H35" s="615">
        <v>2609.614</v>
      </c>
      <c r="I35" s="615">
        <v>3947.5520000000001</v>
      </c>
      <c r="J35" s="615">
        <f>I35+CF!I82</f>
        <v>4161.7209670110642</v>
      </c>
      <c r="K35" s="615">
        <f>J35+CF!J82</f>
        <v>4393.3614886011601</v>
      </c>
      <c r="L35" s="615">
        <f>K35+CF!K82</f>
        <v>4641.6380687437195</v>
      </c>
      <c r="M35" s="615">
        <f>L35+CF!L82</f>
        <v>4901.2012013922031</v>
      </c>
      <c r="N35" s="615">
        <f>M35+CF!M82</f>
        <v>5165.8425329572892</v>
      </c>
      <c r="O35" s="615">
        <f>N35+CF!N82</f>
        <v>5434.7539945433864</v>
      </c>
      <c r="P35" s="615">
        <f>O35+CF!O82</f>
        <v>5709.4469875116065</v>
      </c>
      <c r="Q35" s="615">
        <f>P35+CF!P82</f>
        <v>5988.2721161068084</v>
      </c>
      <c r="R35" s="615">
        <f>Q35+CF!Q82</f>
        <v>6269.5664620330199</v>
      </c>
      <c r="S35" s="615">
        <f>R35+CF!R82</f>
        <v>6552.1852735922839</v>
      </c>
      <c r="T35" s="615">
        <f>S35+CF!S82</f>
        <v>6835.0265836092249</v>
      </c>
      <c r="U35" s="615">
        <f>T35+CF!T82</f>
        <v>7117.0472856523675</v>
      </c>
      <c r="V35" s="615">
        <f>U35+CF!U82</f>
        <v>7397.259199929259</v>
      </c>
      <c r="W35" s="85"/>
      <c r="X35" s="85"/>
      <c r="Y35" s="85"/>
      <c r="Z35" s="85"/>
      <c r="AA35" s="85"/>
      <c r="AB35"/>
      <c r="AC35"/>
      <c r="AD35"/>
      <c r="AE35"/>
      <c r="AF35"/>
      <c r="AG35"/>
      <c r="AH35" s="85"/>
      <c r="AI35" s="85"/>
    </row>
    <row r="36" spans="1:35" s="83" customFormat="1" ht="12.75" customHeight="1">
      <c r="A36" s="84"/>
      <c r="B36" s="84"/>
      <c r="C36" s="488" t="s">
        <v>489</v>
      </c>
      <c r="D36" s="111">
        <v>15.662000000000001</v>
      </c>
      <c r="E36" s="111">
        <v>19.716999999999999</v>
      </c>
      <c r="F36" s="111">
        <v>48.762999999999998</v>
      </c>
      <c r="G36" s="615">
        <v>4.3689999999999998</v>
      </c>
      <c r="H36" s="615">
        <v>-33.441000000000003</v>
      </c>
      <c r="I36" s="615">
        <v>-34.433</v>
      </c>
      <c r="J36" s="615">
        <f t="shared" ref="J36:O36" si="101">I36</f>
        <v>-34.433</v>
      </c>
      <c r="K36" s="615">
        <f t="shared" si="101"/>
        <v>-34.433</v>
      </c>
      <c r="L36" s="615">
        <f t="shared" si="101"/>
        <v>-34.433</v>
      </c>
      <c r="M36" s="615">
        <f t="shared" si="101"/>
        <v>-34.433</v>
      </c>
      <c r="N36" s="615">
        <f t="shared" si="101"/>
        <v>-34.433</v>
      </c>
      <c r="O36" s="615">
        <f t="shared" si="101"/>
        <v>-34.433</v>
      </c>
      <c r="P36" s="615">
        <f t="shared" ref="P36" si="102">O36</f>
        <v>-34.433</v>
      </c>
      <c r="Q36" s="615">
        <f t="shared" ref="Q36" si="103">P36</f>
        <v>-34.433</v>
      </c>
      <c r="R36" s="615">
        <f t="shared" ref="R36" si="104">Q36</f>
        <v>-34.433</v>
      </c>
      <c r="S36" s="615">
        <f t="shared" ref="S36" si="105">R36</f>
        <v>-34.433</v>
      </c>
      <c r="T36" s="615">
        <f t="shared" ref="T36" si="106">S36</f>
        <v>-34.433</v>
      </c>
      <c r="U36" s="615">
        <f t="shared" ref="U36" si="107">T36</f>
        <v>-34.433</v>
      </c>
      <c r="V36" s="615">
        <f t="shared" ref="V36" si="108">U36</f>
        <v>-34.433</v>
      </c>
      <c r="W36" s="85"/>
      <c r="X36" s="85"/>
      <c r="Y36" s="85"/>
      <c r="Z36" s="85"/>
      <c r="AA36" s="85"/>
      <c r="AB36"/>
      <c r="AC36"/>
      <c r="AD36"/>
      <c r="AE36"/>
      <c r="AF36"/>
      <c r="AG36"/>
      <c r="AH36" s="85"/>
      <c r="AI36" s="85"/>
    </row>
    <row r="37" spans="1:35" s="83" customFormat="1" ht="12.75" customHeight="1">
      <c r="A37" s="84"/>
      <c r="B37" s="84"/>
      <c r="C37" s="488" t="s">
        <v>490</v>
      </c>
      <c r="D37" s="111">
        <v>-507.01</v>
      </c>
      <c r="E37" s="111">
        <v>-596.23500000000001</v>
      </c>
      <c r="F37" s="111">
        <v>-956.63</v>
      </c>
      <c r="G37" s="616">
        <v>-1246.703</v>
      </c>
      <c r="H37" s="616">
        <v>-1656.8109999999999</v>
      </c>
      <c r="I37" s="616">
        <v>-2147.6849999999999</v>
      </c>
      <c r="J37" s="616">
        <f>I37+CF!I6</f>
        <v>-2718.1310017449505</v>
      </c>
      <c r="K37" s="616">
        <f>J37+CF!J6</f>
        <v>-3087.8730598065449</v>
      </c>
      <c r="L37" s="616">
        <f>K37+CF!K6</f>
        <v>-3146.0760015709084</v>
      </c>
      <c r="M37" s="616">
        <f>L37+CF!L6</f>
        <v>-2814.5195874821288</v>
      </c>
      <c r="N37" s="616">
        <f>M37+CF!M6</f>
        <v>-2106.1724239716646</v>
      </c>
      <c r="O37" s="616">
        <f>N37+CF!N6</f>
        <v>-1050.6737383346438</v>
      </c>
      <c r="P37" s="616">
        <f>O37+CF!O6</f>
        <v>141.7037589274928</v>
      </c>
      <c r="Q37" s="616">
        <f>P37+CF!P6</f>
        <v>1212.1185394237184</v>
      </c>
      <c r="R37" s="616">
        <f>Q37+CF!Q6</f>
        <v>2454.5129673452502</v>
      </c>
      <c r="S37" s="616">
        <f>R37+CF!R6</f>
        <v>3852.393192141782</v>
      </c>
      <c r="T37" s="616">
        <f>S37+CF!S6</f>
        <v>5390.5295029397757</v>
      </c>
      <c r="U37" s="616">
        <f>T37+CF!T6</f>
        <v>7054.9630431895657</v>
      </c>
      <c r="V37" s="616">
        <f>U37+CF!U6</f>
        <v>8825.7017126758183</v>
      </c>
      <c r="W37" s="85"/>
      <c r="X37" s="85"/>
      <c r="Y37" s="85"/>
      <c r="Z37" s="85"/>
      <c r="AA37" s="85"/>
      <c r="AB37"/>
      <c r="AC37"/>
      <c r="AD37"/>
      <c r="AE37"/>
      <c r="AF37"/>
      <c r="AG37"/>
      <c r="AH37" s="85"/>
      <c r="AI37" s="85"/>
    </row>
    <row r="38" spans="1:35" s="83" customFormat="1" ht="12.75" customHeight="1">
      <c r="A38" s="85"/>
      <c r="B38" s="85"/>
      <c r="C38" s="632" t="s">
        <v>491</v>
      </c>
      <c r="D38" s="112">
        <f t="shared" ref="D38:M38" si="109">SUM(D33:D37)</f>
        <v>134.053</v>
      </c>
      <c r="E38" s="112">
        <f t="shared" si="109"/>
        <v>270.34699999999987</v>
      </c>
      <c r="F38" s="112">
        <f t="shared" si="109"/>
        <v>936.26699999999994</v>
      </c>
      <c r="G38" s="608">
        <f t="shared" si="109"/>
        <v>1264.7140000000004</v>
      </c>
      <c r="H38" s="608">
        <f t="shared" si="109"/>
        <v>920.22100000000023</v>
      </c>
      <c r="I38" s="608">
        <f t="shared" si="109"/>
        <v>1766.431</v>
      </c>
      <c r="J38" s="608">
        <f t="shared" si="109"/>
        <v>1410.153965266114</v>
      </c>
      <c r="K38" s="608">
        <f t="shared" si="109"/>
        <v>1272.0524287946155</v>
      </c>
      <c r="L38" s="608">
        <f t="shared" si="109"/>
        <v>1462.1260671728114</v>
      </c>
      <c r="M38" s="608">
        <f t="shared" si="109"/>
        <v>2053.2456139100746</v>
      </c>
      <c r="N38" s="608">
        <f t="shared" ref="N38:O38" si="110">SUM(N33:N37)</f>
        <v>3026.234108985625</v>
      </c>
      <c r="O38" s="608">
        <f t="shared" si="110"/>
        <v>4350.6442562087432</v>
      </c>
      <c r="P38" s="608">
        <f t="shared" ref="P38" si="111">SUM(P33:P37)</f>
        <v>5817.7147464391001</v>
      </c>
      <c r="Q38" s="608">
        <f t="shared" ref="Q38:V38" si="112">SUM(Q33:Q37)</f>
        <v>7166.9546555305269</v>
      </c>
      <c r="R38" s="608">
        <f t="shared" si="112"/>
        <v>8690.6434293782695</v>
      </c>
      <c r="S38" s="608">
        <f t="shared" si="112"/>
        <v>10371.142465734067</v>
      </c>
      <c r="T38" s="608">
        <f t="shared" si="112"/>
        <v>12192.120086549001</v>
      </c>
      <c r="U38" s="608">
        <f t="shared" si="112"/>
        <v>14138.574328841933</v>
      </c>
      <c r="V38" s="608">
        <f t="shared" si="112"/>
        <v>16189.524912605077</v>
      </c>
      <c r="W38" s="85"/>
      <c r="X38" s="85"/>
      <c r="Y38" s="85"/>
      <c r="Z38" s="85"/>
      <c r="AA38" s="85"/>
      <c r="AB38"/>
      <c r="AC38"/>
      <c r="AD38"/>
      <c r="AE38"/>
      <c r="AF38"/>
      <c r="AG38"/>
      <c r="AH38" s="85"/>
      <c r="AI38" s="85"/>
    </row>
    <row r="39" spans="1:35" s="83" customFormat="1" ht="9" customHeight="1">
      <c r="A39" s="90"/>
      <c r="B39" s="90"/>
      <c r="C39" s="492"/>
      <c r="D39" s="113"/>
      <c r="E39" s="113"/>
      <c r="F39" s="113"/>
      <c r="G39" s="514"/>
      <c r="H39" s="514"/>
      <c r="I39" s="514"/>
      <c r="J39" s="514"/>
      <c r="K39" s="514"/>
      <c r="L39" s="514"/>
      <c r="M39" s="514"/>
      <c r="N39" s="514"/>
      <c r="O39" s="514"/>
      <c r="P39" s="514"/>
      <c r="Q39" s="514"/>
      <c r="R39" s="514"/>
      <c r="S39" s="514"/>
      <c r="T39" s="514"/>
      <c r="U39" s="514"/>
      <c r="V39" s="514"/>
      <c r="W39" s="91"/>
      <c r="X39" s="91"/>
      <c r="Y39" s="91"/>
      <c r="Z39" s="91"/>
      <c r="AA39" s="91"/>
      <c r="AB39"/>
      <c r="AC39"/>
      <c r="AD39"/>
      <c r="AE39"/>
      <c r="AF39"/>
      <c r="AG39"/>
      <c r="AH39" s="91"/>
      <c r="AI39" s="91"/>
    </row>
    <row r="40" spans="1:35" s="83" customFormat="1" ht="12.75" customHeight="1" thickBot="1">
      <c r="A40" s="89"/>
      <c r="B40" s="89"/>
      <c r="C40" s="633" t="s">
        <v>492</v>
      </c>
      <c r="D40" s="118">
        <f t="shared" ref="D40:E40" si="113">D30+D38</f>
        <v>287.52</v>
      </c>
      <c r="E40" s="118">
        <f t="shared" si="113"/>
        <v>420.52999999999986</v>
      </c>
      <c r="F40" s="118">
        <f t="shared" ref="F40:K40" si="114">F30+F38</f>
        <v>1080.0149999999999</v>
      </c>
      <c r="G40" s="593">
        <f t="shared" si="114"/>
        <v>1386.5100000000004</v>
      </c>
      <c r="H40" s="593">
        <f t="shared" si="114"/>
        <v>1262.8100000000002</v>
      </c>
      <c r="I40" s="593">
        <f t="shared" si="114"/>
        <v>1994.73</v>
      </c>
      <c r="J40" s="593">
        <f t="shared" si="114"/>
        <v>1654.5158958836241</v>
      </c>
      <c r="K40" s="593">
        <f t="shared" si="114"/>
        <v>1524.5120458652173</v>
      </c>
      <c r="L40" s="593">
        <f t="shared" ref="L40:P40" si="115">L30+L38</f>
        <v>1736.4243078540248</v>
      </c>
      <c r="M40" s="593">
        <f t="shared" si="115"/>
        <v>2317.3669602302484</v>
      </c>
      <c r="N40" s="593">
        <f t="shared" si="115"/>
        <v>3305.6647379944839</v>
      </c>
      <c r="O40" s="593">
        <f t="shared" si="115"/>
        <v>4651.0076943645799</v>
      </c>
      <c r="P40" s="593">
        <f t="shared" si="115"/>
        <v>6134.0848113021266</v>
      </c>
      <c r="Q40" s="593">
        <f t="shared" ref="Q40:V40" si="116">Q30+Q38</f>
        <v>7492.5540145607756</v>
      </c>
      <c r="R40" s="593">
        <f t="shared" si="116"/>
        <v>9019.1961792387756</v>
      </c>
      <c r="S40" s="593">
        <f t="shared" si="116"/>
        <v>10713.71847636018</v>
      </c>
      <c r="T40" s="593">
        <f t="shared" si="116"/>
        <v>12546.094944640949</v>
      </c>
      <c r="U40" s="593">
        <f t="shared" si="116"/>
        <v>14501.50545453118</v>
      </c>
      <c r="V40" s="593">
        <f t="shared" si="116"/>
        <v>16559.060842876734</v>
      </c>
      <c r="W40" s="89"/>
      <c r="X40" s="89"/>
      <c r="Y40" s="89"/>
      <c r="Z40" s="89"/>
      <c r="AA40" s="89"/>
      <c r="AB40"/>
      <c r="AC40"/>
      <c r="AD40"/>
      <c r="AE40"/>
      <c r="AF40"/>
      <c r="AG40"/>
      <c r="AH40" s="89"/>
      <c r="AI40" s="89"/>
    </row>
    <row r="41" spans="1:35" s="83" customFormat="1" ht="12.75" customHeight="1" thickTop="1">
      <c r="A41" s="84"/>
      <c r="B41" s="84"/>
      <c r="C41" s="493"/>
      <c r="D41" s="95"/>
      <c r="E41" s="95"/>
      <c r="F41" s="95"/>
      <c r="G41" s="94"/>
      <c r="H41" s="94"/>
      <c r="I41" s="94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85"/>
      <c r="X41" s="85"/>
      <c r="Y41" s="85"/>
      <c r="Z41" s="85"/>
      <c r="AA41" s="85"/>
      <c r="AB41"/>
      <c r="AC41"/>
      <c r="AD41"/>
      <c r="AE41"/>
      <c r="AF41"/>
      <c r="AG41"/>
      <c r="AH41" s="85"/>
      <c r="AI41" s="85"/>
    </row>
    <row r="42" spans="1:35" s="83" customFormat="1" ht="12.75" customHeight="1">
      <c r="A42" s="84"/>
      <c r="B42" s="84"/>
      <c r="C42" s="494" t="s">
        <v>255</v>
      </c>
      <c r="D42" s="123">
        <f t="shared" ref="D42:M42" si="117">D18-D40</f>
        <v>0</v>
      </c>
      <c r="E42" s="123">
        <f t="shared" si="117"/>
        <v>0</v>
      </c>
      <c r="F42" s="123">
        <f t="shared" si="117"/>
        <v>-0.41999999999984539</v>
      </c>
      <c r="G42" s="230">
        <f t="shared" si="117"/>
        <v>0</v>
      </c>
      <c r="H42" s="230">
        <f t="shared" si="117"/>
        <v>0</v>
      </c>
      <c r="I42" s="230">
        <f t="shared" si="117"/>
        <v>0</v>
      </c>
      <c r="J42" s="230">
        <f t="shared" si="117"/>
        <v>0</v>
      </c>
      <c r="K42" s="230">
        <f t="shared" si="117"/>
        <v>0</v>
      </c>
      <c r="L42" s="230">
        <f t="shared" si="117"/>
        <v>0</v>
      </c>
      <c r="M42" s="230">
        <f t="shared" si="117"/>
        <v>0</v>
      </c>
      <c r="N42" s="230">
        <f t="shared" ref="N42:O42" si="118">N18-N40</f>
        <v>0</v>
      </c>
      <c r="O42" s="230">
        <f t="shared" si="118"/>
        <v>0</v>
      </c>
      <c r="P42" s="230">
        <f t="shared" ref="P42" si="119">P18-P40</f>
        <v>0</v>
      </c>
      <c r="Q42" s="230">
        <f t="shared" ref="Q42:V42" si="120">Q18-Q40</f>
        <v>0</v>
      </c>
      <c r="R42" s="230">
        <f t="shared" si="120"/>
        <v>0</v>
      </c>
      <c r="S42" s="230">
        <f t="shared" si="120"/>
        <v>0</v>
      </c>
      <c r="T42" s="230">
        <f t="shared" si="120"/>
        <v>0</v>
      </c>
      <c r="U42" s="230">
        <f t="shared" si="120"/>
        <v>0</v>
      </c>
      <c r="V42" s="230">
        <f t="shared" si="120"/>
        <v>0</v>
      </c>
      <c r="W42" s="85"/>
      <c r="X42" s="85"/>
      <c r="Y42" s="85"/>
      <c r="Z42" s="85"/>
      <c r="AA42" s="85"/>
      <c r="AB42"/>
      <c r="AC42"/>
      <c r="AD42"/>
      <c r="AE42"/>
      <c r="AF42"/>
      <c r="AG42"/>
      <c r="AH42" s="85"/>
      <c r="AI42" s="85"/>
    </row>
    <row r="43" spans="1:35" s="83" customFormat="1" ht="12.75" customHeight="1">
      <c r="A43" s="84"/>
      <c r="B43" s="84"/>
      <c r="C43" s="495" t="s">
        <v>42</v>
      </c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/>
      <c r="AC43"/>
      <c r="AD43"/>
      <c r="AE43"/>
      <c r="AF43"/>
      <c r="AG43"/>
      <c r="AH43" s="85"/>
      <c r="AI43" s="85"/>
    </row>
    <row r="44" spans="1:35" s="83" customFormat="1" ht="12.75" customHeight="1">
      <c r="A44" s="84"/>
      <c r="B44" s="84"/>
      <c r="C44" s="495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/>
      <c r="AC44"/>
      <c r="AD44"/>
      <c r="AE44"/>
      <c r="AF44"/>
      <c r="AG44"/>
      <c r="AH44" s="85"/>
      <c r="AI44" s="85"/>
    </row>
    <row r="45" spans="1:35" ht="12.75" customHeight="1"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</row>
    <row r="46" spans="1:35" ht="12.75" customHeight="1" outlineLevel="1">
      <c r="C46" s="496" t="s">
        <v>354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</row>
    <row r="47" spans="1:35" ht="12.75" customHeight="1" outlineLevel="1">
      <c r="C47" s="497" t="s">
        <v>285</v>
      </c>
      <c r="D47" s="232">
        <f>IS!G15</f>
        <v>66.725000000000009</v>
      </c>
      <c r="E47" s="232">
        <f>IS!L15</f>
        <v>47.167000000000002</v>
      </c>
      <c r="F47" s="232">
        <f>IS!Q15</f>
        <v>50.561</v>
      </c>
      <c r="G47" s="232">
        <f>IS!V15</f>
        <v>41.097000000000001</v>
      </c>
      <c r="H47" s="232">
        <f>IS!AA15</f>
        <v>47.158999999999999</v>
      </c>
      <c r="I47" s="232">
        <f>IS!AF15</f>
        <v>89.912000000000006</v>
      </c>
      <c r="J47" s="232">
        <f>IS!AK15</f>
        <v>134.08730483528342</v>
      </c>
      <c r="K47" s="232">
        <f>IS!AP15</f>
        <v>435.02517737583855</v>
      </c>
      <c r="L47" s="232">
        <f>IS!AU15</f>
        <v>847.52594493750735</v>
      </c>
      <c r="M47" s="232">
        <f>IS!AZ15</f>
        <v>1305.758280390645</v>
      </c>
      <c r="N47" s="232">
        <f>IS!BE15</f>
        <v>1725.0075349564645</v>
      </c>
      <c r="O47" s="232">
        <f>IS!BJ15</f>
        <v>2107.3346656249523</v>
      </c>
      <c r="P47" s="232">
        <f>IS!BO15</f>
        <v>2454.0676803753172</v>
      </c>
      <c r="Q47" s="232">
        <f>IS!BT15</f>
        <v>2767.8778235550803</v>
      </c>
      <c r="R47" s="232">
        <f>IS!BY15</f>
        <v>3049.1021677034651</v>
      </c>
      <c r="S47" s="232">
        <f>IS!CD15</f>
        <v>3296.8513771465828</v>
      </c>
      <c r="T47" s="232">
        <f>IS!CI15</f>
        <v>3513.1385065262452</v>
      </c>
      <c r="U47" s="232">
        <f>IS!CN15</f>
        <v>3700.4090214355483</v>
      </c>
      <c r="V47" s="233">
        <f>IS!CS15</f>
        <v>3859.5166067577575</v>
      </c>
    </row>
    <row r="48" spans="1:35" ht="12.75" customHeight="1" outlineLevel="1">
      <c r="C48" s="498" t="s">
        <v>14</v>
      </c>
      <c r="D48" s="234">
        <f>IS!G18</f>
        <v>0</v>
      </c>
      <c r="E48" s="234">
        <f>IS!L18</f>
        <v>0</v>
      </c>
      <c r="F48" s="234">
        <f>IS!Q18</f>
        <v>0</v>
      </c>
      <c r="G48" s="234">
        <f>IS!V18</f>
        <v>0</v>
      </c>
      <c r="H48" s="234">
        <f>IS!AA18</f>
        <v>0</v>
      </c>
      <c r="I48" s="234">
        <f>IS!AF18</f>
        <v>0</v>
      </c>
      <c r="J48" s="234">
        <f>IS!AK18</f>
        <v>8.2904765802340101</v>
      </c>
      <c r="K48" s="234">
        <f>IS!AP18</f>
        <v>40.203021285100625</v>
      </c>
      <c r="L48" s="234">
        <f>IS!AU18</f>
        <v>77.252594493750735</v>
      </c>
      <c r="M48" s="234">
        <f>IS!AZ18</f>
        <v>98.460662431251592</v>
      </c>
      <c r="N48" s="234">
        <f>IS!BE18</f>
        <v>99.00045209738785</v>
      </c>
      <c r="O48" s="234">
        <f>IS!BJ18</f>
        <v>101.61673328124763</v>
      </c>
      <c r="P48" s="234">
        <f>IS!BO18</f>
        <v>118.95338401876586</v>
      </c>
      <c r="Q48" s="234">
        <f>IS!BT18</f>
        <v>134.64389117775403</v>
      </c>
      <c r="R48" s="234">
        <f>IS!BY18</f>
        <v>148.70510838517325</v>
      </c>
      <c r="S48" s="234">
        <f>IS!CD18</f>
        <v>161.09256885732916</v>
      </c>
      <c r="T48" s="234">
        <f>IS!CI18</f>
        <v>171.90692532631226</v>
      </c>
      <c r="U48" s="234">
        <f>IS!CN18</f>
        <v>181.27045107177742</v>
      </c>
      <c r="V48" s="235">
        <f>IS!CS18</f>
        <v>189.22583033788788</v>
      </c>
    </row>
    <row r="49" spans="3:22" ht="12.75" customHeight="1" outlineLevel="1">
      <c r="C49" s="499" t="s">
        <v>286</v>
      </c>
      <c r="D49" s="234">
        <f>IS!G18+IS!G26+IS!G31</f>
        <v>131.18099999999998</v>
      </c>
      <c r="E49" s="234">
        <f>IS!L18+IS!L26+IS!L31</f>
        <v>140.10899999999998</v>
      </c>
      <c r="F49" s="234">
        <f>IS!Q18+IS!Q26+IS!Q31</f>
        <v>234.77500000000001</v>
      </c>
      <c r="G49" s="234">
        <f>IS!V18+IS!V26+IS!V31</f>
        <v>337.10500000000002</v>
      </c>
      <c r="H49" s="234">
        <f>IS!AA18+IS!AA26+IS!AA31</f>
        <v>471.74599999999992</v>
      </c>
      <c r="I49" s="234">
        <f>IS!AF18+IS!AF26+IS!AF31</f>
        <v>497.19799999999998</v>
      </c>
      <c r="J49" s="234">
        <f>IS!AK18+IS!AK26+IS!AK31</f>
        <v>718.53330658023401</v>
      </c>
      <c r="K49" s="234">
        <f>IS!AP18+IS!AP26+IS!AP31</f>
        <v>806.44460178510053</v>
      </c>
      <c r="L49" s="234">
        <f>IS!AU18+IS!AU26+IS!AU31</f>
        <v>889.91852714375068</v>
      </c>
      <c r="M49" s="234">
        <f>IS!AZ18+IS!AZ26+IS!AZ31</f>
        <v>945.19673911775158</v>
      </c>
      <c r="N49" s="234">
        <f>IS!BE18+IS!BE26+IS!BE31</f>
        <v>967.75858749754298</v>
      </c>
      <c r="O49" s="234">
        <f>IS!BJ18+IS!BJ26+IS!BJ31</f>
        <v>986.02621936006631</v>
      </c>
      <c r="P49" s="234">
        <f>IS!BO18+IS!BO26+IS!BO31</f>
        <v>1012.2069649583727</v>
      </c>
      <c r="Q49" s="234">
        <f>IS!BT18+IS!BT26+IS!BT31</f>
        <v>1029.6646380192383</v>
      </c>
      <c r="R49" s="234">
        <f>IS!BY18+IS!BY26+IS!BY31</f>
        <v>1038.3276512210159</v>
      </c>
      <c r="S49" s="234">
        <f>IS!CD18+IS!CD26+IS!CD31</f>
        <v>1040.9227770134075</v>
      </c>
      <c r="T49" s="234">
        <f>IS!CI18+IS!CI26+IS!CI31</f>
        <v>1037.6747727647285</v>
      </c>
      <c r="U49" s="234">
        <f>IS!CN18+IS!CN26+IS!CN31</f>
        <v>1028.8930033352381</v>
      </c>
      <c r="V49" s="235">
        <f>IS!CS18+IS!CS26+IS!CS31</f>
        <v>1014.8661235292846</v>
      </c>
    </row>
    <row r="50" spans="3:22" ht="12.75" customHeight="1" outlineLevel="1">
      <c r="C50" s="499" t="s">
        <v>209</v>
      </c>
      <c r="D50" s="234">
        <f>IS!G40</f>
        <v>-10.571999999999999</v>
      </c>
      <c r="E50" s="234">
        <f>IS!L40</f>
        <v>-2.6949999999999994</v>
      </c>
      <c r="F50" s="234">
        <f>IS!Q40</f>
        <v>-40.209000000000003</v>
      </c>
      <c r="G50" s="234">
        <f>IS!V40</f>
        <v>0</v>
      </c>
      <c r="H50" s="234">
        <f>IS!AA40</f>
        <v>0</v>
      </c>
      <c r="I50" s="234">
        <f>IS!AF40</f>
        <v>0</v>
      </c>
      <c r="J50" s="234">
        <f>IS!AK40</f>
        <v>0</v>
      </c>
      <c r="K50" s="234">
        <f>IS!AP40</f>
        <v>0</v>
      </c>
      <c r="L50" s="234">
        <f>IS!AU40</f>
        <v>0</v>
      </c>
      <c r="M50" s="234">
        <f>IS!AZ40</f>
        <v>0</v>
      </c>
      <c r="N50" s="234">
        <f>IS!BE40</f>
        <v>0</v>
      </c>
      <c r="O50" s="234">
        <f>IS!BJ40</f>
        <v>0</v>
      </c>
      <c r="P50" s="234">
        <f>IS!BO40</f>
        <v>166.65263942249607</v>
      </c>
      <c r="Q50" s="234">
        <f>IS!BT40</f>
        <v>576.37718949796749</v>
      </c>
      <c r="R50" s="234">
        <f>IS!BY40</f>
        <v>668.98161503467099</v>
      </c>
      <c r="S50" s="234">
        <f>IS!CD40</f>
        <v>752.70473642890158</v>
      </c>
      <c r="T50" s="234">
        <f>IS!CI40</f>
        <v>828.22724427584262</v>
      </c>
      <c r="U50" s="234">
        <f>IS!CN40</f>
        <v>896.23344474988676</v>
      </c>
      <c r="V50" s="235">
        <f>IS!CS40</f>
        <v>953.474668184905</v>
      </c>
    </row>
    <row r="51" spans="3:22" ht="12.75" customHeight="1" outlineLevel="1">
      <c r="C51" s="499" t="s">
        <v>287</v>
      </c>
      <c r="D51" s="234">
        <f>IS!G42</f>
        <v>-52.575999999999979</v>
      </c>
      <c r="E51" s="234">
        <f>IS!L42</f>
        <v>-89.224999999999994</v>
      </c>
      <c r="F51" s="234">
        <f>IS!Q42</f>
        <v>-139.62899999999999</v>
      </c>
      <c r="G51" s="234">
        <f>IS!V42</f>
        <v>-290.07299999999998</v>
      </c>
      <c r="H51" s="234">
        <f>IS!AA42</f>
        <v>-410.10799999999995</v>
      </c>
      <c r="I51" s="234">
        <f>IS!AF42</f>
        <v>-398.07199999999995</v>
      </c>
      <c r="J51" s="234">
        <f>IS!AK42</f>
        <v>-570.44600174495054</v>
      </c>
      <c r="K51" s="234">
        <f>IS!AP42</f>
        <v>-369.74205806159466</v>
      </c>
      <c r="L51" s="234">
        <f>IS!AU42</f>
        <v>-58.202941764363231</v>
      </c>
      <c r="M51" s="234">
        <f>IS!AZ42</f>
        <v>331.55641408877943</v>
      </c>
      <c r="N51" s="234">
        <f>IS!BE42</f>
        <v>708.34716351046416</v>
      </c>
      <c r="O51" s="234">
        <f>IS!BJ42</f>
        <v>1055.4986856370208</v>
      </c>
      <c r="P51" s="234">
        <f>IS!BO42</f>
        <v>1192.3774972621366</v>
      </c>
      <c r="Q51" s="234">
        <f>IS!BT42</f>
        <v>1070.4147804962256</v>
      </c>
      <c r="R51" s="234">
        <f>IS!BY42</f>
        <v>1242.3944279215318</v>
      </c>
      <c r="S51" s="234">
        <f>IS!CD42</f>
        <v>1397.8802247965318</v>
      </c>
      <c r="T51" s="234">
        <f>IS!CI42</f>
        <v>1538.1363107979937</v>
      </c>
      <c r="U51" s="234">
        <f>IS!CN42</f>
        <v>1664.4335402497898</v>
      </c>
      <c r="V51" s="235">
        <f>IS!CS42</f>
        <v>1770.7386694862521</v>
      </c>
    </row>
    <row r="52" spans="3:22" ht="12.75" customHeight="1" outlineLevel="1">
      <c r="C52" s="499" t="s">
        <v>288</v>
      </c>
      <c r="D52" s="234">
        <f>CF!C20</f>
        <v>0</v>
      </c>
      <c r="E52" s="234">
        <f>CF!D20</f>
        <v>-68.656999999999996</v>
      </c>
      <c r="F52" s="234">
        <f>CF!E20</f>
        <v>-165.64100000000005</v>
      </c>
      <c r="G52" s="234">
        <f>CF!F20</f>
        <v>-189.13999999999996</v>
      </c>
      <c r="H52" s="234">
        <f>CF!G20</f>
        <v>-307.70100000000002</v>
      </c>
      <c r="I52" s="234">
        <f>CF!H20</f>
        <v>-382.78600000000006</v>
      </c>
      <c r="J52" s="234">
        <f>CF!I20</f>
        <v>-422.73511243998149</v>
      </c>
      <c r="K52" s="234">
        <f>CF!J20</f>
        <v>-380.38813433553059</v>
      </c>
      <c r="L52" s="234">
        <f>CF!K20</f>
        <v>-12.084217033464743</v>
      </c>
      <c r="M52" s="234">
        <f>CF!L20</f>
        <v>469.17879087856602</v>
      </c>
      <c r="N52" s="234">
        <f>CF!M20</f>
        <v>894.39354030766492</v>
      </c>
      <c r="O52" s="234">
        <f>CF!N20</f>
        <v>1258.9764694768371</v>
      </c>
      <c r="P52" s="234">
        <f>CF!O20</f>
        <v>1421.7011533194066</v>
      </c>
      <c r="Q52" s="234">
        <f>CF!P20</f>
        <v>1321.8454827080011</v>
      </c>
      <c r="R52" s="234">
        <f>CF!Q20</f>
        <v>1492.6388373602788</v>
      </c>
      <c r="S52" s="234">
        <f>CF!R20</f>
        <v>1686.157226078391</v>
      </c>
      <c r="T52" s="234">
        <f>CF!S20</f>
        <v>1838.5002199787648</v>
      </c>
      <c r="U52" s="234">
        <f>CF!T20</f>
        <v>1967.7664847168608</v>
      </c>
      <c r="V52" s="235">
        <f>CF!U20</f>
        <v>2064.1436215638096</v>
      </c>
    </row>
    <row r="53" spans="3:22" ht="12.75" customHeight="1" outlineLevel="1">
      <c r="C53" s="500" t="s">
        <v>289</v>
      </c>
      <c r="D53" s="236"/>
      <c r="E53" s="236"/>
      <c r="F53" s="236">
        <f>CF!E24</f>
        <v>-8.9610000000000003</v>
      </c>
      <c r="G53" s="236">
        <f>CF!F24</f>
        <v>-12.95</v>
      </c>
      <c r="H53" s="236">
        <f>CF!G24</f>
        <v>-64.557000000000002</v>
      </c>
      <c r="I53" s="236">
        <f>CF!H24</f>
        <v>-104.209</v>
      </c>
      <c r="J53" s="236">
        <f>CF!I24</f>
        <v>-87.156748142934219</v>
      </c>
      <c r="K53" s="236">
        <f>CF!J24</f>
        <v>-108.75629434395964</v>
      </c>
      <c r="L53" s="236">
        <f>CF!K24</f>
        <v>-110.17837284187596</v>
      </c>
      <c r="M53" s="236">
        <f>CF!L24</f>
        <v>-117.51824523515805</v>
      </c>
      <c r="N53" s="236">
        <f>CF!M24</f>
        <v>-103.50045209738786</v>
      </c>
      <c r="O53" s="236">
        <f>CF!N24</f>
        <v>-115.90340660937238</v>
      </c>
      <c r="P53" s="236">
        <f>CF!O24</f>
        <v>-115.34118097763991</v>
      </c>
      <c r="Q53" s="236">
        <f>CF!P24</f>
        <v>-113.4829907657583</v>
      </c>
      <c r="R53" s="236">
        <f>CF!Q24</f>
        <v>-112.81678020502819</v>
      </c>
      <c r="S53" s="236">
        <f>CF!R24</f>
        <v>-108.79609544583724</v>
      </c>
      <c r="T53" s="236">
        <f>CF!S24</f>
        <v>-105.39415519578735</v>
      </c>
      <c r="U53" s="236">
        <f>CF!T24</f>
        <v>-99.911043578759802</v>
      </c>
      <c r="V53" s="237">
        <f>CF!U24</f>
        <v>-96.487915168943942</v>
      </c>
    </row>
    <row r="54" spans="3:22" ht="12.75" customHeight="1" outlineLevel="1">
      <c r="C54" s="92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</row>
    <row r="55" spans="3:22" ht="12.75" customHeight="1" outlineLevel="1">
      <c r="C55" s="501" t="s">
        <v>290</v>
      </c>
      <c r="D55" s="68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</row>
    <row r="56" spans="3:22" ht="12.75" customHeight="1" outlineLevel="1">
      <c r="C56" s="502" t="s">
        <v>291</v>
      </c>
      <c r="D56" s="163">
        <f t="shared" ref="D56:M56" si="121">IF(ISERROR(D47/D9),"NM",D47/D9)</f>
        <v>25.265051117001139</v>
      </c>
      <c r="E56" s="163">
        <f t="shared" si="121"/>
        <v>12.063171355498721</v>
      </c>
      <c r="F56" s="163">
        <f t="shared" si="121"/>
        <v>5.1916007803675939</v>
      </c>
      <c r="G56" s="163">
        <f t="shared" si="121"/>
        <v>2.48185276888701</v>
      </c>
      <c r="H56" s="163">
        <f t="shared" si="121"/>
        <v>2.1688281824871227</v>
      </c>
      <c r="I56" s="163">
        <f t="shared" si="121"/>
        <v>2.2410767696909275</v>
      </c>
      <c r="J56" s="163">
        <f t="shared" si="121"/>
        <v>2.8571428571428572</v>
      </c>
      <c r="K56" s="163">
        <f t="shared" si="121"/>
        <v>3.3333333333333335</v>
      </c>
      <c r="L56" s="163">
        <f t="shared" si="121"/>
        <v>5</v>
      </c>
      <c r="M56" s="163">
        <f t="shared" si="121"/>
        <v>6.666666666666667</v>
      </c>
      <c r="N56" s="163">
        <f t="shared" ref="N56:O56" si="122">IF(ISERROR(N47/N9),"NM",N47/N9)</f>
        <v>8.3333333333333339</v>
      </c>
      <c r="O56" s="163">
        <f t="shared" si="122"/>
        <v>9.5238095238095237</v>
      </c>
      <c r="P56" s="163">
        <f t="shared" ref="P56" si="123">IF(ISERROR(P47/P9),"NM",P47/P9)</f>
        <v>10</v>
      </c>
      <c r="Q56" s="163">
        <f t="shared" ref="Q56:U56" si="124">IF(ISERROR(Q47/Q9),"NM",Q47/Q9)</f>
        <v>10</v>
      </c>
      <c r="R56" s="163">
        <f t="shared" si="124"/>
        <v>10</v>
      </c>
      <c r="S56" s="163">
        <f t="shared" si="124"/>
        <v>9.9999999999999982</v>
      </c>
      <c r="T56" s="163">
        <f t="shared" si="124"/>
        <v>10</v>
      </c>
      <c r="U56" s="163">
        <f t="shared" si="124"/>
        <v>10</v>
      </c>
      <c r="V56" s="164">
        <f>IF(ISERROR(V47/V9),"NM",V47/V9)</f>
        <v>10</v>
      </c>
    </row>
    <row r="57" spans="3:22" ht="12.75" customHeight="1" outlineLevel="1">
      <c r="C57" s="499" t="s">
        <v>292</v>
      </c>
      <c r="D57" s="124" t="str">
        <f t="shared" ref="D57:M57" si="125">IF(ISERROR(D48/D10),"NM",D48/D10)</f>
        <v>NM</v>
      </c>
      <c r="E57" s="124" t="str">
        <f t="shared" si="125"/>
        <v>NM</v>
      </c>
      <c r="F57" s="124" t="str">
        <f t="shared" si="125"/>
        <v>NM</v>
      </c>
      <c r="G57" s="124" t="str">
        <f t="shared" si="125"/>
        <v>NM</v>
      </c>
      <c r="H57" s="124" t="str">
        <f t="shared" si="125"/>
        <v>NM</v>
      </c>
      <c r="I57" s="124" t="str">
        <f t="shared" si="125"/>
        <v>NM</v>
      </c>
      <c r="J57" s="124">
        <f t="shared" si="125"/>
        <v>0.30914472441735857</v>
      </c>
      <c r="K57" s="124">
        <f t="shared" si="125"/>
        <v>0.48639678775682443</v>
      </c>
      <c r="L57" s="124">
        <f t="shared" si="125"/>
        <v>0.50639285214151553</v>
      </c>
      <c r="M57" s="124">
        <f t="shared" si="125"/>
        <v>0.44355864017142782</v>
      </c>
      <c r="N57" s="124">
        <f t="shared" ref="N57:O57" si="126">IF(ISERROR(N48/N10),"NM",N48/N10)</f>
        <v>0.35869572339247208</v>
      </c>
      <c r="O57" s="124">
        <f t="shared" si="126"/>
        <v>0.32147000644567658</v>
      </c>
      <c r="P57" s="124">
        <f t="shared" ref="P57" si="127">IF(ISERROR(P48/P10),"NM",P48/P10)</f>
        <v>0.34622803417366443</v>
      </c>
      <c r="Q57" s="124">
        <f t="shared" ref="Q57:V57" si="128">IF(ISERROR(Q48/Q10),"NM",Q48/Q10)</f>
        <v>0.37419362625572433</v>
      </c>
      <c r="R57" s="124">
        <f t="shared" si="128"/>
        <v>0.40641774804038905</v>
      </c>
      <c r="S57" s="124">
        <f t="shared" si="128"/>
        <v>0.44420500992389139</v>
      </c>
      <c r="T57" s="124">
        <f t="shared" si="128"/>
        <v>0.48932578378838837</v>
      </c>
      <c r="U57" s="124">
        <f t="shared" si="128"/>
        <v>0.54429553904783945</v>
      </c>
      <c r="V57" s="133">
        <f t="shared" si="128"/>
        <v>0.61285469664311731</v>
      </c>
    </row>
    <row r="58" spans="3:22" ht="12.75" customHeight="1" outlineLevel="1">
      <c r="C58" s="499" t="s">
        <v>293</v>
      </c>
      <c r="D58" s="124">
        <f t="shared" ref="D58:M58" si="129">IF(ISERROR(D48/(D21+D22)),"NM",D48/(D21+D22))</f>
        <v>0</v>
      </c>
      <c r="E58" s="124">
        <f t="shared" si="129"/>
        <v>0</v>
      </c>
      <c r="F58" s="124">
        <f t="shared" si="129"/>
        <v>0</v>
      </c>
      <c r="G58" s="124">
        <f t="shared" si="129"/>
        <v>0</v>
      </c>
      <c r="H58" s="124">
        <f t="shared" si="129"/>
        <v>0</v>
      </c>
      <c r="I58" s="124">
        <f t="shared" si="129"/>
        <v>0</v>
      </c>
      <c r="J58" s="124">
        <f t="shared" si="129"/>
        <v>7.5412122087046715E-2</v>
      </c>
      <c r="K58" s="124">
        <f t="shared" si="129"/>
        <v>0.34861664194217667</v>
      </c>
      <c r="L58" s="124">
        <f t="shared" si="129"/>
        <v>0.62904793225479083</v>
      </c>
      <c r="M58" s="124">
        <f t="shared" si="129"/>
        <v>0.78322924945425032</v>
      </c>
      <c r="N58" s="124">
        <f t="shared" ref="N58:O58" si="130">IF(ISERROR(N48/(N21+N22)),"NM",N48/(N21+N22))</f>
        <v>0.76916320981342789</v>
      </c>
      <c r="O58" s="124">
        <f t="shared" si="130"/>
        <v>0.77486335918802485</v>
      </c>
      <c r="P58" s="124">
        <f t="shared" ref="P58" si="131">IF(ISERROR(P48/(P21+P22)),"NM",P48/(P21+P22))</f>
        <v>0.88360026849107909</v>
      </c>
      <c r="Q58" s="124">
        <f t="shared" ref="Q58:V58" si="132">IF(ISERROR(Q48/(Q21+Q22)),"NM",Q48/(Q21+Q22))</f>
        <v>0.98319399022067655</v>
      </c>
      <c r="R58" s="124">
        <f t="shared" si="132"/>
        <v>1.0768118525768118</v>
      </c>
      <c r="S58" s="124">
        <f t="shared" si="132"/>
        <v>1.1636043988880422</v>
      </c>
      <c r="T58" s="124">
        <f t="shared" si="132"/>
        <v>1.2456053737207149</v>
      </c>
      <c r="U58" s="124">
        <f t="shared" si="132"/>
        <v>1.3246622514937192</v>
      </c>
      <c r="V58" s="133">
        <f t="shared" si="132"/>
        <v>1.4019096421275072</v>
      </c>
    </row>
    <row r="59" spans="3:22" ht="12.75" customHeight="1" outlineLevel="1">
      <c r="C59" s="503" t="s">
        <v>294</v>
      </c>
      <c r="D59" s="124">
        <f t="shared" ref="D59:M60" si="133">IF(ISERROR(366/D56), "NM", (366/D56))</f>
        <v>14.486414387411013</v>
      </c>
      <c r="E59" s="124">
        <f t="shared" si="133"/>
        <v>30.340280280704732</v>
      </c>
      <c r="F59" s="124">
        <f t="shared" si="133"/>
        <v>70.49848697612785</v>
      </c>
      <c r="G59" s="124">
        <f t="shared" si="133"/>
        <v>147.47047229724797</v>
      </c>
      <c r="H59" s="124">
        <f t="shared" si="133"/>
        <v>168.75472338259931</v>
      </c>
      <c r="I59" s="124">
        <f t="shared" si="133"/>
        <v>163.3143518106593</v>
      </c>
      <c r="J59" s="124">
        <f t="shared" si="133"/>
        <v>128.1</v>
      </c>
      <c r="K59" s="124">
        <f t="shared" si="133"/>
        <v>109.8</v>
      </c>
      <c r="L59" s="124">
        <f t="shared" si="133"/>
        <v>73.2</v>
      </c>
      <c r="M59" s="124">
        <f t="shared" si="133"/>
        <v>54.9</v>
      </c>
      <c r="N59" s="124">
        <f t="shared" ref="N59:O59" si="134">IF(ISERROR(366/N56), "NM", (366/N56))</f>
        <v>43.919999999999995</v>
      </c>
      <c r="O59" s="124">
        <f t="shared" si="134"/>
        <v>38.43</v>
      </c>
      <c r="P59" s="124">
        <f t="shared" ref="P59" si="135">IF(ISERROR(366/P56), "NM", (366/P56))</f>
        <v>36.6</v>
      </c>
      <c r="Q59" s="124">
        <f t="shared" ref="Q59:V59" si="136">IF(ISERROR(366/Q56), "NM", (366/Q56))</f>
        <v>36.6</v>
      </c>
      <c r="R59" s="124">
        <f t="shared" si="136"/>
        <v>36.6</v>
      </c>
      <c r="S59" s="124">
        <f t="shared" si="136"/>
        <v>36.600000000000009</v>
      </c>
      <c r="T59" s="124">
        <f t="shared" si="136"/>
        <v>36.6</v>
      </c>
      <c r="U59" s="124">
        <f t="shared" si="136"/>
        <v>36.6</v>
      </c>
      <c r="V59" s="133">
        <f t="shared" si="136"/>
        <v>36.6</v>
      </c>
    </row>
    <row r="60" spans="3:22" ht="12.75" customHeight="1" outlineLevel="1">
      <c r="C60" s="504" t="s">
        <v>295</v>
      </c>
      <c r="D60" s="124" t="str">
        <f t="shared" si="133"/>
        <v>NM</v>
      </c>
      <c r="E60" s="124" t="str">
        <f t="shared" si="133"/>
        <v>NM</v>
      </c>
      <c r="F60" s="124" t="str">
        <f t="shared" si="133"/>
        <v>NM</v>
      </c>
      <c r="G60" s="124" t="str">
        <f t="shared" si="133"/>
        <v>NM</v>
      </c>
      <c r="H60" s="124" t="str">
        <f t="shared" si="133"/>
        <v>NM</v>
      </c>
      <c r="I60" s="124" t="str">
        <f t="shared" si="133"/>
        <v>NM</v>
      </c>
      <c r="J60" s="124">
        <f t="shared" si="133"/>
        <v>1183.9115181078892</v>
      </c>
      <c r="K60" s="124">
        <f t="shared" si="133"/>
        <v>752.47207467780981</v>
      </c>
      <c r="L60" s="124">
        <f t="shared" si="133"/>
        <v>722.75901694149184</v>
      </c>
      <c r="M60" s="124">
        <f t="shared" si="133"/>
        <v>825.14456230307508</v>
      </c>
      <c r="N60" s="124">
        <f t="shared" ref="N60:O60" si="137">IF(ISERROR(366/N57), "NM", (366/N57))</f>
        <v>1020.3634337717929</v>
      </c>
      <c r="O60" s="124">
        <f t="shared" si="137"/>
        <v>1138.5199012706285</v>
      </c>
      <c r="P60" s="124">
        <f t="shared" ref="P60" si="138">IF(ISERROR(366/P57), "NM", (366/P57))</f>
        <v>1057.1067732095262</v>
      </c>
      <c r="Q60" s="124">
        <f t="shared" ref="Q60:V60" si="139">IF(ISERROR(366/Q57), "NM", (366/Q57))</f>
        <v>978.10324473532103</v>
      </c>
      <c r="R60" s="124">
        <f t="shared" si="139"/>
        <v>900.55122288514724</v>
      </c>
      <c r="S60" s="124">
        <f t="shared" si="139"/>
        <v>823.94388136844566</v>
      </c>
      <c r="T60" s="124">
        <f t="shared" si="139"/>
        <v>747.96794308774599</v>
      </c>
      <c r="U60" s="124">
        <f t="shared" si="139"/>
        <v>672.42880704159393</v>
      </c>
      <c r="V60" s="133">
        <f t="shared" si="139"/>
        <v>597.20518094215106</v>
      </c>
    </row>
    <row r="61" spans="3:22" ht="12.75" customHeight="1" outlineLevel="1">
      <c r="C61" s="503" t="s">
        <v>296</v>
      </c>
      <c r="D61" s="124" t="str">
        <f t="shared" ref="D61:M61" si="140">IF(ISERROR(366/D58), "NM", (366/D58))</f>
        <v>NM</v>
      </c>
      <c r="E61" s="124" t="str">
        <f t="shared" si="140"/>
        <v>NM</v>
      </c>
      <c r="F61" s="124" t="str">
        <f t="shared" si="140"/>
        <v>NM</v>
      </c>
      <c r="G61" s="124" t="str">
        <f t="shared" si="140"/>
        <v>NM</v>
      </c>
      <c r="H61" s="124" t="str">
        <f t="shared" si="140"/>
        <v>NM</v>
      </c>
      <c r="I61" s="124" t="str">
        <f t="shared" si="140"/>
        <v>NM</v>
      </c>
      <c r="J61" s="124">
        <f t="shared" si="140"/>
        <v>4853.3311339194706</v>
      </c>
      <c r="K61" s="124">
        <f t="shared" si="140"/>
        <v>1049.8638216494169</v>
      </c>
      <c r="L61" s="124">
        <f t="shared" si="140"/>
        <v>581.83165579782019</v>
      </c>
      <c r="M61" s="124">
        <f t="shared" si="140"/>
        <v>467.29613360970205</v>
      </c>
      <c r="N61" s="124">
        <f t="shared" ref="N61:O61" si="141">IF(ISERROR(366/N58), "NM", (366/N58))</f>
        <v>475.84179187246724</v>
      </c>
      <c r="O61" s="124">
        <f t="shared" si="141"/>
        <v>472.3413433608855</v>
      </c>
      <c r="P61" s="124">
        <f t="shared" ref="P61" si="142">IF(ISERROR(366/P58), "NM", (366/P58))</f>
        <v>414.2144508681701</v>
      </c>
      <c r="Q61" s="124">
        <f t="shared" ref="Q61:V61" si="143">IF(ISERROR(366/Q58), "NM", (366/Q58))</f>
        <v>372.2561403348812</v>
      </c>
      <c r="R61" s="124">
        <f t="shared" si="143"/>
        <v>339.89224684345891</v>
      </c>
      <c r="S61" s="124">
        <f t="shared" si="143"/>
        <v>314.53989031818293</v>
      </c>
      <c r="T61" s="124">
        <f t="shared" si="143"/>
        <v>293.83302908105725</v>
      </c>
      <c r="U61" s="124">
        <f t="shared" si="143"/>
        <v>276.29684441244558</v>
      </c>
      <c r="V61" s="133">
        <f t="shared" si="143"/>
        <v>261.07246073617586</v>
      </c>
    </row>
    <row r="62" spans="3:22" ht="12.75" customHeight="1" outlineLevel="1">
      <c r="C62" s="499" t="s">
        <v>297</v>
      </c>
      <c r="D62" s="124">
        <f t="shared" ref="D62:I62" si="144">D8</f>
        <v>0.104</v>
      </c>
      <c r="E62" s="124">
        <f t="shared" si="144"/>
        <v>4.2480000000000002</v>
      </c>
      <c r="F62" s="124">
        <f t="shared" si="144"/>
        <v>39.936999999999998</v>
      </c>
      <c r="G62" s="124">
        <f t="shared" si="144"/>
        <v>8.298</v>
      </c>
      <c r="H62" s="124">
        <f t="shared" si="144"/>
        <v>23.334</v>
      </c>
      <c r="I62" s="124">
        <f t="shared" si="144"/>
        <v>34.002000000000002</v>
      </c>
      <c r="J62" s="124">
        <f t="shared" ref="J62:M62" si="145">J63*J47</f>
        <v>36.203572305526528</v>
      </c>
      <c r="K62" s="124">
        <f t="shared" si="145"/>
        <v>108.75629434395964</v>
      </c>
      <c r="L62" s="124">
        <f t="shared" si="145"/>
        <v>194.93096733562669</v>
      </c>
      <c r="M62" s="124">
        <f t="shared" si="145"/>
        <v>221.97890766640967</v>
      </c>
      <c r="N62" s="124">
        <f t="shared" ref="N62:O62" si="146">N63*N47</f>
        <v>241.50105489390506</v>
      </c>
      <c r="O62" s="124">
        <f t="shared" si="146"/>
        <v>273.95350653124382</v>
      </c>
      <c r="P62" s="124">
        <f t="shared" ref="P62" si="147">P63*P47</f>
        <v>294.48812164503806</v>
      </c>
      <c r="Q62" s="124">
        <f t="shared" ref="Q62:V62" si="148">Q63*Q47</f>
        <v>304.46656059105885</v>
      </c>
      <c r="R62" s="124">
        <f t="shared" si="148"/>
        <v>335.40123844738116</v>
      </c>
      <c r="S62" s="124">
        <f t="shared" si="148"/>
        <v>362.65365148612409</v>
      </c>
      <c r="T62" s="124">
        <f t="shared" si="148"/>
        <v>386.44523571788699</v>
      </c>
      <c r="U62" s="124">
        <f t="shared" si="148"/>
        <v>407.0449923579103</v>
      </c>
      <c r="V62" s="133">
        <f t="shared" si="148"/>
        <v>424.54682674335334</v>
      </c>
    </row>
    <row r="63" spans="3:22" ht="12.75" customHeight="1" outlineLevel="1">
      <c r="C63" s="505" t="s">
        <v>298</v>
      </c>
      <c r="D63" s="125">
        <f t="shared" ref="D63:I63" si="149">D62/D47</f>
        <v>1.5586361933308352E-3</v>
      </c>
      <c r="E63" s="125">
        <f t="shared" si="149"/>
        <v>9.0062967752878073E-2</v>
      </c>
      <c r="F63" s="125">
        <f t="shared" si="149"/>
        <v>0.7898775736239394</v>
      </c>
      <c r="G63" s="125">
        <f t="shared" si="149"/>
        <v>0.20191254836119424</v>
      </c>
      <c r="H63" s="125">
        <f t="shared" si="149"/>
        <v>0.49479420683220593</v>
      </c>
      <c r="I63" s="125">
        <f t="shared" si="149"/>
        <v>0.37816976599341579</v>
      </c>
      <c r="J63" s="129">
        <v>0.27</v>
      </c>
      <c r="K63" s="129">
        <f>J63-0.02</f>
        <v>0.25</v>
      </c>
      <c r="L63" s="129">
        <f>K63-0.02</f>
        <v>0.23</v>
      </c>
      <c r="M63" s="129">
        <v>0.17</v>
      </c>
      <c r="N63" s="129">
        <v>0.14000000000000001</v>
      </c>
      <c r="O63" s="129">
        <v>0.13</v>
      </c>
      <c r="P63" s="129">
        <f>O63-0.01</f>
        <v>0.12000000000000001</v>
      </c>
      <c r="Q63" s="129">
        <f t="shared" ref="Q63" si="150">P63-0.01</f>
        <v>0.11000000000000001</v>
      </c>
      <c r="R63" s="129">
        <v>0.11</v>
      </c>
      <c r="S63" s="129">
        <v>0.11</v>
      </c>
      <c r="T63" s="129">
        <v>0.11</v>
      </c>
      <c r="U63" s="129">
        <v>0.11</v>
      </c>
      <c r="V63" s="134">
        <v>0.11</v>
      </c>
    </row>
    <row r="64" spans="3:22" ht="12.75" customHeight="1" outlineLevel="1">
      <c r="C64" s="499" t="s">
        <v>299</v>
      </c>
      <c r="D64" s="124">
        <f t="shared" ref="D64:I64" si="151">D9</f>
        <v>2.641</v>
      </c>
      <c r="E64" s="124">
        <f t="shared" si="151"/>
        <v>3.91</v>
      </c>
      <c r="F64" s="124">
        <f t="shared" si="151"/>
        <v>9.7390000000000008</v>
      </c>
      <c r="G64" s="124">
        <f t="shared" si="151"/>
        <v>16.559000000000001</v>
      </c>
      <c r="H64" s="124">
        <f t="shared" si="151"/>
        <v>21.744</v>
      </c>
      <c r="I64" s="124">
        <f t="shared" si="151"/>
        <v>40.119999999999997</v>
      </c>
      <c r="J64" s="124">
        <f t="shared" ref="J64:M64" si="152">J65*J47</f>
        <v>46.930556692349192</v>
      </c>
      <c r="K64" s="124">
        <f t="shared" si="152"/>
        <v>130.50755321275156</v>
      </c>
      <c r="L64" s="124">
        <f t="shared" si="152"/>
        <v>169.50518898750147</v>
      </c>
      <c r="M64" s="124">
        <f t="shared" si="152"/>
        <v>195.86374205859676</v>
      </c>
      <c r="N64" s="124">
        <f t="shared" ref="N64:O64" si="153">N65*N47</f>
        <v>207.00090419477573</v>
      </c>
      <c r="O64" s="124">
        <f t="shared" si="153"/>
        <v>221.27013989061999</v>
      </c>
      <c r="P64" s="124">
        <f t="shared" ref="P64" si="154">P65*P47</f>
        <v>245.40676803753172</v>
      </c>
      <c r="Q64" s="124">
        <f t="shared" ref="Q64:V64" si="155">Q65*Q47</f>
        <v>276.78778235550806</v>
      </c>
      <c r="R64" s="124">
        <f t="shared" si="155"/>
        <v>304.91021677034649</v>
      </c>
      <c r="S64" s="124">
        <f t="shared" si="155"/>
        <v>329.68513771465831</v>
      </c>
      <c r="T64" s="124">
        <f t="shared" si="155"/>
        <v>351.31385065262452</v>
      </c>
      <c r="U64" s="124">
        <f t="shared" si="155"/>
        <v>370.04090214355483</v>
      </c>
      <c r="V64" s="133">
        <f t="shared" si="155"/>
        <v>385.95166067577577</v>
      </c>
    </row>
    <row r="65" spans="3:22" ht="12.75" customHeight="1" outlineLevel="1">
      <c r="C65" s="505" t="s">
        <v>300</v>
      </c>
      <c r="D65" s="125">
        <f t="shared" ref="D65:I65" si="156">D64/D47</f>
        <v>3.9580367178718615E-2</v>
      </c>
      <c r="E65" s="125">
        <f t="shared" si="156"/>
        <v>8.289694065766319E-2</v>
      </c>
      <c r="F65" s="125">
        <f t="shared" si="156"/>
        <v>0.19261881687466625</v>
      </c>
      <c r="G65" s="125">
        <f t="shared" si="156"/>
        <v>0.40292478769739887</v>
      </c>
      <c r="H65" s="125">
        <f t="shared" si="156"/>
        <v>0.46107847918742978</v>
      </c>
      <c r="I65" s="125">
        <f t="shared" si="156"/>
        <v>0.44621407598540791</v>
      </c>
      <c r="J65" s="129">
        <v>0.35</v>
      </c>
      <c r="K65" s="129">
        <f>J65-0.05</f>
        <v>0.3</v>
      </c>
      <c r="L65" s="129">
        <v>0.2</v>
      </c>
      <c r="M65" s="129">
        <v>0.15</v>
      </c>
      <c r="N65" s="129">
        <v>0.12</v>
      </c>
      <c r="O65" s="129">
        <f>N65-0.015</f>
        <v>0.105</v>
      </c>
      <c r="P65" s="129">
        <v>0.1</v>
      </c>
      <c r="Q65" s="129">
        <v>0.1</v>
      </c>
      <c r="R65" s="129">
        <v>0.1</v>
      </c>
      <c r="S65" s="129">
        <v>0.1</v>
      </c>
      <c r="T65" s="129">
        <v>0.1</v>
      </c>
      <c r="U65" s="129">
        <v>0.1</v>
      </c>
      <c r="V65" s="134">
        <v>0.1</v>
      </c>
    </row>
    <row r="66" spans="3:22" ht="12.75" customHeight="1" outlineLevel="1">
      <c r="C66" s="499" t="s">
        <v>130</v>
      </c>
      <c r="D66" s="124">
        <f t="shared" ref="D66:I66" si="157">D10</f>
        <v>0</v>
      </c>
      <c r="E66" s="124">
        <f t="shared" si="157"/>
        <v>0</v>
      </c>
      <c r="F66" s="124">
        <f t="shared" si="157"/>
        <v>0</v>
      </c>
      <c r="G66" s="124">
        <f t="shared" si="157"/>
        <v>0</v>
      </c>
      <c r="H66" s="124">
        <f t="shared" si="157"/>
        <v>0</v>
      </c>
      <c r="I66" s="124">
        <f t="shared" si="157"/>
        <v>0</v>
      </c>
      <c r="J66" s="124">
        <f t="shared" ref="J66:M66" si="158">J67*J47</f>
        <v>26.817460967056686</v>
      </c>
      <c r="K66" s="124">
        <f t="shared" si="158"/>
        <v>82.654783701409329</v>
      </c>
      <c r="L66" s="124">
        <f t="shared" si="158"/>
        <v>152.55467008875132</v>
      </c>
      <c r="M66" s="124">
        <f t="shared" si="158"/>
        <v>221.97890766640964</v>
      </c>
      <c r="N66" s="124">
        <f t="shared" ref="N66:O66" si="159">N67*N47</f>
        <v>276.00120559303429</v>
      </c>
      <c r="O66" s="124">
        <f t="shared" si="159"/>
        <v>316.10019984374276</v>
      </c>
      <c r="P66" s="124">
        <f t="shared" ref="P66" si="160">P67*P47</f>
        <v>343.56947525254429</v>
      </c>
      <c r="Q66" s="124">
        <f t="shared" ref="Q66:V66" si="161">Q67*Q47</f>
        <v>359.82411706216033</v>
      </c>
      <c r="R66" s="124">
        <f t="shared" si="161"/>
        <v>365.89226012441566</v>
      </c>
      <c r="S66" s="124">
        <f t="shared" si="161"/>
        <v>362.65365148612398</v>
      </c>
      <c r="T66" s="124">
        <f t="shared" si="161"/>
        <v>351.31385065262441</v>
      </c>
      <c r="U66" s="124">
        <f t="shared" si="161"/>
        <v>333.03681192919925</v>
      </c>
      <c r="V66" s="133">
        <f t="shared" si="161"/>
        <v>308.76132854062053</v>
      </c>
    </row>
    <row r="67" spans="3:22" ht="12.75" customHeight="1" outlineLevel="1">
      <c r="C67" s="505" t="s">
        <v>300</v>
      </c>
      <c r="D67" s="125">
        <f>D66/D47</f>
        <v>0</v>
      </c>
      <c r="E67" s="125">
        <f>E66/E47</f>
        <v>0</v>
      </c>
      <c r="F67" s="125">
        <f>F66/F47</f>
        <v>0</v>
      </c>
      <c r="G67" s="125">
        <v>0</v>
      </c>
      <c r="H67" s="125">
        <v>0</v>
      </c>
      <c r="I67" s="125">
        <v>1</v>
      </c>
      <c r="J67" s="129">
        <v>0.2</v>
      </c>
      <c r="K67" s="129">
        <f t="shared" ref="K67:P67" si="162">J67-0.01</f>
        <v>0.19</v>
      </c>
      <c r="L67" s="129">
        <f t="shared" si="162"/>
        <v>0.18</v>
      </c>
      <c r="M67" s="129">
        <f t="shared" si="162"/>
        <v>0.16999999999999998</v>
      </c>
      <c r="N67" s="129">
        <f t="shared" si="162"/>
        <v>0.15999999999999998</v>
      </c>
      <c r="O67" s="129">
        <f t="shared" si="162"/>
        <v>0.14999999999999997</v>
      </c>
      <c r="P67" s="129">
        <f t="shared" si="162"/>
        <v>0.13999999999999996</v>
      </c>
      <c r="Q67" s="129">
        <f t="shared" ref="Q67" si="163">P67-0.01</f>
        <v>0.12999999999999995</v>
      </c>
      <c r="R67" s="129">
        <f t="shared" ref="R67" si="164">Q67-0.01</f>
        <v>0.11999999999999995</v>
      </c>
      <c r="S67" s="129">
        <f t="shared" ref="S67" si="165">R67-0.01</f>
        <v>0.10999999999999996</v>
      </c>
      <c r="T67" s="129">
        <f t="shared" ref="T67" si="166">S67-0.01</f>
        <v>9.9999999999999964E-2</v>
      </c>
      <c r="U67" s="129">
        <f t="shared" ref="U67" si="167">T67-0.01</f>
        <v>8.9999999999999969E-2</v>
      </c>
      <c r="V67" s="134">
        <f t="shared" ref="V67" si="168">U67-0.01</f>
        <v>7.9999999999999974E-2</v>
      </c>
    </row>
    <row r="68" spans="3:22" ht="12.75" customHeight="1" outlineLevel="1">
      <c r="C68" s="499" t="s">
        <v>301</v>
      </c>
      <c r="D68" s="124">
        <f>D17</f>
        <v>0</v>
      </c>
      <c r="E68" s="124">
        <f>E17</f>
        <v>0</v>
      </c>
      <c r="F68" s="124">
        <f>F17</f>
        <v>0</v>
      </c>
      <c r="G68" s="124">
        <v>0</v>
      </c>
      <c r="H68" s="124">
        <v>0</v>
      </c>
      <c r="I68" s="124">
        <v>1</v>
      </c>
      <c r="J68" s="124">
        <f t="shared" ref="J68:M68" si="169">J69*J47</f>
        <v>1.3408730483528342</v>
      </c>
      <c r="K68" s="124">
        <f t="shared" si="169"/>
        <v>2.1751258868791927</v>
      </c>
      <c r="L68" s="124">
        <f t="shared" si="169"/>
        <v>2.5425778348125223</v>
      </c>
      <c r="M68" s="124">
        <f t="shared" si="169"/>
        <v>3.9172748411719351</v>
      </c>
      <c r="N68" s="124">
        <f t="shared" ref="N68:O68" si="170">N69*N47</f>
        <v>5.1750226048693939</v>
      </c>
      <c r="O68" s="124">
        <f t="shared" si="170"/>
        <v>6.3220039968748569</v>
      </c>
      <c r="P68" s="124">
        <f t="shared" ref="P68" si="171">P69*P47</f>
        <v>7.3622030411259516</v>
      </c>
      <c r="Q68" s="124">
        <f t="shared" ref="Q68:V68" si="172">Q69*Q47</f>
        <v>8.3036334706652415</v>
      </c>
      <c r="R68" s="124">
        <f t="shared" si="172"/>
        <v>9.1473065031103946</v>
      </c>
      <c r="S68" s="124">
        <f t="shared" si="172"/>
        <v>9.8905541314397478</v>
      </c>
      <c r="T68" s="124">
        <f t="shared" si="172"/>
        <v>10.539415519578736</v>
      </c>
      <c r="U68" s="124">
        <f t="shared" si="172"/>
        <v>11.101227064306645</v>
      </c>
      <c r="V68" s="133">
        <f t="shared" si="172"/>
        <v>11.578549820273272</v>
      </c>
    </row>
    <row r="69" spans="3:22" ht="12.75" customHeight="1" outlineLevel="1">
      <c r="C69" s="505" t="s">
        <v>300</v>
      </c>
      <c r="D69" s="125">
        <f>D68/D47</f>
        <v>0</v>
      </c>
      <c r="E69" s="125">
        <f>E68/E47</f>
        <v>0</v>
      </c>
      <c r="F69" s="125">
        <f>F68/F47</f>
        <v>0</v>
      </c>
      <c r="G69" s="125">
        <v>0</v>
      </c>
      <c r="H69" s="125">
        <v>0</v>
      </c>
      <c r="I69" s="125">
        <v>1</v>
      </c>
      <c r="J69" s="129">
        <v>0.01</v>
      </c>
      <c r="K69" s="129">
        <v>5.0000000000000001E-3</v>
      </c>
      <c r="L69" s="129">
        <v>3.0000000000000001E-3</v>
      </c>
      <c r="M69" s="129">
        <v>3.0000000000000001E-3</v>
      </c>
      <c r="N69" s="129">
        <v>3.0000000000000001E-3</v>
      </c>
      <c r="O69" s="129">
        <v>3.0000000000000001E-3</v>
      </c>
      <c r="P69" s="129">
        <v>3.0000000000000001E-3</v>
      </c>
      <c r="Q69" s="129">
        <v>3.0000000000000001E-3</v>
      </c>
      <c r="R69" s="129">
        <v>3.0000000000000001E-3</v>
      </c>
      <c r="S69" s="129">
        <v>3.0000000000000001E-3</v>
      </c>
      <c r="T69" s="129">
        <v>3.0000000000000001E-3</v>
      </c>
      <c r="U69" s="129">
        <v>3.0000000000000001E-3</v>
      </c>
      <c r="V69" s="134">
        <v>3.0000000000000001E-3</v>
      </c>
    </row>
    <row r="70" spans="3:22" ht="12.75" customHeight="1" outlineLevel="1">
      <c r="C70" s="499" t="s">
        <v>302</v>
      </c>
      <c r="D70" s="124">
        <f t="shared" ref="D70:I70" si="173">D21</f>
        <v>4.42</v>
      </c>
      <c r="E70" s="124">
        <f t="shared" si="173"/>
        <v>5.8959999999999999</v>
      </c>
      <c r="F70" s="124">
        <f t="shared" si="173"/>
        <v>15.111000000000001</v>
      </c>
      <c r="G70" s="124">
        <f t="shared" si="173"/>
        <v>16.786999999999999</v>
      </c>
      <c r="H70" s="124">
        <f t="shared" si="173"/>
        <v>54.465000000000003</v>
      </c>
      <c r="I70" s="124">
        <f t="shared" si="173"/>
        <v>28.355</v>
      </c>
      <c r="J70" s="124">
        <f t="shared" ref="J70:M70" si="174">J49*J71</f>
        <v>30.89693218295006</v>
      </c>
      <c r="K70" s="124">
        <f t="shared" si="174"/>
        <v>34.677117876759318</v>
      </c>
      <c r="L70" s="124">
        <f t="shared" si="174"/>
        <v>38.266496667181279</v>
      </c>
      <c r="M70" s="124">
        <f t="shared" si="174"/>
        <v>40.643459782063317</v>
      </c>
      <c r="N70" s="124">
        <f t="shared" ref="N70:O70" si="175">N49*N71</f>
        <v>41.613619262394344</v>
      </c>
      <c r="O70" s="124">
        <f t="shared" si="175"/>
        <v>42.39912743248285</v>
      </c>
      <c r="P70" s="124">
        <f t="shared" ref="P70" si="176">P49*P71</f>
        <v>43.524899493210022</v>
      </c>
      <c r="Q70" s="124">
        <f t="shared" ref="Q70:V70" si="177">Q49*Q71</f>
        <v>44.275579434827243</v>
      </c>
      <c r="R70" s="124">
        <f t="shared" si="177"/>
        <v>44.648089002503681</v>
      </c>
      <c r="S70" s="124">
        <f t="shared" si="177"/>
        <v>44.759679411576521</v>
      </c>
      <c r="T70" s="124">
        <f t="shared" si="177"/>
        <v>44.620015228883318</v>
      </c>
      <c r="U70" s="124">
        <f t="shared" si="177"/>
        <v>44.242399143415234</v>
      </c>
      <c r="V70" s="133">
        <f t="shared" si="177"/>
        <v>43.63924331175923</v>
      </c>
    </row>
    <row r="71" spans="3:22" ht="12.75" customHeight="1" outlineLevel="1">
      <c r="C71" s="505" t="s">
        <v>303</v>
      </c>
      <c r="D71" s="125">
        <f t="shared" ref="D71:I71" si="178">D70/D49</f>
        <v>3.3693903842782112E-2</v>
      </c>
      <c r="E71" s="125">
        <f t="shared" si="178"/>
        <v>4.2081522243396216E-2</v>
      </c>
      <c r="F71" s="125">
        <f t="shared" si="178"/>
        <v>6.4363752529017146E-2</v>
      </c>
      <c r="G71" s="125">
        <f t="shared" si="178"/>
        <v>4.9797540825558796E-2</v>
      </c>
      <c r="H71" s="125">
        <f t="shared" si="178"/>
        <v>0.1154540791018896</v>
      </c>
      <c r="I71" s="125">
        <f t="shared" si="178"/>
        <v>5.7029593843901223E-2</v>
      </c>
      <c r="J71" s="129">
        <v>4.2999999999999997E-2</v>
      </c>
      <c r="K71" s="129">
        <v>4.2999999999999997E-2</v>
      </c>
      <c r="L71" s="129">
        <v>4.2999999999999997E-2</v>
      </c>
      <c r="M71" s="129">
        <v>4.2999999999999997E-2</v>
      </c>
      <c r="N71" s="129">
        <v>4.2999999999999997E-2</v>
      </c>
      <c r="O71" s="129">
        <v>4.2999999999999997E-2</v>
      </c>
      <c r="P71" s="129">
        <v>4.2999999999999997E-2</v>
      </c>
      <c r="Q71" s="129">
        <v>4.2999999999999997E-2</v>
      </c>
      <c r="R71" s="129">
        <v>4.2999999999999997E-2</v>
      </c>
      <c r="S71" s="129">
        <v>4.2999999999999997E-2</v>
      </c>
      <c r="T71" s="129">
        <v>4.2999999999999997E-2</v>
      </c>
      <c r="U71" s="129">
        <v>4.2999999999999997E-2</v>
      </c>
      <c r="V71" s="134">
        <v>4.2999999999999997E-2</v>
      </c>
    </row>
    <row r="72" spans="3:22" ht="12.75" customHeight="1" outlineLevel="1">
      <c r="C72" s="499" t="s">
        <v>304</v>
      </c>
      <c r="D72" s="124">
        <f>D24+D27</f>
        <v>132.291</v>
      </c>
      <c r="E72" s="124">
        <f>E24+E27</f>
        <v>126.09</v>
      </c>
      <c r="F72" s="124">
        <f>F24+F27</f>
        <v>98.520999999999987</v>
      </c>
      <c r="G72" s="124">
        <f>G27+G24</f>
        <v>68.317000000000007</v>
      </c>
      <c r="H72" s="124">
        <f>H27+H24</f>
        <v>82.932000000000002</v>
      </c>
      <c r="I72" s="124">
        <f>I27+I24</f>
        <v>84.78</v>
      </c>
      <c r="J72" s="124">
        <f t="shared" ref="J72:M72" si="179">J73*J47</f>
        <v>84.475002046228553</v>
      </c>
      <c r="K72" s="124">
        <f t="shared" si="179"/>
        <v>87.005035475167716</v>
      </c>
      <c r="L72" s="124">
        <f t="shared" si="179"/>
        <v>101.70311339250088</v>
      </c>
      <c r="M72" s="124">
        <f t="shared" si="179"/>
        <v>117.51824523515805</v>
      </c>
      <c r="N72" s="124">
        <f t="shared" ref="N72:O72" si="180">N73*N47</f>
        <v>129.37556512173484</v>
      </c>
      <c r="O72" s="124">
        <f t="shared" si="180"/>
        <v>147.51342659374669</v>
      </c>
      <c r="P72" s="124">
        <f t="shared" ref="P72" si="181">P73*P47</f>
        <v>159.51439922439562</v>
      </c>
      <c r="Q72" s="124">
        <f t="shared" ref="Q72:V72" si="182">Q73*Q47</f>
        <v>166.07266941330482</v>
      </c>
      <c r="R72" s="124">
        <f t="shared" si="182"/>
        <v>167.70061922369058</v>
      </c>
      <c r="S72" s="124">
        <f t="shared" si="182"/>
        <v>181.32682574306205</v>
      </c>
      <c r="T72" s="124">
        <f t="shared" si="182"/>
        <v>193.22261785894349</v>
      </c>
      <c r="U72" s="124">
        <f t="shared" si="182"/>
        <v>203.52249617895515</v>
      </c>
      <c r="V72" s="133">
        <f t="shared" si="182"/>
        <v>212.27341337167667</v>
      </c>
    </row>
    <row r="73" spans="3:22" ht="12.75" customHeight="1" outlineLevel="1">
      <c r="C73" s="505" t="s">
        <v>300</v>
      </c>
      <c r="D73" s="126">
        <f t="shared" ref="D73:I73" si="183">D72/D47</f>
        <v>1.9826301985762456</v>
      </c>
      <c r="E73" s="126">
        <f t="shared" si="183"/>
        <v>2.6732673267326734</v>
      </c>
      <c r="F73" s="126">
        <f t="shared" si="183"/>
        <v>1.9485571883467492</v>
      </c>
      <c r="G73" s="125">
        <f t="shared" si="183"/>
        <v>1.662335450276176</v>
      </c>
      <c r="H73" s="125">
        <f t="shared" si="183"/>
        <v>1.7585614622871564</v>
      </c>
      <c r="I73" s="125">
        <f t="shared" si="183"/>
        <v>0.94292196814663221</v>
      </c>
      <c r="J73" s="129">
        <v>0.63</v>
      </c>
      <c r="K73" s="129">
        <v>0.2</v>
      </c>
      <c r="L73" s="129">
        <v>0.12</v>
      </c>
      <c r="M73" s="129">
        <v>0.09</v>
      </c>
      <c r="N73" s="129">
        <v>7.4999999999999997E-2</v>
      </c>
      <c r="O73" s="129">
        <v>7.0000000000000007E-2</v>
      </c>
      <c r="P73" s="129">
        <v>6.5000000000000002E-2</v>
      </c>
      <c r="Q73" s="129">
        <v>0.06</v>
      </c>
      <c r="R73" s="129">
        <v>5.5E-2</v>
      </c>
      <c r="S73" s="129">
        <f t="shared" ref="S73:V73" si="184">R73</f>
        <v>5.5E-2</v>
      </c>
      <c r="T73" s="129">
        <f t="shared" si="184"/>
        <v>5.5E-2</v>
      </c>
      <c r="U73" s="129">
        <f t="shared" si="184"/>
        <v>5.5E-2</v>
      </c>
      <c r="V73" s="134">
        <f t="shared" si="184"/>
        <v>5.5E-2</v>
      </c>
    </row>
    <row r="74" spans="3:22" ht="12.75" customHeight="1" outlineLevel="1">
      <c r="C74" s="499" t="s">
        <v>258</v>
      </c>
      <c r="D74" s="124">
        <f t="shared" ref="D74:I74" si="185">D22</f>
        <v>11.558</v>
      </c>
      <c r="E74" s="124">
        <f t="shared" si="185"/>
        <v>14.16</v>
      </c>
      <c r="F74" s="124">
        <f t="shared" si="185"/>
        <v>23.68</v>
      </c>
      <c r="G74" s="124">
        <f t="shared" si="185"/>
        <v>28.797999999999998</v>
      </c>
      <c r="H74" s="124">
        <f t="shared" si="185"/>
        <v>42.118000000000002</v>
      </c>
      <c r="I74" s="124">
        <f t="shared" si="185"/>
        <v>72.203000000000003</v>
      </c>
      <c r="J74" s="124">
        <f t="shared" ref="J74:M74" si="186">J49*J75</f>
        <v>79.038663723825735</v>
      </c>
      <c r="K74" s="124">
        <f t="shared" si="186"/>
        <v>80.644460178510059</v>
      </c>
      <c r="L74" s="124">
        <f t="shared" si="186"/>
        <v>84.542260078656312</v>
      </c>
      <c r="M74" s="124">
        <f t="shared" si="186"/>
        <v>85.067706520597639</v>
      </c>
      <c r="N74" s="124">
        <f t="shared" ref="N74:O74" si="187">N49*N75</f>
        <v>87.098272874778871</v>
      </c>
      <c r="O74" s="124">
        <f t="shared" si="187"/>
        <v>88.742359742405966</v>
      </c>
      <c r="P74" s="124">
        <f t="shared" ref="P74" si="188">P49*P75</f>
        <v>91.098626846253538</v>
      </c>
      <c r="Q74" s="124">
        <f t="shared" ref="Q74:V74" si="189">Q49*Q75</f>
        <v>92.669817421731437</v>
      </c>
      <c r="R74" s="124">
        <f t="shared" si="189"/>
        <v>93.449488609891432</v>
      </c>
      <c r="S74" s="124">
        <f t="shared" si="189"/>
        <v>93.683049931206682</v>
      </c>
      <c r="T74" s="124">
        <f t="shared" si="189"/>
        <v>93.390729548825561</v>
      </c>
      <c r="U74" s="124">
        <f t="shared" si="189"/>
        <v>92.60037030017142</v>
      </c>
      <c r="V74" s="133">
        <f t="shared" si="189"/>
        <v>91.337951117635612</v>
      </c>
    </row>
    <row r="75" spans="3:22" ht="12.75" customHeight="1" outlineLevel="1">
      <c r="C75" s="505" t="s">
        <v>303</v>
      </c>
      <c r="D75" s="125">
        <f t="shared" ref="D75:I75" si="190">D74/D49</f>
        <v>8.8107271632324818E-2</v>
      </c>
      <c r="E75" s="125">
        <f t="shared" si="190"/>
        <v>0.1010641714665011</v>
      </c>
      <c r="F75" s="125">
        <f t="shared" si="190"/>
        <v>0.10086252795229475</v>
      </c>
      <c r="G75" s="125">
        <f t="shared" si="190"/>
        <v>8.5427389092419273E-2</v>
      </c>
      <c r="H75" s="125">
        <f t="shared" si="190"/>
        <v>8.9281096183115513E-2</v>
      </c>
      <c r="I75" s="125">
        <f t="shared" si="190"/>
        <v>0.14521981182546995</v>
      </c>
      <c r="J75" s="129">
        <v>0.11</v>
      </c>
      <c r="K75" s="129">
        <v>0.1</v>
      </c>
      <c r="L75" s="129">
        <v>9.5000000000000001E-2</v>
      </c>
      <c r="M75" s="129">
        <v>0.09</v>
      </c>
      <c r="N75" s="129">
        <v>0.09</v>
      </c>
      <c r="O75" s="129">
        <v>0.09</v>
      </c>
      <c r="P75" s="129">
        <v>0.09</v>
      </c>
      <c r="Q75" s="129">
        <v>0.09</v>
      </c>
      <c r="R75" s="129">
        <v>0.09</v>
      </c>
      <c r="S75" s="129">
        <v>0.09</v>
      </c>
      <c r="T75" s="129">
        <v>0.09</v>
      </c>
      <c r="U75" s="129">
        <v>0.09</v>
      </c>
      <c r="V75" s="134">
        <v>0.09</v>
      </c>
    </row>
    <row r="76" spans="3:22" ht="12.75" customHeight="1" outlineLevel="1">
      <c r="C76" s="499" t="s">
        <v>305</v>
      </c>
      <c r="D76" s="124">
        <f t="shared" ref="D76:I76" si="191">D29</f>
        <v>4.2480000000000002</v>
      </c>
      <c r="E76" s="124">
        <f t="shared" si="191"/>
        <v>2.9249999999999998</v>
      </c>
      <c r="F76" s="124">
        <f t="shared" si="191"/>
        <v>5.431</v>
      </c>
      <c r="G76" s="124">
        <f t="shared" si="191"/>
        <v>6.7320000000000002</v>
      </c>
      <c r="H76" s="124">
        <f t="shared" si="191"/>
        <v>11.497999999999999</v>
      </c>
      <c r="I76" s="124">
        <f t="shared" si="191"/>
        <v>10.973000000000001</v>
      </c>
      <c r="J76" s="124">
        <f t="shared" ref="J76:M76" si="192">J77*J49</f>
        <v>17.963332664505852</v>
      </c>
      <c r="K76" s="124">
        <f t="shared" si="192"/>
        <v>18.145003540164762</v>
      </c>
      <c r="L76" s="124">
        <f t="shared" si="192"/>
        <v>17.798370542875013</v>
      </c>
      <c r="M76" s="124">
        <f t="shared" si="192"/>
        <v>18.903934782355034</v>
      </c>
      <c r="N76" s="124">
        <f t="shared" ref="N76:O76" si="193">N77*N49</f>
        <v>19.355171749950859</v>
      </c>
      <c r="O76" s="124">
        <f t="shared" si="193"/>
        <v>19.720524387201326</v>
      </c>
      <c r="P76" s="124">
        <f t="shared" ref="P76" si="194">P77*P49</f>
        <v>20.244139299167454</v>
      </c>
      <c r="Q76" s="124">
        <f t="shared" ref="Q76:V76" si="195">Q77*Q49</f>
        <v>20.593292760384767</v>
      </c>
      <c r="R76" s="124">
        <f t="shared" si="195"/>
        <v>20.766553024420318</v>
      </c>
      <c r="S76" s="124">
        <f t="shared" si="195"/>
        <v>20.81845554026815</v>
      </c>
      <c r="T76" s="124">
        <f t="shared" si="195"/>
        <v>20.753495455294569</v>
      </c>
      <c r="U76" s="124">
        <f t="shared" si="195"/>
        <v>20.577860066704762</v>
      </c>
      <c r="V76" s="133">
        <f t="shared" si="195"/>
        <v>20.297322470585691</v>
      </c>
    </row>
    <row r="77" spans="3:22" ht="12.75" customHeight="1" outlineLevel="1">
      <c r="C77" s="506" t="s">
        <v>303</v>
      </c>
      <c r="D77" s="165">
        <f t="shared" ref="D77:I77" si="196">D76/D49</f>
        <v>3.238273835387747E-2</v>
      </c>
      <c r="E77" s="165">
        <f t="shared" si="196"/>
        <v>2.0876603216067491E-2</v>
      </c>
      <c r="F77" s="165">
        <f t="shared" si="196"/>
        <v>2.3132786710680437E-2</v>
      </c>
      <c r="G77" s="165">
        <f t="shared" si="196"/>
        <v>1.9970039008617494E-2</v>
      </c>
      <c r="H77" s="165">
        <f t="shared" si="196"/>
        <v>2.437328562404345E-2</v>
      </c>
      <c r="I77" s="165">
        <f t="shared" si="196"/>
        <v>2.2069678478191791E-2</v>
      </c>
      <c r="J77" s="253">
        <v>2.5000000000000001E-2</v>
      </c>
      <c r="K77" s="253">
        <v>2.2499999999999999E-2</v>
      </c>
      <c r="L77" s="253">
        <v>0.02</v>
      </c>
      <c r="M77" s="253">
        <v>0.02</v>
      </c>
      <c r="N77" s="253">
        <v>0.02</v>
      </c>
      <c r="O77" s="253">
        <v>0.02</v>
      </c>
      <c r="P77" s="253">
        <v>0.02</v>
      </c>
      <c r="Q77" s="253">
        <f>P77</f>
        <v>0.02</v>
      </c>
      <c r="R77" s="253">
        <f t="shared" ref="R77:V77" si="197">Q77</f>
        <v>0.02</v>
      </c>
      <c r="S77" s="253">
        <f t="shared" si="197"/>
        <v>0.02</v>
      </c>
      <c r="T77" s="253">
        <f t="shared" si="197"/>
        <v>0.02</v>
      </c>
      <c r="U77" s="253">
        <f t="shared" si="197"/>
        <v>0.02</v>
      </c>
      <c r="V77" s="254">
        <f t="shared" si="197"/>
        <v>0.02</v>
      </c>
    </row>
    <row r="78" spans="3:22" ht="12.75" customHeight="1" outlineLevel="1">
      <c r="C78" s="92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</row>
    <row r="79" spans="3:22" ht="12.75" customHeight="1" outlineLevel="1">
      <c r="C79" s="501" t="s">
        <v>35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</row>
    <row r="80" spans="3:22" ht="12.75" customHeight="1" outlineLevel="1">
      <c r="C80" s="507" t="s">
        <v>364</v>
      </c>
      <c r="D80" s="127"/>
      <c r="E80" s="127"/>
      <c r="F80" s="131"/>
      <c r="G80" s="131">
        <f t="shared" ref="G80:O80" si="198">F85</f>
        <v>21.74</v>
      </c>
      <c r="H80" s="131">
        <f t="shared" si="198"/>
        <v>27.812000000000001</v>
      </c>
      <c r="I80" s="131">
        <f t="shared" si="198"/>
        <v>114.572</v>
      </c>
      <c r="J80" s="131">
        <f t="shared" si="198"/>
        <v>181.9</v>
      </c>
      <c r="K80" s="131">
        <f t="shared" si="198"/>
        <v>238.10052774078753</v>
      </c>
      <c r="L80" s="131">
        <f t="shared" si="198"/>
        <v>306.85801785775573</v>
      </c>
      <c r="M80" s="131">
        <f t="shared" si="198"/>
        <v>366.76861458289852</v>
      </c>
      <c r="N80" s="131">
        <f t="shared" si="198"/>
        <v>423.24423812006665</v>
      </c>
      <c r="O80" s="131">
        <f t="shared" si="198"/>
        <v>455.20012044317281</v>
      </c>
      <c r="P80" s="131">
        <f t="shared" ref="P80" si="199">O85</f>
        <v>489.08285245422741</v>
      </c>
      <c r="Q80" s="131">
        <f t="shared" ref="Q80" si="200">P85</f>
        <v>511.28580875437069</v>
      </c>
      <c r="R80" s="131">
        <f t="shared" ref="R80" si="201">Q85</f>
        <v>520.58957762561715</v>
      </c>
      <c r="S80" s="131">
        <f t="shared" ref="S80" si="202">R85</f>
        <v>518.2723376207332</v>
      </c>
      <c r="T80" s="131">
        <f t="shared" ref="T80" si="203">S85</f>
        <v>501.80129483810299</v>
      </c>
      <c r="U80" s="131">
        <f t="shared" ref="U80" si="204">T85</f>
        <v>481.30809880802155</v>
      </c>
      <c r="V80" s="132">
        <f t="shared" ref="V80" si="205">U85</f>
        <v>461.28236674317657</v>
      </c>
    </row>
    <row r="81" spans="3:22" ht="12.75" customHeight="1" outlineLevel="1">
      <c r="C81" s="499" t="s">
        <v>306</v>
      </c>
      <c r="D81" s="115"/>
      <c r="E81" s="115"/>
      <c r="F81" s="124">
        <f>-F53</f>
        <v>8.9610000000000003</v>
      </c>
      <c r="G81" s="124">
        <f>-G53</f>
        <v>12.95</v>
      </c>
      <c r="H81" s="124">
        <f>-H53</f>
        <v>64.557000000000002</v>
      </c>
      <c r="I81" s="124">
        <f>-I53</f>
        <v>104.209</v>
      </c>
      <c r="J81" s="124">
        <f t="shared" ref="J81:M81" si="206">J47*J82</f>
        <v>87.156748142934219</v>
      </c>
      <c r="K81" s="124">
        <f t="shared" si="206"/>
        <v>108.75629434395964</v>
      </c>
      <c r="L81" s="124">
        <f t="shared" si="206"/>
        <v>110.17837284187596</v>
      </c>
      <c r="M81" s="124">
        <f t="shared" si="206"/>
        <v>117.51824523515805</v>
      </c>
      <c r="N81" s="124">
        <f t="shared" ref="N81:O81" si="207">N47*N82</f>
        <v>103.50045209738786</v>
      </c>
      <c r="O81" s="124">
        <f t="shared" si="207"/>
        <v>115.90340660937238</v>
      </c>
      <c r="P81" s="124">
        <f t="shared" ref="P81" si="208">P47*P82</f>
        <v>115.34118097763991</v>
      </c>
      <c r="Q81" s="124">
        <f t="shared" ref="Q81:V81" si="209">Q47*Q82</f>
        <v>113.4829907657583</v>
      </c>
      <c r="R81" s="124">
        <f t="shared" si="209"/>
        <v>112.81678020502819</v>
      </c>
      <c r="S81" s="124">
        <f t="shared" si="209"/>
        <v>108.79609544583724</v>
      </c>
      <c r="T81" s="124">
        <f t="shared" si="209"/>
        <v>105.39415519578735</v>
      </c>
      <c r="U81" s="124">
        <f t="shared" si="209"/>
        <v>99.911043578759802</v>
      </c>
      <c r="V81" s="133">
        <f t="shared" si="209"/>
        <v>96.487915168943942</v>
      </c>
    </row>
    <row r="82" spans="3:22" ht="12.75" customHeight="1" outlineLevel="1">
      <c r="C82" s="505" t="s">
        <v>298</v>
      </c>
      <c r="D82" s="115"/>
      <c r="E82" s="115"/>
      <c r="F82" s="125">
        <f>F81/F47</f>
        <v>0.17723146298530487</v>
      </c>
      <c r="G82" s="125">
        <f>G81/G47</f>
        <v>0.31510815874638048</v>
      </c>
      <c r="H82" s="125">
        <f>H81/H47</f>
        <v>1.3689221569583749</v>
      </c>
      <c r="I82" s="125">
        <f>I81/I47</f>
        <v>1.1590110330100543</v>
      </c>
      <c r="J82" s="129">
        <v>0.65</v>
      </c>
      <c r="K82" s="129">
        <v>0.25</v>
      </c>
      <c r="L82" s="129">
        <v>0.13</v>
      </c>
      <c r="M82" s="129">
        <v>0.09</v>
      </c>
      <c r="N82" s="129">
        <v>0.06</v>
      </c>
      <c r="O82" s="129">
        <v>5.5E-2</v>
      </c>
      <c r="P82" s="129">
        <v>4.7E-2</v>
      </c>
      <c r="Q82" s="129">
        <v>4.1000000000000002E-2</v>
      </c>
      <c r="R82" s="129">
        <v>3.6999999999999998E-2</v>
      </c>
      <c r="S82" s="129">
        <v>3.3000000000000002E-2</v>
      </c>
      <c r="T82" s="129">
        <v>0.03</v>
      </c>
      <c r="U82" s="129">
        <v>2.7E-2</v>
      </c>
      <c r="V82" s="134">
        <v>2.5000000000000001E-2</v>
      </c>
    </row>
    <row r="83" spans="3:22" ht="12.75" customHeight="1" outlineLevel="1">
      <c r="C83" s="499" t="s">
        <v>307</v>
      </c>
      <c r="D83" s="124"/>
      <c r="E83" s="124"/>
      <c r="F83" s="124">
        <f>-CF!E8</f>
        <v>-11.926</v>
      </c>
      <c r="G83" s="124">
        <f>-CF!F8</f>
        <v>-19.05</v>
      </c>
      <c r="H83" s="124">
        <f>-CF!G8</f>
        <v>-15.13</v>
      </c>
      <c r="I83" s="124">
        <f>-CF!H8</f>
        <v>-13.367000000000001</v>
      </c>
      <c r="J83" s="124">
        <f>-CF!I8</f>
        <v>-30.956220402146709</v>
      </c>
      <c r="K83" s="124">
        <f>-CF!J8</f>
        <v>-39.998804226991403</v>
      </c>
      <c r="L83" s="124">
        <f>-CF!K8</f>
        <v>-50.267776116733181</v>
      </c>
      <c r="M83" s="124">
        <f>-CF!L8</f>
        <v>-61.042621697989887</v>
      </c>
      <c r="N83" s="124">
        <f>-CF!M8</f>
        <v>-71.544569774281683</v>
      </c>
      <c r="O83" s="124">
        <f>-CF!N8</f>
        <v>-82.02067459831774</v>
      </c>
      <c r="P83" s="124">
        <f>-CF!O8</f>
        <v>-93.138224677496595</v>
      </c>
      <c r="Q83" s="124">
        <f>-CF!P8</f>
        <v>-104.17922189451194</v>
      </c>
      <c r="R83" s="124">
        <f>-CF!Q8</f>
        <v>-115.13402020991214</v>
      </c>
      <c r="S83" s="124">
        <f>-CF!R8</f>
        <v>-125.26713822846742</v>
      </c>
      <c r="T83" s="124">
        <f>-CF!S8</f>
        <v>-125.88735122586876</v>
      </c>
      <c r="U83" s="124">
        <f>-CF!T8</f>
        <v>-119.93677564360482</v>
      </c>
      <c r="V83" s="133">
        <f>-CF!U8</f>
        <v>-103.11269355366751</v>
      </c>
    </row>
    <row r="84" spans="3:22" ht="12.75" customHeight="1" outlineLevel="1">
      <c r="C84" s="499" t="s">
        <v>308</v>
      </c>
      <c r="D84" s="115"/>
      <c r="E84" s="115"/>
      <c r="F84" s="115"/>
      <c r="G84" s="130"/>
      <c r="H84" s="130">
        <v>0</v>
      </c>
      <c r="I84" s="130">
        <v>0</v>
      </c>
      <c r="J84" s="130">
        <v>0</v>
      </c>
      <c r="K84" s="130">
        <v>0</v>
      </c>
      <c r="L84" s="130">
        <v>0</v>
      </c>
      <c r="M84" s="130">
        <v>0</v>
      </c>
      <c r="N84" s="130">
        <v>0</v>
      </c>
      <c r="O84" s="130">
        <v>0</v>
      </c>
      <c r="P84" s="130">
        <v>0</v>
      </c>
      <c r="Q84" s="130">
        <v>0</v>
      </c>
      <c r="R84" s="130">
        <v>0</v>
      </c>
      <c r="S84" s="130">
        <v>0</v>
      </c>
      <c r="T84" s="130">
        <v>0</v>
      </c>
      <c r="U84" s="130">
        <v>0</v>
      </c>
      <c r="V84" s="135">
        <v>0</v>
      </c>
    </row>
    <row r="85" spans="3:22" ht="12.75" customHeight="1" outlineLevel="1">
      <c r="C85" s="508" t="s">
        <v>309</v>
      </c>
      <c r="D85" s="128"/>
      <c r="E85" s="128"/>
      <c r="F85" s="138">
        <f>F16</f>
        <v>21.74</v>
      </c>
      <c r="G85" s="138">
        <f>G16</f>
        <v>27.812000000000001</v>
      </c>
      <c r="H85" s="136">
        <f>H16</f>
        <v>114.572</v>
      </c>
      <c r="I85" s="136">
        <f>I16</f>
        <v>181.9</v>
      </c>
      <c r="J85" s="136">
        <f t="shared" ref="J85:M85" si="210">J80+J81+J83+J84</f>
        <v>238.10052774078753</v>
      </c>
      <c r="K85" s="136">
        <f t="shared" si="210"/>
        <v>306.85801785775573</v>
      </c>
      <c r="L85" s="136">
        <f t="shared" si="210"/>
        <v>366.76861458289852</v>
      </c>
      <c r="M85" s="136">
        <f t="shared" si="210"/>
        <v>423.24423812006665</v>
      </c>
      <c r="N85" s="136">
        <f t="shared" ref="N85:O85" si="211">N80+N81+N83+N84</f>
        <v>455.20012044317281</v>
      </c>
      <c r="O85" s="136">
        <f t="shared" si="211"/>
        <v>489.08285245422741</v>
      </c>
      <c r="P85" s="136">
        <f t="shared" ref="P85" si="212">P80+P81+P83+P84</f>
        <v>511.28580875437069</v>
      </c>
      <c r="Q85" s="136">
        <f t="shared" ref="Q85:V85" si="213">Q80+Q81+Q83+Q84</f>
        <v>520.58957762561715</v>
      </c>
      <c r="R85" s="136">
        <f t="shared" si="213"/>
        <v>518.2723376207332</v>
      </c>
      <c r="S85" s="136">
        <f t="shared" si="213"/>
        <v>501.80129483810299</v>
      </c>
      <c r="T85" s="136">
        <f t="shared" si="213"/>
        <v>481.30809880802155</v>
      </c>
      <c r="U85" s="136">
        <f t="shared" si="213"/>
        <v>461.28236674317657</v>
      </c>
      <c r="V85" s="137">
        <f t="shared" si="213"/>
        <v>454.65758835845298</v>
      </c>
    </row>
    <row r="86" spans="3:22" ht="12.75" customHeight="1" outlineLevel="1">
      <c r="C86" s="256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</row>
    <row r="87" spans="3:22" ht="12.75" customHeight="1" outlineLevel="1">
      <c r="C87" s="501" t="s">
        <v>282</v>
      </c>
      <c r="D87" s="115"/>
      <c r="E87" s="115"/>
      <c r="F87" s="141">
        <v>10</v>
      </c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</row>
    <row r="88" spans="3:22" ht="12.75" customHeight="1" outlineLevel="1">
      <c r="C88" s="509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</row>
    <row r="89" spans="3:22" ht="12.75" customHeight="1" outlineLevel="1">
      <c r="C89" s="499" t="s">
        <v>45</v>
      </c>
      <c r="D89" s="115"/>
      <c r="E89" s="115"/>
      <c r="F89" s="140">
        <f>F108-SUM(F90:F97)</f>
        <v>11.47795</v>
      </c>
      <c r="G89" s="140">
        <f t="shared" ref="G89:O89" si="214">F89-F89*(1/$F$87)</f>
        <v>10.330155</v>
      </c>
      <c r="H89" s="140">
        <f t="shared" si="214"/>
        <v>9.2971395000000001</v>
      </c>
      <c r="I89" s="140">
        <f t="shared" si="214"/>
        <v>8.3674255500000001</v>
      </c>
      <c r="J89" s="140">
        <f t="shared" si="214"/>
        <v>7.5306829950000003</v>
      </c>
      <c r="K89" s="140">
        <f t="shared" si="214"/>
        <v>6.7776146955000005</v>
      </c>
      <c r="L89" s="140">
        <f t="shared" si="214"/>
        <v>6.0998532259500005</v>
      </c>
      <c r="M89" s="140">
        <f t="shared" si="214"/>
        <v>5.489867903355</v>
      </c>
      <c r="N89" s="140">
        <f t="shared" si="214"/>
        <v>4.9408811130194996</v>
      </c>
      <c r="O89" s="140">
        <f t="shared" si="214"/>
        <v>4.4467930017175501</v>
      </c>
      <c r="P89" s="140">
        <f t="shared" ref="P89" si="215">O89-O89*(1/$F$87)</f>
        <v>4.0021137015457953</v>
      </c>
      <c r="Q89" s="140">
        <f t="shared" ref="Q89" si="216">P89-P89*(1/$F$87)</f>
        <v>3.6019023313912157</v>
      </c>
      <c r="R89" s="140">
        <f t="shared" ref="R89" si="217">Q89-Q89*(1/$F$87)</f>
        <v>3.2417120982520942</v>
      </c>
      <c r="S89" s="140">
        <f t="shared" ref="S89" si="218">R89-R89*(1/$F$87)</f>
        <v>2.9175408884268847</v>
      </c>
      <c r="T89" s="140">
        <f t="shared" ref="T89" si="219">S89-S89*(1/$F$87)</f>
        <v>2.6257867995841964</v>
      </c>
      <c r="U89" s="140">
        <f t="shared" ref="U89" si="220">T89-T89*(1/$F$87)</f>
        <v>2.3632081196257766</v>
      </c>
      <c r="V89" s="140">
        <f t="shared" ref="V89" si="221">U89-U89*(1/$F$87)</f>
        <v>2.1268873076631989</v>
      </c>
    </row>
    <row r="90" spans="3:22" ht="12.75" customHeight="1" outlineLevel="1">
      <c r="C90" s="499" t="s">
        <v>310</v>
      </c>
      <c r="D90" s="115"/>
      <c r="E90" s="115"/>
      <c r="F90" s="124">
        <f>F$81/$F$87/2</f>
        <v>0.44805</v>
      </c>
      <c r="G90" s="124">
        <f>MAX(0,MIN($F$90*2,G$81-SUM($F90:F90)))</f>
        <v>0.89610000000000001</v>
      </c>
      <c r="H90" s="124">
        <f>MAX(0,MIN($F$90*2,H$81-SUM($F90:G90)))</f>
        <v>0.89610000000000001</v>
      </c>
      <c r="I90" s="124">
        <f>MAX(0,MIN($F$90*2,I$81-SUM($F90:H90)))</f>
        <v>0.89610000000000001</v>
      </c>
      <c r="J90" s="124">
        <f>MAX(0,MIN($F$90*2,J$81-SUM($F90:I90)))</f>
        <v>0.89610000000000001</v>
      </c>
      <c r="K90" s="124">
        <f>MAX(0,MIN($F$90*2,K$81-SUM($F90:J90)))</f>
        <v>0.89610000000000001</v>
      </c>
      <c r="L90" s="124">
        <f>MAX(0,MIN($F$90*2,L$81-SUM($F90:K90)))</f>
        <v>0.89610000000000001</v>
      </c>
      <c r="M90" s="124">
        <f>MAX(0,MIN($F$90*2,M$81-SUM($F90:L90)))</f>
        <v>0.89610000000000001</v>
      </c>
      <c r="N90" s="124">
        <f>MAX(0,MIN($F$90*2,N$81-SUM($F90:M90)))</f>
        <v>0.89610000000000001</v>
      </c>
      <c r="O90" s="124">
        <f>MAX(0,MIN($F$90*2,O$81-SUM($F90:N90)))</f>
        <v>0.89610000000000001</v>
      </c>
      <c r="P90" s="124">
        <f>MAX(0,MIN($F$90*2,P$81-SUM($F90:O90)))</f>
        <v>0.89610000000000001</v>
      </c>
      <c r="Q90" s="124">
        <f>MAX(0,MIN($F$90*2,Q$81-SUM($F90:P90)))</f>
        <v>0.89610000000000001</v>
      </c>
      <c r="R90" s="124">
        <f>MAX(0,MIN($F$90*2,R$81-SUM($F90:Q90)))</f>
        <v>0.89610000000000001</v>
      </c>
      <c r="S90" s="124">
        <f>MAX(0,MIN($F$90*2,S$81-SUM($F90:R90)))</f>
        <v>0.89610000000000001</v>
      </c>
      <c r="T90" s="124">
        <f>MAX(0,MIN($F$90*2,T$81-SUM($F90:S90)))</f>
        <v>0.89610000000000001</v>
      </c>
      <c r="U90" s="124">
        <f>MAX(0,MIN($F$90*2,U$81-SUM($F90:T90)))</f>
        <v>0.89610000000000001</v>
      </c>
      <c r="V90" s="124">
        <f>MAX(0,MIN($F$90*2,V$81-SUM($F90:U90)))</f>
        <v>0.89610000000000001</v>
      </c>
    </row>
    <row r="91" spans="3:22" ht="12.75" customHeight="1" outlineLevel="1">
      <c r="C91" s="499" t="s">
        <v>311</v>
      </c>
      <c r="D91" s="115"/>
      <c r="E91" s="115"/>
      <c r="F91" s="115"/>
      <c r="G91" s="124">
        <f>G$81/$F$87/2</f>
        <v>0.64749999999999996</v>
      </c>
      <c r="H91" s="124">
        <f>MAX(0,MIN($G$91*2,H$81-SUM($G91:G91)))</f>
        <v>1.2949999999999999</v>
      </c>
      <c r="I91" s="124">
        <f>MAX(0,MIN($G$91*2,I$81-SUM($G91:H91)))</f>
        <v>1.2949999999999999</v>
      </c>
      <c r="J91" s="124">
        <f>MAX(0,MIN($G$91*2,J$81-SUM($G91:I91)))</f>
        <v>1.2949999999999999</v>
      </c>
      <c r="K91" s="124">
        <f>MAX(0,MIN($G$91*2,K$81-SUM($G91:J91)))</f>
        <v>1.2949999999999999</v>
      </c>
      <c r="L91" s="124">
        <f>MAX(0,MIN($G$91*2,L$81-SUM($G91:K91)))</f>
        <v>1.2949999999999999</v>
      </c>
      <c r="M91" s="124">
        <f>MAX(0,MIN($G$91*2,M$81-SUM($G91:L91)))</f>
        <v>1.2949999999999999</v>
      </c>
      <c r="N91" s="124">
        <f>MAX(0,MIN($G$91*2,N$81-SUM($G91:M91)))</f>
        <v>1.2949999999999999</v>
      </c>
      <c r="O91" s="124">
        <f>MAX(0,MIN($G$91*2,O$81-SUM($G91:N91)))</f>
        <v>1.2949999999999999</v>
      </c>
      <c r="P91" s="124">
        <f>MAX(0,MIN($G$91*2,P$81-SUM($G91:O91)))</f>
        <v>1.2949999999999999</v>
      </c>
      <c r="Q91" s="124">
        <f>MAX(0,MIN($G$91*2,Q$81-SUM($G91:P91)))</f>
        <v>1.2949999999999999</v>
      </c>
      <c r="R91" s="124">
        <f>MAX(0,MIN($G$91*2,R$81-SUM($G91:Q91)))</f>
        <v>1.2949999999999999</v>
      </c>
      <c r="S91" s="124">
        <f>MAX(0,MIN($G$91*2,S$81-SUM($G91:R91)))</f>
        <v>1.2949999999999999</v>
      </c>
      <c r="T91" s="124">
        <f>MAX(0,MIN($G$91*2,T$81-SUM($G91:S91)))</f>
        <v>1.2949999999999999</v>
      </c>
      <c r="U91" s="124">
        <f>MAX(0,MIN($G$91*2,U$81-SUM($G91:T91)))</f>
        <v>1.2949999999999999</v>
      </c>
      <c r="V91" s="124">
        <f>MAX(0,MIN($G$91*2,V$81-SUM($G91:U91)))</f>
        <v>1.2949999999999999</v>
      </c>
    </row>
    <row r="92" spans="3:22" ht="12.75" customHeight="1" outlineLevel="1">
      <c r="C92" s="499" t="s">
        <v>312</v>
      </c>
      <c r="D92" s="115"/>
      <c r="E92" s="115"/>
      <c r="F92" s="115"/>
      <c r="G92" s="115"/>
      <c r="H92" s="124">
        <f>H$81/$F$87/2</f>
        <v>3.2278500000000001</v>
      </c>
      <c r="I92" s="124">
        <f>MAX(0,MIN($H$92*2,I$81-SUM($H92:H92)))</f>
        <v>6.4557000000000002</v>
      </c>
      <c r="J92" s="124">
        <f>MAX(0,MIN($H$92*2,J$81-SUM($H92:I92)))</f>
        <v>6.4557000000000002</v>
      </c>
      <c r="K92" s="124">
        <f>MAX(0,MIN($H$92*2,K$81-SUM($H92:J92)))</f>
        <v>6.4557000000000002</v>
      </c>
      <c r="L92" s="124">
        <f>MAX(0,MIN($H$92*2,L$81-SUM($H92:K92)))</f>
        <v>6.4557000000000002</v>
      </c>
      <c r="M92" s="124">
        <f>MAX(0,MIN($H$92*2,M$81-SUM($H92:L92)))</f>
        <v>6.4557000000000002</v>
      </c>
      <c r="N92" s="124">
        <f>MAX(0,MIN($H$92*2,N$81-SUM($H92:M92)))</f>
        <v>6.4557000000000002</v>
      </c>
      <c r="O92" s="124">
        <f>MAX(0,MIN($H$92*2,O$81-SUM($H92:N92)))</f>
        <v>6.4557000000000002</v>
      </c>
      <c r="P92" s="124">
        <f>MAX(0,MIN($H$92*2,P$81-SUM($H92:O92)))</f>
        <v>6.4557000000000002</v>
      </c>
      <c r="Q92" s="124">
        <f>MAX(0,MIN($H$92*2,Q$81-SUM($H92:P92)))</f>
        <v>6.4557000000000002</v>
      </c>
      <c r="R92" s="124">
        <f>MAX(0,MIN($H$92*2,R$81-SUM($H92:Q92)))</f>
        <v>6.4557000000000002</v>
      </c>
      <c r="S92" s="124">
        <f>MAX(0,MIN($H$92*2,S$81-SUM($H92:R92)))</f>
        <v>6.4557000000000002</v>
      </c>
      <c r="T92" s="124">
        <f>MAX(0,MIN($H$92*2,T$81-SUM($H92:S92)))</f>
        <v>6.4557000000000002</v>
      </c>
      <c r="U92" s="124">
        <f>MAX(0,MIN($H$92*2,U$81-SUM($H92:T92)))</f>
        <v>6.4557000000000002</v>
      </c>
      <c r="V92" s="124">
        <f>MAX(0,MIN($H$92*2,V$81-SUM($H92:U92)))</f>
        <v>6.4557000000000002</v>
      </c>
    </row>
    <row r="93" spans="3:22" ht="12.75" customHeight="1" outlineLevel="1">
      <c r="C93" s="499" t="s">
        <v>313</v>
      </c>
      <c r="D93" s="115"/>
      <c r="E93" s="115"/>
      <c r="F93" s="115"/>
      <c r="G93" s="115"/>
      <c r="H93" s="115"/>
      <c r="I93" s="124">
        <f>I$81/$F$87/2</f>
        <v>5.2104499999999998</v>
      </c>
      <c r="J93" s="124">
        <f>MAX(0,MIN($I$93*2,J$81-SUM($I93:I93)))</f>
        <v>10.4209</v>
      </c>
      <c r="K93" s="124">
        <f>MAX(0,MIN($I$93*2,K$81-SUM($I93:J93)))</f>
        <v>10.4209</v>
      </c>
      <c r="L93" s="124">
        <f>MAX(0,MIN($I$93*2,L$81-SUM($I93:K93)))</f>
        <v>10.4209</v>
      </c>
      <c r="M93" s="124">
        <f>MAX(0,MIN($I$93*2,M$81-SUM($I93:L93)))</f>
        <v>10.4209</v>
      </c>
      <c r="N93" s="124">
        <f>MAX(0,MIN($I$93*2,N$81-SUM($I93:M93)))</f>
        <v>10.4209</v>
      </c>
      <c r="O93" s="124">
        <f>MAX(0,MIN($I$93*2,O$81-SUM($I93:N93)))</f>
        <v>10.4209</v>
      </c>
      <c r="P93" s="124">
        <f>MAX(0,MIN($I$93*2,P$81-SUM($I93:O93)))</f>
        <v>10.4209</v>
      </c>
      <c r="Q93" s="124">
        <f>MAX(0,MIN($I$93*2,Q$81-SUM($I93:P93)))</f>
        <v>10.4209</v>
      </c>
      <c r="R93" s="124">
        <f>MAX(0,MIN($I$93*2,R$81-SUM($I93:Q93)))</f>
        <v>10.4209</v>
      </c>
      <c r="S93" s="124">
        <f>MAX(0,MIN($I$93*2,S$81-SUM($I93:R93)))</f>
        <v>9.7975454458372155</v>
      </c>
      <c r="T93" s="124">
        <f>MAX(0,MIN($I$93*2,T$81-SUM($I93:S93)))</f>
        <v>0</v>
      </c>
      <c r="U93" s="124">
        <f>MAX(0,MIN($I$93*2,U$81-SUM($I93:T93)))</f>
        <v>0</v>
      </c>
      <c r="V93" s="124">
        <f>MAX(0,MIN($I$93*2,V$81-SUM($I93:U93)))</f>
        <v>0</v>
      </c>
    </row>
    <row r="94" spans="3:22" ht="12.75" customHeight="1" outlineLevel="1">
      <c r="C94" s="499" t="s">
        <v>314</v>
      </c>
      <c r="D94" s="115"/>
      <c r="E94" s="115"/>
      <c r="F94" s="115"/>
      <c r="G94" s="115"/>
      <c r="H94" s="115"/>
      <c r="I94" s="115"/>
      <c r="J94" s="124">
        <f>J$81/$F$87/2</f>
        <v>4.357837407146711</v>
      </c>
      <c r="K94" s="124">
        <f>MAX(0,MIN($J$94*2,K$81-SUM($J94:J94)))</f>
        <v>8.7156748142934219</v>
      </c>
      <c r="L94" s="124">
        <f>MAX(0,MIN($J$94*2,L$81-SUM($J94:K94)))</f>
        <v>8.7156748142934219</v>
      </c>
      <c r="M94" s="124">
        <f>MAX(0,MIN($J$94*2,M$81-SUM($J94:L94)))</f>
        <v>8.7156748142934219</v>
      </c>
      <c r="N94" s="124">
        <f>MAX(0,MIN($J$94*2,N$81-SUM($J94:M94)))</f>
        <v>8.7156748142934219</v>
      </c>
      <c r="O94" s="124">
        <f>MAX(0,MIN($J$94*2,O$81-SUM($J94:N94)))</f>
        <v>8.7156748142934219</v>
      </c>
      <c r="P94" s="124">
        <f>MAX(0,MIN($J$94*2,P$81-SUM($J94:O94)))</f>
        <v>8.7156748142934219</v>
      </c>
      <c r="Q94" s="124">
        <f>MAX(0,MIN($J$94*2,Q$81-SUM($J94:P94)))</f>
        <v>8.7156748142934219</v>
      </c>
      <c r="R94" s="124">
        <f>MAX(0,MIN($J$94*2,R$81-SUM($J94:Q94)))</f>
        <v>8.7156748142934219</v>
      </c>
      <c r="S94" s="124">
        <f>MAX(0,MIN($J$94*2,S$81-SUM($J94:R94)))</f>
        <v>8.7156748142934219</v>
      </c>
      <c r="T94" s="124">
        <f>MAX(0,MIN($J$94*2,T$81-SUM($J94:S94)))</f>
        <v>8.7156748142934219</v>
      </c>
      <c r="U94" s="124">
        <f>MAX(0,MIN($J$94*2,U$81-SUM($J94:T94)))</f>
        <v>8.3964580286788788</v>
      </c>
      <c r="V94" s="124">
        <f>MAX(0,MIN($J$94*2,V$81-SUM($J94:U94)))</f>
        <v>0</v>
      </c>
    </row>
    <row r="95" spans="3:22" ht="12.75" customHeight="1" outlineLevel="1">
      <c r="C95" s="499" t="s">
        <v>315</v>
      </c>
      <c r="D95" s="115"/>
      <c r="E95" s="115"/>
      <c r="F95" s="115"/>
      <c r="G95" s="115"/>
      <c r="H95" s="115"/>
      <c r="I95" s="115"/>
      <c r="J95" s="115"/>
      <c r="K95" s="124">
        <f>K$81/$F$87/2</f>
        <v>5.4378147171979823</v>
      </c>
      <c r="L95" s="124">
        <f>MAX(0,MIN($K$95*2,L$81-SUM($K95:K95)))</f>
        <v>10.875629434395965</v>
      </c>
      <c r="M95" s="124">
        <f>MAX(0,MIN($K$95*2,M$81-SUM($K95:L95)))</f>
        <v>10.875629434395965</v>
      </c>
      <c r="N95" s="124">
        <f>MAX(0,MIN($K$95*2,N$81-SUM($K95:M95)))</f>
        <v>10.875629434395965</v>
      </c>
      <c r="O95" s="124">
        <f>MAX(0,MIN($K$95*2,O$81-SUM($K95:N95)))</f>
        <v>10.875629434395965</v>
      </c>
      <c r="P95" s="124">
        <f>MAX(0,MIN($K$95*2,P$81-SUM($K95:O95)))</f>
        <v>10.875629434395965</v>
      </c>
      <c r="Q95" s="124">
        <f>MAX(0,MIN($K$95*2,Q$81-SUM($K95:P95)))</f>
        <v>10.875629434395965</v>
      </c>
      <c r="R95" s="124">
        <f>MAX(0,MIN($K$95*2,R$81-SUM($K95:Q95)))</f>
        <v>10.875629434395965</v>
      </c>
      <c r="S95" s="124">
        <f>MAX(0,MIN($K$95*2,S$81-SUM($K95:R95)))</f>
        <v>10.875629434395965</v>
      </c>
      <c r="T95" s="124">
        <f>MAX(0,MIN($K$95*2,T$81-SUM($K95:S95)))</f>
        <v>10.875629434395965</v>
      </c>
      <c r="U95" s="124">
        <f>MAX(0,MIN($K$95*2,U$81-SUM($K95:T95)))</f>
        <v>0</v>
      </c>
      <c r="V95" s="124">
        <f>MAX(0,MIN($K$95*2,V$81-SUM($K95:U95)))</f>
        <v>0</v>
      </c>
    </row>
    <row r="96" spans="3:22" ht="12.75" customHeight="1" outlineLevel="1">
      <c r="C96" s="499" t="s">
        <v>316</v>
      </c>
      <c r="D96" s="115"/>
      <c r="E96" s="115"/>
      <c r="F96" s="115"/>
      <c r="G96" s="115"/>
      <c r="H96" s="115"/>
      <c r="I96" s="115"/>
      <c r="J96" s="115"/>
      <c r="K96" s="115"/>
      <c r="L96" s="124">
        <f>L$81/$F$87/2</f>
        <v>5.5089186420937981</v>
      </c>
      <c r="M96" s="124">
        <f>MAX(0,MIN($L$96*2,M$81-SUM($L96:L96)))</f>
        <v>11.017837284187596</v>
      </c>
      <c r="N96" s="124">
        <f>MAX(0,MIN($L$96*2,N$81-SUM($L96:M96)))</f>
        <v>11.017837284187596</v>
      </c>
      <c r="O96" s="124">
        <f>MAX(0,MIN($L$96*2,O$81-SUM($L96:N96)))</f>
        <v>11.017837284187596</v>
      </c>
      <c r="P96" s="124">
        <f>MAX(0,MIN($L$96*2,P$81-SUM($L96:O96)))</f>
        <v>11.017837284187596</v>
      </c>
      <c r="Q96" s="124">
        <f>MAX(0,MIN($L$96*2,Q$81-SUM($L96:P96)))</f>
        <v>11.017837284187596</v>
      </c>
      <c r="R96" s="124">
        <f>MAX(0,MIN($L$96*2,R$81-SUM($L96:Q96)))</f>
        <v>11.017837284187596</v>
      </c>
      <c r="S96" s="124">
        <f>MAX(0,MIN($L$96*2,S$81-SUM($L96:R96)))</f>
        <v>11.017837284187596</v>
      </c>
      <c r="T96" s="124">
        <f>MAX(0,MIN($L$96*2,T$81-SUM($L96:S96)))</f>
        <v>11.017837284187596</v>
      </c>
      <c r="U96" s="124">
        <f>MAX(0,MIN($L$96*2,U$81-SUM($L96:T96)))</f>
        <v>6.2594266631652431</v>
      </c>
      <c r="V96" s="124">
        <f>MAX(0,MIN($L$96*2,V$81-SUM($L96:U96)))</f>
        <v>0</v>
      </c>
    </row>
    <row r="97" spans="3:22" ht="12.75" customHeight="1" outlineLevel="1">
      <c r="C97" s="499" t="s">
        <v>318</v>
      </c>
      <c r="D97" s="115"/>
      <c r="E97" s="115"/>
      <c r="F97" s="115"/>
      <c r="G97" s="115"/>
      <c r="H97" s="115"/>
      <c r="I97" s="115"/>
      <c r="J97" s="115"/>
      <c r="K97" s="115"/>
      <c r="L97" s="115"/>
      <c r="M97" s="124">
        <f>M$81/$F$87/2</f>
        <v>5.875912261757902</v>
      </c>
      <c r="N97" s="124">
        <f>MAX(0,MIN($M$97*2,N$81-SUM($M97:M97)))</f>
        <v>11.751824523515804</v>
      </c>
      <c r="O97" s="124">
        <f>MAX(0,MIN($M$97*2,O$81-SUM($M97:N97)))</f>
        <v>11.751824523515804</v>
      </c>
      <c r="P97" s="124">
        <f>MAX(0,MIN($M$97*2,P$81-SUM($M97:O97)))</f>
        <v>11.751824523515804</v>
      </c>
      <c r="Q97" s="124">
        <f>MAX(0,MIN($M$97*2,Q$81-SUM($M97:P97)))</f>
        <v>11.751824523515804</v>
      </c>
      <c r="R97" s="124">
        <f>MAX(0,MIN($M$97*2,R$81-SUM($M97:Q97)))</f>
        <v>11.751824523515804</v>
      </c>
      <c r="S97" s="124">
        <f>MAX(0,MIN($M$97*2,S$81-SUM($M97:R97)))</f>
        <v>11.751824523515804</v>
      </c>
      <c r="T97" s="124">
        <f>MAX(0,MIN($M$97*2,T$81-SUM($M97:S97)))</f>
        <v>11.751824523515804</v>
      </c>
      <c r="U97" s="124">
        <f>MAX(0,MIN($M$97*2,U$81-SUM($M97:T97)))</f>
        <v>11.751824523515804</v>
      </c>
      <c r="V97" s="124">
        <f>MAX(0,MIN($M$97*2,V$81-SUM($M97:U97)))</f>
        <v>0</v>
      </c>
    </row>
    <row r="98" spans="3:22" ht="12.75" customHeight="1" outlineLevel="1">
      <c r="C98" s="499" t="s">
        <v>371</v>
      </c>
      <c r="D98" s="115"/>
      <c r="E98" s="115"/>
      <c r="F98" s="115"/>
      <c r="G98" s="115"/>
      <c r="H98" s="115"/>
      <c r="I98" s="115"/>
      <c r="J98" s="115"/>
      <c r="K98" s="115"/>
      <c r="L98" s="115"/>
      <c r="M98" s="124"/>
      <c r="N98" s="124">
        <f>N$81/$F$87/2</f>
        <v>5.175022604869393</v>
      </c>
      <c r="O98" s="124">
        <f>MAX(0,MIN($N$98*2,O$81-SUM($N98:N98)))</f>
        <v>10.350045209738786</v>
      </c>
      <c r="P98" s="124">
        <f>MAX(0,MIN($N$98*2,P$81-SUM($N98:O98)))</f>
        <v>10.350045209738786</v>
      </c>
      <c r="Q98" s="124">
        <f>MAX(0,MIN($N$98*2,Q$81-SUM($N98:P98)))</f>
        <v>10.350045209738786</v>
      </c>
      <c r="R98" s="124">
        <f>MAX(0,MIN($N$98*2,R$81-SUM($N98:Q98)))</f>
        <v>10.350045209738786</v>
      </c>
      <c r="S98" s="124">
        <f>MAX(0,MIN($N$98*2,S$81-SUM($N98:R98)))</f>
        <v>10.350045209738786</v>
      </c>
      <c r="T98" s="124">
        <f>MAX(0,MIN($N$98*2,T$81-SUM($N98:S98)))</f>
        <v>10.350045209738786</v>
      </c>
      <c r="U98" s="124">
        <f>MAX(0,MIN($N$98*2,U$81-SUM($N98:T98)))</f>
        <v>10.350045209738786</v>
      </c>
      <c r="V98" s="124">
        <f>MAX(0,MIN($N$98*2,V$81-SUM($N98:U98)))</f>
        <v>10.350045209738786</v>
      </c>
    </row>
    <row r="99" spans="3:22" ht="12.75" customHeight="1" outlineLevel="1">
      <c r="C99" s="499" t="s">
        <v>372</v>
      </c>
      <c r="D99" s="115"/>
      <c r="E99" s="115"/>
      <c r="F99" s="115"/>
      <c r="G99" s="115"/>
      <c r="H99" s="115"/>
      <c r="I99" s="115"/>
      <c r="J99" s="115"/>
      <c r="K99" s="115"/>
      <c r="L99" s="115"/>
      <c r="M99" s="124"/>
      <c r="N99" s="124"/>
      <c r="O99" s="124">
        <f>O$81/$F$87/2</f>
        <v>5.7951703304686193</v>
      </c>
      <c r="P99" s="124">
        <f>MAX(0,MIN($O$99*2,P$81-SUM($O99:O99)))</f>
        <v>11.590340660937239</v>
      </c>
      <c r="Q99" s="124">
        <f>MAX(0,MIN($O$99*2,Q$81-SUM($O99:P99)))</f>
        <v>11.590340660937239</v>
      </c>
      <c r="R99" s="124">
        <f>MAX(0,MIN($O$99*2,R$81-SUM($O99:Q99)))</f>
        <v>11.590340660937239</v>
      </c>
      <c r="S99" s="124">
        <f>MAX(0,MIN($O$99*2,S$81-SUM($O99:R99)))</f>
        <v>11.590340660937239</v>
      </c>
      <c r="T99" s="124">
        <f>MAX(0,MIN($O$99*2,T$81-SUM($O99:S99)))</f>
        <v>11.590340660937239</v>
      </c>
      <c r="U99" s="124">
        <f>MAX(0,MIN($O$99*2,U$81-SUM($O99:T99)))</f>
        <v>11.590340660937239</v>
      </c>
      <c r="V99" s="124">
        <f>MAX(0,MIN($O$99*2,V$81-SUM($O99:U99)))</f>
        <v>11.590340660937239</v>
      </c>
    </row>
    <row r="100" spans="3:22" ht="12.75" customHeight="1" outlineLevel="1">
      <c r="C100" s="499" t="s">
        <v>545</v>
      </c>
      <c r="D100" s="115"/>
      <c r="E100" s="115"/>
      <c r="F100" s="115"/>
      <c r="G100" s="115"/>
      <c r="H100" s="115"/>
      <c r="I100" s="115"/>
      <c r="J100" s="115"/>
      <c r="K100" s="115"/>
      <c r="L100" s="115"/>
      <c r="M100" s="124"/>
      <c r="N100" s="124"/>
      <c r="O100" s="124"/>
      <c r="P100" s="124">
        <f>P$81/$F$87/2</f>
        <v>5.7670590488819951</v>
      </c>
      <c r="Q100" s="124">
        <f>MAX(0,MIN($P$100*2,Q$81-SUM($P100:P100)))</f>
        <v>11.53411809776399</v>
      </c>
      <c r="R100" s="124">
        <f>MAX(0,MIN($P$100*2,R$81-SUM($P100:Q100)))</f>
        <v>11.53411809776399</v>
      </c>
      <c r="S100" s="124">
        <f>MAX(0,MIN($P$100*2,S$81-SUM($P100:R100)))</f>
        <v>11.53411809776399</v>
      </c>
      <c r="T100" s="124">
        <f>MAX(0,MIN($P$100*2,T$81-SUM($P100:S100)))</f>
        <v>11.53411809776399</v>
      </c>
      <c r="U100" s="124">
        <f>MAX(0,MIN($P$100*2,U$81-SUM($P100:T100)))</f>
        <v>11.53411809776399</v>
      </c>
      <c r="V100" s="124">
        <f>MAX(0,MIN($P$100*2,V$81-SUM($P100:U100)))</f>
        <v>11.53411809776399</v>
      </c>
    </row>
    <row r="101" spans="3:22" ht="12.75" customHeight="1" outlineLevel="1">
      <c r="C101" s="499" t="s">
        <v>546</v>
      </c>
      <c r="D101" s="115"/>
      <c r="E101" s="115"/>
      <c r="F101" s="115"/>
      <c r="G101" s="115"/>
      <c r="H101" s="115"/>
      <c r="I101" s="115"/>
      <c r="J101" s="115"/>
      <c r="K101" s="115"/>
      <c r="L101" s="115"/>
      <c r="M101" s="124"/>
      <c r="N101" s="124"/>
      <c r="O101" s="124"/>
      <c r="P101" s="124"/>
      <c r="Q101" s="124">
        <f>Q$81/$F$87/2</f>
        <v>5.6741495382879155</v>
      </c>
      <c r="R101" s="124">
        <f>MAX(0,MIN($Q$101*2,R$81-SUM($Q101:Q101)))</f>
        <v>11.348299076575831</v>
      </c>
      <c r="S101" s="124">
        <f>MAX(0,MIN($Q$101*2,S$81-SUM($Q101:R101)))</f>
        <v>11.348299076575831</v>
      </c>
      <c r="T101" s="124">
        <f>MAX(0,MIN($Q$101*2,T$81-SUM($Q101:S101)))</f>
        <v>11.348299076575831</v>
      </c>
      <c r="U101" s="124">
        <f>MAX(0,MIN($Q$101*2,U$81-SUM($Q101:T101)))</f>
        <v>11.348299076575831</v>
      </c>
      <c r="V101" s="124">
        <f>MAX(0,MIN($Q$101*2,V$81-SUM($Q101:U101)))</f>
        <v>11.348299076575831</v>
      </c>
    </row>
    <row r="102" spans="3:22" ht="12.75" customHeight="1" outlineLevel="1">
      <c r="C102" s="499" t="s">
        <v>547</v>
      </c>
      <c r="D102" s="115"/>
      <c r="E102" s="115"/>
      <c r="F102" s="115"/>
      <c r="G102" s="115"/>
      <c r="H102" s="115"/>
      <c r="I102" s="115"/>
      <c r="J102" s="115"/>
      <c r="K102" s="115"/>
      <c r="L102" s="115"/>
      <c r="M102" s="124"/>
      <c r="N102" s="124"/>
      <c r="O102" s="124"/>
      <c r="P102" s="124"/>
      <c r="Q102" s="124"/>
      <c r="R102" s="124">
        <f>R$81/$F$87/2</f>
        <v>5.6408390102514101</v>
      </c>
      <c r="S102" s="124">
        <f>MAX(0,MIN($R$102*2,S$81-SUM($R102:R102)))</f>
        <v>11.28167802050282</v>
      </c>
      <c r="T102" s="124">
        <f>MAX(0,MIN($R$102*2,T$81-SUM($R102:S102)))</f>
        <v>11.28167802050282</v>
      </c>
      <c r="U102" s="124">
        <f>MAX(0,MIN($R$102*2,U$81-SUM($R102:T102)))</f>
        <v>11.28167802050282</v>
      </c>
      <c r="V102" s="124">
        <f>MAX(0,MIN($R$102*2,V$81-SUM($R102:U102)))</f>
        <v>11.28167802050282</v>
      </c>
    </row>
    <row r="103" spans="3:22" ht="12.75" customHeight="1" outlineLevel="1">
      <c r="C103" s="499" t="s">
        <v>548</v>
      </c>
      <c r="D103" s="115"/>
      <c r="E103" s="115"/>
      <c r="F103" s="115"/>
      <c r="G103" s="115"/>
      <c r="H103" s="115"/>
      <c r="I103" s="115"/>
      <c r="J103" s="115"/>
      <c r="K103" s="115"/>
      <c r="L103" s="115"/>
      <c r="M103" s="124"/>
      <c r="N103" s="124"/>
      <c r="O103" s="124"/>
      <c r="P103" s="124"/>
      <c r="Q103" s="124"/>
      <c r="R103" s="124"/>
      <c r="S103" s="124">
        <f>S$81/$F$87/2</f>
        <v>5.4398047722918621</v>
      </c>
      <c r="T103" s="124">
        <f>MAX(0,MIN($S$103*2,T$81-SUM($S103:S103)))</f>
        <v>10.879609544583724</v>
      </c>
      <c r="U103" s="124">
        <f>MAX(0,MIN($S$103*2,U$81-SUM($S103:T103)))</f>
        <v>10.879609544583724</v>
      </c>
      <c r="V103" s="124">
        <f>MAX(0,MIN($S$103*2,V$81-SUM($S103:U103)))</f>
        <v>10.879609544583724</v>
      </c>
    </row>
    <row r="104" spans="3:22" ht="12.75" customHeight="1" outlineLevel="1">
      <c r="C104" s="499" t="s">
        <v>549</v>
      </c>
      <c r="D104" s="115"/>
      <c r="E104" s="115"/>
      <c r="F104" s="115"/>
      <c r="G104" s="115"/>
      <c r="H104" s="115"/>
      <c r="I104" s="115"/>
      <c r="J104" s="115"/>
      <c r="K104" s="115"/>
      <c r="L104" s="115"/>
      <c r="M104" s="124"/>
      <c r="N104" s="124"/>
      <c r="O104" s="124"/>
      <c r="P104" s="124"/>
      <c r="Q104" s="124"/>
      <c r="R104" s="124"/>
      <c r="S104" s="124"/>
      <c r="T104" s="124">
        <f>T$81/$F$87/2</f>
        <v>5.2697077597893678</v>
      </c>
      <c r="U104" s="124">
        <f>MAX(0,MIN($T$104*2,U$81-SUM($T104:T104)))</f>
        <v>10.539415519578736</v>
      </c>
      <c r="V104" s="124">
        <f>MAX(0,MIN($T$104*2,V$81-SUM($T104:U104)))</f>
        <v>10.539415519578736</v>
      </c>
    </row>
    <row r="105" spans="3:22" ht="12.75" customHeight="1" outlineLevel="1">
      <c r="C105" s="499" t="s">
        <v>550</v>
      </c>
      <c r="D105" s="115"/>
      <c r="E105" s="115"/>
      <c r="F105" s="115"/>
      <c r="G105" s="115"/>
      <c r="H105" s="115"/>
      <c r="I105" s="115"/>
      <c r="J105" s="115"/>
      <c r="K105" s="115"/>
      <c r="L105" s="115"/>
      <c r="M105" s="124"/>
      <c r="N105" s="124"/>
      <c r="O105" s="124"/>
      <c r="P105" s="124"/>
      <c r="Q105" s="124"/>
      <c r="R105" s="124"/>
      <c r="S105" s="124"/>
      <c r="T105" s="124"/>
      <c r="U105" s="124">
        <f>U$81/$F$87/2</f>
        <v>4.9955521789379898</v>
      </c>
      <c r="V105" s="124">
        <f>MAX(0,MIN($U$105*2,V$81-SUM($U105:U105)))</f>
        <v>9.9911043578759795</v>
      </c>
    </row>
    <row r="106" spans="3:22" ht="12.75" customHeight="1" outlineLevel="1">
      <c r="C106" s="499" t="s">
        <v>551</v>
      </c>
      <c r="D106" s="115"/>
      <c r="E106" s="115"/>
      <c r="F106" s="115"/>
      <c r="G106" s="115"/>
      <c r="H106" s="115"/>
      <c r="I106" s="115"/>
      <c r="J106" s="115"/>
      <c r="K106" s="115"/>
      <c r="L106" s="115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>
        <f>V$81/$F$87/2</f>
        <v>4.8243957584471975</v>
      </c>
    </row>
    <row r="107" spans="3:22" ht="12.75" customHeight="1" outlineLevel="1">
      <c r="C107" s="499"/>
      <c r="D107" s="115"/>
      <c r="E107" s="115"/>
      <c r="F107" s="115"/>
      <c r="G107" s="115"/>
      <c r="H107" s="115"/>
      <c r="I107" s="115"/>
      <c r="J107" s="115"/>
      <c r="K107" s="115"/>
      <c r="L107" s="115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</row>
    <row r="108" spans="3:22" ht="12.75" customHeight="1" outlineLevel="1">
      <c r="C108" s="510" t="s">
        <v>317</v>
      </c>
      <c r="D108" s="128"/>
      <c r="E108" s="128"/>
      <c r="F108" s="139">
        <f>-F83</f>
        <v>11.926</v>
      </c>
      <c r="G108" s="138">
        <f>SUM(G89:G106)</f>
        <v>11.873754999999999</v>
      </c>
      <c r="H108" s="138">
        <f t="shared" ref="H108:V108" si="222">SUM(H89:H106)</f>
        <v>14.716089500000001</v>
      </c>
      <c r="I108" s="138">
        <f t="shared" si="222"/>
        <v>22.224675550000001</v>
      </c>
      <c r="J108" s="138">
        <f t="shared" si="222"/>
        <v>30.956220402146709</v>
      </c>
      <c r="K108" s="138">
        <f t="shared" si="222"/>
        <v>39.998804226991403</v>
      </c>
      <c r="L108" s="138">
        <f t="shared" si="222"/>
        <v>50.267776116733181</v>
      </c>
      <c r="M108" s="138">
        <f t="shared" si="222"/>
        <v>61.042621697989887</v>
      </c>
      <c r="N108" s="138">
        <f t="shared" si="222"/>
        <v>71.544569774281683</v>
      </c>
      <c r="O108" s="138">
        <f t="shared" si="222"/>
        <v>82.02067459831774</v>
      </c>
      <c r="P108" s="138">
        <f t="shared" si="222"/>
        <v>93.138224677496595</v>
      </c>
      <c r="Q108" s="138">
        <f t="shared" si="222"/>
        <v>104.17922189451194</v>
      </c>
      <c r="R108" s="138">
        <f t="shared" si="222"/>
        <v>115.13402020991214</v>
      </c>
      <c r="S108" s="138">
        <f t="shared" si="222"/>
        <v>125.26713822846742</v>
      </c>
      <c r="T108" s="138">
        <f t="shared" si="222"/>
        <v>125.88735122586876</v>
      </c>
      <c r="U108" s="138">
        <f t="shared" si="222"/>
        <v>119.93677564360482</v>
      </c>
      <c r="V108" s="138">
        <f t="shared" si="222"/>
        <v>103.11269355366751</v>
      </c>
    </row>
    <row r="109" spans="3:22" ht="12.75" customHeight="1" outlineLevel="1">
      <c r="C109" s="92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</row>
    <row r="121" spans="3:22" customFormat="1"/>
    <row r="122" spans="3:22">
      <c r="C122" s="485" t="s">
        <v>430</v>
      </c>
    </row>
    <row r="123" spans="3:22">
      <c r="C123" s="413" t="s">
        <v>432</v>
      </c>
      <c r="D123" s="353" t="s">
        <v>433</v>
      </c>
      <c r="E123" s="353" t="s">
        <v>433</v>
      </c>
      <c r="F123" s="353" t="s">
        <v>433</v>
      </c>
      <c r="G123" s="353" t="s">
        <v>433</v>
      </c>
      <c r="H123" s="353" t="s">
        <v>433</v>
      </c>
      <c r="I123" s="353" t="s">
        <v>433</v>
      </c>
      <c r="J123" s="353" t="s">
        <v>433</v>
      </c>
      <c r="K123" s="353" t="s">
        <v>433</v>
      </c>
      <c r="L123" s="353" t="s">
        <v>433</v>
      </c>
      <c r="M123" s="353" t="s">
        <v>433</v>
      </c>
      <c r="N123" s="353" t="s">
        <v>433</v>
      </c>
      <c r="O123" s="353" t="s">
        <v>433</v>
      </c>
      <c r="P123" s="353" t="s">
        <v>433</v>
      </c>
      <c r="Q123" s="353" t="s">
        <v>433</v>
      </c>
      <c r="R123" s="353" t="s">
        <v>433</v>
      </c>
      <c r="S123" s="353" t="s">
        <v>433</v>
      </c>
      <c r="T123" s="353" t="s">
        <v>433</v>
      </c>
      <c r="U123" s="353" t="s">
        <v>433</v>
      </c>
      <c r="V123" s="353" t="s">
        <v>433</v>
      </c>
    </row>
  </sheetData>
  <phoneticPr fontId="4" type="noConversion"/>
  <pageMargins left="0" right="0" top="0" bottom="0" header="0" footer="0"/>
  <pageSetup paperSize="5" scale="38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BO173"/>
  <sheetViews>
    <sheetView showGridLines="0" zoomScale="85" zoomScaleNormal="85" workbookViewId="0">
      <selection activeCell="B2" sqref="B2:U44"/>
    </sheetView>
  </sheetViews>
  <sheetFormatPr defaultRowHeight="12.75" outlineLevelCol="1"/>
  <cols>
    <col min="1" max="1" width="2.28515625" style="97" customWidth="1"/>
    <col min="2" max="2" width="71.85546875" style="97" bestFit="1" customWidth="1"/>
    <col min="3" max="3" width="9" style="100" hidden="1" customWidth="1" outlineLevel="1"/>
    <col min="4" max="4" width="9.7109375" style="99" hidden="1" customWidth="1" outlineLevel="1"/>
    <col min="5" max="5" width="9.5703125" style="99" hidden="1" customWidth="1" outlineLevel="1"/>
    <col min="6" max="7" width="9.7109375" style="99" hidden="1" customWidth="1" outlineLevel="1"/>
    <col min="8" max="8" width="9.7109375" style="99" customWidth="1" collapsed="1"/>
    <col min="9" max="15" width="9.7109375" style="99" customWidth="1"/>
    <col min="16" max="21" width="9.140625" style="97" customWidth="1"/>
    <col min="22" max="22" width="9.140625" style="97"/>
    <col min="23" max="23" width="22.42578125" customWidth="1"/>
    <col min="29" max="67" width="9.140625" style="97"/>
    <col min="68" max="16384" width="9.140625" style="98"/>
  </cols>
  <sheetData>
    <row r="2" spans="1:67" s="87" customFormat="1" ht="12.75" customHeight="1">
      <c r="A2" s="86"/>
      <c r="B2" s="529" t="s">
        <v>246</v>
      </c>
      <c r="C2" s="530" t="s">
        <v>127</v>
      </c>
      <c r="D2" s="530">
        <v>2013</v>
      </c>
      <c r="E2" s="530">
        <v>2014</v>
      </c>
      <c r="F2" s="530">
        <v>2015</v>
      </c>
      <c r="G2" s="530">
        <v>2016</v>
      </c>
      <c r="H2" s="530">
        <v>2017</v>
      </c>
      <c r="I2" s="530" t="s">
        <v>9</v>
      </c>
      <c r="J2" s="530" t="s">
        <v>10</v>
      </c>
      <c r="K2" s="530" t="s">
        <v>11</v>
      </c>
      <c r="L2" s="530" t="s">
        <v>70</v>
      </c>
      <c r="M2" s="530" t="s">
        <v>369</v>
      </c>
      <c r="N2" s="530" t="s">
        <v>370</v>
      </c>
      <c r="O2" s="530" t="s">
        <v>402</v>
      </c>
      <c r="P2" s="120" t="s">
        <v>403</v>
      </c>
      <c r="Q2" s="120" t="s">
        <v>519</v>
      </c>
      <c r="R2" s="120" t="s">
        <v>524</v>
      </c>
      <c r="S2" s="120" t="s">
        <v>529</v>
      </c>
      <c r="T2" s="120" t="s">
        <v>534</v>
      </c>
      <c r="U2" s="120" t="s">
        <v>539</v>
      </c>
      <c r="W2"/>
      <c r="X2"/>
      <c r="Y2"/>
      <c r="Z2"/>
      <c r="AA2"/>
      <c r="AB2"/>
    </row>
    <row r="3" spans="1:67" s="598" customFormat="1" ht="12.75" customHeight="1">
      <c r="A3" s="607"/>
      <c r="B3" s="614" t="s">
        <v>498</v>
      </c>
      <c r="C3" s="613"/>
      <c r="D3" s="613"/>
      <c r="E3" s="613"/>
      <c r="F3" s="613"/>
      <c r="G3" s="613"/>
      <c r="H3" s="613"/>
      <c r="I3" s="613"/>
      <c r="J3" s="613"/>
      <c r="K3" s="613"/>
      <c r="L3" s="613"/>
      <c r="M3" s="613"/>
      <c r="N3" s="613"/>
      <c r="O3" s="613"/>
      <c r="P3" s="613"/>
      <c r="Q3" s="607"/>
      <c r="R3" s="607"/>
      <c r="W3"/>
      <c r="X3"/>
      <c r="Y3"/>
      <c r="Z3"/>
      <c r="AA3"/>
      <c r="AB3"/>
    </row>
    <row r="4" spans="1:67">
      <c r="B4" s="531" t="s">
        <v>324</v>
      </c>
      <c r="C4" s="532"/>
      <c r="D4" s="533"/>
      <c r="E4" s="533"/>
      <c r="F4" s="534"/>
      <c r="G4" s="534"/>
      <c r="H4" s="534"/>
      <c r="I4" s="534"/>
      <c r="J4" s="534"/>
      <c r="K4" s="534"/>
      <c r="L4" s="534"/>
      <c r="M4" s="534"/>
      <c r="N4" s="534"/>
      <c r="O4" s="534"/>
      <c r="P4" s="534"/>
    </row>
    <row r="5" spans="1:67">
      <c r="B5" s="531"/>
      <c r="C5" s="532"/>
      <c r="D5" s="533"/>
      <c r="E5" s="533"/>
      <c r="F5" s="534"/>
      <c r="G5" s="534"/>
      <c r="H5" s="534"/>
      <c r="I5" s="534"/>
      <c r="J5" s="534"/>
      <c r="K5" s="534"/>
      <c r="L5" s="534"/>
      <c r="M5" s="534"/>
      <c r="N5" s="534"/>
      <c r="O5" s="534"/>
      <c r="P5" s="534"/>
    </row>
    <row r="6" spans="1:67" s="102" customFormat="1">
      <c r="A6" s="101"/>
      <c r="B6" s="535" t="s">
        <v>321</v>
      </c>
      <c r="C6" s="536"/>
      <c r="D6" s="536">
        <v>-89.224999999999994</v>
      </c>
      <c r="E6" s="536">
        <f>IS!Q52</f>
        <v>-360.39499999999998</v>
      </c>
      <c r="F6" s="536">
        <v>-290.07299999999998</v>
      </c>
      <c r="G6" s="536">
        <v>-410.108</v>
      </c>
      <c r="H6" s="536">
        <v>-490.87400000000002</v>
      </c>
      <c r="I6" s="536">
        <f>IS!AK52</f>
        <v>-570.44600174495054</v>
      </c>
      <c r="J6" s="536">
        <f>IS!AP52</f>
        <v>-369.74205806159466</v>
      </c>
      <c r="K6" s="536">
        <f>IS!AU52</f>
        <v>-58.202941764363231</v>
      </c>
      <c r="L6" s="536">
        <f>IS!AZ52</f>
        <v>331.55641408877943</v>
      </c>
      <c r="M6" s="536">
        <f>IS!BE52</f>
        <v>708.34716351046416</v>
      </c>
      <c r="N6" s="536">
        <f>IS!BJ52</f>
        <v>1055.4986856370208</v>
      </c>
      <c r="O6" s="536">
        <f>IS!BO52</f>
        <v>1192.3774972621366</v>
      </c>
      <c r="P6" s="536">
        <f>IS!BT52</f>
        <v>1070.4147804962256</v>
      </c>
      <c r="Q6" s="536">
        <f>IS!BY52</f>
        <v>1242.3944279215318</v>
      </c>
      <c r="R6" s="536">
        <f>IS!CD52</f>
        <v>1397.8802247965318</v>
      </c>
      <c r="S6" s="536">
        <f>IS!CI52</f>
        <v>1538.1363107979937</v>
      </c>
      <c r="T6" s="536">
        <f>IS!CN52</f>
        <v>1664.4335402497898</v>
      </c>
      <c r="U6" s="536">
        <f>IS!CS52</f>
        <v>1770.7386694862521</v>
      </c>
      <c r="V6" s="101"/>
      <c r="W6"/>
      <c r="X6"/>
      <c r="Y6"/>
      <c r="Z6"/>
      <c r="AA6"/>
      <c r="AB6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</row>
    <row r="7" spans="1:67" s="102" customFormat="1">
      <c r="A7" s="101"/>
      <c r="B7" s="535" t="s">
        <v>322</v>
      </c>
      <c r="C7" s="536"/>
      <c r="D7" s="536"/>
      <c r="E7" s="536"/>
      <c r="F7" s="537"/>
      <c r="G7" s="537"/>
      <c r="H7" s="537"/>
      <c r="I7" s="537"/>
      <c r="J7" s="537"/>
      <c r="K7" s="537"/>
      <c r="L7" s="537"/>
      <c r="M7" s="537"/>
      <c r="N7" s="537"/>
      <c r="O7" s="537"/>
      <c r="P7" s="537"/>
      <c r="Q7" s="101"/>
      <c r="R7" s="101"/>
      <c r="S7" s="101"/>
      <c r="T7" s="101"/>
      <c r="U7" s="101"/>
      <c r="V7" s="101"/>
      <c r="W7"/>
      <c r="X7"/>
      <c r="Y7"/>
      <c r="Z7"/>
      <c r="AA7"/>
      <c r="AB7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  <c r="AW7" s="101"/>
      <c r="AX7" s="101"/>
      <c r="AY7" s="101"/>
      <c r="AZ7" s="101"/>
      <c r="BA7" s="101"/>
      <c r="BB7" s="101"/>
      <c r="BC7" s="101"/>
      <c r="BD7" s="101"/>
      <c r="BE7" s="101"/>
      <c r="BF7" s="101"/>
      <c r="BG7" s="101"/>
      <c r="BH7" s="101"/>
      <c r="BI7" s="101"/>
      <c r="BJ7" s="101"/>
      <c r="BK7" s="101"/>
      <c r="BL7" s="101"/>
      <c r="BM7" s="101"/>
      <c r="BN7" s="101"/>
      <c r="BO7" s="101"/>
    </row>
    <row r="8" spans="1:67" s="102" customFormat="1">
      <c r="A8" s="101"/>
      <c r="B8" s="538" t="s">
        <v>44</v>
      </c>
      <c r="C8" s="536">
        <v>0</v>
      </c>
      <c r="D8" s="536">
        <v>10.228999999999999</v>
      </c>
      <c r="E8" s="536">
        <v>11.926</v>
      </c>
      <c r="F8" s="536">
        <f>19.05</f>
        <v>19.05</v>
      </c>
      <c r="G8" s="536">
        <v>15.13</v>
      </c>
      <c r="H8" s="536">
        <v>13.367000000000001</v>
      </c>
      <c r="I8" s="536">
        <f>BS!J108</f>
        <v>30.956220402146709</v>
      </c>
      <c r="J8" s="536">
        <f>BS!K108</f>
        <v>39.998804226991403</v>
      </c>
      <c r="K8" s="536">
        <f>BS!L108</f>
        <v>50.267776116733181</v>
      </c>
      <c r="L8" s="536">
        <f>BS!M108</f>
        <v>61.042621697989887</v>
      </c>
      <c r="M8" s="536">
        <f>BS!N108</f>
        <v>71.544569774281683</v>
      </c>
      <c r="N8" s="536">
        <f>BS!O108</f>
        <v>82.02067459831774</v>
      </c>
      <c r="O8" s="536">
        <f>BS!P108</f>
        <v>93.138224677496595</v>
      </c>
      <c r="P8" s="536">
        <f>BS!Q108</f>
        <v>104.17922189451194</v>
      </c>
      <c r="Q8" s="536">
        <f>BS!R108</f>
        <v>115.13402020991214</v>
      </c>
      <c r="R8" s="536">
        <f>BS!S108</f>
        <v>125.26713822846742</v>
      </c>
      <c r="S8" s="536">
        <f>BS!T108</f>
        <v>125.88735122586876</v>
      </c>
      <c r="T8" s="536">
        <f>BS!U108</f>
        <v>119.93677564360482</v>
      </c>
      <c r="U8" s="536">
        <f>BS!V108</f>
        <v>103.11269355366751</v>
      </c>
      <c r="V8" s="101"/>
      <c r="W8"/>
      <c r="X8"/>
      <c r="Y8"/>
      <c r="Z8"/>
      <c r="AA8"/>
      <c r="AB8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  <c r="BA8" s="101"/>
      <c r="BB8" s="101"/>
      <c r="BC8" s="101"/>
      <c r="BD8" s="101"/>
      <c r="BE8" s="101"/>
      <c r="BF8" s="101"/>
      <c r="BG8" s="101"/>
      <c r="BH8" s="101"/>
      <c r="BI8" s="101"/>
      <c r="BJ8" s="101"/>
      <c r="BK8" s="101"/>
      <c r="BL8" s="101"/>
      <c r="BM8" s="101"/>
      <c r="BN8" s="101"/>
      <c r="BO8" s="101"/>
    </row>
    <row r="9" spans="1:67" s="102" customFormat="1">
      <c r="A9" s="101"/>
      <c r="B9" s="538" t="s">
        <v>319</v>
      </c>
      <c r="C9" s="536"/>
      <c r="D9" s="536">
        <v>20.702999999999999</v>
      </c>
      <c r="E9" s="536">
        <v>33.061</v>
      </c>
      <c r="F9" s="536">
        <v>45.783000000000001</v>
      </c>
      <c r="G9" s="536">
        <v>75.528000000000006</v>
      </c>
      <c r="H9" s="536">
        <v>92.819000000000003</v>
      </c>
      <c r="I9" s="536">
        <f>IS!AK68</f>
        <v>136.52132825024447</v>
      </c>
      <c r="J9" s="536">
        <f>IS!AP68</f>
        <v>153.22447433916909</v>
      </c>
      <c r="K9" s="536">
        <f>IS!AU68</f>
        <v>169.08452015731262</v>
      </c>
      <c r="L9" s="536">
        <f>IS!AZ68</f>
        <v>179.58738043237281</v>
      </c>
      <c r="M9" s="536">
        <f>IS!BE68</f>
        <v>183.87413162453316</v>
      </c>
      <c r="N9" s="536">
        <f>IS!BJ68</f>
        <v>187.34498167841261</v>
      </c>
      <c r="O9" s="536">
        <f>IS!BO68</f>
        <v>192.31932334209083</v>
      </c>
      <c r="P9" s="536">
        <f>IS!BT68</f>
        <v>195.63628122365529</v>
      </c>
      <c r="Q9" s="536">
        <f>IS!BY68</f>
        <v>197.28225373199302</v>
      </c>
      <c r="R9" s="536">
        <f>IS!CD68</f>
        <v>197.77532763254743</v>
      </c>
      <c r="S9" s="536">
        <f>IS!CI68</f>
        <v>197.15820682529841</v>
      </c>
      <c r="T9" s="536">
        <f>IS!CN68</f>
        <v>195.48967063369523</v>
      </c>
      <c r="U9" s="536">
        <f>IS!CS68</f>
        <v>192.82456347056407</v>
      </c>
      <c r="V9" s="101"/>
      <c r="W9"/>
      <c r="X9"/>
      <c r="Y9"/>
      <c r="Z9"/>
      <c r="AA9"/>
      <c r="AB9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</row>
    <row r="10" spans="1:67" s="102" customFormat="1">
      <c r="A10" s="101"/>
      <c r="B10" s="538" t="s">
        <v>320</v>
      </c>
      <c r="C10" s="536"/>
      <c r="D10" s="536">
        <f>0.449-2.695</f>
        <v>-2.246</v>
      </c>
      <c r="E10" s="536">
        <f>0.692-2.081-40.209+220.766</f>
        <v>179.16799999999998</v>
      </c>
      <c r="F10" s="536">
        <v>0.98399999999999999</v>
      </c>
      <c r="G10" s="536">
        <f>1.507-6.977</f>
        <v>-5.4700000000000006</v>
      </c>
      <c r="H10" s="536">
        <f>2.302+1.894+0.608</f>
        <v>4.8039999999999994</v>
      </c>
      <c r="I10" s="536">
        <v>0</v>
      </c>
      <c r="J10" s="536">
        <v>0</v>
      </c>
      <c r="K10" s="536">
        <v>0</v>
      </c>
      <c r="L10" s="536">
        <v>0</v>
      </c>
      <c r="M10" s="536">
        <v>0</v>
      </c>
      <c r="N10" s="536">
        <v>0</v>
      </c>
      <c r="O10" s="536">
        <v>0</v>
      </c>
      <c r="P10" s="536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/>
      <c r="W10"/>
      <c r="X10"/>
      <c r="Y10"/>
      <c r="Z10"/>
      <c r="AA10"/>
      <c r="AB10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</row>
    <row r="11" spans="1:67" s="102" customFormat="1">
      <c r="A11" s="101"/>
      <c r="B11" s="539"/>
      <c r="C11" s="536"/>
      <c r="D11" s="536"/>
      <c r="E11" s="536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101"/>
      <c r="R11" s="101"/>
      <c r="S11" s="101"/>
      <c r="T11" s="101"/>
      <c r="U11" s="101"/>
      <c r="V11" s="101"/>
      <c r="W11"/>
      <c r="X11"/>
      <c r="Y11"/>
      <c r="Z11"/>
      <c r="AA11"/>
      <c r="AB1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</row>
    <row r="12" spans="1:67" s="102" customFormat="1">
      <c r="A12" s="101"/>
      <c r="B12" s="535" t="s">
        <v>323</v>
      </c>
      <c r="C12" s="536"/>
      <c r="D12" s="536"/>
      <c r="E12" s="536"/>
      <c r="F12" s="536"/>
      <c r="G12" s="547"/>
      <c r="H12" s="536"/>
      <c r="I12" s="536"/>
      <c r="J12" s="536"/>
      <c r="K12" s="536"/>
      <c r="L12" s="536"/>
      <c r="M12" s="536"/>
      <c r="N12" s="536"/>
      <c r="O12" s="536"/>
      <c r="P12" s="536"/>
      <c r="Q12" s="101"/>
      <c r="R12" s="101"/>
      <c r="S12" s="101"/>
      <c r="T12" s="101"/>
      <c r="U12" s="101"/>
      <c r="V12" s="101"/>
      <c r="W12"/>
      <c r="X12"/>
      <c r="Y12"/>
      <c r="Z12"/>
      <c r="AA12"/>
      <c r="AB12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</row>
    <row r="13" spans="1:67" s="102" customFormat="1">
      <c r="A13" s="101"/>
      <c r="B13" s="538" t="s">
        <v>330</v>
      </c>
      <c r="C13" s="536"/>
      <c r="D13" s="536">
        <v>-4.1440000000000001</v>
      </c>
      <c r="E13" s="536">
        <v>-35.689</v>
      </c>
      <c r="F13" s="536">
        <v>31.638999999999999</v>
      </c>
      <c r="G13" s="536">
        <v>-15.036</v>
      </c>
      <c r="H13" s="536">
        <v>-10.667999999999999</v>
      </c>
      <c r="I13" s="536">
        <f>BS!I8-BS!J8</f>
        <v>-2.2015723055265255</v>
      </c>
      <c r="J13" s="536">
        <f>BS!J8-BS!K8</f>
        <v>-72.552722038433103</v>
      </c>
      <c r="K13" s="536">
        <f>BS!K8-BS!L8</f>
        <v>-86.174672991667052</v>
      </c>
      <c r="L13" s="536">
        <f>BS!L8-BS!M8</f>
        <v>-27.047940330782978</v>
      </c>
      <c r="M13" s="536">
        <f>BS!M8-BS!N8</f>
        <v>-19.522147227495395</v>
      </c>
      <c r="N13" s="536">
        <f>BS!N8-BS!O8</f>
        <v>-32.452451637338754</v>
      </c>
      <c r="O13" s="536">
        <f>BS!O8-BS!P8</f>
        <v>-20.534615113794246</v>
      </c>
      <c r="P13" s="536">
        <f>BS!P8-BS!Q8</f>
        <v>-9.9784389460207876</v>
      </c>
      <c r="Q13" s="536">
        <f>BS!Q8-BS!R8</f>
        <v>-30.93467785632231</v>
      </c>
      <c r="R13" s="536">
        <f>BS!R8-BS!S8</f>
        <v>-27.25241303874293</v>
      </c>
      <c r="S13" s="536">
        <f>BS!S8-BS!T8</f>
        <v>-23.791584231762897</v>
      </c>
      <c r="T13" s="536">
        <f>BS!T8-BS!U8</f>
        <v>-20.599756640023315</v>
      </c>
      <c r="U13" s="536">
        <f>BS!U8-BS!V8</f>
        <v>-17.501834385443033</v>
      </c>
      <c r="V13" s="101"/>
      <c r="W13"/>
      <c r="X13"/>
      <c r="Y13"/>
      <c r="Z13"/>
      <c r="AA13"/>
      <c r="AB13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</row>
    <row r="14" spans="1:67" s="102" customFormat="1">
      <c r="A14" s="101"/>
      <c r="B14" s="538" t="s">
        <v>130</v>
      </c>
      <c r="C14" s="536"/>
      <c r="D14" s="536">
        <v>0</v>
      </c>
      <c r="E14" s="536">
        <v>0</v>
      </c>
      <c r="F14" s="536">
        <v>0</v>
      </c>
      <c r="G14" s="536">
        <v>0</v>
      </c>
      <c r="H14" s="536">
        <v>0</v>
      </c>
      <c r="I14" s="536">
        <f>BS!I10-BS!J10</f>
        <v>-26.817460967056686</v>
      </c>
      <c r="J14" s="536">
        <f>BS!J10-BS!K10</f>
        <v>-55.837322734352639</v>
      </c>
      <c r="K14" s="536">
        <f>BS!K10-BS!L10</f>
        <v>-69.899886387341994</v>
      </c>
      <c r="L14" s="536">
        <f>BS!L10-BS!M10</f>
        <v>-69.424237577658317</v>
      </c>
      <c r="M14" s="536">
        <f>BS!M10-BS!N10</f>
        <v>-54.022297926624645</v>
      </c>
      <c r="N14" s="536">
        <f>BS!N10-BS!O10</f>
        <v>-40.098994250708472</v>
      </c>
      <c r="O14" s="536">
        <f>BS!O10-BS!P10</f>
        <v>-27.469275408801536</v>
      </c>
      <c r="P14" s="536">
        <f>BS!P10-BS!Q10</f>
        <v>-16.254641809616032</v>
      </c>
      <c r="Q14" s="536">
        <f>BS!Q10-BS!R10</f>
        <v>-6.0681430622553307</v>
      </c>
      <c r="R14" s="536">
        <f>BS!R10-BS!S10</f>
        <v>3.2386086382916801</v>
      </c>
      <c r="S14" s="536">
        <f>BS!S10-BS!T10</f>
        <v>11.339800833499567</v>
      </c>
      <c r="T14" s="536">
        <f>BS!T10-BS!U10</f>
        <v>18.277038723425164</v>
      </c>
      <c r="U14" s="536">
        <f>BS!U10-BS!V10</f>
        <v>24.275483388578721</v>
      </c>
      <c r="V14" s="101"/>
      <c r="W14"/>
      <c r="X14"/>
      <c r="Y14"/>
      <c r="Z14"/>
      <c r="AA14"/>
      <c r="AB14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101"/>
      <c r="BO14" s="101"/>
    </row>
    <row r="15" spans="1:67" s="102" customFormat="1">
      <c r="A15" s="101"/>
      <c r="B15" s="538" t="s">
        <v>331</v>
      </c>
      <c r="C15" s="536"/>
      <c r="D15" s="536">
        <v>-1.3560000000000001</v>
      </c>
      <c r="E15" s="536">
        <v>-5.8289999999999997</v>
      </c>
      <c r="F15" s="536">
        <v>-6.82</v>
      </c>
      <c r="G15" s="536">
        <v>-5.2759999999999998</v>
      </c>
      <c r="H15" s="536">
        <v>-20.710999999999999</v>
      </c>
      <c r="I15" s="536">
        <f>(BS!I17+BS!I9)-(BS!J9+BS!J17)</f>
        <v>-6.8105566923491949</v>
      </c>
      <c r="J15" s="536">
        <f>(BS!J17+BS!J9)-(BS!K9+BS!K17)</f>
        <v>-83.576996520402361</v>
      </c>
      <c r="K15" s="536">
        <f>(BS!K17+BS!K9)-(BS!L9+BS!L17)</f>
        <v>-38.997635774749909</v>
      </c>
      <c r="L15" s="536">
        <f>(BS!L17+BS!L9)-(BS!M9+BS!M17)</f>
        <v>-26.358553071095287</v>
      </c>
      <c r="M15" s="536">
        <f>(BS!M17+BS!M9)-(BS!N9+BS!N17)</f>
        <v>-11.137162136178972</v>
      </c>
      <c r="N15" s="536">
        <f>(BS!N17+BS!N9)-(BS!O9+BS!O17)</f>
        <v>-14.269235695844259</v>
      </c>
      <c r="O15" s="536">
        <f>(BS!O17+BS!O9)-(BS!P9+BS!P17)</f>
        <v>-24.136628146911733</v>
      </c>
      <c r="P15" s="536">
        <f>(BS!P17+BS!P9)-(BS!Q9+BS!Q17)</f>
        <v>-31.381014317976337</v>
      </c>
      <c r="Q15" s="536">
        <f>(BS!Q17+BS!Q9)-(BS!R9+BS!R17)</f>
        <v>-28.122434414838438</v>
      </c>
      <c r="R15" s="536">
        <f>(BS!R17+BS!R9)-(BS!S9+BS!S17)</f>
        <v>-24.774920944311816</v>
      </c>
      <c r="S15" s="536">
        <f>(BS!S17+BS!S9)-(BS!T9+BS!T17)</f>
        <v>-21.628712937966213</v>
      </c>
      <c r="T15" s="536">
        <f>(BS!T17+BS!T9)-(BS!U9+BS!U17)</f>
        <v>-18.727051490930307</v>
      </c>
      <c r="U15" s="536">
        <f>(BS!U17+BS!U9)-(BS!V9+BS!V17)</f>
        <v>-15.910758532220939</v>
      </c>
      <c r="V15" s="101"/>
      <c r="W15"/>
      <c r="X15"/>
      <c r="Y15"/>
      <c r="Z15"/>
      <c r="AA15"/>
      <c r="AB15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</row>
    <row r="16" spans="1:67" s="102" customFormat="1">
      <c r="A16" s="101"/>
      <c r="B16" s="538" t="s">
        <v>302</v>
      </c>
      <c r="C16" s="536"/>
      <c r="D16" s="536">
        <v>1.8320000000000001</v>
      </c>
      <c r="E16" s="536">
        <v>8.84</v>
      </c>
      <c r="F16" s="536">
        <v>1.6759999999999999</v>
      </c>
      <c r="G16" s="536">
        <v>10.098000000000001</v>
      </c>
      <c r="H16" s="536">
        <v>-4.9390000000000001</v>
      </c>
      <c r="I16" s="536">
        <f>BS!J21-BS!I21</f>
        <v>2.5419321829500596</v>
      </c>
      <c r="J16" s="536">
        <f>BS!K21-BS!J21</f>
        <v>3.7801856938092584</v>
      </c>
      <c r="K16" s="536">
        <f>BS!L21-BS!K21</f>
        <v>3.5893787904219607</v>
      </c>
      <c r="L16" s="536">
        <f>BS!M21-BS!L21</f>
        <v>2.376963114882038</v>
      </c>
      <c r="M16" s="536">
        <f>BS!N21-BS!M21</f>
        <v>0.97015948033102717</v>
      </c>
      <c r="N16" s="536">
        <f>BS!O21-BS!N21</f>
        <v>0.78550817008850515</v>
      </c>
      <c r="O16" s="536">
        <f>BS!P21-BS!O21</f>
        <v>1.1257720607271722</v>
      </c>
      <c r="P16" s="536">
        <f>BS!Q21-BS!P21</f>
        <v>0.7506799416172214</v>
      </c>
      <c r="Q16" s="536">
        <f>BS!R21-BS!Q21</f>
        <v>0.37250956767643828</v>
      </c>
      <c r="R16" s="536">
        <f>BS!S21-BS!R21</f>
        <v>0.11159040907283924</v>
      </c>
      <c r="S16" s="536">
        <f>BS!T21-BS!S21</f>
        <v>-0.13966418269320258</v>
      </c>
      <c r="T16" s="536">
        <f>BS!U21-BS!T21</f>
        <v>-0.3776160854680839</v>
      </c>
      <c r="U16" s="536">
        <f>BS!V21-BS!U21</f>
        <v>-0.60315583165600373</v>
      </c>
      <c r="V16" s="101"/>
      <c r="W16"/>
      <c r="X16"/>
      <c r="Y16"/>
      <c r="Z16"/>
      <c r="AA16"/>
      <c r="AB16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1"/>
      <c r="AT16" s="101"/>
      <c r="AU16" s="101"/>
      <c r="AV16" s="101"/>
      <c r="AW16" s="101"/>
      <c r="AX16" s="101"/>
      <c r="AY16" s="101"/>
      <c r="AZ16" s="101"/>
      <c r="BA16" s="101"/>
      <c r="BB16" s="101"/>
      <c r="BC16" s="101"/>
      <c r="BD16" s="101"/>
      <c r="BE16" s="101"/>
      <c r="BF16" s="101"/>
      <c r="BG16" s="101"/>
      <c r="BH16" s="101"/>
      <c r="BI16" s="101"/>
      <c r="BJ16" s="101"/>
      <c r="BK16" s="101"/>
      <c r="BL16" s="101"/>
      <c r="BM16" s="101"/>
      <c r="BN16" s="101"/>
      <c r="BO16" s="101"/>
    </row>
    <row r="17" spans="1:67" s="102" customFormat="1">
      <c r="A17" s="101"/>
      <c r="B17" s="538" t="s">
        <v>332</v>
      </c>
      <c r="C17" s="536"/>
      <c r="D17" s="536">
        <v>1.5469999999999999</v>
      </c>
      <c r="E17" s="536">
        <v>9.1219999999999999</v>
      </c>
      <c r="F17" s="536">
        <v>6.343</v>
      </c>
      <c r="G17" s="536">
        <v>10.673</v>
      </c>
      <c r="H17" s="536">
        <v>31.568000000000001</v>
      </c>
      <c r="I17" s="536">
        <f>BS!J22-BS!I22</f>
        <v>6.8356637238257321</v>
      </c>
      <c r="J17" s="536">
        <f>BS!K22-BS!J22</f>
        <v>1.6057964546843237</v>
      </c>
      <c r="K17" s="536">
        <f>BS!L22-BS!K22</f>
        <v>3.8977999001462535</v>
      </c>
      <c r="L17" s="536">
        <f>BS!M22-BS!L22</f>
        <v>0.52544644194132673</v>
      </c>
      <c r="M17" s="536">
        <f>BS!N22-BS!M22</f>
        <v>2.0305663541812322</v>
      </c>
      <c r="N17" s="536">
        <f>BS!O22-BS!N22</f>
        <v>1.6440868676270952</v>
      </c>
      <c r="O17" s="536">
        <f>BS!P22-BS!O22</f>
        <v>2.3562671038475713</v>
      </c>
      <c r="P17" s="536">
        <f>BS!Q22-BS!P22</f>
        <v>1.5711905754778996</v>
      </c>
      <c r="Q17" s="536">
        <f>BS!R22-BS!Q22</f>
        <v>0.7796711881599947</v>
      </c>
      <c r="R17" s="536">
        <f>BS!S22-BS!R22</f>
        <v>0.23356132131524987</v>
      </c>
      <c r="S17" s="536">
        <f>BS!T22-BS!S22</f>
        <v>-0.29232038238112068</v>
      </c>
      <c r="T17" s="536">
        <f>BS!U22-BS!T22</f>
        <v>-0.79035924865414131</v>
      </c>
      <c r="U17" s="536">
        <f>BS!V22-BS!U22</f>
        <v>-1.2624191825358082</v>
      </c>
      <c r="V17" s="101"/>
      <c r="W17"/>
      <c r="X17"/>
      <c r="Y17"/>
      <c r="Z17"/>
      <c r="AA17"/>
      <c r="AB17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1"/>
      <c r="BE17" s="101"/>
      <c r="BF17" s="101"/>
      <c r="BG17" s="101"/>
      <c r="BH17" s="101"/>
      <c r="BI17" s="101"/>
      <c r="BJ17" s="101"/>
      <c r="BK17" s="101"/>
      <c r="BL17" s="101"/>
      <c r="BM17" s="101"/>
      <c r="BN17" s="101"/>
      <c r="BO17" s="101"/>
    </row>
    <row r="18" spans="1:67" s="102" customFormat="1">
      <c r="A18" s="101"/>
      <c r="B18" s="538" t="s">
        <v>304</v>
      </c>
      <c r="C18" s="536"/>
      <c r="D18" s="536">
        <v>-6.2009999999999996</v>
      </c>
      <c r="E18" s="536">
        <v>-7.7859999999999996</v>
      </c>
      <c r="F18" s="536">
        <v>1.9039999999999999</v>
      </c>
      <c r="G18" s="536">
        <v>14.615</v>
      </c>
      <c r="H18" s="536">
        <v>1.8480000000000001</v>
      </c>
      <c r="I18" s="536">
        <f>(BS!J24+BS!J27)-(BS!I24+BS!I27)</f>
        <v>-0.30499795377144778</v>
      </c>
      <c r="J18" s="536">
        <f>(BS!K24+BS!K27)-(BS!J24+BS!J27)</f>
        <v>2.5300334289391628</v>
      </c>
      <c r="K18" s="536">
        <f>(BS!L24+BS!L27)-(BS!K24+BS!K27)</f>
        <v>14.698077917333165</v>
      </c>
      <c r="L18" s="536">
        <f>(BS!M24+BS!M27)-(BS!L24+BS!L27)</f>
        <v>15.815131842657166</v>
      </c>
      <c r="M18" s="536">
        <f>(BS!N24+BS!N27)-(BS!M24+BS!M27)</f>
        <v>11.857319886576789</v>
      </c>
      <c r="N18" s="536">
        <f>(BS!O24+BS!O27)-(BS!N24+BS!N27)</f>
        <v>18.137861472011849</v>
      </c>
      <c r="O18" s="536">
        <f>(BS!P24+BS!P27)-(BS!O24+BS!O27)</f>
        <v>12.000972630648931</v>
      </c>
      <c r="P18" s="536">
        <f>(BS!Q24+BS!Q27)-(BS!P24+BS!P27)</f>
        <v>6.558270188909205</v>
      </c>
      <c r="Q18" s="536">
        <f>(BS!R24+BS!R27)-(BS!Q24+BS!Q27)</f>
        <v>1.6279498103857577</v>
      </c>
      <c r="R18" s="536">
        <f>(BS!S24+BS!S27)-(BS!R24+BS!R27)</f>
        <v>13.626206519371465</v>
      </c>
      <c r="S18" s="536">
        <f>(BS!T24+BS!T27)-(BS!S24+BS!S27)</f>
        <v>11.895792115881449</v>
      </c>
      <c r="T18" s="536">
        <f>(BS!U24+BS!U27)-(BS!T24+BS!T27)</f>
        <v>10.299878320011658</v>
      </c>
      <c r="U18" s="536">
        <f>(BS!V24+BS!V27)-(BS!U24+BS!U27)</f>
        <v>8.7509171927215164</v>
      </c>
      <c r="V18" s="101"/>
      <c r="W18"/>
      <c r="X18"/>
      <c r="Y18"/>
      <c r="Z18"/>
      <c r="AA18"/>
      <c r="AB18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  <c r="AN18" s="101"/>
      <c r="AO18" s="101"/>
      <c r="AP18" s="101"/>
      <c r="AQ18" s="101"/>
      <c r="AR18" s="101"/>
      <c r="AS18" s="101"/>
      <c r="AT18" s="101"/>
      <c r="AU18" s="101"/>
      <c r="AV18" s="101"/>
      <c r="AW18" s="101"/>
      <c r="AX18" s="101"/>
      <c r="AY18" s="101"/>
      <c r="AZ18" s="101"/>
      <c r="BA18" s="101"/>
      <c r="BB18" s="101"/>
      <c r="BC18" s="101"/>
      <c r="BD18" s="101"/>
      <c r="BE18" s="101"/>
      <c r="BF18" s="101"/>
      <c r="BG18" s="101"/>
      <c r="BH18" s="101"/>
      <c r="BI18" s="101"/>
      <c r="BJ18" s="101"/>
      <c r="BK18" s="101"/>
      <c r="BL18" s="101"/>
      <c r="BM18" s="101"/>
      <c r="BN18" s="101"/>
      <c r="BO18" s="101"/>
    </row>
    <row r="19" spans="1:67" s="102" customFormat="1">
      <c r="A19" s="101"/>
      <c r="B19" s="538" t="s">
        <v>251</v>
      </c>
      <c r="C19" s="536"/>
      <c r="D19" s="536">
        <v>0.20399999999999999</v>
      </c>
      <c r="E19" s="536">
        <v>1.9410000000000001</v>
      </c>
      <c r="F19" s="540">
        <v>0.374</v>
      </c>
      <c r="G19" s="540">
        <v>2.145</v>
      </c>
      <c r="H19" s="540">
        <v>0</v>
      </c>
      <c r="I19" s="540">
        <f>BS!J29-BS!I29</f>
        <v>6.9903326645058517</v>
      </c>
      <c r="J19" s="540">
        <f>BS!K29-BS!J29</f>
        <v>0.18167087565890938</v>
      </c>
      <c r="K19" s="540">
        <f>BS!L29-BS!K29</f>
        <v>-0.34663299728974906</v>
      </c>
      <c r="L19" s="540">
        <f>BS!M29-BS!L29</f>
        <v>1.1055642394800209</v>
      </c>
      <c r="M19" s="540">
        <f>BS!N29-BS!M29</f>
        <v>0.45123696759582543</v>
      </c>
      <c r="N19" s="540">
        <f>BS!O29-BS!N29</f>
        <v>0.36535263725046718</v>
      </c>
      <c r="O19" s="540">
        <f>BS!P29-BS!O29</f>
        <v>0.52361491196612775</v>
      </c>
      <c r="P19" s="540">
        <f>BS!Q29-BS!P29</f>
        <v>0.34915346121731261</v>
      </c>
      <c r="Q19" s="540">
        <f>BS!R29-BS!Q29</f>
        <v>0.17326026403555161</v>
      </c>
      <c r="R19" s="540">
        <f>BS!S29-BS!R29</f>
        <v>5.190251584783212E-2</v>
      </c>
      <c r="S19" s="540">
        <f>BS!T29-BS!S29</f>
        <v>-6.4960084973581189E-2</v>
      </c>
      <c r="T19" s="540">
        <f>BS!U29-BS!T29</f>
        <v>-0.17563538858980721</v>
      </c>
      <c r="U19" s="540">
        <f>BS!V29-BS!U29</f>
        <v>-0.28053759611907125</v>
      </c>
      <c r="V19" s="101"/>
      <c r="W19"/>
      <c r="X19"/>
      <c r="Y19"/>
      <c r="Z19"/>
      <c r="AA19"/>
      <c r="AB19"/>
      <c r="AC19" s="101"/>
      <c r="AD19" s="101"/>
      <c r="AE19" s="101"/>
      <c r="AF19" s="101"/>
      <c r="AG19" s="101"/>
      <c r="AH19" s="101"/>
      <c r="AI19" s="101"/>
      <c r="AJ19" s="101"/>
      <c r="AK19" s="101"/>
      <c r="AL19" s="101"/>
      <c r="AM19" s="101"/>
      <c r="AN19" s="101"/>
      <c r="AO19" s="101"/>
      <c r="AP19" s="101"/>
      <c r="AQ19" s="101"/>
      <c r="AR19" s="101"/>
      <c r="AS19" s="101"/>
      <c r="AT19" s="101"/>
      <c r="AU19" s="101"/>
      <c r="AV19" s="101"/>
      <c r="AW19" s="101"/>
      <c r="AX19" s="101"/>
      <c r="AY19" s="101"/>
      <c r="AZ19" s="101"/>
      <c r="BA19" s="101"/>
      <c r="BB19" s="101"/>
      <c r="BC19" s="101"/>
      <c r="BD19" s="101"/>
      <c r="BE19" s="101"/>
      <c r="BF19" s="101"/>
      <c r="BG19" s="101"/>
      <c r="BH19" s="101"/>
      <c r="BI19" s="101"/>
      <c r="BJ19" s="101"/>
      <c r="BK19" s="101"/>
      <c r="BL19" s="101"/>
      <c r="BM19" s="101"/>
      <c r="BN19" s="101"/>
      <c r="BO19" s="101"/>
    </row>
    <row r="20" spans="1:67" s="103" customFormat="1" ht="13.5" customHeight="1" thickBot="1">
      <c r="A20" s="101"/>
      <c r="B20" s="637" t="s">
        <v>66</v>
      </c>
      <c r="C20" s="541"/>
      <c r="D20" s="542">
        <f t="shared" ref="D20:N20" si="0">SUM(D6:D19)</f>
        <v>-68.656999999999996</v>
      </c>
      <c r="E20" s="542">
        <f t="shared" si="0"/>
        <v>-165.64100000000005</v>
      </c>
      <c r="F20" s="612">
        <f t="shared" si="0"/>
        <v>-189.13999999999996</v>
      </c>
      <c r="G20" s="612">
        <f t="shared" si="0"/>
        <v>-307.70100000000002</v>
      </c>
      <c r="H20" s="612">
        <f t="shared" si="0"/>
        <v>-382.78600000000006</v>
      </c>
      <c r="I20" s="612">
        <f t="shared" si="0"/>
        <v>-422.73511243998149</v>
      </c>
      <c r="J20" s="612">
        <f t="shared" si="0"/>
        <v>-380.38813433553059</v>
      </c>
      <c r="K20" s="612">
        <f t="shared" si="0"/>
        <v>-12.084217033464743</v>
      </c>
      <c r="L20" s="612">
        <f t="shared" si="0"/>
        <v>469.17879087856602</v>
      </c>
      <c r="M20" s="612">
        <f t="shared" si="0"/>
        <v>894.39354030766492</v>
      </c>
      <c r="N20" s="612">
        <f t="shared" si="0"/>
        <v>1258.9764694768371</v>
      </c>
      <c r="O20" s="612">
        <f t="shared" ref="O20:U20" si="1">SUM(O6:O19)</f>
        <v>1421.7011533194066</v>
      </c>
      <c r="P20" s="612">
        <f t="shared" si="1"/>
        <v>1321.8454827080011</v>
      </c>
      <c r="Q20" s="612">
        <f t="shared" si="1"/>
        <v>1492.6388373602788</v>
      </c>
      <c r="R20" s="612">
        <f t="shared" si="1"/>
        <v>1686.157226078391</v>
      </c>
      <c r="S20" s="612">
        <f t="shared" si="1"/>
        <v>1838.5002199787648</v>
      </c>
      <c r="T20" s="612">
        <f t="shared" si="1"/>
        <v>1967.7664847168608</v>
      </c>
      <c r="U20" s="612">
        <f t="shared" si="1"/>
        <v>2064.1436215638096</v>
      </c>
      <c r="V20" s="101"/>
      <c r="W20"/>
      <c r="X20"/>
      <c r="Y20"/>
      <c r="Z20"/>
      <c r="AA20"/>
      <c r="AB20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</row>
    <row r="21" spans="1:67" s="102" customFormat="1" ht="9" customHeight="1">
      <c r="A21" s="101"/>
      <c r="B21" s="543"/>
      <c r="C21" s="544"/>
      <c r="D21" s="536"/>
      <c r="E21" s="536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101"/>
      <c r="R21" s="101"/>
      <c r="S21" s="101"/>
      <c r="T21" s="101"/>
      <c r="U21" s="101"/>
      <c r="V21" s="101"/>
      <c r="W21"/>
      <c r="X21"/>
      <c r="Y21"/>
      <c r="Z21"/>
      <c r="AA21"/>
      <c r="AB21"/>
      <c r="AC21" s="101"/>
      <c r="AD21" s="101"/>
      <c r="AE21" s="101"/>
      <c r="AF21" s="101"/>
      <c r="AG21" s="101"/>
      <c r="AH21" s="101"/>
      <c r="AI21" s="101"/>
      <c r="AJ21" s="101"/>
      <c r="AK21" s="101"/>
      <c r="AL21" s="101"/>
      <c r="AM21" s="101"/>
      <c r="AN21" s="101"/>
      <c r="AO21" s="101"/>
      <c r="AP21" s="101"/>
      <c r="AQ21" s="101"/>
      <c r="AR21" s="101"/>
      <c r="AS21" s="101"/>
      <c r="AT21" s="101"/>
      <c r="AU21" s="101"/>
      <c r="AV21" s="101"/>
      <c r="AW21" s="101"/>
      <c r="AX21" s="101"/>
      <c r="AY21" s="101"/>
      <c r="AZ21" s="101"/>
      <c r="BA21" s="101"/>
      <c r="BB21" s="101"/>
      <c r="BC21" s="101"/>
      <c r="BD21" s="101"/>
      <c r="BE21" s="101"/>
      <c r="BF21" s="101"/>
      <c r="BG21" s="101"/>
      <c r="BH21" s="101"/>
      <c r="BI21" s="101"/>
      <c r="BJ21" s="101"/>
      <c r="BK21" s="101"/>
      <c r="BL21" s="101"/>
      <c r="BM21" s="101"/>
      <c r="BN21" s="101"/>
      <c r="BO21" s="101"/>
    </row>
    <row r="22" spans="1:67" s="102" customFormat="1">
      <c r="A22" s="101"/>
      <c r="B22" s="531" t="s">
        <v>325</v>
      </c>
      <c r="C22" s="544"/>
      <c r="D22" s="536"/>
      <c r="E22" s="536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101"/>
      <c r="R22" s="101"/>
      <c r="S22" s="101"/>
      <c r="T22" s="101"/>
      <c r="U22" s="101"/>
      <c r="V22" s="101"/>
      <c r="W22"/>
      <c r="X22"/>
      <c r="Y22"/>
      <c r="Z22"/>
      <c r="AA22"/>
      <c r="AB22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  <c r="AV22" s="101"/>
      <c r="AW22" s="101"/>
      <c r="AX22" s="101"/>
      <c r="AY22" s="101"/>
      <c r="AZ22" s="101"/>
      <c r="BA22" s="101"/>
      <c r="BB22" s="101"/>
      <c r="BC22" s="101"/>
      <c r="BD22" s="101"/>
      <c r="BE22" s="101"/>
      <c r="BF22" s="101"/>
      <c r="BG22" s="101"/>
      <c r="BH22" s="101"/>
      <c r="BI22" s="101"/>
      <c r="BJ22" s="101"/>
      <c r="BK22" s="101"/>
      <c r="BL22" s="101"/>
      <c r="BM22" s="101"/>
      <c r="BN22" s="101"/>
      <c r="BO22" s="101"/>
    </row>
    <row r="23" spans="1:67" s="102" customFormat="1">
      <c r="A23" s="101"/>
      <c r="B23" s="543"/>
      <c r="C23" s="544"/>
      <c r="D23" s="536"/>
      <c r="E23" s="536"/>
      <c r="F23" s="536"/>
      <c r="G23" s="536"/>
      <c r="H23" s="536"/>
      <c r="I23" s="536"/>
      <c r="J23" s="536"/>
      <c r="K23" s="536"/>
      <c r="L23" s="536"/>
      <c r="M23" s="536"/>
      <c r="N23" s="536"/>
      <c r="O23" s="536"/>
      <c r="P23" s="536"/>
      <c r="Q23" s="101"/>
      <c r="R23" s="101"/>
      <c r="S23" s="101"/>
      <c r="T23" s="101"/>
      <c r="U23" s="101"/>
      <c r="V23" s="101"/>
      <c r="W23"/>
      <c r="X23"/>
      <c r="Y23"/>
      <c r="Z23"/>
      <c r="AA23"/>
      <c r="AB23"/>
      <c r="AC23" s="101"/>
      <c r="AD23" s="101"/>
      <c r="AE23" s="101"/>
      <c r="AF23" s="101"/>
      <c r="AG23" s="101"/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1"/>
      <c r="AT23" s="101"/>
      <c r="AU23" s="101"/>
      <c r="AV23" s="101"/>
      <c r="AW23" s="101"/>
      <c r="AX23" s="101"/>
      <c r="AY23" s="101"/>
      <c r="AZ23" s="101"/>
      <c r="BA23" s="101"/>
      <c r="BB23" s="101"/>
      <c r="BC23" s="101"/>
      <c r="BD23" s="101"/>
      <c r="BE23" s="101"/>
      <c r="BF23" s="101"/>
      <c r="BG23" s="101"/>
      <c r="BH23" s="101"/>
      <c r="BI23" s="101"/>
      <c r="BJ23" s="101"/>
      <c r="BK23" s="101"/>
      <c r="BL23" s="101"/>
      <c r="BM23" s="101"/>
      <c r="BN23" s="101"/>
      <c r="BO23" s="101"/>
    </row>
    <row r="24" spans="1:67" s="102" customFormat="1">
      <c r="A24" s="101"/>
      <c r="B24" s="545" t="s">
        <v>327</v>
      </c>
      <c r="C24" s="546">
        <v>0</v>
      </c>
      <c r="D24" s="536">
        <v>-4.0060000000000002</v>
      </c>
      <c r="E24" s="536">
        <v>-8.9610000000000003</v>
      </c>
      <c r="F24" s="536">
        <v>-12.95</v>
      </c>
      <c r="G24" s="536">
        <v>-64.557000000000002</v>
      </c>
      <c r="H24" s="536">
        <v>-104.209</v>
      </c>
      <c r="I24" s="536">
        <f>-BS!J81</f>
        <v>-87.156748142934219</v>
      </c>
      <c r="J24" s="536">
        <f>-BS!K81</f>
        <v>-108.75629434395964</v>
      </c>
      <c r="K24" s="536">
        <f>-BS!L81</f>
        <v>-110.17837284187596</v>
      </c>
      <c r="L24" s="536">
        <f>-BS!M81</f>
        <v>-117.51824523515805</v>
      </c>
      <c r="M24" s="536">
        <f>-BS!N81</f>
        <v>-103.50045209738786</v>
      </c>
      <c r="N24" s="536">
        <f>-BS!O81</f>
        <v>-115.90340660937238</v>
      </c>
      <c r="O24" s="536">
        <f>-BS!P81</f>
        <v>-115.34118097763991</v>
      </c>
      <c r="P24" s="536">
        <f>-BS!Q81</f>
        <v>-113.4829907657583</v>
      </c>
      <c r="Q24" s="536">
        <f>-BS!R81</f>
        <v>-112.81678020502819</v>
      </c>
      <c r="R24" s="536">
        <f>-BS!S81</f>
        <v>-108.79609544583724</v>
      </c>
      <c r="S24" s="536">
        <f>-BS!T81</f>
        <v>-105.39415519578735</v>
      </c>
      <c r="T24" s="536">
        <f>-BS!U81</f>
        <v>-99.911043578759802</v>
      </c>
      <c r="U24" s="536">
        <f>-BS!V81</f>
        <v>-96.487915168943942</v>
      </c>
      <c r="V24" s="101"/>
      <c r="W24"/>
      <c r="X24"/>
      <c r="Y24"/>
      <c r="Z24"/>
      <c r="AA24"/>
      <c r="AB24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  <c r="AX24" s="101"/>
      <c r="AY24" s="101"/>
      <c r="AZ24" s="101"/>
      <c r="BA24" s="101"/>
      <c r="BB24" s="101"/>
      <c r="BC24" s="101"/>
      <c r="BD24" s="101"/>
      <c r="BE24" s="101"/>
      <c r="BF24" s="101"/>
      <c r="BG24" s="101"/>
      <c r="BH24" s="101"/>
      <c r="BI24" s="101"/>
      <c r="BJ24" s="101"/>
      <c r="BK24" s="101"/>
      <c r="BL24" s="101"/>
      <c r="BM24" s="101"/>
      <c r="BN24" s="101"/>
      <c r="BO24" s="101"/>
    </row>
    <row r="25" spans="1:67" s="102" customFormat="1">
      <c r="A25" s="101"/>
      <c r="B25" s="545" t="s">
        <v>328</v>
      </c>
      <c r="C25" s="546"/>
      <c r="D25" s="536">
        <v>-364.30500000000001</v>
      </c>
      <c r="E25" s="536">
        <v>-977.77499999999998</v>
      </c>
      <c r="F25" s="536">
        <v>-1033.8430000000001</v>
      </c>
      <c r="G25" s="536">
        <v>-759.31</v>
      </c>
      <c r="H25" s="536">
        <v>-903.45699999999999</v>
      </c>
      <c r="I25" s="536">
        <v>0</v>
      </c>
      <c r="J25" s="536">
        <v>0</v>
      </c>
      <c r="K25" s="536">
        <v>0</v>
      </c>
      <c r="L25" s="536">
        <v>0</v>
      </c>
      <c r="M25" s="536">
        <v>0</v>
      </c>
      <c r="N25" s="536">
        <v>0</v>
      </c>
      <c r="O25" s="536">
        <v>0</v>
      </c>
      <c r="P25" s="536">
        <v>0</v>
      </c>
      <c r="Q25" s="536">
        <v>0</v>
      </c>
      <c r="R25" s="536">
        <v>0</v>
      </c>
      <c r="S25" s="536">
        <v>0</v>
      </c>
      <c r="T25" s="536">
        <v>0</v>
      </c>
      <c r="U25" s="536">
        <v>0</v>
      </c>
      <c r="V25" s="101"/>
      <c r="W25"/>
      <c r="X25"/>
      <c r="Y25"/>
      <c r="Z25"/>
      <c r="AA25"/>
      <c r="AB25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K25" s="101"/>
      <c r="BL25" s="101"/>
      <c r="BM25" s="101"/>
      <c r="BN25" s="101"/>
      <c r="BO25" s="101"/>
    </row>
    <row r="26" spans="1:67" s="102" customFormat="1">
      <c r="A26" s="101"/>
      <c r="B26" s="545" t="s">
        <v>329</v>
      </c>
      <c r="C26" s="546"/>
      <c r="D26" s="536">
        <v>237.80600000000001</v>
      </c>
      <c r="E26" s="536">
        <v>462.92200000000003</v>
      </c>
      <c r="F26" s="536">
        <v>726.94299999999998</v>
      </c>
      <c r="G26" s="536">
        <v>1116.4580000000001</v>
      </c>
      <c r="H26" s="536">
        <v>597.30499999999995</v>
      </c>
      <c r="I26" s="536">
        <v>250</v>
      </c>
      <c r="J26" s="536">
        <v>250</v>
      </c>
      <c r="K26" s="536">
        <v>200</v>
      </c>
      <c r="L26" s="536">
        <v>0</v>
      </c>
      <c r="M26" s="536">
        <v>0</v>
      </c>
      <c r="N26" s="536">
        <v>0</v>
      </c>
      <c r="O26" s="536">
        <v>0</v>
      </c>
      <c r="P26" s="536">
        <v>0</v>
      </c>
      <c r="Q26" s="536">
        <v>0</v>
      </c>
      <c r="R26" s="536">
        <v>0</v>
      </c>
      <c r="S26" s="536">
        <v>0</v>
      </c>
      <c r="T26" s="536">
        <v>0</v>
      </c>
      <c r="U26" s="536">
        <v>0</v>
      </c>
      <c r="V26" s="101"/>
      <c r="W26"/>
      <c r="X26"/>
      <c r="Y26"/>
      <c r="Z26"/>
      <c r="AA26"/>
      <c r="AB26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</row>
    <row r="27" spans="1:67" s="102" customFormat="1">
      <c r="A27" s="101"/>
      <c r="B27" s="545" t="s">
        <v>410</v>
      </c>
      <c r="C27" s="546"/>
      <c r="D27" s="536">
        <v>0</v>
      </c>
      <c r="E27" s="536">
        <v>0</v>
      </c>
      <c r="F27" s="536">
        <v>-1.4710000000000001</v>
      </c>
      <c r="G27" s="536">
        <v>-150</v>
      </c>
      <c r="H27" s="536">
        <v>120</v>
      </c>
      <c r="I27" s="536">
        <v>0</v>
      </c>
      <c r="J27" s="536">
        <v>0</v>
      </c>
      <c r="K27" s="536">
        <v>0</v>
      </c>
      <c r="L27" s="536">
        <v>0</v>
      </c>
      <c r="M27" s="536">
        <v>0</v>
      </c>
      <c r="N27" s="536">
        <v>0</v>
      </c>
      <c r="O27" s="536">
        <v>0</v>
      </c>
      <c r="P27" s="536">
        <v>0</v>
      </c>
      <c r="Q27" s="536">
        <v>0</v>
      </c>
      <c r="R27" s="536">
        <v>0</v>
      </c>
      <c r="S27" s="536">
        <v>0</v>
      </c>
      <c r="T27" s="536">
        <v>0</v>
      </c>
      <c r="U27" s="536">
        <v>0</v>
      </c>
      <c r="V27" s="101"/>
      <c r="W27"/>
      <c r="X27"/>
      <c r="Y27"/>
      <c r="Z27"/>
      <c r="AA27"/>
      <c r="AB27"/>
      <c r="AC27" s="101"/>
      <c r="AD27" s="101"/>
      <c r="AE27" s="101"/>
      <c r="AF27" s="101"/>
      <c r="AG27" s="101"/>
      <c r="AH27" s="101"/>
      <c r="AI27" s="101"/>
      <c r="AJ27" s="10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1"/>
      <c r="AW27" s="101"/>
      <c r="AX27" s="101"/>
      <c r="AY27" s="101"/>
      <c r="AZ27" s="101"/>
      <c r="BA27" s="101"/>
      <c r="BB27" s="101"/>
      <c r="BC27" s="101"/>
      <c r="BD27" s="101"/>
      <c r="BE27" s="101"/>
      <c r="BF27" s="101"/>
      <c r="BG27" s="101"/>
      <c r="BH27" s="101"/>
      <c r="BI27" s="101"/>
      <c r="BJ27" s="101"/>
      <c r="BK27" s="101"/>
      <c r="BL27" s="101"/>
      <c r="BM27" s="101"/>
      <c r="BN27" s="101"/>
      <c r="BO27" s="101"/>
    </row>
    <row r="28" spans="1:67" s="102" customFormat="1">
      <c r="A28" s="101"/>
      <c r="B28" s="545" t="s">
        <v>259</v>
      </c>
      <c r="C28" s="546"/>
      <c r="D28" s="536">
        <v>0</v>
      </c>
      <c r="E28" s="536">
        <v>-25</v>
      </c>
      <c r="F28" s="536">
        <v>0</v>
      </c>
      <c r="G28" s="536">
        <v>0</v>
      </c>
      <c r="H28" s="536">
        <v>0</v>
      </c>
      <c r="I28" s="536">
        <v>0</v>
      </c>
      <c r="J28" s="536">
        <v>0</v>
      </c>
      <c r="K28" s="536">
        <v>0</v>
      </c>
      <c r="L28" s="536">
        <v>0</v>
      </c>
      <c r="M28" s="536">
        <v>0</v>
      </c>
      <c r="N28" s="536">
        <v>0</v>
      </c>
      <c r="O28" s="536">
        <v>0</v>
      </c>
      <c r="P28" s="536">
        <v>0</v>
      </c>
      <c r="Q28" s="536">
        <v>0</v>
      </c>
      <c r="R28" s="536">
        <v>0</v>
      </c>
      <c r="S28" s="536">
        <v>0</v>
      </c>
      <c r="T28" s="536">
        <v>0</v>
      </c>
      <c r="U28" s="536">
        <v>0</v>
      </c>
      <c r="V28" s="101"/>
      <c r="W28"/>
      <c r="X28"/>
      <c r="Y28"/>
      <c r="Z28"/>
      <c r="AA28"/>
      <c r="AB28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</row>
    <row r="29" spans="1:67" s="103" customFormat="1" ht="13.5" customHeight="1" thickBot="1">
      <c r="A29" s="101"/>
      <c r="B29" s="637" t="s">
        <v>67</v>
      </c>
      <c r="C29" s="541"/>
      <c r="D29" s="542">
        <f t="shared" ref="D29:L29" si="2">SUM(D24:D28)</f>
        <v>-130.50500000000002</v>
      </c>
      <c r="E29" s="542">
        <f t="shared" si="2"/>
        <v>-548.81399999999996</v>
      </c>
      <c r="F29" s="612">
        <f t="shared" si="2"/>
        <v>-321.32100000000014</v>
      </c>
      <c r="G29" s="612">
        <f t="shared" si="2"/>
        <v>142.59100000000012</v>
      </c>
      <c r="H29" s="612">
        <f t="shared" si="2"/>
        <v>-290.36099999999999</v>
      </c>
      <c r="I29" s="612">
        <f t="shared" si="2"/>
        <v>162.84325185706578</v>
      </c>
      <c r="J29" s="612">
        <f t="shared" si="2"/>
        <v>141.24370565604036</v>
      </c>
      <c r="K29" s="612">
        <f t="shared" si="2"/>
        <v>89.821627158124045</v>
      </c>
      <c r="L29" s="612">
        <f t="shared" si="2"/>
        <v>-117.51824523515805</v>
      </c>
      <c r="M29" s="612">
        <f t="shared" ref="M29:N29" si="3">SUM(M24:M28)</f>
        <v>-103.50045209738786</v>
      </c>
      <c r="N29" s="612">
        <f t="shared" si="3"/>
        <v>-115.90340660937238</v>
      </c>
      <c r="O29" s="612">
        <f t="shared" ref="O29:U29" si="4">SUM(O24:O28)</f>
        <v>-115.34118097763991</v>
      </c>
      <c r="P29" s="612">
        <f t="shared" si="4"/>
        <v>-113.4829907657583</v>
      </c>
      <c r="Q29" s="612">
        <f t="shared" si="4"/>
        <v>-112.81678020502819</v>
      </c>
      <c r="R29" s="612">
        <f t="shared" si="4"/>
        <v>-108.79609544583724</v>
      </c>
      <c r="S29" s="612">
        <f t="shared" si="4"/>
        <v>-105.39415519578735</v>
      </c>
      <c r="T29" s="612">
        <f t="shared" si="4"/>
        <v>-99.911043578759802</v>
      </c>
      <c r="U29" s="612">
        <f t="shared" si="4"/>
        <v>-96.487915168943942</v>
      </c>
      <c r="V29" s="101"/>
      <c r="W29"/>
      <c r="X29"/>
      <c r="Y29"/>
      <c r="Z29"/>
      <c r="AA29"/>
      <c r="AB29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  <c r="BA29" s="101"/>
      <c r="BB29" s="101"/>
      <c r="BC29" s="101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</row>
    <row r="30" spans="1:67" s="102" customFormat="1" ht="9.6" customHeight="1">
      <c r="A30" s="101"/>
      <c r="B30" s="543"/>
      <c r="C30" s="544"/>
      <c r="D30" s="536"/>
      <c r="E30" s="536"/>
      <c r="F30" s="536"/>
      <c r="G30" s="536"/>
      <c r="H30" s="536"/>
      <c r="I30" s="536"/>
      <c r="J30" s="536"/>
      <c r="K30" s="536"/>
      <c r="L30" s="536"/>
      <c r="M30" s="536"/>
      <c r="N30" s="536"/>
      <c r="O30" s="536"/>
      <c r="P30" s="536"/>
      <c r="Q30" s="101"/>
      <c r="R30" s="101"/>
      <c r="S30" s="101"/>
      <c r="T30" s="101"/>
      <c r="U30" s="101"/>
      <c r="V30" s="101"/>
      <c r="W30"/>
      <c r="X30"/>
      <c r="Y30"/>
      <c r="Z30"/>
      <c r="AA30"/>
      <c r="AB30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1"/>
      <c r="AP30" s="101"/>
      <c r="AQ30" s="101"/>
      <c r="AR30" s="101"/>
      <c r="AS30" s="101"/>
      <c r="AT30" s="101"/>
      <c r="AU30" s="101"/>
      <c r="AV30" s="101"/>
      <c r="AW30" s="101"/>
      <c r="AX30" s="101"/>
      <c r="AY30" s="101"/>
      <c r="AZ30" s="101"/>
      <c r="BA30" s="101"/>
      <c r="BB30" s="101"/>
      <c r="BC30" s="101"/>
      <c r="BD30" s="101"/>
      <c r="BE30" s="101"/>
      <c r="BF30" s="101"/>
      <c r="BG30" s="101"/>
      <c r="BH30" s="101"/>
      <c r="BI30" s="101"/>
      <c r="BJ30" s="101"/>
      <c r="BK30" s="101"/>
      <c r="BL30" s="101"/>
      <c r="BM30" s="101"/>
      <c r="BN30" s="101"/>
      <c r="BO30" s="101"/>
    </row>
    <row r="31" spans="1:67" s="102" customFormat="1">
      <c r="A31" s="101"/>
      <c r="B31" s="531" t="s">
        <v>326</v>
      </c>
      <c r="C31" s="544"/>
      <c r="D31" s="536"/>
      <c r="E31" s="536"/>
      <c r="F31" s="536"/>
      <c r="G31" s="536"/>
      <c r="H31" s="536"/>
      <c r="I31" s="536"/>
      <c r="J31" s="536"/>
      <c r="K31" s="536"/>
      <c r="L31" s="536"/>
      <c r="M31" s="536"/>
      <c r="N31" s="536"/>
      <c r="O31" s="536"/>
      <c r="P31" s="536"/>
      <c r="Q31" s="101"/>
      <c r="R31" s="101"/>
      <c r="S31" s="101"/>
      <c r="T31" s="101"/>
      <c r="U31" s="101"/>
      <c r="V31" s="101"/>
      <c r="W31"/>
      <c r="X31"/>
      <c r="Y31"/>
      <c r="Z31"/>
      <c r="AA31"/>
      <c r="AB31"/>
      <c r="AC31" s="101"/>
      <c r="AD31" s="101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1"/>
      <c r="AP31" s="101"/>
      <c r="AQ31" s="101"/>
      <c r="AR31" s="101"/>
      <c r="AS31" s="101"/>
      <c r="AT31" s="101"/>
      <c r="AU31" s="101"/>
      <c r="AV31" s="101"/>
      <c r="AW31" s="101"/>
      <c r="AX31" s="101"/>
      <c r="AY31" s="101"/>
      <c r="AZ31" s="101"/>
      <c r="BA31" s="101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</row>
    <row r="32" spans="1:67" s="102" customFormat="1">
      <c r="A32" s="101"/>
      <c r="B32" s="543"/>
      <c r="C32" s="544"/>
      <c r="D32" s="536"/>
      <c r="E32" s="536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  <c r="Q32" s="101"/>
      <c r="R32" s="101"/>
      <c r="S32" s="101"/>
      <c r="T32" s="101"/>
      <c r="U32" s="101"/>
      <c r="V32" s="101"/>
      <c r="W32"/>
      <c r="X32"/>
      <c r="Y32"/>
      <c r="Z32"/>
      <c r="AA32"/>
      <c r="AB32"/>
      <c r="AC32" s="101"/>
      <c r="AD32" s="101"/>
      <c r="AE32" s="101"/>
      <c r="AF32" s="101"/>
      <c r="AG32" s="101"/>
      <c r="AH32" s="101"/>
      <c r="AI32" s="101"/>
      <c r="AJ32" s="101"/>
      <c r="AK32" s="101"/>
      <c r="AL32" s="101"/>
      <c r="AM32" s="101"/>
      <c r="AN32" s="101"/>
      <c r="AO32" s="101"/>
      <c r="AP32" s="101"/>
      <c r="AQ32" s="101"/>
      <c r="AR32" s="101"/>
      <c r="AS32" s="101"/>
      <c r="AT32" s="101"/>
      <c r="AU32" s="101"/>
      <c r="AV32" s="101"/>
      <c r="AW32" s="101"/>
      <c r="AX32" s="101"/>
      <c r="AY32" s="101"/>
      <c r="AZ32" s="101"/>
      <c r="BA32" s="101"/>
      <c r="BB32" s="101"/>
      <c r="BC32" s="101"/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</row>
    <row r="33" spans="1:67" s="102" customFormat="1" ht="12" customHeight="1">
      <c r="A33" s="101"/>
      <c r="B33" s="545" t="s">
        <v>333</v>
      </c>
      <c r="C33" s="547"/>
      <c r="D33" s="548">
        <v>28.742999999999999</v>
      </c>
      <c r="E33" s="548">
        <v>29.42</v>
      </c>
      <c r="F33" s="548">
        <v>31.137</v>
      </c>
      <c r="G33" s="548">
        <v>14.127000000000001</v>
      </c>
      <c r="H33" s="548">
        <f>84.142+21.381</f>
        <v>105.523</v>
      </c>
      <c r="I33" s="548">
        <f t="shared" ref="I33:N33" si="5">I75+I80</f>
        <v>77.647638760819135</v>
      </c>
      <c r="J33" s="548">
        <f t="shared" si="5"/>
        <v>78.416047250926709</v>
      </c>
      <c r="K33" s="548">
        <f t="shared" si="5"/>
        <v>79.192059985246885</v>
      </c>
      <c r="L33" s="548">
        <f t="shared" si="5"/>
        <v>79.975752216110678</v>
      </c>
      <c r="M33" s="548">
        <f t="shared" si="5"/>
        <v>80.767199940553382</v>
      </c>
      <c r="N33" s="548">
        <f t="shared" si="5"/>
        <v>81.566479907684283</v>
      </c>
      <c r="O33" s="548">
        <f t="shared" ref="O33:P33" si="6">O75+O80</f>
        <v>82.373669626129143</v>
      </c>
      <c r="P33" s="548">
        <f t="shared" si="6"/>
        <v>83.188847371546615</v>
      </c>
      <c r="Q33" s="548">
        <f t="shared" ref="Q33:U33" si="7">Q75+Q80</f>
        <v>84.012092194218724</v>
      </c>
      <c r="R33" s="548">
        <f t="shared" si="7"/>
        <v>84.843483926716772</v>
      </c>
      <c r="S33" s="548">
        <f t="shared" si="7"/>
        <v>85.683103191642715</v>
      </c>
      <c r="T33" s="548">
        <f t="shared" si="7"/>
        <v>86.53103140944765</v>
      </c>
      <c r="U33" s="548">
        <f t="shared" si="7"/>
        <v>87.38735080632722</v>
      </c>
      <c r="V33" s="101"/>
      <c r="W33"/>
      <c r="X33"/>
      <c r="Y33"/>
      <c r="Z33"/>
      <c r="AA33"/>
      <c r="AB33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</row>
    <row r="34" spans="1:67" s="102" customFormat="1" ht="12" customHeight="1">
      <c r="A34" s="101"/>
      <c r="B34" s="545" t="s">
        <v>334</v>
      </c>
      <c r="C34" s="547"/>
      <c r="D34" s="547">
        <v>173.572</v>
      </c>
      <c r="E34" s="547">
        <f>723.037</f>
        <v>723.03700000000003</v>
      </c>
      <c r="F34" s="536">
        <f>496.4+89.018</f>
        <v>585.41800000000001</v>
      </c>
      <c r="G34" s="536">
        <v>14.301</v>
      </c>
      <c r="H34" s="536">
        <v>1139.625</v>
      </c>
      <c r="I34" s="536">
        <f t="shared" ref="I34:N34" si="8">I74</f>
        <v>0</v>
      </c>
      <c r="J34" s="536">
        <f t="shared" si="8"/>
        <v>0</v>
      </c>
      <c r="K34" s="536">
        <f t="shared" si="8"/>
        <v>0</v>
      </c>
      <c r="L34" s="536">
        <f t="shared" si="8"/>
        <v>0</v>
      </c>
      <c r="M34" s="536">
        <f t="shared" si="8"/>
        <v>0</v>
      </c>
      <c r="N34" s="536">
        <f t="shared" si="8"/>
        <v>0</v>
      </c>
      <c r="O34" s="536">
        <f t="shared" ref="O34:P34" si="9">O74</f>
        <v>0</v>
      </c>
      <c r="P34" s="536">
        <f t="shared" si="9"/>
        <v>0</v>
      </c>
      <c r="Q34" s="536">
        <f t="shared" ref="Q34:U34" si="10">Q74</f>
        <v>0</v>
      </c>
      <c r="R34" s="536">
        <f t="shared" si="10"/>
        <v>0</v>
      </c>
      <c r="S34" s="536">
        <f t="shared" si="10"/>
        <v>0</v>
      </c>
      <c r="T34" s="536">
        <f t="shared" si="10"/>
        <v>0</v>
      </c>
      <c r="U34" s="536">
        <f t="shared" si="10"/>
        <v>0</v>
      </c>
      <c r="V34" s="101"/>
      <c r="W34"/>
      <c r="X34"/>
      <c r="Y34"/>
      <c r="Z34"/>
      <c r="AA34"/>
      <c r="AB34"/>
      <c r="AC34" s="101"/>
      <c r="AD34" s="101"/>
      <c r="AE34" s="101"/>
      <c r="AF34" s="101"/>
      <c r="AG34" s="101"/>
      <c r="AH34" s="101"/>
      <c r="AI34" s="101"/>
      <c r="AJ34" s="101"/>
      <c r="AK34" s="101"/>
      <c r="AL34" s="101"/>
      <c r="AM34" s="101"/>
      <c r="AN34" s="101"/>
      <c r="AO34" s="101"/>
      <c r="AP34" s="101"/>
      <c r="AQ34" s="101"/>
      <c r="AR34" s="101"/>
      <c r="AS34" s="101"/>
      <c r="AT34" s="101"/>
      <c r="AU34" s="101"/>
      <c r="AV34" s="101"/>
      <c r="AW34" s="101"/>
      <c r="AX34" s="101"/>
      <c r="AY34" s="101"/>
      <c r="AZ34" s="101"/>
      <c r="BA34" s="101"/>
      <c r="BB34" s="101"/>
      <c r="BC34" s="101"/>
      <c r="BD34" s="101"/>
      <c r="BE34" s="101"/>
      <c r="BF34" s="101"/>
      <c r="BG34" s="101"/>
      <c r="BH34" s="101"/>
      <c r="BI34" s="101"/>
      <c r="BJ34" s="101"/>
      <c r="BK34" s="101"/>
      <c r="BL34" s="101"/>
      <c r="BM34" s="101"/>
      <c r="BN34" s="101"/>
      <c r="BO34" s="101"/>
    </row>
    <row r="35" spans="1:67" s="102" customFormat="1" ht="12" customHeight="1">
      <c r="A35" s="101"/>
      <c r="B35" s="545" t="s">
        <v>565</v>
      </c>
      <c r="C35" s="547"/>
      <c r="D35" s="547"/>
      <c r="E35" s="547"/>
      <c r="F35" s="536">
        <v>0</v>
      </c>
      <c r="G35" s="536">
        <f>IS!AA106+IS!AA105</f>
        <v>150</v>
      </c>
      <c r="H35" s="536">
        <v>-120</v>
      </c>
      <c r="I35" s="536">
        <f>-IS!AK105</f>
        <v>0</v>
      </c>
      <c r="J35" s="536">
        <f>-IS!AP105</f>
        <v>0</v>
      </c>
      <c r="K35" s="536">
        <f>-IS!AU105</f>
        <v>0</v>
      </c>
      <c r="L35" s="536">
        <f>-IS!AZ105</f>
        <v>-30</v>
      </c>
      <c r="M35" s="536">
        <v>0</v>
      </c>
      <c r="N35" s="536">
        <v>0</v>
      </c>
      <c r="O35" s="536">
        <v>0</v>
      </c>
      <c r="P35" s="536">
        <v>0</v>
      </c>
      <c r="Q35" s="536">
        <v>0</v>
      </c>
      <c r="R35" s="536">
        <v>0</v>
      </c>
      <c r="S35" s="536">
        <v>0</v>
      </c>
      <c r="T35" s="536">
        <v>0</v>
      </c>
      <c r="U35" s="536">
        <v>0</v>
      </c>
      <c r="V35" s="101"/>
      <c r="W35"/>
      <c r="X35"/>
      <c r="Y35"/>
      <c r="Z35"/>
      <c r="AA35"/>
      <c r="AB35"/>
      <c r="AC35" s="101"/>
      <c r="AD35" s="101"/>
      <c r="AE35" s="101"/>
      <c r="AF35" s="101"/>
      <c r="AG35" s="101"/>
      <c r="AH35" s="101"/>
      <c r="AI35" s="101"/>
      <c r="AJ35" s="101"/>
      <c r="AK35" s="101"/>
      <c r="AL35" s="101"/>
      <c r="AM35" s="101"/>
      <c r="AN35" s="101"/>
      <c r="AO35" s="101"/>
      <c r="AP35" s="101"/>
      <c r="AQ35" s="101"/>
      <c r="AR35" s="101"/>
      <c r="AS35" s="101"/>
      <c r="AT35" s="101"/>
      <c r="AU35" s="101"/>
      <c r="AV35" s="101"/>
      <c r="AW35" s="101"/>
      <c r="AX35" s="101"/>
      <c r="AY35" s="101"/>
      <c r="AZ35" s="101"/>
      <c r="BA35" s="101"/>
      <c r="BB35" s="101"/>
      <c r="BC35" s="101"/>
      <c r="BD35" s="101"/>
      <c r="BE35" s="101"/>
      <c r="BF35" s="101"/>
      <c r="BG35" s="101"/>
      <c r="BH35" s="101"/>
      <c r="BI35" s="101"/>
      <c r="BJ35" s="101"/>
      <c r="BK35" s="101"/>
      <c r="BL35" s="101"/>
      <c r="BM35" s="101"/>
      <c r="BN35" s="101"/>
      <c r="BO35" s="101"/>
    </row>
    <row r="36" spans="1:67" s="102" customFormat="1" ht="12" customHeight="1">
      <c r="A36" s="101"/>
      <c r="B36" s="545" t="s">
        <v>251</v>
      </c>
      <c r="C36" s="547"/>
      <c r="D36" s="547">
        <v>-1.389</v>
      </c>
      <c r="E36" s="547">
        <v>-15.992000000000001</v>
      </c>
      <c r="F36" s="536">
        <v>-0.378</v>
      </c>
      <c r="G36" s="536">
        <v>-0.59599999999999997</v>
      </c>
      <c r="H36" s="536">
        <f>-0.257</f>
        <v>-0.25700000000000001</v>
      </c>
      <c r="I36" s="536">
        <v>0</v>
      </c>
      <c r="J36" s="536">
        <v>0</v>
      </c>
      <c r="K36" s="536">
        <v>0</v>
      </c>
      <c r="L36" s="536">
        <v>0</v>
      </c>
      <c r="M36" s="536">
        <v>0</v>
      </c>
      <c r="N36" s="536">
        <v>0</v>
      </c>
      <c r="O36" s="536">
        <v>0</v>
      </c>
      <c r="P36" s="536">
        <v>0</v>
      </c>
      <c r="Q36" s="536">
        <v>0</v>
      </c>
      <c r="R36" s="536">
        <v>0</v>
      </c>
      <c r="S36" s="536">
        <v>0</v>
      </c>
      <c r="T36" s="536">
        <v>0</v>
      </c>
      <c r="U36" s="536">
        <v>0</v>
      </c>
      <c r="V36" s="101"/>
      <c r="W36"/>
      <c r="X36"/>
      <c r="Y36"/>
      <c r="Z36"/>
      <c r="AA36"/>
      <c r="AB36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</row>
    <row r="37" spans="1:67" s="103" customFormat="1" ht="13.5" customHeight="1" thickBot="1">
      <c r="A37" s="101"/>
      <c r="B37" s="637" t="s">
        <v>68</v>
      </c>
      <c r="C37" s="541"/>
      <c r="D37" s="542">
        <f t="shared" ref="D37:L37" si="11">SUM(D33:D36)</f>
        <v>200.92599999999999</v>
      </c>
      <c r="E37" s="542">
        <f t="shared" si="11"/>
        <v>736.46500000000003</v>
      </c>
      <c r="F37" s="612">
        <f t="shared" si="11"/>
        <v>616.17700000000002</v>
      </c>
      <c r="G37" s="612">
        <f t="shared" si="11"/>
        <v>177.83199999999999</v>
      </c>
      <c r="H37" s="612">
        <f t="shared" si="11"/>
        <v>1124.8909999999998</v>
      </c>
      <c r="I37" s="612">
        <f t="shared" si="11"/>
        <v>77.647638760819135</v>
      </c>
      <c r="J37" s="612">
        <f t="shared" si="11"/>
        <v>78.416047250926709</v>
      </c>
      <c r="K37" s="612">
        <f t="shared" si="11"/>
        <v>79.192059985246885</v>
      </c>
      <c r="L37" s="612">
        <f t="shared" si="11"/>
        <v>49.975752216110678</v>
      </c>
      <c r="M37" s="612">
        <f t="shared" ref="M37:N37" si="12">SUM(M33:M36)</f>
        <v>80.767199940553382</v>
      </c>
      <c r="N37" s="612">
        <f t="shared" si="12"/>
        <v>81.566479907684283</v>
      </c>
      <c r="O37" s="612">
        <f t="shared" ref="O37:U37" si="13">SUM(O33:O36)</f>
        <v>82.373669626129143</v>
      </c>
      <c r="P37" s="612">
        <f t="shared" si="13"/>
        <v>83.188847371546615</v>
      </c>
      <c r="Q37" s="612">
        <f t="shared" si="13"/>
        <v>84.012092194218724</v>
      </c>
      <c r="R37" s="612">
        <f t="shared" si="13"/>
        <v>84.843483926716772</v>
      </c>
      <c r="S37" s="612">
        <f t="shared" si="13"/>
        <v>85.683103191642715</v>
      </c>
      <c r="T37" s="612">
        <f t="shared" si="13"/>
        <v>86.53103140944765</v>
      </c>
      <c r="U37" s="612">
        <f t="shared" si="13"/>
        <v>87.38735080632722</v>
      </c>
      <c r="V37" s="101"/>
      <c r="W37"/>
      <c r="X37"/>
      <c r="Y37"/>
      <c r="Z37"/>
      <c r="AA37"/>
      <c r="AB37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</row>
    <row r="38" spans="1:67" s="101" customFormat="1" ht="9" customHeight="1">
      <c r="B38" s="543"/>
      <c r="C38" s="549"/>
      <c r="D38" s="550"/>
      <c r="E38" s="550"/>
      <c r="F38" s="550"/>
      <c r="G38" s="550"/>
      <c r="H38" s="550"/>
      <c r="I38" s="550"/>
      <c r="J38" s="550"/>
      <c r="K38" s="550"/>
      <c r="L38" s="550"/>
      <c r="M38" s="550"/>
      <c r="N38" s="550"/>
      <c r="O38" s="550"/>
      <c r="P38" s="550"/>
      <c r="W38"/>
      <c r="X38"/>
      <c r="Y38"/>
      <c r="Z38"/>
      <c r="AA38"/>
      <c r="AB38"/>
    </row>
    <row r="39" spans="1:67" s="102" customFormat="1" ht="13.5" customHeight="1">
      <c r="A39" s="101"/>
      <c r="B39" s="551" t="s">
        <v>335</v>
      </c>
      <c r="C39" s="552"/>
      <c r="D39" s="547">
        <f t="shared" ref="D39:L39" si="14">SUM(D20,D29,D37)</f>
        <v>1.7639999999999532</v>
      </c>
      <c r="E39" s="547">
        <f t="shared" si="14"/>
        <v>22.009999999999991</v>
      </c>
      <c r="F39" s="547">
        <f t="shared" si="14"/>
        <v>105.71599999999989</v>
      </c>
      <c r="G39" s="547">
        <f t="shared" si="14"/>
        <v>12.722000000000094</v>
      </c>
      <c r="H39" s="547">
        <f t="shared" si="14"/>
        <v>451.7439999999998</v>
      </c>
      <c r="I39" s="547">
        <f t="shared" si="14"/>
        <v>-182.24422182209656</v>
      </c>
      <c r="J39" s="547">
        <f t="shared" si="14"/>
        <v>-160.72838142856352</v>
      </c>
      <c r="K39" s="547">
        <f t="shared" si="14"/>
        <v>156.92947010990619</v>
      </c>
      <c r="L39" s="547">
        <f t="shared" si="14"/>
        <v>401.63629785951866</v>
      </c>
      <c r="M39" s="547">
        <f t="shared" ref="M39:N39" si="15">SUM(M20,M29,M37)</f>
        <v>871.66028815083041</v>
      </c>
      <c r="N39" s="547">
        <f t="shared" si="15"/>
        <v>1224.6395427751488</v>
      </c>
      <c r="O39" s="547">
        <f t="shared" ref="O39:P39" si="16">SUM(O20,O29,O37)</f>
        <v>1388.7336419678959</v>
      </c>
      <c r="P39" s="547">
        <f t="shared" si="16"/>
        <v>1291.5513393137894</v>
      </c>
      <c r="Q39" s="547">
        <f t="shared" ref="Q39:U39" si="17">SUM(Q20,Q29,Q37)</f>
        <v>1463.8341493494693</v>
      </c>
      <c r="R39" s="547">
        <f t="shared" si="17"/>
        <v>1662.2046145592706</v>
      </c>
      <c r="S39" s="547">
        <f t="shared" si="17"/>
        <v>1818.7891679746201</v>
      </c>
      <c r="T39" s="547">
        <f t="shared" si="17"/>
        <v>1954.3864725475487</v>
      </c>
      <c r="U39" s="547">
        <f t="shared" si="17"/>
        <v>2055.0430572011928</v>
      </c>
      <c r="V39" s="101"/>
      <c r="W39"/>
      <c r="X39"/>
      <c r="Y39"/>
      <c r="Z39"/>
      <c r="AA39"/>
      <c r="AB39"/>
      <c r="AC39" s="101"/>
      <c r="AD39" s="101"/>
      <c r="AE39" s="101"/>
      <c r="AF39" s="101"/>
      <c r="AG39" s="101"/>
      <c r="AH39" s="101"/>
      <c r="AI39" s="101"/>
      <c r="AJ39" s="101"/>
      <c r="AK39" s="101"/>
      <c r="AL39" s="101"/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1"/>
      <c r="AX39" s="101"/>
      <c r="AY39" s="101"/>
      <c r="AZ39" s="101"/>
      <c r="BA39" s="101"/>
      <c r="BB39" s="101"/>
      <c r="BC39" s="101"/>
      <c r="BD39" s="101"/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1"/>
    </row>
    <row r="40" spans="1:67" s="102" customFormat="1" ht="13.5" customHeight="1">
      <c r="A40" s="101"/>
      <c r="B40" s="551" t="s">
        <v>336</v>
      </c>
      <c r="C40" s="552"/>
      <c r="D40" s="547">
        <v>51.405000000000001</v>
      </c>
      <c r="E40" s="547">
        <f>D42</f>
        <v>53.168999999999954</v>
      </c>
      <c r="F40" s="547">
        <f t="shared" ref="F40" si="18">E42</f>
        <v>75.178999999999945</v>
      </c>
      <c r="G40" s="547">
        <f t="shared" ref="G40" si="19">F42</f>
        <v>180.89499999999984</v>
      </c>
      <c r="H40" s="547">
        <f t="shared" ref="H40:N40" si="20">G42</f>
        <v>193.61699999999993</v>
      </c>
      <c r="I40" s="547">
        <f t="shared" si="20"/>
        <v>645.36099999999976</v>
      </c>
      <c r="J40" s="547">
        <f t="shared" si="20"/>
        <v>463.1167781779032</v>
      </c>
      <c r="K40" s="547">
        <f t="shared" si="20"/>
        <v>302.38839674933968</v>
      </c>
      <c r="L40" s="547">
        <f t="shared" si="20"/>
        <v>459.3178668592459</v>
      </c>
      <c r="M40" s="547">
        <f t="shared" si="20"/>
        <v>860.95416471876456</v>
      </c>
      <c r="N40" s="547">
        <f t="shared" si="20"/>
        <v>1732.614452869595</v>
      </c>
      <c r="O40" s="547">
        <f t="shared" ref="O40" si="21">N42</f>
        <v>2957.2539956447436</v>
      </c>
      <c r="P40" s="547">
        <f t="shared" ref="P40" si="22">O42</f>
        <v>4345.9876376126394</v>
      </c>
      <c r="Q40" s="547">
        <f t="shared" ref="Q40" si="23">P42</f>
        <v>5637.5389769264293</v>
      </c>
      <c r="R40" s="547">
        <f t="shared" ref="R40" si="24">Q42</f>
        <v>7101.3731262758984</v>
      </c>
      <c r="S40" s="547">
        <f t="shared" ref="S40" si="25">R42</f>
        <v>8763.5777408351696</v>
      </c>
      <c r="T40" s="547">
        <f t="shared" ref="T40" si="26">S42</f>
        <v>10582.36690880979</v>
      </c>
      <c r="U40" s="547">
        <f t="shared" ref="U40" si="27">T42</f>
        <v>12536.753381357339</v>
      </c>
      <c r="V40" s="101"/>
      <c r="W40"/>
      <c r="X40"/>
      <c r="Y40"/>
      <c r="Z40"/>
      <c r="AA40"/>
      <c r="AB4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1"/>
      <c r="AZ40" s="101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</row>
    <row r="41" spans="1:67" s="102" customFormat="1" ht="9" customHeight="1">
      <c r="A41" s="101"/>
      <c r="B41" s="551"/>
      <c r="C41" s="552"/>
      <c r="D41" s="547"/>
      <c r="E41" s="547"/>
      <c r="F41" s="547"/>
      <c r="G41" s="547"/>
      <c r="H41" s="547"/>
      <c r="I41" s="547"/>
      <c r="J41" s="547"/>
      <c r="K41" s="547"/>
      <c r="L41" s="547"/>
      <c r="M41" s="547"/>
      <c r="N41" s="547"/>
      <c r="O41" s="547"/>
      <c r="P41" s="547"/>
      <c r="Q41" s="101"/>
      <c r="R41" s="101"/>
      <c r="S41" s="101"/>
      <c r="T41" s="101"/>
      <c r="U41" s="101"/>
      <c r="V41" s="101"/>
      <c r="W41"/>
      <c r="X41"/>
      <c r="Y41"/>
      <c r="Z41"/>
      <c r="AA41"/>
      <c r="AB41"/>
      <c r="AC41" s="101"/>
      <c r="AD41" s="101"/>
      <c r="AE41" s="101"/>
      <c r="AF41" s="101"/>
      <c r="AG41" s="101"/>
      <c r="AH41" s="101"/>
      <c r="AI41" s="101"/>
      <c r="AJ41" s="101"/>
      <c r="AK41" s="101"/>
      <c r="AL41" s="101"/>
      <c r="AM41" s="101"/>
      <c r="AN41" s="101"/>
      <c r="AO41" s="101"/>
      <c r="AP41" s="101"/>
      <c r="AQ41" s="101"/>
      <c r="AR41" s="101"/>
      <c r="AS41" s="101"/>
      <c r="AT41" s="101"/>
      <c r="AU41" s="101"/>
      <c r="AV41" s="101"/>
      <c r="AW41" s="101"/>
      <c r="AX41" s="101"/>
      <c r="AY41" s="101"/>
      <c r="AZ41" s="101"/>
      <c r="BA41" s="101"/>
      <c r="BB41" s="101"/>
      <c r="BC41" s="101"/>
      <c r="BD41" s="101"/>
      <c r="BE41" s="101"/>
      <c r="BF41" s="101"/>
      <c r="BG41" s="101"/>
      <c r="BH41" s="101"/>
      <c r="BI41" s="101"/>
      <c r="BJ41" s="101"/>
      <c r="BK41" s="101"/>
      <c r="BL41" s="101"/>
      <c r="BM41" s="101"/>
      <c r="BN41" s="101"/>
      <c r="BO41" s="101"/>
    </row>
    <row r="42" spans="1:67" s="102" customFormat="1">
      <c r="A42" s="101"/>
      <c r="B42" s="634" t="s">
        <v>337</v>
      </c>
      <c r="C42" s="553"/>
      <c r="D42" s="554">
        <f>D39+D40</f>
        <v>53.168999999999954</v>
      </c>
      <c r="E42" s="554">
        <f t="shared" ref="E42:L42" si="28">SUM(E39:E40)</f>
        <v>75.178999999999945</v>
      </c>
      <c r="F42" s="554">
        <f t="shared" si="28"/>
        <v>180.89499999999984</v>
      </c>
      <c r="G42" s="554">
        <f t="shared" si="28"/>
        <v>193.61699999999993</v>
      </c>
      <c r="H42" s="554">
        <f t="shared" si="28"/>
        <v>645.36099999999976</v>
      </c>
      <c r="I42" s="554">
        <f t="shared" si="28"/>
        <v>463.1167781779032</v>
      </c>
      <c r="J42" s="554">
        <f t="shared" si="28"/>
        <v>302.38839674933968</v>
      </c>
      <c r="K42" s="554">
        <f t="shared" si="28"/>
        <v>459.3178668592459</v>
      </c>
      <c r="L42" s="554">
        <f t="shared" si="28"/>
        <v>860.95416471876456</v>
      </c>
      <c r="M42" s="554">
        <f t="shared" ref="M42:N42" si="29">SUM(M39:M40)</f>
        <v>1732.614452869595</v>
      </c>
      <c r="N42" s="554">
        <f t="shared" si="29"/>
        <v>2957.2539956447436</v>
      </c>
      <c r="O42" s="554">
        <f t="shared" ref="O42" si="30">SUM(O39:O40)</f>
        <v>4345.9876376126394</v>
      </c>
      <c r="P42" s="554">
        <f t="shared" ref="P42:U42" si="31">SUM(P39:P40)</f>
        <v>5637.5389769264293</v>
      </c>
      <c r="Q42" s="554">
        <f t="shared" si="31"/>
        <v>7101.3731262758984</v>
      </c>
      <c r="R42" s="554">
        <f t="shared" si="31"/>
        <v>8763.5777408351696</v>
      </c>
      <c r="S42" s="554">
        <f t="shared" si="31"/>
        <v>10582.36690880979</v>
      </c>
      <c r="T42" s="554">
        <f t="shared" si="31"/>
        <v>12536.753381357339</v>
      </c>
      <c r="U42" s="554">
        <f t="shared" si="31"/>
        <v>14591.796438558533</v>
      </c>
      <c r="V42" s="101"/>
      <c r="W42"/>
      <c r="X42"/>
      <c r="Y42"/>
      <c r="Z42"/>
      <c r="AA42"/>
      <c r="AB42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  <c r="BA42" s="101"/>
      <c r="BB42" s="101"/>
      <c r="BC42" s="101"/>
      <c r="BD42" s="101"/>
      <c r="BE42" s="101"/>
      <c r="BF42" s="101"/>
      <c r="BG42" s="101"/>
      <c r="BH42" s="101"/>
      <c r="BI42" s="101"/>
      <c r="BJ42" s="101"/>
      <c r="BK42" s="101"/>
      <c r="BL42" s="101"/>
      <c r="BM42" s="101"/>
      <c r="BN42" s="101"/>
      <c r="BO42" s="101"/>
    </row>
    <row r="43" spans="1:67">
      <c r="B43" s="635" t="s">
        <v>338</v>
      </c>
      <c r="C43" s="550"/>
      <c r="D43" s="550">
        <f>BS!E6+BS!E13</f>
        <v>297.303</v>
      </c>
      <c r="E43" s="550">
        <f>BS!F6+BS!F13</f>
        <v>806.75</v>
      </c>
      <c r="F43" s="550">
        <f>BS!G6+BS!G13</f>
        <v>1100.056</v>
      </c>
      <c r="G43" s="550">
        <f>BS!H6+BS!H13</f>
        <v>748.98399999999992</v>
      </c>
      <c r="H43" s="550">
        <f>BS!I6+BS!I13</f>
        <v>1059.1760000000002</v>
      </c>
      <c r="I43" s="550">
        <f>BS!J6+BS!J13</f>
        <v>809.17600000000004</v>
      </c>
      <c r="J43" s="550">
        <f>BS!K6+BS!K13</f>
        <v>559.17600000000004</v>
      </c>
      <c r="K43" s="550">
        <f>BS!L6+BS!L13</f>
        <v>359.17600000000004</v>
      </c>
      <c r="L43" s="550">
        <f>BS!M6+BS!M13</f>
        <v>359.17600000000004</v>
      </c>
      <c r="M43" s="550">
        <f>BS!N6+BS!N13</f>
        <v>359.17600000000004</v>
      </c>
      <c r="N43" s="550">
        <f>BS!O6+BS!O13</f>
        <v>359.17600000000004</v>
      </c>
      <c r="O43" s="550">
        <f>BS!P6+BS!P13</f>
        <v>359.17600000000004</v>
      </c>
      <c r="P43" s="550">
        <f>BS!Q6+BS!Q13</f>
        <v>359.17600000000004</v>
      </c>
      <c r="Q43" s="550">
        <f>BS!R6+BS!R13</f>
        <v>359.17600000000004</v>
      </c>
      <c r="R43" s="550">
        <f>BS!S6+BS!S13</f>
        <v>359.17600000000004</v>
      </c>
      <c r="S43" s="550">
        <f>BS!T6+BS!T13</f>
        <v>359.17600000000004</v>
      </c>
      <c r="T43" s="550">
        <f>BS!U6+BS!U13</f>
        <v>359.17600000000004</v>
      </c>
      <c r="U43" s="550">
        <f>BS!V6+BS!V13</f>
        <v>359.17600000000004</v>
      </c>
    </row>
    <row r="44" spans="1:67">
      <c r="B44" s="636" t="s">
        <v>339</v>
      </c>
      <c r="C44" s="630"/>
      <c r="D44" s="630">
        <f t="shared" ref="D44:L44" si="32">D42+D43</f>
        <v>350.47199999999998</v>
      </c>
      <c r="E44" s="630">
        <f t="shared" si="32"/>
        <v>881.92899999999997</v>
      </c>
      <c r="F44" s="630">
        <f t="shared" si="32"/>
        <v>1280.9509999999998</v>
      </c>
      <c r="G44" s="630">
        <f t="shared" si="32"/>
        <v>942.60099999999989</v>
      </c>
      <c r="H44" s="630">
        <f t="shared" si="32"/>
        <v>1704.5369999999998</v>
      </c>
      <c r="I44" s="630">
        <f t="shared" si="32"/>
        <v>1272.2927781779033</v>
      </c>
      <c r="J44" s="630">
        <f t="shared" si="32"/>
        <v>861.56439674933972</v>
      </c>
      <c r="K44" s="630">
        <f t="shared" si="32"/>
        <v>818.49386685924594</v>
      </c>
      <c r="L44" s="630">
        <f t="shared" si="32"/>
        <v>1220.1301647187647</v>
      </c>
      <c r="M44" s="630">
        <f t="shared" ref="M44:N44" si="33">M42+M43</f>
        <v>2091.7904528695949</v>
      </c>
      <c r="N44" s="630">
        <f t="shared" si="33"/>
        <v>3316.4299956447435</v>
      </c>
      <c r="O44" s="630">
        <f t="shared" ref="O44" si="34">O42+O43</f>
        <v>4705.1636376126398</v>
      </c>
      <c r="P44" s="630">
        <f t="shared" ref="P44:U44" si="35">P42+P43</f>
        <v>5996.7149769264297</v>
      </c>
      <c r="Q44" s="630">
        <f t="shared" si="35"/>
        <v>7460.5491262758987</v>
      </c>
      <c r="R44" s="630">
        <f t="shared" si="35"/>
        <v>9122.7537408351691</v>
      </c>
      <c r="S44" s="630">
        <f t="shared" si="35"/>
        <v>10941.54290880979</v>
      </c>
      <c r="T44" s="630">
        <f t="shared" si="35"/>
        <v>12895.929381357339</v>
      </c>
      <c r="U44" s="630">
        <f t="shared" si="35"/>
        <v>14950.972438558532</v>
      </c>
    </row>
    <row r="45" spans="1:67">
      <c r="B45" s="515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</row>
    <row r="46" spans="1:67">
      <c r="B46" s="494" t="s">
        <v>255</v>
      </c>
      <c r="C46" s="123"/>
      <c r="D46" s="123">
        <f>D42-BS!E5</f>
        <v>0</v>
      </c>
      <c r="E46" s="123">
        <f>E42-BS!F5</f>
        <v>0</v>
      </c>
      <c r="F46" s="123">
        <f>F42-BS!G5</f>
        <v>0</v>
      </c>
      <c r="G46" s="123">
        <f>G42-BS!H5</f>
        <v>0</v>
      </c>
      <c r="H46" s="123">
        <f>H42-BS!I5</f>
        <v>0</v>
      </c>
      <c r="I46" s="123">
        <f>I42-BS!J5</f>
        <v>0</v>
      </c>
      <c r="J46" s="123">
        <f>J42-BS!K5</f>
        <v>0</v>
      </c>
      <c r="K46" s="123">
        <f>K42-BS!L5</f>
        <v>0</v>
      </c>
      <c r="L46" s="123">
        <f>L42-BS!M5</f>
        <v>0</v>
      </c>
      <c r="M46" s="123">
        <f>M42-BS!N5</f>
        <v>0</v>
      </c>
      <c r="N46" s="123">
        <f>N42-BS!O5</f>
        <v>0</v>
      </c>
      <c r="O46" s="123">
        <f>O42-BS!P5</f>
        <v>0</v>
      </c>
      <c r="P46" s="123">
        <f>P42-BS!Q5</f>
        <v>0</v>
      </c>
      <c r="Q46" s="123">
        <f>Q42-BS!R5</f>
        <v>0</v>
      </c>
      <c r="R46" s="123">
        <f>R42-BS!S5</f>
        <v>0</v>
      </c>
      <c r="S46" s="123">
        <f>S42-BS!T5</f>
        <v>0</v>
      </c>
      <c r="T46" s="123">
        <f>T42-BS!U5</f>
        <v>0</v>
      </c>
      <c r="U46" s="123">
        <f>U42-BS!V5</f>
        <v>0</v>
      </c>
    </row>
    <row r="47" spans="1:67" ht="12.75" customHeight="1">
      <c r="B47" s="516"/>
      <c r="C47" s="104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</row>
    <row r="48" spans="1:67" ht="13.5" customHeight="1">
      <c r="B48" s="517" t="s">
        <v>42</v>
      </c>
      <c r="C48" s="104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</row>
    <row r="49" spans="2:21">
      <c r="C49" s="104"/>
      <c r="D49" s="106"/>
      <c r="E49" s="106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</row>
    <row r="50" spans="2:21">
      <c r="B50" s="143" t="s">
        <v>340</v>
      </c>
      <c r="C50" s="143"/>
      <c r="D50" s="255">
        <v>0.1</v>
      </c>
      <c r="E50" s="256"/>
      <c r="F50" s="256"/>
      <c r="G50" s="256"/>
      <c r="H50" s="256"/>
      <c r="I50" s="256"/>
      <c r="J50" s="256"/>
      <c r="K50" s="256"/>
      <c r="L50" s="256"/>
      <c r="M50" s="256"/>
      <c r="N50" s="256"/>
      <c r="O50" s="256"/>
      <c r="P50" s="256"/>
    </row>
    <row r="51" spans="2:21">
      <c r="B51" s="518" t="s">
        <v>46</v>
      </c>
      <c r="C51" s="166"/>
      <c r="D51" s="257">
        <v>63.14</v>
      </c>
      <c r="E51" s="257">
        <v>97.77</v>
      </c>
      <c r="F51" s="655">
        <f t="shared" ref="F51:N51" si="36">E51*(1+$D$50)</f>
        <v>107.54700000000001</v>
      </c>
      <c r="G51" s="655">
        <f t="shared" si="36"/>
        <v>118.30170000000003</v>
      </c>
      <c r="H51" s="258">
        <f t="shared" si="36"/>
        <v>130.13187000000005</v>
      </c>
      <c r="I51" s="258">
        <f t="shared" si="36"/>
        <v>143.14505700000007</v>
      </c>
      <c r="J51" s="258">
        <f t="shared" si="36"/>
        <v>157.45956270000008</v>
      </c>
      <c r="K51" s="258">
        <f t="shared" si="36"/>
        <v>173.2055189700001</v>
      </c>
      <c r="L51" s="258">
        <f t="shared" si="36"/>
        <v>190.52607086700013</v>
      </c>
      <c r="M51" s="258">
        <f t="shared" si="36"/>
        <v>209.57867795370015</v>
      </c>
      <c r="N51" s="258">
        <f t="shared" si="36"/>
        <v>230.53654574907017</v>
      </c>
      <c r="O51" s="258">
        <f t="shared" ref="O51" si="37">N51*(1+$D$50)</f>
        <v>253.5902003239772</v>
      </c>
      <c r="P51" s="258">
        <f t="shared" ref="P51" si="38">O51*(1+$D$50)</f>
        <v>278.94922035637495</v>
      </c>
      <c r="Q51" s="258">
        <f t="shared" ref="Q51" si="39">P51*(1+$D$50)</f>
        <v>306.84414239201249</v>
      </c>
      <c r="R51" s="258">
        <f t="shared" ref="R51" si="40">Q51*(1+$D$50)</f>
        <v>337.52855663121375</v>
      </c>
      <c r="S51" s="258">
        <f t="shared" ref="S51" si="41">R51*(1+$D$50)</f>
        <v>371.28141229433515</v>
      </c>
      <c r="T51" s="258">
        <f t="shared" ref="T51" si="42">S51*(1+$D$50)</f>
        <v>408.40955352376869</v>
      </c>
      <c r="U51" s="258">
        <f t="shared" ref="U51" si="43">T51*(1+$D$50)</f>
        <v>449.2505088761456</v>
      </c>
    </row>
    <row r="52" spans="2:21">
      <c r="B52" s="519" t="s">
        <v>47</v>
      </c>
      <c r="C52" s="156"/>
      <c r="D52" s="168">
        <v>8931.5830000000005</v>
      </c>
      <c r="E52" s="168">
        <f>8245+468</f>
        <v>8713</v>
      </c>
      <c r="F52" s="656">
        <f t="shared" ref="F52:N52" si="44">E52-E56-E58+E64</f>
        <v>8169</v>
      </c>
      <c r="G52" s="656">
        <f t="shared" si="44"/>
        <v>7678.8600000000006</v>
      </c>
      <c r="H52" s="172">
        <v>9913</v>
      </c>
      <c r="I52" s="172">
        <f t="shared" si="44"/>
        <v>9101</v>
      </c>
      <c r="J52" s="172">
        <f t="shared" si="44"/>
        <v>8355.513063653787</v>
      </c>
      <c r="K52" s="172">
        <f t="shared" si="44"/>
        <v>7671.0909303251401</v>
      </c>
      <c r="L52" s="172">
        <f t="shared" si="44"/>
        <v>7042.7316207897811</v>
      </c>
      <c r="M52" s="172">
        <f t="shared" si="44"/>
        <v>6465.8428811467566</v>
      </c>
      <c r="N52" s="172">
        <f t="shared" si="44"/>
        <v>5936.2086211355436</v>
      </c>
      <c r="O52" s="172">
        <f t="shared" ref="O52" si="45">N52-N56-N58+N64</f>
        <v>5449.9581015791973</v>
      </c>
      <c r="P52" s="172">
        <f t="shared" ref="P52" si="46">O52-O56-O58+O64</f>
        <v>5003.5376457653865</v>
      </c>
      <c r="Q52" s="172">
        <f t="shared" ref="Q52" si="47">P52-P56-P58+P64</f>
        <v>4593.6846680228773</v>
      </c>
      <c r="R52" s="172">
        <f t="shared" ref="R52" si="48">Q52-Q56-Q58+Q64</f>
        <v>4217.403829685888</v>
      </c>
      <c r="S52" s="172">
        <f t="shared" ref="S52" si="49">R52-R56-R58+R64</f>
        <v>3871.945148186348</v>
      </c>
      <c r="T52" s="172">
        <f t="shared" ref="T52" si="50">S52-S56-S58+S64</f>
        <v>3554.783899288203</v>
      </c>
      <c r="U52" s="172">
        <f t="shared" ref="U52" si="51">T52-T56-T58+T64</f>
        <v>3263.602165582764</v>
      </c>
    </row>
    <row r="53" spans="2:21">
      <c r="B53" s="519" t="s">
        <v>341</v>
      </c>
      <c r="C53" s="156"/>
      <c r="D53" s="168">
        <f>(5324.421+5885.363)/2</f>
        <v>5604.8919999999998</v>
      </c>
      <c r="E53" s="168">
        <f>(5324.421+4736+150)/2</f>
        <v>5105.2105000000001</v>
      </c>
      <c r="F53" s="656">
        <f t="shared" ref="F53:L53" si="52">F52*F54</f>
        <v>4901.3999999999996</v>
      </c>
      <c r="G53" s="656">
        <f t="shared" si="52"/>
        <v>4607.3159999999998</v>
      </c>
      <c r="H53" s="172">
        <v>5294</v>
      </c>
      <c r="I53" s="172">
        <f t="shared" si="52"/>
        <v>4860.3544840108943</v>
      </c>
      <c r="J53" s="172">
        <f t="shared" si="52"/>
        <v>4462.2300170466206</v>
      </c>
      <c r="K53" s="172">
        <f t="shared" si="52"/>
        <v>4096.7169762071308</v>
      </c>
      <c r="L53" s="172">
        <f t="shared" si="52"/>
        <v>3761.1440734854332</v>
      </c>
      <c r="M53" s="172">
        <f t="shared" ref="M53:N53" si="53">M52*M54</f>
        <v>3453.0588331273002</v>
      </c>
      <c r="N53" s="172">
        <f t="shared" si="53"/>
        <v>3170.2096681419921</v>
      </c>
      <c r="O53" s="172">
        <f t="shared" ref="O53" si="54">O52*O54</f>
        <v>2910.5294249732947</v>
      </c>
      <c r="P53" s="172">
        <f t="shared" ref="P53:U53" si="55">P52*P54</f>
        <v>2672.1202760700048</v>
      </c>
      <c r="Q53" s="172">
        <f t="shared" si="55"/>
        <v>2453.23984994584</v>
      </c>
      <c r="R53" s="172">
        <f t="shared" si="55"/>
        <v>2252.2884973627652</v>
      </c>
      <c r="S53" s="172">
        <f t="shared" si="55"/>
        <v>2067.7976005748537</v>
      </c>
      <c r="T53" s="172">
        <f t="shared" si="55"/>
        <v>1898.4188401928525</v>
      </c>
      <c r="U53" s="172">
        <f t="shared" si="55"/>
        <v>1742.9143412282006</v>
      </c>
    </row>
    <row r="54" spans="2:21">
      <c r="B54" s="520" t="s">
        <v>48</v>
      </c>
      <c r="C54" s="157"/>
      <c r="D54" s="144">
        <f t="shared" ref="D54:H54" si="56">IF(ISERROR(D53/D52), "NM", (D53/D52))</f>
        <v>0.62753623853688645</v>
      </c>
      <c r="E54" s="144">
        <f t="shared" si="56"/>
        <v>0.58593027659818664</v>
      </c>
      <c r="F54" s="657">
        <v>0.6</v>
      </c>
      <c r="G54" s="657">
        <f t="shared" ref="G54:N54" si="57">F54</f>
        <v>0.6</v>
      </c>
      <c r="H54" s="144">
        <f t="shared" si="56"/>
        <v>0.53404620195702612</v>
      </c>
      <c r="I54" s="161">
        <f t="shared" si="57"/>
        <v>0.53404620195702612</v>
      </c>
      <c r="J54" s="161">
        <f t="shared" si="57"/>
        <v>0.53404620195702612</v>
      </c>
      <c r="K54" s="161">
        <f t="shared" si="57"/>
        <v>0.53404620195702612</v>
      </c>
      <c r="L54" s="161">
        <f t="shared" si="57"/>
        <v>0.53404620195702612</v>
      </c>
      <c r="M54" s="161">
        <f t="shared" si="57"/>
        <v>0.53404620195702612</v>
      </c>
      <c r="N54" s="161">
        <f t="shared" si="57"/>
        <v>0.53404620195702612</v>
      </c>
      <c r="O54" s="161">
        <f t="shared" ref="O54" si="58">N54</f>
        <v>0.53404620195702612</v>
      </c>
      <c r="P54" s="161">
        <f t="shared" ref="P54" si="59">O54</f>
        <v>0.53404620195702612</v>
      </c>
      <c r="Q54" s="161">
        <f t="shared" ref="Q54" si="60">P54</f>
        <v>0.53404620195702612</v>
      </c>
      <c r="R54" s="161">
        <f t="shared" ref="R54" si="61">Q54</f>
        <v>0.53404620195702612</v>
      </c>
      <c r="S54" s="161">
        <f t="shared" ref="S54" si="62">R54</f>
        <v>0.53404620195702612</v>
      </c>
      <c r="T54" s="161">
        <f t="shared" ref="T54" si="63">S54</f>
        <v>0.53404620195702612</v>
      </c>
      <c r="U54" s="161">
        <f t="shared" ref="U54" si="64">T54</f>
        <v>0.53404620195702612</v>
      </c>
    </row>
    <row r="55" spans="2:21">
      <c r="B55" s="521" t="s">
        <v>342</v>
      </c>
      <c r="C55" s="169"/>
      <c r="D55" s="170">
        <v>18.21</v>
      </c>
      <c r="E55" s="170">
        <v>21.44</v>
      </c>
      <c r="F55" s="658">
        <f t="shared" ref="F55:N55" si="65">E55*(1+$D$50)</f>
        <v>23.584000000000003</v>
      </c>
      <c r="G55" s="658">
        <f t="shared" si="65"/>
        <v>25.942400000000006</v>
      </c>
      <c r="H55" s="171">
        <v>51.54</v>
      </c>
      <c r="I55" s="171">
        <f t="shared" si="65"/>
        <v>56.694000000000003</v>
      </c>
      <c r="J55" s="171">
        <f t="shared" si="65"/>
        <v>62.363400000000006</v>
      </c>
      <c r="K55" s="171">
        <f t="shared" si="65"/>
        <v>68.599740000000011</v>
      </c>
      <c r="L55" s="171">
        <f t="shared" si="65"/>
        <v>75.459714000000019</v>
      </c>
      <c r="M55" s="171">
        <f t="shared" si="65"/>
        <v>83.005685400000033</v>
      </c>
      <c r="N55" s="171">
        <f t="shared" si="65"/>
        <v>91.306253940000047</v>
      </c>
      <c r="O55" s="171">
        <f t="shared" ref="O55" si="66">N55*(1+$D$50)</f>
        <v>100.43687933400005</v>
      </c>
      <c r="P55" s="171">
        <f t="shared" ref="P55" si="67">O55*(1+$D$50)</f>
        <v>110.48056726740006</v>
      </c>
      <c r="Q55" s="171">
        <f t="shared" ref="Q55" si="68">P55*(1+$D$50)</f>
        <v>121.52862399414008</v>
      </c>
      <c r="R55" s="171">
        <f t="shared" ref="R55" si="69">Q55*(1+$D$50)</f>
        <v>133.68148639355408</v>
      </c>
      <c r="S55" s="171">
        <f t="shared" ref="S55" si="70">R55*(1+$D$50)</f>
        <v>147.04963503290949</v>
      </c>
      <c r="T55" s="171">
        <f t="shared" ref="T55" si="71">S55*(1+$D$50)</f>
        <v>161.75459853620046</v>
      </c>
      <c r="U55" s="171">
        <f t="shared" ref="U55" si="72">T55*(1+$D$50)</f>
        <v>177.93005838982052</v>
      </c>
    </row>
    <row r="56" spans="2:21">
      <c r="B56" s="522" t="s">
        <v>49</v>
      </c>
      <c r="C56" s="156"/>
      <c r="D56" s="168">
        <v>35.375999999999998</v>
      </c>
      <c r="E56" s="168">
        <f>85+18</f>
        <v>103</v>
      </c>
      <c r="F56" s="656">
        <f t="shared" ref="F56:L56" si="73">F52*F57</f>
        <v>81.69</v>
      </c>
      <c r="G56" s="656">
        <f t="shared" si="73"/>
        <v>76.788600000000002</v>
      </c>
      <c r="H56" s="172">
        <v>680</v>
      </c>
      <c r="I56" s="172">
        <f t="shared" si="73"/>
        <v>624.29940482195093</v>
      </c>
      <c r="J56" s="172">
        <f t="shared" si="73"/>
        <v>573.16139244270903</v>
      </c>
      <c r="K56" s="172">
        <f t="shared" si="73"/>
        <v>526.21222966015284</v>
      </c>
      <c r="L56" s="172">
        <f t="shared" si="73"/>
        <v>483.10879674538995</v>
      </c>
      <c r="M56" s="172">
        <f t="shared" ref="M56:N56" si="74">M52*M57</f>
        <v>443.53607981234683</v>
      </c>
      <c r="N56" s="172">
        <f t="shared" si="74"/>
        <v>407.2048685939846</v>
      </c>
      <c r="O56" s="172">
        <f t="shared" ref="O56" si="75">O52*O57</f>
        <v>373.84964279974315</v>
      </c>
      <c r="P56" s="172">
        <f t="shared" ref="P56:U56" si="76">P52*P57</f>
        <v>343.2266316070274</v>
      </c>
      <c r="Q56" s="172">
        <f t="shared" si="76"/>
        <v>315.11203210486798</v>
      </c>
      <c r="R56" s="172">
        <f t="shared" si="76"/>
        <v>289.3003736695656</v>
      </c>
      <c r="S56" s="172">
        <f t="shared" si="76"/>
        <v>265.60301631864382</v>
      </c>
      <c r="T56" s="172">
        <f t="shared" si="76"/>
        <v>243.84677206859456</v>
      </c>
      <c r="U56" s="172">
        <f t="shared" si="76"/>
        <v>223.87263922084932</v>
      </c>
    </row>
    <row r="57" spans="2:21">
      <c r="B57" s="520" t="s">
        <v>50</v>
      </c>
      <c r="C57" s="157"/>
      <c r="D57" s="125">
        <f t="shared" ref="D57:H57" si="77">IF(ISERROR(D56/D52), "NM", (D56/D52))</f>
        <v>3.9607760460827601E-3</v>
      </c>
      <c r="E57" s="125">
        <f t="shared" si="77"/>
        <v>1.1821416274532308E-2</v>
      </c>
      <c r="F57" s="657">
        <v>0.01</v>
      </c>
      <c r="G57" s="657">
        <f t="shared" ref="G57:N57" si="78">F57</f>
        <v>0.01</v>
      </c>
      <c r="H57" s="125">
        <f t="shared" si="77"/>
        <v>6.8596792091193376E-2</v>
      </c>
      <c r="I57" s="161">
        <f t="shared" si="78"/>
        <v>6.8596792091193376E-2</v>
      </c>
      <c r="J57" s="161">
        <f t="shared" si="78"/>
        <v>6.8596792091193376E-2</v>
      </c>
      <c r="K57" s="161">
        <f t="shared" si="78"/>
        <v>6.8596792091193376E-2</v>
      </c>
      <c r="L57" s="161">
        <f t="shared" si="78"/>
        <v>6.8596792091193376E-2</v>
      </c>
      <c r="M57" s="161">
        <f t="shared" si="78"/>
        <v>6.8596792091193376E-2</v>
      </c>
      <c r="N57" s="161">
        <f t="shared" si="78"/>
        <v>6.8596792091193376E-2</v>
      </c>
      <c r="O57" s="161">
        <f t="shared" ref="O57" si="79">N57</f>
        <v>6.8596792091193376E-2</v>
      </c>
      <c r="P57" s="161">
        <f t="shared" ref="P57" si="80">O57</f>
        <v>6.8596792091193376E-2</v>
      </c>
      <c r="Q57" s="161">
        <f t="shared" ref="Q57" si="81">P57</f>
        <v>6.8596792091193376E-2</v>
      </c>
      <c r="R57" s="161">
        <f t="shared" ref="R57" si="82">Q57</f>
        <v>6.8596792091193376E-2</v>
      </c>
      <c r="S57" s="161">
        <f t="shared" ref="S57" si="83">R57</f>
        <v>6.8596792091193376E-2</v>
      </c>
      <c r="T57" s="161">
        <f t="shared" ref="T57" si="84">S57</f>
        <v>6.8596792091193376E-2</v>
      </c>
      <c r="U57" s="161">
        <f t="shared" ref="U57" si="85">T57</f>
        <v>6.8596792091193376E-2</v>
      </c>
    </row>
    <row r="58" spans="2:21">
      <c r="B58" s="522" t="s">
        <v>51</v>
      </c>
      <c r="C58" s="158"/>
      <c r="D58" s="173">
        <v>2031.9159999999999</v>
      </c>
      <c r="E58" s="173">
        <f>1982+5</f>
        <v>1987</v>
      </c>
      <c r="F58" s="659">
        <f t="shared" ref="F58:L58" si="86">F52*F59</f>
        <v>1878.8700000000001</v>
      </c>
      <c r="G58" s="659">
        <f t="shared" si="86"/>
        <v>1766.1378000000002</v>
      </c>
      <c r="H58" s="142">
        <v>1796</v>
      </c>
      <c r="I58" s="142">
        <f t="shared" si="86"/>
        <v>1648.8848986179762</v>
      </c>
      <c r="J58" s="142">
        <f t="shared" si="86"/>
        <v>1513.8203835692727</v>
      </c>
      <c r="K58" s="142">
        <f t="shared" si="86"/>
        <v>1389.8193595141684</v>
      </c>
      <c r="L58" s="142">
        <f t="shared" si="86"/>
        <v>1275.9755866981181</v>
      </c>
      <c r="M58" s="142">
        <f t="shared" ref="M58:N58" si="87">M52*M59</f>
        <v>1171.4570578573162</v>
      </c>
      <c r="N58" s="142">
        <f t="shared" si="87"/>
        <v>1075.4999176394065</v>
      </c>
      <c r="O58" s="142">
        <f t="shared" ref="O58" si="88">O52*O59</f>
        <v>987.40288010049812</v>
      </c>
      <c r="P58" s="142">
        <f t="shared" ref="P58:U58" si="89">P52*P59</f>
        <v>906.5221034797371</v>
      </c>
      <c r="Q58" s="142">
        <f t="shared" si="89"/>
        <v>832.26648479462187</v>
      </c>
      <c r="R58" s="142">
        <f t="shared" si="89"/>
        <v>764.09333986844092</v>
      </c>
      <c r="S58" s="142">
        <f t="shared" si="89"/>
        <v>701.50443721806516</v>
      </c>
      <c r="T58" s="142">
        <f t="shared" si="89"/>
        <v>644.04235681646446</v>
      </c>
      <c r="U58" s="142">
        <f t="shared" si="89"/>
        <v>591.28714711859618</v>
      </c>
    </row>
    <row r="59" spans="2:21">
      <c r="B59" s="520" t="s">
        <v>56</v>
      </c>
      <c r="C59" s="157"/>
      <c r="D59" s="125">
        <f t="shared" ref="D59:H59" si="90">IF(ISERROR(D58/D52), "NM", (D58/D52))</f>
        <v>0.22749785788252763</v>
      </c>
      <c r="E59" s="125">
        <f t="shared" si="90"/>
        <v>0.22805004016986113</v>
      </c>
      <c r="F59" s="657">
        <v>0.23</v>
      </c>
      <c r="G59" s="657">
        <f t="shared" ref="G59:N59" si="91">F59</f>
        <v>0.23</v>
      </c>
      <c r="H59" s="125">
        <f t="shared" si="90"/>
        <v>0.1811762332290931</v>
      </c>
      <c r="I59" s="161">
        <f t="shared" si="91"/>
        <v>0.1811762332290931</v>
      </c>
      <c r="J59" s="161">
        <f t="shared" si="91"/>
        <v>0.1811762332290931</v>
      </c>
      <c r="K59" s="161">
        <f t="shared" si="91"/>
        <v>0.1811762332290931</v>
      </c>
      <c r="L59" s="161">
        <f t="shared" si="91"/>
        <v>0.1811762332290931</v>
      </c>
      <c r="M59" s="161">
        <f t="shared" si="91"/>
        <v>0.1811762332290931</v>
      </c>
      <c r="N59" s="161">
        <f t="shared" si="91"/>
        <v>0.1811762332290931</v>
      </c>
      <c r="O59" s="161">
        <f t="shared" ref="O59" si="92">N59</f>
        <v>0.1811762332290931</v>
      </c>
      <c r="P59" s="161">
        <f t="shared" ref="P59" si="93">O59</f>
        <v>0.1811762332290931</v>
      </c>
      <c r="Q59" s="161">
        <f t="shared" ref="Q59" si="94">P59</f>
        <v>0.1811762332290931</v>
      </c>
      <c r="R59" s="161">
        <f t="shared" ref="R59" si="95">Q59</f>
        <v>0.1811762332290931</v>
      </c>
      <c r="S59" s="161">
        <f t="shared" ref="S59" si="96">R59</f>
        <v>0.1811762332290931</v>
      </c>
      <c r="T59" s="161">
        <f t="shared" ref="T59" si="97">S59</f>
        <v>0.1811762332290931</v>
      </c>
      <c r="U59" s="161">
        <f t="shared" ref="U59" si="98">T59</f>
        <v>0.1811762332290931</v>
      </c>
    </row>
    <row r="60" spans="2:21">
      <c r="B60" s="521" t="s">
        <v>52</v>
      </c>
      <c r="C60" s="159"/>
      <c r="D60" s="170">
        <v>13.96</v>
      </c>
      <c r="E60" s="170">
        <v>14.83</v>
      </c>
      <c r="F60" s="658">
        <f t="shared" ref="F60:N60" si="99">E60*(1+$D$50)</f>
        <v>16.313000000000002</v>
      </c>
      <c r="G60" s="658">
        <f t="shared" si="99"/>
        <v>17.944300000000005</v>
      </c>
      <c r="H60" s="171">
        <v>42.81</v>
      </c>
      <c r="I60" s="171">
        <f t="shared" si="99"/>
        <v>47.091000000000008</v>
      </c>
      <c r="J60" s="171">
        <f t="shared" si="99"/>
        <v>51.800100000000015</v>
      </c>
      <c r="K60" s="171">
        <f t="shared" si="99"/>
        <v>56.980110000000018</v>
      </c>
      <c r="L60" s="171">
        <f t="shared" si="99"/>
        <v>62.678121000000026</v>
      </c>
      <c r="M60" s="171">
        <f t="shared" si="99"/>
        <v>68.945933100000033</v>
      </c>
      <c r="N60" s="171">
        <f t="shared" si="99"/>
        <v>75.840526410000038</v>
      </c>
      <c r="O60" s="171">
        <f t="shared" ref="O60" si="100">N60*(1+$D$50)</f>
        <v>83.424579051000052</v>
      </c>
      <c r="P60" s="171">
        <f t="shared" ref="P60" si="101">O60*(1+$D$50)</f>
        <v>91.767036956100071</v>
      </c>
      <c r="Q60" s="171">
        <f t="shared" ref="Q60" si="102">P60*(1+$D$50)</f>
        <v>100.94374065171009</v>
      </c>
      <c r="R60" s="171">
        <f t="shared" ref="R60" si="103">Q60*(1+$D$50)</f>
        <v>111.03811471688111</v>
      </c>
      <c r="S60" s="171">
        <f t="shared" ref="S60" si="104">R60*(1+$D$50)</f>
        <v>122.14192618856923</v>
      </c>
      <c r="T60" s="171">
        <f t="shared" ref="T60" si="105">S60*(1+$D$50)</f>
        <v>134.35611880742616</v>
      </c>
      <c r="U60" s="171">
        <f t="shared" ref="U60" si="106">T60*(1+$D$50)</f>
        <v>147.7917306881688</v>
      </c>
    </row>
    <row r="61" spans="2:21">
      <c r="B61" s="520" t="s">
        <v>343</v>
      </c>
      <c r="C61" s="172"/>
      <c r="D61" s="125">
        <f>E61</f>
        <v>0.35</v>
      </c>
      <c r="E61" s="125">
        <f>F61</f>
        <v>0.35</v>
      </c>
      <c r="F61" s="660">
        <f>IS!V112</f>
        <v>0.35</v>
      </c>
      <c r="G61" s="660">
        <f>IS!AA112</f>
        <v>0.35</v>
      </c>
      <c r="H61" s="125">
        <f>IS!AF112</f>
        <v>0.35</v>
      </c>
      <c r="I61" s="125">
        <f>IS!AK112</f>
        <v>0.35</v>
      </c>
      <c r="J61" s="125">
        <f>IS!AP112</f>
        <v>0.35</v>
      </c>
      <c r="K61" s="125">
        <f>IS!AU112</f>
        <v>0.35</v>
      </c>
      <c r="L61" s="125">
        <f>IS!AZ112</f>
        <v>0.35</v>
      </c>
      <c r="M61" s="125">
        <f>IS!BE112</f>
        <v>0.35</v>
      </c>
      <c r="N61" s="125">
        <f>IS!BJ112</f>
        <v>0.35</v>
      </c>
      <c r="O61" s="125">
        <f>IS!BG112</f>
        <v>0</v>
      </c>
      <c r="P61" s="125">
        <f>IS!BH112</f>
        <v>0</v>
      </c>
      <c r="Q61" s="125">
        <f>IS!BI112</f>
        <v>0</v>
      </c>
      <c r="R61" s="125">
        <f>IS!BJ112</f>
        <v>0.35</v>
      </c>
      <c r="S61" s="125">
        <f>IS!BK112</f>
        <v>0</v>
      </c>
      <c r="T61" s="125">
        <f>IS!BL112</f>
        <v>0</v>
      </c>
      <c r="U61" s="125">
        <f>IS!BM112</f>
        <v>0</v>
      </c>
    </row>
    <row r="62" spans="2:21">
      <c r="B62" s="522" t="s">
        <v>53</v>
      </c>
      <c r="C62" s="174"/>
      <c r="D62" s="160">
        <f t="shared" ref="D62:L62" si="107">D58*D60/1000</f>
        <v>28.365547360000001</v>
      </c>
      <c r="E62" s="160">
        <f t="shared" si="107"/>
        <v>29.467209999999998</v>
      </c>
      <c r="F62" s="661">
        <f t="shared" si="107"/>
        <v>30.650006310000009</v>
      </c>
      <c r="G62" s="661">
        <f t="shared" si="107"/>
        <v>31.692106524540012</v>
      </c>
      <c r="H62" s="160">
        <f t="shared" si="107"/>
        <v>76.88676000000001</v>
      </c>
      <c r="I62" s="160">
        <f t="shared" si="107"/>
        <v>77.647638760819135</v>
      </c>
      <c r="J62" s="160">
        <f t="shared" si="107"/>
        <v>78.416047250926709</v>
      </c>
      <c r="K62" s="160">
        <f t="shared" si="107"/>
        <v>79.192059985246885</v>
      </c>
      <c r="L62" s="160">
        <f t="shared" si="107"/>
        <v>79.975752216110678</v>
      </c>
      <c r="M62" s="160">
        <f t="shared" ref="M62:N62" si="108">M58*M60/1000</f>
        <v>80.767199940553382</v>
      </c>
      <c r="N62" s="160">
        <f t="shared" si="108"/>
        <v>81.566479907684283</v>
      </c>
      <c r="O62" s="160">
        <f t="shared" ref="O62" si="109">O58*O60/1000</f>
        <v>82.373669626129143</v>
      </c>
      <c r="P62" s="160">
        <f t="shared" ref="P62:U62" si="110">P58*P60/1000</f>
        <v>83.188847371546615</v>
      </c>
      <c r="Q62" s="160">
        <f t="shared" si="110"/>
        <v>84.012092194218724</v>
      </c>
      <c r="R62" s="160">
        <f t="shared" si="110"/>
        <v>84.843483926716772</v>
      </c>
      <c r="S62" s="160">
        <f t="shared" si="110"/>
        <v>85.683103191642715</v>
      </c>
      <c r="T62" s="160">
        <f t="shared" si="110"/>
        <v>86.53103140944765</v>
      </c>
      <c r="U62" s="160">
        <f t="shared" si="110"/>
        <v>87.38735080632722</v>
      </c>
    </row>
    <row r="63" spans="2:21">
      <c r="B63" s="522" t="s">
        <v>54</v>
      </c>
      <c r="C63" s="158"/>
      <c r="D63" s="142">
        <f>((D51-D60)*D58)*D61/1000</f>
        <v>34.975370107999993</v>
      </c>
      <c r="E63" s="142">
        <f t="shared" ref="E63:N63" si="111">((E51-E60)*E58)*E61/1000</f>
        <v>57.68062299999999</v>
      </c>
      <c r="F63" s="659">
        <f t="shared" si="111"/>
        <v>59.995888953000012</v>
      </c>
      <c r="G63" s="659">
        <f t="shared" si="111"/>
        <v>62.035749177402018</v>
      </c>
      <c r="H63" s="142">
        <f t="shared" si="111"/>
        <v>54.890527482000032</v>
      </c>
      <c r="I63" s="142">
        <f t="shared" si="111"/>
        <v>55.433729413401636</v>
      </c>
      <c r="J63" s="142">
        <f t="shared" si="111"/>
        <v>55.982306923283069</v>
      </c>
      <c r="K63" s="142">
        <f t="shared" si="111"/>
        <v>56.536313208885211</v>
      </c>
      <c r="L63" s="142">
        <f t="shared" si="111"/>
        <v>57.095801993893964</v>
      </c>
      <c r="M63" s="142">
        <f t="shared" si="111"/>
        <v>57.660827533649943</v>
      </c>
      <c r="N63" s="142">
        <f t="shared" si="111"/>
        <v>58.231444620409874</v>
      </c>
      <c r="O63" s="142">
        <f t="shared" ref="O63" si="112">((O51-O60)*O58)*O61/1000</f>
        <v>0</v>
      </c>
      <c r="P63" s="142">
        <f t="shared" ref="P63:U63" si="113">((P51-P60)*P58)*P61/1000</f>
        <v>0</v>
      </c>
      <c r="Q63" s="142">
        <f t="shared" si="113"/>
        <v>0</v>
      </c>
      <c r="R63" s="142">
        <f t="shared" si="113"/>
        <v>60.570943373710534</v>
      </c>
      <c r="S63" s="142">
        <f t="shared" si="113"/>
        <v>0</v>
      </c>
      <c r="T63" s="142">
        <f t="shared" si="113"/>
        <v>0</v>
      </c>
      <c r="U63" s="142">
        <f t="shared" si="113"/>
        <v>0</v>
      </c>
    </row>
    <row r="64" spans="2:21">
      <c r="B64" s="522" t="s">
        <v>55</v>
      </c>
      <c r="C64" s="156"/>
      <c r="D64" s="168">
        <v>1849.104</v>
      </c>
      <c r="E64" s="168">
        <f>1352+194</f>
        <v>1546</v>
      </c>
      <c r="F64" s="656">
        <f t="shared" ref="F64:L64" si="114">F52*F65</f>
        <v>1470.4199999999998</v>
      </c>
      <c r="G64" s="656">
        <f t="shared" si="114"/>
        <v>1382.1948</v>
      </c>
      <c r="H64" s="172">
        <v>1664</v>
      </c>
      <c r="I64" s="172">
        <f t="shared" si="114"/>
        <v>1527.6973670937152</v>
      </c>
      <c r="J64" s="172">
        <f t="shared" si="114"/>
        <v>1402.5596426833351</v>
      </c>
      <c r="K64" s="172">
        <f t="shared" si="114"/>
        <v>1287.6722796389622</v>
      </c>
      <c r="L64" s="172">
        <f t="shared" si="114"/>
        <v>1182.1956438004838</v>
      </c>
      <c r="M64" s="172">
        <f t="shared" ref="M64:N64" si="115">M52*M65</f>
        <v>1085.3588776584488</v>
      </c>
      <c r="N64" s="172">
        <f t="shared" si="115"/>
        <v>996.45426667704476</v>
      </c>
      <c r="O64" s="172">
        <f t="shared" ref="O64" si="116">O52*O65</f>
        <v>914.83206708643036</v>
      </c>
      <c r="P64" s="172">
        <f t="shared" ref="P64:U64" si="117">P52*P65</f>
        <v>839.89575734425534</v>
      </c>
      <c r="Q64" s="172">
        <f t="shared" si="117"/>
        <v>771.0976785625005</v>
      </c>
      <c r="R64" s="172">
        <f t="shared" si="117"/>
        <v>707.93503203846637</v>
      </c>
      <c r="S64" s="172">
        <f t="shared" si="117"/>
        <v>649.94620463856381</v>
      </c>
      <c r="T64" s="172">
        <f t="shared" si="117"/>
        <v>596.70739517961965</v>
      </c>
      <c r="U64" s="172">
        <f t="shared" si="117"/>
        <v>547.82951715219599</v>
      </c>
    </row>
    <row r="65" spans="2:21">
      <c r="B65" s="523" t="s">
        <v>56</v>
      </c>
      <c r="C65" s="175"/>
      <c r="D65" s="176">
        <f>D64/D52</f>
        <v>0.20702981767061895</v>
      </c>
      <c r="E65" s="176">
        <f>E64/E52</f>
        <v>0.17743601514977619</v>
      </c>
      <c r="F65" s="662">
        <v>0.18</v>
      </c>
      <c r="G65" s="662">
        <f t="shared" ref="G65:N65" si="118">F65</f>
        <v>0.18</v>
      </c>
      <c r="H65" s="176">
        <f>H64/H52</f>
        <v>0.16786038535256734</v>
      </c>
      <c r="I65" s="177">
        <f t="shared" si="118"/>
        <v>0.16786038535256734</v>
      </c>
      <c r="J65" s="177">
        <f t="shared" si="118"/>
        <v>0.16786038535256734</v>
      </c>
      <c r="K65" s="177">
        <f t="shared" si="118"/>
        <v>0.16786038535256734</v>
      </c>
      <c r="L65" s="177">
        <f t="shared" si="118"/>
        <v>0.16786038535256734</v>
      </c>
      <c r="M65" s="177">
        <f t="shared" si="118"/>
        <v>0.16786038535256734</v>
      </c>
      <c r="N65" s="177">
        <f t="shared" si="118"/>
        <v>0.16786038535256734</v>
      </c>
      <c r="O65" s="177">
        <f t="shared" ref="O65" si="119">N65</f>
        <v>0.16786038535256734</v>
      </c>
      <c r="P65" s="177">
        <f t="shared" ref="P65" si="120">O65</f>
        <v>0.16786038535256734</v>
      </c>
      <c r="Q65" s="177">
        <f t="shared" ref="Q65" si="121">P65</f>
        <v>0.16786038535256734</v>
      </c>
      <c r="R65" s="177">
        <f t="shared" ref="R65" si="122">Q65</f>
        <v>0.16786038535256734</v>
      </c>
      <c r="S65" s="177">
        <f t="shared" ref="S65" si="123">R65</f>
        <v>0.16786038535256734</v>
      </c>
      <c r="T65" s="177">
        <f t="shared" ref="T65" si="124">S65</f>
        <v>0.16786038535256734</v>
      </c>
      <c r="U65" s="177">
        <f t="shared" ref="U65" si="125">T65</f>
        <v>0.16786038535256734</v>
      </c>
    </row>
    <row r="66" spans="2:21">
      <c r="B66" s="524"/>
      <c r="C66" s="12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</row>
    <row r="67" spans="2:21">
      <c r="B67" s="525" t="s">
        <v>344</v>
      </c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</row>
    <row r="68" spans="2:21">
      <c r="B68" s="525" t="s">
        <v>345</v>
      </c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</row>
    <row r="69" spans="2:21">
      <c r="B69" s="525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</row>
    <row r="70" spans="2:21">
      <c r="B70" s="494" t="s">
        <v>255</v>
      </c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</row>
    <row r="71" spans="2:21">
      <c r="B71" s="525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</row>
    <row r="72" spans="2:21">
      <c r="B72" s="518" t="s">
        <v>373</v>
      </c>
      <c r="C72" s="166"/>
      <c r="D72" s="167">
        <v>0.1</v>
      </c>
      <c r="E72" s="241"/>
      <c r="F72" s="242">
        <v>95</v>
      </c>
      <c r="G72" s="242">
        <v>87</v>
      </c>
      <c r="H72" s="241">
        <f>(71.87*(5.75/H73))+(125*((6.44+0.84)/H73))</f>
        <v>101.55429777436684</v>
      </c>
      <c r="I72" s="241">
        <f t="shared" ref="I72:U72" si="126">H72*(1+$D$72)</f>
        <v>111.70972755180354</v>
      </c>
      <c r="J72" s="241">
        <f t="shared" si="126"/>
        <v>122.8807003069839</v>
      </c>
      <c r="K72" s="241">
        <f t="shared" si="126"/>
        <v>135.1687703376823</v>
      </c>
      <c r="L72" s="241">
        <f t="shared" si="126"/>
        <v>148.68564737145056</v>
      </c>
      <c r="M72" s="241">
        <f t="shared" si="126"/>
        <v>163.55421210859564</v>
      </c>
      <c r="N72" s="241">
        <f t="shared" si="126"/>
        <v>179.90963331945522</v>
      </c>
      <c r="O72" s="241">
        <f t="shared" si="126"/>
        <v>197.90059665140078</v>
      </c>
      <c r="P72" s="241">
        <f t="shared" si="126"/>
        <v>217.69065631654087</v>
      </c>
      <c r="Q72" s="241">
        <f t="shared" si="126"/>
        <v>239.45972194819498</v>
      </c>
      <c r="R72" s="241">
        <f t="shared" si="126"/>
        <v>263.4056941430145</v>
      </c>
      <c r="S72" s="241">
        <f t="shared" si="126"/>
        <v>289.74626355731596</v>
      </c>
      <c r="T72" s="241">
        <f t="shared" si="126"/>
        <v>318.72088991304759</v>
      </c>
      <c r="U72" s="243">
        <f t="shared" si="126"/>
        <v>350.59297890435238</v>
      </c>
    </row>
    <row r="73" spans="2:21">
      <c r="B73" s="522" t="s">
        <v>57</v>
      </c>
      <c r="C73" s="244"/>
      <c r="D73" s="173">
        <f>9200+31.122</f>
        <v>9231.1219999999994</v>
      </c>
      <c r="E73" s="173">
        <f>2520.044+9110.786+31.122</f>
        <v>11661.951999999999</v>
      </c>
      <c r="F73" s="173">
        <f>5447.368+744.566</f>
        <v>6191.9340000000002</v>
      </c>
      <c r="G73" s="173">
        <f>G74*1000/G72</f>
        <v>0</v>
      </c>
      <c r="H73" s="142">
        <f>5.75+6.44+0.84</f>
        <v>13.030000000000001</v>
      </c>
      <c r="I73" s="173">
        <v>0</v>
      </c>
      <c r="J73" s="173">
        <v>0</v>
      </c>
      <c r="K73" s="173">
        <v>0</v>
      </c>
      <c r="L73" s="173">
        <v>0</v>
      </c>
      <c r="M73" s="173">
        <v>0</v>
      </c>
      <c r="N73" s="173">
        <v>0</v>
      </c>
      <c r="O73" s="173">
        <v>0</v>
      </c>
      <c r="P73" s="173">
        <v>0</v>
      </c>
      <c r="Q73" s="173">
        <v>0</v>
      </c>
      <c r="R73" s="173">
        <v>0</v>
      </c>
      <c r="S73" s="173">
        <v>0</v>
      </c>
      <c r="T73" s="173">
        <v>0</v>
      </c>
      <c r="U73" s="245">
        <v>0</v>
      </c>
    </row>
    <row r="74" spans="2:21">
      <c r="B74" s="522" t="s">
        <v>58</v>
      </c>
      <c r="C74" s="244"/>
      <c r="D74" s="246">
        <f>173.48+1.183</f>
        <v>174.66299999999998</v>
      </c>
      <c r="E74" s="246">
        <f>774.396+195.741+1.58</f>
        <v>971.71699999999998</v>
      </c>
      <c r="F74" s="173">
        <f>70.7+496.4</f>
        <v>567.1</v>
      </c>
      <c r="G74" s="173">
        <v>0</v>
      </c>
      <c r="H74" s="142">
        <f>376.6+ (805*0.95)</f>
        <v>1141.3499999999999</v>
      </c>
      <c r="I74" s="173">
        <v>0</v>
      </c>
      <c r="J74" s="173">
        <v>0</v>
      </c>
      <c r="K74" s="173">
        <v>0</v>
      </c>
      <c r="L74" s="173">
        <v>0</v>
      </c>
      <c r="M74" s="173">
        <v>0</v>
      </c>
      <c r="N74" s="173">
        <v>0</v>
      </c>
      <c r="O74" s="173">
        <v>0</v>
      </c>
      <c r="P74" s="173">
        <v>0</v>
      </c>
      <c r="Q74" s="173">
        <v>0</v>
      </c>
      <c r="R74" s="173">
        <v>0</v>
      </c>
      <c r="S74" s="173">
        <v>0</v>
      </c>
      <c r="T74" s="173">
        <v>0</v>
      </c>
      <c r="U74" s="245">
        <v>0</v>
      </c>
    </row>
    <row r="75" spans="2:21">
      <c r="B75" s="522" t="s">
        <v>346</v>
      </c>
      <c r="C75" s="244"/>
      <c r="D75" s="247">
        <v>27.974</v>
      </c>
      <c r="E75" s="247">
        <v>28.428999999999998</v>
      </c>
      <c r="F75" s="247">
        <f t="shared" ref="F75:N75" si="127">F62</f>
        <v>30.650006310000009</v>
      </c>
      <c r="G75" s="247">
        <f t="shared" si="127"/>
        <v>31.692106524540012</v>
      </c>
      <c r="H75" s="247">
        <f t="shared" si="127"/>
        <v>76.88676000000001</v>
      </c>
      <c r="I75" s="247">
        <f t="shared" si="127"/>
        <v>77.647638760819135</v>
      </c>
      <c r="J75" s="247">
        <f t="shared" si="127"/>
        <v>78.416047250926709</v>
      </c>
      <c r="K75" s="247">
        <f t="shared" si="127"/>
        <v>79.192059985246885</v>
      </c>
      <c r="L75" s="247">
        <f t="shared" si="127"/>
        <v>79.975752216110678</v>
      </c>
      <c r="M75" s="247">
        <f t="shared" si="127"/>
        <v>80.767199940553382</v>
      </c>
      <c r="N75" s="247">
        <f t="shared" si="127"/>
        <v>81.566479907684283</v>
      </c>
      <c r="O75" s="247">
        <f t="shared" ref="O75:P75" si="128">O62</f>
        <v>82.373669626129143</v>
      </c>
      <c r="P75" s="247">
        <f t="shared" si="128"/>
        <v>83.188847371546615</v>
      </c>
      <c r="Q75" s="247">
        <f t="shared" ref="Q75:R75" si="129">Q62</f>
        <v>84.012092194218724</v>
      </c>
      <c r="R75" s="247">
        <f t="shared" si="129"/>
        <v>84.843483926716772</v>
      </c>
      <c r="S75" s="247">
        <f t="shared" ref="S75:T75" si="130">S62</f>
        <v>85.683103191642715</v>
      </c>
      <c r="T75" s="247">
        <f t="shared" si="130"/>
        <v>86.53103140944765</v>
      </c>
      <c r="U75" s="248">
        <f t="shared" ref="U75" si="131">U62</f>
        <v>87.38735080632722</v>
      </c>
    </row>
    <row r="76" spans="2:21">
      <c r="B76" s="522" t="s">
        <v>347</v>
      </c>
      <c r="C76" s="244"/>
      <c r="D76" s="173">
        <v>0</v>
      </c>
      <c r="E76" s="173">
        <v>0</v>
      </c>
      <c r="F76" s="173">
        <v>0</v>
      </c>
      <c r="G76" s="173">
        <v>0</v>
      </c>
      <c r="H76" s="173">
        <v>0</v>
      </c>
      <c r="I76" s="173">
        <v>0</v>
      </c>
      <c r="J76" s="173">
        <v>0</v>
      </c>
      <c r="K76" s="173">
        <v>0</v>
      </c>
      <c r="L76" s="173">
        <v>0</v>
      </c>
      <c r="M76" s="173">
        <v>0</v>
      </c>
      <c r="N76" s="173">
        <v>0</v>
      </c>
      <c r="O76" s="173">
        <v>0</v>
      </c>
      <c r="P76" s="173">
        <v>0</v>
      </c>
      <c r="Q76" s="173">
        <v>0</v>
      </c>
      <c r="R76" s="173">
        <v>0</v>
      </c>
      <c r="S76" s="173">
        <v>0</v>
      </c>
      <c r="T76" s="173">
        <v>0</v>
      </c>
      <c r="U76" s="245">
        <v>0</v>
      </c>
    </row>
    <row r="77" spans="2:21">
      <c r="B77" s="522" t="s">
        <v>59</v>
      </c>
      <c r="C77" s="244"/>
      <c r="D77" s="173">
        <v>0</v>
      </c>
      <c r="E77" s="173">
        <v>0</v>
      </c>
      <c r="F77" s="173">
        <v>0</v>
      </c>
      <c r="G77" s="173">
        <v>0</v>
      </c>
      <c r="H77" s="173">
        <v>0</v>
      </c>
      <c r="I77" s="173">
        <v>0</v>
      </c>
      <c r="J77" s="173">
        <v>0</v>
      </c>
      <c r="K77" s="173">
        <v>0</v>
      </c>
      <c r="L77" s="173">
        <v>0</v>
      </c>
      <c r="M77" s="173">
        <v>0</v>
      </c>
      <c r="N77" s="173">
        <v>0</v>
      </c>
      <c r="O77" s="173">
        <v>0</v>
      </c>
      <c r="P77" s="173">
        <v>0</v>
      </c>
      <c r="Q77" s="173">
        <v>0</v>
      </c>
      <c r="R77" s="173">
        <v>0</v>
      </c>
      <c r="S77" s="173">
        <v>0</v>
      </c>
      <c r="T77" s="173">
        <v>0</v>
      </c>
      <c r="U77" s="245">
        <v>0</v>
      </c>
    </row>
    <row r="78" spans="2:21">
      <c r="B78" s="522" t="s">
        <v>60</v>
      </c>
      <c r="C78" s="244"/>
      <c r="D78" s="246">
        <v>0</v>
      </c>
      <c r="E78" s="246">
        <v>0</v>
      </c>
      <c r="F78" s="246">
        <v>0</v>
      </c>
      <c r="G78" s="246">
        <v>0</v>
      </c>
      <c r="H78" s="246">
        <v>0</v>
      </c>
      <c r="I78" s="246">
        <v>0</v>
      </c>
      <c r="J78" s="246">
        <v>0</v>
      </c>
      <c r="K78" s="246">
        <v>0</v>
      </c>
      <c r="L78" s="246">
        <v>0</v>
      </c>
      <c r="M78" s="246">
        <v>0</v>
      </c>
      <c r="N78" s="246">
        <v>0</v>
      </c>
      <c r="O78" s="246">
        <v>0</v>
      </c>
      <c r="P78" s="246">
        <v>0</v>
      </c>
      <c r="Q78" s="246">
        <v>0</v>
      </c>
      <c r="R78" s="246">
        <v>0</v>
      </c>
      <c r="S78" s="246">
        <v>0</v>
      </c>
      <c r="T78" s="246">
        <v>0</v>
      </c>
      <c r="U78" s="249">
        <v>0</v>
      </c>
    </row>
    <row r="79" spans="2:21">
      <c r="B79" s="522" t="s">
        <v>348</v>
      </c>
      <c r="C79" s="244"/>
      <c r="D79" s="122">
        <f>IS!L68</f>
        <v>20.702999999999999</v>
      </c>
      <c r="E79" s="122">
        <f>IS!Q68</f>
        <v>33.061</v>
      </c>
      <c r="F79" s="122">
        <f>IS!V68</f>
        <v>45.783000000000001</v>
      </c>
      <c r="G79" s="122">
        <f>IS!AA68</f>
        <v>75.5</v>
      </c>
      <c r="H79" s="122">
        <f>IS!AF68</f>
        <v>92.801999999999992</v>
      </c>
      <c r="I79" s="122">
        <f>IS!AK68</f>
        <v>136.52132825024447</v>
      </c>
      <c r="J79" s="122">
        <f>IS!AP68</f>
        <v>153.22447433916909</v>
      </c>
      <c r="K79" s="122">
        <f>IS!AU68</f>
        <v>169.08452015731262</v>
      </c>
      <c r="L79" s="122">
        <f>IS!AZ68</f>
        <v>179.58738043237281</v>
      </c>
      <c r="M79" s="122">
        <f>IS!BE68</f>
        <v>183.87413162453316</v>
      </c>
      <c r="N79" s="122">
        <f>IS!BJ68</f>
        <v>187.34498167841261</v>
      </c>
      <c r="O79" s="122">
        <f>IS!BO68</f>
        <v>192.31932334209083</v>
      </c>
      <c r="P79" s="122">
        <f>IS!BT68</f>
        <v>195.63628122365529</v>
      </c>
      <c r="Q79" s="122">
        <f>IS!BY68</f>
        <v>197.28225373199302</v>
      </c>
      <c r="R79" s="122">
        <f>IS!CD68</f>
        <v>197.77532763254743</v>
      </c>
      <c r="S79" s="122">
        <f>IS!CI68</f>
        <v>197.15820682529841</v>
      </c>
      <c r="T79" s="122">
        <f>IS!CN68</f>
        <v>195.48967063369523</v>
      </c>
      <c r="U79" s="121">
        <f>IS!CS68</f>
        <v>192.82456347056407</v>
      </c>
    </row>
    <row r="80" spans="2:21">
      <c r="B80" s="522" t="s">
        <v>349</v>
      </c>
      <c r="C80" s="244"/>
      <c r="D80" s="246">
        <v>-1.988</v>
      </c>
      <c r="E80" s="246">
        <v>-15.39</v>
      </c>
      <c r="F80" s="122">
        <f>-IS!V59</f>
        <v>0</v>
      </c>
      <c r="G80" s="122">
        <f>-IS!AA59</f>
        <v>0</v>
      </c>
      <c r="H80" s="122">
        <f>-IS!AF59</f>
        <v>0</v>
      </c>
      <c r="I80" s="122">
        <f>-IS!AK59</f>
        <v>0</v>
      </c>
      <c r="J80" s="122">
        <f>-IS!AP59</f>
        <v>0</v>
      </c>
      <c r="K80" s="122">
        <f>-IS!AU59</f>
        <v>0</v>
      </c>
      <c r="L80" s="122">
        <f>-IS!AZ59</f>
        <v>0</v>
      </c>
      <c r="M80" s="122">
        <f>-IS!BE59</f>
        <v>0</v>
      </c>
      <c r="N80" s="122">
        <f>-IS!BJ59</f>
        <v>0</v>
      </c>
      <c r="O80" s="122">
        <f>-IS!BO59</f>
        <v>0</v>
      </c>
      <c r="P80" s="122">
        <f>-IS!BT59</f>
        <v>0</v>
      </c>
      <c r="Q80" s="122">
        <f>-IS!BY59</f>
        <v>0</v>
      </c>
      <c r="R80" s="122">
        <f>-IS!CD59</f>
        <v>0</v>
      </c>
      <c r="S80" s="122">
        <f>-IS!CI59</f>
        <v>0</v>
      </c>
      <c r="T80" s="122">
        <f>-IS!CS59</f>
        <v>0</v>
      </c>
      <c r="U80" s="121">
        <f>-IS!CS59</f>
        <v>0</v>
      </c>
    </row>
    <row r="81" spans="2:21">
      <c r="B81" s="522" t="s">
        <v>264</v>
      </c>
      <c r="C81" s="244"/>
      <c r="D81" s="246"/>
      <c r="E81" s="246">
        <v>-20.683</v>
      </c>
      <c r="F81" s="173">
        <v>0</v>
      </c>
      <c r="G81" s="173">
        <v>0</v>
      </c>
      <c r="H81" s="173">
        <v>0</v>
      </c>
      <c r="I81" s="173">
        <v>0</v>
      </c>
      <c r="J81" s="173">
        <v>0</v>
      </c>
      <c r="K81" s="173">
        <v>0</v>
      </c>
      <c r="L81" s="173">
        <v>0</v>
      </c>
      <c r="M81" s="173">
        <v>0</v>
      </c>
      <c r="N81" s="173">
        <v>0</v>
      </c>
      <c r="O81" s="173">
        <v>0</v>
      </c>
      <c r="P81" s="173">
        <v>0</v>
      </c>
      <c r="Q81" s="173">
        <v>0</v>
      </c>
      <c r="R81" s="173">
        <v>0</v>
      </c>
      <c r="S81" s="173">
        <v>0</v>
      </c>
      <c r="T81" s="173">
        <v>0</v>
      </c>
      <c r="U81" s="245">
        <v>0</v>
      </c>
    </row>
    <row r="82" spans="2:21">
      <c r="B82" s="526" t="s">
        <v>61</v>
      </c>
      <c r="C82" s="250"/>
      <c r="D82" s="251">
        <f t="shared" ref="D82:L82" si="132">+D74+D78+D79+D81+D75+D76+D80</f>
        <v>221.35199999999998</v>
      </c>
      <c r="E82" s="251">
        <f t="shared" si="132"/>
        <v>997.13400000000001</v>
      </c>
      <c r="F82" s="251">
        <f t="shared" si="132"/>
        <v>643.53300631000002</v>
      </c>
      <c r="G82" s="251">
        <f t="shared" si="132"/>
        <v>107.19210652454001</v>
      </c>
      <c r="H82" s="251">
        <f t="shared" si="132"/>
        <v>1311.0387599999999</v>
      </c>
      <c r="I82" s="251">
        <f t="shared" si="132"/>
        <v>214.16896701106361</v>
      </c>
      <c r="J82" s="251">
        <f t="shared" si="132"/>
        <v>231.6405215900958</v>
      </c>
      <c r="K82" s="251">
        <f t="shared" si="132"/>
        <v>248.27658014255951</v>
      </c>
      <c r="L82" s="251">
        <f t="shared" si="132"/>
        <v>259.56313264848347</v>
      </c>
      <c r="M82" s="251">
        <f t="shared" ref="M82:N82" si="133">+M74+M78+M79+M81+M75+M76+M80</f>
        <v>264.64133156508655</v>
      </c>
      <c r="N82" s="251">
        <f t="shared" si="133"/>
        <v>268.91146158609689</v>
      </c>
      <c r="O82" s="251">
        <f t="shared" ref="O82:P82" si="134">+O74+O78+O79+O81+O75+O76+O80</f>
        <v>274.69299296821998</v>
      </c>
      <c r="P82" s="251">
        <f t="shared" si="134"/>
        <v>278.82512859520193</v>
      </c>
      <c r="Q82" s="251">
        <f t="shared" ref="Q82:R82" si="135">+Q74+Q78+Q79+Q81+Q75+Q76+Q80</f>
        <v>281.29434592621175</v>
      </c>
      <c r="R82" s="251">
        <f t="shared" si="135"/>
        <v>282.6188115592642</v>
      </c>
      <c r="S82" s="251">
        <f t="shared" ref="S82:T82" si="136">+S74+S78+S79+S81+S75+S76+S80</f>
        <v>282.84131001694112</v>
      </c>
      <c r="T82" s="251">
        <f t="shared" si="136"/>
        <v>282.02070204314288</v>
      </c>
      <c r="U82" s="252">
        <f t="shared" ref="U82" si="137">+U74+U78+U79+U81+U75+U76+U80</f>
        <v>280.21191427689132</v>
      </c>
    </row>
    <row r="83" spans="2:21">
      <c r="B83" s="527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</row>
    <row r="84" spans="2:21">
      <c r="B84" s="494" t="s">
        <v>255</v>
      </c>
      <c r="C84" s="149"/>
      <c r="D84" s="149"/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</row>
    <row r="85" spans="2:21">
      <c r="B85" s="528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</row>
    <row r="86" spans="2:21">
      <c r="B86" s="153" t="s">
        <v>62</v>
      </c>
      <c r="C86" s="151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</row>
    <row r="87" spans="2:21">
      <c r="B87" s="153" t="s">
        <v>63</v>
      </c>
      <c r="C87" s="153"/>
      <c r="D87" s="154"/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54"/>
    </row>
    <row r="88" spans="2:21">
      <c r="B88" s="155" t="s">
        <v>64</v>
      </c>
      <c r="C88" s="155"/>
      <c r="D88" s="154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54"/>
    </row>
    <row r="89" spans="2:21">
      <c r="B89" s="155" t="s">
        <v>65</v>
      </c>
      <c r="C89" s="155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54"/>
    </row>
    <row r="90" spans="2:21">
      <c r="C90" s="104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</row>
    <row r="91" spans="2:21">
      <c r="C91" s="104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</row>
    <row r="92" spans="2:21">
      <c r="C92" s="104"/>
      <c r="D92" s="107"/>
      <c r="E92" s="107"/>
      <c r="F92" s="107"/>
      <c r="G92" s="107"/>
      <c r="H92" s="107"/>
      <c r="I92" s="107"/>
      <c r="J92" s="107"/>
      <c r="K92" s="107"/>
      <c r="L92" s="107"/>
      <c r="M92" s="107"/>
      <c r="N92" s="107"/>
      <c r="O92" s="107"/>
    </row>
    <row r="93" spans="2:21">
      <c r="C93" s="104"/>
      <c r="D93" s="107"/>
      <c r="E93" s="107"/>
      <c r="F93" s="107"/>
      <c r="G93" s="107"/>
      <c r="H93" s="107"/>
      <c r="I93" s="107"/>
      <c r="J93" s="107"/>
      <c r="K93" s="107"/>
      <c r="L93" s="107"/>
      <c r="M93" s="107"/>
      <c r="N93" s="107"/>
      <c r="O93" s="107"/>
    </row>
    <row r="94" spans="2:21">
      <c r="C94" s="104"/>
      <c r="D94" s="107"/>
      <c r="E94" s="107"/>
      <c r="F94" s="107"/>
      <c r="G94" s="107"/>
      <c r="H94" s="107"/>
      <c r="I94" s="107"/>
      <c r="J94" s="107"/>
      <c r="K94" s="107"/>
      <c r="L94" s="107"/>
      <c r="M94" s="107"/>
      <c r="N94" s="107"/>
      <c r="O94" s="107"/>
    </row>
    <row r="95" spans="2:21">
      <c r="C95" s="104"/>
      <c r="D95" s="107"/>
      <c r="E95" s="107"/>
      <c r="F95" s="107"/>
      <c r="G95" s="107"/>
      <c r="H95" s="107"/>
      <c r="I95" s="107"/>
      <c r="J95" s="107"/>
      <c r="K95" s="107"/>
      <c r="L95" s="107"/>
      <c r="M95" s="107"/>
      <c r="N95" s="107"/>
      <c r="O95" s="107"/>
    </row>
    <row r="96" spans="2:21">
      <c r="C96" s="104"/>
      <c r="D96" s="107"/>
      <c r="E96" s="107"/>
      <c r="F96" s="107"/>
      <c r="G96" s="107"/>
      <c r="H96" s="107"/>
      <c r="I96" s="107"/>
      <c r="J96" s="107"/>
      <c r="K96" s="107"/>
      <c r="L96" s="107"/>
      <c r="M96" s="107"/>
      <c r="N96" s="107"/>
      <c r="O96" s="107"/>
    </row>
    <row r="97" spans="3:15">
      <c r="C97" s="104"/>
      <c r="D97" s="107"/>
      <c r="E97" s="107"/>
      <c r="F97" s="107"/>
      <c r="G97" s="107"/>
      <c r="H97" s="107"/>
      <c r="I97" s="107"/>
      <c r="J97" s="107"/>
      <c r="K97" s="107"/>
      <c r="L97" s="107"/>
      <c r="M97" s="107"/>
      <c r="N97" s="107"/>
      <c r="O97" s="107"/>
    </row>
    <row r="98" spans="3:15">
      <c r="C98" s="104"/>
      <c r="D98" s="107"/>
      <c r="E98" s="107"/>
      <c r="F98" s="107"/>
      <c r="G98" s="107"/>
      <c r="H98" s="107"/>
      <c r="I98" s="107"/>
      <c r="J98" s="107"/>
      <c r="K98" s="107"/>
      <c r="L98" s="107"/>
      <c r="M98" s="107"/>
      <c r="N98" s="107"/>
      <c r="O98" s="107"/>
    </row>
    <row r="99" spans="3:15">
      <c r="C99" s="104"/>
      <c r="D99" s="107"/>
      <c r="E99" s="107"/>
      <c r="F99" s="107"/>
      <c r="G99" s="107"/>
      <c r="H99" s="107"/>
      <c r="I99" s="107"/>
      <c r="J99" s="107"/>
      <c r="K99" s="107"/>
      <c r="L99" s="107"/>
      <c r="M99" s="107"/>
      <c r="N99" s="107"/>
      <c r="O99" s="107"/>
    </row>
    <row r="100" spans="3:15">
      <c r="C100" s="104"/>
      <c r="D100" s="107"/>
      <c r="E100" s="107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</row>
    <row r="101" spans="3:15">
      <c r="C101" s="104"/>
      <c r="D101" s="107"/>
      <c r="E101" s="107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</row>
    <row r="102" spans="3:15">
      <c r="C102" s="104"/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</row>
    <row r="103" spans="3:15">
      <c r="C103" s="104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</row>
    <row r="104" spans="3:15">
      <c r="C104" s="104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</row>
    <row r="105" spans="3:15">
      <c r="C105" s="104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</row>
    <row r="106" spans="3:15">
      <c r="C106" s="104"/>
      <c r="D106" s="107"/>
      <c r="E106" s="107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</row>
    <row r="107" spans="3:15">
      <c r="C107" s="104"/>
      <c r="D107" s="107"/>
      <c r="E107" s="107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</row>
    <row r="108" spans="3:15">
      <c r="C108" s="104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</row>
    <row r="109" spans="3:15">
      <c r="C109" s="104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</row>
    <row r="110" spans="3:15">
      <c r="C110" s="104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</row>
    <row r="111" spans="3:15">
      <c r="C111" s="104"/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</row>
    <row r="112" spans="3:15">
      <c r="C112" s="104"/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</row>
    <row r="113" spans="3:15" customFormat="1"/>
    <row r="114" spans="3:15">
      <c r="C114" s="104"/>
      <c r="D114" s="107"/>
      <c r="E114" s="107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</row>
    <row r="115" spans="3:15">
      <c r="C115" s="104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</row>
    <row r="116" spans="3:15">
      <c r="C116" s="104"/>
      <c r="D116" s="107"/>
      <c r="E116" s="107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</row>
    <row r="117" spans="3:15">
      <c r="C117" s="104"/>
      <c r="D117" s="107"/>
      <c r="E117" s="107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</row>
    <row r="118" spans="3:15">
      <c r="C118" s="104"/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</row>
    <row r="119" spans="3:15">
      <c r="C119" s="104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</row>
    <row r="120" spans="3:15">
      <c r="C120" s="104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</row>
    <row r="121" spans="3:15">
      <c r="C121" s="104"/>
      <c r="D121" s="107"/>
      <c r="E121" s="107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</row>
    <row r="122" spans="3:15">
      <c r="C122" s="104"/>
      <c r="D122" s="107"/>
      <c r="E122" s="107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</row>
    <row r="123" spans="3:15">
      <c r="C123" s="104"/>
      <c r="D123" s="107"/>
      <c r="E123" s="107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</row>
    <row r="124" spans="3:15">
      <c r="C124" s="104"/>
      <c r="D124" s="107"/>
      <c r="E124" s="107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</row>
    <row r="125" spans="3:15">
      <c r="C125" s="104"/>
      <c r="D125" s="107"/>
      <c r="E125" s="107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</row>
    <row r="126" spans="3:15">
      <c r="C126" s="104"/>
      <c r="D126" s="107"/>
      <c r="E126" s="107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</row>
    <row r="127" spans="3:15">
      <c r="C127" s="104"/>
      <c r="D127" s="107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</row>
    <row r="128" spans="3:15">
      <c r="C128" s="104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</row>
    <row r="129" spans="3:15">
      <c r="C129" s="104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</row>
    <row r="130" spans="3:15">
      <c r="C130" s="104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</row>
    <row r="131" spans="3:15">
      <c r="C131" s="104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</row>
    <row r="132" spans="3:15">
      <c r="C132" s="104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</row>
    <row r="133" spans="3:15">
      <c r="C133" s="104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</row>
    <row r="134" spans="3:15">
      <c r="C134" s="104"/>
      <c r="D134" s="107"/>
      <c r="E134" s="107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</row>
    <row r="135" spans="3:15">
      <c r="C135" s="104"/>
      <c r="D135" s="107"/>
      <c r="E135" s="107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</row>
    <row r="136" spans="3:15">
      <c r="C136" s="104"/>
      <c r="D136" s="107"/>
      <c r="E136" s="107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</row>
    <row r="137" spans="3:15">
      <c r="C137" s="104"/>
      <c r="D137" s="107"/>
      <c r="E137" s="107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</row>
    <row r="138" spans="3:15">
      <c r="C138" s="104"/>
      <c r="D138" s="107"/>
      <c r="E138" s="107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</row>
    <row r="139" spans="3:15">
      <c r="C139" s="104"/>
      <c r="D139" s="107"/>
      <c r="E139" s="107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</row>
    <row r="140" spans="3:15">
      <c r="C140" s="104"/>
      <c r="D140" s="107"/>
      <c r="E140" s="107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</row>
    <row r="141" spans="3:15">
      <c r="C141" s="104"/>
      <c r="D141" s="107"/>
      <c r="E141" s="107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</row>
    <row r="142" spans="3:15">
      <c r="C142" s="104"/>
      <c r="D142" s="107"/>
      <c r="E142" s="107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</row>
    <row r="143" spans="3:15">
      <c r="C143" s="104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</row>
    <row r="144" spans="3:15">
      <c r="C144" s="104"/>
      <c r="D144" s="107"/>
      <c r="E144" s="107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</row>
    <row r="145" spans="3:15">
      <c r="C145" s="104"/>
      <c r="D145" s="107"/>
      <c r="E145" s="107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</row>
    <row r="146" spans="3:15">
      <c r="C146" s="104"/>
      <c r="D146" s="107"/>
      <c r="E146" s="107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</row>
    <row r="147" spans="3:15">
      <c r="C147" s="104"/>
      <c r="D147" s="107"/>
      <c r="E147" s="107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</row>
    <row r="148" spans="3:15">
      <c r="C148" s="104"/>
      <c r="D148" s="107"/>
      <c r="E148" s="107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</row>
    <row r="149" spans="3:15">
      <c r="C149" s="104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</row>
    <row r="150" spans="3:15">
      <c r="C150" s="104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</row>
    <row r="151" spans="3:15">
      <c r="C151" s="104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</row>
    <row r="152" spans="3:15">
      <c r="C152" s="104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</row>
    <row r="153" spans="3:15">
      <c r="C153" s="104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</row>
    <row r="154" spans="3:15">
      <c r="C154" s="104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</row>
    <row r="155" spans="3:15">
      <c r="C155" s="104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</row>
    <row r="156" spans="3:15">
      <c r="C156" s="104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</row>
    <row r="157" spans="3:15">
      <c r="C157" s="104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</row>
    <row r="158" spans="3:15">
      <c r="C158" s="104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</row>
    <row r="159" spans="3:15">
      <c r="C159" s="104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</row>
    <row r="160" spans="3:15">
      <c r="C160" s="104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</row>
    <row r="161" spans="3:15">
      <c r="C161" s="104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</row>
    <row r="162" spans="3:15">
      <c r="C162" s="104"/>
      <c r="D162" s="107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</row>
    <row r="163" spans="3:15">
      <c r="C163" s="104"/>
      <c r="D163" s="107"/>
      <c r="E163" s="107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</row>
    <row r="164" spans="3:15">
      <c r="C164" s="104"/>
      <c r="D164" s="107"/>
      <c r="E164" s="107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</row>
    <row r="165" spans="3:15">
      <c r="C165" s="104"/>
      <c r="D165" s="107"/>
      <c r="E165" s="107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</row>
    <row r="166" spans="3:15">
      <c r="C166" s="104"/>
      <c r="D166" s="107"/>
      <c r="E166" s="107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</row>
    <row r="167" spans="3:15">
      <c r="C167" s="104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</row>
    <row r="168" spans="3:15">
      <c r="C168" s="104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</row>
    <row r="169" spans="3:15">
      <c r="C169" s="104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</row>
    <row r="170" spans="3:15">
      <c r="C170" s="104"/>
      <c r="D170" s="107"/>
      <c r="E170" s="107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</row>
    <row r="171" spans="3:15">
      <c r="C171" s="104"/>
      <c r="D171" s="107"/>
      <c r="E171" s="107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</row>
    <row r="172" spans="3:15">
      <c r="C172" s="104"/>
      <c r="D172" s="107"/>
      <c r="E172" s="107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</row>
    <row r="173" spans="3:15">
      <c r="C173" s="104"/>
      <c r="D173" s="107"/>
      <c r="E173" s="107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</row>
  </sheetData>
  <phoneticPr fontId="4" type="noConversion"/>
  <pageMargins left="0" right="0" top="0" bottom="0" header="0" footer="0"/>
  <pageSetup paperSize="5" scale="2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T234"/>
  <sheetViews>
    <sheetView showGridLines="0" zoomScale="85" zoomScaleNormal="85" workbookViewId="0">
      <selection activeCell="H6" sqref="H6:T28"/>
    </sheetView>
  </sheetViews>
  <sheetFormatPr defaultRowHeight="12.75" outlineLevelRow="2"/>
  <cols>
    <col min="1" max="1" width="2" style="83" customWidth="1"/>
    <col min="2" max="2" width="39.85546875" style="83" bestFit="1" customWidth="1"/>
    <col min="3" max="3" width="12.140625" style="83" hidden="1" customWidth="1"/>
    <col min="4" max="4" width="12.5703125" style="83" hidden="1" customWidth="1"/>
    <col min="5" max="5" width="12.140625" style="83" hidden="1" customWidth="1"/>
    <col min="6" max="6" width="12.42578125" style="83" hidden="1" customWidth="1"/>
    <col min="7" max="7" width="12" style="83" hidden="1" customWidth="1"/>
    <col min="8" max="8" width="12.42578125" style="83" customWidth="1"/>
    <col min="9" max="9" width="12.28515625" style="83" customWidth="1"/>
    <col min="10" max="15" width="12" style="83" bestFit="1" customWidth="1"/>
    <col min="16" max="16" width="11.85546875" style="83" customWidth="1"/>
    <col min="17" max="20" width="12" style="83" customWidth="1"/>
    <col min="21" max="16384" width="9.140625" style="83"/>
  </cols>
  <sheetData>
    <row r="1" spans="2:20">
      <c r="G1" s="10"/>
    </row>
    <row r="2" spans="2:20">
      <c r="B2" s="10" t="s">
        <v>85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2:20">
      <c r="B3" s="183" t="s">
        <v>86</v>
      </c>
      <c r="H3" s="12">
        <f>DCF!C31</f>
        <v>2</v>
      </c>
      <c r="J3" s="184" t="s">
        <v>87</v>
      </c>
      <c r="K3" s="185">
        <f>DCF!C23</f>
        <v>117.89998532386268</v>
      </c>
    </row>
    <row r="5" spans="2:20" outlineLevel="1">
      <c r="B5" s="186" t="s">
        <v>112</v>
      </c>
      <c r="C5" s="187">
        <v>2013</v>
      </c>
      <c r="D5" s="187">
        <v>2014</v>
      </c>
      <c r="E5" s="187">
        <v>2015</v>
      </c>
      <c r="F5" s="187">
        <v>2016</v>
      </c>
      <c r="G5" s="187">
        <v>2017</v>
      </c>
      <c r="H5" s="187">
        <v>2018</v>
      </c>
      <c r="I5" s="187">
        <v>2019</v>
      </c>
      <c r="J5" s="187">
        <v>2020</v>
      </c>
      <c r="K5" s="187">
        <v>2021</v>
      </c>
      <c r="L5" s="187">
        <v>2022</v>
      </c>
      <c r="M5" s="187">
        <v>2023</v>
      </c>
      <c r="N5" s="187">
        <v>2024</v>
      </c>
      <c r="O5" s="187">
        <v>2025</v>
      </c>
      <c r="P5" s="5">
        <v>2026</v>
      </c>
      <c r="Q5" s="5">
        <v>2027</v>
      </c>
      <c r="R5" s="5">
        <v>2028</v>
      </c>
      <c r="S5" s="5">
        <v>2029</v>
      </c>
      <c r="T5" s="285">
        <v>2030</v>
      </c>
    </row>
    <row r="6" spans="2:20" outlineLevel="2">
      <c r="B6" s="24" t="s">
        <v>82</v>
      </c>
      <c r="C6" s="188"/>
      <c r="D6" s="188"/>
      <c r="E6" s="188"/>
      <c r="F6" s="189"/>
      <c r="H6" s="190">
        <f t="shared" ref="H6:N6" si="0">H7*1.355</f>
        <v>8.1299999999999997E-2</v>
      </c>
      <c r="I6" s="190">
        <f t="shared" si="0"/>
        <v>0.15582499999999999</v>
      </c>
      <c r="J6" s="190">
        <f t="shared" si="0"/>
        <v>0.15582499999999999</v>
      </c>
      <c r="K6" s="190">
        <f t="shared" si="0"/>
        <v>0.14904999999999999</v>
      </c>
      <c r="L6" s="190">
        <f t="shared" si="0"/>
        <v>0.14227499999999998</v>
      </c>
      <c r="M6" s="190">
        <f t="shared" si="0"/>
        <v>0.13549999999999998</v>
      </c>
      <c r="N6" s="190">
        <f t="shared" si="0"/>
        <v>0.12872499999999998</v>
      </c>
      <c r="O6" s="190">
        <f t="shared" ref="O6:T6" si="1">O7*1.25</f>
        <v>0.11124999999999997</v>
      </c>
      <c r="P6" s="190">
        <f t="shared" si="1"/>
        <v>0.10374999999999997</v>
      </c>
      <c r="Q6" s="190">
        <f t="shared" si="1"/>
        <v>9.6249999999999961E-2</v>
      </c>
      <c r="R6" s="190">
        <f t="shared" si="1"/>
        <v>8.8749999999999954E-2</v>
      </c>
      <c r="S6" s="190">
        <f t="shared" si="1"/>
        <v>8.1249999999999947E-2</v>
      </c>
      <c r="T6" s="190">
        <f t="shared" si="1"/>
        <v>7.3749999999999954E-2</v>
      </c>
    </row>
    <row r="7" spans="2:20" outlineLevel="2">
      <c r="B7" s="24" t="s">
        <v>83</v>
      </c>
      <c r="C7" s="188"/>
      <c r="D7" s="188"/>
      <c r="E7" s="188"/>
      <c r="F7" s="189"/>
      <c r="H7" s="190">
        <v>0.06</v>
      </c>
      <c r="I7" s="190">
        <v>0.115</v>
      </c>
      <c r="J7" s="190">
        <v>0.115</v>
      </c>
      <c r="K7" s="190">
        <f t="shared" ref="K7:N7" si="2">J7-0.005</f>
        <v>0.11</v>
      </c>
      <c r="L7" s="190">
        <f t="shared" si="2"/>
        <v>0.105</v>
      </c>
      <c r="M7" s="190">
        <f t="shared" si="2"/>
        <v>9.9999999999999992E-2</v>
      </c>
      <c r="N7" s="190">
        <f t="shared" si="2"/>
        <v>9.4999999999999987E-2</v>
      </c>
      <c r="O7" s="190">
        <f t="shared" ref="O7:T7" si="3">N7-0.006</f>
        <v>8.8999999999999982E-2</v>
      </c>
      <c r="P7" s="190">
        <f t="shared" si="3"/>
        <v>8.2999999999999977E-2</v>
      </c>
      <c r="Q7" s="190">
        <f t="shared" si="3"/>
        <v>7.6999999999999971E-2</v>
      </c>
      <c r="R7" s="190">
        <f t="shared" si="3"/>
        <v>7.0999999999999966E-2</v>
      </c>
      <c r="S7" s="190">
        <f t="shared" si="3"/>
        <v>6.4999999999999961E-2</v>
      </c>
      <c r="T7" s="190">
        <f t="shared" si="3"/>
        <v>5.8999999999999962E-2</v>
      </c>
    </row>
    <row r="8" spans="2:20" outlineLevel="2">
      <c r="B8" s="181" t="s">
        <v>84</v>
      </c>
      <c r="C8" s="188"/>
      <c r="D8" s="188"/>
      <c r="E8" s="188"/>
      <c r="F8" s="189"/>
      <c r="H8" s="190">
        <f>H7*0.6</f>
        <v>3.5999999999999997E-2</v>
      </c>
      <c r="I8" s="190">
        <f t="shared" ref="I8:T8" si="4">I7*0.6</f>
        <v>6.9000000000000006E-2</v>
      </c>
      <c r="J8" s="190">
        <f t="shared" si="4"/>
        <v>6.9000000000000006E-2</v>
      </c>
      <c r="K8" s="190">
        <f t="shared" si="4"/>
        <v>6.6000000000000003E-2</v>
      </c>
      <c r="L8" s="190">
        <f t="shared" si="4"/>
        <v>6.3E-2</v>
      </c>
      <c r="M8" s="190">
        <f t="shared" si="4"/>
        <v>5.9999999999999991E-2</v>
      </c>
      <c r="N8" s="190">
        <f t="shared" si="4"/>
        <v>5.6999999999999988E-2</v>
      </c>
      <c r="O8" s="190">
        <f t="shared" si="4"/>
        <v>5.3399999999999989E-2</v>
      </c>
      <c r="P8" s="190">
        <f t="shared" si="4"/>
        <v>4.9799999999999983E-2</v>
      </c>
      <c r="Q8" s="190">
        <f t="shared" si="4"/>
        <v>4.6199999999999984E-2</v>
      </c>
      <c r="R8" s="190">
        <f t="shared" si="4"/>
        <v>4.2599999999999978E-2</v>
      </c>
      <c r="S8" s="190">
        <f t="shared" si="4"/>
        <v>3.8999999999999972E-2</v>
      </c>
      <c r="T8" s="190">
        <f t="shared" si="4"/>
        <v>3.5399999999999973E-2</v>
      </c>
    </row>
    <row r="9" spans="2:20" outlineLevel="1">
      <c r="B9" s="181"/>
      <c r="C9" s="188"/>
      <c r="D9" s="188"/>
      <c r="E9" s="188"/>
      <c r="F9" s="182"/>
      <c r="G9" s="182"/>
      <c r="H9" s="189"/>
      <c r="I9" s="189"/>
      <c r="J9" s="189"/>
      <c r="K9" s="189"/>
      <c r="L9" s="189"/>
      <c r="M9" s="189"/>
      <c r="N9" s="189"/>
      <c r="O9" s="189"/>
      <c r="P9" s="189"/>
    </row>
    <row r="10" spans="2:20" outlineLevel="1">
      <c r="B10" s="186" t="s">
        <v>111</v>
      </c>
      <c r="C10" s="187">
        <v>2013</v>
      </c>
      <c r="D10" s="187">
        <v>2014</v>
      </c>
      <c r="E10" s="187">
        <v>2015</v>
      </c>
      <c r="F10" s="187">
        <v>2016</v>
      </c>
      <c r="G10" s="187">
        <v>2017</v>
      </c>
      <c r="H10" s="187">
        <v>2018</v>
      </c>
      <c r="I10" s="187">
        <v>2019</v>
      </c>
      <c r="J10" s="187">
        <v>2020</v>
      </c>
      <c r="K10" s="187">
        <v>2021</v>
      </c>
      <c r="L10" s="187">
        <v>2022</v>
      </c>
      <c r="M10" s="187">
        <v>2023</v>
      </c>
      <c r="N10" s="187">
        <v>2024</v>
      </c>
      <c r="O10" s="187">
        <v>2025</v>
      </c>
      <c r="P10" s="5">
        <v>2026</v>
      </c>
      <c r="Q10" s="5">
        <v>2027</v>
      </c>
      <c r="R10" s="5">
        <v>2028</v>
      </c>
      <c r="S10" s="5">
        <v>2029</v>
      </c>
      <c r="T10" s="285">
        <v>2030</v>
      </c>
    </row>
    <row r="11" spans="2:20" outlineLevel="2">
      <c r="B11" s="24" t="s">
        <v>82</v>
      </c>
      <c r="C11" s="188"/>
      <c r="D11" s="188"/>
      <c r="E11" s="188"/>
      <c r="F11" s="189"/>
      <c r="G11" s="189"/>
      <c r="H11" s="190">
        <f>H12*1.25</f>
        <v>3.7499999999999999E-2</v>
      </c>
      <c r="I11" s="190">
        <f t="shared" ref="I11:T11" si="5">I12*1.25</f>
        <v>0.14375000000000002</v>
      </c>
      <c r="J11" s="190">
        <f t="shared" si="5"/>
        <v>0.14375000000000002</v>
      </c>
      <c r="K11" s="190">
        <f t="shared" si="5"/>
        <v>0.13750000000000001</v>
      </c>
      <c r="L11" s="190">
        <f t="shared" si="5"/>
        <v>0.13125000000000001</v>
      </c>
      <c r="M11" s="190">
        <f t="shared" si="5"/>
        <v>0.12499999999999999</v>
      </c>
      <c r="N11" s="190">
        <f t="shared" si="5"/>
        <v>0.11874999999999998</v>
      </c>
      <c r="O11" s="190">
        <f t="shared" si="5"/>
        <v>0.11124999999999997</v>
      </c>
      <c r="P11" s="190">
        <f t="shared" si="5"/>
        <v>0.10374999999999997</v>
      </c>
      <c r="Q11" s="190">
        <f t="shared" si="5"/>
        <v>9.6249999999999961E-2</v>
      </c>
      <c r="R11" s="190">
        <f t="shared" si="5"/>
        <v>8.8749999999999954E-2</v>
      </c>
      <c r="S11" s="190">
        <f t="shared" si="5"/>
        <v>8.1249999999999947E-2</v>
      </c>
      <c r="T11" s="190">
        <f t="shared" si="5"/>
        <v>7.3749999999999954E-2</v>
      </c>
    </row>
    <row r="12" spans="2:20" outlineLevel="2">
      <c r="B12" s="24" t="s">
        <v>83</v>
      </c>
      <c r="C12" s="188"/>
      <c r="D12" s="188"/>
      <c r="E12" s="188"/>
      <c r="F12" s="189"/>
      <c r="G12" s="189"/>
      <c r="H12" s="190">
        <f>+H7*0.5</f>
        <v>0.03</v>
      </c>
      <c r="I12" s="190">
        <f t="shared" ref="I12:T12" si="6">+I7</f>
        <v>0.115</v>
      </c>
      <c r="J12" s="190">
        <f t="shared" si="6"/>
        <v>0.115</v>
      </c>
      <c r="K12" s="190">
        <f t="shared" si="6"/>
        <v>0.11</v>
      </c>
      <c r="L12" s="190">
        <f t="shared" si="6"/>
        <v>0.105</v>
      </c>
      <c r="M12" s="190">
        <f t="shared" si="6"/>
        <v>9.9999999999999992E-2</v>
      </c>
      <c r="N12" s="190">
        <f t="shared" si="6"/>
        <v>9.4999999999999987E-2</v>
      </c>
      <c r="O12" s="190">
        <f t="shared" si="6"/>
        <v>8.8999999999999982E-2</v>
      </c>
      <c r="P12" s="190">
        <f t="shared" si="6"/>
        <v>8.2999999999999977E-2</v>
      </c>
      <c r="Q12" s="190">
        <f t="shared" si="6"/>
        <v>7.6999999999999971E-2</v>
      </c>
      <c r="R12" s="190">
        <f t="shared" si="6"/>
        <v>7.0999999999999966E-2</v>
      </c>
      <c r="S12" s="190">
        <f t="shared" si="6"/>
        <v>6.4999999999999961E-2</v>
      </c>
      <c r="T12" s="190">
        <f t="shared" si="6"/>
        <v>5.8999999999999962E-2</v>
      </c>
    </row>
    <row r="13" spans="2:20" outlineLevel="2">
      <c r="B13" s="181" t="s">
        <v>84</v>
      </c>
      <c r="C13" s="188"/>
      <c r="D13" s="188"/>
      <c r="E13" s="188"/>
      <c r="F13" s="189"/>
      <c r="G13" s="189"/>
      <c r="H13" s="190">
        <f>+H8*0.5</f>
        <v>1.7999999999999999E-2</v>
      </c>
      <c r="I13" s="190">
        <f t="shared" ref="I13:T13" si="7">+I8*0.5</f>
        <v>3.4500000000000003E-2</v>
      </c>
      <c r="J13" s="190">
        <f t="shared" si="7"/>
        <v>3.4500000000000003E-2</v>
      </c>
      <c r="K13" s="190">
        <f t="shared" si="7"/>
        <v>3.3000000000000002E-2</v>
      </c>
      <c r="L13" s="190">
        <f t="shared" si="7"/>
        <v>3.15E-2</v>
      </c>
      <c r="M13" s="190">
        <f t="shared" si="7"/>
        <v>2.9999999999999995E-2</v>
      </c>
      <c r="N13" s="190">
        <f t="shared" si="7"/>
        <v>2.8499999999999994E-2</v>
      </c>
      <c r="O13" s="190">
        <f t="shared" si="7"/>
        <v>2.6699999999999995E-2</v>
      </c>
      <c r="P13" s="190">
        <f t="shared" si="7"/>
        <v>2.4899999999999992E-2</v>
      </c>
      <c r="Q13" s="190">
        <f t="shared" si="7"/>
        <v>2.3099999999999992E-2</v>
      </c>
      <c r="R13" s="190">
        <f t="shared" si="7"/>
        <v>2.1299999999999989E-2</v>
      </c>
      <c r="S13" s="190">
        <f t="shared" si="7"/>
        <v>1.9499999999999986E-2</v>
      </c>
      <c r="T13" s="190">
        <f t="shared" si="7"/>
        <v>1.7699999999999987E-2</v>
      </c>
    </row>
    <row r="14" spans="2:20" outlineLevel="1">
      <c r="B14" s="181"/>
      <c r="C14" s="188"/>
      <c r="D14" s="188"/>
      <c r="E14" s="188"/>
      <c r="F14" s="182"/>
      <c r="G14" s="182"/>
      <c r="H14" s="189"/>
      <c r="I14" s="189"/>
      <c r="J14" s="189"/>
      <c r="K14" s="189"/>
      <c r="L14" s="189"/>
      <c r="M14" s="189"/>
      <c r="N14" s="189"/>
      <c r="O14" s="189"/>
      <c r="P14" s="189"/>
    </row>
    <row r="15" spans="2:20" outlineLevel="1">
      <c r="B15" s="186" t="s">
        <v>113</v>
      </c>
      <c r="C15" s="187">
        <v>2013</v>
      </c>
      <c r="D15" s="187">
        <v>2014</v>
      </c>
      <c r="E15" s="187">
        <v>2015</v>
      </c>
      <c r="F15" s="187">
        <v>2016</v>
      </c>
      <c r="G15" s="187">
        <v>2017</v>
      </c>
      <c r="H15" s="187">
        <v>2018</v>
      </c>
      <c r="I15" s="187">
        <v>2019</v>
      </c>
      <c r="J15" s="187">
        <v>2020</v>
      </c>
      <c r="K15" s="187">
        <v>2021</v>
      </c>
      <c r="L15" s="187">
        <v>2022</v>
      </c>
      <c r="M15" s="187">
        <v>2023</v>
      </c>
      <c r="N15" s="187">
        <v>2024</v>
      </c>
      <c r="O15" s="187">
        <v>2025</v>
      </c>
      <c r="P15" s="5">
        <v>2026</v>
      </c>
      <c r="Q15" s="5">
        <v>2027</v>
      </c>
      <c r="R15" s="5">
        <v>2028</v>
      </c>
      <c r="S15" s="5">
        <v>2029</v>
      </c>
      <c r="T15" s="285">
        <v>2030</v>
      </c>
    </row>
    <row r="16" spans="2:20" outlineLevel="2">
      <c r="B16" s="24" t="s">
        <v>82</v>
      </c>
      <c r="C16" s="188"/>
      <c r="D16" s="188"/>
      <c r="E16" s="188"/>
      <c r="F16" s="189"/>
      <c r="G16" s="189"/>
      <c r="H16" s="190">
        <f>H17*1.25</f>
        <v>3.7499999999999999E-2</v>
      </c>
      <c r="I16" s="190">
        <f t="shared" ref="I16:T16" si="8">I17*1.25</f>
        <v>7.4999999999999997E-2</v>
      </c>
      <c r="J16" s="190">
        <f t="shared" si="8"/>
        <v>0.14375000000000002</v>
      </c>
      <c r="K16" s="190">
        <f t="shared" si="8"/>
        <v>0.14375000000000002</v>
      </c>
      <c r="L16" s="190">
        <f t="shared" si="8"/>
        <v>0.13750000000000001</v>
      </c>
      <c r="M16" s="190">
        <f t="shared" si="8"/>
        <v>0.13125000000000001</v>
      </c>
      <c r="N16" s="190">
        <f t="shared" si="8"/>
        <v>0.12499999999999999</v>
      </c>
      <c r="O16" s="190">
        <f t="shared" si="8"/>
        <v>0.11874999999999998</v>
      </c>
      <c r="P16" s="190">
        <f t="shared" si="8"/>
        <v>0.11124999999999997</v>
      </c>
      <c r="Q16" s="190">
        <f t="shared" si="8"/>
        <v>0.10374999999999997</v>
      </c>
      <c r="R16" s="190">
        <f t="shared" si="8"/>
        <v>9.6249999999999961E-2</v>
      </c>
      <c r="S16" s="190">
        <f t="shared" si="8"/>
        <v>8.8749999999999954E-2</v>
      </c>
      <c r="T16" s="190">
        <f t="shared" si="8"/>
        <v>8.1249999999999947E-2</v>
      </c>
    </row>
    <row r="17" spans="2:20" outlineLevel="2">
      <c r="B17" s="24" t="s">
        <v>83</v>
      </c>
      <c r="C17" s="188"/>
      <c r="D17" s="188"/>
      <c r="E17" s="188"/>
      <c r="F17" s="189"/>
      <c r="G17" s="189"/>
      <c r="H17" s="190">
        <f>0.5*H7</f>
        <v>0.03</v>
      </c>
      <c r="I17" s="190">
        <f t="shared" ref="I17:T17" si="9">+H7</f>
        <v>0.06</v>
      </c>
      <c r="J17" s="190">
        <f t="shared" si="9"/>
        <v>0.115</v>
      </c>
      <c r="K17" s="190">
        <f t="shared" si="9"/>
        <v>0.115</v>
      </c>
      <c r="L17" s="190">
        <f t="shared" si="9"/>
        <v>0.11</v>
      </c>
      <c r="M17" s="190">
        <f t="shared" si="9"/>
        <v>0.105</v>
      </c>
      <c r="N17" s="190">
        <f t="shared" si="9"/>
        <v>9.9999999999999992E-2</v>
      </c>
      <c r="O17" s="190">
        <f t="shared" si="9"/>
        <v>9.4999999999999987E-2</v>
      </c>
      <c r="P17" s="190">
        <f t="shared" si="9"/>
        <v>8.8999999999999982E-2</v>
      </c>
      <c r="Q17" s="190">
        <f t="shared" si="9"/>
        <v>8.2999999999999977E-2</v>
      </c>
      <c r="R17" s="190">
        <f t="shared" si="9"/>
        <v>7.6999999999999971E-2</v>
      </c>
      <c r="S17" s="190">
        <f t="shared" si="9"/>
        <v>7.0999999999999966E-2</v>
      </c>
      <c r="T17" s="190">
        <f t="shared" si="9"/>
        <v>6.4999999999999961E-2</v>
      </c>
    </row>
    <row r="18" spans="2:20" outlineLevel="2">
      <c r="B18" s="181" t="s">
        <v>84</v>
      </c>
      <c r="C18" s="188"/>
      <c r="D18" s="188"/>
      <c r="E18" s="188"/>
      <c r="F18" s="189"/>
      <c r="G18" s="189"/>
      <c r="H18" s="190">
        <f>0.5*H8</f>
        <v>1.7999999999999999E-2</v>
      </c>
      <c r="I18" s="190">
        <f t="shared" ref="I18:T18" si="10">0.5*I8</f>
        <v>3.4500000000000003E-2</v>
      </c>
      <c r="J18" s="190">
        <f t="shared" si="10"/>
        <v>3.4500000000000003E-2</v>
      </c>
      <c r="K18" s="190">
        <f t="shared" si="10"/>
        <v>3.3000000000000002E-2</v>
      </c>
      <c r="L18" s="190">
        <f t="shared" si="10"/>
        <v>3.15E-2</v>
      </c>
      <c r="M18" s="190">
        <f t="shared" si="10"/>
        <v>2.9999999999999995E-2</v>
      </c>
      <c r="N18" s="190">
        <f t="shared" si="10"/>
        <v>2.8499999999999994E-2</v>
      </c>
      <c r="O18" s="190">
        <f t="shared" si="10"/>
        <v>2.6699999999999995E-2</v>
      </c>
      <c r="P18" s="190">
        <f t="shared" si="10"/>
        <v>2.4899999999999992E-2</v>
      </c>
      <c r="Q18" s="190">
        <f t="shared" si="10"/>
        <v>2.3099999999999992E-2</v>
      </c>
      <c r="R18" s="190">
        <f t="shared" si="10"/>
        <v>2.1299999999999989E-2</v>
      </c>
      <c r="S18" s="190">
        <f t="shared" si="10"/>
        <v>1.9499999999999986E-2</v>
      </c>
      <c r="T18" s="190">
        <f t="shared" si="10"/>
        <v>1.7699999999999987E-2</v>
      </c>
    </row>
    <row r="19" spans="2:20" outlineLevel="1">
      <c r="B19" s="181"/>
      <c r="C19" s="188"/>
      <c r="D19" s="188"/>
      <c r="E19" s="188"/>
      <c r="F19" s="182"/>
      <c r="G19" s="182"/>
      <c r="H19" s="189"/>
      <c r="I19" s="189"/>
      <c r="J19" s="189"/>
      <c r="K19" s="189"/>
      <c r="L19" s="189"/>
      <c r="M19" s="189"/>
      <c r="N19" s="189"/>
      <c r="O19" s="189"/>
      <c r="P19" s="189"/>
    </row>
    <row r="20" spans="2:20" outlineLevel="1">
      <c r="B20" s="186" t="s">
        <v>114</v>
      </c>
      <c r="C20" s="187">
        <v>2013</v>
      </c>
      <c r="D20" s="187">
        <v>2014</v>
      </c>
      <c r="E20" s="187">
        <v>2015</v>
      </c>
      <c r="F20" s="187">
        <v>2016</v>
      </c>
      <c r="G20" s="187">
        <v>2017</v>
      </c>
      <c r="H20" s="187">
        <v>2018</v>
      </c>
      <c r="I20" s="187">
        <v>2019</v>
      </c>
      <c r="J20" s="187">
        <v>2020</v>
      </c>
      <c r="K20" s="187">
        <v>2021</v>
      </c>
      <c r="L20" s="187">
        <v>2022</v>
      </c>
      <c r="M20" s="187">
        <v>2023</v>
      </c>
      <c r="N20" s="187">
        <v>2024</v>
      </c>
      <c r="O20" s="187">
        <v>2025</v>
      </c>
      <c r="P20" s="5">
        <v>2026</v>
      </c>
      <c r="Q20" s="5">
        <v>2027</v>
      </c>
      <c r="R20" s="5">
        <v>2028</v>
      </c>
      <c r="S20" s="5">
        <v>2029</v>
      </c>
      <c r="T20" s="285">
        <v>2030</v>
      </c>
    </row>
    <row r="21" spans="2:20" outlineLevel="2">
      <c r="B21" s="24" t="s">
        <v>82</v>
      </c>
      <c r="C21" s="188"/>
      <c r="D21" s="188"/>
      <c r="E21" s="188"/>
      <c r="F21" s="189"/>
      <c r="G21" s="189"/>
      <c r="H21" s="190">
        <f>H22*1.25</f>
        <v>3.7499999999999999E-2</v>
      </c>
      <c r="I21" s="190">
        <f t="shared" ref="I21:T21" si="11">I22*1.25</f>
        <v>7.4999999999999997E-2</v>
      </c>
      <c r="J21" s="190">
        <f t="shared" si="11"/>
        <v>0.14375000000000002</v>
      </c>
      <c r="K21" s="190">
        <f t="shared" si="11"/>
        <v>0.14375000000000002</v>
      </c>
      <c r="L21" s="190">
        <f t="shared" si="11"/>
        <v>0.13750000000000001</v>
      </c>
      <c r="M21" s="190">
        <f t="shared" si="11"/>
        <v>0.13125000000000001</v>
      </c>
      <c r="N21" s="190">
        <f t="shared" si="11"/>
        <v>0.12499999999999999</v>
      </c>
      <c r="O21" s="190">
        <f t="shared" si="11"/>
        <v>0.11874999999999998</v>
      </c>
      <c r="P21" s="190">
        <f t="shared" si="11"/>
        <v>0.11124999999999997</v>
      </c>
      <c r="Q21" s="190">
        <f t="shared" si="11"/>
        <v>0.10374999999999997</v>
      </c>
      <c r="R21" s="190">
        <f t="shared" si="11"/>
        <v>9.6249999999999961E-2</v>
      </c>
      <c r="S21" s="190">
        <f t="shared" si="11"/>
        <v>8.8749999999999954E-2</v>
      </c>
      <c r="T21" s="190">
        <f t="shared" si="11"/>
        <v>8.1249999999999947E-2</v>
      </c>
    </row>
    <row r="22" spans="2:20" outlineLevel="2">
      <c r="B22" s="24" t="s">
        <v>83</v>
      </c>
      <c r="C22" s="188"/>
      <c r="D22" s="188"/>
      <c r="E22" s="188"/>
      <c r="F22" s="189"/>
      <c r="G22" s="189"/>
      <c r="H22" s="190">
        <f t="shared" ref="H22:T23" si="12">+H17</f>
        <v>0.03</v>
      </c>
      <c r="I22" s="190">
        <f t="shared" si="12"/>
        <v>0.06</v>
      </c>
      <c r="J22" s="190">
        <f t="shared" si="12"/>
        <v>0.115</v>
      </c>
      <c r="K22" s="190">
        <f t="shared" si="12"/>
        <v>0.115</v>
      </c>
      <c r="L22" s="190">
        <f t="shared" si="12"/>
        <v>0.11</v>
      </c>
      <c r="M22" s="190">
        <f t="shared" si="12"/>
        <v>0.105</v>
      </c>
      <c r="N22" s="190">
        <f t="shared" si="12"/>
        <v>9.9999999999999992E-2</v>
      </c>
      <c r="O22" s="190">
        <f t="shared" si="12"/>
        <v>9.4999999999999987E-2</v>
      </c>
      <c r="P22" s="190">
        <f t="shared" si="12"/>
        <v>8.8999999999999982E-2</v>
      </c>
      <c r="Q22" s="190">
        <f t="shared" si="12"/>
        <v>8.2999999999999977E-2</v>
      </c>
      <c r="R22" s="190">
        <f t="shared" si="12"/>
        <v>7.6999999999999971E-2</v>
      </c>
      <c r="S22" s="190">
        <f t="shared" si="12"/>
        <v>7.0999999999999966E-2</v>
      </c>
      <c r="T22" s="190">
        <f t="shared" si="12"/>
        <v>6.4999999999999961E-2</v>
      </c>
    </row>
    <row r="23" spans="2:20" outlineLevel="2">
      <c r="B23" s="181" t="s">
        <v>84</v>
      </c>
      <c r="C23" s="188"/>
      <c r="D23" s="188"/>
      <c r="E23" s="188"/>
      <c r="F23" s="189"/>
      <c r="G23" s="189"/>
      <c r="H23" s="190">
        <f t="shared" si="12"/>
        <v>1.7999999999999999E-2</v>
      </c>
      <c r="I23" s="190">
        <f t="shared" si="12"/>
        <v>3.4500000000000003E-2</v>
      </c>
      <c r="J23" s="190">
        <f t="shared" si="12"/>
        <v>3.4500000000000003E-2</v>
      </c>
      <c r="K23" s="190">
        <f t="shared" si="12"/>
        <v>3.3000000000000002E-2</v>
      </c>
      <c r="L23" s="190">
        <f t="shared" si="12"/>
        <v>3.15E-2</v>
      </c>
      <c r="M23" s="190">
        <f t="shared" si="12"/>
        <v>2.9999999999999995E-2</v>
      </c>
      <c r="N23" s="190">
        <f t="shared" si="12"/>
        <v>2.8499999999999994E-2</v>
      </c>
      <c r="O23" s="190">
        <f t="shared" si="12"/>
        <v>2.6699999999999995E-2</v>
      </c>
      <c r="P23" s="190">
        <f t="shared" si="12"/>
        <v>2.4899999999999992E-2</v>
      </c>
      <c r="Q23" s="190">
        <f t="shared" si="12"/>
        <v>2.3099999999999992E-2</v>
      </c>
      <c r="R23" s="190">
        <f t="shared" si="12"/>
        <v>2.1299999999999989E-2</v>
      </c>
      <c r="S23" s="190">
        <f t="shared" si="12"/>
        <v>1.9499999999999986E-2</v>
      </c>
      <c r="T23" s="190">
        <f t="shared" si="12"/>
        <v>1.7699999999999987E-2</v>
      </c>
    </row>
    <row r="24" spans="2:20" outlineLevel="1">
      <c r="B24" s="181"/>
      <c r="C24" s="188"/>
      <c r="D24" s="188"/>
      <c r="E24" s="188"/>
      <c r="F24" s="182"/>
      <c r="G24" s="182"/>
      <c r="H24" s="189"/>
      <c r="I24" s="189"/>
      <c r="J24" s="189"/>
      <c r="K24" s="189"/>
      <c r="L24" s="189"/>
      <c r="M24" s="189"/>
      <c r="N24" s="189"/>
      <c r="O24" s="189"/>
      <c r="P24" s="189"/>
    </row>
    <row r="25" spans="2:20" outlineLevel="1">
      <c r="B25" s="186" t="s">
        <v>131</v>
      </c>
      <c r="C25" s="187">
        <v>2013</v>
      </c>
      <c r="D25" s="187">
        <v>2014</v>
      </c>
      <c r="E25" s="187">
        <v>2015</v>
      </c>
      <c r="F25" s="187">
        <v>2016</v>
      </c>
      <c r="G25" s="187">
        <v>2017</v>
      </c>
      <c r="H25" s="187">
        <v>2018</v>
      </c>
      <c r="I25" s="187">
        <v>2019</v>
      </c>
      <c r="J25" s="187">
        <v>2020</v>
      </c>
      <c r="K25" s="187">
        <v>2021</v>
      </c>
      <c r="L25" s="187">
        <v>2022</v>
      </c>
      <c r="M25" s="187">
        <v>2023</v>
      </c>
      <c r="N25" s="187">
        <v>2024</v>
      </c>
      <c r="O25" s="187">
        <v>2025</v>
      </c>
      <c r="P25" s="5">
        <v>2026</v>
      </c>
      <c r="Q25" s="5">
        <v>2027</v>
      </c>
      <c r="R25" s="5">
        <v>2028</v>
      </c>
      <c r="S25" s="5">
        <v>2029</v>
      </c>
      <c r="T25" s="285">
        <v>2030</v>
      </c>
    </row>
    <row r="26" spans="2:20" outlineLevel="2">
      <c r="B26" s="24" t="s">
        <v>82</v>
      </c>
      <c r="C26" s="188"/>
      <c r="D26" s="188"/>
      <c r="E26" s="188"/>
      <c r="F26" s="189"/>
      <c r="G26" s="189"/>
      <c r="H26" s="190">
        <f>H27*1.25</f>
        <v>3.7499999999999999E-2</v>
      </c>
      <c r="I26" s="190">
        <f t="shared" ref="I26:T26" si="13">I27*1.25</f>
        <v>7.4999999999999997E-2</v>
      </c>
      <c r="J26" s="190">
        <f t="shared" si="13"/>
        <v>0.14375000000000002</v>
      </c>
      <c r="K26" s="190">
        <f t="shared" si="13"/>
        <v>0.14375000000000002</v>
      </c>
      <c r="L26" s="190">
        <f t="shared" si="13"/>
        <v>0.13750000000000001</v>
      </c>
      <c r="M26" s="190">
        <f t="shared" si="13"/>
        <v>0.13125000000000001</v>
      </c>
      <c r="N26" s="190">
        <f t="shared" si="13"/>
        <v>0.12499999999999999</v>
      </c>
      <c r="O26" s="190">
        <f t="shared" si="13"/>
        <v>0.11874999999999998</v>
      </c>
      <c r="P26" s="190">
        <f t="shared" si="13"/>
        <v>0.11124999999999997</v>
      </c>
      <c r="Q26" s="190">
        <f t="shared" si="13"/>
        <v>0.10374999999999997</v>
      </c>
      <c r="R26" s="190">
        <f t="shared" si="13"/>
        <v>9.6249999999999961E-2</v>
      </c>
      <c r="S26" s="190">
        <f t="shared" si="13"/>
        <v>8.8749999999999954E-2</v>
      </c>
      <c r="T26" s="190">
        <f t="shared" si="13"/>
        <v>8.1249999999999947E-2</v>
      </c>
    </row>
    <row r="27" spans="2:20" outlineLevel="2">
      <c r="B27" s="24" t="s">
        <v>83</v>
      </c>
      <c r="C27" s="188"/>
      <c r="D27" s="188"/>
      <c r="E27" s="188"/>
      <c r="F27" s="189"/>
      <c r="G27" s="189"/>
      <c r="H27" s="190">
        <f t="shared" ref="H27:T28" si="14">+H17</f>
        <v>0.03</v>
      </c>
      <c r="I27" s="190">
        <f t="shared" si="14"/>
        <v>0.06</v>
      </c>
      <c r="J27" s="190">
        <f t="shared" si="14"/>
        <v>0.115</v>
      </c>
      <c r="K27" s="190">
        <f t="shared" si="14"/>
        <v>0.115</v>
      </c>
      <c r="L27" s="190">
        <f t="shared" si="14"/>
        <v>0.11</v>
      </c>
      <c r="M27" s="190">
        <f t="shared" si="14"/>
        <v>0.105</v>
      </c>
      <c r="N27" s="190">
        <f t="shared" si="14"/>
        <v>9.9999999999999992E-2</v>
      </c>
      <c r="O27" s="190">
        <f t="shared" si="14"/>
        <v>9.4999999999999987E-2</v>
      </c>
      <c r="P27" s="190">
        <f t="shared" si="14"/>
        <v>8.8999999999999982E-2</v>
      </c>
      <c r="Q27" s="190">
        <f t="shared" si="14"/>
        <v>8.2999999999999977E-2</v>
      </c>
      <c r="R27" s="190">
        <f t="shared" si="14"/>
        <v>7.6999999999999971E-2</v>
      </c>
      <c r="S27" s="190">
        <f t="shared" si="14"/>
        <v>7.0999999999999966E-2</v>
      </c>
      <c r="T27" s="190">
        <f t="shared" si="14"/>
        <v>6.4999999999999961E-2</v>
      </c>
    </row>
    <row r="28" spans="2:20" outlineLevel="2">
      <c r="B28" s="181" t="s">
        <v>84</v>
      </c>
      <c r="C28" s="188"/>
      <c r="D28" s="188"/>
      <c r="E28" s="188"/>
      <c r="F28" s="189"/>
      <c r="G28" s="189"/>
      <c r="H28" s="190">
        <f t="shared" si="14"/>
        <v>1.7999999999999999E-2</v>
      </c>
      <c r="I28" s="190">
        <f t="shared" si="14"/>
        <v>3.4500000000000003E-2</v>
      </c>
      <c r="J28" s="190">
        <f t="shared" si="14"/>
        <v>3.4500000000000003E-2</v>
      </c>
      <c r="K28" s="190">
        <f t="shared" si="14"/>
        <v>3.3000000000000002E-2</v>
      </c>
      <c r="L28" s="190">
        <f t="shared" si="14"/>
        <v>3.15E-2</v>
      </c>
      <c r="M28" s="190">
        <f t="shared" si="14"/>
        <v>2.9999999999999995E-2</v>
      </c>
      <c r="N28" s="190">
        <f t="shared" si="14"/>
        <v>2.8499999999999994E-2</v>
      </c>
      <c r="O28" s="190">
        <f t="shared" si="14"/>
        <v>2.6699999999999995E-2</v>
      </c>
      <c r="P28" s="190">
        <f t="shared" si="14"/>
        <v>2.4899999999999992E-2</v>
      </c>
      <c r="Q28" s="190">
        <f t="shared" si="14"/>
        <v>2.3099999999999992E-2</v>
      </c>
      <c r="R28" s="190">
        <f t="shared" si="14"/>
        <v>2.1299999999999989E-2</v>
      </c>
      <c r="S28" s="190">
        <f t="shared" si="14"/>
        <v>1.9499999999999986E-2</v>
      </c>
      <c r="T28" s="190">
        <f t="shared" si="14"/>
        <v>1.7699999999999987E-2</v>
      </c>
    </row>
    <row r="29" spans="2:20" outlineLevel="1">
      <c r="B29" s="181"/>
      <c r="C29" s="188"/>
      <c r="D29" s="188"/>
      <c r="E29" s="188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</row>
    <row r="30" spans="2:20">
      <c r="B30" s="191" t="s">
        <v>445</v>
      </c>
      <c r="C30" s="187">
        <v>2013</v>
      </c>
      <c r="D30" s="187">
        <v>2014</v>
      </c>
      <c r="E30" s="187">
        <v>2015</v>
      </c>
      <c r="F30" s="187">
        <v>2016</v>
      </c>
      <c r="G30" s="187">
        <v>2017</v>
      </c>
      <c r="H30" s="187">
        <v>2018</v>
      </c>
      <c r="I30" s="187">
        <v>2019</v>
      </c>
      <c r="J30" s="187">
        <v>2020</v>
      </c>
      <c r="K30" s="187">
        <v>2021</v>
      </c>
      <c r="L30" s="187">
        <v>2022</v>
      </c>
      <c r="M30" s="187">
        <v>2023</v>
      </c>
      <c r="N30" s="187">
        <v>2024</v>
      </c>
      <c r="O30" s="187">
        <v>2025</v>
      </c>
      <c r="P30" s="5">
        <v>2026</v>
      </c>
      <c r="Q30" s="5">
        <v>2027</v>
      </c>
      <c r="R30" s="5">
        <v>2028</v>
      </c>
      <c r="S30" s="5">
        <v>2029</v>
      </c>
      <c r="T30" s="285">
        <v>2030</v>
      </c>
    </row>
    <row r="32" spans="2:20">
      <c r="B32" s="192" t="s">
        <v>88</v>
      </c>
      <c r="C32" s="178">
        <f>318000000/100000</f>
        <v>3180</v>
      </c>
      <c r="D32" s="41">
        <f t="shared" ref="D32:J32" si="15">C32*(1+D33)</f>
        <v>3211.8</v>
      </c>
      <c r="E32" s="41">
        <f t="shared" si="15"/>
        <v>3243.9180000000001</v>
      </c>
      <c r="F32" s="41">
        <f t="shared" si="15"/>
        <v>3276.35718</v>
      </c>
      <c r="G32" s="41">
        <f t="shared" si="15"/>
        <v>3309.1207518000001</v>
      </c>
      <c r="H32" s="41">
        <f t="shared" si="15"/>
        <v>3342.211959318</v>
      </c>
      <c r="I32" s="41">
        <f t="shared" si="15"/>
        <v>3375.63407891118</v>
      </c>
      <c r="J32" s="41">
        <f t="shared" si="15"/>
        <v>3409.3904197002917</v>
      </c>
      <c r="K32" s="41">
        <f t="shared" ref="K32:P32" si="16">J32*(1+K33)</f>
        <v>3443.4843238972944</v>
      </c>
      <c r="L32" s="41">
        <f t="shared" si="16"/>
        <v>3477.9191671362673</v>
      </c>
      <c r="M32" s="41">
        <f t="shared" si="16"/>
        <v>3512.69835880763</v>
      </c>
      <c r="N32" s="41">
        <f t="shared" si="16"/>
        <v>3547.8253423957062</v>
      </c>
      <c r="O32" s="41">
        <f t="shared" si="16"/>
        <v>3583.3035958196633</v>
      </c>
      <c r="P32" s="41">
        <f t="shared" si="16"/>
        <v>3619.1366317778602</v>
      </c>
      <c r="Q32" s="41">
        <f t="shared" ref="Q32" si="17">P32*(1+Q33)</f>
        <v>3655.327998095639</v>
      </c>
      <c r="R32" s="41">
        <f t="shared" ref="R32" si="18">Q32*(1+R33)</f>
        <v>3691.8812780765957</v>
      </c>
      <c r="S32" s="41">
        <f t="shared" ref="S32" si="19">R32*(1+S33)</f>
        <v>3728.8000908573617</v>
      </c>
      <c r="T32" s="41">
        <f t="shared" ref="T32" si="20">S32*(1+T33)</f>
        <v>3766.0880917659356</v>
      </c>
    </row>
    <row r="33" spans="2:20">
      <c r="B33" s="193" t="s">
        <v>89</v>
      </c>
      <c r="C33" s="194"/>
      <c r="D33" s="195">
        <v>0.01</v>
      </c>
      <c r="E33" s="196">
        <f t="shared" ref="E33:J33" si="21">D33</f>
        <v>0.01</v>
      </c>
      <c r="F33" s="196">
        <f t="shared" si="21"/>
        <v>0.01</v>
      </c>
      <c r="G33" s="196">
        <f t="shared" si="21"/>
        <v>0.01</v>
      </c>
      <c r="H33" s="275">
        <v>0.01</v>
      </c>
      <c r="I33" s="275">
        <f t="shared" si="21"/>
        <v>0.01</v>
      </c>
      <c r="J33" s="275">
        <f t="shared" si="21"/>
        <v>0.01</v>
      </c>
      <c r="K33" s="275">
        <f t="shared" ref="K33:P33" si="22">J33</f>
        <v>0.01</v>
      </c>
      <c r="L33" s="275">
        <f t="shared" si="22"/>
        <v>0.01</v>
      </c>
      <c r="M33" s="275">
        <f t="shared" si="22"/>
        <v>0.01</v>
      </c>
      <c r="N33" s="275">
        <f t="shared" si="22"/>
        <v>0.01</v>
      </c>
      <c r="O33" s="275">
        <f t="shared" si="22"/>
        <v>0.01</v>
      </c>
      <c r="P33" s="275">
        <f t="shared" si="22"/>
        <v>0.01</v>
      </c>
      <c r="Q33" s="275">
        <f t="shared" ref="Q33" si="23">P33</f>
        <v>0.01</v>
      </c>
      <c r="R33" s="275">
        <f t="shared" ref="R33" si="24">Q33</f>
        <v>0.01</v>
      </c>
      <c r="S33" s="275">
        <f t="shared" ref="S33" si="25">R33</f>
        <v>0.01</v>
      </c>
      <c r="T33" s="275">
        <f t="shared" ref="T33" si="26">S33</f>
        <v>0.01</v>
      </c>
    </row>
    <row r="35" spans="2:20">
      <c r="B35" s="180" t="s">
        <v>378</v>
      </c>
      <c r="C35" s="197"/>
      <c r="D35" s="197"/>
      <c r="E35" s="197"/>
      <c r="F35" s="197"/>
      <c r="G35" s="197"/>
      <c r="H35" s="197">
        <f t="shared" ref="H35:N35" si="27">G44</f>
        <v>0</v>
      </c>
      <c r="I35" s="197">
        <f t="shared" si="27"/>
        <v>200.53271755908</v>
      </c>
      <c r="J35" s="197">
        <f t="shared" si="27"/>
        <v>578.70400075591169</v>
      </c>
      <c r="K35" s="197">
        <f t="shared" si="27"/>
        <v>941.84869898364968</v>
      </c>
      <c r="L35" s="197">
        <f t="shared" si="27"/>
        <v>1273.5395396631695</v>
      </c>
      <c r="M35" s="197">
        <f t="shared" si="27"/>
        <v>1575.0440752293191</v>
      </c>
      <c r="N35" s="197">
        <f t="shared" si="27"/>
        <v>1847.561707348616</v>
      </c>
      <c r="O35" s="197">
        <f t="shared" ref="O35" si="28">N44</f>
        <v>2092.2270295087774</v>
      </c>
      <c r="P35" s="197">
        <f t="shared" ref="P35" si="29">O44</f>
        <v>2306.5296980612884</v>
      </c>
      <c r="Q35" s="197">
        <f t="shared" ref="Q35" si="30">P44</f>
        <v>2491.5915535957865</v>
      </c>
      <c r="R35" s="197">
        <f t="shared" ref="R35" si="31">Q44</f>
        <v>2648.4722317693613</v>
      </c>
      <c r="S35" s="197">
        <f t="shared" ref="S35" si="32">R44</f>
        <v>2778.1721909243311</v>
      </c>
      <c r="T35" s="197">
        <f t="shared" ref="T35" si="33">S44</f>
        <v>2881.6355872838426</v>
      </c>
    </row>
    <row r="36" spans="2:20">
      <c r="B36" s="198" t="s">
        <v>90</v>
      </c>
      <c r="C36" s="199"/>
      <c r="D36" s="199"/>
      <c r="E36" s="199"/>
      <c r="F36" s="199"/>
      <c r="G36" s="199"/>
      <c r="H36" s="199">
        <f t="shared" ref="H36:N36" si="34">H35/H32</f>
        <v>0</v>
      </c>
      <c r="I36" s="199">
        <f t="shared" si="34"/>
        <v>5.9405940594059403E-2</v>
      </c>
      <c r="J36" s="199">
        <f t="shared" si="34"/>
        <v>0.16973826095480835</v>
      </c>
      <c r="K36" s="199">
        <f t="shared" si="34"/>
        <v>0.27351618604660194</v>
      </c>
      <c r="L36" s="199">
        <f t="shared" si="34"/>
        <v>0.3661785908359127</v>
      </c>
      <c r="M36" s="199">
        <f t="shared" si="34"/>
        <v>0.44838580326150201</v>
      </c>
      <c r="N36" s="199">
        <f t="shared" si="34"/>
        <v>0.52075892385982858</v>
      </c>
      <c r="O36" s="199">
        <f t="shared" ref="O36:P36" si="35">O35/O32</f>
        <v>0.58388215610577943</v>
      </c>
      <c r="P36" s="199">
        <f t="shared" si="35"/>
        <v>0.63731489930741625</v>
      </c>
      <c r="Q36" s="199">
        <f t="shared" ref="Q36:T36" si="36">Q35/Q32</f>
        <v>0.6816328260812331</v>
      </c>
      <c r="R36" s="199">
        <f t="shared" si="36"/>
        <v>0.71737741067046668</v>
      </c>
      <c r="S36" s="199">
        <f t="shared" si="36"/>
        <v>0.74505796053162687</v>
      </c>
      <c r="T36" s="199">
        <f t="shared" si="36"/>
        <v>0.76515352723271823</v>
      </c>
    </row>
    <row r="37" spans="2:20">
      <c r="B37" s="181"/>
      <c r="C37" s="200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</row>
    <row r="38" spans="2:20">
      <c r="B38" s="181" t="s">
        <v>101</v>
      </c>
      <c r="C38" s="41"/>
      <c r="D38" s="41"/>
      <c r="E38" s="41"/>
      <c r="F38" s="41"/>
      <c r="G38" s="41"/>
      <c r="H38" s="41">
        <f t="shared" ref="H38:N38" si="37">H39*H32</f>
        <v>200.53271755908</v>
      </c>
      <c r="I38" s="41">
        <f t="shared" si="37"/>
        <v>388.19791907478572</v>
      </c>
      <c r="J38" s="41">
        <f t="shared" si="37"/>
        <v>392.07989826553353</v>
      </c>
      <c r="K38" s="41">
        <f t="shared" si="37"/>
        <v>378.78327562870237</v>
      </c>
      <c r="L38" s="41">
        <f t="shared" si="37"/>
        <v>365.18151254930808</v>
      </c>
      <c r="M38" s="41">
        <f t="shared" si="37"/>
        <v>351.26983588076297</v>
      </c>
      <c r="N38" s="41">
        <f t="shared" si="37"/>
        <v>337.04340752759202</v>
      </c>
      <c r="O38" s="41">
        <f t="shared" ref="O38:P38" si="38">O39*O32</f>
        <v>318.91402002794996</v>
      </c>
      <c r="P38" s="41">
        <f t="shared" si="38"/>
        <v>300.38834043756231</v>
      </c>
      <c r="Q38" s="41">
        <f t="shared" ref="Q38:T38" si="39">Q39*Q32</f>
        <v>281.46025585336412</v>
      </c>
      <c r="R38" s="41">
        <f t="shared" si="39"/>
        <v>262.12357074343817</v>
      </c>
      <c r="S38" s="41">
        <f t="shared" si="39"/>
        <v>242.37200590572837</v>
      </c>
      <c r="T38" s="41">
        <f t="shared" si="39"/>
        <v>222.19919741419005</v>
      </c>
    </row>
    <row r="39" spans="2:20">
      <c r="B39" s="198" t="s">
        <v>102</v>
      </c>
      <c r="C39" s="202"/>
      <c r="D39" s="202"/>
      <c r="E39" s="202"/>
      <c r="F39" s="202"/>
      <c r="G39" s="202"/>
      <c r="H39" s="291">
        <f t="shared" ref="H39:N39" si="40">CHOOSE($H$3,H6,H7,H8)</f>
        <v>0.06</v>
      </c>
      <c r="I39" s="291">
        <f t="shared" si="40"/>
        <v>0.115</v>
      </c>
      <c r="J39" s="291">
        <f t="shared" si="40"/>
        <v>0.115</v>
      </c>
      <c r="K39" s="291">
        <f t="shared" si="40"/>
        <v>0.11</v>
      </c>
      <c r="L39" s="291">
        <f t="shared" si="40"/>
        <v>0.105</v>
      </c>
      <c r="M39" s="291">
        <f t="shared" si="40"/>
        <v>9.9999999999999992E-2</v>
      </c>
      <c r="N39" s="291">
        <f t="shared" si="40"/>
        <v>9.4999999999999987E-2</v>
      </c>
      <c r="O39" s="291">
        <f t="shared" ref="O39:P39" si="41">CHOOSE($H$3,O6,O7,O8)</f>
        <v>8.8999999999999982E-2</v>
      </c>
      <c r="P39" s="291">
        <f t="shared" si="41"/>
        <v>8.2999999999999977E-2</v>
      </c>
      <c r="Q39" s="291">
        <f t="shared" ref="Q39:T39" si="42">CHOOSE($H$3,Q6,Q7,Q8)</f>
        <v>7.6999999999999971E-2</v>
      </c>
      <c r="R39" s="291">
        <f t="shared" si="42"/>
        <v>7.0999999999999966E-2</v>
      </c>
      <c r="S39" s="291">
        <f t="shared" si="42"/>
        <v>6.4999999999999961E-2</v>
      </c>
      <c r="T39" s="291">
        <f t="shared" si="42"/>
        <v>5.8999999999999962E-2</v>
      </c>
    </row>
    <row r="40" spans="2:20">
      <c r="B40" s="198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</row>
    <row r="41" spans="2:20">
      <c r="B41" s="181" t="s">
        <v>91</v>
      </c>
      <c r="C41" s="41"/>
      <c r="D41" s="41"/>
      <c r="E41" s="41"/>
      <c r="F41" s="41"/>
      <c r="G41" s="41"/>
      <c r="H41" s="41">
        <f t="shared" ref="H41:N41" si="43">H42*H35</f>
        <v>0</v>
      </c>
      <c r="I41" s="41">
        <f t="shared" si="43"/>
        <v>10.026635877954</v>
      </c>
      <c r="J41" s="41">
        <f t="shared" si="43"/>
        <v>28.935200037795585</v>
      </c>
      <c r="K41" s="41">
        <f t="shared" si="43"/>
        <v>47.09243494918249</v>
      </c>
      <c r="L41" s="41">
        <f t="shared" si="43"/>
        <v>63.676976983158482</v>
      </c>
      <c r="M41" s="41">
        <f t="shared" si="43"/>
        <v>78.752203761465964</v>
      </c>
      <c r="N41" s="41">
        <f t="shared" si="43"/>
        <v>92.378085367430799</v>
      </c>
      <c r="O41" s="41">
        <f t="shared" ref="O41:P41" si="44">O42*O35</f>
        <v>104.61135147543888</v>
      </c>
      <c r="P41" s="41">
        <f t="shared" si="44"/>
        <v>115.32648490306443</v>
      </c>
      <c r="Q41" s="41">
        <f t="shared" ref="Q41:T41" si="45">Q42*Q35</f>
        <v>124.57957767978934</v>
      </c>
      <c r="R41" s="41">
        <f t="shared" si="45"/>
        <v>132.42361158846808</v>
      </c>
      <c r="S41" s="41">
        <f t="shared" si="45"/>
        <v>138.90860954621655</v>
      </c>
      <c r="T41" s="41">
        <f t="shared" si="45"/>
        <v>144.08177936419213</v>
      </c>
    </row>
    <row r="42" spans="2:20">
      <c r="B42" s="198" t="s">
        <v>92</v>
      </c>
      <c r="C42" s="48"/>
      <c r="D42" s="48"/>
      <c r="E42" s="48"/>
      <c r="F42" s="203"/>
      <c r="G42" s="203"/>
      <c r="H42" s="276">
        <v>0.05</v>
      </c>
      <c r="I42" s="276">
        <v>0.05</v>
      </c>
      <c r="J42" s="276">
        <v>0.05</v>
      </c>
      <c r="K42" s="276">
        <v>0.05</v>
      </c>
      <c r="L42" s="276">
        <f>+K42</f>
        <v>0.05</v>
      </c>
      <c r="M42" s="276">
        <f>+L42</f>
        <v>0.05</v>
      </c>
      <c r="N42" s="276">
        <f>+M42</f>
        <v>0.05</v>
      </c>
      <c r="O42" s="276">
        <f>+N42</f>
        <v>0.05</v>
      </c>
      <c r="P42" s="276">
        <f>+O42</f>
        <v>0.05</v>
      </c>
      <c r="Q42" s="276">
        <f t="shared" ref="Q42:T42" si="46">+P42</f>
        <v>0.05</v>
      </c>
      <c r="R42" s="276">
        <f t="shared" si="46"/>
        <v>0.05</v>
      </c>
      <c r="S42" s="276">
        <f t="shared" si="46"/>
        <v>0.05</v>
      </c>
      <c r="T42" s="276">
        <f t="shared" si="46"/>
        <v>0.05</v>
      </c>
    </row>
    <row r="43" spans="2:20">
      <c r="B43" s="181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</row>
    <row r="44" spans="2:20">
      <c r="B44" s="181" t="s">
        <v>377</v>
      </c>
      <c r="C44" s="41"/>
      <c r="D44" s="41"/>
      <c r="E44" s="41"/>
      <c r="F44" s="41"/>
      <c r="G44" s="41"/>
      <c r="H44" s="41">
        <f t="shared" ref="H44:N44" si="47">H35+H38-H41</f>
        <v>200.53271755908</v>
      </c>
      <c r="I44" s="41">
        <f t="shared" si="47"/>
        <v>578.70400075591169</v>
      </c>
      <c r="J44" s="41">
        <f t="shared" si="47"/>
        <v>941.84869898364968</v>
      </c>
      <c r="K44" s="41">
        <f t="shared" si="47"/>
        <v>1273.5395396631695</v>
      </c>
      <c r="L44" s="41">
        <f t="shared" si="47"/>
        <v>1575.0440752293191</v>
      </c>
      <c r="M44" s="41">
        <f t="shared" si="47"/>
        <v>1847.561707348616</v>
      </c>
      <c r="N44" s="41">
        <f t="shared" si="47"/>
        <v>2092.2270295087774</v>
      </c>
      <c r="O44" s="41">
        <f t="shared" ref="O44:P44" si="48">O35+O38-O41</f>
        <v>2306.5296980612884</v>
      </c>
      <c r="P44" s="41">
        <f t="shared" si="48"/>
        <v>2491.5915535957865</v>
      </c>
      <c r="Q44" s="41">
        <f t="shared" ref="Q44:T44" si="49">Q35+Q38-Q41</f>
        <v>2648.4722317693613</v>
      </c>
      <c r="R44" s="41">
        <f t="shared" si="49"/>
        <v>2778.1721909243311</v>
      </c>
      <c r="S44" s="41">
        <f t="shared" si="49"/>
        <v>2881.6355872838426</v>
      </c>
      <c r="T44" s="41">
        <f t="shared" si="49"/>
        <v>2959.7530053338405</v>
      </c>
    </row>
    <row r="45" spans="2:20">
      <c r="B45" s="204" t="s">
        <v>93</v>
      </c>
      <c r="C45" s="205"/>
      <c r="D45" s="205"/>
      <c r="E45" s="205"/>
      <c r="F45" s="205"/>
      <c r="G45" s="205"/>
      <c r="H45" s="274">
        <f t="shared" ref="H45:N45" si="50">H44/H32</f>
        <v>0.06</v>
      </c>
      <c r="I45" s="274">
        <f t="shared" si="50"/>
        <v>0.17143564356435642</v>
      </c>
      <c r="J45" s="274">
        <f t="shared" si="50"/>
        <v>0.27625134790706796</v>
      </c>
      <c r="K45" s="274">
        <f t="shared" si="50"/>
        <v>0.36984037674427184</v>
      </c>
      <c r="L45" s="274">
        <f t="shared" si="50"/>
        <v>0.45286966129411704</v>
      </c>
      <c r="M45" s="274">
        <f t="shared" si="50"/>
        <v>0.5259665130984269</v>
      </c>
      <c r="N45" s="274">
        <f t="shared" si="50"/>
        <v>0.58972097766683718</v>
      </c>
      <c r="O45" s="274">
        <f t="shared" ref="O45:P45" si="51">O44/O32</f>
        <v>0.64368804830049042</v>
      </c>
      <c r="P45" s="274">
        <f t="shared" si="51"/>
        <v>0.68844915434204546</v>
      </c>
      <c r="Q45" s="274">
        <f t="shared" ref="Q45:T45" si="52">Q44/Q32</f>
        <v>0.7245511847771714</v>
      </c>
      <c r="R45" s="274">
        <f t="shared" si="52"/>
        <v>0.75250854013694324</v>
      </c>
      <c r="S45" s="274">
        <f t="shared" si="52"/>
        <v>0.77280506250504544</v>
      </c>
      <c r="T45" s="274">
        <f t="shared" si="52"/>
        <v>0.78589585087108227</v>
      </c>
    </row>
    <row r="46" spans="2:20">
      <c r="B46" s="206"/>
    </row>
    <row r="47" spans="2:20">
      <c r="B47" s="24" t="s">
        <v>94</v>
      </c>
      <c r="F47" s="37"/>
      <c r="G47" s="37"/>
      <c r="H47" s="201">
        <v>6</v>
      </c>
      <c r="I47" s="201">
        <f>H47</f>
        <v>6</v>
      </c>
      <c r="J47" s="201">
        <f>I47</f>
        <v>6</v>
      </c>
      <c r="K47" s="201">
        <f t="shared" ref="K47:M48" si="53">J47</f>
        <v>6</v>
      </c>
      <c r="L47" s="201">
        <f t="shared" si="53"/>
        <v>6</v>
      </c>
      <c r="M47" s="201">
        <f t="shared" si="53"/>
        <v>6</v>
      </c>
      <c r="N47" s="201">
        <f>M47</f>
        <v>6</v>
      </c>
      <c r="O47" s="201">
        <f t="shared" ref="O47:O48" si="54">N47</f>
        <v>6</v>
      </c>
      <c r="P47" s="201">
        <f>O47</f>
        <v>6</v>
      </c>
      <c r="Q47" s="201">
        <f t="shared" ref="Q47:T47" si="55">P47</f>
        <v>6</v>
      </c>
      <c r="R47" s="201">
        <f t="shared" si="55"/>
        <v>6</v>
      </c>
      <c r="S47" s="201">
        <f t="shared" si="55"/>
        <v>6</v>
      </c>
      <c r="T47" s="201">
        <f t="shared" si="55"/>
        <v>6</v>
      </c>
    </row>
    <row r="48" spans="2:20">
      <c r="B48" s="24" t="s">
        <v>95</v>
      </c>
      <c r="F48" s="37"/>
      <c r="G48" s="37"/>
      <c r="H48" s="201">
        <v>11</v>
      </c>
      <c r="I48" s="201">
        <f>H48</f>
        <v>11</v>
      </c>
      <c r="J48" s="201">
        <f>I48</f>
        <v>11</v>
      </c>
      <c r="K48" s="201">
        <f t="shared" si="53"/>
        <v>11</v>
      </c>
      <c r="L48" s="201">
        <f t="shared" si="53"/>
        <v>11</v>
      </c>
      <c r="M48" s="201">
        <f t="shared" si="53"/>
        <v>11</v>
      </c>
      <c r="N48" s="201">
        <f>M48</f>
        <v>11</v>
      </c>
      <c r="O48" s="201">
        <f t="shared" si="54"/>
        <v>11</v>
      </c>
      <c r="P48" s="201">
        <f>O48</f>
        <v>11</v>
      </c>
      <c r="Q48" s="201">
        <f t="shared" ref="Q48:T48" si="56">P48</f>
        <v>11</v>
      </c>
      <c r="R48" s="201">
        <f t="shared" si="56"/>
        <v>11</v>
      </c>
      <c r="S48" s="201">
        <f t="shared" si="56"/>
        <v>11</v>
      </c>
      <c r="T48" s="201">
        <f t="shared" si="56"/>
        <v>11</v>
      </c>
    </row>
    <row r="49" spans="1:20">
      <c r="B49" s="206"/>
    </row>
    <row r="50" spans="1:20">
      <c r="B50" s="24" t="s">
        <v>104</v>
      </c>
      <c r="C50" s="41"/>
      <c r="D50" s="41"/>
      <c r="E50" s="41"/>
      <c r="F50" s="38"/>
      <c r="G50" s="38"/>
      <c r="H50" s="41">
        <v>30000</v>
      </c>
      <c r="I50" s="41">
        <f t="shared" ref="I50:N50" si="57">H50*(1+I51)</f>
        <v>30300</v>
      </c>
      <c r="J50" s="41">
        <f t="shared" si="57"/>
        <v>30603</v>
      </c>
      <c r="K50" s="41">
        <f t="shared" si="57"/>
        <v>30909.03</v>
      </c>
      <c r="L50" s="41">
        <f t="shared" si="57"/>
        <v>31218.120299999999</v>
      </c>
      <c r="M50" s="41">
        <f t="shared" si="57"/>
        <v>31530.301502999999</v>
      </c>
      <c r="N50" s="41">
        <f t="shared" si="57"/>
        <v>31845.604518029999</v>
      </c>
      <c r="O50" s="41">
        <f t="shared" ref="O50" si="58">N50*(1+O51)</f>
        <v>32164.0605632103</v>
      </c>
      <c r="P50" s="41">
        <f t="shared" ref="P50" si="59">O50*(1+P51)</f>
        <v>32485.701168842403</v>
      </c>
      <c r="Q50" s="41">
        <f t="shared" ref="Q50" si="60">P50*(1+Q51)</f>
        <v>32810.558180530825</v>
      </c>
      <c r="R50" s="41">
        <f t="shared" ref="R50" si="61">Q50*(1+R51)</f>
        <v>33138.663762336131</v>
      </c>
      <c r="S50" s="41">
        <f t="shared" ref="S50" si="62">R50*(1+S51)</f>
        <v>33470.050399959495</v>
      </c>
      <c r="T50" s="41">
        <f t="shared" ref="T50" si="63">S50*(1+T51)</f>
        <v>33804.750903959088</v>
      </c>
    </row>
    <row r="51" spans="1:20">
      <c r="B51" s="198" t="s">
        <v>96</v>
      </c>
      <c r="C51" s="194"/>
      <c r="D51" s="207"/>
      <c r="E51" s="207"/>
      <c r="F51" s="207"/>
      <c r="G51" s="207"/>
      <c r="H51" s="275"/>
      <c r="I51" s="275">
        <v>0.01</v>
      </c>
      <c r="J51" s="275">
        <v>0.01</v>
      </c>
      <c r="K51" s="275">
        <v>0.01</v>
      </c>
      <c r="L51" s="275">
        <v>0.01</v>
      </c>
      <c r="M51" s="275">
        <v>0.01</v>
      </c>
      <c r="N51" s="275">
        <v>0.01</v>
      </c>
      <c r="O51" s="275">
        <v>0.01</v>
      </c>
      <c r="P51" s="275">
        <v>0.01</v>
      </c>
      <c r="Q51" s="275">
        <f>P51</f>
        <v>0.01</v>
      </c>
      <c r="R51" s="275">
        <f>Q51</f>
        <v>0.01</v>
      </c>
      <c r="S51" s="275">
        <f>R51</f>
        <v>0.01</v>
      </c>
      <c r="T51" s="275">
        <f>S51</f>
        <v>0.01</v>
      </c>
    </row>
    <row r="52" spans="1:20">
      <c r="B52" s="24" t="s">
        <v>105</v>
      </c>
      <c r="C52" s="41"/>
      <c r="D52" s="41"/>
      <c r="E52" s="41"/>
      <c r="F52" s="41"/>
      <c r="G52" s="41"/>
      <c r="H52" s="41">
        <f t="shared" ref="H52:N52" si="64">H50*(1-H53)</f>
        <v>27750</v>
      </c>
      <c r="I52" s="41">
        <f t="shared" si="64"/>
        <v>28027.5</v>
      </c>
      <c r="J52" s="41">
        <f t="shared" si="64"/>
        <v>28307.775000000001</v>
      </c>
      <c r="K52" s="41">
        <f t="shared" si="64"/>
        <v>28590.852750000002</v>
      </c>
      <c r="L52" s="41">
        <f t="shared" si="64"/>
        <v>28876.761277500002</v>
      </c>
      <c r="M52" s="41">
        <f t="shared" si="64"/>
        <v>29165.528890275</v>
      </c>
      <c r="N52" s="41">
        <f t="shared" si="64"/>
        <v>29457.184179177752</v>
      </c>
      <c r="O52" s="41">
        <f t="shared" ref="O52:P52" si="65">O50*(1-O53)</f>
        <v>29751.756020969529</v>
      </c>
      <c r="P52" s="41">
        <f t="shared" si="65"/>
        <v>30049.273581179223</v>
      </c>
      <c r="Q52" s="41">
        <f t="shared" ref="Q52:T52" si="66">Q50*(1-Q53)</f>
        <v>30349.766316991016</v>
      </c>
      <c r="R52" s="41">
        <f t="shared" si="66"/>
        <v>30653.263980160922</v>
      </c>
      <c r="S52" s="41">
        <f t="shared" si="66"/>
        <v>30959.796619962533</v>
      </c>
      <c r="T52" s="41">
        <f t="shared" si="66"/>
        <v>31269.394586162158</v>
      </c>
    </row>
    <row r="53" spans="1:20">
      <c r="B53" s="198" t="s">
        <v>103</v>
      </c>
      <c r="C53" s="207"/>
      <c r="D53" s="207"/>
      <c r="E53" s="207"/>
      <c r="F53" s="207"/>
      <c r="G53" s="207"/>
      <c r="H53" s="275">
        <v>7.4999999999999997E-2</v>
      </c>
      <c r="I53" s="275">
        <f t="shared" ref="I53:N53" si="67">H53</f>
        <v>7.4999999999999997E-2</v>
      </c>
      <c r="J53" s="275">
        <f t="shared" si="67"/>
        <v>7.4999999999999997E-2</v>
      </c>
      <c r="K53" s="275">
        <f t="shared" si="67"/>
        <v>7.4999999999999997E-2</v>
      </c>
      <c r="L53" s="275">
        <f t="shared" si="67"/>
        <v>7.4999999999999997E-2</v>
      </c>
      <c r="M53" s="275">
        <f t="shared" si="67"/>
        <v>7.4999999999999997E-2</v>
      </c>
      <c r="N53" s="275">
        <f t="shared" si="67"/>
        <v>7.4999999999999997E-2</v>
      </c>
      <c r="O53" s="275">
        <f t="shared" ref="O53" si="68">N53</f>
        <v>7.4999999999999997E-2</v>
      </c>
      <c r="P53" s="275">
        <f t="shared" ref="P53" si="69">O53</f>
        <v>7.4999999999999997E-2</v>
      </c>
      <c r="Q53" s="275">
        <f t="shared" ref="Q53" si="70">P53</f>
        <v>7.4999999999999997E-2</v>
      </c>
      <c r="R53" s="275">
        <f t="shared" ref="R53" si="71">Q53</f>
        <v>7.4999999999999997E-2</v>
      </c>
      <c r="S53" s="275">
        <f t="shared" ref="S53" si="72">R53</f>
        <v>7.4999999999999997E-2</v>
      </c>
      <c r="T53" s="275">
        <f t="shared" ref="T53" si="73">S53</f>
        <v>7.4999999999999997E-2</v>
      </c>
    </row>
    <row r="55" spans="1:20">
      <c r="B55" s="294" t="s">
        <v>389</v>
      </c>
      <c r="C55" s="18"/>
      <c r="D55" s="18"/>
      <c r="E55" s="18"/>
      <c r="F55" s="259"/>
      <c r="G55" s="259"/>
      <c r="H55" s="259">
        <f t="shared" ref="H55:M55" si="74">H35*H48*H52/1000000+H38*H47*H52/1000000</f>
        <v>33.388697473586824</v>
      </c>
      <c r="I55" s="259">
        <f t="shared" si="74"/>
        <v>127.10604121646961</v>
      </c>
      <c r="J55" s="259">
        <f t="shared" si="74"/>
        <v>246.79350634772163</v>
      </c>
      <c r="K55" s="259">
        <f t="shared" si="74"/>
        <v>361.18925326560395</v>
      </c>
      <c r="L55" s="259">
        <f t="shared" si="74"/>
        <v>467.80422607247294</v>
      </c>
      <c r="M55" s="259">
        <f t="shared" si="74"/>
        <v>566.77675155510417</v>
      </c>
      <c r="N55" s="259">
        <f>N35*N48*N52/1000000+N38*N47*N52/1000000</f>
        <v>658.23371884491485</v>
      </c>
      <c r="O55" s="259">
        <f t="shared" ref="O55:T55" si="75">O35*O48*O52/1000000+O38*O47*O52/1000000</f>
        <v>741.65122203988153</v>
      </c>
      <c r="P55" s="259">
        <f t="shared" si="75"/>
        <v>816.56366965617019</v>
      </c>
      <c r="Q55" s="259">
        <f t="shared" si="75"/>
        <v>883.06495345524843</v>
      </c>
      <c r="R55" s="259">
        <f t="shared" si="75"/>
        <v>941.23716116659989</v>
      </c>
      <c r="S55" s="259">
        <f t="shared" si="75"/>
        <v>991.15083412406545</v>
      </c>
      <c r="T55" s="295">
        <f t="shared" si="75"/>
        <v>1032.8652088393987</v>
      </c>
    </row>
    <row r="56" spans="1:20" s="208" customFormat="1">
      <c r="B56" s="19"/>
      <c r="C56" s="209"/>
      <c r="D56" s="209"/>
      <c r="E56" s="209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</row>
    <row r="57" spans="1:20">
      <c r="A57" s="208"/>
      <c r="B57" s="191" t="s">
        <v>446</v>
      </c>
      <c r="C57" s="187">
        <v>2013</v>
      </c>
      <c r="D57" s="187">
        <v>2014</v>
      </c>
      <c r="E57" s="187">
        <v>2015</v>
      </c>
      <c r="F57" s="187">
        <v>2016</v>
      </c>
      <c r="G57" s="187">
        <v>2017</v>
      </c>
      <c r="H57" s="187">
        <v>2018</v>
      </c>
      <c r="I57" s="187">
        <v>2019</v>
      </c>
      <c r="J57" s="187">
        <v>2020</v>
      </c>
      <c r="K57" s="187">
        <v>2021</v>
      </c>
      <c r="L57" s="187">
        <v>2022</v>
      </c>
      <c r="M57" s="187">
        <v>2023</v>
      </c>
      <c r="N57" s="187">
        <v>2024</v>
      </c>
      <c r="O57" s="187">
        <v>2025</v>
      </c>
      <c r="P57" s="5">
        <v>2026</v>
      </c>
      <c r="Q57" s="5">
        <v>2027</v>
      </c>
      <c r="R57" s="5">
        <v>2028</v>
      </c>
      <c r="S57" s="5">
        <v>2029</v>
      </c>
      <c r="T57" s="285">
        <v>2030</v>
      </c>
    </row>
    <row r="58" spans="1:20">
      <c r="A58" s="208"/>
    </row>
    <row r="59" spans="1:20">
      <c r="B59" s="192" t="s">
        <v>88</v>
      </c>
      <c r="C59" s="41">
        <f>SUM(C61:C63)</f>
        <v>6800</v>
      </c>
      <c r="D59" s="41">
        <f>SUM(D61:D63)</f>
        <v>6868</v>
      </c>
      <c r="E59" s="41">
        <f t="shared" ref="E59:J59" si="76">SUM(E61:E63)</f>
        <v>6936.6799999999994</v>
      </c>
      <c r="F59" s="41">
        <f t="shared" si="76"/>
        <v>7006.0467999999992</v>
      </c>
      <c r="G59" s="41">
        <f t="shared" si="76"/>
        <v>7076.1072679999997</v>
      </c>
      <c r="H59" s="41">
        <f t="shared" si="76"/>
        <v>7146.8683406799992</v>
      </c>
      <c r="I59" s="41">
        <f t="shared" si="76"/>
        <v>7218.3370240867989</v>
      </c>
      <c r="J59" s="41">
        <f t="shared" si="76"/>
        <v>7290.5203943276665</v>
      </c>
      <c r="K59" s="41">
        <f t="shared" ref="K59:P59" si="77">SUM(K61:K63)</f>
        <v>7363.4255982709437</v>
      </c>
      <c r="L59" s="41">
        <f t="shared" si="77"/>
        <v>7437.0598542536536</v>
      </c>
      <c r="M59" s="41">
        <f t="shared" si="77"/>
        <v>7511.4304527961904</v>
      </c>
      <c r="N59" s="41">
        <f t="shared" si="77"/>
        <v>7586.5447573241527</v>
      </c>
      <c r="O59" s="41">
        <f t="shared" si="77"/>
        <v>7662.4102048973937</v>
      </c>
      <c r="P59" s="41">
        <f t="shared" si="77"/>
        <v>7739.034306946367</v>
      </c>
      <c r="Q59" s="41">
        <f t="shared" ref="Q59:T59" si="78">SUM(Q61:Q63)</f>
        <v>7816.4246500158315</v>
      </c>
      <c r="R59" s="41">
        <f t="shared" si="78"/>
        <v>7894.5888965159893</v>
      </c>
      <c r="S59" s="41">
        <f t="shared" si="78"/>
        <v>7973.5347854811498</v>
      </c>
      <c r="T59" s="41">
        <f t="shared" si="78"/>
        <v>8053.2701333359601</v>
      </c>
    </row>
    <row r="60" spans="1:20">
      <c r="B60" s="210" t="s">
        <v>89</v>
      </c>
      <c r="C60" s="207"/>
      <c r="D60" s="196">
        <f>D33</f>
        <v>0.01</v>
      </c>
      <c r="E60" s="196">
        <f t="shared" ref="E60:J60" si="79">E33</f>
        <v>0.01</v>
      </c>
      <c r="F60" s="196">
        <f t="shared" si="79"/>
        <v>0.01</v>
      </c>
      <c r="G60" s="196">
        <f t="shared" si="79"/>
        <v>0.01</v>
      </c>
      <c r="H60" s="275">
        <f t="shared" si="79"/>
        <v>0.01</v>
      </c>
      <c r="I60" s="275">
        <f t="shared" si="79"/>
        <v>0.01</v>
      </c>
      <c r="J60" s="275">
        <f t="shared" si="79"/>
        <v>0.01</v>
      </c>
      <c r="K60" s="275">
        <f t="shared" ref="K60:P60" si="80">K33</f>
        <v>0.01</v>
      </c>
      <c r="L60" s="275">
        <f t="shared" si="80"/>
        <v>0.01</v>
      </c>
      <c r="M60" s="275">
        <f t="shared" si="80"/>
        <v>0.01</v>
      </c>
      <c r="N60" s="275">
        <f t="shared" si="80"/>
        <v>0.01</v>
      </c>
      <c r="O60" s="275">
        <f t="shared" si="80"/>
        <v>0.01</v>
      </c>
      <c r="P60" s="275">
        <f t="shared" si="80"/>
        <v>0.01</v>
      </c>
      <c r="Q60" s="275">
        <f t="shared" ref="Q60:T60" si="81">Q33</f>
        <v>0.01</v>
      </c>
      <c r="R60" s="275">
        <f t="shared" si="81"/>
        <v>0.01</v>
      </c>
      <c r="S60" s="275">
        <f t="shared" si="81"/>
        <v>0.01</v>
      </c>
      <c r="T60" s="275">
        <f t="shared" si="81"/>
        <v>0.01</v>
      </c>
    </row>
    <row r="61" spans="1:20">
      <c r="B61" s="192" t="s">
        <v>100</v>
      </c>
      <c r="C61" s="179">
        <v>4500</v>
      </c>
      <c r="D61" s="41">
        <f>C61*(1+D$60)</f>
        <v>4545</v>
      </c>
      <c r="E61" s="41">
        <f t="shared" ref="D61:J63" si="82">D61*(1+E$60)</f>
        <v>4590.45</v>
      </c>
      <c r="F61" s="41">
        <f t="shared" si="82"/>
        <v>4636.3544999999995</v>
      </c>
      <c r="G61" s="41">
        <f t="shared" si="82"/>
        <v>4682.7180449999996</v>
      </c>
      <c r="H61" s="41">
        <f t="shared" si="82"/>
        <v>4729.5452254499996</v>
      </c>
      <c r="I61" s="41">
        <f t="shared" si="82"/>
        <v>4776.8406777044993</v>
      </c>
      <c r="J61" s="41">
        <f t="shared" si="82"/>
        <v>4824.6090844815444</v>
      </c>
      <c r="K61" s="41">
        <f t="shared" ref="K61:L63" si="83">J61*(1+K$60)</f>
        <v>4872.85517532636</v>
      </c>
      <c r="L61" s="41">
        <f t="shared" si="83"/>
        <v>4921.5837270796237</v>
      </c>
      <c r="M61" s="41">
        <f t="shared" ref="M61:N63" si="84">L61*(1+M$60)</f>
        <v>4970.79956435042</v>
      </c>
      <c r="N61" s="41">
        <f t="shared" si="84"/>
        <v>5020.5075599939246</v>
      </c>
      <c r="O61" s="41">
        <f t="shared" ref="O61:O63" si="85">N61*(1+O$60)</f>
        <v>5070.7126355938635</v>
      </c>
      <c r="P61" s="41">
        <f t="shared" ref="P61:P63" si="86">O61*(1+P$60)</f>
        <v>5121.4197619498018</v>
      </c>
      <c r="Q61" s="41">
        <f t="shared" ref="Q61:Q63" si="87">P61*(1+Q$60)</f>
        <v>5172.6339595692998</v>
      </c>
      <c r="R61" s="41">
        <f t="shared" ref="R61:R63" si="88">Q61*(1+R$60)</f>
        <v>5224.3602991649932</v>
      </c>
      <c r="S61" s="41">
        <f t="shared" ref="S61:S63" si="89">R61*(1+S$60)</f>
        <v>5276.603902156643</v>
      </c>
      <c r="T61" s="41">
        <f t="shared" ref="T61:T63" si="90">S61*(1+T$60)</f>
        <v>5329.369941178209</v>
      </c>
    </row>
    <row r="62" spans="1:20">
      <c r="B62" s="192" t="s">
        <v>99</v>
      </c>
      <c r="C62" s="179">
        <v>2000</v>
      </c>
      <c r="D62" s="41">
        <f>C62*(1+D$60)</f>
        <v>2020</v>
      </c>
      <c r="E62" s="41">
        <f t="shared" si="82"/>
        <v>2040.2</v>
      </c>
      <c r="F62" s="41">
        <f t="shared" si="82"/>
        <v>2060.6019999999999</v>
      </c>
      <c r="G62" s="41">
        <f t="shared" si="82"/>
        <v>2081.20802</v>
      </c>
      <c r="H62" s="41">
        <f t="shared" si="82"/>
        <v>2102.0201001999999</v>
      </c>
      <c r="I62" s="41">
        <f t="shared" si="82"/>
        <v>2123.0403012019997</v>
      </c>
      <c r="J62" s="41">
        <f t="shared" si="82"/>
        <v>2144.2707042140196</v>
      </c>
      <c r="K62" s="41">
        <f t="shared" si="83"/>
        <v>2165.7134112561598</v>
      </c>
      <c r="L62" s="41">
        <f t="shared" si="83"/>
        <v>2187.3705453687217</v>
      </c>
      <c r="M62" s="41">
        <f t="shared" si="84"/>
        <v>2209.244250822409</v>
      </c>
      <c r="N62" s="41">
        <f t="shared" si="84"/>
        <v>2231.3366933306329</v>
      </c>
      <c r="O62" s="41">
        <f t="shared" si="85"/>
        <v>2253.6500602639394</v>
      </c>
      <c r="P62" s="41">
        <f t="shared" si="86"/>
        <v>2276.1865608665789</v>
      </c>
      <c r="Q62" s="41">
        <f t="shared" si="87"/>
        <v>2298.9484264752446</v>
      </c>
      <c r="R62" s="41">
        <f t="shared" si="88"/>
        <v>2321.9379107399968</v>
      </c>
      <c r="S62" s="41">
        <f t="shared" si="89"/>
        <v>2345.1572898473969</v>
      </c>
      <c r="T62" s="41">
        <f t="shared" si="90"/>
        <v>2368.6088627458707</v>
      </c>
    </row>
    <row r="63" spans="1:20">
      <c r="B63" s="192" t="s">
        <v>98</v>
      </c>
      <c r="C63" s="179">
        <v>300</v>
      </c>
      <c r="D63" s="41">
        <f t="shared" si="82"/>
        <v>303</v>
      </c>
      <c r="E63" s="41">
        <f>D63*(1+E$60)</f>
        <v>306.03000000000003</v>
      </c>
      <c r="F63" s="41">
        <f t="shared" si="82"/>
        <v>309.09030000000001</v>
      </c>
      <c r="G63" s="41">
        <f t="shared" si="82"/>
        <v>312.18120300000004</v>
      </c>
      <c r="H63" s="41">
        <f t="shared" si="82"/>
        <v>315.30301503000004</v>
      </c>
      <c r="I63" s="41">
        <f t="shared" si="82"/>
        <v>318.45604518030007</v>
      </c>
      <c r="J63" s="41">
        <f t="shared" si="82"/>
        <v>321.64060563210307</v>
      </c>
      <c r="K63" s="41">
        <f t="shared" si="83"/>
        <v>324.85701168842411</v>
      </c>
      <c r="L63" s="41">
        <f t="shared" si="83"/>
        <v>328.10558180530836</v>
      </c>
      <c r="M63" s="41">
        <f t="shared" si="84"/>
        <v>331.38663762336142</v>
      </c>
      <c r="N63" s="41">
        <f t="shared" si="84"/>
        <v>334.70050399959501</v>
      </c>
      <c r="O63" s="41">
        <f t="shared" si="85"/>
        <v>338.04750903959098</v>
      </c>
      <c r="P63" s="41">
        <f t="shared" si="86"/>
        <v>341.4279841299869</v>
      </c>
      <c r="Q63" s="41">
        <f t="shared" si="87"/>
        <v>344.84226397128674</v>
      </c>
      <c r="R63" s="41">
        <f t="shared" si="88"/>
        <v>348.29068661099961</v>
      </c>
      <c r="S63" s="41">
        <f t="shared" si="89"/>
        <v>351.77359347710961</v>
      </c>
      <c r="T63" s="41">
        <f t="shared" si="90"/>
        <v>355.29132941188072</v>
      </c>
    </row>
    <row r="64" spans="1:20">
      <c r="B64" s="206"/>
    </row>
    <row r="65" spans="2:20">
      <c r="B65" s="29" t="s">
        <v>378</v>
      </c>
      <c r="C65" s="197"/>
      <c r="D65" s="197"/>
      <c r="E65" s="197"/>
      <c r="F65" s="197"/>
      <c r="G65" s="197"/>
      <c r="H65" s="197">
        <f t="shared" ref="H65:N65" si="91">SUM(H67:H69)</f>
        <v>0</v>
      </c>
      <c r="I65" s="197">
        <f t="shared" si="91"/>
        <v>214.40605022039998</v>
      </c>
      <c r="J65" s="197">
        <f t="shared" si="91"/>
        <v>899.51220642833539</v>
      </c>
      <c r="K65" s="197">
        <f t="shared" si="91"/>
        <v>1692.9464414546003</v>
      </c>
      <c r="L65" s="197">
        <f t="shared" si="91"/>
        <v>2430.7287873063974</v>
      </c>
      <c r="M65" s="197">
        <f t="shared" si="91"/>
        <v>3102.6610132735809</v>
      </c>
      <c r="N65" s="197">
        <f t="shared" si="91"/>
        <v>3711.3741623317496</v>
      </c>
      <c r="O65" s="197">
        <f t="shared" ref="O65:P65" si="92">SUM(O67:O69)</f>
        <v>4259.3573921476072</v>
      </c>
      <c r="P65" s="197">
        <f t="shared" si="92"/>
        <v>4743.8942161919158</v>
      </c>
      <c r="Q65" s="197">
        <f t="shared" ref="Q65:T65" si="93">SUM(Q67:Q69)</f>
        <v>5164.7450401288479</v>
      </c>
      <c r="R65" s="197">
        <f t="shared" si="93"/>
        <v>5524.2352303163034</v>
      </c>
      <c r="S65" s="197">
        <f t="shared" si="93"/>
        <v>5824.5606520372294</v>
      </c>
      <c r="T65" s="197">
        <f t="shared" si="93"/>
        <v>6067.7939657915895</v>
      </c>
    </row>
    <row r="66" spans="2:20">
      <c r="B66" s="198" t="s">
        <v>106</v>
      </c>
      <c r="C66" s="211"/>
      <c r="D66" s="211"/>
      <c r="E66" s="211"/>
      <c r="F66" s="211"/>
      <c r="G66" s="211"/>
      <c r="H66" s="291">
        <f t="shared" ref="H66:N66" si="94">H65/H59</f>
        <v>0</v>
      </c>
      <c r="I66" s="291">
        <f t="shared" si="94"/>
        <v>2.9702970297029705E-2</v>
      </c>
      <c r="J66" s="291">
        <f t="shared" si="94"/>
        <v>0.12338106990664123</v>
      </c>
      <c r="K66" s="291">
        <f t="shared" si="94"/>
        <v>0.22991288753594966</v>
      </c>
      <c r="L66" s="291">
        <f t="shared" si="94"/>
        <v>0.3268400194353866</v>
      </c>
      <c r="M66" s="291">
        <f t="shared" si="94"/>
        <v>0.41305860884574797</v>
      </c>
      <c r="N66" s="291">
        <f t="shared" si="94"/>
        <v>0.48920480680598882</v>
      </c>
      <c r="O66" s="291">
        <f t="shared" ref="O66:P66" si="95">O65/O59</f>
        <v>0.55587697320423524</v>
      </c>
      <c r="P66" s="291">
        <f t="shared" si="95"/>
        <v>0.61298270921656373</v>
      </c>
      <c r="Q66" s="291">
        <f t="shared" ref="Q66:T66" si="96">Q65/Q59</f>
        <v>0.66075543120835778</v>
      </c>
      <c r="R66" s="291">
        <f t="shared" si="96"/>
        <v>0.69974957565608498</v>
      </c>
      <c r="S66" s="291">
        <f t="shared" si="96"/>
        <v>0.73048664221582826</v>
      </c>
      <c r="T66" s="291">
        <f t="shared" si="96"/>
        <v>0.75345715036608196</v>
      </c>
    </row>
    <row r="67" spans="2:20" hidden="1" outlineLevel="1">
      <c r="B67" s="192" t="s">
        <v>100</v>
      </c>
      <c r="C67" s="41"/>
      <c r="D67" s="41"/>
      <c r="E67" s="41"/>
      <c r="F67" s="41"/>
      <c r="G67" s="41"/>
      <c r="H67" s="41">
        <f t="shared" ref="H67:N67" si="97">G88</f>
        <v>0</v>
      </c>
      <c r="I67" s="41">
        <f t="shared" si="97"/>
        <v>141.88635676349998</v>
      </c>
      <c r="J67" s="41">
        <f t="shared" si="97"/>
        <v>684.12871686134235</v>
      </c>
      <c r="K67" s="41">
        <f t="shared" si="97"/>
        <v>1204.7523257336529</v>
      </c>
      <c r="L67" s="41">
        <f t="shared" si="97"/>
        <v>1680.5287787328698</v>
      </c>
      <c r="M67" s="41">
        <f t="shared" si="97"/>
        <v>2113.2686311395869</v>
      </c>
      <c r="N67" s="41">
        <f t="shared" si="97"/>
        <v>2504.6851560176492</v>
      </c>
      <c r="O67" s="41">
        <f t="shared" ref="O67" si="98">N88</f>
        <v>2856.3991164161894</v>
      </c>
      <c r="P67" s="41">
        <f t="shared" ref="P67" si="99">O88</f>
        <v>3164.8725851632339</v>
      </c>
      <c r="Q67" s="41">
        <f t="shared" ref="Q67" si="100">P88</f>
        <v>3431.7067961469056</v>
      </c>
      <c r="R67" s="41">
        <f t="shared" ref="R67" si="101">Q88</f>
        <v>3658.4142712263961</v>
      </c>
      <c r="S67" s="41">
        <f t="shared" ref="S67" si="102">R88</f>
        <v>3846.4231389057909</v>
      </c>
      <c r="T67" s="41">
        <f t="shared" ref="T67" si="103">S88</f>
        <v>3997.0812356006827</v>
      </c>
    </row>
    <row r="68" spans="2:20" hidden="1" outlineLevel="1">
      <c r="B68" s="192" t="s">
        <v>99</v>
      </c>
      <c r="C68" s="41"/>
      <c r="D68" s="41"/>
      <c r="E68" s="41"/>
      <c r="F68" s="41"/>
      <c r="G68" s="41"/>
      <c r="H68" s="41">
        <f t="shared" ref="H68:N68" si="104">G90</f>
        <v>0</v>
      </c>
      <c r="I68" s="41">
        <f t="shared" si="104"/>
        <v>63.060603005999994</v>
      </c>
      <c r="J68" s="41">
        <f t="shared" si="104"/>
        <v>187.28999092781996</v>
      </c>
      <c r="K68" s="41">
        <f t="shared" si="104"/>
        <v>424.51662236604119</v>
      </c>
      <c r="L68" s="41">
        <f t="shared" si="104"/>
        <v>652.34783354219758</v>
      </c>
      <c r="M68" s="41">
        <f t="shared" si="104"/>
        <v>860.34120185564711</v>
      </c>
      <c r="N68" s="41">
        <f t="shared" si="104"/>
        <v>1049.2947880992176</v>
      </c>
      <c r="O68" s="41">
        <f t="shared" ref="O68" si="105">N90</f>
        <v>1219.9637180273201</v>
      </c>
      <c r="P68" s="41">
        <f t="shared" ref="P68" si="106">O90</f>
        <v>1373.0622878510283</v>
      </c>
      <c r="Q68" s="41">
        <f t="shared" ref="Q68" si="107">P90</f>
        <v>1506.9897773756022</v>
      </c>
      <c r="R68" s="41">
        <f t="shared" ref="R68" si="108">Q90</f>
        <v>1622.4530079042675</v>
      </c>
      <c r="S68" s="41">
        <f t="shared" ref="S68" si="109">R90</f>
        <v>1720.1195766360338</v>
      </c>
      <c r="T68" s="41">
        <f t="shared" ref="T68" si="110">S90</f>
        <v>1800.6197653833972</v>
      </c>
    </row>
    <row r="69" spans="2:20" hidden="1" outlineLevel="1">
      <c r="B69" s="192" t="s">
        <v>98</v>
      </c>
      <c r="C69" s="41"/>
      <c r="D69" s="41"/>
      <c r="E69" s="41"/>
      <c r="F69" s="41"/>
      <c r="G69" s="41"/>
      <c r="H69" s="41">
        <f t="shared" ref="H69:N69" si="111">G92</f>
        <v>0</v>
      </c>
      <c r="I69" s="41">
        <f t="shared" si="111"/>
        <v>9.4590904509000016</v>
      </c>
      <c r="J69" s="41">
        <f t="shared" si="111"/>
        <v>28.093498639173003</v>
      </c>
      <c r="K69" s="41">
        <f t="shared" si="111"/>
        <v>63.677493354906204</v>
      </c>
      <c r="L69" s="41">
        <f t="shared" si="111"/>
        <v>97.852175031329665</v>
      </c>
      <c r="M69" s="41">
        <f t="shared" si="111"/>
        <v>129.05118027834709</v>
      </c>
      <c r="N69" s="41">
        <f t="shared" si="111"/>
        <v>157.39421821488267</v>
      </c>
      <c r="O69" s="41">
        <f t="shared" ref="O69" si="112">N92</f>
        <v>182.99455770409801</v>
      </c>
      <c r="P69" s="41">
        <f t="shared" ref="P69" si="113">O92</f>
        <v>205.95934317765426</v>
      </c>
      <c r="Q69" s="41">
        <f t="shared" ref="Q69" si="114">P92</f>
        <v>226.04846660634036</v>
      </c>
      <c r="R69" s="41">
        <f t="shared" ref="R69" si="115">Q92</f>
        <v>243.36795118564012</v>
      </c>
      <c r="S69" s="41">
        <f t="shared" ref="S69" si="116">R92</f>
        <v>258.01793649540508</v>
      </c>
      <c r="T69" s="41">
        <f t="shared" ref="T69" si="117">S92</f>
        <v>270.09296480750959</v>
      </c>
    </row>
    <row r="70" spans="2:20" collapsed="1">
      <c r="B70" s="181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</row>
    <row r="71" spans="2:20">
      <c r="B71" s="28" t="s">
        <v>101</v>
      </c>
      <c r="C71" s="41"/>
      <c r="D71" s="41"/>
      <c r="E71" s="41"/>
      <c r="F71" s="41"/>
      <c r="G71" s="41"/>
      <c r="H71" s="41">
        <f t="shared" ref="H71:N71" si="118">H73+H75+H77</f>
        <v>214.40605022039998</v>
      </c>
      <c r="I71" s="41">
        <f t="shared" si="118"/>
        <v>695.82645871895545</v>
      </c>
      <c r="J71" s="41">
        <f t="shared" si="118"/>
        <v>838.40984534768177</v>
      </c>
      <c r="K71" s="41">
        <f t="shared" si="118"/>
        <v>822.42966792452671</v>
      </c>
      <c r="L71" s="41">
        <f t="shared" si="118"/>
        <v>793.46866533250375</v>
      </c>
      <c r="M71" s="41">
        <f t="shared" si="118"/>
        <v>763.84619972184782</v>
      </c>
      <c r="N71" s="41">
        <f t="shared" si="118"/>
        <v>733.55193793244553</v>
      </c>
      <c r="O71" s="41">
        <f t="shared" ref="O71:P71" si="119">O73+O75+O77</f>
        <v>697.50469365168908</v>
      </c>
      <c r="P71" s="41">
        <f t="shared" si="119"/>
        <v>658.04553474652778</v>
      </c>
      <c r="Q71" s="41">
        <f t="shared" ref="Q71:T71" si="120">Q73+Q75+Q77</f>
        <v>617.7274421938979</v>
      </c>
      <c r="R71" s="41">
        <f t="shared" si="120"/>
        <v>576.53718323674104</v>
      </c>
      <c r="S71" s="41">
        <f t="shared" si="120"/>
        <v>534.4613463562215</v>
      </c>
      <c r="T71" s="41">
        <f t="shared" si="120"/>
        <v>491.48633901976791</v>
      </c>
    </row>
    <row r="72" spans="2:20">
      <c r="B72" s="198" t="s">
        <v>102</v>
      </c>
      <c r="C72" s="211"/>
      <c r="D72" s="211"/>
      <c r="E72" s="211"/>
      <c r="F72" s="211"/>
      <c r="G72" s="211"/>
      <c r="H72" s="291">
        <f t="shared" ref="H72:N72" si="121">H71/H59</f>
        <v>0.03</v>
      </c>
      <c r="I72" s="291">
        <f t="shared" si="121"/>
        <v>9.6397058823529419E-2</v>
      </c>
      <c r="J72" s="291">
        <f t="shared" si="121"/>
        <v>0.11500000000000002</v>
      </c>
      <c r="K72" s="291">
        <f t="shared" si="121"/>
        <v>0.11169117647058824</v>
      </c>
      <c r="L72" s="291">
        <f t="shared" si="121"/>
        <v>0.10669117647058823</v>
      </c>
      <c r="M72" s="291">
        <f t="shared" si="121"/>
        <v>0.10169117647058823</v>
      </c>
      <c r="N72" s="291">
        <f t="shared" si="121"/>
        <v>9.6691176470588225E-2</v>
      </c>
      <c r="O72" s="291">
        <f t="shared" ref="O72:P72" si="122">O71/O59</f>
        <v>9.1029411764705859E-2</v>
      </c>
      <c r="P72" s="291">
        <f t="shared" si="122"/>
        <v>8.5029411764705867E-2</v>
      </c>
      <c r="Q72" s="291">
        <f t="shared" ref="Q72:T72" si="123">Q71/Q59</f>
        <v>7.9029411764705848E-2</v>
      </c>
      <c r="R72" s="291">
        <f t="shared" si="123"/>
        <v>7.3029411764705857E-2</v>
      </c>
      <c r="S72" s="291">
        <f t="shared" si="123"/>
        <v>6.7029411764705851E-2</v>
      </c>
      <c r="T72" s="291">
        <f t="shared" si="123"/>
        <v>6.1029411764705853E-2</v>
      </c>
    </row>
    <row r="73" spans="2:20" hidden="1" outlineLevel="1">
      <c r="B73" s="192" t="s">
        <v>100</v>
      </c>
      <c r="C73" s="41"/>
      <c r="D73" s="41"/>
      <c r="E73" s="41"/>
      <c r="F73" s="41"/>
      <c r="G73" s="41"/>
      <c r="H73" s="41">
        <f t="shared" ref="H73:M73" si="124">H74*H61</f>
        <v>141.88635676349998</v>
      </c>
      <c r="I73" s="41">
        <f t="shared" si="124"/>
        <v>549.3366779360174</v>
      </c>
      <c r="J73" s="41">
        <f t="shared" si="124"/>
        <v>554.83004471537765</v>
      </c>
      <c r="K73" s="41">
        <f t="shared" si="124"/>
        <v>536.01406928589961</v>
      </c>
      <c r="L73" s="41">
        <f t="shared" si="124"/>
        <v>516.76629134336042</v>
      </c>
      <c r="M73" s="41">
        <f t="shared" si="124"/>
        <v>497.07995643504194</v>
      </c>
      <c r="N73" s="41">
        <f>N74*N61</f>
        <v>476.9482181994228</v>
      </c>
      <c r="O73" s="41">
        <f t="shared" ref="O73" si="125">O74*O61</f>
        <v>451.29342456785378</v>
      </c>
      <c r="P73" s="41">
        <f>P74*P61</f>
        <v>425.07784024183343</v>
      </c>
      <c r="Q73" s="41">
        <f t="shared" ref="Q73:T73" si="126">Q74*Q61</f>
        <v>398.29281488683591</v>
      </c>
      <c r="R73" s="41">
        <f t="shared" si="126"/>
        <v>370.92958124071436</v>
      </c>
      <c r="S73" s="41">
        <f t="shared" si="126"/>
        <v>342.97925364018158</v>
      </c>
      <c r="T73" s="41">
        <f t="shared" si="126"/>
        <v>314.43282652951416</v>
      </c>
    </row>
    <row r="74" spans="2:20" hidden="1" outlineLevel="1">
      <c r="B74" s="198" t="s">
        <v>102</v>
      </c>
      <c r="C74" s="202"/>
      <c r="D74" s="202"/>
      <c r="E74" s="202"/>
      <c r="F74" s="202"/>
      <c r="G74" s="202"/>
      <c r="H74" s="291">
        <f t="shared" ref="H74:N74" si="127">CHOOSE($H$3,H11,H12,H13)</f>
        <v>0.03</v>
      </c>
      <c r="I74" s="291">
        <f t="shared" si="127"/>
        <v>0.115</v>
      </c>
      <c r="J74" s="291">
        <f t="shared" si="127"/>
        <v>0.115</v>
      </c>
      <c r="K74" s="291">
        <f t="shared" si="127"/>
        <v>0.11</v>
      </c>
      <c r="L74" s="291">
        <f t="shared" si="127"/>
        <v>0.105</v>
      </c>
      <c r="M74" s="291">
        <f t="shared" si="127"/>
        <v>9.9999999999999992E-2</v>
      </c>
      <c r="N74" s="291">
        <f t="shared" si="127"/>
        <v>9.4999999999999987E-2</v>
      </c>
      <c r="O74" s="291">
        <f t="shared" ref="O74:P74" si="128">CHOOSE($H$3,O11,O12,O13)</f>
        <v>8.8999999999999982E-2</v>
      </c>
      <c r="P74" s="291">
        <f t="shared" si="128"/>
        <v>8.2999999999999977E-2</v>
      </c>
      <c r="Q74" s="291">
        <f t="shared" ref="Q74:T74" si="129">CHOOSE($H$3,Q11,Q12,Q13)</f>
        <v>7.6999999999999971E-2</v>
      </c>
      <c r="R74" s="291">
        <f t="shared" si="129"/>
        <v>7.0999999999999966E-2</v>
      </c>
      <c r="S74" s="291">
        <f t="shared" si="129"/>
        <v>6.4999999999999961E-2</v>
      </c>
      <c r="T74" s="291">
        <f t="shared" si="129"/>
        <v>5.8999999999999962E-2</v>
      </c>
    </row>
    <row r="75" spans="2:20" hidden="1" outlineLevel="1">
      <c r="B75" s="192" t="s">
        <v>99</v>
      </c>
      <c r="C75" s="41"/>
      <c r="D75" s="41"/>
      <c r="E75" s="41"/>
      <c r="F75" s="41"/>
      <c r="G75" s="41"/>
      <c r="H75" s="41">
        <f t="shared" ref="H75:M75" si="130">H76*H62</f>
        <v>63.060603005999994</v>
      </c>
      <c r="I75" s="41">
        <f t="shared" si="130"/>
        <v>127.38241807211998</v>
      </c>
      <c r="J75" s="41">
        <f t="shared" si="130"/>
        <v>246.59113098461225</v>
      </c>
      <c r="K75" s="41">
        <f t="shared" si="130"/>
        <v>249.0570422944584</v>
      </c>
      <c r="L75" s="41">
        <f t="shared" si="130"/>
        <v>240.61075999055939</v>
      </c>
      <c r="M75" s="41">
        <f t="shared" si="130"/>
        <v>231.97064633635293</v>
      </c>
      <c r="N75" s="41">
        <f>N76*N62</f>
        <v>223.13366933306327</v>
      </c>
      <c r="O75" s="41">
        <f t="shared" ref="O75" si="131">O76*O62</f>
        <v>214.09675572507422</v>
      </c>
      <c r="P75" s="41">
        <f>P76*P62</f>
        <v>202.58060391712547</v>
      </c>
      <c r="Q75" s="41">
        <f t="shared" ref="Q75:T75" si="132">Q76*Q62</f>
        <v>190.81271939744525</v>
      </c>
      <c r="R75" s="41">
        <f t="shared" si="132"/>
        <v>178.7892191269797</v>
      </c>
      <c r="S75" s="41">
        <f t="shared" si="132"/>
        <v>166.50616757916509</v>
      </c>
      <c r="T75" s="41">
        <f t="shared" si="132"/>
        <v>153.95957607848152</v>
      </c>
    </row>
    <row r="76" spans="2:20" hidden="1" outlineLevel="1">
      <c r="B76" s="198" t="s">
        <v>102</v>
      </c>
      <c r="C76" s="202"/>
      <c r="D76" s="202"/>
      <c r="E76" s="202"/>
      <c r="F76" s="202"/>
      <c r="G76" s="202"/>
      <c r="H76" s="291">
        <f t="shared" ref="H76:N76" si="133">CHOOSE($H$3,H16,H17,H18)</f>
        <v>0.03</v>
      </c>
      <c r="I76" s="291">
        <f t="shared" si="133"/>
        <v>0.06</v>
      </c>
      <c r="J76" s="291">
        <f t="shared" si="133"/>
        <v>0.115</v>
      </c>
      <c r="K76" s="291">
        <f t="shared" si="133"/>
        <v>0.115</v>
      </c>
      <c r="L76" s="291">
        <f t="shared" si="133"/>
        <v>0.11</v>
      </c>
      <c r="M76" s="291">
        <f t="shared" si="133"/>
        <v>0.105</v>
      </c>
      <c r="N76" s="291">
        <f t="shared" si="133"/>
        <v>9.9999999999999992E-2</v>
      </c>
      <c r="O76" s="291">
        <f t="shared" ref="O76:P76" si="134">CHOOSE($H$3,O16,O17,O18)</f>
        <v>9.4999999999999987E-2</v>
      </c>
      <c r="P76" s="291">
        <f t="shared" si="134"/>
        <v>8.8999999999999982E-2</v>
      </c>
      <c r="Q76" s="291">
        <f t="shared" ref="Q76:T76" si="135">CHOOSE($H$3,Q16,Q17,Q18)</f>
        <v>8.2999999999999977E-2</v>
      </c>
      <c r="R76" s="291">
        <f t="shared" si="135"/>
        <v>7.6999999999999971E-2</v>
      </c>
      <c r="S76" s="291">
        <f t="shared" si="135"/>
        <v>7.0999999999999966E-2</v>
      </c>
      <c r="T76" s="291">
        <f t="shared" si="135"/>
        <v>6.4999999999999961E-2</v>
      </c>
    </row>
    <row r="77" spans="2:20" hidden="1" outlineLevel="1">
      <c r="B77" s="192" t="s">
        <v>98</v>
      </c>
      <c r="C77" s="41"/>
      <c r="D77" s="41"/>
      <c r="E77" s="41"/>
      <c r="F77" s="41"/>
      <c r="G77" s="41"/>
      <c r="H77" s="41">
        <f t="shared" ref="H77:M77" si="136">H78*H63</f>
        <v>9.4590904509000016</v>
      </c>
      <c r="I77" s="41">
        <f t="shared" si="136"/>
        <v>19.107362710818002</v>
      </c>
      <c r="J77" s="41">
        <f t="shared" si="136"/>
        <v>36.988669647691857</v>
      </c>
      <c r="K77" s="41">
        <f t="shared" si="136"/>
        <v>37.358556344168775</v>
      </c>
      <c r="L77" s="41">
        <f t="shared" si="136"/>
        <v>36.091613998583917</v>
      </c>
      <c r="M77" s="41">
        <f t="shared" si="136"/>
        <v>34.795596950452946</v>
      </c>
      <c r="N77" s="41">
        <f>N78*N63</f>
        <v>33.470050399959497</v>
      </c>
      <c r="O77" s="41">
        <f t="shared" ref="O77" si="137">O78*O63</f>
        <v>32.114513358761137</v>
      </c>
      <c r="P77" s="41">
        <f>P78*P63</f>
        <v>30.387090587568828</v>
      </c>
      <c r="Q77" s="41">
        <f t="shared" ref="Q77:T77" si="138">Q78*Q63</f>
        <v>28.621907909616791</v>
      </c>
      <c r="R77" s="41">
        <f t="shared" si="138"/>
        <v>26.81838286904696</v>
      </c>
      <c r="S77" s="41">
        <f t="shared" si="138"/>
        <v>24.975925136874771</v>
      </c>
      <c r="T77" s="41">
        <f t="shared" si="138"/>
        <v>23.093936411772233</v>
      </c>
    </row>
    <row r="78" spans="2:20" hidden="1" outlineLevel="1">
      <c r="B78" s="198" t="s">
        <v>102</v>
      </c>
      <c r="C78" s="202"/>
      <c r="D78" s="202"/>
      <c r="E78" s="202"/>
      <c r="F78" s="202"/>
      <c r="G78" s="202"/>
      <c r="H78" s="291">
        <f t="shared" ref="H78:N78" si="139">CHOOSE($H$3,H21,H22,H23)</f>
        <v>0.03</v>
      </c>
      <c r="I78" s="291">
        <f t="shared" si="139"/>
        <v>0.06</v>
      </c>
      <c r="J78" s="291">
        <f t="shared" si="139"/>
        <v>0.115</v>
      </c>
      <c r="K78" s="291">
        <f t="shared" si="139"/>
        <v>0.115</v>
      </c>
      <c r="L78" s="291">
        <f t="shared" si="139"/>
        <v>0.11</v>
      </c>
      <c r="M78" s="291">
        <f t="shared" si="139"/>
        <v>0.105</v>
      </c>
      <c r="N78" s="291">
        <f t="shared" si="139"/>
        <v>9.9999999999999992E-2</v>
      </c>
      <c r="O78" s="291">
        <f t="shared" ref="O78:P78" si="140">CHOOSE($H$3,O21,O22,O23)</f>
        <v>9.4999999999999987E-2</v>
      </c>
      <c r="P78" s="291">
        <f t="shared" si="140"/>
        <v>8.8999999999999982E-2</v>
      </c>
      <c r="Q78" s="291">
        <f t="shared" ref="Q78:T78" si="141">CHOOSE($H$3,Q21,Q22,Q23)</f>
        <v>8.2999999999999977E-2</v>
      </c>
      <c r="R78" s="291">
        <f t="shared" si="141"/>
        <v>7.6999999999999971E-2</v>
      </c>
      <c r="S78" s="291">
        <f t="shared" si="141"/>
        <v>7.0999999999999966E-2</v>
      </c>
      <c r="T78" s="291">
        <f t="shared" si="141"/>
        <v>6.4999999999999961E-2</v>
      </c>
    </row>
    <row r="79" spans="2:20" collapsed="1">
      <c r="B79" s="192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</row>
    <row r="80" spans="2:20">
      <c r="B80" s="28" t="s">
        <v>91</v>
      </c>
      <c r="C80" s="41"/>
      <c r="D80" s="41"/>
      <c r="E80" s="41"/>
      <c r="F80" s="41"/>
      <c r="G80" s="41"/>
      <c r="H80" s="41">
        <f t="shared" ref="H80:N80" si="142">SUM(H82:H84)</f>
        <v>0</v>
      </c>
      <c r="I80" s="41">
        <f t="shared" si="142"/>
        <v>10.72030251102</v>
      </c>
      <c r="J80" s="41">
        <f t="shared" si="142"/>
        <v>44.975610321416767</v>
      </c>
      <c r="K80" s="41">
        <f t="shared" si="142"/>
        <v>84.647322072730034</v>
      </c>
      <c r="L80" s="41">
        <f t="shared" si="142"/>
        <v>121.53643936531986</v>
      </c>
      <c r="M80" s="41">
        <f t="shared" si="142"/>
        <v>155.13305066367906</v>
      </c>
      <c r="N80" s="41">
        <f t="shared" si="142"/>
        <v>185.56870811658749</v>
      </c>
      <c r="O80" s="41">
        <f t="shared" ref="O80:P80" si="143">SUM(O82:O84)</f>
        <v>212.96786960738038</v>
      </c>
      <c r="P80" s="41">
        <f t="shared" si="143"/>
        <v>237.19471080959585</v>
      </c>
      <c r="Q80" s="41">
        <f t="shared" ref="Q80:T80" si="144">SUM(Q82:Q84)</f>
        <v>258.23725200644242</v>
      </c>
      <c r="R80" s="41">
        <f t="shared" si="144"/>
        <v>276.21176151581523</v>
      </c>
      <c r="S80" s="41">
        <f t="shared" si="144"/>
        <v>291.22803260186151</v>
      </c>
      <c r="T80" s="41">
        <f t="shared" si="144"/>
        <v>303.38969828957954</v>
      </c>
    </row>
    <row r="81" spans="2:20">
      <c r="B81" s="198" t="s">
        <v>92</v>
      </c>
      <c r="C81" s="212"/>
      <c r="D81" s="212"/>
      <c r="E81" s="212"/>
      <c r="F81" s="213"/>
      <c r="G81" s="213"/>
      <c r="H81" s="269">
        <f t="shared" ref="H81:N81" si="145">H42</f>
        <v>0.05</v>
      </c>
      <c r="I81" s="269">
        <f t="shared" si="145"/>
        <v>0.05</v>
      </c>
      <c r="J81" s="269">
        <f t="shared" si="145"/>
        <v>0.05</v>
      </c>
      <c r="K81" s="269">
        <f t="shared" si="145"/>
        <v>0.05</v>
      </c>
      <c r="L81" s="269">
        <f t="shared" si="145"/>
        <v>0.05</v>
      </c>
      <c r="M81" s="269">
        <f t="shared" si="145"/>
        <v>0.05</v>
      </c>
      <c r="N81" s="269">
        <f t="shared" si="145"/>
        <v>0.05</v>
      </c>
      <c r="O81" s="269">
        <f t="shared" ref="O81:P81" si="146">O42</f>
        <v>0.05</v>
      </c>
      <c r="P81" s="269">
        <f t="shared" si="146"/>
        <v>0.05</v>
      </c>
      <c r="Q81" s="269">
        <f t="shared" ref="Q81:T81" si="147">Q42</f>
        <v>0.05</v>
      </c>
      <c r="R81" s="269">
        <f t="shared" si="147"/>
        <v>0.05</v>
      </c>
      <c r="S81" s="269">
        <f t="shared" si="147"/>
        <v>0.05</v>
      </c>
      <c r="T81" s="269">
        <f t="shared" si="147"/>
        <v>0.05</v>
      </c>
    </row>
    <row r="82" spans="2:20" hidden="1" outlineLevel="1">
      <c r="B82" s="192" t="s">
        <v>100</v>
      </c>
      <c r="C82" s="41"/>
      <c r="D82" s="41"/>
      <c r="E82" s="41"/>
      <c r="F82" s="41"/>
      <c r="G82" s="41"/>
      <c r="H82" s="41">
        <f>H$81*H67</f>
        <v>0</v>
      </c>
      <c r="I82" s="41">
        <f t="shared" ref="I82:L84" si="148">I$81*I67</f>
        <v>7.0943178381749989</v>
      </c>
      <c r="J82" s="41">
        <f t="shared" si="148"/>
        <v>34.206435843067119</v>
      </c>
      <c r="K82" s="41">
        <f t="shared" si="148"/>
        <v>60.237616286682652</v>
      </c>
      <c r="L82" s="41">
        <f t="shared" si="148"/>
        <v>84.026438936643501</v>
      </c>
      <c r="M82" s="41">
        <f t="shared" ref="M82:N84" si="149">M$81*M67</f>
        <v>105.66343155697935</v>
      </c>
      <c r="N82" s="41">
        <f t="shared" si="149"/>
        <v>125.23425780088246</v>
      </c>
      <c r="O82" s="41">
        <f t="shared" ref="O82:P82" si="150">O$81*O67</f>
        <v>142.81995582080947</v>
      </c>
      <c r="P82" s="41">
        <f t="shared" si="150"/>
        <v>158.24362925816172</v>
      </c>
      <c r="Q82" s="41">
        <f t="shared" ref="Q82:T82" si="151">Q$81*Q67</f>
        <v>171.58533980734529</v>
      </c>
      <c r="R82" s="41">
        <f t="shared" si="151"/>
        <v>182.92071356131981</v>
      </c>
      <c r="S82" s="41">
        <f t="shared" si="151"/>
        <v>192.32115694528954</v>
      </c>
      <c r="T82" s="41">
        <f t="shared" si="151"/>
        <v>199.85406178003416</v>
      </c>
    </row>
    <row r="83" spans="2:20" hidden="1" outlineLevel="1">
      <c r="B83" s="192" t="s">
        <v>99</v>
      </c>
      <c r="C83" s="41"/>
      <c r="D83" s="41"/>
      <c r="E83" s="41"/>
      <c r="F83" s="41"/>
      <c r="G83" s="41"/>
      <c r="H83" s="41">
        <f>H$81*H68</f>
        <v>0</v>
      </c>
      <c r="I83" s="41">
        <f t="shared" si="148"/>
        <v>3.1530301502999998</v>
      </c>
      <c r="J83" s="41">
        <f t="shared" si="148"/>
        <v>9.3644995463909986</v>
      </c>
      <c r="K83" s="41">
        <f t="shared" si="148"/>
        <v>21.225831118302061</v>
      </c>
      <c r="L83" s="41">
        <f t="shared" si="148"/>
        <v>32.617391677109879</v>
      </c>
      <c r="M83" s="41">
        <f t="shared" si="149"/>
        <v>43.017060092782359</v>
      </c>
      <c r="N83" s="41">
        <f t="shared" si="149"/>
        <v>52.464739404960881</v>
      </c>
      <c r="O83" s="41">
        <f t="shared" ref="O83:P83" si="152">O$81*O68</f>
        <v>60.998185901366007</v>
      </c>
      <c r="P83" s="41">
        <f t="shared" si="152"/>
        <v>68.653114392551416</v>
      </c>
      <c r="Q83" s="41">
        <f t="shared" ref="Q83:T83" si="153">Q$81*Q68</f>
        <v>75.349488868780114</v>
      </c>
      <c r="R83" s="41">
        <f t="shared" si="153"/>
        <v>81.122650395213384</v>
      </c>
      <c r="S83" s="41">
        <f t="shared" si="153"/>
        <v>86.005978831801698</v>
      </c>
      <c r="T83" s="41">
        <f t="shared" si="153"/>
        <v>90.030988269169868</v>
      </c>
    </row>
    <row r="84" spans="2:20" hidden="1" outlineLevel="1">
      <c r="B84" s="192" t="s">
        <v>98</v>
      </c>
      <c r="C84" s="41"/>
      <c r="D84" s="41"/>
      <c r="E84" s="41"/>
      <c r="F84" s="41"/>
      <c r="G84" s="41"/>
      <c r="H84" s="41">
        <f>H$81*H69</f>
        <v>0</v>
      </c>
      <c r="I84" s="41">
        <f t="shared" si="148"/>
        <v>0.47295452254500009</v>
      </c>
      <c r="J84" s="41">
        <f t="shared" si="148"/>
        <v>1.4046749319586502</v>
      </c>
      <c r="K84" s="41">
        <f t="shared" si="148"/>
        <v>3.1838746677453105</v>
      </c>
      <c r="L84" s="41">
        <f t="shared" si="148"/>
        <v>4.8926087515664838</v>
      </c>
      <c r="M84" s="41">
        <f t="shared" si="149"/>
        <v>6.4525590139173552</v>
      </c>
      <c r="N84" s="41">
        <f t="shared" si="149"/>
        <v>7.8697109107441339</v>
      </c>
      <c r="O84" s="41">
        <f t="shared" ref="O84:P84" si="154">O$81*O69</f>
        <v>9.1497278852049018</v>
      </c>
      <c r="P84" s="41">
        <f t="shared" si="154"/>
        <v>10.297967158882713</v>
      </c>
      <c r="Q84" s="41">
        <f t="shared" ref="Q84:T84" si="155">Q$81*Q69</f>
        <v>11.302423330317019</v>
      </c>
      <c r="R84" s="41">
        <f t="shared" si="155"/>
        <v>12.168397559282006</v>
      </c>
      <c r="S84" s="41">
        <f t="shared" si="155"/>
        <v>12.900896824770255</v>
      </c>
      <c r="T84" s="41">
        <f t="shared" si="155"/>
        <v>13.504648240375481</v>
      </c>
    </row>
    <row r="85" spans="2:20" collapsed="1">
      <c r="B85" s="192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</row>
    <row r="86" spans="2:20">
      <c r="B86" s="28" t="s">
        <v>377</v>
      </c>
      <c r="C86" s="41"/>
      <c r="D86" s="41"/>
      <c r="E86" s="41"/>
      <c r="F86" s="41"/>
      <c r="G86" s="41"/>
      <c r="H86" s="41">
        <f t="shared" ref="H86:N86" si="156">H88+H90+H92</f>
        <v>214.40605022039998</v>
      </c>
      <c r="I86" s="41">
        <f t="shared" si="156"/>
        <v>899.51220642833539</v>
      </c>
      <c r="J86" s="41">
        <f t="shared" si="156"/>
        <v>1692.9464414546003</v>
      </c>
      <c r="K86" s="41">
        <f t="shared" si="156"/>
        <v>2430.7287873063974</v>
      </c>
      <c r="L86" s="41">
        <f t="shared" si="156"/>
        <v>3102.6610132735809</v>
      </c>
      <c r="M86" s="41">
        <f t="shared" si="156"/>
        <v>3711.3741623317496</v>
      </c>
      <c r="N86" s="41">
        <f t="shared" si="156"/>
        <v>4259.3573921476072</v>
      </c>
      <c r="O86" s="41">
        <f t="shared" ref="O86:P86" si="157">O88+O90+O92</f>
        <v>4743.8942161919158</v>
      </c>
      <c r="P86" s="41">
        <f t="shared" si="157"/>
        <v>5164.7450401288479</v>
      </c>
      <c r="Q86" s="41">
        <f t="shared" ref="Q86:T86" si="158">Q88+Q90+Q92</f>
        <v>5524.2352303163034</v>
      </c>
      <c r="R86" s="41">
        <f t="shared" si="158"/>
        <v>5824.5606520372294</v>
      </c>
      <c r="S86" s="41">
        <f t="shared" si="158"/>
        <v>6067.7939657915895</v>
      </c>
      <c r="T86" s="41">
        <f t="shared" si="158"/>
        <v>6255.890606521778</v>
      </c>
    </row>
    <row r="87" spans="2:20">
      <c r="B87" s="198" t="s">
        <v>107</v>
      </c>
      <c r="C87" s="214"/>
      <c r="D87" s="214"/>
      <c r="E87" s="214"/>
      <c r="F87" s="214"/>
      <c r="G87" s="214"/>
      <c r="H87" s="291">
        <f t="shared" ref="H87:N87" si="159">H86/H59</f>
        <v>0.03</v>
      </c>
      <c r="I87" s="291">
        <f t="shared" si="159"/>
        <v>0.12461488060570763</v>
      </c>
      <c r="J87" s="291">
        <f t="shared" si="159"/>
        <v>0.23221201641130917</v>
      </c>
      <c r="K87" s="291">
        <f t="shared" si="159"/>
        <v>0.33010841962974047</v>
      </c>
      <c r="L87" s="291">
        <f t="shared" si="159"/>
        <v>0.41718919493420542</v>
      </c>
      <c r="M87" s="291">
        <f t="shared" si="159"/>
        <v>0.49409685487404875</v>
      </c>
      <c r="N87" s="291">
        <f t="shared" si="159"/>
        <v>0.56143574293627752</v>
      </c>
      <c r="O87" s="291">
        <f t="shared" ref="O87:P87" si="160">O86/O59</f>
        <v>0.61911253630872931</v>
      </c>
      <c r="P87" s="291">
        <f t="shared" si="160"/>
        <v>0.66736298552044149</v>
      </c>
      <c r="Q87" s="291">
        <f t="shared" ref="Q87:T87" si="161">Q86/Q59</f>
        <v>0.7067470714126457</v>
      </c>
      <c r="R87" s="291">
        <f t="shared" si="161"/>
        <v>0.73779150863798659</v>
      </c>
      <c r="S87" s="291">
        <f t="shared" si="161"/>
        <v>0.76099172186974262</v>
      </c>
      <c r="T87" s="291">
        <f t="shared" si="161"/>
        <v>0.77681370461248378</v>
      </c>
    </row>
    <row r="88" spans="2:20" hidden="1" outlineLevel="1">
      <c r="B88" s="192" t="s">
        <v>100</v>
      </c>
      <c r="C88" s="41"/>
      <c r="D88" s="41"/>
      <c r="E88" s="41"/>
      <c r="F88" s="41"/>
      <c r="G88" s="41">
        <f>G67+G73+G82</f>
        <v>0</v>
      </c>
      <c r="H88" s="41">
        <f t="shared" ref="H88:M88" si="162">H67+H73-H82</f>
        <v>141.88635676349998</v>
      </c>
      <c r="I88" s="41">
        <f t="shared" si="162"/>
        <v>684.12871686134235</v>
      </c>
      <c r="J88" s="41">
        <f t="shared" si="162"/>
        <v>1204.7523257336529</v>
      </c>
      <c r="K88" s="41">
        <f t="shared" si="162"/>
        <v>1680.5287787328698</v>
      </c>
      <c r="L88" s="41">
        <f t="shared" si="162"/>
        <v>2113.2686311395869</v>
      </c>
      <c r="M88" s="41">
        <f t="shared" si="162"/>
        <v>2504.6851560176492</v>
      </c>
      <c r="N88" s="41">
        <f>N67+N73-N82</f>
        <v>2856.3991164161894</v>
      </c>
      <c r="O88" s="41">
        <f t="shared" ref="O88" si="163">O67+O73-O82</f>
        <v>3164.8725851632339</v>
      </c>
      <c r="P88" s="41">
        <f>P67+P73-P82</f>
        <v>3431.7067961469056</v>
      </c>
      <c r="Q88" s="41">
        <f t="shared" ref="Q88:T88" si="164">Q67+Q73-Q82</f>
        <v>3658.4142712263961</v>
      </c>
      <c r="R88" s="41">
        <f t="shared" si="164"/>
        <v>3846.4231389057909</v>
      </c>
      <c r="S88" s="41">
        <f t="shared" si="164"/>
        <v>3997.0812356006827</v>
      </c>
      <c r="T88" s="41">
        <f t="shared" si="164"/>
        <v>4111.6600003501626</v>
      </c>
    </row>
    <row r="89" spans="2:20" hidden="1" outlineLevel="1">
      <c r="B89" s="198" t="s">
        <v>107</v>
      </c>
      <c r="C89" s="214"/>
      <c r="D89" s="214"/>
      <c r="E89" s="214"/>
      <c r="F89" s="214"/>
      <c r="G89" s="214">
        <f t="shared" ref="G89:N89" si="165">G88/G61</f>
        <v>0</v>
      </c>
      <c r="H89" s="291">
        <f t="shared" si="165"/>
        <v>2.9999999999999995E-2</v>
      </c>
      <c r="I89" s="291">
        <f t="shared" si="165"/>
        <v>0.14321782178217821</v>
      </c>
      <c r="J89" s="291">
        <f t="shared" si="165"/>
        <v>0.24970983236937555</v>
      </c>
      <c r="K89" s="291">
        <f t="shared" si="165"/>
        <v>0.34487558490188785</v>
      </c>
      <c r="L89" s="291">
        <f t="shared" si="165"/>
        <v>0.42938792639286483</v>
      </c>
      <c r="M89" s="291">
        <f t="shared" si="165"/>
        <v>0.50387973274576392</v>
      </c>
      <c r="N89" s="291">
        <f t="shared" si="165"/>
        <v>0.56894628327571839</v>
      </c>
      <c r="O89" s="291">
        <f t="shared" ref="O89:P89" si="166">O88/O61</f>
        <v>0.6241474941702303</v>
      </c>
      <c r="P89" s="291">
        <f t="shared" si="166"/>
        <v>0.67006942520962254</v>
      </c>
      <c r="Q89" s="291">
        <f t="shared" ref="Q89:T89" si="167">Q88/Q61</f>
        <v>0.70726332074172416</v>
      </c>
      <c r="R89" s="291">
        <f t="shared" si="167"/>
        <v>0.73624767792538404</v>
      </c>
      <c r="S89" s="291">
        <f t="shared" si="167"/>
        <v>0.75751019210803439</v>
      </c>
      <c r="T89" s="291">
        <f t="shared" si="167"/>
        <v>0.77150958663627001</v>
      </c>
    </row>
    <row r="90" spans="2:20" hidden="1" outlineLevel="1">
      <c r="B90" s="192" t="s">
        <v>99</v>
      </c>
      <c r="C90" s="41"/>
      <c r="D90" s="41"/>
      <c r="E90" s="41"/>
      <c r="F90" s="41"/>
      <c r="G90" s="41">
        <f>G68+G75+G83</f>
        <v>0</v>
      </c>
      <c r="H90" s="41">
        <f t="shared" ref="H90:M90" si="168">H68+H75-H83</f>
        <v>63.060603005999994</v>
      </c>
      <c r="I90" s="41">
        <f t="shared" si="168"/>
        <v>187.28999092781996</v>
      </c>
      <c r="J90" s="41">
        <f t="shared" si="168"/>
        <v>424.51662236604119</v>
      </c>
      <c r="K90" s="41">
        <f t="shared" si="168"/>
        <v>652.34783354219758</v>
      </c>
      <c r="L90" s="41">
        <f t="shared" si="168"/>
        <v>860.34120185564711</v>
      </c>
      <c r="M90" s="41">
        <f t="shared" si="168"/>
        <v>1049.2947880992176</v>
      </c>
      <c r="N90" s="41">
        <f>N68+N75-N83</f>
        <v>1219.9637180273201</v>
      </c>
      <c r="O90" s="41">
        <f t="shared" ref="O90" si="169">O68+O75-O83</f>
        <v>1373.0622878510283</v>
      </c>
      <c r="P90" s="41">
        <f>P68+P75-P83</f>
        <v>1506.9897773756022</v>
      </c>
      <c r="Q90" s="41">
        <f t="shared" ref="Q90:T90" si="170">Q68+Q75-Q83</f>
        <v>1622.4530079042675</v>
      </c>
      <c r="R90" s="41">
        <f t="shared" si="170"/>
        <v>1720.1195766360338</v>
      </c>
      <c r="S90" s="41">
        <f t="shared" si="170"/>
        <v>1800.6197653833972</v>
      </c>
      <c r="T90" s="41">
        <f t="shared" si="170"/>
        <v>1864.5483531927089</v>
      </c>
    </row>
    <row r="91" spans="2:20" hidden="1" outlineLevel="1">
      <c r="B91" s="198" t="s">
        <v>107</v>
      </c>
      <c r="C91" s="214"/>
      <c r="D91" s="214"/>
      <c r="E91" s="214"/>
      <c r="F91" s="214"/>
      <c r="G91" s="214">
        <f t="shared" ref="G91:N91" si="171">G90/G62</f>
        <v>0</v>
      </c>
      <c r="H91" s="291">
        <f t="shared" si="171"/>
        <v>0.03</v>
      </c>
      <c r="I91" s="291">
        <f t="shared" si="171"/>
        <v>8.8217821782178213E-2</v>
      </c>
      <c r="J91" s="291">
        <f t="shared" si="171"/>
        <v>0.1979771591020488</v>
      </c>
      <c r="K91" s="291">
        <f t="shared" si="171"/>
        <v>0.30121613974945188</v>
      </c>
      <c r="L91" s="291">
        <f t="shared" si="171"/>
        <v>0.39332211164552405</v>
      </c>
      <c r="M91" s="291">
        <f t="shared" si="171"/>
        <v>0.47495644164677997</v>
      </c>
      <c r="N91" s="291">
        <f t="shared" si="171"/>
        <v>0.54674120748954558</v>
      </c>
      <c r="O91" s="291">
        <f t="shared" ref="O91:P91" si="172">O90/O62</f>
        <v>0.6092615317970973</v>
      </c>
      <c r="P91" s="291">
        <f t="shared" si="172"/>
        <v>0.66206777743291312</v>
      </c>
      <c r="Q91" s="291">
        <f t="shared" ref="Q91:T91" si="173">Q90/Q62</f>
        <v>0.70573701837749259</v>
      </c>
      <c r="R91" s="291">
        <f t="shared" si="173"/>
        <v>0.74081204698873071</v>
      </c>
      <c r="S91" s="291">
        <f t="shared" si="173"/>
        <v>0.76780341053395462</v>
      </c>
      <c r="T91" s="291">
        <f t="shared" si="173"/>
        <v>0.78719132673985825</v>
      </c>
    </row>
    <row r="92" spans="2:20" hidden="1" outlineLevel="1">
      <c r="B92" s="192" t="s">
        <v>98</v>
      </c>
      <c r="C92" s="41"/>
      <c r="D92" s="41"/>
      <c r="E92" s="41"/>
      <c r="F92" s="41"/>
      <c r="G92" s="41">
        <f>G69+G77+G84</f>
        <v>0</v>
      </c>
      <c r="H92" s="41">
        <f t="shared" ref="H92:M92" si="174">H69+H77-H84</f>
        <v>9.4590904509000016</v>
      </c>
      <c r="I92" s="41">
        <f t="shared" si="174"/>
        <v>28.093498639173003</v>
      </c>
      <c r="J92" s="41">
        <f t="shared" si="174"/>
        <v>63.677493354906204</v>
      </c>
      <c r="K92" s="41">
        <f t="shared" si="174"/>
        <v>97.852175031329665</v>
      </c>
      <c r="L92" s="41">
        <f t="shared" si="174"/>
        <v>129.05118027834709</v>
      </c>
      <c r="M92" s="41">
        <f t="shared" si="174"/>
        <v>157.39421821488267</v>
      </c>
      <c r="N92" s="41">
        <f>N69+N77-N84</f>
        <v>182.99455770409801</v>
      </c>
      <c r="O92" s="41">
        <f t="shared" ref="O92" si="175">O69+O77-O84</f>
        <v>205.95934317765426</v>
      </c>
      <c r="P92" s="41">
        <f>P69+P77-P84</f>
        <v>226.04846660634036</v>
      </c>
      <c r="Q92" s="41">
        <f t="shared" ref="Q92:T92" si="176">Q69+Q77-Q84</f>
        <v>243.36795118564012</v>
      </c>
      <c r="R92" s="41">
        <f t="shared" si="176"/>
        <v>258.01793649540508</v>
      </c>
      <c r="S92" s="41">
        <f t="shared" si="176"/>
        <v>270.09296480750959</v>
      </c>
      <c r="T92" s="41">
        <f t="shared" si="176"/>
        <v>279.68225297890632</v>
      </c>
    </row>
    <row r="93" spans="2:20" hidden="1" outlineLevel="1">
      <c r="B93" s="204" t="s">
        <v>107</v>
      </c>
      <c r="C93" s="215"/>
      <c r="D93" s="215"/>
      <c r="E93" s="215"/>
      <c r="F93" s="215"/>
      <c r="G93" s="215">
        <f t="shared" ref="G93:N93" si="177">G92/G63</f>
        <v>0</v>
      </c>
      <c r="H93" s="274">
        <f t="shared" si="177"/>
        <v>3.0000000000000002E-2</v>
      </c>
      <c r="I93" s="274">
        <f t="shared" si="177"/>
        <v>8.8217821782178213E-2</v>
      </c>
      <c r="J93" s="274">
        <f t="shared" si="177"/>
        <v>0.1979771591020488</v>
      </c>
      <c r="K93" s="274">
        <f t="shared" si="177"/>
        <v>0.30121613974945183</v>
      </c>
      <c r="L93" s="274">
        <f t="shared" si="177"/>
        <v>0.39332211164552394</v>
      </c>
      <c r="M93" s="274">
        <f t="shared" si="177"/>
        <v>0.47495644164677991</v>
      </c>
      <c r="N93" s="274">
        <f t="shared" si="177"/>
        <v>0.54674120748954547</v>
      </c>
      <c r="O93" s="274">
        <f t="shared" ref="O93:P93" si="178">O92/O63</f>
        <v>0.60926153179709719</v>
      </c>
      <c r="P93" s="274">
        <f t="shared" si="178"/>
        <v>0.66206777743291312</v>
      </c>
      <c r="Q93" s="274">
        <f t="shared" ref="Q93:T93" si="179">Q92/Q63</f>
        <v>0.70573701837749259</v>
      </c>
      <c r="R93" s="274">
        <f t="shared" si="179"/>
        <v>0.7408120469887306</v>
      </c>
      <c r="S93" s="274">
        <f t="shared" si="179"/>
        <v>0.7678034105339544</v>
      </c>
      <c r="T93" s="274">
        <f t="shared" si="179"/>
        <v>0.78719132673985803</v>
      </c>
    </row>
    <row r="94" spans="2:20" collapsed="1">
      <c r="B94" s="206"/>
    </row>
    <row r="95" spans="2:20">
      <c r="B95" s="24" t="s">
        <v>94</v>
      </c>
      <c r="F95" s="37"/>
      <c r="G95" s="37"/>
      <c r="H95" s="201">
        <f>H47</f>
        <v>6</v>
      </c>
      <c r="I95" s="201">
        <f t="shared" ref="I95:N96" si="180">I47</f>
        <v>6</v>
      </c>
      <c r="J95" s="201">
        <f t="shared" si="180"/>
        <v>6</v>
      </c>
      <c r="K95" s="201">
        <f t="shared" si="180"/>
        <v>6</v>
      </c>
      <c r="L95" s="201">
        <f t="shared" si="180"/>
        <v>6</v>
      </c>
      <c r="M95" s="201">
        <f t="shared" si="180"/>
        <v>6</v>
      </c>
      <c r="N95" s="201">
        <f t="shared" si="180"/>
        <v>6</v>
      </c>
      <c r="O95" s="201">
        <f t="shared" ref="O95:P95" si="181">O47</f>
        <v>6</v>
      </c>
      <c r="P95" s="201">
        <f t="shared" si="181"/>
        <v>6</v>
      </c>
      <c r="Q95" s="201">
        <f t="shared" ref="Q95:T95" si="182">Q47</f>
        <v>6</v>
      </c>
      <c r="R95" s="201">
        <f t="shared" si="182"/>
        <v>6</v>
      </c>
      <c r="S95" s="201">
        <f t="shared" si="182"/>
        <v>6</v>
      </c>
      <c r="T95" s="201">
        <f t="shared" si="182"/>
        <v>6</v>
      </c>
    </row>
    <row r="96" spans="2:20">
      <c r="B96" s="24" t="s">
        <v>95</v>
      </c>
      <c r="F96" s="37"/>
      <c r="G96" s="37"/>
      <c r="H96" s="201">
        <f>H48</f>
        <v>11</v>
      </c>
      <c r="I96" s="201">
        <f t="shared" si="180"/>
        <v>11</v>
      </c>
      <c r="J96" s="201">
        <f t="shared" si="180"/>
        <v>11</v>
      </c>
      <c r="K96" s="201">
        <f t="shared" si="180"/>
        <v>11</v>
      </c>
      <c r="L96" s="201">
        <f t="shared" si="180"/>
        <v>11</v>
      </c>
      <c r="M96" s="201">
        <f t="shared" si="180"/>
        <v>11</v>
      </c>
      <c r="N96" s="201">
        <f t="shared" si="180"/>
        <v>11</v>
      </c>
      <c r="O96" s="201">
        <f t="shared" ref="O96:P96" si="183">O48</f>
        <v>11</v>
      </c>
      <c r="P96" s="201">
        <f t="shared" si="183"/>
        <v>11</v>
      </c>
      <c r="Q96" s="201">
        <f t="shared" ref="Q96:T96" si="184">Q48</f>
        <v>11</v>
      </c>
      <c r="R96" s="201">
        <f t="shared" si="184"/>
        <v>11</v>
      </c>
      <c r="S96" s="201">
        <f t="shared" si="184"/>
        <v>11</v>
      </c>
      <c r="T96" s="201">
        <f t="shared" si="184"/>
        <v>11</v>
      </c>
    </row>
    <row r="97" spans="2:20">
      <c r="B97" s="206"/>
    </row>
    <row r="98" spans="2:20">
      <c r="B98" s="24" t="s">
        <v>437</v>
      </c>
      <c r="F98" s="52"/>
      <c r="G98" s="59"/>
      <c r="H98" s="270">
        <v>30000</v>
      </c>
      <c r="I98" s="41">
        <f t="shared" ref="I98:N98" si="185">H98*(1+I101)</f>
        <v>30300</v>
      </c>
      <c r="J98" s="41">
        <f t="shared" si="185"/>
        <v>30603</v>
      </c>
      <c r="K98" s="41">
        <f t="shared" si="185"/>
        <v>30909.03</v>
      </c>
      <c r="L98" s="41">
        <f t="shared" si="185"/>
        <v>31218.120299999999</v>
      </c>
      <c r="M98" s="41">
        <f t="shared" si="185"/>
        <v>31530.301502999999</v>
      </c>
      <c r="N98" s="41">
        <f t="shared" si="185"/>
        <v>31845.604518029999</v>
      </c>
      <c r="O98" s="41">
        <f t="shared" ref="O98" si="186">N98*(1+O101)</f>
        <v>32164.0605632103</v>
      </c>
      <c r="P98" s="41">
        <f t="shared" ref="P98" si="187">O98*(1+P101)</f>
        <v>32485.701168842403</v>
      </c>
      <c r="Q98" s="41">
        <f t="shared" ref="Q98" si="188">P98*(1+Q101)</f>
        <v>32810.558180530825</v>
      </c>
      <c r="R98" s="41">
        <f t="shared" ref="R98" si="189">Q98*(1+R101)</f>
        <v>33138.663762336131</v>
      </c>
      <c r="S98" s="41">
        <f t="shared" ref="S98" si="190">R98*(1+S101)</f>
        <v>33470.050399959495</v>
      </c>
      <c r="T98" s="41">
        <f t="shared" ref="T98" si="191">S98*(1+T101)</f>
        <v>33804.750903959088</v>
      </c>
    </row>
    <row r="99" spans="2:20" hidden="1" outlineLevel="1">
      <c r="B99" s="24" t="s">
        <v>191</v>
      </c>
      <c r="F99" s="52"/>
      <c r="G99" s="52"/>
      <c r="H99" s="60">
        <f>+H98</f>
        <v>30000</v>
      </c>
      <c r="I99" s="60">
        <f t="shared" ref="I99:N99" si="192">H99*(1+I101)</f>
        <v>30300</v>
      </c>
      <c r="J99" s="60">
        <f t="shared" si="192"/>
        <v>30603</v>
      </c>
      <c r="K99" s="60">
        <f t="shared" si="192"/>
        <v>30909.03</v>
      </c>
      <c r="L99" s="60">
        <f t="shared" si="192"/>
        <v>31218.120299999999</v>
      </c>
      <c r="M99" s="60">
        <f t="shared" si="192"/>
        <v>31530.301502999999</v>
      </c>
      <c r="N99" s="60">
        <f t="shared" si="192"/>
        <v>31845.604518029999</v>
      </c>
      <c r="O99" s="60">
        <f t="shared" ref="O99" si="193">N99*(1+O101)</f>
        <v>32164.0605632103</v>
      </c>
      <c r="P99" s="60">
        <f t="shared" ref="P99" si="194">O99*(1+P101)</f>
        <v>32485.701168842403</v>
      </c>
      <c r="Q99" s="60">
        <f t="shared" ref="Q99" si="195">P99*(1+Q101)</f>
        <v>32810.558180530825</v>
      </c>
      <c r="R99" s="60">
        <f t="shared" ref="R99" si="196">Q99*(1+R101)</f>
        <v>33138.663762336131</v>
      </c>
      <c r="S99" s="60">
        <f t="shared" ref="S99" si="197">R99*(1+S101)</f>
        <v>33470.050399959495</v>
      </c>
      <c r="T99" s="60">
        <f t="shared" ref="T99" si="198">S99*(1+T101)</f>
        <v>33804.750903959088</v>
      </c>
    </row>
    <row r="100" spans="2:20" hidden="1" outlineLevel="1">
      <c r="B100" s="24" t="s">
        <v>192</v>
      </c>
      <c r="F100" s="52"/>
      <c r="G100" s="52"/>
      <c r="H100" s="60">
        <f>H99</f>
        <v>30000</v>
      </c>
      <c r="I100" s="60">
        <f t="shared" ref="I100:N100" si="199">H100*(1+I101)</f>
        <v>30300</v>
      </c>
      <c r="J100" s="60">
        <f t="shared" si="199"/>
        <v>30603</v>
      </c>
      <c r="K100" s="60">
        <f t="shared" si="199"/>
        <v>30909.03</v>
      </c>
      <c r="L100" s="60">
        <f t="shared" si="199"/>
        <v>31218.120299999999</v>
      </c>
      <c r="M100" s="60">
        <f t="shared" si="199"/>
        <v>31530.301502999999</v>
      </c>
      <c r="N100" s="60">
        <f t="shared" si="199"/>
        <v>31845.604518029999</v>
      </c>
      <c r="O100" s="60">
        <f t="shared" ref="O100" si="200">N100*(1+O101)</f>
        <v>32164.0605632103</v>
      </c>
      <c r="P100" s="60">
        <f t="shared" ref="P100" si="201">O100*(1+P101)</f>
        <v>32485.701168842403</v>
      </c>
      <c r="Q100" s="60">
        <f t="shared" ref="Q100" si="202">P100*(1+Q101)</f>
        <v>32810.558180530825</v>
      </c>
      <c r="R100" s="60">
        <f t="shared" ref="R100" si="203">Q100*(1+R101)</f>
        <v>33138.663762336131</v>
      </c>
      <c r="S100" s="60">
        <f t="shared" ref="S100" si="204">R100*(1+S101)</f>
        <v>33470.050399959495</v>
      </c>
      <c r="T100" s="60">
        <f t="shared" ref="T100" si="205">S100*(1+T101)</f>
        <v>33804.750903959088</v>
      </c>
    </row>
    <row r="101" spans="2:20" collapsed="1">
      <c r="B101" s="198" t="s">
        <v>96</v>
      </c>
      <c r="F101" s="208"/>
      <c r="H101" s="82"/>
      <c r="I101" s="82">
        <v>0.01</v>
      </c>
      <c r="J101" s="82">
        <v>0.01</v>
      </c>
      <c r="K101" s="82">
        <v>0.01</v>
      </c>
      <c r="L101" s="82">
        <v>0.01</v>
      </c>
      <c r="M101" s="82">
        <v>0.01</v>
      </c>
      <c r="N101" s="82">
        <v>0.01</v>
      </c>
      <c r="O101" s="82">
        <v>0.01</v>
      </c>
      <c r="P101" s="82">
        <v>0.01</v>
      </c>
      <c r="Q101" s="82">
        <f>P101</f>
        <v>0.01</v>
      </c>
      <c r="R101" s="82">
        <f>Q101</f>
        <v>0.01</v>
      </c>
      <c r="S101" s="82">
        <f>R101</f>
        <v>0.01</v>
      </c>
      <c r="T101" s="82">
        <f>S101</f>
        <v>0.01</v>
      </c>
    </row>
    <row r="102" spans="2:20">
      <c r="B102" s="272" t="s">
        <v>438</v>
      </c>
      <c r="F102" s="208"/>
      <c r="H102" s="270">
        <f>H98*(1-H$105)</f>
        <v>27750</v>
      </c>
      <c r="I102" s="270">
        <f t="shared" ref="I102:N102" si="206">I98*(1-I$105)</f>
        <v>27270</v>
      </c>
      <c r="J102" s="270">
        <f t="shared" si="206"/>
        <v>27542.7</v>
      </c>
      <c r="K102" s="270">
        <f t="shared" si="206"/>
        <v>27818.127</v>
      </c>
      <c r="L102" s="270">
        <f t="shared" si="206"/>
        <v>28096.308269999998</v>
      </c>
      <c r="M102" s="270">
        <f t="shared" si="206"/>
        <v>28377.271352699998</v>
      </c>
      <c r="N102" s="270">
        <f t="shared" si="206"/>
        <v>28661.044066227001</v>
      </c>
      <c r="O102" s="270">
        <f t="shared" ref="O102:P102" si="207">O98*(1-O$105)</f>
        <v>28947.65450688927</v>
      </c>
      <c r="P102" s="270">
        <f t="shared" si="207"/>
        <v>29237.131051958164</v>
      </c>
      <c r="Q102" s="270">
        <f t="shared" ref="Q102:T102" si="208">Q98*(1-Q$105)</f>
        <v>29529.502362477742</v>
      </c>
      <c r="R102" s="270">
        <f t="shared" si="208"/>
        <v>29824.79738610252</v>
      </c>
      <c r="S102" s="270">
        <f t="shared" si="208"/>
        <v>30123.045359963548</v>
      </c>
      <c r="T102" s="270">
        <f t="shared" si="208"/>
        <v>30424.275813563181</v>
      </c>
    </row>
    <row r="103" spans="2:20" hidden="1" outlineLevel="1">
      <c r="B103" s="272" t="s">
        <v>380</v>
      </c>
      <c r="F103" s="208"/>
      <c r="H103" s="270">
        <f t="shared" ref="H103:N104" si="209">H99*(1-H$105)</f>
        <v>27750</v>
      </c>
      <c r="I103" s="270">
        <f t="shared" si="209"/>
        <v>27270</v>
      </c>
      <c r="J103" s="270">
        <f t="shared" si="209"/>
        <v>27542.7</v>
      </c>
      <c r="K103" s="270">
        <f t="shared" si="209"/>
        <v>27818.127</v>
      </c>
      <c r="L103" s="270">
        <f t="shared" si="209"/>
        <v>28096.308269999998</v>
      </c>
      <c r="M103" s="270">
        <f t="shared" si="209"/>
        <v>28377.271352699998</v>
      </c>
      <c r="N103" s="270">
        <f t="shared" si="209"/>
        <v>28661.044066227001</v>
      </c>
      <c r="O103" s="270">
        <f t="shared" ref="O103:P103" si="210">O99*(1-O$105)</f>
        <v>28947.65450688927</v>
      </c>
      <c r="P103" s="270">
        <f t="shared" si="210"/>
        <v>29237.131051958164</v>
      </c>
      <c r="Q103" s="270">
        <f t="shared" ref="Q103:T103" si="211">Q99*(1-Q$105)</f>
        <v>29529.502362477742</v>
      </c>
      <c r="R103" s="270">
        <f t="shared" si="211"/>
        <v>29824.79738610252</v>
      </c>
      <c r="S103" s="270">
        <f t="shared" si="211"/>
        <v>30123.045359963548</v>
      </c>
      <c r="T103" s="270">
        <f t="shared" si="211"/>
        <v>30424.275813563181</v>
      </c>
    </row>
    <row r="104" spans="2:20" hidden="1" outlineLevel="1">
      <c r="B104" s="272" t="s">
        <v>381</v>
      </c>
      <c r="F104" s="208"/>
      <c r="H104" s="270">
        <f t="shared" si="209"/>
        <v>27750</v>
      </c>
      <c r="I104" s="270">
        <f t="shared" si="209"/>
        <v>27270</v>
      </c>
      <c r="J104" s="270">
        <f t="shared" si="209"/>
        <v>27542.7</v>
      </c>
      <c r="K104" s="270">
        <f t="shared" si="209"/>
        <v>27818.127</v>
      </c>
      <c r="L104" s="270">
        <f t="shared" si="209"/>
        <v>28096.308269999998</v>
      </c>
      <c r="M104" s="270">
        <f t="shared" si="209"/>
        <v>28377.271352699998</v>
      </c>
      <c r="N104" s="270">
        <f t="shared" si="209"/>
        <v>28661.044066227001</v>
      </c>
      <c r="O104" s="270">
        <f t="shared" ref="O104:P104" si="212">O100*(1-O$105)</f>
        <v>28947.65450688927</v>
      </c>
      <c r="P104" s="270">
        <f t="shared" si="212"/>
        <v>29237.131051958164</v>
      </c>
      <c r="Q104" s="270">
        <f t="shared" ref="Q104:T104" si="213">Q100*(1-Q$105)</f>
        <v>29529.502362477742</v>
      </c>
      <c r="R104" s="270">
        <f t="shared" si="213"/>
        <v>29824.79738610252</v>
      </c>
      <c r="S104" s="270">
        <f t="shared" si="213"/>
        <v>30123.045359963548</v>
      </c>
      <c r="T104" s="270">
        <f t="shared" si="213"/>
        <v>30424.275813563181</v>
      </c>
    </row>
    <row r="105" spans="2:20" collapsed="1">
      <c r="B105" s="273" t="s">
        <v>103</v>
      </c>
      <c r="F105" s="208"/>
      <c r="H105" s="82">
        <v>7.4999999999999997E-2</v>
      </c>
      <c r="I105" s="82">
        <v>0.1</v>
      </c>
      <c r="J105" s="82">
        <v>0.1</v>
      </c>
      <c r="K105" s="82">
        <v>0.1</v>
      </c>
      <c r="L105" s="82">
        <v>0.1</v>
      </c>
      <c r="M105" s="82">
        <v>0.1</v>
      </c>
      <c r="N105" s="82">
        <v>0.1</v>
      </c>
      <c r="O105" s="82">
        <v>0.1</v>
      </c>
      <c r="P105" s="82">
        <v>0.1</v>
      </c>
      <c r="Q105" s="82">
        <v>0.1</v>
      </c>
      <c r="R105" s="82">
        <v>0.1</v>
      </c>
      <c r="S105" s="82">
        <v>0.1</v>
      </c>
      <c r="T105" s="82">
        <v>0.1</v>
      </c>
    </row>
    <row r="106" spans="2:20">
      <c r="B106" s="198"/>
      <c r="G106" s="212"/>
      <c r="H106" s="291"/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</row>
    <row r="107" spans="2:20" hidden="1" outlineLevel="1">
      <c r="B107" s="24" t="s">
        <v>108</v>
      </c>
      <c r="F107" s="41"/>
      <c r="G107" s="41"/>
      <c r="H107" s="41">
        <f>(H102*H96*H67+H102*H95*H73)/1000000</f>
        <v>23.624078401122745</v>
      </c>
      <c r="I107" s="41">
        <f t="shared" ref="I107:N107" si="214">(I102*I96*I67+I102*I95*I73)/1000000</f>
        <v>132.44411768223824</v>
      </c>
      <c r="J107" s="41">
        <f t="shared" si="214"/>
        <v>298.95937694435924</v>
      </c>
      <c r="K107" s="41">
        <f t="shared" si="214"/>
        <v>458.11892992793707</v>
      </c>
      <c r="L107" s="41">
        <f t="shared" si="214"/>
        <v>606.49855101350465</v>
      </c>
      <c r="M107" s="41">
        <f t="shared" si="214"/>
        <v>744.29140810343927</v>
      </c>
      <c r="N107" s="41">
        <f t="shared" si="214"/>
        <v>871.67481130984402</v>
      </c>
      <c r="O107" s="41">
        <f t="shared" ref="O107:P107" si="215">(O102*O96*O67+O102*O95*O73)/1000000</f>
        <v>987.92991912752279</v>
      </c>
      <c r="P107" s="41">
        <f t="shared" si="215"/>
        <v>1092.4180790214409</v>
      </c>
      <c r="Q107" s="41">
        <f t="shared" ref="Q107:T107" si="216">(Q102*Q96*Q67+Q102*Q95*Q73)/1000000</f>
        <v>1185.2708650946131</v>
      </c>
      <c r="R107" s="41">
        <f t="shared" si="216"/>
        <v>1266.6035059613819</v>
      </c>
      <c r="S107" s="41">
        <f t="shared" si="216"/>
        <v>1336.5152432451753</v>
      </c>
      <c r="T107" s="41">
        <f t="shared" si="216"/>
        <v>1395.0896678074973</v>
      </c>
    </row>
    <row r="108" spans="2:20" hidden="1" outlineLevel="1">
      <c r="B108" s="24" t="s">
        <v>109</v>
      </c>
      <c r="F108" s="41"/>
      <c r="G108" s="41"/>
      <c r="H108" s="41">
        <f>(H103*H95*H75+H96*H103*H68)/1000000</f>
        <v>10.499590400498999</v>
      </c>
      <c r="I108" s="41">
        <f t="shared" ref="I108:N108" si="217">(I103*I95*I75+I96*I103*I68)/1000000</f>
        <v>39.758600328670084</v>
      </c>
      <c r="J108" s="41">
        <f t="shared" si="217"/>
        <v>97.493905624623622</v>
      </c>
      <c r="K108" s="41">
        <f t="shared" si="217"/>
        <v>171.47163305723501</v>
      </c>
      <c r="L108" s="41">
        <f t="shared" si="217"/>
        <v>242.1758686497929</v>
      </c>
      <c r="M108" s="41">
        <f t="shared" si="217"/>
        <v>308.05165701231056</v>
      </c>
      <c r="N108" s="41">
        <f t="shared" si="217"/>
        <v>369.18418933839706</v>
      </c>
      <c r="O108" s="41">
        <f t="shared" ref="O108:P108" si="218">(O103*O95*O75+O96*O103*O68)/1000000</f>
        <v>425.65156391899632</v>
      </c>
      <c r="P108" s="41">
        <f t="shared" si="218"/>
        <v>477.12567656828111</v>
      </c>
      <c r="Q108" s="41">
        <f t="shared" ref="Q108:T108" si="219">(Q103*Q95*Q75+Q96*Q103*Q68)/1000000</f>
        <v>523.31486799309516</v>
      </c>
      <c r="R108" s="41">
        <f t="shared" si="219"/>
        <v>564.27676793308092</v>
      </c>
      <c r="S108" s="41">
        <f t="shared" si="219"/>
        <v>600.0616773794593</v>
      </c>
      <c r="T108" s="41">
        <f t="shared" si="219"/>
        <v>630.71272779166281</v>
      </c>
    </row>
    <row r="109" spans="2:20" hidden="1" outlineLevel="1">
      <c r="B109" s="24" t="s">
        <v>110</v>
      </c>
      <c r="F109" s="41"/>
      <c r="G109" s="41"/>
      <c r="H109" s="41">
        <f>(H104*H95*H77+H104*H96*H69)/1000000</f>
        <v>1.5749385600748502</v>
      </c>
      <c r="I109" s="41">
        <f t="shared" ref="I109:N109" si="220">(I104*I95*I77+I104*I96*I69)/1000000</f>
        <v>5.9637900493005143</v>
      </c>
      <c r="J109" s="41">
        <f t="shared" si="220"/>
        <v>14.624085843693546</v>
      </c>
      <c r="K109" s="41">
        <f t="shared" si="220"/>
        <v>25.720744958585261</v>
      </c>
      <c r="L109" s="41">
        <f t="shared" si="220"/>
        <v>36.326380297468944</v>
      </c>
      <c r="M109" s="41">
        <f t="shared" si="220"/>
        <v>46.207748551846585</v>
      </c>
      <c r="N109" s="41">
        <f t="shared" si="220"/>
        <v>55.377628400759569</v>
      </c>
      <c r="O109" s="41">
        <f t="shared" ref="O109:P109" si="221">(O104*O95*O77+O104*O96*O69)/1000000</f>
        <v>63.847734587849445</v>
      </c>
      <c r="P109" s="41">
        <f t="shared" si="221"/>
        <v>71.568851485242192</v>
      </c>
      <c r="Q109" s="41">
        <f t="shared" ref="Q109:T109" si="222">(Q104*Q95*Q77+Q104*Q96*Q69)/1000000</f>
        <v>78.497230198964274</v>
      </c>
      <c r="R109" s="41">
        <f t="shared" si="222"/>
        <v>84.641515189962149</v>
      </c>
      <c r="S109" s="41">
        <f t="shared" si="222"/>
        <v>90.00925160691888</v>
      </c>
      <c r="T109" s="41">
        <f t="shared" si="222"/>
        <v>94.606909168749425</v>
      </c>
    </row>
    <row r="110" spans="2:20" hidden="1" outlineLevel="1">
      <c r="B110" s="206"/>
    </row>
    <row r="111" spans="2:20" collapsed="1">
      <c r="B111" s="294" t="s">
        <v>376</v>
      </c>
      <c r="C111" s="18"/>
      <c r="D111" s="18"/>
      <c r="E111" s="18"/>
      <c r="F111" s="259"/>
      <c r="G111" s="259"/>
      <c r="H111" s="259">
        <f t="shared" ref="H111:N111" si="223">SUM(H107:H109)</f>
        <v>35.698607361696595</v>
      </c>
      <c r="I111" s="259">
        <f t="shared" si="223"/>
        <v>178.16650806020883</v>
      </c>
      <c r="J111" s="259">
        <f t="shared" si="223"/>
        <v>411.07736841267638</v>
      </c>
      <c r="K111" s="259">
        <f t="shared" si="223"/>
        <v>655.31130794375724</v>
      </c>
      <c r="L111" s="259">
        <f t="shared" si="223"/>
        <v>885.00079996076659</v>
      </c>
      <c r="M111" s="259">
        <f t="shared" si="223"/>
        <v>1098.5508136675965</v>
      </c>
      <c r="N111" s="259">
        <f t="shared" si="223"/>
        <v>1296.2366290490006</v>
      </c>
      <c r="O111" s="259">
        <f t="shared" ref="O111" si="224">SUM(O107:O109)</f>
        <v>1477.4292176343686</v>
      </c>
      <c r="P111" s="259">
        <f t="shared" ref="P111:T111" si="225">SUM(P107:P109)</f>
        <v>1641.1126070749642</v>
      </c>
      <c r="Q111" s="259">
        <f t="shared" si="225"/>
        <v>1787.0829632866726</v>
      </c>
      <c r="R111" s="259">
        <f t="shared" si="225"/>
        <v>1915.5217890844249</v>
      </c>
      <c r="S111" s="259">
        <f t="shared" si="225"/>
        <v>2026.5861722315535</v>
      </c>
      <c r="T111" s="295">
        <f t="shared" si="225"/>
        <v>2120.4093047679098</v>
      </c>
    </row>
    <row r="112" spans="2:20" s="208" customFormat="1">
      <c r="B112" s="65"/>
      <c r="C112" s="260"/>
      <c r="D112" s="260"/>
      <c r="E112" s="260"/>
      <c r="F112" s="54"/>
      <c r="G112" s="54"/>
      <c r="H112" s="271"/>
      <c r="I112" s="271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</row>
    <row r="113" spans="2:20">
      <c r="B113" s="294" t="s">
        <v>379</v>
      </c>
      <c r="C113" s="18"/>
      <c r="D113" s="18"/>
      <c r="E113" s="18"/>
      <c r="F113" s="259"/>
      <c r="G113" s="259"/>
      <c r="H113" s="259">
        <f>+H55*H114</f>
        <v>0</v>
      </c>
      <c r="I113" s="259">
        <f t="shared" ref="I113:N113" si="226">+I55*I114</f>
        <v>15.888255152058701</v>
      </c>
      <c r="J113" s="259">
        <f t="shared" si="226"/>
        <v>49.358701269544326</v>
      </c>
      <c r="K113" s="259">
        <f t="shared" si="226"/>
        <v>90.297313316400988</v>
      </c>
      <c r="L113" s="259">
        <f t="shared" si="226"/>
        <v>140.34126782174187</v>
      </c>
      <c r="M113" s="259">
        <f t="shared" si="226"/>
        <v>175.70079298208231</v>
      </c>
      <c r="N113" s="259">
        <f t="shared" si="226"/>
        <v>210.63479003037276</v>
      </c>
      <c r="O113" s="259">
        <f t="shared" ref="O113" si="227">+O55*O114</f>
        <v>244.74490327316093</v>
      </c>
      <c r="P113" s="259">
        <f t="shared" ref="P113:S113" si="228">+P55*P114</f>
        <v>277.63164768309787</v>
      </c>
      <c r="Q113" s="259">
        <f t="shared" si="228"/>
        <v>309.072733709337</v>
      </c>
      <c r="R113" s="259">
        <f t="shared" si="228"/>
        <v>338.84537801997601</v>
      </c>
      <c r="S113" s="259">
        <f t="shared" si="228"/>
        <v>366.72580862590428</v>
      </c>
      <c r="T113" s="295">
        <f>+T55*T114</f>
        <v>392.48877935897161</v>
      </c>
    </row>
    <row r="114" spans="2:20" s="208" customFormat="1">
      <c r="B114" s="261" t="s">
        <v>202</v>
      </c>
      <c r="C114" s="216"/>
      <c r="D114" s="216"/>
      <c r="E114" s="216"/>
      <c r="F114" s="63"/>
      <c r="G114" s="63"/>
      <c r="H114" s="82">
        <v>0</v>
      </c>
      <c r="I114" s="82">
        <v>0.125</v>
      </c>
      <c r="J114" s="82">
        <v>0.2</v>
      </c>
      <c r="K114" s="82">
        <v>0.25</v>
      </c>
      <c r="L114" s="82">
        <v>0.3</v>
      </c>
      <c r="M114" s="82">
        <f t="shared" ref="M114:T114" si="229">L114+0.01</f>
        <v>0.31</v>
      </c>
      <c r="N114" s="82">
        <f t="shared" si="229"/>
        <v>0.32</v>
      </c>
      <c r="O114" s="82">
        <f t="shared" si="229"/>
        <v>0.33</v>
      </c>
      <c r="P114" s="82">
        <f t="shared" si="229"/>
        <v>0.34</v>
      </c>
      <c r="Q114" s="82">
        <f t="shared" si="229"/>
        <v>0.35000000000000003</v>
      </c>
      <c r="R114" s="82">
        <f t="shared" si="229"/>
        <v>0.36000000000000004</v>
      </c>
      <c r="S114" s="82">
        <f t="shared" si="229"/>
        <v>0.37000000000000005</v>
      </c>
      <c r="T114" s="82">
        <f t="shared" si="229"/>
        <v>0.38000000000000006</v>
      </c>
    </row>
    <row r="116" spans="2:20" s="40" customFormat="1">
      <c r="B116" s="294" t="s">
        <v>375</v>
      </c>
      <c r="C116" s="18"/>
      <c r="D116" s="18"/>
      <c r="E116" s="18"/>
      <c r="F116" s="259"/>
      <c r="G116" s="259"/>
      <c r="H116" s="259">
        <f t="shared" ref="H116:N116" si="230">+H113*H117</f>
        <v>0</v>
      </c>
      <c r="I116" s="259">
        <f t="shared" si="230"/>
        <v>2.3832382728088048</v>
      </c>
      <c r="J116" s="259">
        <f t="shared" si="230"/>
        <v>8.3909792158225347</v>
      </c>
      <c r="K116" s="259">
        <f t="shared" si="230"/>
        <v>17.156489530116186</v>
      </c>
      <c r="L116" s="259">
        <f t="shared" si="230"/>
        <v>29.471666242565785</v>
      </c>
      <c r="M116" s="259">
        <f t="shared" si="230"/>
        <v>40.411182385878924</v>
      </c>
      <c r="N116" s="259">
        <f t="shared" si="230"/>
        <v>52.658697507593175</v>
      </c>
      <c r="O116" s="259">
        <f t="shared" ref="O116" si="231">+O113*O117</f>
        <v>61.186225818290218</v>
      </c>
      <c r="P116" s="259">
        <f t="shared" ref="P116:T116" si="232">+P113*P117</f>
        <v>69.407911920774453</v>
      </c>
      <c r="Q116" s="259">
        <f t="shared" si="232"/>
        <v>77.268183427334236</v>
      </c>
      <c r="R116" s="259">
        <f t="shared" si="232"/>
        <v>84.711344504993988</v>
      </c>
      <c r="S116" s="259">
        <f t="shared" si="232"/>
        <v>91.681452156476055</v>
      </c>
      <c r="T116" s="295">
        <f t="shared" si="232"/>
        <v>98.122194839742875</v>
      </c>
    </row>
    <row r="117" spans="2:20" s="208" customFormat="1">
      <c r="B117" s="262" t="s">
        <v>439</v>
      </c>
      <c r="C117" s="216"/>
      <c r="D117" s="216"/>
      <c r="E117" s="216"/>
      <c r="F117" s="63"/>
      <c r="G117" s="67"/>
      <c r="H117" s="82">
        <v>0.15</v>
      </c>
      <c r="I117" s="82">
        <v>0.15</v>
      </c>
      <c r="J117" s="82">
        <f>I117+0.02</f>
        <v>0.16999999999999998</v>
      </c>
      <c r="K117" s="82">
        <f>J117+0.02</f>
        <v>0.18999999999999997</v>
      </c>
      <c r="L117" s="82">
        <f>K117+0.02</f>
        <v>0.20999999999999996</v>
      </c>
      <c r="M117" s="82">
        <f>L117+0.02</f>
        <v>0.22999999999999995</v>
      </c>
      <c r="N117" s="82">
        <f>M117+0.02</f>
        <v>0.24999999999999994</v>
      </c>
      <c r="O117" s="82">
        <f t="shared" ref="O117:T117" si="233">N117</f>
        <v>0.24999999999999994</v>
      </c>
      <c r="P117" s="82">
        <f t="shared" si="233"/>
        <v>0.24999999999999994</v>
      </c>
      <c r="Q117" s="82">
        <f t="shared" si="233"/>
        <v>0.24999999999999994</v>
      </c>
      <c r="R117" s="82">
        <f t="shared" si="233"/>
        <v>0.24999999999999994</v>
      </c>
      <c r="S117" s="82">
        <f t="shared" si="233"/>
        <v>0.24999999999999994</v>
      </c>
      <c r="T117" s="82">
        <f t="shared" si="233"/>
        <v>0.24999999999999994</v>
      </c>
    </row>
    <row r="119" spans="2:20">
      <c r="B119" s="191" t="s">
        <v>447</v>
      </c>
      <c r="C119" s="187">
        <v>2013</v>
      </c>
      <c r="D119" s="187">
        <v>2014</v>
      </c>
      <c r="E119" s="187">
        <v>2015</v>
      </c>
      <c r="F119" s="187">
        <v>2016</v>
      </c>
      <c r="G119" s="187">
        <v>2017</v>
      </c>
      <c r="H119" s="187">
        <v>2018</v>
      </c>
      <c r="I119" s="187">
        <v>2019</v>
      </c>
      <c r="J119" s="187">
        <v>2020</v>
      </c>
      <c r="K119" s="187">
        <v>2021</v>
      </c>
      <c r="L119" s="187">
        <v>2022</v>
      </c>
      <c r="M119" s="187">
        <v>2023</v>
      </c>
      <c r="N119" s="187">
        <v>2024</v>
      </c>
      <c r="O119" s="187">
        <v>2025</v>
      </c>
      <c r="P119" s="5">
        <v>2026</v>
      </c>
      <c r="Q119" s="5">
        <v>2027</v>
      </c>
      <c r="R119" s="5">
        <v>2028</v>
      </c>
      <c r="S119" s="5">
        <v>2029</v>
      </c>
      <c r="T119" s="285">
        <v>2030</v>
      </c>
    </row>
    <row r="121" spans="2:20">
      <c r="B121" s="192" t="s">
        <v>88</v>
      </c>
      <c r="C121" s="38">
        <v>1000</v>
      </c>
      <c r="D121" s="41">
        <f t="shared" ref="D121:J121" si="234">C121*(1+D122)</f>
        <v>1010</v>
      </c>
      <c r="E121" s="41">
        <f t="shared" si="234"/>
        <v>1020.1</v>
      </c>
      <c r="F121" s="41">
        <f t="shared" si="234"/>
        <v>1030.3009999999999</v>
      </c>
      <c r="G121" s="41">
        <f t="shared" si="234"/>
        <v>1040.60401</v>
      </c>
      <c r="H121" s="41">
        <f t="shared" si="234"/>
        <v>1051.0100500999999</v>
      </c>
      <c r="I121" s="41">
        <f t="shared" si="234"/>
        <v>1061.5201506009998</v>
      </c>
      <c r="J121" s="41">
        <f t="shared" si="234"/>
        <v>1072.1353521070098</v>
      </c>
      <c r="K121" s="41">
        <f t="shared" ref="K121:P121" si="235">J121*(1+K122)</f>
        <v>1082.8567056280799</v>
      </c>
      <c r="L121" s="41">
        <f t="shared" si="235"/>
        <v>1093.6852726843608</v>
      </c>
      <c r="M121" s="41">
        <f t="shared" si="235"/>
        <v>1104.6221254112045</v>
      </c>
      <c r="N121" s="41">
        <f t="shared" si="235"/>
        <v>1115.6683466653164</v>
      </c>
      <c r="O121" s="41">
        <f t="shared" si="235"/>
        <v>1126.8250301319697</v>
      </c>
      <c r="P121" s="41">
        <f t="shared" si="235"/>
        <v>1138.0932804332895</v>
      </c>
      <c r="Q121" s="41">
        <f t="shared" ref="Q121" si="236">P121*(1+Q122)</f>
        <v>1149.4742132376223</v>
      </c>
      <c r="R121" s="41">
        <f t="shared" ref="R121" si="237">Q121*(1+R122)</f>
        <v>1160.9689553699984</v>
      </c>
      <c r="S121" s="41">
        <f t="shared" ref="S121" si="238">R121*(1+S122)</f>
        <v>1172.5786449236984</v>
      </c>
      <c r="T121" s="41">
        <f t="shared" ref="T121" si="239">S121*(1+T122)</f>
        <v>1184.3044313729354</v>
      </c>
    </row>
    <row r="122" spans="2:20">
      <c r="B122" s="193" t="s">
        <v>89</v>
      </c>
      <c r="C122" s="194"/>
      <c r="D122" s="195">
        <f t="shared" ref="D122:N122" si="240">D33</f>
        <v>0.01</v>
      </c>
      <c r="E122" s="195">
        <f t="shared" si="240"/>
        <v>0.01</v>
      </c>
      <c r="F122" s="195">
        <f t="shared" si="240"/>
        <v>0.01</v>
      </c>
      <c r="G122" s="195">
        <f t="shared" si="240"/>
        <v>0.01</v>
      </c>
      <c r="H122" s="277">
        <f t="shared" si="240"/>
        <v>0.01</v>
      </c>
      <c r="I122" s="277">
        <f t="shared" si="240"/>
        <v>0.01</v>
      </c>
      <c r="J122" s="277">
        <f t="shared" si="240"/>
        <v>0.01</v>
      </c>
      <c r="K122" s="277">
        <f t="shared" si="240"/>
        <v>0.01</v>
      </c>
      <c r="L122" s="277">
        <f t="shared" si="240"/>
        <v>0.01</v>
      </c>
      <c r="M122" s="277">
        <f t="shared" si="240"/>
        <v>0.01</v>
      </c>
      <c r="N122" s="277">
        <f t="shared" si="240"/>
        <v>0.01</v>
      </c>
      <c r="O122" s="277">
        <f t="shared" ref="O122:P122" si="241">O33</f>
        <v>0.01</v>
      </c>
      <c r="P122" s="277">
        <f t="shared" si="241"/>
        <v>0.01</v>
      </c>
      <c r="Q122" s="277">
        <f t="shared" ref="Q122:T122" si="242">Q33</f>
        <v>0.01</v>
      </c>
      <c r="R122" s="277">
        <f t="shared" si="242"/>
        <v>0.01</v>
      </c>
      <c r="S122" s="277">
        <f t="shared" si="242"/>
        <v>0.01</v>
      </c>
      <c r="T122" s="277">
        <f t="shared" si="242"/>
        <v>0.01</v>
      </c>
    </row>
    <row r="124" spans="2:20">
      <c r="B124" s="180" t="s">
        <v>355</v>
      </c>
      <c r="C124" s="197"/>
      <c r="D124" s="197"/>
      <c r="E124" s="197"/>
      <c r="F124" s="197"/>
      <c r="G124" s="197"/>
      <c r="H124" s="197"/>
      <c r="I124" s="197">
        <f t="shared" ref="I124:N124" si="243">H133</f>
        <v>0</v>
      </c>
      <c r="J124" s="197">
        <f t="shared" si="243"/>
        <v>63.691209036059988</v>
      </c>
      <c r="K124" s="197">
        <f t="shared" si="243"/>
        <v>183.8022140765631</v>
      </c>
      <c r="L124" s="197">
        <f t="shared" si="243"/>
        <v>299.14062451996415</v>
      </c>
      <c r="M124" s="197">
        <f t="shared" si="243"/>
        <v>404.48897328924562</v>
      </c>
      <c r="N124" s="197">
        <f t="shared" si="243"/>
        <v>500.24984779295977</v>
      </c>
      <c r="O124" s="197">
        <f t="shared" ref="O124" si="244">N133</f>
        <v>586.80419006984346</v>
      </c>
      <c r="P124" s="197">
        <f t="shared" ref="P124" si="245">O133</f>
        <v>664.51235842888843</v>
      </c>
      <c r="Q124" s="197">
        <f t="shared" ref="Q124" si="246">P133</f>
        <v>732.57704246600679</v>
      </c>
      <c r="R124" s="197">
        <f t="shared" ref="R124" si="247">Q133</f>
        <v>791.35455004142909</v>
      </c>
      <c r="S124" s="197">
        <f t="shared" ref="S124" si="248">R133</f>
        <v>841.18143210284757</v>
      </c>
      <c r="T124" s="197">
        <f t="shared" ref="T124" si="249">S133</f>
        <v>882.37544428728779</v>
      </c>
    </row>
    <row r="125" spans="2:20">
      <c r="B125" s="198" t="s">
        <v>90</v>
      </c>
      <c r="C125" s="199"/>
      <c r="D125" s="199"/>
      <c r="E125" s="199"/>
      <c r="F125" s="199"/>
      <c r="G125" s="199"/>
      <c r="H125" s="199"/>
      <c r="I125" s="199">
        <f t="shared" ref="I125:N125" si="250">I124/I121</f>
        <v>0</v>
      </c>
      <c r="J125" s="199">
        <f t="shared" si="250"/>
        <v>5.9405940594059403E-2</v>
      </c>
      <c r="K125" s="199">
        <f t="shared" si="250"/>
        <v>0.16973826095480835</v>
      </c>
      <c r="L125" s="199">
        <f t="shared" si="250"/>
        <v>0.27351618604660188</v>
      </c>
      <c r="M125" s="199">
        <f t="shared" si="250"/>
        <v>0.36617859083591264</v>
      </c>
      <c r="N125" s="199">
        <f t="shared" si="250"/>
        <v>0.44838580326150196</v>
      </c>
      <c r="O125" s="199">
        <f t="shared" ref="O125:P125" si="251">O124/O121</f>
        <v>0.52075892385982858</v>
      </c>
      <c r="P125" s="199">
        <f t="shared" si="251"/>
        <v>0.58388215610577932</v>
      </c>
      <c r="Q125" s="199">
        <f t="shared" ref="Q125:T125" si="252">Q124/Q121</f>
        <v>0.63731489930741625</v>
      </c>
      <c r="R125" s="199">
        <f t="shared" si="252"/>
        <v>0.68163282608123321</v>
      </c>
      <c r="S125" s="199">
        <f t="shared" si="252"/>
        <v>0.7173774106704669</v>
      </c>
      <c r="T125" s="199">
        <f t="shared" si="252"/>
        <v>0.74505796053162732</v>
      </c>
    </row>
    <row r="126" spans="2:20">
      <c r="B126" s="181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</row>
    <row r="127" spans="2:20">
      <c r="B127" s="181" t="s">
        <v>101</v>
      </c>
      <c r="C127" s="41"/>
      <c r="D127" s="41"/>
      <c r="E127" s="41"/>
      <c r="F127" s="41"/>
      <c r="G127" s="41"/>
      <c r="H127" s="41"/>
      <c r="I127" s="41">
        <f t="shared" ref="I127:N127" si="253">I128*I121</f>
        <v>63.691209036059988</v>
      </c>
      <c r="J127" s="41">
        <f t="shared" si="253"/>
        <v>123.29556549230612</v>
      </c>
      <c r="K127" s="41">
        <f t="shared" si="253"/>
        <v>124.5285211472292</v>
      </c>
      <c r="L127" s="41">
        <f t="shared" si="253"/>
        <v>120.30537999527969</v>
      </c>
      <c r="M127" s="41">
        <f t="shared" si="253"/>
        <v>115.98532316817646</v>
      </c>
      <c r="N127" s="41">
        <f t="shared" si="253"/>
        <v>111.56683466653163</v>
      </c>
      <c r="O127" s="41">
        <f t="shared" ref="O127:P127" si="254">O128*O121</f>
        <v>107.04837786253711</v>
      </c>
      <c r="P127" s="41">
        <f t="shared" si="254"/>
        <v>101.29030195856274</v>
      </c>
      <c r="Q127" s="41">
        <f t="shared" ref="Q127:T127" si="255">Q128*Q121</f>
        <v>95.406359698722625</v>
      </c>
      <c r="R127" s="41">
        <f t="shared" si="255"/>
        <v>89.394609563489851</v>
      </c>
      <c r="S127" s="41">
        <f t="shared" si="255"/>
        <v>83.253083789582547</v>
      </c>
      <c r="T127" s="41">
        <f t="shared" si="255"/>
        <v>76.979788039240759</v>
      </c>
    </row>
    <row r="128" spans="2:20">
      <c r="B128" s="198" t="s">
        <v>102</v>
      </c>
      <c r="C128" s="202"/>
      <c r="D128" s="202"/>
      <c r="E128" s="202"/>
      <c r="F128" s="202"/>
      <c r="G128" s="202"/>
      <c r="H128" s="291"/>
      <c r="I128" s="291">
        <f t="shared" ref="I128:N128" si="256">CHOOSE($H$3,I26,I27,I28)</f>
        <v>0.06</v>
      </c>
      <c r="J128" s="291">
        <f t="shared" si="256"/>
        <v>0.115</v>
      </c>
      <c r="K128" s="291">
        <f t="shared" si="256"/>
        <v>0.115</v>
      </c>
      <c r="L128" s="291">
        <f t="shared" si="256"/>
        <v>0.11</v>
      </c>
      <c r="M128" s="291">
        <f t="shared" si="256"/>
        <v>0.105</v>
      </c>
      <c r="N128" s="291">
        <f t="shared" si="256"/>
        <v>9.9999999999999992E-2</v>
      </c>
      <c r="O128" s="291">
        <f t="shared" ref="O128:P128" si="257">CHOOSE($H$3,O26,O27,O28)</f>
        <v>9.4999999999999987E-2</v>
      </c>
      <c r="P128" s="291">
        <f t="shared" si="257"/>
        <v>8.8999999999999982E-2</v>
      </c>
      <c r="Q128" s="291">
        <f t="shared" ref="Q128:T128" si="258">CHOOSE($H$3,Q26,Q27,Q28)</f>
        <v>8.2999999999999977E-2</v>
      </c>
      <c r="R128" s="291">
        <f t="shared" si="258"/>
        <v>7.6999999999999971E-2</v>
      </c>
      <c r="S128" s="291">
        <f t="shared" si="258"/>
        <v>7.0999999999999966E-2</v>
      </c>
      <c r="T128" s="291">
        <f t="shared" si="258"/>
        <v>6.4999999999999961E-2</v>
      </c>
    </row>
    <row r="129" spans="2:20">
      <c r="B129" s="198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</row>
    <row r="130" spans="2:20">
      <c r="B130" s="181" t="s">
        <v>91</v>
      </c>
      <c r="C130" s="41"/>
      <c r="D130" s="41"/>
      <c r="E130" s="41"/>
      <c r="F130" s="41"/>
      <c r="G130" s="41"/>
      <c r="H130" s="41"/>
      <c r="I130" s="41">
        <f t="shared" ref="I130:N130" si="259">I131*I124</f>
        <v>0</v>
      </c>
      <c r="J130" s="41">
        <f t="shared" si="259"/>
        <v>3.1845604518029997</v>
      </c>
      <c r="K130" s="41">
        <f t="shared" si="259"/>
        <v>9.1901107038281555</v>
      </c>
      <c r="L130" s="41">
        <f t="shared" si="259"/>
        <v>14.957031225998207</v>
      </c>
      <c r="M130" s="41">
        <f t="shared" si="259"/>
        <v>20.224448664462283</v>
      </c>
      <c r="N130" s="41">
        <f t="shared" si="259"/>
        <v>25.012492389647988</v>
      </c>
      <c r="O130" s="41">
        <f t="shared" ref="O130:P130" si="260">O131*O124</f>
        <v>29.340209503492176</v>
      </c>
      <c r="P130" s="41">
        <f t="shared" si="260"/>
        <v>33.225617921444424</v>
      </c>
      <c r="Q130" s="41">
        <f t="shared" ref="Q130:T130" si="261">Q131*Q124</f>
        <v>36.628852123300341</v>
      </c>
      <c r="R130" s="41">
        <f t="shared" si="261"/>
        <v>39.567727502071456</v>
      </c>
      <c r="S130" s="41">
        <f t="shared" si="261"/>
        <v>42.059071605142378</v>
      </c>
      <c r="T130" s="41">
        <f t="shared" si="261"/>
        <v>44.118772214364391</v>
      </c>
    </row>
    <row r="131" spans="2:20">
      <c r="B131" s="198" t="s">
        <v>92</v>
      </c>
      <c r="C131" s="48"/>
      <c r="D131" s="48"/>
      <c r="E131" s="48"/>
      <c r="F131" s="203"/>
      <c r="G131" s="203"/>
      <c r="H131" s="276"/>
      <c r="I131" s="276">
        <f t="shared" ref="I131:N131" si="262">I42</f>
        <v>0.05</v>
      </c>
      <c r="J131" s="276">
        <f t="shared" si="262"/>
        <v>0.05</v>
      </c>
      <c r="K131" s="276">
        <f t="shared" si="262"/>
        <v>0.05</v>
      </c>
      <c r="L131" s="276">
        <f t="shared" si="262"/>
        <v>0.05</v>
      </c>
      <c r="M131" s="276">
        <f t="shared" si="262"/>
        <v>0.05</v>
      </c>
      <c r="N131" s="276">
        <f t="shared" si="262"/>
        <v>0.05</v>
      </c>
      <c r="O131" s="276">
        <f t="shared" ref="O131:P131" si="263">O42</f>
        <v>0.05</v>
      </c>
      <c r="P131" s="276">
        <f t="shared" si="263"/>
        <v>0.05</v>
      </c>
      <c r="Q131" s="276">
        <f t="shared" ref="Q131:T131" si="264">Q42</f>
        <v>0.05</v>
      </c>
      <c r="R131" s="276">
        <f t="shared" si="264"/>
        <v>0.05</v>
      </c>
      <c r="S131" s="276">
        <f t="shared" si="264"/>
        <v>0.05</v>
      </c>
      <c r="T131" s="276">
        <f t="shared" si="264"/>
        <v>0.05</v>
      </c>
    </row>
    <row r="132" spans="2:20">
      <c r="B132" s="181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</row>
    <row r="133" spans="2:20">
      <c r="B133" s="181" t="s">
        <v>356</v>
      </c>
      <c r="C133" s="41"/>
      <c r="D133" s="41"/>
      <c r="E133" s="41"/>
      <c r="F133" s="41"/>
      <c r="G133" s="41"/>
      <c r="H133" s="41"/>
      <c r="I133" s="41">
        <f t="shared" ref="I133:N133" si="265">I124+I127-I130</f>
        <v>63.691209036059988</v>
      </c>
      <c r="J133" s="41">
        <f t="shared" si="265"/>
        <v>183.8022140765631</v>
      </c>
      <c r="K133" s="41">
        <f t="shared" si="265"/>
        <v>299.14062451996415</v>
      </c>
      <c r="L133" s="41">
        <f t="shared" si="265"/>
        <v>404.48897328924562</v>
      </c>
      <c r="M133" s="41">
        <f t="shared" si="265"/>
        <v>500.24984779295977</v>
      </c>
      <c r="N133" s="41">
        <f t="shared" si="265"/>
        <v>586.80419006984346</v>
      </c>
      <c r="O133" s="41">
        <f t="shared" ref="O133:P133" si="266">O124+O127-O130</f>
        <v>664.51235842888843</v>
      </c>
      <c r="P133" s="41">
        <f t="shared" si="266"/>
        <v>732.57704246600679</v>
      </c>
      <c r="Q133" s="41">
        <f t="shared" ref="Q133:T133" si="267">Q124+Q127-Q130</f>
        <v>791.35455004142909</v>
      </c>
      <c r="R133" s="41">
        <f t="shared" si="267"/>
        <v>841.18143210284757</v>
      </c>
      <c r="S133" s="41">
        <f t="shared" si="267"/>
        <v>882.37544428728779</v>
      </c>
      <c r="T133" s="41">
        <f t="shared" si="267"/>
        <v>915.23646011216408</v>
      </c>
    </row>
    <row r="134" spans="2:20">
      <c r="B134" s="204" t="s">
        <v>93</v>
      </c>
      <c r="C134" s="205"/>
      <c r="D134" s="205"/>
      <c r="E134" s="205"/>
      <c r="F134" s="205"/>
      <c r="G134" s="205"/>
      <c r="H134" s="274"/>
      <c r="I134" s="274">
        <f t="shared" ref="I134:N134" si="268">I133/I121</f>
        <v>0.06</v>
      </c>
      <c r="J134" s="274">
        <f t="shared" si="268"/>
        <v>0.17143564356435642</v>
      </c>
      <c r="K134" s="274">
        <f t="shared" si="268"/>
        <v>0.27625134790706796</v>
      </c>
      <c r="L134" s="274">
        <f t="shared" si="268"/>
        <v>0.36984037674427178</v>
      </c>
      <c r="M134" s="274">
        <f t="shared" si="268"/>
        <v>0.45286966129411699</v>
      </c>
      <c r="N134" s="274">
        <f t="shared" si="268"/>
        <v>0.5259665130984269</v>
      </c>
      <c r="O134" s="274">
        <f t="shared" ref="O134:P134" si="269">O133/O121</f>
        <v>0.58972097766683718</v>
      </c>
      <c r="P134" s="274">
        <f t="shared" si="269"/>
        <v>0.64368804830049042</v>
      </c>
      <c r="Q134" s="274">
        <f t="shared" ref="Q134:T134" si="270">Q133/Q121</f>
        <v>0.68844915434204546</v>
      </c>
      <c r="R134" s="274">
        <f t="shared" si="270"/>
        <v>0.72455118477717151</v>
      </c>
      <c r="S134" s="274">
        <f t="shared" si="270"/>
        <v>0.75250854013694357</v>
      </c>
      <c r="T134" s="274">
        <f t="shared" si="270"/>
        <v>0.77280506250504588</v>
      </c>
    </row>
    <row r="135" spans="2:20">
      <c r="B135" s="206"/>
    </row>
    <row r="136" spans="2:20">
      <c r="B136" s="24" t="s">
        <v>94</v>
      </c>
      <c r="F136" s="37"/>
      <c r="G136" s="37"/>
      <c r="H136" s="201"/>
      <c r="I136" s="201">
        <f t="shared" ref="I136:N137" si="271">I47</f>
        <v>6</v>
      </c>
      <c r="J136" s="201">
        <f t="shared" si="271"/>
        <v>6</v>
      </c>
      <c r="K136" s="201">
        <f t="shared" si="271"/>
        <v>6</v>
      </c>
      <c r="L136" s="201">
        <f t="shared" si="271"/>
        <v>6</v>
      </c>
      <c r="M136" s="201">
        <f t="shared" si="271"/>
        <v>6</v>
      </c>
      <c r="N136" s="201">
        <f t="shared" si="271"/>
        <v>6</v>
      </c>
      <c r="O136" s="201">
        <f t="shared" ref="O136:P136" si="272">O47</f>
        <v>6</v>
      </c>
      <c r="P136" s="201">
        <f t="shared" si="272"/>
        <v>6</v>
      </c>
      <c r="Q136" s="201">
        <f t="shared" ref="Q136:T136" si="273">Q47</f>
        <v>6</v>
      </c>
      <c r="R136" s="201">
        <f t="shared" si="273"/>
        <v>6</v>
      </c>
      <c r="S136" s="201">
        <f t="shared" si="273"/>
        <v>6</v>
      </c>
      <c r="T136" s="201">
        <f t="shared" si="273"/>
        <v>6</v>
      </c>
    </row>
    <row r="137" spans="2:20">
      <c r="B137" s="24" t="s">
        <v>95</v>
      </c>
      <c r="F137" s="37"/>
      <c r="G137" s="37"/>
      <c r="H137" s="201"/>
      <c r="I137" s="201">
        <f t="shared" si="271"/>
        <v>11</v>
      </c>
      <c r="J137" s="201">
        <f t="shared" si="271"/>
        <v>11</v>
      </c>
      <c r="K137" s="201">
        <f t="shared" si="271"/>
        <v>11</v>
      </c>
      <c r="L137" s="201">
        <f t="shared" si="271"/>
        <v>11</v>
      </c>
      <c r="M137" s="201">
        <f t="shared" si="271"/>
        <v>11</v>
      </c>
      <c r="N137" s="201">
        <f t="shared" si="271"/>
        <v>11</v>
      </c>
      <c r="O137" s="201">
        <f t="shared" ref="O137:P137" si="274">O48</f>
        <v>11</v>
      </c>
      <c r="P137" s="201">
        <f t="shared" si="274"/>
        <v>11</v>
      </c>
      <c r="Q137" s="201">
        <f t="shared" ref="Q137:T137" si="275">Q48</f>
        <v>11</v>
      </c>
      <c r="R137" s="201">
        <f t="shared" si="275"/>
        <v>11</v>
      </c>
      <c r="S137" s="201">
        <f t="shared" si="275"/>
        <v>11</v>
      </c>
      <c r="T137" s="201">
        <f t="shared" si="275"/>
        <v>11</v>
      </c>
    </row>
    <row r="138" spans="2:20">
      <c r="B138" s="206"/>
    </row>
    <row r="139" spans="2:20">
      <c r="B139" s="24" t="s">
        <v>104</v>
      </c>
      <c r="C139" s="41"/>
      <c r="D139" s="41"/>
      <c r="E139" s="41"/>
      <c r="F139" s="38"/>
      <c r="G139" s="38"/>
      <c r="H139" s="41"/>
      <c r="I139" s="41">
        <f>+I99</f>
        <v>30300</v>
      </c>
      <c r="J139" s="41">
        <f t="shared" ref="J139:P139" si="276">I139*(1+J140)</f>
        <v>30300</v>
      </c>
      <c r="K139" s="41">
        <f t="shared" si="276"/>
        <v>30300</v>
      </c>
      <c r="L139" s="41">
        <f t="shared" si="276"/>
        <v>30300</v>
      </c>
      <c r="M139" s="41">
        <f t="shared" si="276"/>
        <v>30300</v>
      </c>
      <c r="N139" s="41">
        <f t="shared" si="276"/>
        <v>30300</v>
      </c>
      <c r="O139" s="41">
        <f t="shared" si="276"/>
        <v>30300</v>
      </c>
      <c r="P139" s="41">
        <f t="shared" si="276"/>
        <v>30300</v>
      </c>
      <c r="Q139" s="41">
        <f t="shared" ref="Q139" si="277">P139*(1+Q140)</f>
        <v>30300</v>
      </c>
      <c r="R139" s="41">
        <f t="shared" ref="R139" si="278">Q139*(1+R140)</f>
        <v>30300</v>
      </c>
      <c r="S139" s="41">
        <f t="shared" ref="S139" si="279">R139*(1+S140)</f>
        <v>30300</v>
      </c>
      <c r="T139" s="41">
        <f t="shared" ref="T139" si="280">S139*(1+T140)</f>
        <v>30300</v>
      </c>
    </row>
    <row r="140" spans="2:20">
      <c r="B140" s="198" t="s">
        <v>96</v>
      </c>
      <c r="C140" s="194"/>
      <c r="D140" s="207"/>
      <c r="E140" s="207"/>
      <c r="F140" s="207"/>
      <c r="G140" s="207"/>
      <c r="H140" s="275"/>
      <c r="I140" s="275">
        <f t="shared" ref="I140:N140" si="281">H140</f>
        <v>0</v>
      </c>
      <c r="J140" s="275">
        <f t="shared" si="281"/>
        <v>0</v>
      </c>
      <c r="K140" s="275">
        <f t="shared" si="281"/>
        <v>0</v>
      </c>
      <c r="L140" s="275">
        <f t="shared" si="281"/>
        <v>0</v>
      </c>
      <c r="M140" s="275">
        <f t="shared" si="281"/>
        <v>0</v>
      </c>
      <c r="N140" s="275">
        <f t="shared" si="281"/>
        <v>0</v>
      </c>
      <c r="O140" s="275">
        <f t="shared" ref="O140" si="282">N140</f>
        <v>0</v>
      </c>
      <c r="P140" s="275">
        <f t="shared" ref="P140" si="283">O140</f>
        <v>0</v>
      </c>
      <c r="Q140" s="275">
        <f t="shared" ref="Q140" si="284">P140</f>
        <v>0</v>
      </c>
      <c r="R140" s="275">
        <f t="shared" ref="R140" si="285">Q140</f>
        <v>0</v>
      </c>
      <c r="S140" s="275">
        <f t="shared" ref="S140" si="286">R140</f>
        <v>0</v>
      </c>
      <c r="T140" s="275">
        <f t="shared" ref="T140" si="287">S140</f>
        <v>0</v>
      </c>
    </row>
    <row r="141" spans="2:20">
      <c r="B141" s="24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</row>
    <row r="142" spans="2:20">
      <c r="B142" s="294" t="s">
        <v>374</v>
      </c>
      <c r="C142" s="18"/>
      <c r="D142" s="18"/>
      <c r="E142" s="18"/>
      <c r="F142" s="259"/>
      <c r="G142" s="259"/>
      <c r="H142" s="259"/>
      <c r="I142" s="259">
        <f t="shared" ref="I142:N142" si="288">I124*I137*I139/1000000+I127*I136*I139/1000000</f>
        <v>11.579061802755705</v>
      </c>
      <c r="J142" s="259">
        <f t="shared" si="288"/>
        <v>43.643413778220051</v>
      </c>
      <c r="K142" s="259">
        <f t="shared" si="288"/>
        <v>83.900563096284756</v>
      </c>
      <c r="L142" s="259">
        <f t="shared" si="288"/>
        <v>121.57508823564591</v>
      </c>
      <c r="M142" s="259">
        <f t="shared" si="288"/>
        <v>155.90230654928007</v>
      </c>
      <c r="N142" s="259">
        <f t="shared" si="288"/>
        <v>187.01612481176895</v>
      </c>
      <c r="O142" s="259">
        <f t="shared" ref="O142" si="289">O124*O137*O139/1000000+O127*O136*O139/1000000</f>
        <v>215.04323164568808</v>
      </c>
      <c r="P142" s="259">
        <f t="shared" ref="P142:T142" si="290">P124*P137*P139/1000000+P127*P136*P139/1000000</f>
        <v>239.89654596041524</v>
      </c>
      <c r="Q142" s="259">
        <f t="shared" si="290"/>
        <v>261.5128044471478</v>
      </c>
      <c r="R142" s="259">
        <f t="shared" si="290"/>
        <v>280.01041154745081</v>
      </c>
      <c r="S142" s="259">
        <f t="shared" si="290"/>
        <v>295.50118195282522</v>
      </c>
      <c r="T142" s="295">
        <f t="shared" si="290"/>
        <v>308.09066104648696</v>
      </c>
    </row>
    <row r="143" spans="2:20"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</row>
    <row r="144" spans="2:20">
      <c r="B144" s="294" t="s">
        <v>390</v>
      </c>
      <c r="C144" s="18"/>
      <c r="D144" s="18"/>
      <c r="E144" s="18"/>
      <c r="F144" s="259"/>
      <c r="G144" s="259"/>
      <c r="H144" s="259"/>
      <c r="I144" s="259">
        <f t="shared" ref="I144:N144" si="291">I142*I145</f>
        <v>1.7368592704133556</v>
      </c>
      <c r="J144" s="259">
        <f t="shared" si="291"/>
        <v>7.4193803422974076</v>
      </c>
      <c r="K144" s="259">
        <f t="shared" si="291"/>
        <v>15.941106988294102</v>
      </c>
      <c r="L144" s="259">
        <f t="shared" si="291"/>
        <v>25.530768529485638</v>
      </c>
      <c r="M144" s="259">
        <f t="shared" si="291"/>
        <v>35.857530506334406</v>
      </c>
      <c r="N144" s="259">
        <f t="shared" si="291"/>
        <v>46.75403120294223</v>
      </c>
      <c r="O144" s="259">
        <f t="shared" ref="O144" si="292">O142*O145</f>
        <v>53.760807911422006</v>
      </c>
      <c r="P144" s="259">
        <f t="shared" ref="P144:T144" si="293">P142*P145</f>
        <v>59.974136490103795</v>
      </c>
      <c r="Q144" s="259">
        <f t="shared" si="293"/>
        <v>65.378201111786936</v>
      </c>
      <c r="R144" s="259">
        <f t="shared" si="293"/>
        <v>70.00260288686269</v>
      </c>
      <c r="S144" s="259">
        <f t="shared" si="293"/>
        <v>73.875295488206291</v>
      </c>
      <c r="T144" s="295">
        <f t="shared" si="293"/>
        <v>77.022665261621725</v>
      </c>
    </row>
    <row r="145" spans="2:20">
      <c r="B145" s="262" t="s">
        <v>439</v>
      </c>
      <c r="F145" s="48"/>
      <c r="G145" s="48"/>
      <c r="H145" s="199"/>
      <c r="I145" s="199">
        <f t="shared" ref="I145:T145" si="294">I117</f>
        <v>0.15</v>
      </c>
      <c r="J145" s="199">
        <f t="shared" si="294"/>
        <v>0.16999999999999998</v>
      </c>
      <c r="K145" s="199">
        <f t="shared" si="294"/>
        <v>0.18999999999999997</v>
      </c>
      <c r="L145" s="199">
        <f t="shared" si="294"/>
        <v>0.20999999999999996</v>
      </c>
      <c r="M145" s="199">
        <f t="shared" si="294"/>
        <v>0.22999999999999995</v>
      </c>
      <c r="N145" s="199">
        <f t="shared" si="294"/>
        <v>0.24999999999999994</v>
      </c>
      <c r="O145" s="199">
        <f t="shared" si="294"/>
        <v>0.24999999999999994</v>
      </c>
      <c r="P145" s="199">
        <f t="shared" si="294"/>
        <v>0.24999999999999994</v>
      </c>
      <c r="Q145" s="199">
        <f t="shared" si="294"/>
        <v>0.24999999999999994</v>
      </c>
      <c r="R145" s="199">
        <f t="shared" si="294"/>
        <v>0.24999999999999994</v>
      </c>
      <c r="S145" s="199">
        <f t="shared" si="294"/>
        <v>0.24999999999999994</v>
      </c>
      <c r="T145" s="199">
        <f t="shared" si="294"/>
        <v>0.24999999999999994</v>
      </c>
    </row>
    <row r="147" spans="2:20">
      <c r="B147" s="191" t="s">
        <v>357</v>
      </c>
      <c r="C147" s="187">
        <v>2013</v>
      </c>
      <c r="D147" s="187">
        <v>2014</v>
      </c>
      <c r="E147" s="187">
        <v>2015</v>
      </c>
      <c r="F147" s="187">
        <v>2016</v>
      </c>
      <c r="G147" s="187">
        <v>2017</v>
      </c>
      <c r="H147" s="187">
        <v>2018</v>
      </c>
      <c r="I147" s="187">
        <v>2019</v>
      </c>
      <c r="J147" s="187">
        <v>2020</v>
      </c>
      <c r="K147" s="187">
        <v>2021</v>
      </c>
      <c r="L147" s="187">
        <v>2022</v>
      </c>
      <c r="M147" s="187">
        <v>2023</v>
      </c>
      <c r="N147" s="187">
        <v>2024</v>
      </c>
      <c r="O147" s="187">
        <v>2025</v>
      </c>
      <c r="P147" s="5">
        <v>2026</v>
      </c>
      <c r="Q147" s="5">
        <v>2027</v>
      </c>
      <c r="R147" s="5">
        <v>2028</v>
      </c>
      <c r="S147" s="5">
        <v>2029</v>
      </c>
      <c r="T147" s="285">
        <v>2030</v>
      </c>
    </row>
    <row r="148" spans="2:20">
      <c r="B148" s="290" t="s">
        <v>382</v>
      </c>
      <c r="C148" s="263"/>
      <c r="D148" s="263"/>
      <c r="E148" s="263"/>
      <c r="F148" s="289"/>
      <c r="G148" s="289"/>
      <c r="H148" s="289">
        <f>H55</f>
        <v>33.388697473586824</v>
      </c>
      <c r="I148" s="289">
        <f t="shared" ref="I148:N148" si="295">I55</f>
        <v>127.10604121646961</v>
      </c>
      <c r="J148" s="289">
        <f t="shared" si="295"/>
        <v>246.79350634772163</v>
      </c>
      <c r="K148" s="289">
        <f t="shared" si="295"/>
        <v>361.18925326560395</v>
      </c>
      <c r="L148" s="289">
        <f t="shared" si="295"/>
        <v>467.80422607247294</v>
      </c>
      <c r="M148" s="289">
        <f t="shared" si="295"/>
        <v>566.77675155510417</v>
      </c>
      <c r="N148" s="289">
        <f t="shared" si="295"/>
        <v>658.23371884491485</v>
      </c>
      <c r="O148" s="289">
        <f t="shared" ref="O148" si="296">O55</f>
        <v>741.65122203988153</v>
      </c>
      <c r="P148" s="289">
        <f t="shared" ref="P148:T148" si="297">P55</f>
        <v>816.56366965617019</v>
      </c>
      <c r="Q148" s="289">
        <f t="shared" si="297"/>
        <v>883.06495345524843</v>
      </c>
      <c r="R148" s="289">
        <f t="shared" si="297"/>
        <v>941.23716116659989</v>
      </c>
      <c r="S148" s="289">
        <f t="shared" si="297"/>
        <v>991.15083412406545</v>
      </c>
      <c r="T148" s="288">
        <f t="shared" si="297"/>
        <v>1032.8652088393987</v>
      </c>
    </row>
    <row r="149" spans="2:20">
      <c r="B149" s="50" t="s">
        <v>383</v>
      </c>
      <c r="C149" s="93"/>
      <c r="D149" s="93"/>
      <c r="E149" s="93"/>
      <c r="F149" s="220"/>
      <c r="G149" s="220"/>
      <c r="H149" s="220">
        <f>H111</f>
        <v>35.698607361696595</v>
      </c>
      <c r="I149" s="220">
        <f t="shared" ref="I149:N149" si="298">I111</f>
        <v>178.16650806020883</v>
      </c>
      <c r="J149" s="220">
        <f t="shared" si="298"/>
        <v>411.07736841267638</v>
      </c>
      <c r="K149" s="220">
        <f t="shared" si="298"/>
        <v>655.31130794375724</v>
      </c>
      <c r="L149" s="220">
        <f t="shared" si="298"/>
        <v>885.00079996076659</v>
      </c>
      <c r="M149" s="220">
        <f t="shared" si="298"/>
        <v>1098.5508136675965</v>
      </c>
      <c r="N149" s="220">
        <f t="shared" si="298"/>
        <v>1296.2366290490006</v>
      </c>
      <c r="O149" s="220">
        <f t="shared" ref="O149" si="299">O111</f>
        <v>1477.4292176343686</v>
      </c>
      <c r="P149" s="220">
        <f t="shared" ref="P149:T149" si="300">P111</f>
        <v>1641.1126070749642</v>
      </c>
      <c r="Q149" s="220">
        <f t="shared" si="300"/>
        <v>1787.0829632866726</v>
      </c>
      <c r="R149" s="220">
        <f t="shared" si="300"/>
        <v>1915.5217890844249</v>
      </c>
      <c r="S149" s="220">
        <f t="shared" si="300"/>
        <v>2026.5861722315535</v>
      </c>
      <c r="T149" s="221">
        <f t="shared" si="300"/>
        <v>2120.4093047679098</v>
      </c>
    </row>
    <row r="150" spans="2:20">
      <c r="B150" s="50" t="s">
        <v>384</v>
      </c>
      <c r="C150" s="93"/>
      <c r="D150" s="93"/>
      <c r="E150" s="93"/>
      <c r="F150" s="220"/>
      <c r="G150" s="220"/>
      <c r="H150" s="220">
        <f>H142</f>
        <v>0</v>
      </c>
      <c r="I150" s="220">
        <f t="shared" ref="I150:N150" si="301">I142</f>
        <v>11.579061802755705</v>
      </c>
      <c r="J150" s="220">
        <f t="shared" si="301"/>
        <v>43.643413778220051</v>
      </c>
      <c r="K150" s="220">
        <f t="shared" si="301"/>
        <v>83.900563096284756</v>
      </c>
      <c r="L150" s="220">
        <f t="shared" si="301"/>
        <v>121.57508823564591</v>
      </c>
      <c r="M150" s="220">
        <f t="shared" si="301"/>
        <v>155.90230654928007</v>
      </c>
      <c r="N150" s="220">
        <f t="shared" si="301"/>
        <v>187.01612481176895</v>
      </c>
      <c r="O150" s="220">
        <f t="shared" ref="O150" si="302">O142</f>
        <v>215.04323164568808</v>
      </c>
      <c r="P150" s="220">
        <f t="shared" ref="P150:T150" si="303">P142</f>
        <v>239.89654596041524</v>
      </c>
      <c r="Q150" s="220">
        <f t="shared" si="303"/>
        <v>261.5128044471478</v>
      </c>
      <c r="R150" s="220">
        <f t="shared" si="303"/>
        <v>280.01041154745081</v>
      </c>
      <c r="S150" s="220">
        <f t="shared" si="303"/>
        <v>295.50118195282522</v>
      </c>
      <c r="T150" s="221">
        <f t="shared" si="303"/>
        <v>308.09066104648696</v>
      </c>
    </row>
    <row r="151" spans="2:20">
      <c r="B151" s="50" t="s">
        <v>385</v>
      </c>
      <c r="C151" s="93"/>
      <c r="D151" s="93"/>
      <c r="E151" s="93"/>
      <c r="F151" s="220"/>
      <c r="G151" s="220"/>
      <c r="H151" s="220">
        <f>H116</f>
        <v>0</v>
      </c>
      <c r="I151" s="220">
        <f t="shared" ref="I151:N151" si="304">I116</f>
        <v>2.3832382728088048</v>
      </c>
      <c r="J151" s="220">
        <f t="shared" si="304"/>
        <v>8.3909792158225347</v>
      </c>
      <c r="K151" s="220">
        <f t="shared" si="304"/>
        <v>17.156489530116186</v>
      </c>
      <c r="L151" s="220">
        <f t="shared" si="304"/>
        <v>29.471666242565785</v>
      </c>
      <c r="M151" s="220">
        <f t="shared" si="304"/>
        <v>40.411182385878924</v>
      </c>
      <c r="N151" s="220">
        <f t="shared" si="304"/>
        <v>52.658697507593175</v>
      </c>
      <c r="O151" s="220">
        <f t="shared" ref="O151" si="305">O116</f>
        <v>61.186225818290218</v>
      </c>
      <c r="P151" s="220">
        <f t="shared" ref="P151:T151" si="306">P116</f>
        <v>69.407911920774453</v>
      </c>
      <c r="Q151" s="220">
        <f t="shared" si="306"/>
        <v>77.268183427334236</v>
      </c>
      <c r="R151" s="220">
        <f t="shared" si="306"/>
        <v>84.711344504993988</v>
      </c>
      <c r="S151" s="220">
        <f t="shared" si="306"/>
        <v>91.681452156476055</v>
      </c>
      <c r="T151" s="221">
        <f t="shared" si="306"/>
        <v>98.122194839742875</v>
      </c>
    </row>
    <row r="152" spans="2:20">
      <c r="B152" s="51" t="s">
        <v>200</v>
      </c>
      <c r="C152" s="287"/>
      <c r="D152" s="287"/>
      <c r="E152" s="287"/>
      <c r="F152" s="286"/>
      <c r="G152" s="286"/>
      <c r="H152" s="286">
        <f>SUM(H148:H151)</f>
        <v>69.087304835283419</v>
      </c>
      <c r="I152" s="286">
        <f t="shared" ref="I152:N152" si="307">SUM(I148:I151)</f>
        <v>319.23484935224292</v>
      </c>
      <c r="J152" s="286">
        <f t="shared" si="307"/>
        <v>709.90526775444062</v>
      </c>
      <c r="K152" s="286">
        <f t="shared" si="307"/>
        <v>1117.5576138357621</v>
      </c>
      <c r="L152" s="286">
        <f t="shared" si="307"/>
        <v>1503.8517805114511</v>
      </c>
      <c r="M152" s="286">
        <f t="shared" si="307"/>
        <v>1861.6410541578598</v>
      </c>
      <c r="N152" s="286">
        <f t="shared" si="307"/>
        <v>2194.1451702132777</v>
      </c>
      <c r="O152" s="286">
        <f t="shared" ref="O152" si="308">SUM(O148:O151)</f>
        <v>2495.3098971382283</v>
      </c>
      <c r="P152" s="286">
        <f t="shared" ref="P152:T152" si="309">SUM(P148:P151)</f>
        <v>2766.9807346123239</v>
      </c>
      <c r="Q152" s="286">
        <f t="shared" si="309"/>
        <v>3008.9289046164031</v>
      </c>
      <c r="R152" s="286">
        <f t="shared" si="309"/>
        <v>3221.4807063034696</v>
      </c>
      <c r="S152" s="286">
        <f t="shared" si="309"/>
        <v>3404.9196404649206</v>
      </c>
      <c r="T152" s="223">
        <f t="shared" si="309"/>
        <v>3559.4873694935382</v>
      </c>
    </row>
    <row r="154" spans="2:20">
      <c r="B154" s="191" t="s">
        <v>386</v>
      </c>
      <c r="C154" s="187">
        <v>2013</v>
      </c>
      <c r="D154" s="187">
        <v>2014</v>
      </c>
      <c r="E154" s="187">
        <v>2015</v>
      </c>
      <c r="F154" s="187">
        <v>2016</v>
      </c>
      <c r="G154" s="187">
        <v>2017</v>
      </c>
      <c r="H154" s="187">
        <v>2018</v>
      </c>
      <c r="I154" s="187">
        <v>2019</v>
      </c>
      <c r="J154" s="187">
        <v>2020</v>
      </c>
      <c r="K154" s="187">
        <v>2021</v>
      </c>
      <c r="L154" s="187">
        <v>2022</v>
      </c>
      <c r="M154" s="187">
        <v>2023</v>
      </c>
      <c r="N154" s="187">
        <v>2024</v>
      </c>
      <c r="O154" s="187">
        <v>2025</v>
      </c>
      <c r="P154" s="5">
        <v>2026</v>
      </c>
      <c r="Q154" s="5">
        <v>2027</v>
      </c>
      <c r="R154" s="5">
        <v>2028</v>
      </c>
      <c r="S154" s="5">
        <v>2029</v>
      </c>
      <c r="T154" s="285">
        <v>2030</v>
      </c>
    </row>
    <row r="155" spans="2:20">
      <c r="B155" s="290" t="s">
        <v>97</v>
      </c>
      <c r="C155" s="263"/>
      <c r="D155" s="263"/>
      <c r="E155" s="263"/>
      <c r="F155" s="289"/>
      <c r="G155" s="289"/>
      <c r="H155" s="289">
        <f>H148</f>
        <v>33.388697473586824</v>
      </c>
      <c r="I155" s="289">
        <f t="shared" ref="I155:N155" si="310">I148</f>
        <v>127.10604121646961</v>
      </c>
      <c r="J155" s="289">
        <f t="shared" si="310"/>
        <v>246.79350634772163</v>
      </c>
      <c r="K155" s="289">
        <f t="shared" si="310"/>
        <v>361.18925326560395</v>
      </c>
      <c r="L155" s="289">
        <f t="shared" si="310"/>
        <v>467.80422607247294</v>
      </c>
      <c r="M155" s="289">
        <f t="shared" si="310"/>
        <v>566.77675155510417</v>
      </c>
      <c r="N155" s="289">
        <f t="shared" si="310"/>
        <v>658.23371884491485</v>
      </c>
      <c r="O155" s="289">
        <f t="shared" ref="O155" si="311">O148</f>
        <v>741.65122203988153</v>
      </c>
      <c r="P155" s="289">
        <f t="shared" ref="P155:T155" si="312">P148</f>
        <v>816.56366965617019</v>
      </c>
      <c r="Q155" s="289">
        <f t="shared" si="312"/>
        <v>883.06495345524843</v>
      </c>
      <c r="R155" s="289">
        <f t="shared" si="312"/>
        <v>941.23716116659989</v>
      </c>
      <c r="S155" s="289">
        <f t="shared" si="312"/>
        <v>991.15083412406545</v>
      </c>
      <c r="T155" s="288">
        <f t="shared" si="312"/>
        <v>1032.8652088393987</v>
      </c>
    </row>
    <row r="156" spans="2:20">
      <c r="B156" s="50" t="s">
        <v>122</v>
      </c>
      <c r="C156" s="93"/>
      <c r="D156" s="93"/>
      <c r="E156" s="93"/>
      <c r="F156" s="220"/>
      <c r="G156" s="220"/>
      <c r="H156" s="220">
        <f>H149</f>
        <v>35.698607361696595</v>
      </c>
      <c r="I156" s="220">
        <f t="shared" ref="I156:N156" si="313">I149</f>
        <v>178.16650806020883</v>
      </c>
      <c r="J156" s="220">
        <f t="shared" si="313"/>
        <v>411.07736841267638</v>
      </c>
      <c r="K156" s="220">
        <f t="shared" si="313"/>
        <v>655.31130794375724</v>
      </c>
      <c r="L156" s="220">
        <f t="shared" si="313"/>
        <v>885.00079996076659</v>
      </c>
      <c r="M156" s="220">
        <f t="shared" si="313"/>
        <v>1098.5508136675965</v>
      </c>
      <c r="N156" s="220">
        <f t="shared" si="313"/>
        <v>1296.2366290490006</v>
      </c>
      <c r="O156" s="220">
        <f t="shared" ref="O156" si="314">O149</f>
        <v>1477.4292176343686</v>
      </c>
      <c r="P156" s="220">
        <f t="shared" ref="P156:T156" si="315">P149</f>
        <v>1641.1126070749642</v>
      </c>
      <c r="Q156" s="220">
        <f t="shared" si="315"/>
        <v>1787.0829632866726</v>
      </c>
      <c r="R156" s="220">
        <f t="shared" si="315"/>
        <v>1915.5217890844249</v>
      </c>
      <c r="S156" s="220">
        <f t="shared" si="315"/>
        <v>2026.5861722315535</v>
      </c>
      <c r="T156" s="221">
        <f t="shared" si="315"/>
        <v>2120.4093047679098</v>
      </c>
    </row>
    <row r="157" spans="2:20">
      <c r="B157" s="50" t="s">
        <v>387</v>
      </c>
      <c r="C157" s="93"/>
      <c r="D157" s="93"/>
      <c r="E157" s="93"/>
      <c r="F157" s="220"/>
      <c r="G157" s="220"/>
      <c r="H157" s="220">
        <f>H144</f>
        <v>0</v>
      </c>
      <c r="I157" s="220">
        <f t="shared" ref="I157:N157" si="316">I144</f>
        <v>1.7368592704133556</v>
      </c>
      <c r="J157" s="220">
        <f t="shared" si="316"/>
        <v>7.4193803422974076</v>
      </c>
      <c r="K157" s="220">
        <f t="shared" si="316"/>
        <v>15.941106988294102</v>
      </c>
      <c r="L157" s="220">
        <f t="shared" si="316"/>
        <v>25.530768529485638</v>
      </c>
      <c r="M157" s="220">
        <f t="shared" si="316"/>
        <v>35.857530506334406</v>
      </c>
      <c r="N157" s="220">
        <f t="shared" si="316"/>
        <v>46.75403120294223</v>
      </c>
      <c r="O157" s="220">
        <f t="shared" ref="O157" si="317">O144</f>
        <v>53.760807911422006</v>
      </c>
      <c r="P157" s="220">
        <f t="shared" ref="P157:T157" si="318">P144</f>
        <v>59.974136490103795</v>
      </c>
      <c r="Q157" s="220">
        <f t="shared" si="318"/>
        <v>65.378201111786936</v>
      </c>
      <c r="R157" s="220">
        <f t="shared" si="318"/>
        <v>70.00260288686269</v>
      </c>
      <c r="S157" s="220">
        <f t="shared" si="318"/>
        <v>73.875295488206291</v>
      </c>
      <c r="T157" s="221">
        <f t="shared" si="318"/>
        <v>77.022665261621725</v>
      </c>
    </row>
    <row r="158" spans="2:20">
      <c r="B158" s="50" t="s">
        <v>388</v>
      </c>
      <c r="C158" s="93"/>
      <c r="D158" s="93"/>
      <c r="E158" s="93"/>
      <c r="F158" s="220"/>
      <c r="G158" s="220"/>
      <c r="H158" s="220">
        <f>H116</f>
        <v>0</v>
      </c>
      <c r="I158" s="220">
        <f t="shared" ref="I158:N158" si="319">I116</f>
        <v>2.3832382728088048</v>
      </c>
      <c r="J158" s="220">
        <f t="shared" si="319"/>
        <v>8.3909792158225347</v>
      </c>
      <c r="K158" s="220">
        <f t="shared" si="319"/>
        <v>17.156489530116186</v>
      </c>
      <c r="L158" s="220">
        <f t="shared" si="319"/>
        <v>29.471666242565785</v>
      </c>
      <c r="M158" s="220">
        <f t="shared" si="319"/>
        <v>40.411182385878924</v>
      </c>
      <c r="N158" s="220">
        <f t="shared" si="319"/>
        <v>52.658697507593175</v>
      </c>
      <c r="O158" s="220">
        <f t="shared" ref="O158" si="320">O116</f>
        <v>61.186225818290218</v>
      </c>
      <c r="P158" s="220">
        <f t="shared" ref="P158:T158" si="321">P116</f>
        <v>69.407911920774453</v>
      </c>
      <c r="Q158" s="220">
        <f t="shared" si="321"/>
        <v>77.268183427334236</v>
      </c>
      <c r="R158" s="220">
        <f t="shared" si="321"/>
        <v>84.711344504993988</v>
      </c>
      <c r="S158" s="220">
        <f t="shared" si="321"/>
        <v>91.681452156476055</v>
      </c>
      <c r="T158" s="221">
        <f t="shared" si="321"/>
        <v>98.122194839742875</v>
      </c>
    </row>
    <row r="159" spans="2:20">
      <c r="B159" s="51" t="s">
        <v>43</v>
      </c>
      <c r="C159" s="287"/>
      <c r="D159" s="287"/>
      <c r="E159" s="287"/>
      <c r="F159" s="286"/>
      <c r="G159" s="286"/>
      <c r="H159" s="286">
        <f>SUM(H155:H158)</f>
        <v>69.087304835283419</v>
      </c>
      <c r="I159" s="286">
        <f t="shared" ref="I159" si="322">SUM(I155:I158)</f>
        <v>309.39264681990056</v>
      </c>
      <c r="J159" s="286">
        <f t="shared" ref="J159" si="323">SUM(J155:J158)</f>
        <v>673.68123431851791</v>
      </c>
      <c r="K159" s="286">
        <f t="shared" ref="K159" si="324">SUM(K155:K158)</f>
        <v>1049.5981577277714</v>
      </c>
      <c r="L159" s="286">
        <f t="shared" ref="L159" si="325">SUM(L155:L158)</f>
        <v>1407.8074608052909</v>
      </c>
      <c r="M159" s="286">
        <f t="shared" ref="M159:O159" si="326">SUM(M155:M158)</f>
        <v>1741.596278114914</v>
      </c>
      <c r="N159" s="286">
        <f t="shared" ref="N159" si="327">SUM(N155:N158)</f>
        <v>2053.8830766044512</v>
      </c>
      <c r="O159" s="286">
        <f t="shared" si="326"/>
        <v>2334.0274734039622</v>
      </c>
      <c r="P159" s="286">
        <f t="shared" ref="P159:T159" si="328">SUM(P155:P158)</f>
        <v>2587.0583251420126</v>
      </c>
      <c r="Q159" s="286">
        <f t="shared" si="328"/>
        <v>2812.7943012810424</v>
      </c>
      <c r="R159" s="286">
        <f t="shared" si="328"/>
        <v>3011.4728976428814</v>
      </c>
      <c r="S159" s="286">
        <f t="shared" si="328"/>
        <v>3183.2937540003013</v>
      </c>
      <c r="T159" s="223">
        <f t="shared" si="328"/>
        <v>3328.419373708673</v>
      </c>
    </row>
    <row r="160" spans="2:20">
      <c r="Q160" s="60"/>
    </row>
    <row r="161" spans="17:17">
      <c r="Q161" s="60"/>
    </row>
    <row r="231" s="208" customFormat="1"/>
    <row r="234" s="208" customFormat="1"/>
  </sheetData>
  <phoneticPr fontId="4" type="noConversion"/>
  <pageMargins left="0" right="0" top="0" bottom="0" header="0" footer="0"/>
  <pageSetup paperSize="5" scale="43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B2:T75"/>
  <sheetViews>
    <sheetView showGridLines="0" zoomScale="85" zoomScaleNormal="85" workbookViewId="0">
      <selection activeCell="M30" sqref="M30"/>
    </sheetView>
  </sheetViews>
  <sheetFormatPr defaultRowHeight="12.75" outlineLevelRow="1"/>
  <cols>
    <col min="1" max="1" width="4.42578125" customWidth="1"/>
    <col min="2" max="2" width="41.42578125" bestFit="1" customWidth="1"/>
    <col min="3" max="6" width="10.42578125" hidden="1" customWidth="1"/>
    <col min="7" max="7" width="9.140625" hidden="1" customWidth="1"/>
  </cols>
  <sheetData>
    <row r="2" spans="2:20">
      <c r="B2" s="10" t="s">
        <v>85</v>
      </c>
      <c r="C2" s="10"/>
      <c r="D2" s="10"/>
      <c r="E2" s="10"/>
      <c r="F2" s="10"/>
    </row>
    <row r="3" spans="2:20">
      <c r="B3" s="11" t="s">
        <v>86</v>
      </c>
      <c r="H3" s="12">
        <f>DCF!C31</f>
        <v>2</v>
      </c>
      <c r="J3" s="13" t="s">
        <v>87</v>
      </c>
      <c r="K3" s="14">
        <f>DCF!C23</f>
        <v>117.89998532386268</v>
      </c>
    </row>
    <row r="5" spans="2:20" outlineLevel="1">
      <c r="B5" s="571" t="s">
        <v>513</v>
      </c>
      <c r="C5" s="5">
        <v>2013</v>
      </c>
      <c r="D5" s="5">
        <v>2014</v>
      </c>
      <c r="E5" s="5">
        <v>2015</v>
      </c>
      <c r="F5" s="5">
        <v>2016</v>
      </c>
      <c r="G5" s="5">
        <v>2017</v>
      </c>
      <c r="H5" s="5">
        <v>2018</v>
      </c>
      <c r="I5" s="5">
        <v>2019</v>
      </c>
      <c r="J5" s="5">
        <v>2020</v>
      </c>
      <c r="K5" s="5">
        <v>2021</v>
      </c>
      <c r="L5" s="5">
        <v>2022</v>
      </c>
      <c r="M5" s="5">
        <v>2023</v>
      </c>
      <c r="N5" s="5">
        <v>2024</v>
      </c>
      <c r="O5" s="5">
        <v>2025</v>
      </c>
      <c r="P5" s="5">
        <v>2026</v>
      </c>
      <c r="Q5" s="5">
        <v>2027</v>
      </c>
      <c r="R5" s="5">
        <v>2028</v>
      </c>
      <c r="S5" s="5">
        <v>2029</v>
      </c>
      <c r="T5" s="285">
        <v>2030</v>
      </c>
    </row>
    <row r="6" spans="2:20" outlineLevel="1">
      <c r="B6" s="8" t="s">
        <v>82</v>
      </c>
      <c r="C6" s="7"/>
      <c r="D6" s="7"/>
      <c r="E6" s="7"/>
      <c r="F6" s="9"/>
      <c r="G6" s="9"/>
      <c r="H6" s="224">
        <v>0</v>
      </c>
      <c r="I6" s="224">
        <f>I7*1.5</f>
        <v>0.15000000000000002</v>
      </c>
      <c r="J6" s="224">
        <f>J7*1.4</f>
        <v>0.27999999999999997</v>
      </c>
      <c r="K6" s="224">
        <f>K7*1.3</f>
        <v>0.19500000000000001</v>
      </c>
      <c r="L6" s="224">
        <f>L7*1.2</f>
        <v>0.15</v>
      </c>
      <c r="M6" s="224">
        <f>M7*1.1</f>
        <v>0.11000000000000001</v>
      </c>
      <c r="N6" s="224">
        <f>N7*1.05</f>
        <v>7.8750000000000001E-2</v>
      </c>
      <c r="O6" s="224">
        <f t="shared" ref="O6:T6" si="0">O7*1.05</f>
        <v>7.350000000000001E-2</v>
      </c>
      <c r="P6" s="224">
        <f t="shared" si="0"/>
        <v>6.3E-2</v>
      </c>
      <c r="Q6" s="224">
        <f t="shared" si="0"/>
        <v>5.2500000000000005E-2</v>
      </c>
      <c r="R6" s="224">
        <f t="shared" si="0"/>
        <v>5.2500000000000005E-2</v>
      </c>
      <c r="S6" s="224">
        <f t="shared" si="0"/>
        <v>5.2500000000000005E-2</v>
      </c>
      <c r="T6" s="224">
        <f t="shared" si="0"/>
        <v>5.2500000000000005E-2</v>
      </c>
    </row>
    <row r="7" spans="2:20" outlineLevel="1">
      <c r="B7" s="8" t="s">
        <v>83</v>
      </c>
      <c r="C7" s="7"/>
      <c r="D7" s="7"/>
      <c r="E7" s="7"/>
      <c r="F7" s="9"/>
      <c r="G7" s="9"/>
      <c r="H7" s="224">
        <v>0</v>
      </c>
      <c r="I7" s="224">
        <v>0.1</v>
      </c>
      <c r="J7" s="224">
        <v>0.2</v>
      </c>
      <c r="K7" s="224">
        <v>0.15</v>
      </c>
      <c r="L7" s="224">
        <v>0.125</v>
      </c>
      <c r="M7" s="224">
        <v>0.1</v>
      </c>
      <c r="N7" s="224">
        <v>7.4999999999999997E-2</v>
      </c>
      <c r="O7" s="224">
        <v>7.0000000000000007E-2</v>
      </c>
      <c r="P7" s="224">
        <v>0.06</v>
      </c>
      <c r="Q7" s="224">
        <v>0.05</v>
      </c>
      <c r="R7" s="224">
        <v>0.05</v>
      </c>
      <c r="S7" s="224">
        <v>0.05</v>
      </c>
      <c r="T7" s="224">
        <v>0.05</v>
      </c>
    </row>
    <row r="8" spans="2:20" outlineLevel="1">
      <c r="B8" s="6" t="s">
        <v>84</v>
      </c>
      <c r="C8" s="7"/>
      <c r="D8" s="7"/>
      <c r="E8" s="7"/>
      <c r="F8" s="9"/>
      <c r="G8" s="9"/>
      <c r="H8" s="224">
        <v>0</v>
      </c>
      <c r="I8" s="224">
        <v>0</v>
      </c>
      <c r="J8" s="224">
        <v>0</v>
      </c>
      <c r="K8" s="224">
        <v>0</v>
      </c>
      <c r="L8" s="224">
        <v>0</v>
      </c>
      <c r="M8" s="224">
        <v>0</v>
      </c>
      <c r="N8" s="224">
        <v>0</v>
      </c>
      <c r="O8" s="224">
        <v>0</v>
      </c>
      <c r="P8" s="224">
        <v>0</v>
      </c>
      <c r="Q8" s="224">
        <v>0</v>
      </c>
      <c r="R8" s="224">
        <v>0</v>
      </c>
      <c r="S8" s="224">
        <v>0</v>
      </c>
      <c r="T8" s="224">
        <v>0</v>
      </c>
    </row>
    <row r="9" spans="2:20" outlineLevel="1">
      <c r="B9" s="6"/>
      <c r="C9" s="7"/>
      <c r="D9" s="7"/>
      <c r="E9" s="7"/>
      <c r="F9" s="8"/>
      <c r="G9" s="8"/>
      <c r="H9" s="9"/>
      <c r="I9" s="9"/>
      <c r="J9" s="9"/>
      <c r="K9" s="9"/>
      <c r="L9" s="9"/>
      <c r="M9" s="9"/>
      <c r="N9" s="9"/>
      <c r="O9" s="9"/>
      <c r="P9" s="9"/>
    </row>
    <row r="10" spans="2:20" outlineLevel="1">
      <c r="B10" s="571" t="s">
        <v>512</v>
      </c>
      <c r="C10" s="5">
        <v>2013</v>
      </c>
      <c r="D10" s="5">
        <v>2014</v>
      </c>
      <c r="E10" s="5">
        <v>2015</v>
      </c>
      <c r="F10" s="5">
        <v>2016</v>
      </c>
      <c r="G10" s="5">
        <v>2017</v>
      </c>
      <c r="H10" s="5">
        <v>2018</v>
      </c>
      <c r="I10" s="5">
        <v>2019</v>
      </c>
      <c r="J10" s="5">
        <v>2020</v>
      </c>
      <c r="K10" s="5">
        <v>2021</v>
      </c>
      <c r="L10" s="5">
        <v>2022</v>
      </c>
      <c r="M10" s="5">
        <v>2023</v>
      </c>
      <c r="N10" s="5">
        <v>2024</v>
      </c>
      <c r="O10" s="5">
        <v>2025</v>
      </c>
      <c r="P10" s="5">
        <v>2026</v>
      </c>
      <c r="Q10" s="5">
        <v>2027</v>
      </c>
      <c r="R10" s="5">
        <v>2028</v>
      </c>
      <c r="S10" s="5">
        <v>2029</v>
      </c>
      <c r="T10" s="285">
        <v>2030</v>
      </c>
    </row>
    <row r="11" spans="2:20" outlineLevel="1">
      <c r="B11" s="8" t="s">
        <v>82</v>
      </c>
      <c r="C11" s="7"/>
      <c r="D11" s="7"/>
      <c r="E11" s="7"/>
      <c r="F11" s="9"/>
      <c r="G11" s="9"/>
      <c r="H11" s="224">
        <f t="shared" ref="H11:T12" si="1">+H6*0.5</f>
        <v>0</v>
      </c>
      <c r="I11" s="224">
        <f t="shared" si="1"/>
        <v>7.5000000000000011E-2</v>
      </c>
      <c r="J11" s="224">
        <f t="shared" si="1"/>
        <v>0.13999999999999999</v>
      </c>
      <c r="K11" s="224">
        <f t="shared" si="1"/>
        <v>9.7500000000000003E-2</v>
      </c>
      <c r="L11" s="224">
        <f t="shared" si="1"/>
        <v>7.4999999999999997E-2</v>
      </c>
      <c r="M11" s="224">
        <f t="shared" si="1"/>
        <v>5.5000000000000007E-2</v>
      </c>
      <c r="N11" s="224">
        <f t="shared" si="1"/>
        <v>3.9375E-2</v>
      </c>
      <c r="O11" s="224">
        <f t="shared" si="1"/>
        <v>3.6750000000000005E-2</v>
      </c>
      <c r="P11" s="224">
        <f t="shared" si="1"/>
        <v>3.15E-2</v>
      </c>
      <c r="Q11" s="224">
        <f t="shared" si="1"/>
        <v>2.6250000000000002E-2</v>
      </c>
      <c r="R11" s="224">
        <f t="shared" si="1"/>
        <v>2.6250000000000002E-2</v>
      </c>
      <c r="S11" s="224">
        <f t="shared" si="1"/>
        <v>2.6250000000000002E-2</v>
      </c>
      <c r="T11" s="224">
        <f t="shared" si="1"/>
        <v>2.6250000000000002E-2</v>
      </c>
    </row>
    <row r="12" spans="2:20" outlineLevel="1">
      <c r="B12" s="8" t="s">
        <v>83</v>
      </c>
      <c r="G12" s="9"/>
      <c r="H12" s="224">
        <v>0</v>
      </c>
      <c r="I12" s="224">
        <f t="shared" si="1"/>
        <v>0.05</v>
      </c>
      <c r="J12" s="224">
        <f t="shared" si="1"/>
        <v>0.1</v>
      </c>
      <c r="K12" s="224">
        <f t="shared" si="1"/>
        <v>7.4999999999999997E-2</v>
      </c>
      <c r="L12" s="224">
        <f t="shared" si="1"/>
        <v>6.25E-2</v>
      </c>
      <c r="M12" s="224">
        <f t="shared" si="1"/>
        <v>0.05</v>
      </c>
      <c r="N12" s="224">
        <f>M12-0.005</f>
        <v>4.5000000000000005E-2</v>
      </c>
      <c r="O12" s="224">
        <f>N12-0.005</f>
        <v>4.0000000000000008E-2</v>
      </c>
      <c r="P12" s="224">
        <f>O12-0.005</f>
        <v>3.500000000000001E-2</v>
      </c>
      <c r="Q12" s="224">
        <f>P12-0.005</f>
        <v>3.0000000000000009E-2</v>
      </c>
      <c r="R12" s="224">
        <f>Q12-0.005</f>
        <v>2.5000000000000008E-2</v>
      </c>
      <c r="S12" s="224">
        <f t="shared" si="1"/>
        <v>2.5000000000000001E-2</v>
      </c>
      <c r="T12" s="224">
        <f t="shared" si="1"/>
        <v>2.5000000000000001E-2</v>
      </c>
    </row>
    <row r="13" spans="2:20" outlineLevel="1">
      <c r="B13" s="6" t="s">
        <v>84</v>
      </c>
      <c r="C13" s="7"/>
      <c r="D13" s="7"/>
      <c r="E13" s="7"/>
      <c r="F13" s="9"/>
      <c r="G13" s="9"/>
      <c r="H13" s="224">
        <v>0</v>
      </c>
      <c r="I13" s="224">
        <v>0</v>
      </c>
      <c r="J13" s="224">
        <v>0</v>
      </c>
      <c r="K13" s="224">
        <v>0</v>
      </c>
      <c r="L13" s="224">
        <v>0</v>
      </c>
      <c r="M13" s="224">
        <v>0</v>
      </c>
      <c r="N13" s="224">
        <v>0</v>
      </c>
      <c r="O13" s="224">
        <v>0</v>
      </c>
      <c r="P13" s="224">
        <v>0</v>
      </c>
      <c r="Q13" s="224">
        <v>0</v>
      </c>
      <c r="R13" s="224">
        <v>0</v>
      </c>
      <c r="S13" s="224">
        <v>0</v>
      </c>
      <c r="T13" s="224">
        <v>0</v>
      </c>
    </row>
    <row r="14" spans="2:20" outlineLevel="1">
      <c r="B14" s="6"/>
      <c r="C14" s="7"/>
      <c r="D14" s="7"/>
      <c r="E14" s="7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</row>
    <row r="15" spans="2:20">
      <c r="B15" s="400" t="s">
        <v>510</v>
      </c>
      <c r="C15" s="18">
        <v>2013</v>
      </c>
      <c r="D15" s="18">
        <v>2014</v>
      </c>
      <c r="E15" s="18">
        <v>2015</v>
      </c>
      <c r="F15" s="259">
        <v>2016</v>
      </c>
      <c r="G15" s="259">
        <v>2017</v>
      </c>
      <c r="H15" s="565">
        <v>2018</v>
      </c>
      <c r="I15" s="565">
        <v>2019</v>
      </c>
      <c r="J15" s="565">
        <v>2020</v>
      </c>
      <c r="K15" s="565">
        <v>2021</v>
      </c>
      <c r="L15" s="565">
        <v>2022</v>
      </c>
      <c r="M15" s="565">
        <v>2023</v>
      </c>
      <c r="N15" s="565">
        <v>2024</v>
      </c>
      <c r="O15" s="565">
        <v>2025</v>
      </c>
      <c r="P15" s="565">
        <v>2026</v>
      </c>
      <c r="Q15" s="565">
        <v>2027</v>
      </c>
      <c r="R15" s="565">
        <v>2028</v>
      </c>
      <c r="S15" s="565">
        <v>2029</v>
      </c>
      <c r="T15" s="566">
        <v>2030</v>
      </c>
    </row>
    <row r="17" spans="2:20">
      <c r="B17" s="192" t="s">
        <v>505</v>
      </c>
      <c r="C17" s="60"/>
      <c r="D17" s="26"/>
      <c r="E17" s="179">
        <f>(323100000/100000)*3.5</f>
        <v>11308.5</v>
      </c>
      <c r="F17" s="26">
        <f t="shared" ref="F17:P17" si="2">E17*(1+F18)</f>
        <v>11421.585000000001</v>
      </c>
      <c r="G17" s="26">
        <f t="shared" si="2"/>
        <v>11535.800850000001</v>
      </c>
      <c r="H17" s="555">
        <f t="shared" si="2"/>
        <v>11651.158858500001</v>
      </c>
      <c r="I17" s="555">
        <f t="shared" si="2"/>
        <v>11767.670447085002</v>
      </c>
      <c r="J17" s="555">
        <f t="shared" si="2"/>
        <v>11885.347151555852</v>
      </c>
      <c r="K17" s="555">
        <f t="shared" si="2"/>
        <v>12004.200623071411</v>
      </c>
      <c r="L17" s="555">
        <f t="shared" si="2"/>
        <v>12124.242629302125</v>
      </c>
      <c r="M17" s="555">
        <f t="shared" si="2"/>
        <v>12245.485055595147</v>
      </c>
      <c r="N17" s="555">
        <f t="shared" si="2"/>
        <v>12367.939906151099</v>
      </c>
      <c r="O17" s="555">
        <f t="shared" si="2"/>
        <v>12491.619305212611</v>
      </c>
      <c r="P17" s="555">
        <f t="shared" si="2"/>
        <v>12616.535498264737</v>
      </c>
      <c r="Q17" s="555">
        <f t="shared" ref="Q17" si="3">P17*(1+Q18)</f>
        <v>12742.700853247385</v>
      </c>
      <c r="R17" s="555">
        <f t="shared" ref="R17" si="4">Q17*(1+R18)</f>
        <v>12870.127861779858</v>
      </c>
      <c r="S17" s="555">
        <f t="shared" ref="S17" si="5">R17*(1+S18)</f>
        <v>12998.829140397656</v>
      </c>
      <c r="T17" s="555">
        <f t="shared" ref="T17" si="6">S17*(1+T18)</f>
        <v>13128.817431801634</v>
      </c>
    </row>
    <row r="18" spans="2:20">
      <c r="B18" s="15" t="s">
        <v>506</v>
      </c>
      <c r="C18" s="34"/>
      <c r="D18" s="569"/>
      <c r="E18" s="556"/>
      <c r="F18" s="556">
        <v>0.01</v>
      </c>
      <c r="G18" s="556">
        <f t="shared" ref="G18:P18" si="7">F18</f>
        <v>0.01</v>
      </c>
      <c r="H18" s="556">
        <f t="shared" si="7"/>
        <v>0.01</v>
      </c>
      <c r="I18" s="556">
        <f t="shared" si="7"/>
        <v>0.01</v>
      </c>
      <c r="J18" s="556">
        <f t="shared" si="7"/>
        <v>0.01</v>
      </c>
      <c r="K18" s="556">
        <f t="shared" si="7"/>
        <v>0.01</v>
      </c>
      <c r="L18" s="556">
        <f t="shared" si="7"/>
        <v>0.01</v>
      </c>
      <c r="M18" s="556">
        <f t="shared" si="7"/>
        <v>0.01</v>
      </c>
      <c r="N18" s="556">
        <f t="shared" si="7"/>
        <v>0.01</v>
      </c>
      <c r="O18" s="556">
        <f t="shared" si="7"/>
        <v>0.01</v>
      </c>
      <c r="P18" s="556">
        <f t="shared" si="7"/>
        <v>0.01</v>
      </c>
      <c r="Q18" s="556">
        <f t="shared" ref="Q18" si="8">P18</f>
        <v>0.01</v>
      </c>
      <c r="R18" s="556">
        <f t="shared" ref="R18" si="9">Q18</f>
        <v>0.01</v>
      </c>
      <c r="S18" s="556">
        <f t="shared" ref="S18" si="10">R18</f>
        <v>0.01</v>
      </c>
      <c r="T18" s="556">
        <f t="shared" ref="T18" si="11">S18</f>
        <v>0.01</v>
      </c>
    </row>
    <row r="19" spans="2:20">
      <c r="B19" s="15"/>
      <c r="C19" s="34"/>
      <c r="D19" s="569"/>
      <c r="E19" s="556"/>
      <c r="F19" s="556"/>
      <c r="G19" s="556"/>
      <c r="H19" s="556"/>
      <c r="I19" s="556"/>
      <c r="J19" s="556"/>
      <c r="K19" s="556"/>
      <c r="L19" s="556"/>
      <c r="M19" s="556"/>
      <c r="N19" s="556"/>
      <c r="O19" s="556"/>
      <c r="P19" s="556"/>
    </row>
    <row r="20" spans="2:20">
      <c r="B20" s="192" t="s">
        <v>507</v>
      </c>
      <c r="C20" s="60"/>
      <c r="D20" s="60"/>
      <c r="E20" s="60">
        <f t="shared" ref="E20:P20" si="12">E17*E21</f>
        <v>565.42500000000007</v>
      </c>
      <c r="F20" s="60">
        <f t="shared" si="12"/>
        <v>571.07925000000012</v>
      </c>
      <c r="G20" s="60">
        <f t="shared" si="12"/>
        <v>576.79004250000014</v>
      </c>
      <c r="H20" s="60">
        <f t="shared" si="12"/>
        <v>582.55794292500002</v>
      </c>
      <c r="I20" s="60">
        <f t="shared" si="12"/>
        <v>588.38352235425009</v>
      </c>
      <c r="J20" s="60">
        <f t="shared" si="12"/>
        <v>594.26735757779261</v>
      </c>
      <c r="K20" s="60">
        <f t="shared" si="12"/>
        <v>600.21003115357053</v>
      </c>
      <c r="L20" s="60">
        <f t="shared" si="12"/>
        <v>606.21213146510627</v>
      </c>
      <c r="M20" s="60">
        <f t="shared" si="12"/>
        <v>612.27425277975738</v>
      </c>
      <c r="N20" s="60">
        <f t="shared" si="12"/>
        <v>618.39699530755502</v>
      </c>
      <c r="O20" s="60">
        <f t="shared" si="12"/>
        <v>624.58096526063059</v>
      </c>
      <c r="P20" s="60">
        <f t="shared" si="12"/>
        <v>630.82677491323693</v>
      </c>
      <c r="Q20" s="60">
        <f t="shared" ref="Q20:T20" si="13">Q17*Q21</f>
        <v>637.1350426623693</v>
      </c>
      <c r="R20" s="60">
        <f t="shared" si="13"/>
        <v>643.50639308899292</v>
      </c>
      <c r="S20" s="60">
        <f t="shared" si="13"/>
        <v>649.94145701988282</v>
      </c>
      <c r="T20" s="60">
        <f t="shared" si="13"/>
        <v>656.44087159008177</v>
      </c>
    </row>
    <row r="21" spans="2:20">
      <c r="B21" s="15" t="s">
        <v>444</v>
      </c>
      <c r="C21" s="34"/>
      <c r="D21" s="569"/>
      <c r="E21" s="569">
        <v>0.05</v>
      </c>
      <c r="F21" s="569">
        <f t="shared" ref="F21:P21" si="14">E21</f>
        <v>0.05</v>
      </c>
      <c r="G21" s="569">
        <f t="shared" si="14"/>
        <v>0.05</v>
      </c>
      <c r="H21" s="569">
        <f t="shared" si="14"/>
        <v>0.05</v>
      </c>
      <c r="I21" s="569">
        <f t="shared" si="14"/>
        <v>0.05</v>
      </c>
      <c r="J21" s="569">
        <f t="shared" si="14"/>
        <v>0.05</v>
      </c>
      <c r="K21" s="569">
        <f t="shared" si="14"/>
        <v>0.05</v>
      </c>
      <c r="L21" s="569">
        <f t="shared" si="14"/>
        <v>0.05</v>
      </c>
      <c r="M21" s="569">
        <f t="shared" si="14"/>
        <v>0.05</v>
      </c>
      <c r="N21" s="569">
        <f t="shared" si="14"/>
        <v>0.05</v>
      </c>
      <c r="O21" s="569">
        <f t="shared" si="14"/>
        <v>0.05</v>
      </c>
      <c r="P21" s="569">
        <f t="shared" si="14"/>
        <v>0.05</v>
      </c>
      <c r="Q21" s="569">
        <f t="shared" ref="Q21" si="15">P21</f>
        <v>0.05</v>
      </c>
      <c r="R21" s="569">
        <f t="shared" ref="R21" si="16">Q21</f>
        <v>0.05</v>
      </c>
      <c r="S21" s="569">
        <f t="shared" ref="S21" si="17">R21</f>
        <v>0.05</v>
      </c>
      <c r="T21" s="569">
        <f t="shared" ref="T21" si="18">S21</f>
        <v>0.05</v>
      </c>
    </row>
    <row r="22" spans="2:20">
      <c r="B22" s="15"/>
      <c r="C22" s="34"/>
      <c r="D22" s="34"/>
      <c r="E22" s="35"/>
      <c r="F22" s="35"/>
      <c r="G22" s="35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</row>
    <row r="23" spans="2:20">
      <c r="B23" s="22" t="s">
        <v>117</v>
      </c>
      <c r="C23" s="36"/>
      <c r="D23" s="36"/>
      <c r="E23" s="36"/>
      <c r="F23" s="36"/>
      <c r="G23" s="36"/>
      <c r="H23" s="557">
        <f t="shared" ref="H23:P23" si="19">G32</f>
        <v>0</v>
      </c>
      <c r="I23" s="557">
        <f t="shared" si="19"/>
        <v>0</v>
      </c>
      <c r="J23" s="557">
        <f t="shared" si="19"/>
        <v>58.838352235425013</v>
      </c>
      <c r="K23" s="557">
        <f t="shared" si="19"/>
        <v>174.74990613921227</v>
      </c>
      <c r="L23" s="557">
        <f t="shared" si="19"/>
        <v>256.0439155052872</v>
      </c>
      <c r="M23" s="557">
        <f t="shared" si="19"/>
        <v>319.01823616316113</v>
      </c>
      <c r="N23" s="557">
        <f t="shared" si="19"/>
        <v>364.29474963297878</v>
      </c>
      <c r="O23" s="557">
        <f t="shared" si="19"/>
        <v>392.45978679939651</v>
      </c>
      <c r="P23" s="557">
        <f t="shared" si="19"/>
        <v>416.55746502767084</v>
      </c>
      <c r="Q23" s="557">
        <f t="shared" ref="Q23" si="20">P32</f>
        <v>433.57919827108151</v>
      </c>
      <c r="R23" s="557">
        <f t="shared" ref="R23" si="21">Q32</f>
        <v>443.75699049064588</v>
      </c>
      <c r="S23" s="557">
        <f t="shared" ref="S23" si="22">R32</f>
        <v>453.74446062056325</v>
      </c>
      <c r="T23" s="557">
        <f t="shared" ref="T23" si="23">S32</f>
        <v>463.55431044052921</v>
      </c>
    </row>
    <row r="24" spans="2:20">
      <c r="B24" s="1" t="s">
        <v>90</v>
      </c>
      <c r="C24" s="30"/>
      <c r="D24" s="30"/>
      <c r="E24" s="30"/>
      <c r="F24" s="30"/>
      <c r="G24" s="30"/>
      <c r="H24" s="558">
        <f>H23/H20</f>
        <v>0</v>
      </c>
      <c r="I24" s="558">
        <f t="shared" ref="I24:T24" si="24">I23/I20</f>
        <v>0</v>
      </c>
      <c r="J24" s="558">
        <f t="shared" si="24"/>
        <v>9.9009900990099015E-2</v>
      </c>
      <c r="K24" s="558">
        <f t="shared" si="24"/>
        <v>0.29114792667385547</v>
      </c>
      <c r="L24" s="558">
        <f t="shared" si="24"/>
        <v>0.42236686172293331</v>
      </c>
      <c r="M24" s="558">
        <f t="shared" si="24"/>
        <v>0.52103813726414516</v>
      </c>
      <c r="N24" s="558">
        <f t="shared" si="24"/>
        <v>0.58909527762469083</v>
      </c>
      <c r="O24" s="558">
        <f t="shared" si="24"/>
        <v>0.62835694430045186</v>
      </c>
      <c r="P24" s="558">
        <f t="shared" si="24"/>
        <v>0.66033573968854387</v>
      </c>
      <c r="Q24" s="558">
        <f t="shared" si="24"/>
        <v>0.68051381455853133</v>
      </c>
      <c r="R24" s="558">
        <f t="shared" si="24"/>
        <v>0.68959220181247993</v>
      </c>
      <c r="S24" s="558">
        <f t="shared" si="24"/>
        <v>0.69813127893253069</v>
      </c>
      <c r="T24" s="558">
        <f t="shared" si="24"/>
        <v>0.70616308414445939</v>
      </c>
    </row>
    <row r="25" spans="2:20">
      <c r="B25" s="23"/>
      <c r="C25" s="3"/>
      <c r="D25" s="3"/>
      <c r="E25" s="3"/>
      <c r="F25" s="3"/>
      <c r="G25" s="3"/>
      <c r="H25" s="559"/>
      <c r="I25" s="559"/>
      <c r="J25" s="559"/>
      <c r="K25" s="559"/>
      <c r="L25" s="559"/>
      <c r="M25" s="559"/>
      <c r="N25" s="559"/>
      <c r="O25" s="559"/>
      <c r="P25" s="559"/>
      <c r="Q25" s="559"/>
      <c r="R25" s="559"/>
      <c r="S25" s="559"/>
      <c r="T25" s="559"/>
    </row>
    <row r="26" spans="2:20">
      <c r="B26" s="23" t="s">
        <v>101</v>
      </c>
      <c r="C26" s="26"/>
      <c r="D26" s="26"/>
      <c r="E26" s="26"/>
      <c r="F26" s="26"/>
      <c r="G26" s="26"/>
      <c r="H26" s="555">
        <f t="shared" ref="H26:P26" si="25">H27*H20</f>
        <v>0</v>
      </c>
      <c r="I26" s="555">
        <f t="shared" si="25"/>
        <v>58.838352235425013</v>
      </c>
      <c r="J26" s="555">
        <f t="shared" si="25"/>
        <v>118.85347151555852</v>
      </c>
      <c r="K26" s="555">
        <f t="shared" si="25"/>
        <v>90.03150467303557</v>
      </c>
      <c r="L26" s="555">
        <f t="shared" si="25"/>
        <v>75.776516433138283</v>
      </c>
      <c r="M26" s="555">
        <f t="shared" si="25"/>
        <v>61.22742527797574</v>
      </c>
      <c r="N26" s="555">
        <f t="shared" si="25"/>
        <v>46.379774648066622</v>
      </c>
      <c r="O26" s="555">
        <f t="shared" si="25"/>
        <v>43.720667568244146</v>
      </c>
      <c r="P26" s="555">
        <f t="shared" si="25"/>
        <v>37.849606494794216</v>
      </c>
      <c r="Q26" s="555">
        <f t="shared" ref="Q26:T26" si="26">Q27*Q20</f>
        <v>31.856752133118466</v>
      </c>
      <c r="R26" s="555">
        <f t="shared" si="26"/>
        <v>32.175319654449645</v>
      </c>
      <c r="S26" s="555">
        <f t="shared" si="26"/>
        <v>32.497072850994144</v>
      </c>
      <c r="T26" s="555">
        <f t="shared" si="26"/>
        <v>32.82204357950409</v>
      </c>
    </row>
    <row r="27" spans="2:20">
      <c r="B27" s="1" t="s">
        <v>102</v>
      </c>
      <c r="C27" s="31"/>
      <c r="D27" s="31"/>
      <c r="E27" s="31"/>
      <c r="F27" s="31"/>
      <c r="G27" s="31"/>
      <c r="H27" s="560">
        <f t="shared" ref="H27:P27" si="27">CHOOSE($H$3,H6,H7,H8)</f>
        <v>0</v>
      </c>
      <c r="I27" s="560">
        <f t="shared" si="27"/>
        <v>0.1</v>
      </c>
      <c r="J27" s="560">
        <f t="shared" si="27"/>
        <v>0.2</v>
      </c>
      <c r="K27" s="560">
        <f t="shared" si="27"/>
        <v>0.15</v>
      </c>
      <c r="L27" s="560">
        <f t="shared" si="27"/>
        <v>0.125</v>
      </c>
      <c r="M27" s="560">
        <f t="shared" si="27"/>
        <v>0.1</v>
      </c>
      <c r="N27" s="560">
        <f t="shared" si="27"/>
        <v>7.4999999999999997E-2</v>
      </c>
      <c r="O27" s="560">
        <f t="shared" si="27"/>
        <v>7.0000000000000007E-2</v>
      </c>
      <c r="P27" s="560">
        <f t="shared" si="27"/>
        <v>0.06</v>
      </c>
      <c r="Q27" s="560">
        <f t="shared" ref="Q27:T27" si="28">CHOOSE($H$3,Q6,Q7,Q8)</f>
        <v>0.05</v>
      </c>
      <c r="R27" s="560">
        <f t="shared" si="28"/>
        <v>0.05</v>
      </c>
      <c r="S27" s="560">
        <f t="shared" si="28"/>
        <v>0.05</v>
      </c>
      <c r="T27" s="560">
        <f t="shared" si="28"/>
        <v>0.05</v>
      </c>
    </row>
    <row r="28" spans="2:20">
      <c r="B28" s="1"/>
      <c r="C28" s="3"/>
      <c r="D28" s="3"/>
      <c r="E28" s="3"/>
      <c r="F28" s="3"/>
      <c r="G28" s="3"/>
      <c r="H28" s="559"/>
      <c r="I28" s="559"/>
      <c r="J28" s="559"/>
      <c r="K28" s="559"/>
      <c r="L28" s="559"/>
      <c r="M28" s="559"/>
      <c r="N28" s="559"/>
      <c r="O28" s="559"/>
      <c r="P28" s="559"/>
      <c r="Q28" s="559"/>
      <c r="R28" s="559"/>
      <c r="S28" s="559"/>
      <c r="T28" s="559"/>
    </row>
    <row r="29" spans="2:20">
      <c r="B29" s="181" t="s">
        <v>508</v>
      </c>
      <c r="C29" s="26"/>
      <c r="D29" s="26"/>
      <c r="E29" s="26"/>
      <c r="F29" s="26"/>
      <c r="G29" s="26"/>
      <c r="H29" s="555">
        <f t="shared" ref="H29:M29" si="29">H30*H23</f>
        <v>0</v>
      </c>
      <c r="I29" s="555">
        <f t="shared" si="29"/>
        <v>0</v>
      </c>
      <c r="J29" s="555">
        <f t="shared" si="29"/>
        <v>2.9419176117712507</v>
      </c>
      <c r="K29" s="555">
        <f t="shared" si="29"/>
        <v>8.7374953069606143</v>
      </c>
      <c r="L29" s="555">
        <f t="shared" si="29"/>
        <v>12.80219577526436</v>
      </c>
      <c r="M29" s="555">
        <f t="shared" si="29"/>
        <v>15.950911808158057</v>
      </c>
      <c r="N29" s="555">
        <f>N30*N23</f>
        <v>18.214737481648939</v>
      </c>
      <c r="O29" s="555">
        <f t="shared" ref="O29" si="30">O30*O23</f>
        <v>19.622989339969827</v>
      </c>
      <c r="P29" s="555">
        <f>P30*P23</f>
        <v>20.827873251383544</v>
      </c>
      <c r="Q29" s="555">
        <f t="shared" ref="Q29:T29" si="31">Q30*Q23</f>
        <v>21.678959913554078</v>
      </c>
      <c r="R29" s="555">
        <f t="shared" si="31"/>
        <v>22.187849524532297</v>
      </c>
      <c r="S29" s="555">
        <f t="shared" si="31"/>
        <v>22.687223031028164</v>
      </c>
      <c r="T29" s="555">
        <f t="shared" si="31"/>
        <v>23.17771552202646</v>
      </c>
    </row>
    <row r="30" spans="2:20">
      <c r="B30" s="1" t="s">
        <v>509</v>
      </c>
      <c r="C30" s="33"/>
      <c r="D30" s="33"/>
      <c r="E30" s="33"/>
      <c r="F30" s="39"/>
      <c r="G30" s="39"/>
      <c r="H30" s="561">
        <v>0.05</v>
      </c>
      <c r="I30" s="561">
        <f t="shared" ref="I30:P30" si="32">H30</f>
        <v>0.05</v>
      </c>
      <c r="J30" s="561">
        <f t="shared" si="32"/>
        <v>0.05</v>
      </c>
      <c r="K30" s="561">
        <f t="shared" si="32"/>
        <v>0.05</v>
      </c>
      <c r="L30" s="561">
        <f t="shared" si="32"/>
        <v>0.05</v>
      </c>
      <c r="M30" s="561">
        <f t="shared" si="32"/>
        <v>0.05</v>
      </c>
      <c r="N30" s="561">
        <f t="shared" si="32"/>
        <v>0.05</v>
      </c>
      <c r="O30" s="561">
        <f t="shared" si="32"/>
        <v>0.05</v>
      </c>
      <c r="P30" s="561">
        <f t="shared" si="32"/>
        <v>0.05</v>
      </c>
      <c r="Q30" s="561">
        <f t="shared" ref="Q30" si="33">P30</f>
        <v>0.05</v>
      </c>
      <c r="R30" s="561">
        <f t="shared" ref="R30" si="34">Q30</f>
        <v>0.05</v>
      </c>
      <c r="S30" s="561">
        <f t="shared" ref="S30" si="35">R30</f>
        <v>0.05</v>
      </c>
      <c r="T30" s="561">
        <f t="shared" ref="T30" si="36">S30</f>
        <v>0.05</v>
      </c>
    </row>
    <row r="31" spans="2:20">
      <c r="B31" s="23"/>
      <c r="C31" s="3"/>
      <c r="D31" s="3"/>
      <c r="E31" s="3"/>
      <c r="F31" s="3"/>
      <c r="G31" s="3"/>
      <c r="H31" s="559"/>
      <c r="I31" s="559"/>
      <c r="J31" s="559"/>
      <c r="K31" s="559"/>
      <c r="L31" s="559"/>
      <c r="M31" s="559"/>
      <c r="N31" s="559"/>
      <c r="O31" s="559"/>
      <c r="P31" s="559"/>
      <c r="Q31" s="559"/>
      <c r="R31" s="559"/>
      <c r="S31" s="559"/>
      <c r="T31" s="559"/>
    </row>
    <row r="32" spans="2:20">
      <c r="B32" s="23" t="s">
        <v>118</v>
      </c>
      <c r="C32" s="26"/>
      <c r="D32" s="26"/>
      <c r="E32" s="26"/>
      <c r="F32" s="26"/>
      <c r="G32" s="26"/>
      <c r="H32" s="555">
        <f t="shared" ref="H32:T32" si="37">H23+H26-H29</f>
        <v>0</v>
      </c>
      <c r="I32" s="555">
        <f t="shared" si="37"/>
        <v>58.838352235425013</v>
      </c>
      <c r="J32" s="555">
        <f t="shared" si="37"/>
        <v>174.74990613921227</v>
      </c>
      <c r="K32" s="555">
        <f t="shared" si="37"/>
        <v>256.0439155052872</v>
      </c>
      <c r="L32" s="555">
        <f t="shared" si="37"/>
        <v>319.01823616316113</v>
      </c>
      <c r="M32" s="555">
        <f t="shared" si="37"/>
        <v>364.29474963297878</v>
      </c>
      <c r="N32" s="555">
        <f t="shared" si="37"/>
        <v>392.45978679939651</v>
      </c>
      <c r="O32" s="555">
        <f t="shared" si="37"/>
        <v>416.55746502767084</v>
      </c>
      <c r="P32" s="555">
        <f t="shared" si="37"/>
        <v>433.57919827108151</v>
      </c>
      <c r="Q32" s="555">
        <f t="shared" si="37"/>
        <v>443.75699049064588</v>
      </c>
      <c r="R32" s="555">
        <f t="shared" si="37"/>
        <v>453.74446062056325</v>
      </c>
      <c r="S32" s="555">
        <f t="shared" si="37"/>
        <v>463.55431044052921</v>
      </c>
      <c r="T32" s="555">
        <f t="shared" si="37"/>
        <v>473.19863849800686</v>
      </c>
    </row>
    <row r="33" spans="2:20">
      <c r="B33" s="25" t="s">
        <v>93</v>
      </c>
      <c r="C33" s="32"/>
      <c r="D33" s="32"/>
      <c r="E33" s="32"/>
      <c r="F33" s="32"/>
      <c r="G33" s="32"/>
      <c r="H33" s="562">
        <f>H32/H20</f>
        <v>0</v>
      </c>
      <c r="I33" s="562">
        <f t="shared" ref="I33:T33" si="38">I32/I20</f>
        <v>0.1</v>
      </c>
      <c r="J33" s="562">
        <f t="shared" si="38"/>
        <v>0.29405940594059404</v>
      </c>
      <c r="K33" s="562">
        <f t="shared" si="38"/>
        <v>0.42659053034016264</v>
      </c>
      <c r="L33" s="562">
        <f t="shared" si="38"/>
        <v>0.52624851863678668</v>
      </c>
      <c r="M33" s="562">
        <f t="shared" si="38"/>
        <v>0.59498623040093779</v>
      </c>
      <c r="N33" s="562">
        <f t="shared" si="38"/>
        <v>0.63464051374345642</v>
      </c>
      <c r="O33" s="562">
        <f t="shared" si="38"/>
        <v>0.66693909708542931</v>
      </c>
      <c r="P33" s="562">
        <f t="shared" si="38"/>
        <v>0.68731895270411658</v>
      </c>
      <c r="Q33" s="562">
        <f t="shared" si="38"/>
        <v>0.69648812383060466</v>
      </c>
      <c r="R33" s="562">
        <f t="shared" si="38"/>
        <v>0.70511259172185603</v>
      </c>
      <c r="S33" s="562">
        <f t="shared" si="38"/>
        <v>0.71322471498590412</v>
      </c>
      <c r="T33" s="562">
        <f t="shared" si="38"/>
        <v>0.72085492993723654</v>
      </c>
    </row>
    <row r="34" spans="2:20">
      <c r="B34" s="21"/>
      <c r="H34" s="563"/>
      <c r="I34" s="563"/>
      <c r="J34" s="563"/>
      <c r="K34" s="563"/>
      <c r="L34" s="563"/>
      <c r="M34" s="563"/>
      <c r="N34" s="563"/>
      <c r="O34" s="563"/>
      <c r="P34" s="563"/>
    </row>
    <row r="35" spans="2:20">
      <c r="B35" s="24" t="s">
        <v>94</v>
      </c>
      <c r="F35" s="37"/>
      <c r="G35" s="37"/>
      <c r="H35" s="564">
        <v>6</v>
      </c>
      <c r="I35" s="564">
        <f t="shared" ref="I35:M36" si="39">H35</f>
        <v>6</v>
      </c>
      <c r="J35" s="564">
        <f t="shared" si="39"/>
        <v>6</v>
      </c>
      <c r="K35" s="564">
        <f t="shared" si="39"/>
        <v>6</v>
      </c>
      <c r="L35" s="564">
        <f t="shared" si="39"/>
        <v>6</v>
      </c>
      <c r="M35" s="564">
        <f t="shared" si="39"/>
        <v>6</v>
      </c>
      <c r="N35" s="564">
        <f>M35</f>
        <v>6</v>
      </c>
      <c r="O35" s="564">
        <f t="shared" ref="O35:T35" si="40">N35</f>
        <v>6</v>
      </c>
      <c r="P35" s="564">
        <f t="shared" si="40"/>
        <v>6</v>
      </c>
      <c r="Q35" s="564">
        <f t="shared" si="40"/>
        <v>6</v>
      </c>
      <c r="R35" s="564">
        <f t="shared" si="40"/>
        <v>6</v>
      </c>
      <c r="S35" s="564">
        <f t="shared" si="40"/>
        <v>6</v>
      </c>
      <c r="T35" s="564">
        <f t="shared" si="40"/>
        <v>6</v>
      </c>
    </row>
    <row r="36" spans="2:20">
      <c r="B36" s="24" t="s">
        <v>95</v>
      </c>
      <c r="F36" s="37"/>
      <c r="G36" s="37"/>
      <c r="H36" s="564">
        <v>11</v>
      </c>
      <c r="I36" s="564">
        <f t="shared" si="39"/>
        <v>11</v>
      </c>
      <c r="J36" s="564">
        <f t="shared" si="39"/>
        <v>11</v>
      </c>
      <c r="K36" s="564">
        <f t="shared" si="39"/>
        <v>11</v>
      </c>
      <c r="L36" s="564">
        <f t="shared" si="39"/>
        <v>11</v>
      </c>
      <c r="M36" s="564">
        <f t="shared" si="39"/>
        <v>11</v>
      </c>
      <c r="N36" s="564">
        <f>M36</f>
        <v>11</v>
      </c>
      <c r="O36" s="564">
        <f t="shared" ref="O36:T36" si="41">N36</f>
        <v>11</v>
      </c>
      <c r="P36" s="564">
        <f t="shared" si="41"/>
        <v>11</v>
      </c>
      <c r="Q36" s="564">
        <f t="shared" si="41"/>
        <v>11</v>
      </c>
      <c r="R36" s="564">
        <f t="shared" si="41"/>
        <v>11</v>
      </c>
      <c r="S36" s="564">
        <f t="shared" si="41"/>
        <v>11</v>
      </c>
      <c r="T36" s="564">
        <f t="shared" si="41"/>
        <v>11</v>
      </c>
    </row>
    <row r="37" spans="2:20">
      <c r="B37" s="21"/>
      <c r="H37" s="563"/>
      <c r="I37" s="563"/>
      <c r="J37" s="563"/>
      <c r="K37" s="563"/>
      <c r="L37" s="563"/>
      <c r="M37" s="563"/>
      <c r="N37" s="563"/>
      <c r="O37" s="563"/>
      <c r="P37" s="563"/>
      <c r="Q37" s="563"/>
      <c r="R37" s="563"/>
      <c r="S37" s="563"/>
      <c r="T37" s="563"/>
    </row>
    <row r="38" spans="2:20">
      <c r="B38" s="24" t="s">
        <v>104</v>
      </c>
      <c r="C38" s="26"/>
      <c r="D38" s="26"/>
      <c r="E38" s="26"/>
      <c r="F38" s="26"/>
      <c r="G38" s="26"/>
      <c r="H38" s="555">
        <f>500000/12</f>
        <v>41666.666666666664</v>
      </c>
      <c r="I38" s="555">
        <f t="shared" ref="I38:N38" si="42">H38*(1+I39)</f>
        <v>42500</v>
      </c>
      <c r="J38" s="555">
        <f t="shared" si="42"/>
        <v>43350</v>
      </c>
      <c r="K38" s="555">
        <f t="shared" si="42"/>
        <v>44217</v>
      </c>
      <c r="L38" s="555">
        <f t="shared" si="42"/>
        <v>45101.340000000004</v>
      </c>
      <c r="M38" s="555">
        <f t="shared" si="42"/>
        <v>46003.366800000003</v>
      </c>
      <c r="N38" s="555">
        <f t="shared" si="42"/>
        <v>46923.434136000003</v>
      </c>
      <c r="O38" s="555">
        <f t="shared" ref="O38" si="43">N38*(1+O39)</f>
        <v>47861.902818720002</v>
      </c>
      <c r="P38" s="555">
        <f t="shared" ref="P38" si="44">O38*(1+P39)</f>
        <v>48819.140875094403</v>
      </c>
      <c r="Q38" s="555">
        <f t="shared" ref="Q38" si="45">P38*(1+Q39)</f>
        <v>49795.523692596289</v>
      </c>
      <c r="R38" s="555">
        <f t="shared" ref="R38" si="46">Q38*(1+R39)</f>
        <v>50791.434166448213</v>
      </c>
      <c r="S38" s="555">
        <f t="shared" ref="S38" si="47">R38*(1+S39)</f>
        <v>51807.26284977718</v>
      </c>
      <c r="T38" s="555">
        <f t="shared" ref="T38" si="48">S38*(1+T39)</f>
        <v>52843.408106772724</v>
      </c>
    </row>
    <row r="39" spans="2:20">
      <c r="B39" s="1" t="s">
        <v>96</v>
      </c>
      <c r="C39" s="34"/>
      <c r="D39" s="35"/>
      <c r="E39" s="35"/>
      <c r="F39" s="35"/>
      <c r="G39" s="35"/>
      <c r="H39" s="556"/>
      <c r="I39" s="556">
        <v>0.02</v>
      </c>
      <c r="J39" s="556">
        <f t="shared" ref="J39:N39" si="49">I39</f>
        <v>0.02</v>
      </c>
      <c r="K39" s="556">
        <f t="shared" si="49"/>
        <v>0.02</v>
      </c>
      <c r="L39" s="556">
        <f t="shared" si="49"/>
        <v>0.02</v>
      </c>
      <c r="M39" s="556">
        <f t="shared" si="49"/>
        <v>0.02</v>
      </c>
      <c r="N39" s="556">
        <f t="shared" si="49"/>
        <v>0.02</v>
      </c>
      <c r="O39" s="556">
        <f t="shared" ref="O39" si="50">N39</f>
        <v>0.02</v>
      </c>
      <c r="P39" s="556">
        <f t="shared" ref="P39" si="51">O39</f>
        <v>0.02</v>
      </c>
      <c r="Q39" s="556">
        <f t="shared" ref="Q39" si="52">P39</f>
        <v>0.02</v>
      </c>
      <c r="R39" s="556">
        <f t="shared" ref="R39" si="53">Q39</f>
        <v>0.02</v>
      </c>
      <c r="S39" s="556">
        <f t="shared" ref="S39" si="54">R39</f>
        <v>0.02</v>
      </c>
      <c r="T39" s="556">
        <f t="shared" ref="T39" si="55">S39</f>
        <v>0.02</v>
      </c>
    </row>
    <row r="40" spans="2:20">
      <c r="B40" s="24" t="s">
        <v>105</v>
      </c>
      <c r="C40" s="26"/>
      <c r="D40" s="26"/>
      <c r="E40" s="26"/>
      <c r="F40" s="26"/>
      <c r="G40" s="26"/>
      <c r="H40" s="555">
        <f t="shared" ref="H40:M40" si="56">H38*(1-H41)</f>
        <v>35416.666666666664</v>
      </c>
      <c r="I40" s="555">
        <f t="shared" si="56"/>
        <v>36125</v>
      </c>
      <c r="J40" s="555">
        <f t="shared" si="56"/>
        <v>36847.5</v>
      </c>
      <c r="K40" s="555">
        <f t="shared" si="56"/>
        <v>37584.449999999997</v>
      </c>
      <c r="L40" s="555">
        <f t="shared" si="56"/>
        <v>38336.139000000003</v>
      </c>
      <c r="M40" s="555">
        <f t="shared" si="56"/>
        <v>39102.861779999999</v>
      </c>
      <c r="N40" s="555">
        <f>N38*(1-N41)</f>
        <v>39884.919015600004</v>
      </c>
      <c r="O40" s="555">
        <f t="shared" ref="O40:T40" si="57">O38*(1-O41)</f>
        <v>40682.617395911999</v>
      </c>
      <c r="P40" s="555">
        <f t="shared" si="57"/>
        <v>41496.269743830242</v>
      </c>
      <c r="Q40" s="555">
        <f t="shared" si="57"/>
        <v>42326.195138706848</v>
      </c>
      <c r="R40" s="555">
        <f t="shared" si="57"/>
        <v>43172.719041480981</v>
      </c>
      <c r="S40" s="555">
        <f t="shared" si="57"/>
        <v>44036.173422310603</v>
      </c>
      <c r="T40" s="555">
        <f t="shared" si="57"/>
        <v>44916.896890756812</v>
      </c>
    </row>
    <row r="41" spans="2:20">
      <c r="B41" s="1" t="s">
        <v>103</v>
      </c>
      <c r="C41" s="35"/>
      <c r="D41" s="35"/>
      <c r="E41" s="35"/>
      <c r="F41" s="35"/>
      <c r="G41" s="35"/>
      <c r="H41" s="556">
        <v>0.15</v>
      </c>
      <c r="I41" s="556">
        <f t="shared" ref="I41:N41" si="58">H41</f>
        <v>0.15</v>
      </c>
      <c r="J41" s="556">
        <f t="shared" si="58"/>
        <v>0.15</v>
      </c>
      <c r="K41" s="556">
        <f t="shared" si="58"/>
        <v>0.15</v>
      </c>
      <c r="L41" s="556">
        <f t="shared" si="58"/>
        <v>0.15</v>
      </c>
      <c r="M41" s="556">
        <f t="shared" si="58"/>
        <v>0.15</v>
      </c>
      <c r="N41" s="556">
        <f t="shared" si="58"/>
        <v>0.15</v>
      </c>
      <c r="O41" s="556">
        <f t="shared" ref="O41" si="59">N41</f>
        <v>0.15</v>
      </c>
      <c r="P41" s="556">
        <f t="shared" ref="P41" si="60">O41</f>
        <v>0.15</v>
      </c>
      <c r="Q41" s="556">
        <f t="shared" ref="Q41" si="61">P41</f>
        <v>0.15</v>
      </c>
      <c r="R41" s="556">
        <f t="shared" ref="R41" si="62">Q41</f>
        <v>0.15</v>
      </c>
      <c r="S41" s="556">
        <f t="shared" ref="S41" si="63">R41</f>
        <v>0.15</v>
      </c>
      <c r="T41" s="556">
        <f t="shared" ref="T41" si="64">S41</f>
        <v>0.15</v>
      </c>
    </row>
    <row r="42" spans="2:20">
      <c r="H42" s="563"/>
      <c r="I42" s="563"/>
      <c r="J42" s="563"/>
      <c r="K42" s="563"/>
      <c r="L42" s="563"/>
      <c r="M42" s="563"/>
      <c r="N42" s="563"/>
      <c r="O42" s="563"/>
      <c r="P42" s="563"/>
      <c r="Q42" s="563"/>
      <c r="R42" s="563"/>
      <c r="S42" s="563"/>
      <c r="T42" s="563"/>
    </row>
    <row r="43" spans="2:20">
      <c r="B43" s="400" t="s">
        <v>97</v>
      </c>
      <c r="C43" s="18"/>
      <c r="D43" s="18"/>
      <c r="E43" s="18"/>
      <c r="F43" s="259"/>
      <c r="G43" s="259"/>
      <c r="H43" s="565">
        <f t="shared" ref="H43:M43" si="65">H23*H36*H40/1000000+H26*H35*H40/1000000</f>
        <v>0</v>
      </c>
      <c r="I43" s="565">
        <f t="shared" si="65"/>
        <v>12.753212847028371</v>
      </c>
      <c r="J43" s="565">
        <f t="shared" si="65"/>
        <v>50.125227773960319</v>
      </c>
      <c r="K43" s="565">
        <f t="shared" si="65"/>
        <v>92.549377722583898</v>
      </c>
      <c r="L43" s="565">
        <f t="shared" si="65"/>
        <v>125.40296088556386</v>
      </c>
      <c r="M43" s="565">
        <f t="shared" si="65"/>
        <v>151.58479122060214</v>
      </c>
      <c r="N43" s="565">
        <f>N23*N36*N40/1000000+N26*N35*N40/1000000</f>
        <v>170.92765379091551</v>
      </c>
      <c r="O43" s="565">
        <f t="shared" ref="O43:T43" si="66">O23*O36*O40/1000000+O26*O35*O40/1000000</f>
        <v>186.30123199188787</v>
      </c>
      <c r="P43" s="565">
        <f t="shared" si="66"/>
        <v>199.56509514337282</v>
      </c>
      <c r="Q43" s="565">
        <f t="shared" si="66"/>
        <v>209.95958593879521</v>
      </c>
      <c r="R43" s="565">
        <f t="shared" si="66"/>
        <v>219.07473081767219</v>
      </c>
      <c r="S43" s="565">
        <f t="shared" si="66"/>
        <v>228.37914774500206</v>
      </c>
      <c r="T43" s="566">
        <f t="shared" si="66"/>
        <v>237.88121890178141</v>
      </c>
    </row>
    <row r="44" spans="2:20">
      <c r="H44" s="563"/>
      <c r="I44" s="563"/>
      <c r="J44" s="563"/>
      <c r="K44" s="563"/>
      <c r="L44" s="563"/>
      <c r="M44" s="563"/>
      <c r="N44" s="563"/>
      <c r="O44" s="563"/>
      <c r="P44" s="563"/>
    </row>
    <row r="45" spans="2:20">
      <c r="B45" s="571" t="s">
        <v>511</v>
      </c>
      <c r="C45" s="5">
        <v>2013</v>
      </c>
      <c r="D45" s="5">
        <v>2014</v>
      </c>
      <c r="E45" s="5">
        <v>2015</v>
      </c>
      <c r="F45" s="5">
        <v>2016</v>
      </c>
      <c r="G45" s="5">
        <v>2017</v>
      </c>
      <c r="H45" s="567">
        <v>2018</v>
      </c>
      <c r="I45" s="567">
        <v>2019</v>
      </c>
      <c r="J45" s="567">
        <v>2020</v>
      </c>
      <c r="K45" s="567">
        <v>2021</v>
      </c>
      <c r="L45" s="567">
        <v>2022</v>
      </c>
      <c r="M45" s="567">
        <v>2023</v>
      </c>
      <c r="N45" s="567">
        <v>2024</v>
      </c>
      <c r="O45" s="567">
        <v>2025</v>
      </c>
      <c r="P45" s="5">
        <v>2026</v>
      </c>
      <c r="Q45" s="5">
        <v>2027</v>
      </c>
      <c r="R45" s="5">
        <v>2028</v>
      </c>
      <c r="S45" s="5">
        <v>2029</v>
      </c>
      <c r="T45" s="285">
        <v>2030</v>
      </c>
    </row>
    <row r="46" spans="2:20">
      <c r="H46" s="563"/>
      <c r="I46" s="563"/>
      <c r="J46" s="563"/>
      <c r="K46" s="563"/>
      <c r="L46" s="563"/>
      <c r="M46" s="563"/>
      <c r="N46" s="563"/>
      <c r="O46" s="563"/>
      <c r="P46" s="563"/>
    </row>
    <row r="47" spans="2:20">
      <c r="B47" s="192" t="s">
        <v>88</v>
      </c>
      <c r="C47" s="179"/>
      <c r="D47" s="26"/>
      <c r="E47" s="179">
        <f>(700000000/100000)*3.5</f>
        <v>24500</v>
      </c>
      <c r="F47" s="26">
        <f t="shared" ref="F47:P47" si="67">E47*(1+F48)</f>
        <v>24745</v>
      </c>
      <c r="G47" s="26">
        <f t="shared" si="67"/>
        <v>24992.45</v>
      </c>
      <c r="H47" s="555">
        <f t="shared" si="67"/>
        <v>25242.374500000002</v>
      </c>
      <c r="I47" s="555">
        <f t="shared" si="67"/>
        <v>25494.798245000002</v>
      </c>
      <c r="J47" s="555">
        <f t="shared" si="67"/>
        <v>25749.746227450003</v>
      </c>
      <c r="K47" s="555">
        <f t="shared" si="67"/>
        <v>26007.243689724502</v>
      </c>
      <c r="L47" s="555">
        <f t="shared" si="67"/>
        <v>26267.316126621747</v>
      </c>
      <c r="M47" s="555">
        <f t="shared" si="67"/>
        <v>26529.989287887965</v>
      </c>
      <c r="N47" s="555">
        <f t="shared" si="67"/>
        <v>26795.289180766846</v>
      </c>
      <c r="O47" s="555">
        <f t="shared" si="67"/>
        <v>27063.242072574514</v>
      </c>
      <c r="P47" s="555">
        <f t="shared" si="67"/>
        <v>27333.87449330026</v>
      </c>
      <c r="Q47" s="555">
        <f t="shared" ref="Q47" si="68">P47*(1+Q48)</f>
        <v>27607.213238233264</v>
      </c>
      <c r="R47" s="555">
        <f t="shared" ref="R47" si="69">Q47*(1+R48)</f>
        <v>27883.285370615598</v>
      </c>
      <c r="S47" s="555">
        <f t="shared" ref="S47" si="70">R47*(1+S48)</f>
        <v>28162.118224321755</v>
      </c>
      <c r="T47" s="555">
        <f t="shared" ref="T47" si="71">S47*(1+T48)</f>
        <v>28443.739406564971</v>
      </c>
    </row>
    <row r="48" spans="2:20">
      <c r="B48" s="15" t="s">
        <v>89</v>
      </c>
      <c r="C48" s="34"/>
      <c r="D48" s="225"/>
      <c r="E48" s="228"/>
      <c r="F48" s="556">
        <f>F18</f>
        <v>0.01</v>
      </c>
      <c r="G48" s="556">
        <f t="shared" ref="G48:P48" si="72">F48</f>
        <v>0.01</v>
      </c>
      <c r="H48" s="556">
        <f t="shared" si="72"/>
        <v>0.01</v>
      </c>
      <c r="I48" s="556">
        <f t="shared" si="72"/>
        <v>0.01</v>
      </c>
      <c r="J48" s="556">
        <f t="shared" si="72"/>
        <v>0.01</v>
      </c>
      <c r="K48" s="556">
        <f t="shared" si="72"/>
        <v>0.01</v>
      </c>
      <c r="L48" s="556">
        <f t="shared" si="72"/>
        <v>0.01</v>
      </c>
      <c r="M48" s="556">
        <f t="shared" si="72"/>
        <v>0.01</v>
      </c>
      <c r="N48" s="556">
        <f t="shared" si="72"/>
        <v>0.01</v>
      </c>
      <c r="O48" s="556">
        <f t="shared" si="72"/>
        <v>0.01</v>
      </c>
      <c r="P48" s="556">
        <f t="shared" si="72"/>
        <v>0.01</v>
      </c>
      <c r="Q48" s="556">
        <f t="shared" ref="Q48" si="73">P48</f>
        <v>0.01</v>
      </c>
      <c r="R48" s="556">
        <f t="shared" ref="R48" si="74">Q48</f>
        <v>0.01</v>
      </c>
      <c r="S48" s="556">
        <f t="shared" ref="S48" si="75">R48</f>
        <v>0.01</v>
      </c>
      <c r="T48" s="556">
        <f t="shared" ref="T48" si="76">S48</f>
        <v>0.01</v>
      </c>
    </row>
    <row r="49" spans="2:20">
      <c r="B49" s="15"/>
      <c r="C49" s="34"/>
      <c r="D49" s="225"/>
      <c r="E49" s="228"/>
      <c r="F49" s="228"/>
      <c r="G49" s="228"/>
      <c r="H49" s="556"/>
      <c r="I49" s="556"/>
      <c r="J49" s="556"/>
      <c r="K49" s="556"/>
      <c r="L49" s="556"/>
      <c r="M49" s="556"/>
      <c r="N49" s="556"/>
      <c r="O49" s="556"/>
      <c r="P49" s="556"/>
      <c r="Q49" s="556"/>
      <c r="R49" s="556"/>
      <c r="S49" s="556"/>
      <c r="T49" s="556"/>
    </row>
    <row r="50" spans="2:20">
      <c r="B50" s="192" t="s">
        <v>443</v>
      </c>
      <c r="C50" s="60"/>
      <c r="D50" s="60"/>
      <c r="E50" s="60">
        <f t="shared" ref="E50:P50" si="77">E47*E51</f>
        <v>1225</v>
      </c>
      <c r="F50" s="60">
        <f t="shared" si="77"/>
        <v>1237.25</v>
      </c>
      <c r="G50" s="60">
        <f t="shared" si="77"/>
        <v>1249.6225000000002</v>
      </c>
      <c r="H50" s="60">
        <f t="shared" si="77"/>
        <v>1262.1187250000003</v>
      </c>
      <c r="I50" s="60">
        <f t="shared" si="77"/>
        <v>1274.7399122500001</v>
      </c>
      <c r="J50" s="60">
        <f t="shared" si="77"/>
        <v>1287.4873113725002</v>
      </c>
      <c r="K50" s="60">
        <f t="shared" si="77"/>
        <v>1300.3621844862253</v>
      </c>
      <c r="L50" s="60">
        <f t="shared" si="77"/>
        <v>1313.3658063310875</v>
      </c>
      <c r="M50" s="60">
        <f t="shared" si="77"/>
        <v>1326.4994643943983</v>
      </c>
      <c r="N50" s="60">
        <f t="shared" si="77"/>
        <v>1339.7644590383425</v>
      </c>
      <c r="O50" s="60">
        <f t="shared" si="77"/>
        <v>1353.1621036287258</v>
      </c>
      <c r="P50" s="60">
        <f t="shared" si="77"/>
        <v>1366.6937246650132</v>
      </c>
      <c r="Q50" s="60">
        <f t="shared" ref="Q50:T50" si="78">Q47*Q51</f>
        <v>1380.3606619116633</v>
      </c>
      <c r="R50" s="60">
        <f t="shared" si="78"/>
        <v>1394.16426853078</v>
      </c>
      <c r="S50" s="60">
        <f t="shared" si="78"/>
        <v>1408.1059112160879</v>
      </c>
      <c r="T50" s="60">
        <f t="shared" si="78"/>
        <v>1422.1869703282487</v>
      </c>
    </row>
    <row r="51" spans="2:20">
      <c r="B51" s="15" t="s">
        <v>444</v>
      </c>
      <c r="C51" s="34"/>
      <c r="D51" s="569"/>
      <c r="E51" s="569">
        <f>E21</f>
        <v>0.05</v>
      </c>
      <c r="F51" s="569">
        <f t="shared" ref="F51:P51" si="79">E51</f>
        <v>0.05</v>
      </c>
      <c r="G51" s="569">
        <f t="shared" si="79"/>
        <v>0.05</v>
      </c>
      <c r="H51" s="569">
        <f t="shared" si="79"/>
        <v>0.05</v>
      </c>
      <c r="I51" s="569">
        <f t="shared" si="79"/>
        <v>0.05</v>
      </c>
      <c r="J51" s="569">
        <f t="shared" si="79"/>
        <v>0.05</v>
      </c>
      <c r="K51" s="569">
        <f t="shared" si="79"/>
        <v>0.05</v>
      </c>
      <c r="L51" s="569">
        <f t="shared" si="79"/>
        <v>0.05</v>
      </c>
      <c r="M51" s="569">
        <f t="shared" si="79"/>
        <v>0.05</v>
      </c>
      <c r="N51" s="569">
        <f t="shared" si="79"/>
        <v>0.05</v>
      </c>
      <c r="O51" s="569">
        <f t="shared" si="79"/>
        <v>0.05</v>
      </c>
      <c r="P51" s="569">
        <f t="shared" si="79"/>
        <v>0.05</v>
      </c>
      <c r="Q51" s="569">
        <f t="shared" ref="Q51" si="80">P51</f>
        <v>0.05</v>
      </c>
      <c r="R51" s="569">
        <f t="shared" ref="R51" si="81">Q51</f>
        <v>0.05</v>
      </c>
      <c r="S51" s="569">
        <f t="shared" ref="S51" si="82">R51</f>
        <v>0.05</v>
      </c>
      <c r="T51" s="569">
        <f t="shared" ref="T51" si="83">S51</f>
        <v>0.05</v>
      </c>
    </row>
    <row r="52" spans="2:20">
      <c r="B52" s="15"/>
      <c r="C52" s="34"/>
      <c r="D52" s="34"/>
      <c r="E52" s="35"/>
      <c r="F52" s="35"/>
      <c r="G52" s="35"/>
      <c r="H52" s="556"/>
      <c r="I52" s="556"/>
      <c r="J52" s="556"/>
      <c r="K52" s="556"/>
      <c r="L52" s="556"/>
      <c r="M52" s="556"/>
      <c r="N52" s="556"/>
      <c r="O52" s="556"/>
      <c r="P52" s="556"/>
      <c r="Q52" s="556"/>
      <c r="R52" s="556"/>
      <c r="S52" s="556"/>
      <c r="T52" s="556"/>
    </row>
    <row r="53" spans="2:20">
      <c r="B53" s="22" t="s">
        <v>117</v>
      </c>
      <c r="C53" s="36"/>
      <c r="D53" s="36"/>
      <c r="E53" s="36"/>
      <c r="F53" s="36"/>
      <c r="G53" s="36"/>
      <c r="H53" s="557">
        <f t="shared" ref="H53:P53" si="84">G62</f>
        <v>0</v>
      </c>
      <c r="I53" s="557">
        <f t="shared" si="84"/>
        <v>0</v>
      </c>
      <c r="J53" s="557">
        <f t="shared" si="84"/>
        <v>63.73699561250001</v>
      </c>
      <c r="K53" s="557">
        <f t="shared" si="84"/>
        <v>189.29887696912502</v>
      </c>
      <c r="L53" s="557">
        <f t="shared" si="84"/>
        <v>277.36109695713566</v>
      </c>
      <c r="M53" s="557">
        <f t="shared" si="84"/>
        <v>345.57840500497184</v>
      </c>
      <c r="N53" s="557">
        <f t="shared" si="84"/>
        <v>394.6244579744432</v>
      </c>
      <c r="O53" s="557">
        <f t="shared" si="84"/>
        <v>435.1826357324465</v>
      </c>
      <c r="P53" s="557">
        <f t="shared" si="84"/>
        <v>467.54998809097322</v>
      </c>
      <c r="Q53" s="557">
        <f t="shared" ref="Q53" si="85">P62</f>
        <v>492.0067690497001</v>
      </c>
      <c r="R53" s="557">
        <f t="shared" ref="R53" si="86">Q62</f>
        <v>508.817250454565</v>
      </c>
      <c r="S53" s="557">
        <f t="shared" ref="S53" si="87">R62</f>
        <v>518.23049464510621</v>
      </c>
      <c r="T53" s="557">
        <f t="shared" ref="T53" si="88">S62</f>
        <v>527.52161769325312</v>
      </c>
    </row>
    <row r="54" spans="2:20">
      <c r="B54" s="1" t="s">
        <v>90</v>
      </c>
      <c r="C54" s="30"/>
      <c r="D54" s="30"/>
      <c r="E54" s="30"/>
      <c r="F54" s="30"/>
      <c r="G54" s="30"/>
      <c r="H54" s="558">
        <f t="shared" ref="H54:S54" si="89">H53/H50</f>
        <v>0</v>
      </c>
      <c r="I54" s="558">
        <f t="shared" si="89"/>
        <v>0</v>
      </c>
      <c r="J54" s="558">
        <f t="shared" si="89"/>
        <v>4.95049504950495E-2</v>
      </c>
      <c r="K54" s="558">
        <f t="shared" si="89"/>
        <v>0.14557396333692774</v>
      </c>
      <c r="L54" s="558">
        <f t="shared" si="89"/>
        <v>0.21118343086146668</v>
      </c>
      <c r="M54" s="558">
        <f t="shared" si="89"/>
        <v>0.26051906863207264</v>
      </c>
      <c r="N54" s="558">
        <f t="shared" si="89"/>
        <v>0.29454763881234552</v>
      </c>
      <c r="O54" s="558">
        <f t="shared" si="89"/>
        <v>0.32160421472448347</v>
      </c>
      <c r="P54" s="558">
        <f t="shared" si="89"/>
        <v>0.34210297424580127</v>
      </c>
      <c r="Q54" s="558">
        <f t="shared" si="89"/>
        <v>0.35643349062723889</v>
      </c>
      <c r="R54" s="558">
        <f t="shared" si="89"/>
        <v>0.36496219415433362</v>
      </c>
      <c r="S54" s="558">
        <f t="shared" si="89"/>
        <v>0.36803374697684837</v>
      </c>
      <c r="T54" s="558">
        <f>T53/T50</f>
        <v>0.37092283131485743</v>
      </c>
    </row>
    <row r="55" spans="2:20">
      <c r="B55" s="23"/>
      <c r="C55" s="3"/>
      <c r="D55" s="3"/>
      <c r="E55" s="3"/>
      <c r="F55" s="3"/>
      <c r="G55" s="3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</row>
    <row r="56" spans="2:20">
      <c r="B56" s="23" t="s">
        <v>101</v>
      </c>
      <c r="C56" s="26"/>
      <c r="D56" s="26"/>
      <c r="E56" s="26"/>
      <c r="F56" s="26"/>
      <c r="G56" s="26"/>
      <c r="H56" s="555">
        <f t="shared" ref="H56" si="90">H57*H47</f>
        <v>0</v>
      </c>
      <c r="I56" s="555">
        <f>I57*I50</f>
        <v>63.73699561250001</v>
      </c>
      <c r="J56" s="555">
        <f t="shared" ref="J56:T56" si="91">J57*J50</f>
        <v>128.74873113725002</v>
      </c>
      <c r="K56" s="555">
        <f t="shared" si="91"/>
        <v>97.527163836466897</v>
      </c>
      <c r="L56" s="555">
        <f t="shared" si="91"/>
        <v>82.085362895692967</v>
      </c>
      <c r="M56" s="555">
        <f t="shared" si="91"/>
        <v>66.324973219719922</v>
      </c>
      <c r="N56" s="555">
        <f t="shared" si="91"/>
        <v>60.289400656725419</v>
      </c>
      <c r="O56" s="555">
        <f t="shared" si="91"/>
        <v>54.126484145149043</v>
      </c>
      <c r="P56" s="555">
        <f t="shared" si="91"/>
        <v>47.834280363275475</v>
      </c>
      <c r="Q56" s="555">
        <f t="shared" si="91"/>
        <v>41.410819857349914</v>
      </c>
      <c r="R56" s="555">
        <f t="shared" si="91"/>
        <v>34.854106713269509</v>
      </c>
      <c r="S56" s="555">
        <f t="shared" si="91"/>
        <v>35.202647780402195</v>
      </c>
      <c r="T56" s="555">
        <f t="shared" si="91"/>
        <v>35.554674258206219</v>
      </c>
    </row>
    <row r="57" spans="2:20">
      <c r="B57" s="1" t="s">
        <v>102</v>
      </c>
      <c r="C57" s="31"/>
      <c r="D57" s="31"/>
      <c r="E57" s="31"/>
      <c r="F57" s="31"/>
      <c r="G57" s="31"/>
      <c r="H57" s="560">
        <f t="shared" ref="H57:P57" si="92">CHOOSE($H$3,H11,H12,H13)</f>
        <v>0</v>
      </c>
      <c r="I57" s="560">
        <f t="shared" si="92"/>
        <v>0.05</v>
      </c>
      <c r="J57" s="560">
        <f t="shared" si="92"/>
        <v>0.1</v>
      </c>
      <c r="K57" s="560">
        <f t="shared" si="92"/>
        <v>7.4999999999999997E-2</v>
      </c>
      <c r="L57" s="560">
        <f t="shared" si="92"/>
        <v>6.25E-2</v>
      </c>
      <c r="M57" s="560">
        <f t="shared" si="92"/>
        <v>0.05</v>
      </c>
      <c r="N57" s="560">
        <f t="shared" si="92"/>
        <v>4.5000000000000005E-2</v>
      </c>
      <c r="O57" s="560">
        <f t="shared" si="92"/>
        <v>4.0000000000000008E-2</v>
      </c>
      <c r="P57" s="560">
        <f t="shared" si="92"/>
        <v>3.500000000000001E-2</v>
      </c>
      <c r="Q57" s="560">
        <f t="shared" ref="Q57:T57" si="93">CHOOSE($H$3,Q11,Q12,Q13)</f>
        <v>3.0000000000000009E-2</v>
      </c>
      <c r="R57" s="560">
        <f t="shared" si="93"/>
        <v>2.5000000000000008E-2</v>
      </c>
      <c r="S57" s="560">
        <f t="shared" si="93"/>
        <v>2.5000000000000001E-2</v>
      </c>
      <c r="T57" s="560">
        <f t="shared" si="93"/>
        <v>2.5000000000000001E-2</v>
      </c>
    </row>
    <row r="58" spans="2:20">
      <c r="B58" s="1"/>
      <c r="C58" s="3"/>
      <c r="D58" s="3"/>
      <c r="E58" s="3"/>
      <c r="F58" s="3"/>
      <c r="G58" s="3"/>
      <c r="H58" s="559"/>
      <c r="I58" s="559"/>
      <c r="J58" s="559"/>
      <c r="K58" s="559"/>
      <c r="L58" s="559"/>
      <c r="M58" s="559"/>
      <c r="N58" s="559"/>
      <c r="O58" s="559"/>
      <c r="P58" s="559"/>
      <c r="Q58" s="559"/>
      <c r="R58" s="559"/>
      <c r="S58" s="559"/>
      <c r="T58" s="559"/>
    </row>
    <row r="59" spans="2:20">
      <c r="B59" s="181" t="s">
        <v>508</v>
      </c>
      <c r="C59" s="26"/>
      <c r="D59" s="26"/>
      <c r="E59" s="26"/>
      <c r="F59" s="26"/>
      <c r="G59" s="26"/>
      <c r="H59" s="555">
        <f t="shared" ref="H59:M59" si="94">H60*H53</f>
        <v>0</v>
      </c>
      <c r="I59" s="555">
        <f t="shared" si="94"/>
        <v>0</v>
      </c>
      <c r="J59" s="555">
        <f t="shared" si="94"/>
        <v>3.1868497806250007</v>
      </c>
      <c r="K59" s="555">
        <f t="shared" si="94"/>
        <v>9.4649438484562509</v>
      </c>
      <c r="L59" s="555">
        <f t="shared" si="94"/>
        <v>13.868054847856783</v>
      </c>
      <c r="M59" s="555">
        <f t="shared" si="94"/>
        <v>17.278920250248593</v>
      </c>
      <c r="N59" s="555">
        <f>N60*N53</f>
        <v>19.731222898722162</v>
      </c>
      <c r="O59" s="555">
        <f t="shared" ref="O59" si="95">O60*O53</f>
        <v>21.759131786622326</v>
      </c>
      <c r="P59" s="555">
        <f>P60*P53</f>
        <v>23.377499404548661</v>
      </c>
      <c r="Q59" s="555">
        <f t="shared" ref="Q59:T59" si="96">Q60*Q53</f>
        <v>24.600338452485005</v>
      </c>
      <c r="R59" s="555">
        <f t="shared" si="96"/>
        <v>25.440862522728253</v>
      </c>
      <c r="S59" s="555">
        <f t="shared" si="96"/>
        <v>25.911524732255312</v>
      </c>
      <c r="T59" s="555">
        <f t="shared" si="96"/>
        <v>26.376080884662656</v>
      </c>
    </row>
    <row r="60" spans="2:20">
      <c r="B60" s="1" t="s">
        <v>509</v>
      </c>
      <c r="C60" s="33"/>
      <c r="D60" s="33"/>
      <c r="E60" s="33"/>
      <c r="F60" s="39"/>
      <c r="G60" s="39"/>
      <c r="H60" s="561">
        <v>0.05</v>
      </c>
      <c r="I60" s="561">
        <f t="shared" ref="I60:P60" si="97">H60</f>
        <v>0.05</v>
      </c>
      <c r="J60" s="561">
        <f t="shared" si="97"/>
        <v>0.05</v>
      </c>
      <c r="K60" s="561">
        <f t="shared" si="97"/>
        <v>0.05</v>
      </c>
      <c r="L60" s="561">
        <f t="shared" si="97"/>
        <v>0.05</v>
      </c>
      <c r="M60" s="561">
        <f t="shared" si="97"/>
        <v>0.05</v>
      </c>
      <c r="N60" s="561">
        <f t="shared" si="97"/>
        <v>0.05</v>
      </c>
      <c r="O60" s="561">
        <f t="shared" si="97"/>
        <v>0.05</v>
      </c>
      <c r="P60" s="561">
        <f t="shared" si="97"/>
        <v>0.05</v>
      </c>
      <c r="Q60" s="561">
        <f t="shared" ref="Q60" si="98">P60</f>
        <v>0.05</v>
      </c>
      <c r="R60" s="561">
        <f t="shared" ref="R60" si="99">Q60</f>
        <v>0.05</v>
      </c>
      <c r="S60" s="561">
        <f t="shared" ref="S60" si="100">R60</f>
        <v>0.05</v>
      </c>
      <c r="T60" s="561">
        <f t="shared" ref="T60" si="101">S60</f>
        <v>0.05</v>
      </c>
    </row>
    <row r="61" spans="2:20">
      <c r="B61" s="23"/>
      <c r="C61" s="3"/>
      <c r="D61" s="3"/>
      <c r="E61" s="3"/>
      <c r="F61" s="3"/>
      <c r="G61" s="3"/>
      <c r="H61" s="559"/>
      <c r="I61" s="559"/>
      <c r="J61" s="559"/>
      <c r="K61" s="559"/>
      <c r="L61" s="559"/>
      <c r="M61" s="559"/>
      <c r="N61" s="559"/>
      <c r="O61" s="559"/>
      <c r="P61" s="559"/>
      <c r="Q61" s="559"/>
      <c r="R61" s="559"/>
      <c r="S61" s="559"/>
      <c r="T61" s="559"/>
    </row>
    <row r="62" spans="2:20">
      <c r="B62" s="23" t="s">
        <v>118</v>
      </c>
      <c r="C62" s="26"/>
      <c r="D62" s="26"/>
      <c r="E62" s="26"/>
      <c r="F62" s="26"/>
      <c r="G62" s="26"/>
      <c r="H62" s="555">
        <f t="shared" ref="H62:M62" si="102">H53+H56-H59</f>
        <v>0</v>
      </c>
      <c r="I62" s="555">
        <f t="shared" si="102"/>
        <v>63.73699561250001</v>
      </c>
      <c r="J62" s="555">
        <f t="shared" si="102"/>
        <v>189.29887696912502</v>
      </c>
      <c r="K62" s="555">
        <f t="shared" si="102"/>
        <v>277.36109695713566</v>
      </c>
      <c r="L62" s="555">
        <f t="shared" si="102"/>
        <v>345.57840500497184</v>
      </c>
      <c r="M62" s="555">
        <f t="shared" si="102"/>
        <v>394.6244579744432</v>
      </c>
      <c r="N62" s="555">
        <f>N53+N56-N59</f>
        <v>435.1826357324465</v>
      </c>
      <c r="O62" s="555">
        <f t="shared" ref="O62" si="103">O53+O56-O59</f>
        <v>467.54998809097322</v>
      </c>
      <c r="P62" s="555">
        <f>P53+P56-P59</f>
        <v>492.0067690497001</v>
      </c>
      <c r="Q62" s="555">
        <f t="shared" ref="Q62:T62" si="104">Q53+Q56-Q59</f>
        <v>508.817250454565</v>
      </c>
      <c r="R62" s="555">
        <f t="shared" si="104"/>
        <v>518.23049464510621</v>
      </c>
      <c r="S62" s="555">
        <f t="shared" si="104"/>
        <v>527.52161769325312</v>
      </c>
      <c r="T62" s="555">
        <f t="shared" si="104"/>
        <v>536.70021106679667</v>
      </c>
    </row>
    <row r="63" spans="2:20">
      <c r="B63" s="25" t="s">
        <v>93</v>
      </c>
      <c r="C63" s="32"/>
      <c r="D63" s="32"/>
      <c r="E63" s="32"/>
      <c r="F63" s="32"/>
      <c r="G63" s="32"/>
      <c r="H63" s="562">
        <f>H62/H50</f>
        <v>0</v>
      </c>
      <c r="I63" s="562">
        <f t="shared" ref="I63:T63" si="105">I62/I50</f>
        <v>0.05</v>
      </c>
      <c r="J63" s="562">
        <f t="shared" si="105"/>
        <v>0.14702970297029702</v>
      </c>
      <c r="K63" s="562">
        <f t="shared" si="105"/>
        <v>0.21329526517008135</v>
      </c>
      <c r="L63" s="562">
        <f t="shared" si="105"/>
        <v>0.26312425931839334</v>
      </c>
      <c r="M63" s="562">
        <f t="shared" si="105"/>
        <v>0.29749311520046906</v>
      </c>
      <c r="N63" s="562">
        <f t="shared" si="105"/>
        <v>0.32482025687172827</v>
      </c>
      <c r="O63" s="562">
        <f t="shared" si="105"/>
        <v>0.34552400398825928</v>
      </c>
      <c r="P63" s="562">
        <f t="shared" si="105"/>
        <v>0.35999782553351128</v>
      </c>
      <c r="Q63" s="562">
        <f t="shared" si="105"/>
        <v>0.36861181609587695</v>
      </c>
      <c r="R63" s="562">
        <f t="shared" si="105"/>
        <v>0.37171408444661691</v>
      </c>
      <c r="S63" s="562">
        <f t="shared" si="105"/>
        <v>0.374632059628006</v>
      </c>
      <c r="T63" s="562">
        <f t="shared" si="105"/>
        <v>0.37737668974911454</v>
      </c>
    </row>
    <row r="64" spans="2:20">
      <c r="B64" s="21"/>
      <c r="H64" s="563"/>
      <c r="I64" s="563"/>
      <c r="J64" s="563"/>
      <c r="K64" s="563"/>
      <c r="L64" s="563"/>
      <c r="M64" s="563"/>
      <c r="N64" s="563"/>
      <c r="O64" s="563"/>
      <c r="P64" s="563"/>
    </row>
    <row r="65" spans="2:20">
      <c r="B65" s="24" t="s">
        <v>94</v>
      </c>
      <c r="F65" s="37"/>
      <c r="G65" s="37"/>
      <c r="H65" s="564">
        <v>6</v>
      </c>
      <c r="I65" s="564">
        <f t="shared" ref="I65:M66" si="106">H65</f>
        <v>6</v>
      </c>
      <c r="J65" s="564">
        <f t="shared" si="106"/>
        <v>6</v>
      </c>
      <c r="K65" s="564">
        <f t="shared" si="106"/>
        <v>6</v>
      </c>
      <c r="L65" s="564">
        <f t="shared" si="106"/>
        <v>6</v>
      </c>
      <c r="M65" s="564">
        <f t="shared" si="106"/>
        <v>6</v>
      </c>
      <c r="N65" s="564">
        <f>M65</f>
        <v>6</v>
      </c>
      <c r="O65" s="564">
        <f t="shared" ref="O65:O66" si="107">N65</f>
        <v>6</v>
      </c>
      <c r="P65" s="564">
        <f>O65</f>
        <v>6</v>
      </c>
      <c r="Q65" s="564">
        <f t="shared" ref="Q65:T65" si="108">P65</f>
        <v>6</v>
      </c>
      <c r="R65" s="564">
        <f t="shared" si="108"/>
        <v>6</v>
      </c>
      <c r="S65" s="564">
        <f t="shared" si="108"/>
        <v>6</v>
      </c>
      <c r="T65" s="564">
        <f t="shared" si="108"/>
        <v>6</v>
      </c>
    </row>
    <row r="66" spans="2:20">
      <c r="B66" s="24" t="s">
        <v>95</v>
      </c>
      <c r="F66" s="37"/>
      <c r="G66" s="37"/>
      <c r="H66" s="564">
        <v>11</v>
      </c>
      <c r="I66" s="564">
        <f t="shared" si="106"/>
        <v>11</v>
      </c>
      <c r="J66" s="564">
        <f t="shared" si="106"/>
        <v>11</v>
      </c>
      <c r="K66" s="564">
        <f t="shared" si="106"/>
        <v>11</v>
      </c>
      <c r="L66" s="564">
        <f t="shared" si="106"/>
        <v>11</v>
      </c>
      <c r="M66" s="564">
        <f t="shared" si="106"/>
        <v>11</v>
      </c>
      <c r="N66" s="564">
        <f>M66</f>
        <v>11</v>
      </c>
      <c r="O66" s="564">
        <f t="shared" si="107"/>
        <v>11</v>
      </c>
      <c r="P66" s="564">
        <f>O66</f>
        <v>11</v>
      </c>
      <c r="Q66" s="564">
        <f t="shared" ref="Q66:T66" si="109">P66</f>
        <v>11</v>
      </c>
      <c r="R66" s="564">
        <f t="shared" si="109"/>
        <v>11</v>
      </c>
      <c r="S66" s="564">
        <f t="shared" si="109"/>
        <v>11</v>
      </c>
      <c r="T66" s="564">
        <f t="shared" si="109"/>
        <v>11</v>
      </c>
    </row>
    <row r="67" spans="2:20">
      <c r="B67" s="21"/>
      <c r="H67" s="563"/>
      <c r="I67" s="563"/>
      <c r="J67" s="563"/>
      <c r="K67" s="563"/>
      <c r="L67" s="563"/>
      <c r="M67" s="563"/>
      <c r="N67" s="563"/>
      <c r="O67" s="563"/>
      <c r="P67" s="563"/>
      <c r="Q67" s="563"/>
      <c r="R67" s="563"/>
      <c r="S67" s="563"/>
      <c r="T67" s="563"/>
    </row>
    <row r="68" spans="2:20">
      <c r="B68" s="24" t="s">
        <v>104</v>
      </c>
      <c r="C68" s="26"/>
      <c r="D68" s="26"/>
      <c r="E68" s="26"/>
      <c r="F68" s="26"/>
      <c r="G68" s="26"/>
      <c r="H68" s="555">
        <f>(300000/12)*0.667</f>
        <v>16675</v>
      </c>
      <c r="I68" s="555">
        <f t="shared" ref="I68:P68" si="110">H68*(1+I69)</f>
        <v>16675</v>
      </c>
      <c r="J68" s="555">
        <f t="shared" si="110"/>
        <v>16675</v>
      </c>
      <c r="K68" s="555">
        <f t="shared" si="110"/>
        <v>16675</v>
      </c>
      <c r="L68" s="555">
        <f t="shared" si="110"/>
        <v>16675</v>
      </c>
      <c r="M68" s="555">
        <f t="shared" si="110"/>
        <v>16675</v>
      </c>
      <c r="N68" s="555">
        <f t="shared" si="110"/>
        <v>16675</v>
      </c>
      <c r="O68" s="555">
        <f t="shared" si="110"/>
        <v>16675</v>
      </c>
      <c r="P68" s="555">
        <f t="shared" si="110"/>
        <v>16675</v>
      </c>
      <c r="Q68" s="555">
        <f t="shared" ref="Q68" si="111">P68*(1+Q69)</f>
        <v>16675</v>
      </c>
      <c r="R68" s="555">
        <f t="shared" ref="R68" si="112">Q68*(1+R69)</f>
        <v>16675</v>
      </c>
      <c r="S68" s="555">
        <f t="shared" ref="S68" si="113">R68*(1+S69)</f>
        <v>16675</v>
      </c>
      <c r="T68" s="555">
        <f t="shared" ref="T68" si="114">S68*(1+T69)</f>
        <v>16675</v>
      </c>
    </row>
    <row r="69" spans="2:20">
      <c r="B69" s="1" t="s">
        <v>96</v>
      </c>
      <c r="C69" s="34"/>
      <c r="D69" s="35"/>
      <c r="E69" s="35"/>
      <c r="F69" s="35"/>
      <c r="G69" s="35"/>
      <c r="H69" s="556"/>
      <c r="I69" s="556">
        <v>0</v>
      </c>
      <c r="J69" s="556">
        <f t="shared" ref="J69:P69" si="115">I69</f>
        <v>0</v>
      </c>
      <c r="K69" s="556">
        <f t="shared" si="115"/>
        <v>0</v>
      </c>
      <c r="L69" s="556">
        <f t="shared" si="115"/>
        <v>0</v>
      </c>
      <c r="M69" s="556">
        <f t="shared" si="115"/>
        <v>0</v>
      </c>
      <c r="N69" s="556">
        <f t="shared" si="115"/>
        <v>0</v>
      </c>
      <c r="O69" s="556">
        <f t="shared" si="115"/>
        <v>0</v>
      </c>
      <c r="P69" s="556">
        <f t="shared" si="115"/>
        <v>0</v>
      </c>
      <c r="Q69" s="556">
        <f t="shared" ref="Q69" si="116">P69</f>
        <v>0</v>
      </c>
      <c r="R69" s="556">
        <f t="shared" ref="R69" si="117">Q69</f>
        <v>0</v>
      </c>
      <c r="S69" s="556">
        <f t="shared" ref="S69" si="118">R69</f>
        <v>0</v>
      </c>
      <c r="T69" s="556">
        <f t="shared" ref="T69" si="119">S69</f>
        <v>0</v>
      </c>
    </row>
    <row r="70" spans="2:20">
      <c r="B70" s="24" t="s">
        <v>105</v>
      </c>
      <c r="C70" s="26"/>
      <c r="D70" s="26"/>
      <c r="E70" s="26"/>
      <c r="F70" s="26"/>
      <c r="G70" s="26"/>
      <c r="H70" s="555">
        <f t="shared" ref="H70:M70" si="120">H68*(1-H71)</f>
        <v>14173.75</v>
      </c>
      <c r="I70" s="555">
        <f t="shared" si="120"/>
        <v>14173.75</v>
      </c>
      <c r="J70" s="555">
        <f t="shared" si="120"/>
        <v>14173.75</v>
      </c>
      <c r="K70" s="555">
        <f t="shared" si="120"/>
        <v>14173.75</v>
      </c>
      <c r="L70" s="555">
        <f t="shared" si="120"/>
        <v>14173.75</v>
      </c>
      <c r="M70" s="555">
        <f t="shared" si="120"/>
        <v>14173.75</v>
      </c>
      <c r="N70" s="555">
        <f>N68*(1-N71)</f>
        <v>14173.75</v>
      </c>
      <c r="O70" s="555">
        <f t="shared" ref="O70" si="121">O68*(1-O71)</f>
        <v>14173.75</v>
      </c>
      <c r="P70" s="555">
        <f>P68*(1-P71)</f>
        <v>14173.75</v>
      </c>
      <c r="Q70" s="555">
        <f t="shared" ref="Q70:T70" si="122">Q68*(1-Q71)</f>
        <v>14173.75</v>
      </c>
      <c r="R70" s="555">
        <f t="shared" si="122"/>
        <v>14173.75</v>
      </c>
      <c r="S70" s="555">
        <f t="shared" si="122"/>
        <v>14173.75</v>
      </c>
      <c r="T70" s="555">
        <f t="shared" si="122"/>
        <v>14173.75</v>
      </c>
    </row>
    <row r="71" spans="2:20">
      <c r="B71" s="1" t="s">
        <v>103</v>
      </c>
      <c r="C71" s="35"/>
      <c r="D71" s="35"/>
      <c r="E71" s="35"/>
      <c r="F71" s="35"/>
      <c r="G71" s="35"/>
      <c r="H71" s="556">
        <v>0.15</v>
      </c>
      <c r="I71" s="556">
        <f t="shared" ref="I71:P71" si="123">H71</f>
        <v>0.15</v>
      </c>
      <c r="J71" s="556">
        <f t="shared" si="123"/>
        <v>0.15</v>
      </c>
      <c r="K71" s="556">
        <f t="shared" si="123"/>
        <v>0.15</v>
      </c>
      <c r="L71" s="556">
        <f t="shared" si="123"/>
        <v>0.15</v>
      </c>
      <c r="M71" s="556">
        <f t="shared" si="123"/>
        <v>0.15</v>
      </c>
      <c r="N71" s="556">
        <f t="shared" si="123"/>
        <v>0.15</v>
      </c>
      <c r="O71" s="556">
        <f t="shared" si="123"/>
        <v>0.15</v>
      </c>
      <c r="P71" s="556">
        <f t="shared" si="123"/>
        <v>0.15</v>
      </c>
      <c r="Q71" s="556">
        <f t="shared" ref="Q71" si="124">P71</f>
        <v>0.15</v>
      </c>
      <c r="R71" s="556">
        <f t="shared" ref="R71" si="125">Q71</f>
        <v>0.15</v>
      </c>
      <c r="S71" s="556">
        <f t="shared" ref="S71" si="126">R71</f>
        <v>0.15</v>
      </c>
      <c r="T71" s="556">
        <f t="shared" ref="T71" si="127">S71</f>
        <v>0.15</v>
      </c>
    </row>
    <row r="72" spans="2:20">
      <c r="H72" s="563"/>
      <c r="I72" s="563"/>
      <c r="J72" s="563"/>
      <c r="K72" s="563"/>
      <c r="L72" s="563"/>
      <c r="M72" s="563"/>
      <c r="N72" s="563"/>
      <c r="O72" s="563"/>
      <c r="P72" s="563"/>
    </row>
    <row r="73" spans="2:20">
      <c r="B73" s="400" t="s">
        <v>122</v>
      </c>
      <c r="C73" s="18"/>
      <c r="D73" s="18"/>
      <c r="E73" s="18"/>
      <c r="F73" s="259"/>
      <c r="G73" s="259"/>
      <c r="H73" s="565">
        <f t="shared" ref="H73:M73" si="128">H53*H66*H70/1000000+H56*H65*H70/1000000</f>
        <v>0</v>
      </c>
      <c r="I73" s="565">
        <f t="shared" si="128"/>
        <v>5.4203534493760319</v>
      </c>
      <c r="J73" s="565">
        <f t="shared" si="128"/>
        <v>20.886428624928975</v>
      </c>
      <c r="K73" s="565">
        <f t="shared" si="128"/>
        <v>37.807778362415235</v>
      </c>
      <c r="L73" s="565">
        <f t="shared" si="128"/>
        <v>50.22445980201519</v>
      </c>
      <c r="M73" s="565">
        <f t="shared" si="128"/>
        <v>59.52000263236944</v>
      </c>
      <c r="N73" s="565">
        <f>N53*N66*N70/1000000+N56*N65*N70/1000000</f>
        <v>66.653553878717474</v>
      </c>
      <c r="O73" s="565">
        <f t="shared" ref="O73:T73" si="129">O53*O66*O70/1000000+O56*O65*O70/1000000</f>
        <v>72.452920243254226</v>
      </c>
      <c r="P73" s="565">
        <f t="shared" si="129"/>
        <v>76.964249868542609</v>
      </c>
      <c r="Q73" s="565">
        <f t="shared" si="129"/>
        <v>80.231070018718739</v>
      </c>
      <c r="R73" s="565">
        <f t="shared" si="129"/>
        <v>82.294413910097504</v>
      </c>
      <c r="S73" s="565">
        <f t="shared" si="129"/>
        <v>83.791685382101676</v>
      </c>
      <c r="T73" s="566">
        <f t="shared" si="129"/>
        <v>85.270213202180713</v>
      </c>
    </row>
    <row r="74" spans="2:20">
      <c r="H74" s="563"/>
      <c r="I74" s="563"/>
      <c r="J74" s="563"/>
      <c r="K74" s="563"/>
      <c r="L74" s="563"/>
      <c r="M74" s="563"/>
      <c r="N74" s="563"/>
      <c r="O74" s="563"/>
      <c r="P74" s="563"/>
    </row>
    <row r="75" spans="2:20">
      <c r="B75" s="400" t="s">
        <v>514</v>
      </c>
      <c r="C75" s="18"/>
      <c r="D75" s="18"/>
      <c r="E75" s="18"/>
      <c r="F75" s="259"/>
      <c r="G75" s="259"/>
      <c r="H75" s="565">
        <f>H73+H43</f>
        <v>0</v>
      </c>
      <c r="I75" s="565">
        <f t="shared" ref="I75:T75" si="130">I73+I43</f>
        <v>18.173566296404402</v>
      </c>
      <c r="J75" s="565">
        <f t="shared" si="130"/>
        <v>71.011656398889301</v>
      </c>
      <c r="K75" s="565">
        <f t="shared" si="130"/>
        <v>130.35715608499913</v>
      </c>
      <c r="L75" s="565">
        <f t="shared" si="130"/>
        <v>175.62742068757905</v>
      </c>
      <c r="M75" s="565">
        <f t="shared" si="130"/>
        <v>211.10479385297157</v>
      </c>
      <c r="N75" s="565">
        <f t="shared" si="130"/>
        <v>237.58120766963299</v>
      </c>
      <c r="O75" s="565">
        <f t="shared" si="130"/>
        <v>258.7541522351421</v>
      </c>
      <c r="P75" s="565">
        <f t="shared" si="130"/>
        <v>276.52934501191544</v>
      </c>
      <c r="Q75" s="565">
        <f t="shared" si="130"/>
        <v>290.19065595751397</v>
      </c>
      <c r="R75" s="565">
        <f t="shared" si="130"/>
        <v>301.36914472776971</v>
      </c>
      <c r="S75" s="565">
        <f t="shared" si="130"/>
        <v>312.17083312710372</v>
      </c>
      <c r="T75" s="566">
        <f t="shared" si="130"/>
        <v>323.15143210396212</v>
      </c>
    </row>
  </sheetData>
  <pageMargins left="0" right="0" top="0" bottom="0" header="0" footer="0"/>
  <pageSetup paperSize="5" scale="61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B2:T149"/>
  <sheetViews>
    <sheetView showGridLines="0" zoomScale="85" zoomScaleNormal="85" workbookViewId="0">
      <selection activeCell="B41" sqref="B41"/>
    </sheetView>
  </sheetViews>
  <sheetFormatPr defaultRowHeight="12.75" outlineLevelRow="1"/>
  <cols>
    <col min="1" max="1" width="4.42578125" customWidth="1"/>
    <col min="2" max="2" width="39.85546875" bestFit="1" customWidth="1"/>
    <col min="3" max="6" width="10.42578125" hidden="1" customWidth="1"/>
    <col min="7" max="7" width="9.140625" hidden="1" customWidth="1"/>
  </cols>
  <sheetData>
    <row r="2" spans="2:20">
      <c r="B2" s="10" t="s">
        <v>85</v>
      </c>
      <c r="C2" s="10"/>
      <c r="D2" s="10"/>
      <c r="E2" s="10"/>
      <c r="F2" s="10"/>
    </row>
    <row r="3" spans="2:20">
      <c r="B3" s="11" t="s">
        <v>86</v>
      </c>
      <c r="H3" s="12">
        <f>DCF!C31</f>
        <v>2</v>
      </c>
      <c r="J3" s="13" t="s">
        <v>87</v>
      </c>
      <c r="K3" s="14">
        <f>DCF!C23</f>
        <v>117.89998532386268</v>
      </c>
    </row>
    <row r="5" spans="2:20" hidden="1" outlineLevel="1">
      <c r="B5" s="4" t="s">
        <v>116</v>
      </c>
      <c r="C5" s="5">
        <v>2013</v>
      </c>
      <c r="D5" s="5">
        <v>2014</v>
      </c>
      <c r="E5" s="5">
        <v>2015</v>
      </c>
      <c r="F5" s="5">
        <v>2016</v>
      </c>
      <c r="G5" s="5">
        <v>2017</v>
      </c>
      <c r="H5" s="5">
        <v>2018</v>
      </c>
      <c r="I5" s="5">
        <v>2019</v>
      </c>
      <c r="J5" s="5">
        <v>2020</v>
      </c>
      <c r="K5" s="5">
        <v>2021</v>
      </c>
      <c r="L5" s="5">
        <v>2022</v>
      </c>
      <c r="M5" s="5">
        <v>2023</v>
      </c>
      <c r="N5" s="5">
        <v>2024</v>
      </c>
      <c r="O5" s="5">
        <v>2025</v>
      </c>
      <c r="P5" s="5">
        <v>2026</v>
      </c>
      <c r="Q5" s="5">
        <v>2027</v>
      </c>
      <c r="R5" s="5">
        <v>2028</v>
      </c>
      <c r="S5" s="5">
        <v>2029</v>
      </c>
      <c r="T5" s="285">
        <v>2030</v>
      </c>
    </row>
    <row r="6" spans="2:20" hidden="1" outlineLevel="1">
      <c r="B6" s="8" t="s">
        <v>82</v>
      </c>
      <c r="C6" s="7"/>
      <c r="D6" s="7"/>
      <c r="E6" s="7"/>
      <c r="F6" s="9"/>
      <c r="G6" s="9"/>
      <c r="H6" s="224">
        <v>0</v>
      </c>
      <c r="I6" s="224">
        <v>0.01</v>
      </c>
      <c r="J6" s="224">
        <v>4.4999999999999998E-2</v>
      </c>
      <c r="K6" s="224">
        <f t="shared" ref="K6:P6" si="0">J6-0.005</f>
        <v>0.04</v>
      </c>
      <c r="L6" s="224">
        <f t="shared" si="0"/>
        <v>3.5000000000000003E-2</v>
      </c>
      <c r="M6" s="224">
        <f t="shared" si="0"/>
        <v>3.0000000000000002E-2</v>
      </c>
      <c r="N6" s="224">
        <f t="shared" si="0"/>
        <v>2.5000000000000001E-2</v>
      </c>
      <c r="O6" s="224">
        <f t="shared" si="0"/>
        <v>0.02</v>
      </c>
      <c r="P6" s="224">
        <f t="shared" si="0"/>
        <v>1.4999999999999999E-2</v>
      </c>
      <c r="Q6" s="224">
        <f>P6-0.0025</f>
        <v>1.2499999999999999E-2</v>
      </c>
      <c r="R6" s="224">
        <f t="shared" ref="R6:T6" si="1">Q6-0.0025</f>
        <v>9.9999999999999985E-3</v>
      </c>
      <c r="S6" s="224">
        <f t="shared" si="1"/>
        <v>7.499999999999998E-3</v>
      </c>
      <c r="T6" s="224">
        <f t="shared" si="1"/>
        <v>4.9999999999999975E-3</v>
      </c>
    </row>
    <row r="7" spans="2:20" hidden="1" outlineLevel="1">
      <c r="B7" s="8" t="s">
        <v>83</v>
      </c>
      <c r="C7" s="7"/>
      <c r="D7" s="7"/>
      <c r="E7" s="7"/>
      <c r="F7" s="9"/>
      <c r="G7" s="9"/>
      <c r="H7" s="224">
        <v>0</v>
      </c>
      <c r="I7" s="224">
        <v>0</v>
      </c>
      <c r="J7" s="224">
        <v>0</v>
      </c>
      <c r="K7" s="224">
        <v>0</v>
      </c>
      <c r="L7" s="224">
        <v>0</v>
      </c>
      <c r="M7" s="224">
        <v>0</v>
      </c>
      <c r="N7" s="224">
        <v>0</v>
      </c>
      <c r="O7" s="224">
        <v>0</v>
      </c>
      <c r="P7" s="224">
        <v>0</v>
      </c>
      <c r="Q7" s="224">
        <v>0</v>
      </c>
      <c r="R7" s="224">
        <v>0</v>
      </c>
      <c r="S7" s="224">
        <v>0</v>
      </c>
      <c r="T7" s="224">
        <v>0</v>
      </c>
    </row>
    <row r="8" spans="2:20" hidden="1" outlineLevel="1">
      <c r="B8" s="6" t="s">
        <v>84</v>
      </c>
      <c r="C8" s="7"/>
      <c r="D8" s="7"/>
      <c r="E8" s="7"/>
      <c r="F8" s="9"/>
      <c r="G8" s="9"/>
      <c r="H8" s="224">
        <v>0</v>
      </c>
      <c r="I8" s="224">
        <v>0</v>
      </c>
      <c r="J8" s="224">
        <v>0</v>
      </c>
      <c r="K8" s="224">
        <v>0</v>
      </c>
      <c r="L8" s="224">
        <v>0</v>
      </c>
      <c r="M8" s="224">
        <v>0</v>
      </c>
      <c r="N8" s="224">
        <v>0</v>
      </c>
      <c r="O8" s="224">
        <v>0</v>
      </c>
      <c r="P8" s="224">
        <v>0</v>
      </c>
      <c r="Q8" s="224">
        <v>0</v>
      </c>
      <c r="R8" s="224">
        <v>0</v>
      </c>
      <c r="S8" s="224">
        <v>0</v>
      </c>
      <c r="T8" s="224">
        <v>0</v>
      </c>
    </row>
    <row r="9" spans="2:20" hidden="1" outlineLevel="1">
      <c r="B9" s="6"/>
      <c r="C9" s="7"/>
      <c r="D9" s="7"/>
      <c r="E9" s="7"/>
      <c r="F9" s="8"/>
      <c r="G9" s="8"/>
      <c r="H9" s="9"/>
      <c r="I9" s="9"/>
      <c r="J9" s="9"/>
      <c r="K9" s="9"/>
      <c r="L9" s="9"/>
      <c r="M9" s="9"/>
      <c r="N9" s="9"/>
      <c r="O9" s="9"/>
      <c r="P9" s="9"/>
    </row>
    <row r="10" spans="2:20" hidden="1" outlineLevel="1">
      <c r="B10" s="4" t="s">
        <v>123</v>
      </c>
      <c r="C10" s="5">
        <v>2013</v>
      </c>
      <c r="D10" s="5">
        <v>2014</v>
      </c>
      <c r="E10" s="5">
        <v>2015</v>
      </c>
      <c r="F10" s="5">
        <v>2016</v>
      </c>
      <c r="G10" s="5">
        <v>2017</v>
      </c>
      <c r="H10" s="5">
        <v>2018</v>
      </c>
      <c r="I10" s="5">
        <v>2019</v>
      </c>
      <c r="J10" s="5">
        <v>2020</v>
      </c>
      <c r="K10" s="5">
        <v>2021</v>
      </c>
      <c r="L10" s="5">
        <v>2022</v>
      </c>
      <c r="M10" s="5">
        <v>2023</v>
      </c>
      <c r="N10" s="5">
        <v>2024</v>
      </c>
      <c r="O10" s="5">
        <v>2025</v>
      </c>
      <c r="P10" s="5">
        <v>2026</v>
      </c>
      <c r="Q10" s="5">
        <v>2027</v>
      </c>
      <c r="R10" s="5">
        <v>2028</v>
      </c>
      <c r="S10" s="5">
        <v>2029</v>
      </c>
      <c r="T10" s="285">
        <v>2030</v>
      </c>
    </row>
    <row r="11" spans="2:20" hidden="1" outlineLevel="1">
      <c r="B11" s="8" t="s">
        <v>82</v>
      </c>
      <c r="C11" s="7"/>
      <c r="D11" s="7"/>
      <c r="E11" s="7"/>
      <c r="F11" s="9"/>
      <c r="G11" s="9"/>
      <c r="H11" s="224">
        <f t="shared" ref="H11:I11" si="2">+H6*0.5</f>
        <v>0</v>
      </c>
      <c r="I11" s="224">
        <f t="shared" si="2"/>
        <v>5.0000000000000001E-3</v>
      </c>
      <c r="J11" s="224">
        <f t="shared" ref="J11:P11" si="3">+J6*0.5</f>
        <v>2.2499999999999999E-2</v>
      </c>
      <c r="K11" s="224">
        <f t="shared" si="3"/>
        <v>0.02</v>
      </c>
      <c r="L11" s="224">
        <f t="shared" si="3"/>
        <v>1.7500000000000002E-2</v>
      </c>
      <c r="M11" s="224">
        <f t="shared" si="3"/>
        <v>1.5000000000000001E-2</v>
      </c>
      <c r="N11" s="224">
        <f t="shared" si="3"/>
        <v>1.2500000000000001E-2</v>
      </c>
      <c r="O11" s="224">
        <f t="shared" si="3"/>
        <v>0.01</v>
      </c>
      <c r="P11" s="224">
        <f t="shared" si="3"/>
        <v>7.4999999999999997E-3</v>
      </c>
      <c r="Q11" s="224">
        <f>P11-0.0025</f>
        <v>4.9999999999999992E-3</v>
      </c>
      <c r="R11" s="224">
        <f t="shared" ref="R11:S11" si="4">Q11-0.0025</f>
        <v>2.4999999999999992E-3</v>
      </c>
      <c r="S11" s="224">
        <f t="shared" si="4"/>
        <v>0</v>
      </c>
      <c r="T11" s="224">
        <f>S11</f>
        <v>0</v>
      </c>
    </row>
    <row r="12" spans="2:20" hidden="1" outlineLevel="1">
      <c r="B12" s="8" t="s">
        <v>83</v>
      </c>
      <c r="G12" s="9"/>
      <c r="H12" s="224">
        <v>0</v>
      </c>
      <c r="I12" s="224">
        <f t="shared" ref="I12:P12" si="5">+I7*0.5</f>
        <v>0</v>
      </c>
      <c r="J12" s="224">
        <f t="shared" si="5"/>
        <v>0</v>
      </c>
      <c r="K12" s="224">
        <f t="shared" si="5"/>
        <v>0</v>
      </c>
      <c r="L12" s="224">
        <f t="shared" si="5"/>
        <v>0</v>
      </c>
      <c r="M12" s="224">
        <f t="shared" si="5"/>
        <v>0</v>
      </c>
      <c r="N12" s="224">
        <f t="shared" si="5"/>
        <v>0</v>
      </c>
      <c r="O12" s="224">
        <f t="shared" si="5"/>
        <v>0</v>
      </c>
      <c r="P12" s="224">
        <f t="shared" si="5"/>
        <v>0</v>
      </c>
      <c r="Q12" s="224">
        <f t="shared" ref="Q12:T12" si="6">+Q7*0.5</f>
        <v>0</v>
      </c>
      <c r="R12" s="224">
        <f t="shared" si="6"/>
        <v>0</v>
      </c>
      <c r="S12" s="224">
        <f t="shared" si="6"/>
        <v>0</v>
      </c>
      <c r="T12" s="224">
        <f t="shared" si="6"/>
        <v>0</v>
      </c>
    </row>
    <row r="13" spans="2:20" hidden="1" outlineLevel="1">
      <c r="B13" s="6" t="s">
        <v>84</v>
      </c>
      <c r="C13" s="7"/>
      <c r="D13" s="7"/>
      <c r="E13" s="7"/>
      <c r="F13" s="9"/>
      <c r="G13" s="9"/>
      <c r="H13" s="224">
        <v>0</v>
      </c>
      <c r="I13" s="224">
        <v>0</v>
      </c>
      <c r="J13" s="224">
        <v>0</v>
      </c>
      <c r="K13" s="224">
        <v>0</v>
      </c>
      <c r="L13" s="224">
        <v>0</v>
      </c>
      <c r="M13" s="224">
        <v>0</v>
      </c>
      <c r="N13" s="224">
        <v>0</v>
      </c>
      <c r="O13" s="224">
        <v>0</v>
      </c>
      <c r="P13" s="224">
        <v>0</v>
      </c>
      <c r="Q13" s="224">
        <v>0</v>
      </c>
      <c r="R13" s="224">
        <v>0</v>
      </c>
      <c r="S13" s="224">
        <v>0</v>
      </c>
      <c r="T13" s="224">
        <v>0</v>
      </c>
    </row>
    <row r="14" spans="2:20" hidden="1" outlineLevel="1">
      <c r="B14" s="6"/>
      <c r="C14" s="7"/>
      <c r="D14" s="7"/>
      <c r="E14" s="7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</row>
    <row r="15" spans="2:20" hidden="1" outlineLevel="1">
      <c r="B15" s="4" t="s">
        <v>124</v>
      </c>
      <c r="C15" s="5">
        <v>2013</v>
      </c>
      <c r="D15" s="5">
        <v>2014</v>
      </c>
      <c r="E15" s="5">
        <v>2015</v>
      </c>
      <c r="F15" s="5">
        <v>2016</v>
      </c>
      <c r="G15" s="5">
        <v>2017</v>
      </c>
      <c r="H15" s="5">
        <v>2018</v>
      </c>
      <c r="I15" s="5">
        <v>2019</v>
      </c>
      <c r="J15" s="5">
        <v>2020</v>
      </c>
      <c r="K15" s="5">
        <v>2021</v>
      </c>
      <c r="L15" s="5">
        <v>2022</v>
      </c>
      <c r="M15" s="5">
        <v>2023</v>
      </c>
      <c r="N15" s="5">
        <v>2024</v>
      </c>
      <c r="O15" s="5">
        <v>2025</v>
      </c>
      <c r="P15" s="5">
        <v>2026</v>
      </c>
      <c r="Q15" s="5">
        <v>2027</v>
      </c>
      <c r="R15" s="5">
        <v>2028</v>
      </c>
      <c r="S15" s="5">
        <v>2029</v>
      </c>
      <c r="T15" s="285">
        <v>2030</v>
      </c>
    </row>
    <row r="16" spans="2:20" hidden="1" outlineLevel="1">
      <c r="B16" s="8" t="s">
        <v>82</v>
      </c>
      <c r="C16" s="7"/>
      <c r="D16" s="7"/>
      <c r="E16" s="7"/>
      <c r="F16" s="9"/>
      <c r="G16" s="9"/>
      <c r="H16" s="224">
        <v>0</v>
      </c>
      <c r="I16" s="224">
        <v>0</v>
      </c>
      <c r="J16" s="224">
        <v>0</v>
      </c>
      <c r="K16" s="224">
        <v>0</v>
      </c>
      <c r="L16" s="224">
        <v>0</v>
      </c>
      <c r="M16" s="224">
        <v>0</v>
      </c>
      <c r="N16" s="224">
        <v>0</v>
      </c>
      <c r="O16" s="224">
        <v>0</v>
      </c>
      <c r="P16" s="224">
        <v>0</v>
      </c>
      <c r="Q16" s="224">
        <v>0</v>
      </c>
      <c r="R16" s="224">
        <v>0</v>
      </c>
      <c r="S16" s="224">
        <v>0</v>
      </c>
      <c r="T16" s="224">
        <v>0</v>
      </c>
    </row>
    <row r="17" spans="2:20" hidden="1" outlineLevel="1">
      <c r="B17" s="8" t="s">
        <v>83</v>
      </c>
      <c r="C17" s="7"/>
      <c r="D17" s="7"/>
      <c r="E17" s="7"/>
      <c r="F17" s="9"/>
      <c r="G17" s="9"/>
      <c r="H17" s="224">
        <v>0</v>
      </c>
      <c r="I17" s="224">
        <v>0</v>
      </c>
      <c r="J17" s="224">
        <v>0</v>
      </c>
      <c r="K17" s="224">
        <v>0</v>
      </c>
      <c r="L17" s="224">
        <v>0</v>
      </c>
      <c r="M17" s="224">
        <v>0</v>
      </c>
      <c r="N17" s="224">
        <v>0</v>
      </c>
      <c r="O17" s="224">
        <v>0</v>
      </c>
      <c r="P17" s="224">
        <v>0</v>
      </c>
      <c r="Q17" s="224">
        <v>0</v>
      </c>
      <c r="R17" s="224">
        <v>0</v>
      </c>
      <c r="S17" s="224">
        <v>0</v>
      </c>
      <c r="T17" s="224">
        <v>0</v>
      </c>
    </row>
    <row r="18" spans="2:20" hidden="1" outlineLevel="1">
      <c r="B18" s="6" t="s">
        <v>84</v>
      </c>
      <c r="C18" s="7"/>
      <c r="D18" s="7"/>
      <c r="E18" s="7"/>
      <c r="F18" s="9"/>
      <c r="G18" s="9"/>
      <c r="H18" s="224">
        <v>0</v>
      </c>
      <c r="I18" s="224">
        <v>0</v>
      </c>
      <c r="J18" s="224">
        <v>0</v>
      </c>
      <c r="K18" s="224">
        <v>0</v>
      </c>
      <c r="L18" s="224">
        <v>0</v>
      </c>
      <c r="M18" s="224">
        <v>0</v>
      </c>
      <c r="N18" s="224">
        <v>0</v>
      </c>
      <c r="O18" s="224">
        <v>0</v>
      </c>
      <c r="P18" s="224">
        <v>0</v>
      </c>
      <c r="Q18" s="224">
        <v>0</v>
      </c>
      <c r="R18" s="224">
        <v>0</v>
      </c>
      <c r="S18" s="224">
        <v>0</v>
      </c>
      <c r="T18" s="224">
        <v>0</v>
      </c>
    </row>
    <row r="19" spans="2:20" hidden="1" outlineLevel="1">
      <c r="B19" s="6"/>
      <c r="C19" s="7"/>
      <c r="D19" s="7"/>
      <c r="E19" s="7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</row>
    <row r="20" spans="2:20" hidden="1" outlineLevel="1">
      <c r="B20" s="4" t="s">
        <v>125</v>
      </c>
      <c r="C20" s="5">
        <v>2013</v>
      </c>
      <c r="D20" s="5">
        <v>2014</v>
      </c>
      <c r="E20" s="5">
        <v>2015</v>
      </c>
      <c r="F20" s="5">
        <v>2016</v>
      </c>
      <c r="G20" s="5">
        <v>2017</v>
      </c>
      <c r="H20" s="5">
        <v>2018</v>
      </c>
      <c r="I20" s="5">
        <v>2019</v>
      </c>
      <c r="J20" s="5">
        <v>2020</v>
      </c>
      <c r="K20" s="5">
        <v>2021</v>
      </c>
      <c r="L20" s="5">
        <v>2022</v>
      </c>
      <c r="M20" s="5">
        <v>2023</v>
      </c>
      <c r="N20" s="5">
        <v>2024</v>
      </c>
      <c r="O20" s="5">
        <v>2025</v>
      </c>
      <c r="P20" s="5">
        <v>2026</v>
      </c>
      <c r="Q20" s="5">
        <v>2027</v>
      </c>
      <c r="R20" s="5">
        <v>2028</v>
      </c>
      <c r="S20" s="5">
        <v>2029</v>
      </c>
      <c r="T20" s="285">
        <v>2030</v>
      </c>
    </row>
    <row r="21" spans="2:20" hidden="1" outlineLevel="1">
      <c r="B21" s="8" t="s">
        <v>82</v>
      </c>
      <c r="C21" s="7"/>
      <c r="D21" s="7"/>
      <c r="E21" s="7"/>
      <c r="F21" s="9"/>
      <c r="G21" s="9"/>
      <c r="H21" s="224">
        <f>+H16*0.5</f>
        <v>0</v>
      </c>
      <c r="I21" s="224">
        <f t="shared" ref="I21:N21" si="7">+H16</f>
        <v>0</v>
      </c>
      <c r="J21" s="224">
        <f t="shared" si="7"/>
        <v>0</v>
      </c>
      <c r="K21" s="224">
        <f t="shared" si="7"/>
        <v>0</v>
      </c>
      <c r="L21" s="224">
        <f t="shared" si="7"/>
        <v>0</v>
      </c>
      <c r="M21" s="224">
        <f t="shared" si="7"/>
        <v>0</v>
      </c>
      <c r="N21" s="224">
        <f t="shared" si="7"/>
        <v>0</v>
      </c>
      <c r="O21" s="224">
        <f t="shared" ref="O21" si="8">+N16</f>
        <v>0</v>
      </c>
      <c r="P21" s="224">
        <f t="shared" ref="P21" si="9">+O16</f>
        <v>0</v>
      </c>
      <c r="Q21" s="224">
        <f t="shared" ref="Q21" si="10">+P16</f>
        <v>0</v>
      </c>
      <c r="R21" s="224">
        <f t="shared" ref="R21" si="11">+Q16</f>
        <v>0</v>
      </c>
      <c r="S21" s="224">
        <f t="shared" ref="S21" si="12">+R16</f>
        <v>0</v>
      </c>
      <c r="T21" s="224">
        <f t="shared" ref="T21" si="13">+S16</f>
        <v>0</v>
      </c>
    </row>
    <row r="22" spans="2:20" hidden="1" outlineLevel="1">
      <c r="B22" s="8" t="s">
        <v>83</v>
      </c>
      <c r="C22" s="7"/>
      <c r="G22" s="9"/>
      <c r="H22" s="224">
        <v>0</v>
      </c>
      <c r="I22" s="224">
        <v>0</v>
      </c>
      <c r="J22" s="224">
        <v>0</v>
      </c>
      <c r="K22" s="224">
        <v>0</v>
      </c>
      <c r="L22" s="224">
        <v>0</v>
      </c>
      <c r="M22" s="224">
        <v>0</v>
      </c>
      <c r="N22" s="224">
        <v>0</v>
      </c>
      <c r="O22" s="224">
        <v>0</v>
      </c>
      <c r="P22" s="224">
        <v>0</v>
      </c>
      <c r="Q22" s="224">
        <v>0</v>
      </c>
      <c r="R22" s="224">
        <v>0</v>
      </c>
      <c r="S22" s="224">
        <v>0</v>
      </c>
      <c r="T22" s="224">
        <v>0</v>
      </c>
    </row>
    <row r="23" spans="2:20" hidden="1" outlineLevel="1">
      <c r="B23" s="6" t="s">
        <v>84</v>
      </c>
      <c r="C23" s="7"/>
      <c r="D23" s="7"/>
      <c r="E23" s="7"/>
      <c r="F23" s="9"/>
      <c r="G23" s="9"/>
      <c r="H23" s="224">
        <v>0</v>
      </c>
      <c r="I23" s="224">
        <v>0</v>
      </c>
      <c r="J23" s="224">
        <v>0</v>
      </c>
      <c r="K23" s="224">
        <v>0</v>
      </c>
      <c r="L23" s="224">
        <v>0</v>
      </c>
      <c r="M23" s="224">
        <v>0</v>
      </c>
      <c r="N23" s="224">
        <v>0</v>
      </c>
      <c r="O23" s="224">
        <v>0</v>
      </c>
      <c r="P23" s="224">
        <v>0</v>
      </c>
      <c r="Q23" s="224">
        <v>0</v>
      </c>
      <c r="R23" s="224">
        <v>0</v>
      </c>
      <c r="S23" s="224">
        <v>0</v>
      </c>
      <c r="T23" s="224">
        <v>0</v>
      </c>
    </row>
    <row r="24" spans="2:20" collapsed="1">
      <c r="B24" s="6"/>
      <c r="C24" s="7"/>
      <c r="D24" s="7"/>
      <c r="E24" s="7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2:20">
      <c r="B25" s="571" t="s">
        <v>441</v>
      </c>
      <c r="C25" s="5">
        <v>2013</v>
      </c>
      <c r="D25" s="5">
        <v>2014</v>
      </c>
      <c r="E25" s="5">
        <v>2015</v>
      </c>
      <c r="F25" s="5">
        <v>2016</v>
      </c>
      <c r="G25" s="5">
        <v>2017</v>
      </c>
      <c r="H25" s="5">
        <v>2018</v>
      </c>
      <c r="I25" s="5">
        <v>2019</v>
      </c>
      <c r="J25" s="5">
        <v>2020</v>
      </c>
      <c r="K25" s="5">
        <v>2021</v>
      </c>
      <c r="L25" s="5">
        <v>2022</v>
      </c>
      <c r="M25" s="5">
        <v>2023</v>
      </c>
      <c r="N25" s="5">
        <v>2024</v>
      </c>
      <c r="O25" s="5">
        <v>2025</v>
      </c>
      <c r="P25" s="5">
        <v>2026</v>
      </c>
      <c r="Q25" s="5">
        <v>2027</v>
      </c>
      <c r="R25" s="5">
        <v>2028</v>
      </c>
      <c r="S25" s="5">
        <v>2029</v>
      </c>
      <c r="T25" s="285">
        <v>2030</v>
      </c>
    </row>
    <row r="27" spans="2:20">
      <c r="B27" s="27" t="s">
        <v>88</v>
      </c>
      <c r="C27" s="60">
        <v>20000</v>
      </c>
      <c r="D27" s="26">
        <f t="shared" ref="D27:J27" si="14">C27*(1+D28)</f>
        <v>20200</v>
      </c>
      <c r="E27" s="26">
        <f t="shared" si="14"/>
        <v>20402</v>
      </c>
      <c r="F27" s="26">
        <f t="shared" si="14"/>
        <v>20606.02</v>
      </c>
      <c r="G27" s="26">
        <f t="shared" si="14"/>
        <v>20812.0802</v>
      </c>
      <c r="H27" s="555">
        <f t="shared" si="14"/>
        <v>21020.201002000002</v>
      </c>
      <c r="I27" s="555">
        <f t="shared" si="14"/>
        <v>21230.40301202</v>
      </c>
      <c r="J27" s="555">
        <f t="shared" si="14"/>
        <v>21442.707042140202</v>
      </c>
      <c r="K27" s="555">
        <f t="shared" ref="K27:P27" si="15">J27*(1+K28)</f>
        <v>21657.134112561605</v>
      </c>
      <c r="L27" s="555">
        <f t="shared" si="15"/>
        <v>21873.70545368722</v>
      </c>
      <c r="M27" s="555">
        <f t="shared" si="15"/>
        <v>22092.442508224092</v>
      </c>
      <c r="N27" s="555">
        <f t="shared" si="15"/>
        <v>22313.366933306334</v>
      </c>
      <c r="O27" s="555">
        <f t="shared" si="15"/>
        <v>22536.500602639397</v>
      </c>
      <c r="P27" s="555">
        <f t="shared" si="15"/>
        <v>22761.86560866579</v>
      </c>
      <c r="Q27" s="555">
        <f t="shared" ref="Q27" si="16">P27*(1+Q28)</f>
        <v>22989.484264752449</v>
      </c>
      <c r="R27" s="555">
        <f t="shared" ref="R27" si="17">Q27*(1+R28)</f>
        <v>23219.379107399975</v>
      </c>
      <c r="S27" s="555">
        <f t="shared" ref="S27" si="18">R27*(1+S28)</f>
        <v>23451.572898473976</v>
      </c>
      <c r="T27" s="555">
        <f t="shared" ref="T27" si="19">S27*(1+T28)</f>
        <v>23686.088627458717</v>
      </c>
    </row>
    <row r="28" spans="2:20">
      <c r="B28" s="15" t="s">
        <v>89</v>
      </c>
      <c r="C28" s="34"/>
      <c r="D28" s="569">
        <v>0.01</v>
      </c>
      <c r="E28" s="556">
        <f t="shared" ref="E28:J28" si="20">D28</f>
        <v>0.01</v>
      </c>
      <c r="F28" s="556">
        <f t="shared" si="20"/>
        <v>0.01</v>
      </c>
      <c r="G28" s="556">
        <f t="shared" si="20"/>
        <v>0.01</v>
      </c>
      <c r="H28" s="556">
        <f t="shared" si="20"/>
        <v>0.01</v>
      </c>
      <c r="I28" s="556">
        <f t="shared" si="20"/>
        <v>0.01</v>
      </c>
      <c r="J28" s="556">
        <f t="shared" si="20"/>
        <v>0.01</v>
      </c>
      <c r="K28" s="556">
        <f t="shared" ref="K28:P28" si="21">J28</f>
        <v>0.01</v>
      </c>
      <c r="L28" s="556">
        <f t="shared" si="21"/>
        <v>0.01</v>
      </c>
      <c r="M28" s="556">
        <f t="shared" si="21"/>
        <v>0.01</v>
      </c>
      <c r="N28" s="556">
        <f t="shared" si="21"/>
        <v>0.01</v>
      </c>
      <c r="O28" s="556">
        <f t="shared" si="21"/>
        <v>0.01</v>
      </c>
      <c r="P28" s="556">
        <f t="shared" si="21"/>
        <v>0.01</v>
      </c>
      <c r="Q28" s="556">
        <f t="shared" ref="Q28" si="22">P28</f>
        <v>0.01</v>
      </c>
      <c r="R28" s="556">
        <f t="shared" ref="R28" si="23">Q28</f>
        <v>0.01</v>
      </c>
      <c r="S28" s="556">
        <f t="shared" ref="S28" si="24">R28</f>
        <v>0.01</v>
      </c>
      <c r="T28" s="556">
        <f t="shared" ref="T28" si="25">S28</f>
        <v>0.01</v>
      </c>
    </row>
    <row r="29" spans="2:20">
      <c r="B29" s="15"/>
      <c r="C29" s="34"/>
      <c r="D29" s="569"/>
      <c r="E29" s="556"/>
      <c r="F29" s="556"/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</row>
    <row r="30" spans="2:20">
      <c r="B30" s="192" t="s">
        <v>443</v>
      </c>
      <c r="C30" s="60">
        <f>C27*C31</f>
        <v>6000</v>
      </c>
      <c r="D30" s="60">
        <f t="shared" ref="D30:P30" si="26">D27*D31</f>
        <v>6060</v>
      </c>
      <c r="E30" s="60">
        <f t="shared" si="26"/>
        <v>6120.5999999999995</v>
      </c>
      <c r="F30" s="60">
        <f t="shared" si="26"/>
        <v>6181.8059999999996</v>
      </c>
      <c r="G30" s="60">
        <f t="shared" si="26"/>
        <v>6243.6240600000001</v>
      </c>
      <c r="H30" s="60">
        <f t="shared" si="26"/>
        <v>6306.0603006000001</v>
      </c>
      <c r="I30" s="60">
        <f t="shared" si="26"/>
        <v>6369.120903606</v>
      </c>
      <c r="J30" s="60">
        <f t="shared" si="26"/>
        <v>6432.8121126420601</v>
      </c>
      <c r="K30" s="60">
        <f t="shared" si="26"/>
        <v>6497.1402337684813</v>
      </c>
      <c r="L30" s="60">
        <f t="shared" si="26"/>
        <v>6562.1116361061659</v>
      </c>
      <c r="M30" s="60">
        <f t="shared" si="26"/>
        <v>6627.7327524672273</v>
      </c>
      <c r="N30" s="60">
        <f t="shared" si="26"/>
        <v>6694.0100799919001</v>
      </c>
      <c r="O30" s="60">
        <f t="shared" si="26"/>
        <v>6760.9501807918186</v>
      </c>
      <c r="P30" s="60">
        <f t="shared" si="26"/>
        <v>6828.5596825997372</v>
      </c>
      <c r="Q30" s="60">
        <f t="shared" ref="Q30:T30" si="27">Q27*Q31</f>
        <v>6896.8452794257346</v>
      </c>
      <c r="R30" s="60">
        <f t="shared" si="27"/>
        <v>6965.8137322199918</v>
      </c>
      <c r="S30" s="60">
        <f t="shared" si="27"/>
        <v>7035.4718695421925</v>
      </c>
      <c r="T30" s="60">
        <f t="shared" si="27"/>
        <v>7105.8265882376154</v>
      </c>
    </row>
    <row r="31" spans="2:20">
      <c r="B31" s="15" t="s">
        <v>444</v>
      </c>
      <c r="C31" s="34">
        <v>0.3</v>
      </c>
      <c r="D31" s="569">
        <f>C31</f>
        <v>0.3</v>
      </c>
      <c r="E31" s="569">
        <f t="shared" ref="E31:P31" si="28">D31</f>
        <v>0.3</v>
      </c>
      <c r="F31" s="569">
        <f t="shared" si="28"/>
        <v>0.3</v>
      </c>
      <c r="G31" s="569">
        <f t="shared" si="28"/>
        <v>0.3</v>
      </c>
      <c r="H31" s="569">
        <f t="shared" si="28"/>
        <v>0.3</v>
      </c>
      <c r="I31" s="569">
        <f t="shared" si="28"/>
        <v>0.3</v>
      </c>
      <c r="J31" s="569">
        <f t="shared" si="28"/>
        <v>0.3</v>
      </c>
      <c r="K31" s="569">
        <f t="shared" si="28"/>
        <v>0.3</v>
      </c>
      <c r="L31" s="569">
        <f t="shared" si="28"/>
        <v>0.3</v>
      </c>
      <c r="M31" s="569">
        <f t="shared" si="28"/>
        <v>0.3</v>
      </c>
      <c r="N31" s="569">
        <f t="shared" si="28"/>
        <v>0.3</v>
      </c>
      <c r="O31" s="569">
        <f t="shared" si="28"/>
        <v>0.3</v>
      </c>
      <c r="P31" s="569">
        <f t="shared" si="28"/>
        <v>0.3</v>
      </c>
      <c r="Q31" s="569">
        <f t="shared" ref="Q31" si="29">P31</f>
        <v>0.3</v>
      </c>
      <c r="R31" s="569">
        <f t="shared" ref="R31" si="30">Q31</f>
        <v>0.3</v>
      </c>
      <c r="S31" s="569">
        <f t="shared" ref="S31" si="31">R31</f>
        <v>0.3</v>
      </c>
      <c r="T31" s="569">
        <f t="shared" ref="T31" si="32">S31</f>
        <v>0.3</v>
      </c>
    </row>
    <row r="32" spans="2:20">
      <c r="B32" s="15"/>
      <c r="C32" s="34"/>
      <c r="D32" s="34"/>
      <c r="E32" s="35"/>
      <c r="F32" s="35"/>
      <c r="G32" s="35"/>
      <c r="H32" s="556"/>
      <c r="I32" s="556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</row>
    <row r="33" spans="2:20">
      <c r="B33" s="22" t="s">
        <v>117</v>
      </c>
      <c r="C33" s="36"/>
      <c r="D33" s="36"/>
      <c r="E33" s="36"/>
      <c r="F33" s="36"/>
      <c r="G33" s="36"/>
      <c r="H33" s="557">
        <f t="shared" ref="H33:N33" si="33">G42</f>
        <v>0</v>
      </c>
      <c r="I33" s="557">
        <f t="shared" si="33"/>
        <v>0</v>
      </c>
      <c r="J33" s="557">
        <f t="shared" si="33"/>
        <v>0</v>
      </c>
      <c r="K33" s="557">
        <f t="shared" si="33"/>
        <v>0</v>
      </c>
      <c r="L33" s="557">
        <f t="shared" si="33"/>
        <v>0</v>
      </c>
      <c r="M33" s="557">
        <f t="shared" si="33"/>
        <v>0</v>
      </c>
      <c r="N33" s="557">
        <f t="shared" si="33"/>
        <v>0</v>
      </c>
      <c r="O33" s="557">
        <f t="shared" ref="O33" si="34">N42</f>
        <v>0</v>
      </c>
      <c r="P33" s="557">
        <f t="shared" ref="P33" si="35">O42</f>
        <v>0</v>
      </c>
      <c r="Q33" s="557">
        <f t="shared" ref="Q33" si="36">P42</f>
        <v>0</v>
      </c>
      <c r="R33" s="557">
        <f t="shared" ref="R33" si="37">Q42</f>
        <v>0</v>
      </c>
      <c r="S33" s="557">
        <f t="shared" ref="S33" si="38">R42</f>
        <v>0</v>
      </c>
      <c r="T33" s="557">
        <f t="shared" ref="T33" si="39">S42</f>
        <v>0</v>
      </c>
    </row>
    <row r="34" spans="2:20">
      <c r="B34" s="1" t="s">
        <v>90</v>
      </c>
      <c r="C34" s="30"/>
      <c r="D34" s="30"/>
      <c r="E34" s="30"/>
      <c r="F34" s="30"/>
      <c r="G34" s="30"/>
      <c r="H34" s="558">
        <f t="shared" ref="H34:N34" si="40">H33/H27</f>
        <v>0</v>
      </c>
      <c r="I34" s="558">
        <f t="shared" si="40"/>
        <v>0</v>
      </c>
      <c r="J34" s="558">
        <f t="shared" si="40"/>
        <v>0</v>
      </c>
      <c r="K34" s="558">
        <f t="shared" si="40"/>
        <v>0</v>
      </c>
      <c r="L34" s="558">
        <f t="shared" si="40"/>
        <v>0</v>
      </c>
      <c r="M34" s="558">
        <f t="shared" si="40"/>
        <v>0</v>
      </c>
      <c r="N34" s="558">
        <f t="shared" si="40"/>
        <v>0</v>
      </c>
      <c r="O34" s="558">
        <f t="shared" ref="O34:P34" si="41">O33/O27</f>
        <v>0</v>
      </c>
      <c r="P34" s="558">
        <f t="shared" si="41"/>
        <v>0</v>
      </c>
      <c r="Q34" s="558">
        <f t="shared" ref="Q34:T34" si="42">Q33/Q27</f>
        <v>0</v>
      </c>
      <c r="R34" s="558">
        <f t="shared" si="42"/>
        <v>0</v>
      </c>
      <c r="S34" s="558">
        <f t="shared" si="42"/>
        <v>0</v>
      </c>
      <c r="T34" s="558">
        <f t="shared" si="42"/>
        <v>0</v>
      </c>
    </row>
    <row r="35" spans="2:20">
      <c r="B35" s="23"/>
      <c r="C35" s="3"/>
      <c r="D35" s="3"/>
      <c r="E35" s="3"/>
      <c r="F35" s="3"/>
      <c r="G35" s="3"/>
      <c r="H35" s="559"/>
      <c r="I35" s="559"/>
      <c r="J35" s="559"/>
      <c r="K35" s="559"/>
      <c r="L35" s="559"/>
      <c r="M35" s="559"/>
      <c r="N35" s="559"/>
      <c r="O35" s="559"/>
      <c r="P35" s="559"/>
      <c r="Q35" s="559"/>
      <c r="R35" s="559"/>
      <c r="S35" s="559"/>
      <c r="T35" s="559"/>
    </row>
    <row r="36" spans="2:20">
      <c r="B36" s="23" t="s">
        <v>101</v>
      </c>
      <c r="C36" s="26"/>
      <c r="D36" s="26"/>
      <c r="E36" s="26"/>
      <c r="F36" s="26"/>
      <c r="G36" s="26"/>
      <c r="H36" s="555">
        <f t="shared" ref="H36:P36" si="43">H37*H30</f>
        <v>0</v>
      </c>
      <c r="I36" s="555">
        <f t="shared" si="43"/>
        <v>0</v>
      </c>
      <c r="J36" s="555">
        <f t="shared" si="43"/>
        <v>0</v>
      </c>
      <c r="K36" s="555">
        <f t="shared" si="43"/>
        <v>0</v>
      </c>
      <c r="L36" s="555">
        <f t="shared" si="43"/>
        <v>0</v>
      </c>
      <c r="M36" s="555">
        <f t="shared" si="43"/>
        <v>0</v>
      </c>
      <c r="N36" s="555">
        <f t="shared" si="43"/>
        <v>0</v>
      </c>
      <c r="O36" s="555">
        <f t="shared" si="43"/>
        <v>0</v>
      </c>
      <c r="P36" s="555">
        <f t="shared" si="43"/>
        <v>0</v>
      </c>
      <c r="Q36" s="555">
        <f t="shared" ref="Q36:T36" si="44">Q37*Q30</f>
        <v>0</v>
      </c>
      <c r="R36" s="555">
        <f t="shared" si="44"/>
        <v>0</v>
      </c>
      <c r="S36" s="555">
        <f t="shared" si="44"/>
        <v>0</v>
      </c>
      <c r="T36" s="555">
        <f t="shared" si="44"/>
        <v>0</v>
      </c>
    </row>
    <row r="37" spans="2:20">
      <c r="B37" s="1" t="s">
        <v>102</v>
      </c>
      <c r="C37" s="31"/>
      <c r="D37" s="31"/>
      <c r="E37" s="31"/>
      <c r="F37" s="31"/>
      <c r="G37" s="31"/>
      <c r="H37" s="560">
        <f t="shared" ref="H37:N37" si="45">CHOOSE($H$3,H6,H7,H8)</f>
        <v>0</v>
      </c>
      <c r="I37" s="560">
        <f t="shared" si="45"/>
        <v>0</v>
      </c>
      <c r="J37" s="560">
        <f t="shared" si="45"/>
        <v>0</v>
      </c>
      <c r="K37" s="560">
        <f t="shared" si="45"/>
        <v>0</v>
      </c>
      <c r="L37" s="560">
        <f t="shared" si="45"/>
        <v>0</v>
      </c>
      <c r="M37" s="560">
        <f t="shared" si="45"/>
        <v>0</v>
      </c>
      <c r="N37" s="560">
        <f t="shared" si="45"/>
        <v>0</v>
      </c>
      <c r="O37" s="560">
        <f t="shared" ref="O37:P37" si="46">CHOOSE($H$3,O6,O7,O8)</f>
        <v>0</v>
      </c>
      <c r="P37" s="560">
        <f t="shared" si="46"/>
        <v>0</v>
      </c>
      <c r="Q37" s="560">
        <f t="shared" ref="Q37:T37" si="47">CHOOSE($H$3,Q6,Q7,Q8)</f>
        <v>0</v>
      </c>
      <c r="R37" s="560">
        <f t="shared" si="47"/>
        <v>0</v>
      </c>
      <c r="S37" s="560">
        <f t="shared" si="47"/>
        <v>0</v>
      </c>
      <c r="T37" s="560">
        <f t="shared" si="47"/>
        <v>0</v>
      </c>
    </row>
    <row r="38" spans="2:20">
      <c r="B38" s="1"/>
      <c r="C38" s="3"/>
      <c r="D38" s="3"/>
      <c r="E38" s="3"/>
      <c r="F38" s="3"/>
      <c r="G38" s="3"/>
      <c r="H38" s="559"/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</row>
    <row r="39" spans="2:20">
      <c r="B39" s="23" t="s">
        <v>91</v>
      </c>
      <c r="C39" s="26"/>
      <c r="D39" s="26"/>
      <c r="E39" s="26"/>
      <c r="F39" s="26"/>
      <c r="G39" s="26"/>
      <c r="H39" s="555">
        <f t="shared" ref="H39:M39" si="48">H40*H33</f>
        <v>0</v>
      </c>
      <c r="I39" s="555">
        <f t="shared" si="48"/>
        <v>0</v>
      </c>
      <c r="J39" s="555">
        <f t="shared" si="48"/>
        <v>0</v>
      </c>
      <c r="K39" s="555">
        <f t="shared" si="48"/>
        <v>0</v>
      </c>
      <c r="L39" s="555">
        <f t="shared" si="48"/>
        <v>0</v>
      </c>
      <c r="M39" s="555">
        <f t="shared" si="48"/>
        <v>0</v>
      </c>
      <c r="N39" s="555">
        <f>N40*N33</f>
        <v>0</v>
      </c>
      <c r="O39" s="555">
        <f t="shared" ref="O39" si="49">O40*O33</f>
        <v>0</v>
      </c>
      <c r="P39" s="555">
        <f>P40*P33</f>
        <v>0</v>
      </c>
      <c r="Q39" s="555">
        <f t="shared" ref="Q39:T39" si="50">Q40*Q33</f>
        <v>0</v>
      </c>
      <c r="R39" s="555">
        <f t="shared" si="50"/>
        <v>0</v>
      </c>
      <c r="S39" s="555">
        <f t="shared" si="50"/>
        <v>0</v>
      </c>
      <c r="T39" s="555">
        <f t="shared" si="50"/>
        <v>0</v>
      </c>
    </row>
    <row r="40" spans="2:20">
      <c r="B40" s="1" t="s">
        <v>92</v>
      </c>
      <c r="C40" s="33"/>
      <c r="D40" s="33"/>
      <c r="E40" s="33"/>
      <c r="F40" s="39"/>
      <c r="G40" s="39"/>
      <c r="H40" s="561">
        <v>0.05</v>
      </c>
      <c r="I40" s="561">
        <f t="shared" ref="I40:N40" si="51">H40</f>
        <v>0.05</v>
      </c>
      <c r="J40" s="561">
        <f t="shared" si="51"/>
        <v>0.05</v>
      </c>
      <c r="K40" s="561">
        <f t="shared" si="51"/>
        <v>0.05</v>
      </c>
      <c r="L40" s="561">
        <f t="shared" si="51"/>
        <v>0.05</v>
      </c>
      <c r="M40" s="561">
        <f t="shared" si="51"/>
        <v>0.05</v>
      </c>
      <c r="N40" s="561">
        <f t="shared" si="51"/>
        <v>0.05</v>
      </c>
      <c r="O40" s="561">
        <f t="shared" ref="O40" si="52">N40</f>
        <v>0.05</v>
      </c>
      <c r="P40" s="561">
        <f t="shared" ref="P40" si="53">O40</f>
        <v>0.05</v>
      </c>
      <c r="Q40" s="561">
        <f t="shared" ref="Q40" si="54">P40</f>
        <v>0.05</v>
      </c>
      <c r="R40" s="561">
        <f t="shared" ref="R40" si="55">Q40</f>
        <v>0.05</v>
      </c>
      <c r="S40" s="561">
        <f t="shared" ref="S40" si="56">R40</f>
        <v>0.05</v>
      </c>
      <c r="T40" s="561">
        <f t="shared" ref="T40" si="57">S40</f>
        <v>0.05</v>
      </c>
    </row>
    <row r="41" spans="2:20">
      <c r="B41" s="23"/>
      <c r="C41" s="3"/>
      <c r="D41" s="3"/>
      <c r="E41" s="3"/>
      <c r="F41" s="3"/>
      <c r="G41" s="3"/>
      <c r="H41" s="559"/>
      <c r="I41" s="559"/>
      <c r="J41" s="559"/>
      <c r="K41" s="559"/>
      <c r="L41" s="559"/>
      <c r="M41" s="559"/>
      <c r="N41" s="559"/>
      <c r="O41" s="559"/>
      <c r="P41" s="559"/>
      <c r="Q41" s="559"/>
      <c r="R41" s="559"/>
      <c r="S41" s="559"/>
      <c r="T41" s="559"/>
    </row>
    <row r="42" spans="2:20">
      <c r="B42" s="23" t="s">
        <v>118</v>
      </c>
      <c r="C42" s="26"/>
      <c r="D42" s="26"/>
      <c r="E42" s="26"/>
      <c r="F42" s="26"/>
      <c r="G42" s="26"/>
      <c r="H42" s="555">
        <f t="shared" ref="H42:M42" si="58">H33+H36-H39</f>
        <v>0</v>
      </c>
      <c r="I42" s="555">
        <f t="shared" si="58"/>
        <v>0</v>
      </c>
      <c r="J42" s="555">
        <f t="shared" si="58"/>
        <v>0</v>
      </c>
      <c r="K42" s="555">
        <f t="shared" si="58"/>
        <v>0</v>
      </c>
      <c r="L42" s="555">
        <f t="shared" si="58"/>
        <v>0</v>
      </c>
      <c r="M42" s="555">
        <f t="shared" si="58"/>
        <v>0</v>
      </c>
      <c r="N42" s="555">
        <f>N33+N36-N39</f>
        <v>0</v>
      </c>
      <c r="O42" s="555">
        <f t="shared" ref="O42" si="59">O33+O36-O39</f>
        <v>0</v>
      </c>
      <c r="P42" s="555">
        <f>P33+P36-P39</f>
        <v>0</v>
      </c>
      <c r="Q42" s="555">
        <f t="shared" ref="Q42:T42" si="60">Q33+Q36-Q39</f>
        <v>0</v>
      </c>
      <c r="R42" s="555">
        <f t="shared" si="60"/>
        <v>0</v>
      </c>
      <c r="S42" s="555">
        <f t="shared" si="60"/>
        <v>0</v>
      </c>
      <c r="T42" s="555">
        <f t="shared" si="60"/>
        <v>0</v>
      </c>
    </row>
    <row r="43" spans="2:20">
      <c r="B43" s="25" t="s">
        <v>93</v>
      </c>
      <c r="C43" s="32"/>
      <c r="D43" s="32"/>
      <c r="E43" s="32"/>
      <c r="F43" s="32"/>
      <c r="G43" s="32"/>
      <c r="H43" s="562">
        <f t="shared" ref="H43:N43" si="61">H42/H27</f>
        <v>0</v>
      </c>
      <c r="I43" s="562">
        <f t="shared" si="61"/>
        <v>0</v>
      </c>
      <c r="J43" s="562">
        <f t="shared" si="61"/>
        <v>0</v>
      </c>
      <c r="K43" s="562">
        <f t="shared" si="61"/>
        <v>0</v>
      </c>
      <c r="L43" s="562">
        <f t="shared" si="61"/>
        <v>0</v>
      </c>
      <c r="M43" s="562">
        <f t="shared" si="61"/>
        <v>0</v>
      </c>
      <c r="N43" s="562">
        <f t="shared" si="61"/>
        <v>0</v>
      </c>
      <c r="O43" s="562">
        <f t="shared" ref="O43:P43" si="62">O42/O27</f>
        <v>0</v>
      </c>
      <c r="P43" s="562">
        <f t="shared" si="62"/>
        <v>0</v>
      </c>
      <c r="Q43" s="562">
        <f t="shared" ref="Q43:T43" si="63">Q42/Q27</f>
        <v>0</v>
      </c>
      <c r="R43" s="562">
        <f t="shared" si="63"/>
        <v>0</v>
      </c>
      <c r="S43" s="562">
        <f t="shared" si="63"/>
        <v>0</v>
      </c>
      <c r="T43" s="562">
        <f t="shared" si="63"/>
        <v>0</v>
      </c>
    </row>
    <row r="44" spans="2:20">
      <c r="B44" s="21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</row>
    <row r="45" spans="2:20">
      <c r="B45" s="24" t="s">
        <v>94</v>
      </c>
      <c r="F45" s="37"/>
      <c r="G45" s="37"/>
      <c r="H45" s="564">
        <v>6</v>
      </c>
      <c r="I45" s="564">
        <f t="shared" ref="I45:M46" si="64">H45</f>
        <v>6</v>
      </c>
      <c r="J45" s="564">
        <f t="shared" si="64"/>
        <v>6</v>
      </c>
      <c r="K45" s="564">
        <f t="shared" si="64"/>
        <v>6</v>
      </c>
      <c r="L45" s="564">
        <f t="shared" si="64"/>
        <v>6</v>
      </c>
      <c r="M45" s="564">
        <f t="shared" si="64"/>
        <v>6</v>
      </c>
      <c r="N45" s="564">
        <f>M45</f>
        <v>6</v>
      </c>
      <c r="O45" s="564">
        <f t="shared" ref="O45:O46" si="65">N45</f>
        <v>6</v>
      </c>
      <c r="P45" s="564">
        <f>O45</f>
        <v>6</v>
      </c>
      <c r="Q45" s="564">
        <f t="shared" ref="Q45:T45" si="66">P45</f>
        <v>6</v>
      </c>
      <c r="R45" s="564">
        <f t="shared" si="66"/>
        <v>6</v>
      </c>
      <c r="S45" s="564">
        <f t="shared" si="66"/>
        <v>6</v>
      </c>
      <c r="T45" s="564">
        <f t="shared" si="66"/>
        <v>6</v>
      </c>
    </row>
    <row r="46" spans="2:20">
      <c r="B46" s="24" t="s">
        <v>95</v>
      </c>
      <c r="F46" s="37"/>
      <c r="G46" s="37"/>
      <c r="H46" s="564">
        <v>11</v>
      </c>
      <c r="I46" s="564">
        <f t="shared" si="64"/>
        <v>11</v>
      </c>
      <c r="J46" s="564">
        <f t="shared" si="64"/>
        <v>11</v>
      </c>
      <c r="K46" s="564">
        <f t="shared" si="64"/>
        <v>11</v>
      </c>
      <c r="L46" s="564">
        <f t="shared" si="64"/>
        <v>11</v>
      </c>
      <c r="M46" s="564">
        <f t="shared" si="64"/>
        <v>11</v>
      </c>
      <c r="N46" s="564">
        <f>M46</f>
        <v>11</v>
      </c>
      <c r="O46" s="564">
        <f t="shared" si="65"/>
        <v>11</v>
      </c>
      <c r="P46" s="564">
        <f>O46</f>
        <v>11</v>
      </c>
      <c r="Q46" s="564">
        <f t="shared" ref="Q46:T46" si="67">P46</f>
        <v>11</v>
      </c>
      <c r="R46" s="564">
        <f t="shared" si="67"/>
        <v>11</v>
      </c>
      <c r="S46" s="564">
        <f t="shared" si="67"/>
        <v>11</v>
      </c>
      <c r="T46" s="564">
        <f t="shared" si="67"/>
        <v>11</v>
      </c>
    </row>
    <row r="47" spans="2:20">
      <c r="B47" s="21"/>
      <c r="H47" s="563"/>
      <c r="I47" s="563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</row>
    <row r="48" spans="2:20">
      <c r="B48" s="24" t="s">
        <v>104</v>
      </c>
      <c r="C48" s="26"/>
      <c r="D48" s="26"/>
      <c r="E48" s="26"/>
      <c r="F48" s="26"/>
      <c r="G48" s="26"/>
      <c r="H48" s="555">
        <f>300000/12</f>
        <v>25000</v>
      </c>
      <c r="I48" s="555">
        <f t="shared" ref="I48:N48" si="68">H48*(1+I49)</f>
        <v>25500</v>
      </c>
      <c r="J48" s="555">
        <f t="shared" si="68"/>
        <v>26010</v>
      </c>
      <c r="K48" s="555">
        <f t="shared" si="68"/>
        <v>26530.2</v>
      </c>
      <c r="L48" s="555">
        <f t="shared" si="68"/>
        <v>27060.804</v>
      </c>
      <c r="M48" s="555">
        <f t="shared" si="68"/>
        <v>27602.020080000002</v>
      </c>
      <c r="N48" s="555">
        <f t="shared" si="68"/>
        <v>28154.060481600001</v>
      </c>
      <c r="O48" s="555">
        <f t="shared" ref="O48" si="69">N48*(1+O49)</f>
        <v>28717.141691232002</v>
      </c>
      <c r="P48" s="555">
        <f t="shared" ref="P48" si="70">O48*(1+P49)</f>
        <v>29291.484525056643</v>
      </c>
      <c r="Q48" s="555">
        <f t="shared" ref="Q48" si="71">P48*(1+Q49)</f>
        <v>29877.314215557777</v>
      </c>
      <c r="R48" s="555">
        <f t="shared" ref="R48" si="72">Q48*(1+R49)</f>
        <v>30474.860499868933</v>
      </c>
      <c r="S48" s="555">
        <f t="shared" ref="S48" si="73">R48*(1+S49)</f>
        <v>31084.357709866312</v>
      </c>
      <c r="T48" s="555">
        <f t="shared" ref="T48" si="74">S48*(1+T49)</f>
        <v>31706.044864063639</v>
      </c>
    </row>
    <row r="49" spans="2:20">
      <c r="B49" s="1" t="s">
        <v>96</v>
      </c>
      <c r="C49" s="34"/>
      <c r="D49" s="35"/>
      <c r="E49" s="35"/>
      <c r="F49" s="35"/>
      <c r="G49" s="35"/>
      <c r="H49" s="556"/>
      <c r="I49" s="556">
        <v>0.02</v>
      </c>
      <c r="J49" s="556">
        <f t="shared" ref="J49:P49" si="75">I49</f>
        <v>0.02</v>
      </c>
      <c r="K49" s="556">
        <f t="shared" si="75"/>
        <v>0.02</v>
      </c>
      <c r="L49" s="556">
        <f t="shared" si="75"/>
        <v>0.02</v>
      </c>
      <c r="M49" s="556">
        <f t="shared" si="75"/>
        <v>0.02</v>
      </c>
      <c r="N49" s="556">
        <f t="shared" si="75"/>
        <v>0.02</v>
      </c>
      <c r="O49" s="556">
        <f t="shared" si="75"/>
        <v>0.02</v>
      </c>
      <c r="P49" s="556">
        <f t="shared" si="75"/>
        <v>0.02</v>
      </c>
      <c r="Q49" s="556">
        <f t="shared" ref="Q49" si="76">P49</f>
        <v>0.02</v>
      </c>
      <c r="R49" s="556">
        <f t="shared" ref="R49" si="77">Q49</f>
        <v>0.02</v>
      </c>
      <c r="S49" s="556">
        <f t="shared" ref="S49" si="78">R49</f>
        <v>0.02</v>
      </c>
      <c r="T49" s="556">
        <f t="shared" ref="T49" si="79">S49</f>
        <v>0.02</v>
      </c>
    </row>
    <row r="50" spans="2:20">
      <c r="B50" s="24" t="s">
        <v>105</v>
      </c>
      <c r="C50" s="26"/>
      <c r="D50" s="26"/>
      <c r="E50" s="26"/>
      <c r="F50" s="26"/>
      <c r="G50" s="26"/>
      <c r="H50" s="555">
        <f t="shared" ref="H50:M50" si="80">H48*(1-H51)</f>
        <v>21250</v>
      </c>
      <c r="I50" s="555">
        <f t="shared" si="80"/>
        <v>21675</v>
      </c>
      <c r="J50" s="555">
        <f t="shared" si="80"/>
        <v>22108.5</v>
      </c>
      <c r="K50" s="555">
        <f t="shared" si="80"/>
        <v>22550.67</v>
      </c>
      <c r="L50" s="555">
        <f t="shared" si="80"/>
        <v>23001.683399999998</v>
      </c>
      <c r="M50" s="555">
        <f t="shared" si="80"/>
        <v>23461.717068000002</v>
      </c>
      <c r="N50" s="555">
        <f>N48*(1-N51)</f>
        <v>23930.951409360001</v>
      </c>
      <c r="O50" s="555">
        <f t="shared" ref="O50" si="81">O48*(1-O51)</f>
        <v>24409.570437547201</v>
      </c>
      <c r="P50" s="555">
        <f>P48*(1-P51)</f>
        <v>24897.761846298145</v>
      </c>
      <c r="Q50" s="555">
        <f t="shared" ref="Q50:T50" si="82">Q48*(1-Q51)</f>
        <v>25395.71708322411</v>
      </c>
      <c r="R50" s="555">
        <f t="shared" si="82"/>
        <v>25903.631424888594</v>
      </c>
      <c r="S50" s="555">
        <f t="shared" si="82"/>
        <v>26421.704053386366</v>
      </c>
      <c r="T50" s="555">
        <f t="shared" si="82"/>
        <v>26950.138134454093</v>
      </c>
    </row>
    <row r="51" spans="2:20">
      <c r="B51" s="1" t="s">
        <v>103</v>
      </c>
      <c r="C51" s="35"/>
      <c r="D51" s="35"/>
      <c r="E51" s="35"/>
      <c r="F51" s="35"/>
      <c r="G51" s="35"/>
      <c r="H51" s="556">
        <v>0.15</v>
      </c>
      <c r="I51" s="556">
        <f t="shared" ref="I51:N51" si="83">H51</f>
        <v>0.15</v>
      </c>
      <c r="J51" s="556">
        <f t="shared" si="83"/>
        <v>0.15</v>
      </c>
      <c r="K51" s="556">
        <f t="shared" si="83"/>
        <v>0.15</v>
      </c>
      <c r="L51" s="556">
        <f t="shared" si="83"/>
        <v>0.15</v>
      </c>
      <c r="M51" s="556">
        <f t="shared" si="83"/>
        <v>0.15</v>
      </c>
      <c r="N51" s="556">
        <f t="shared" si="83"/>
        <v>0.15</v>
      </c>
      <c r="O51" s="556">
        <f t="shared" ref="O51" si="84">N51</f>
        <v>0.15</v>
      </c>
      <c r="P51" s="556">
        <f t="shared" ref="P51" si="85">O51</f>
        <v>0.15</v>
      </c>
      <c r="Q51" s="556">
        <f t="shared" ref="Q51" si="86">P51</f>
        <v>0.15</v>
      </c>
      <c r="R51" s="556">
        <f t="shared" ref="R51" si="87">Q51</f>
        <v>0.15</v>
      </c>
      <c r="S51" s="556">
        <f t="shared" ref="S51" si="88">R51</f>
        <v>0.15</v>
      </c>
      <c r="T51" s="556">
        <f t="shared" ref="T51" si="89">S51</f>
        <v>0.15</v>
      </c>
    </row>
    <row r="52" spans="2:20">
      <c r="H52" s="563"/>
      <c r="I52" s="563"/>
      <c r="J52" s="563"/>
      <c r="K52" s="563"/>
      <c r="L52" s="563"/>
      <c r="M52" s="563"/>
      <c r="N52" s="563"/>
      <c r="O52" s="563"/>
      <c r="P52" s="563"/>
    </row>
    <row r="53" spans="2:20">
      <c r="B53" s="400" t="s">
        <v>97</v>
      </c>
      <c r="C53" s="18"/>
      <c r="D53" s="18"/>
      <c r="E53" s="18"/>
      <c r="F53" s="259"/>
      <c r="G53" s="259"/>
      <c r="H53" s="565">
        <f t="shared" ref="H53:M53" si="90">H33*H46*H50/1000000+H36*H45*H50/1000000</f>
        <v>0</v>
      </c>
      <c r="I53" s="565">
        <f t="shared" si="90"/>
        <v>0</v>
      </c>
      <c r="J53" s="565">
        <f t="shared" si="90"/>
        <v>0</v>
      </c>
      <c r="K53" s="565">
        <f t="shared" si="90"/>
        <v>0</v>
      </c>
      <c r="L53" s="565">
        <f t="shared" si="90"/>
        <v>0</v>
      </c>
      <c r="M53" s="565">
        <f t="shared" si="90"/>
        <v>0</v>
      </c>
      <c r="N53" s="565">
        <f>N33*N46*N50/1000000+N36*N45*N50/1000000</f>
        <v>0</v>
      </c>
      <c r="O53" s="565">
        <f t="shared" ref="O53:T53" si="91">O33*O46*O50/1000000+O36*O45*O50/1000000</f>
        <v>0</v>
      </c>
      <c r="P53" s="565">
        <f t="shared" si="91"/>
        <v>0</v>
      </c>
      <c r="Q53" s="565">
        <f t="shared" si="91"/>
        <v>0</v>
      </c>
      <c r="R53" s="565">
        <f t="shared" si="91"/>
        <v>0</v>
      </c>
      <c r="S53" s="565">
        <f t="shared" si="91"/>
        <v>0</v>
      </c>
      <c r="T53" s="566">
        <f t="shared" si="91"/>
        <v>0</v>
      </c>
    </row>
    <row r="54" spans="2:20">
      <c r="H54" s="563"/>
      <c r="I54" s="563"/>
      <c r="J54" s="563"/>
      <c r="K54" s="563"/>
      <c r="L54" s="563"/>
      <c r="M54" s="563"/>
      <c r="N54" s="563"/>
      <c r="O54" s="563"/>
      <c r="P54" s="563"/>
    </row>
    <row r="55" spans="2:20">
      <c r="B55" s="571" t="s">
        <v>442</v>
      </c>
      <c r="C55" s="5">
        <v>2013</v>
      </c>
      <c r="D55" s="5">
        <v>2014</v>
      </c>
      <c r="E55" s="5">
        <v>2015</v>
      </c>
      <c r="F55" s="5">
        <v>2016</v>
      </c>
      <c r="G55" s="5">
        <v>2017</v>
      </c>
      <c r="H55" s="567">
        <v>2018</v>
      </c>
      <c r="I55" s="567">
        <v>2019</v>
      </c>
      <c r="J55" s="567">
        <v>2020</v>
      </c>
      <c r="K55" s="567">
        <v>2021</v>
      </c>
      <c r="L55" s="567">
        <v>2022</v>
      </c>
      <c r="M55" s="567">
        <v>2023</v>
      </c>
      <c r="N55" s="567">
        <v>2024</v>
      </c>
      <c r="O55" s="567">
        <v>2025</v>
      </c>
      <c r="P55" s="5">
        <v>2026</v>
      </c>
      <c r="Q55" s="5">
        <v>2027</v>
      </c>
      <c r="R55" s="5">
        <v>2028</v>
      </c>
      <c r="S55" s="5">
        <v>2029</v>
      </c>
      <c r="T55" s="285">
        <v>2030</v>
      </c>
    </row>
    <row r="56" spans="2:20">
      <c r="H56" s="563"/>
      <c r="I56" s="563"/>
      <c r="J56" s="563"/>
      <c r="K56" s="563"/>
      <c r="L56" s="563"/>
      <c r="M56" s="563"/>
      <c r="N56" s="563"/>
      <c r="O56" s="563"/>
      <c r="P56" s="563"/>
    </row>
    <row r="57" spans="2:20">
      <c r="B57" s="192" t="s">
        <v>88</v>
      </c>
      <c r="C57" s="179">
        <f>(700000000/100000)*6</f>
        <v>42000</v>
      </c>
      <c r="D57" s="26">
        <f t="shared" ref="D57:J57" si="92">C57*(1+D58)</f>
        <v>42420</v>
      </c>
      <c r="E57" s="26">
        <f t="shared" si="92"/>
        <v>42844.2</v>
      </c>
      <c r="F57" s="26">
        <f t="shared" si="92"/>
        <v>43272.642</v>
      </c>
      <c r="G57" s="26">
        <f t="shared" si="92"/>
        <v>43705.368419999999</v>
      </c>
      <c r="H57" s="555">
        <f t="shared" si="92"/>
        <v>44142.422104199999</v>
      </c>
      <c r="I57" s="555">
        <f t="shared" si="92"/>
        <v>44583.846325241997</v>
      </c>
      <c r="J57" s="555">
        <f t="shared" si="92"/>
        <v>45029.684788494415</v>
      </c>
      <c r="K57" s="555">
        <f t="shared" ref="K57:P57" si="93">J57*(1+K58)</f>
        <v>45479.981636379358</v>
      </c>
      <c r="L57" s="555">
        <f t="shared" si="93"/>
        <v>45934.781452743155</v>
      </c>
      <c r="M57" s="555">
        <f t="shared" si="93"/>
        <v>46394.129267270589</v>
      </c>
      <c r="N57" s="555">
        <f t="shared" si="93"/>
        <v>46858.070559943299</v>
      </c>
      <c r="O57" s="555">
        <f t="shared" si="93"/>
        <v>47326.651265542729</v>
      </c>
      <c r="P57" s="555">
        <f t="shared" si="93"/>
        <v>47799.917778198156</v>
      </c>
      <c r="Q57" s="555">
        <f t="shared" ref="Q57" si="94">P57*(1+Q58)</f>
        <v>48277.916955980138</v>
      </c>
      <c r="R57" s="555">
        <f t="shared" ref="R57" si="95">Q57*(1+R58)</f>
        <v>48760.696125539936</v>
      </c>
      <c r="S57" s="555">
        <f t="shared" ref="S57" si="96">R57*(1+S58)</f>
        <v>49248.303086795335</v>
      </c>
      <c r="T57" s="555">
        <f t="shared" ref="T57" si="97">S57*(1+T58)</f>
        <v>49740.786117663287</v>
      </c>
    </row>
    <row r="58" spans="2:20">
      <c r="B58" s="15" t="s">
        <v>89</v>
      </c>
      <c r="C58" s="34"/>
      <c r="D58" s="225">
        <v>0.01</v>
      </c>
      <c r="E58" s="228">
        <f t="shared" ref="E58:J58" si="98">D58</f>
        <v>0.01</v>
      </c>
      <c r="F58" s="228">
        <f t="shared" si="98"/>
        <v>0.01</v>
      </c>
      <c r="G58" s="228">
        <f t="shared" si="98"/>
        <v>0.01</v>
      </c>
      <c r="H58" s="556">
        <f t="shared" si="98"/>
        <v>0.01</v>
      </c>
      <c r="I58" s="556">
        <f t="shared" si="98"/>
        <v>0.01</v>
      </c>
      <c r="J58" s="556">
        <f t="shared" si="98"/>
        <v>0.01</v>
      </c>
      <c r="K58" s="556">
        <f t="shared" ref="K58:P58" si="99">J58</f>
        <v>0.01</v>
      </c>
      <c r="L58" s="556">
        <f t="shared" si="99"/>
        <v>0.01</v>
      </c>
      <c r="M58" s="556">
        <f t="shared" si="99"/>
        <v>0.01</v>
      </c>
      <c r="N58" s="556">
        <f t="shared" si="99"/>
        <v>0.01</v>
      </c>
      <c r="O58" s="556">
        <f t="shared" si="99"/>
        <v>0.01</v>
      </c>
      <c r="P58" s="556">
        <f t="shared" si="99"/>
        <v>0.01</v>
      </c>
      <c r="Q58" s="556">
        <f t="shared" ref="Q58" si="100">P58</f>
        <v>0.01</v>
      </c>
      <c r="R58" s="556">
        <f t="shared" ref="R58" si="101">Q58</f>
        <v>0.01</v>
      </c>
      <c r="S58" s="556">
        <f t="shared" ref="S58" si="102">R58</f>
        <v>0.01</v>
      </c>
      <c r="T58" s="556">
        <f t="shared" ref="T58" si="103">S58</f>
        <v>0.01</v>
      </c>
    </row>
    <row r="59" spans="2:20">
      <c r="B59" s="15"/>
      <c r="C59" s="34"/>
      <c r="D59" s="225"/>
      <c r="E59" s="228"/>
      <c r="F59" s="228"/>
      <c r="G59" s="228"/>
      <c r="H59" s="556"/>
      <c r="I59" s="556"/>
      <c r="J59" s="556"/>
      <c r="K59" s="556"/>
      <c r="L59" s="556"/>
      <c r="M59" s="556"/>
      <c r="N59" s="556"/>
      <c r="O59" s="556"/>
      <c r="P59" s="556"/>
      <c r="Q59" s="556"/>
      <c r="R59" s="556"/>
      <c r="S59" s="556"/>
      <c r="T59" s="556"/>
    </row>
    <row r="60" spans="2:20">
      <c r="B60" s="192" t="s">
        <v>443</v>
      </c>
      <c r="C60" s="60">
        <f>C57*C61</f>
        <v>12600</v>
      </c>
      <c r="D60" s="60">
        <f t="shared" ref="D60" si="104">D57*D61</f>
        <v>12726</v>
      </c>
      <c r="E60" s="60">
        <f t="shared" ref="E60" si="105">E57*E61</f>
        <v>12853.259999999998</v>
      </c>
      <c r="F60" s="60">
        <f t="shared" ref="F60" si="106">F57*F61</f>
        <v>12981.792599999999</v>
      </c>
      <c r="G60" s="60">
        <f t="shared" ref="G60" si="107">G57*G61</f>
        <v>13111.610525999999</v>
      </c>
      <c r="H60" s="60">
        <f t="shared" ref="H60" si="108">H57*H61</f>
        <v>13242.726631259999</v>
      </c>
      <c r="I60" s="60">
        <f t="shared" ref="I60" si="109">I57*I61</f>
        <v>13375.153897572598</v>
      </c>
      <c r="J60" s="60">
        <f t="shared" ref="J60" si="110">J57*J61</f>
        <v>13508.905436548324</v>
      </c>
      <c r="K60" s="60">
        <f t="shared" ref="K60" si="111">K57*K61</f>
        <v>13643.994490913807</v>
      </c>
      <c r="L60" s="60">
        <f t="shared" ref="L60" si="112">L57*L61</f>
        <v>13780.434435822946</v>
      </c>
      <c r="M60" s="60">
        <f t="shared" ref="M60" si="113">M57*M61</f>
        <v>13918.238780181176</v>
      </c>
      <c r="N60" s="60">
        <f t="shared" ref="N60" si="114">N57*N61</f>
        <v>14057.42116798299</v>
      </c>
      <c r="O60" s="60">
        <f t="shared" ref="O60" si="115">O57*O61</f>
        <v>14197.995379662818</v>
      </c>
      <c r="P60" s="60">
        <f t="shared" ref="P60:T60" si="116">P57*P61</f>
        <v>14339.975333459446</v>
      </c>
      <c r="Q60" s="60">
        <f t="shared" si="116"/>
        <v>14483.375086794042</v>
      </c>
      <c r="R60" s="60">
        <f t="shared" si="116"/>
        <v>14628.208837661981</v>
      </c>
      <c r="S60" s="60">
        <f t="shared" si="116"/>
        <v>14774.490926038599</v>
      </c>
      <c r="T60" s="60">
        <f t="shared" si="116"/>
        <v>14922.235835298985</v>
      </c>
    </row>
    <row r="61" spans="2:20">
      <c r="B61" s="15" t="s">
        <v>444</v>
      </c>
      <c r="C61" s="34">
        <v>0.3</v>
      </c>
      <c r="D61" s="569">
        <f>C61</f>
        <v>0.3</v>
      </c>
      <c r="E61" s="569">
        <f t="shared" ref="E61:P61" si="117">D61</f>
        <v>0.3</v>
      </c>
      <c r="F61" s="569">
        <f t="shared" si="117"/>
        <v>0.3</v>
      </c>
      <c r="G61" s="569">
        <f t="shared" si="117"/>
        <v>0.3</v>
      </c>
      <c r="H61" s="569">
        <f t="shared" si="117"/>
        <v>0.3</v>
      </c>
      <c r="I61" s="569">
        <f t="shared" si="117"/>
        <v>0.3</v>
      </c>
      <c r="J61" s="569">
        <f t="shared" si="117"/>
        <v>0.3</v>
      </c>
      <c r="K61" s="569">
        <f t="shared" si="117"/>
        <v>0.3</v>
      </c>
      <c r="L61" s="569">
        <f t="shared" si="117"/>
        <v>0.3</v>
      </c>
      <c r="M61" s="569">
        <f t="shared" si="117"/>
        <v>0.3</v>
      </c>
      <c r="N61" s="569">
        <f t="shared" si="117"/>
        <v>0.3</v>
      </c>
      <c r="O61" s="569">
        <f t="shared" si="117"/>
        <v>0.3</v>
      </c>
      <c r="P61" s="569">
        <f t="shared" si="117"/>
        <v>0.3</v>
      </c>
      <c r="Q61" s="569">
        <f t="shared" ref="Q61" si="118">P61</f>
        <v>0.3</v>
      </c>
      <c r="R61" s="569">
        <f t="shared" ref="R61" si="119">Q61</f>
        <v>0.3</v>
      </c>
      <c r="S61" s="569">
        <f t="shared" ref="S61" si="120">R61</f>
        <v>0.3</v>
      </c>
      <c r="T61" s="569">
        <f t="shared" ref="T61" si="121">S61</f>
        <v>0.3</v>
      </c>
    </row>
    <row r="62" spans="2:20">
      <c r="B62" s="15"/>
      <c r="C62" s="34"/>
      <c r="D62" s="34"/>
      <c r="E62" s="35"/>
      <c r="F62" s="35"/>
      <c r="G62" s="35"/>
      <c r="H62" s="556"/>
      <c r="I62" s="556"/>
      <c r="J62" s="556"/>
      <c r="K62" s="556"/>
      <c r="L62" s="556"/>
      <c r="M62" s="556"/>
      <c r="N62" s="556"/>
      <c r="O62" s="556"/>
      <c r="P62" s="556"/>
      <c r="Q62" s="556"/>
      <c r="R62" s="556"/>
      <c r="S62" s="556"/>
      <c r="T62" s="556"/>
    </row>
    <row r="63" spans="2:20">
      <c r="B63" s="22" t="s">
        <v>117</v>
      </c>
      <c r="C63" s="36"/>
      <c r="D63" s="36"/>
      <c r="E63" s="36"/>
      <c r="F63" s="36"/>
      <c r="G63" s="36"/>
      <c r="H63" s="557">
        <f t="shared" ref="H63:N63" si="122">G72</f>
        <v>0</v>
      </c>
      <c r="I63" s="557">
        <f t="shared" si="122"/>
        <v>0</v>
      </c>
      <c r="J63" s="557">
        <f t="shared" si="122"/>
        <v>0</v>
      </c>
      <c r="K63" s="557">
        <f t="shared" si="122"/>
        <v>0</v>
      </c>
      <c r="L63" s="557">
        <f t="shared" si="122"/>
        <v>0</v>
      </c>
      <c r="M63" s="557">
        <f t="shared" si="122"/>
        <v>0</v>
      </c>
      <c r="N63" s="557">
        <f t="shared" si="122"/>
        <v>0</v>
      </c>
      <c r="O63" s="557">
        <f t="shared" ref="O63" si="123">N72</f>
        <v>0</v>
      </c>
      <c r="P63" s="557">
        <f t="shared" ref="P63" si="124">O72</f>
        <v>0</v>
      </c>
      <c r="Q63" s="557">
        <f t="shared" ref="Q63" si="125">P72</f>
        <v>0</v>
      </c>
      <c r="R63" s="557">
        <f t="shared" ref="R63" si="126">Q72</f>
        <v>0</v>
      </c>
      <c r="S63" s="557">
        <f t="shared" ref="S63" si="127">R72</f>
        <v>0</v>
      </c>
      <c r="T63" s="557">
        <f t="shared" ref="T63" si="128">S72</f>
        <v>0</v>
      </c>
    </row>
    <row r="64" spans="2:20">
      <c r="B64" s="1" t="s">
        <v>90</v>
      </c>
      <c r="C64" s="30"/>
      <c r="D64" s="30"/>
      <c r="E64" s="30"/>
      <c r="F64" s="30"/>
      <c r="G64" s="30"/>
      <c r="H64" s="558">
        <f t="shared" ref="H64:N64" si="129">H63/H57</f>
        <v>0</v>
      </c>
      <c r="I64" s="558">
        <f t="shared" si="129"/>
        <v>0</v>
      </c>
      <c r="J64" s="558">
        <f t="shared" si="129"/>
        <v>0</v>
      </c>
      <c r="K64" s="558">
        <f t="shared" si="129"/>
        <v>0</v>
      </c>
      <c r="L64" s="558">
        <f t="shared" si="129"/>
        <v>0</v>
      </c>
      <c r="M64" s="558">
        <f t="shared" si="129"/>
        <v>0</v>
      </c>
      <c r="N64" s="558">
        <f t="shared" si="129"/>
        <v>0</v>
      </c>
      <c r="O64" s="558">
        <f t="shared" ref="O64:P64" si="130">O63/O57</f>
        <v>0</v>
      </c>
      <c r="P64" s="558">
        <f t="shared" si="130"/>
        <v>0</v>
      </c>
      <c r="Q64" s="558">
        <f t="shared" ref="Q64:T64" si="131">Q63/Q57</f>
        <v>0</v>
      </c>
      <c r="R64" s="558">
        <f t="shared" si="131"/>
        <v>0</v>
      </c>
      <c r="S64" s="558">
        <f t="shared" si="131"/>
        <v>0</v>
      </c>
      <c r="T64" s="558">
        <f t="shared" si="131"/>
        <v>0</v>
      </c>
    </row>
    <row r="65" spans="2:20">
      <c r="B65" s="23"/>
      <c r="C65" s="3"/>
      <c r="D65" s="3"/>
      <c r="E65" s="3"/>
      <c r="F65" s="3"/>
      <c r="G65" s="3"/>
      <c r="H65" s="559"/>
      <c r="I65" s="559"/>
      <c r="J65" s="559"/>
      <c r="K65" s="559"/>
      <c r="L65" s="559"/>
      <c r="M65" s="559"/>
      <c r="N65" s="559"/>
      <c r="O65" s="559"/>
      <c r="P65" s="559"/>
      <c r="Q65" s="559"/>
      <c r="R65" s="559"/>
      <c r="S65" s="559"/>
      <c r="T65" s="559"/>
    </row>
    <row r="66" spans="2:20">
      <c r="B66" s="23" t="s">
        <v>101</v>
      </c>
      <c r="C66" s="26"/>
      <c r="D66" s="26"/>
      <c r="E66" s="26"/>
      <c r="F66" s="26"/>
      <c r="G66" s="26"/>
      <c r="H66" s="555">
        <f t="shared" ref="H66:M66" si="132">H67*H57</f>
        <v>0</v>
      </c>
      <c r="I66" s="555">
        <f t="shared" si="132"/>
        <v>0</v>
      </c>
      <c r="J66" s="555">
        <f t="shared" si="132"/>
        <v>0</v>
      </c>
      <c r="K66" s="555">
        <f t="shared" si="132"/>
        <v>0</v>
      </c>
      <c r="L66" s="555">
        <f t="shared" si="132"/>
        <v>0</v>
      </c>
      <c r="M66" s="555">
        <f t="shared" si="132"/>
        <v>0</v>
      </c>
      <c r="N66" s="555">
        <f>N67*N57</f>
        <v>0</v>
      </c>
      <c r="O66" s="555">
        <f t="shared" ref="O66" si="133">O67*O57</f>
        <v>0</v>
      </c>
      <c r="P66" s="555">
        <f>P67*P57</f>
        <v>0</v>
      </c>
      <c r="Q66" s="555">
        <f t="shared" ref="Q66:T66" si="134">Q67*Q57</f>
        <v>0</v>
      </c>
      <c r="R66" s="555">
        <f t="shared" si="134"/>
        <v>0</v>
      </c>
      <c r="S66" s="555">
        <f t="shared" si="134"/>
        <v>0</v>
      </c>
      <c r="T66" s="555">
        <f t="shared" si="134"/>
        <v>0</v>
      </c>
    </row>
    <row r="67" spans="2:20">
      <c r="B67" s="1" t="s">
        <v>102</v>
      </c>
      <c r="C67" s="31"/>
      <c r="D67" s="31"/>
      <c r="E67" s="31"/>
      <c r="F67" s="31"/>
      <c r="G67" s="31"/>
      <c r="H67" s="560">
        <f t="shared" ref="H67:N67" si="135">CHOOSE($H$3,H11,H12,H13)</f>
        <v>0</v>
      </c>
      <c r="I67" s="560">
        <f t="shared" si="135"/>
        <v>0</v>
      </c>
      <c r="J67" s="560">
        <f t="shared" si="135"/>
        <v>0</v>
      </c>
      <c r="K67" s="560">
        <f t="shared" si="135"/>
        <v>0</v>
      </c>
      <c r="L67" s="560">
        <f t="shared" si="135"/>
        <v>0</v>
      </c>
      <c r="M67" s="560">
        <f t="shared" si="135"/>
        <v>0</v>
      </c>
      <c r="N67" s="560">
        <f t="shared" si="135"/>
        <v>0</v>
      </c>
      <c r="O67" s="560">
        <f t="shared" ref="O67:P67" si="136">CHOOSE($H$3,O11,O12,O13)</f>
        <v>0</v>
      </c>
      <c r="P67" s="560">
        <f t="shared" si="136"/>
        <v>0</v>
      </c>
      <c r="Q67" s="560">
        <f t="shared" ref="Q67:T67" si="137">CHOOSE($H$3,Q11,Q12,Q13)</f>
        <v>0</v>
      </c>
      <c r="R67" s="560">
        <f t="shared" si="137"/>
        <v>0</v>
      </c>
      <c r="S67" s="560">
        <f t="shared" si="137"/>
        <v>0</v>
      </c>
      <c r="T67" s="560">
        <f t="shared" si="137"/>
        <v>0</v>
      </c>
    </row>
    <row r="68" spans="2:20">
      <c r="B68" s="1"/>
      <c r="C68" s="3"/>
      <c r="D68" s="3"/>
      <c r="E68" s="3"/>
      <c r="F68" s="3"/>
      <c r="G68" s="3"/>
      <c r="H68" s="559"/>
      <c r="I68" s="559"/>
      <c r="J68" s="559"/>
      <c r="K68" s="559"/>
      <c r="L68" s="559"/>
      <c r="M68" s="559"/>
      <c r="N68" s="559"/>
      <c r="O68" s="559"/>
      <c r="P68" s="559"/>
      <c r="Q68" s="559"/>
      <c r="R68" s="559"/>
      <c r="S68" s="559"/>
      <c r="T68" s="559"/>
    </row>
    <row r="69" spans="2:20">
      <c r="B69" s="23" t="s">
        <v>91</v>
      </c>
      <c r="C69" s="26"/>
      <c r="D69" s="26"/>
      <c r="E69" s="26"/>
      <c r="F69" s="26"/>
      <c r="G69" s="26"/>
      <c r="H69" s="555">
        <f t="shared" ref="H69:M69" si="138">H70*H63</f>
        <v>0</v>
      </c>
      <c r="I69" s="555">
        <f t="shared" si="138"/>
        <v>0</v>
      </c>
      <c r="J69" s="555">
        <f t="shared" si="138"/>
        <v>0</v>
      </c>
      <c r="K69" s="555">
        <f t="shared" si="138"/>
        <v>0</v>
      </c>
      <c r="L69" s="555">
        <f t="shared" si="138"/>
        <v>0</v>
      </c>
      <c r="M69" s="555">
        <f t="shared" si="138"/>
        <v>0</v>
      </c>
      <c r="N69" s="555">
        <f>N70*N63</f>
        <v>0</v>
      </c>
      <c r="O69" s="555">
        <f t="shared" ref="O69" si="139">O70*O63</f>
        <v>0</v>
      </c>
      <c r="P69" s="555">
        <f>P70*P63</f>
        <v>0</v>
      </c>
      <c r="Q69" s="555">
        <f t="shared" ref="Q69:T69" si="140">Q70*Q63</f>
        <v>0</v>
      </c>
      <c r="R69" s="555">
        <f t="shared" si="140"/>
        <v>0</v>
      </c>
      <c r="S69" s="555">
        <f t="shared" si="140"/>
        <v>0</v>
      </c>
      <c r="T69" s="555">
        <f t="shared" si="140"/>
        <v>0</v>
      </c>
    </row>
    <row r="70" spans="2:20">
      <c r="B70" s="1" t="s">
        <v>92</v>
      </c>
      <c r="C70" s="33"/>
      <c r="D70" s="33"/>
      <c r="E70" s="33"/>
      <c r="F70" s="39"/>
      <c r="G70" s="39"/>
      <c r="H70" s="561">
        <v>0.05</v>
      </c>
      <c r="I70" s="561">
        <f t="shared" ref="I70:N70" si="141">H70</f>
        <v>0.05</v>
      </c>
      <c r="J70" s="561">
        <f t="shared" si="141"/>
        <v>0.05</v>
      </c>
      <c r="K70" s="561">
        <f t="shared" si="141"/>
        <v>0.05</v>
      </c>
      <c r="L70" s="561">
        <f t="shared" si="141"/>
        <v>0.05</v>
      </c>
      <c r="M70" s="561">
        <f t="shared" si="141"/>
        <v>0.05</v>
      </c>
      <c r="N70" s="561">
        <f t="shared" si="141"/>
        <v>0.05</v>
      </c>
      <c r="O70" s="561">
        <f t="shared" ref="O70" si="142">N70</f>
        <v>0.05</v>
      </c>
      <c r="P70" s="561">
        <f t="shared" ref="P70" si="143">O70</f>
        <v>0.05</v>
      </c>
      <c r="Q70" s="561">
        <f t="shared" ref="Q70" si="144">P70</f>
        <v>0.05</v>
      </c>
      <c r="R70" s="561">
        <f t="shared" ref="R70" si="145">Q70</f>
        <v>0.05</v>
      </c>
      <c r="S70" s="561">
        <f t="shared" ref="S70" si="146">R70</f>
        <v>0.05</v>
      </c>
      <c r="T70" s="561">
        <f t="shared" ref="T70" si="147">S70</f>
        <v>0.05</v>
      </c>
    </row>
    <row r="71" spans="2:20">
      <c r="B71" s="23"/>
      <c r="C71" s="3"/>
      <c r="D71" s="3"/>
      <c r="E71" s="3"/>
      <c r="F71" s="3"/>
      <c r="G71" s="3"/>
      <c r="H71" s="559"/>
      <c r="I71" s="559"/>
      <c r="J71" s="559"/>
      <c r="K71" s="559"/>
      <c r="L71" s="559"/>
      <c r="M71" s="559"/>
      <c r="N71" s="559"/>
      <c r="O71" s="559"/>
      <c r="P71" s="559"/>
      <c r="Q71" s="559"/>
      <c r="R71" s="559"/>
      <c r="S71" s="559"/>
      <c r="T71" s="559"/>
    </row>
    <row r="72" spans="2:20">
      <c r="B72" s="23" t="s">
        <v>118</v>
      </c>
      <c r="C72" s="26"/>
      <c r="D72" s="26"/>
      <c r="E72" s="26"/>
      <c r="F72" s="26"/>
      <c r="G72" s="26"/>
      <c r="H72" s="555">
        <f t="shared" ref="H72:M72" si="148">H63+H66-H69</f>
        <v>0</v>
      </c>
      <c r="I72" s="555">
        <f t="shared" si="148"/>
        <v>0</v>
      </c>
      <c r="J72" s="555">
        <f t="shared" si="148"/>
        <v>0</v>
      </c>
      <c r="K72" s="555">
        <f t="shared" si="148"/>
        <v>0</v>
      </c>
      <c r="L72" s="555">
        <f t="shared" si="148"/>
        <v>0</v>
      </c>
      <c r="M72" s="555">
        <f t="shared" si="148"/>
        <v>0</v>
      </c>
      <c r="N72" s="555">
        <f>N63+N66-N69</f>
        <v>0</v>
      </c>
      <c r="O72" s="555">
        <f t="shared" ref="O72" si="149">O63+O66-O69</f>
        <v>0</v>
      </c>
      <c r="P72" s="555">
        <f>P63+P66-P69</f>
        <v>0</v>
      </c>
      <c r="Q72" s="555">
        <f t="shared" ref="Q72:T72" si="150">Q63+Q66-Q69</f>
        <v>0</v>
      </c>
      <c r="R72" s="555">
        <f t="shared" si="150"/>
        <v>0</v>
      </c>
      <c r="S72" s="555">
        <f t="shared" si="150"/>
        <v>0</v>
      </c>
      <c r="T72" s="555">
        <f t="shared" si="150"/>
        <v>0</v>
      </c>
    </row>
    <row r="73" spans="2:20">
      <c r="B73" s="25" t="s">
        <v>93</v>
      </c>
      <c r="C73" s="32"/>
      <c r="D73" s="32"/>
      <c r="E73" s="32"/>
      <c r="F73" s="32"/>
      <c r="G73" s="32"/>
      <c r="H73" s="562">
        <f t="shared" ref="H73:N73" si="151">H72/H57</f>
        <v>0</v>
      </c>
      <c r="I73" s="562">
        <f t="shared" si="151"/>
        <v>0</v>
      </c>
      <c r="J73" s="562">
        <f t="shared" si="151"/>
        <v>0</v>
      </c>
      <c r="K73" s="562">
        <f t="shared" si="151"/>
        <v>0</v>
      </c>
      <c r="L73" s="562">
        <f t="shared" si="151"/>
        <v>0</v>
      </c>
      <c r="M73" s="562">
        <f t="shared" si="151"/>
        <v>0</v>
      </c>
      <c r="N73" s="562">
        <f t="shared" si="151"/>
        <v>0</v>
      </c>
      <c r="O73" s="562">
        <f t="shared" ref="O73:P73" si="152">O72/O57</f>
        <v>0</v>
      </c>
      <c r="P73" s="562">
        <f t="shared" si="152"/>
        <v>0</v>
      </c>
      <c r="Q73" s="562">
        <f t="shared" ref="Q73:T73" si="153">Q72/Q57</f>
        <v>0</v>
      </c>
      <c r="R73" s="562">
        <f t="shared" si="153"/>
        <v>0</v>
      </c>
      <c r="S73" s="562">
        <f t="shared" si="153"/>
        <v>0</v>
      </c>
      <c r="T73" s="562">
        <f t="shared" si="153"/>
        <v>0</v>
      </c>
    </row>
    <row r="74" spans="2:20">
      <c r="B74" s="21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</row>
    <row r="75" spans="2:20">
      <c r="B75" s="24" t="s">
        <v>94</v>
      </c>
      <c r="F75" s="37"/>
      <c r="G75" s="37"/>
      <c r="H75" s="564">
        <v>6</v>
      </c>
      <c r="I75" s="564">
        <f t="shared" ref="I75:M76" si="154">H75</f>
        <v>6</v>
      </c>
      <c r="J75" s="564">
        <f t="shared" si="154"/>
        <v>6</v>
      </c>
      <c r="K75" s="564">
        <f t="shared" si="154"/>
        <v>6</v>
      </c>
      <c r="L75" s="564">
        <f t="shared" si="154"/>
        <v>6</v>
      </c>
      <c r="M75" s="564">
        <f t="shared" si="154"/>
        <v>6</v>
      </c>
      <c r="N75" s="564">
        <f>M75</f>
        <v>6</v>
      </c>
      <c r="O75" s="564">
        <f t="shared" ref="O75:O76" si="155">N75</f>
        <v>6</v>
      </c>
      <c r="P75" s="564">
        <f>O75</f>
        <v>6</v>
      </c>
      <c r="Q75" s="564">
        <f t="shared" ref="Q75:T75" si="156">P75</f>
        <v>6</v>
      </c>
      <c r="R75" s="564">
        <f t="shared" si="156"/>
        <v>6</v>
      </c>
      <c r="S75" s="564">
        <f t="shared" si="156"/>
        <v>6</v>
      </c>
      <c r="T75" s="564">
        <f t="shared" si="156"/>
        <v>6</v>
      </c>
    </row>
    <row r="76" spans="2:20">
      <c r="B76" s="24" t="s">
        <v>95</v>
      </c>
      <c r="F76" s="37"/>
      <c r="G76" s="37"/>
      <c r="H76" s="564">
        <v>11</v>
      </c>
      <c r="I76" s="564">
        <f t="shared" si="154"/>
        <v>11</v>
      </c>
      <c r="J76" s="564">
        <f t="shared" si="154"/>
        <v>11</v>
      </c>
      <c r="K76" s="564">
        <f t="shared" si="154"/>
        <v>11</v>
      </c>
      <c r="L76" s="564">
        <f t="shared" si="154"/>
        <v>11</v>
      </c>
      <c r="M76" s="564">
        <f t="shared" si="154"/>
        <v>11</v>
      </c>
      <c r="N76" s="564">
        <f>M76</f>
        <v>11</v>
      </c>
      <c r="O76" s="564">
        <f t="shared" si="155"/>
        <v>11</v>
      </c>
      <c r="P76" s="564">
        <f>O76</f>
        <v>11</v>
      </c>
      <c r="Q76" s="564">
        <f t="shared" ref="Q76:T76" si="157">P76</f>
        <v>11</v>
      </c>
      <c r="R76" s="564">
        <f t="shared" si="157"/>
        <v>11</v>
      </c>
      <c r="S76" s="564">
        <f t="shared" si="157"/>
        <v>11</v>
      </c>
      <c r="T76" s="564">
        <f t="shared" si="157"/>
        <v>11</v>
      </c>
    </row>
    <row r="77" spans="2:20">
      <c r="B77" s="21"/>
      <c r="H77" s="563"/>
      <c r="I77" s="563"/>
      <c r="J77" s="563"/>
      <c r="K77" s="563"/>
      <c r="L77" s="563"/>
      <c r="M77" s="563"/>
      <c r="N77" s="563"/>
      <c r="O77" s="563"/>
      <c r="P77" s="563"/>
      <c r="Q77" s="563"/>
      <c r="R77" s="563"/>
      <c r="S77" s="563"/>
      <c r="T77" s="563"/>
    </row>
    <row r="78" spans="2:20">
      <c r="B78" s="24" t="s">
        <v>104</v>
      </c>
      <c r="C78" s="26"/>
      <c r="D78" s="26"/>
      <c r="E78" s="26"/>
      <c r="F78" s="26"/>
      <c r="G78" s="26"/>
      <c r="H78" s="555">
        <f>(300000/12)*0.667</f>
        <v>16675</v>
      </c>
      <c r="I78" s="555">
        <f t="shared" ref="I78:N78" si="158">H78*(1+I79)</f>
        <v>16675</v>
      </c>
      <c r="J78" s="555">
        <f t="shared" si="158"/>
        <v>16675</v>
      </c>
      <c r="K78" s="555">
        <f t="shared" si="158"/>
        <v>16675</v>
      </c>
      <c r="L78" s="555">
        <f t="shared" si="158"/>
        <v>16675</v>
      </c>
      <c r="M78" s="555">
        <f t="shared" si="158"/>
        <v>16675</v>
      </c>
      <c r="N78" s="555">
        <f t="shared" si="158"/>
        <v>16675</v>
      </c>
      <c r="O78" s="555">
        <f t="shared" ref="O78" si="159">N78*(1+O79)</f>
        <v>16675</v>
      </c>
      <c r="P78" s="555">
        <f t="shared" ref="P78" si="160">O78*(1+P79)</f>
        <v>16675</v>
      </c>
      <c r="Q78" s="555">
        <f t="shared" ref="Q78" si="161">P78*(1+Q79)</f>
        <v>16675</v>
      </c>
      <c r="R78" s="555">
        <f t="shared" ref="R78" si="162">Q78*(1+R79)</f>
        <v>16675</v>
      </c>
      <c r="S78" s="555">
        <f t="shared" ref="S78" si="163">R78*(1+S79)</f>
        <v>16675</v>
      </c>
      <c r="T78" s="555">
        <f t="shared" ref="T78" si="164">S78*(1+T79)</f>
        <v>16675</v>
      </c>
    </row>
    <row r="79" spans="2:20">
      <c r="B79" s="1" t="s">
        <v>96</v>
      </c>
      <c r="C79" s="34"/>
      <c r="D79" s="35"/>
      <c r="E79" s="35"/>
      <c r="F79" s="35"/>
      <c r="G79" s="35"/>
      <c r="H79" s="556"/>
      <c r="I79" s="556">
        <v>0</v>
      </c>
      <c r="J79" s="556">
        <f t="shared" ref="J79:P79" si="165">I79</f>
        <v>0</v>
      </c>
      <c r="K79" s="556">
        <f t="shared" si="165"/>
        <v>0</v>
      </c>
      <c r="L79" s="556">
        <f t="shared" si="165"/>
        <v>0</v>
      </c>
      <c r="M79" s="556">
        <f t="shared" si="165"/>
        <v>0</v>
      </c>
      <c r="N79" s="556">
        <f t="shared" si="165"/>
        <v>0</v>
      </c>
      <c r="O79" s="556">
        <f t="shared" si="165"/>
        <v>0</v>
      </c>
      <c r="P79" s="556">
        <f t="shared" si="165"/>
        <v>0</v>
      </c>
      <c r="Q79" s="556">
        <f t="shared" ref="Q79" si="166">P79</f>
        <v>0</v>
      </c>
      <c r="R79" s="556">
        <f t="shared" ref="R79" si="167">Q79</f>
        <v>0</v>
      </c>
      <c r="S79" s="556">
        <f t="shared" ref="S79" si="168">R79</f>
        <v>0</v>
      </c>
      <c r="T79" s="556">
        <f t="shared" ref="T79" si="169">S79</f>
        <v>0</v>
      </c>
    </row>
    <row r="80" spans="2:20">
      <c r="B80" s="24" t="s">
        <v>105</v>
      </c>
      <c r="C80" s="26"/>
      <c r="D80" s="26"/>
      <c r="E80" s="26"/>
      <c r="F80" s="26"/>
      <c r="G80" s="26"/>
      <c r="H80" s="555">
        <f t="shared" ref="H80:M80" si="170">H78*(1-H81)</f>
        <v>14173.75</v>
      </c>
      <c r="I80" s="555">
        <f t="shared" si="170"/>
        <v>14173.75</v>
      </c>
      <c r="J80" s="555">
        <f t="shared" si="170"/>
        <v>14173.75</v>
      </c>
      <c r="K80" s="555">
        <f t="shared" si="170"/>
        <v>14173.75</v>
      </c>
      <c r="L80" s="555">
        <f t="shared" si="170"/>
        <v>14173.75</v>
      </c>
      <c r="M80" s="555">
        <f t="shared" si="170"/>
        <v>14173.75</v>
      </c>
      <c r="N80" s="555">
        <f>N78*(1-N81)</f>
        <v>14173.75</v>
      </c>
      <c r="O80" s="555">
        <f t="shared" ref="O80" si="171">O78*(1-O81)</f>
        <v>14173.75</v>
      </c>
      <c r="P80" s="555">
        <f>P78*(1-P81)</f>
        <v>14173.75</v>
      </c>
      <c r="Q80" s="555">
        <f t="shared" ref="Q80:T80" si="172">Q78*(1-Q81)</f>
        <v>14173.75</v>
      </c>
      <c r="R80" s="555">
        <f t="shared" si="172"/>
        <v>14173.75</v>
      </c>
      <c r="S80" s="555">
        <f t="shared" si="172"/>
        <v>14173.75</v>
      </c>
      <c r="T80" s="555">
        <f t="shared" si="172"/>
        <v>14173.75</v>
      </c>
    </row>
    <row r="81" spans="2:20">
      <c r="B81" s="1" t="s">
        <v>103</v>
      </c>
      <c r="C81" s="35"/>
      <c r="D81" s="35"/>
      <c r="E81" s="35"/>
      <c r="F81" s="35"/>
      <c r="G81" s="35"/>
      <c r="H81" s="556">
        <v>0.15</v>
      </c>
      <c r="I81" s="556">
        <f t="shared" ref="I81:N81" si="173">H81</f>
        <v>0.15</v>
      </c>
      <c r="J81" s="556">
        <f t="shared" si="173"/>
        <v>0.15</v>
      </c>
      <c r="K81" s="556">
        <f t="shared" si="173"/>
        <v>0.15</v>
      </c>
      <c r="L81" s="556">
        <f t="shared" si="173"/>
        <v>0.15</v>
      </c>
      <c r="M81" s="556">
        <f t="shared" si="173"/>
        <v>0.15</v>
      </c>
      <c r="N81" s="556">
        <f t="shared" si="173"/>
        <v>0.15</v>
      </c>
      <c r="O81" s="556">
        <f t="shared" ref="O81" si="174">N81</f>
        <v>0.15</v>
      </c>
      <c r="P81" s="556">
        <f t="shared" ref="P81" si="175">O81</f>
        <v>0.15</v>
      </c>
      <c r="Q81" s="556">
        <f t="shared" ref="Q81" si="176">P81</f>
        <v>0.15</v>
      </c>
      <c r="R81" s="556">
        <f t="shared" ref="R81" si="177">Q81</f>
        <v>0.15</v>
      </c>
      <c r="S81" s="556">
        <f t="shared" ref="S81" si="178">R81</f>
        <v>0.15</v>
      </c>
      <c r="T81" s="556">
        <f t="shared" ref="T81" si="179">S81</f>
        <v>0.15</v>
      </c>
    </row>
    <row r="82" spans="2:20">
      <c r="H82" s="563"/>
      <c r="I82" s="563"/>
      <c r="J82" s="563"/>
      <c r="K82" s="563"/>
      <c r="L82" s="563"/>
      <c r="M82" s="563"/>
      <c r="N82" s="563"/>
      <c r="O82" s="563"/>
      <c r="P82" s="563"/>
    </row>
    <row r="83" spans="2:20">
      <c r="B83" s="400" t="s">
        <v>122</v>
      </c>
      <c r="C83" s="18"/>
      <c r="D83" s="18"/>
      <c r="E83" s="18"/>
      <c r="F83" s="259"/>
      <c r="G83" s="259"/>
      <c r="H83" s="565">
        <f t="shared" ref="H83:M83" si="180">H63*H76*H80/1000000+H66*H75*H80/1000000</f>
        <v>0</v>
      </c>
      <c r="I83" s="565">
        <f t="shared" si="180"/>
        <v>0</v>
      </c>
      <c r="J83" s="565">
        <f t="shared" si="180"/>
        <v>0</v>
      </c>
      <c r="K83" s="565">
        <f t="shared" si="180"/>
        <v>0</v>
      </c>
      <c r="L83" s="565">
        <f t="shared" si="180"/>
        <v>0</v>
      </c>
      <c r="M83" s="565">
        <f t="shared" si="180"/>
        <v>0</v>
      </c>
      <c r="N83" s="565">
        <f>N63*N76*N80/1000000+N66*N75*N80/1000000</f>
        <v>0</v>
      </c>
      <c r="O83" s="565">
        <f t="shared" ref="O83:T83" si="181">O63*O76*O80/1000000+O66*O75*O80/1000000</f>
        <v>0</v>
      </c>
      <c r="P83" s="565">
        <f t="shared" si="181"/>
        <v>0</v>
      </c>
      <c r="Q83" s="565">
        <f t="shared" si="181"/>
        <v>0</v>
      </c>
      <c r="R83" s="565">
        <f t="shared" si="181"/>
        <v>0</v>
      </c>
      <c r="S83" s="565">
        <f t="shared" si="181"/>
        <v>0</v>
      </c>
      <c r="T83" s="566">
        <f t="shared" si="181"/>
        <v>0</v>
      </c>
    </row>
    <row r="84" spans="2:20" hidden="1" outlineLevel="1">
      <c r="H84" s="563"/>
      <c r="I84" s="563"/>
      <c r="J84" s="563"/>
      <c r="K84" s="563"/>
      <c r="L84" s="563"/>
      <c r="M84" s="563"/>
      <c r="N84" s="563"/>
      <c r="O84" s="563"/>
      <c r="P84" s="563"/>
    </row>
    <row r="85" spans="2:20" hidden="1" outlineLevel="1">
      <c r="B85" s="4" t="s">
        <v>120</v>
      </c>
      <c r="C85" s="5">
        <v>2013</v>
      </c>
      <c r="D85" s="5">
        <v>2014</v>
      </c>
      <c r="E85" s="5">
        <v>2015</v>
      </c>
      <c r="F85" s="5">
        <v>2016</v>
      </c>
      <c r="G85" s="5">
        <v>2017</v>
      </c>
      <c r="H85" s="567">
        <v>2018</v>
      </c>
      <c r="I85" s="567">
        <v>2019</v>
      </c>
      <c r="J85" s="567">
        <v>2020</v>
      </c>
      <c r="K85" s="567">
        <v>2021</v>
      </c>
      <c r="L85" s="567">
        <v>2022</v>
      </c>
      <c r="M85" s="567">
        <v>2023</v>
      </c>
      <c r="N85" s="567">
        <v>2024</v>
      </c>
      <c r="O85" s="567">
        <v>2025</v>
      </c>
      <c r="P85" s="568">
        <v>2026</v>
      </c>
    </row>
    <row r="86" spans="2:20" hidden="1" outlineLevel="1">
      <c r="H86" s="563"/>
      <c r="I86" s="563"/>
      <c r="J86" s="563"/>
      <c r="K86" s="563"/>
      <c r="L86" s="563"/>
      <c r="M86" s="563"/>
      <c r="N86" s="563"/>
      <c r="O86" s="563"/>
      <c r="P86" s="563"/>
    </row>
    <row r="87" spans="2:20" hidden="1" outlineLevel="1">
      <c r="B87" s="27" t="s">
        <v>88</v>
      </c>
      <c r="C87" s="179">
        <v>1534</v>
      </c>
      <c r="D87" s="26">
        <f t="shared" ref="D87:J87" si="182">C87*(1+D88)</f>
        <v>1549.34</v>
      </c>
      <c r="E87" s="26">
        <f t="shared" si="182"/>
        <v>1564.8334</v>
      </c>
      <c r="F87" s="26">
        <f t="shared" si="182"/>
        <v>1580.481734</v>
      </c>
      <c r="G87" s="26">
        <f t="shared" si="182"/>
        <v>1596.28655134</v>
      </c>
      <c r="H87" s="555">
        <f t="shared" si="182"/>
        <v>1612.2494168533999</v>
      </c>
      <c r="I87" s="555">
        <f t="shared" si="182"/>
        <v>1628.371911021934</v>
      </c>
      <c r="J87" s="555">
        <f t="shared" si="182"/>
        <v>1644.6556301321534</v>
      </c>
      <c r="K87" s="555">
        <f t="shared" ref="K87:P87" si="183">J87*(1+K88)</f>
        <v>1661.102186433475</v>
      </c>
      <c r="L87" s="555">
        <f t="shared" si="183"/>
        <v>1677.7132082978098</v>
      </c>
      <c r="M87" s="555">
        <f t="shared" si="183"/>
        <v>1694.490340380788</v>
      </c>
      <c r="N87" s="555">
        <f t="shared" si="183"/>
        <v>1711.435243784596</v>
      </c>
      <c r="O87" s="555">
        <f t="shared" si="183"/>
        <v>1728.549596222442</v>
      </c>
      <c r="P87" s="555">
        <f t="shared" si="183"/>
        <v>1745.8350921846663</v>
      </c>
    </row>
    <row r="88" spans="2:20" hidden="1" outlineLevel="1">
      <c r="B88" s="15" t="s">
        <v>89</v>
      </c>
      <c r="C88" s="34"/>
      <c r="D88" s="225">
        <v>0.01</v>
      </c>
      <c r="E88" s="228">
        <f t="shared" ref="E88:J88" si="184">D88</f>
        <v>0.01</v>
      </c>
      <c r="F88" s="228">
        <f t="shared" si="184"/>
        <v>0.01</v>
      </c>
      <c r="G88" s="228">
        <f t="shared" si="184"/>
        <v>0.01</v>
      </c>
      <c r="H88" s="556">
        <f t="shared" si="184"/>
        <v>0.01</v>
      </c>
      <c r="I88" s="556">
        <f t="shared" si="184"/>
        <v>0.01</v>
      </c>
      <c r="J88" s="556">
        <f t="shared" si="184"/>
        <v>0.01</v>
      </c>
      <c r="K88" s="556">
        <f t="shared" ref="K88:P88" si="185">J88</f>
        <v>0.01</v>
      </c>
      <c r="L88" s="556">
        <f t="shared" si="185"/>
        <v>0.01</v>
      </c>
      <c r="M88" s="556">
        <f t="shared" si="185"/>
        <v>0.01</v>
      </c>
      <c r="N88" s="556">
        <f t="shared" si="185"/>
        <v>0.01</v>
      </c>
      <c r="O88" s="556">
        <f t="shared" si="185"/>
        <v>0.01</v>
      </c>
      <c r="P88" s="556">
        <f t="shared" si="185"/>
        <v>0.01</v>
      </c>
    </row>
    <row r="89" spans="2:20" hidden="1" outlineLevel="1">
      <c r="H89" s="563"/>
      <c r="I89" s="563"/>
      <c r="J89" s="563"/>
      <c r="K89" s="563"/>
      <c r="L89" s="563"/>
      <c r="M89" s="563"/>
      <c r="N89" s="563"/>
      <c r="O89" s="563"/>
      <c r="P89" s="563"/>
    </row>
    <row r="90" spans="2:20" hidden="1" outlineLevel="1">
      <c r="B90" s="27" t="s">
        <v>121</v>
      </c>
      <c r="C90" s="26">
        <f>C91*C87</f>
        <v>613.6</v>
      </c>
      <c r="D90" s="26">
        <f t="shared" ref="D90:J90" si="186">D91*D87</f>
        <v>619.73599999999999</v>
      </c>
      <c r="E90" s="26">
        <f t="shared" si="186"/>
        <v>625.93335999999999</v>
      </c>
      <c r="F90" s="26">
        <f t="shared" si="186"/>
        <v>632.19269359999998</v>
      </c>
      <c r="G90" s="26">
        <f t="shared" si="186"/>
        <v>638.51462053600005</v>
      </c>
      <c r="H90" s="555">
        <f t="shared" si="186"/>
        <v>644.89976674136005</v>
      </c>
      <c r="I90" s="555">
        <f t="shared" si="186"/>
        <v>651.3487644087736</v>
      </c>
      <c r="J90" s="555">
        <f t="shared" si="186"/>
        <v>657.86225205286144</v>
      </c>
      <c r="K90" s="555">
        <f t="shared" ref="K90:P90" si="187">K91*K87</f>
        <v>664.44087457339003</v>
      </c>
      <c r="L90" s="555">
        <f t="shared" si="187"/>
        <v>671.08528331912396</v>
      </c>
      <c r="M90" s="555">
        <f t="shared" si="187"/>
        <v>677.79613615231528</v>
      </c>
      <c r="N90" s="555">
        <f t="shared" si="187"/>
        <v>684.57409751383841</v>
      </c>
      <c r="O90" s="555">
        <f t="shared" si="187"/>
        <v>691.41983848897689</v>
      </c>
      <c r="P90" s="555">
        <f t="shared" si="187"/>
        <v>698.33403687386658</v>
      </c>
    </row>
    <row r="91" spans="2:20" hidden="1" outlineLevel="1">
      <c r="B91" s="15" t="s">
        <v>119</v>
      </c>
      <c r="C91" s="225">
        <v>0.4</v>
      </c>
      <c r="D91" s="225">
        <f>C91</f>
        <v>0.4</v>
      </c>
      <c r="E91" s="225">
        <f t="shared" ref="E91:J91" si="188">D91</f>
        <v>0.4</v>
      </c>
      <c r="F91" s="225">
        <f t="shared" si="188"/>
        <v>0.4</v>
      </c>
      <c r="G91" s="225">
        <f t="shared" si="188"/>
        <v>0.4</v>
      </c>
      <c r="H91" s="569">
        <f t="shared" si="188"/>
        <v>0.4</v>
      </c>
      <c r="I91" s="569">
        <f t="shared" si="188"/>
        <v>0.4</v>
      </c>
      <c r="J91" s="569">
        <f t="shared" si="188"/>
        <v>0.4</v>
      </c>
      <c r="K91" s="569">
        <f t="shared" ref="K91:P91" si="189">J91</f>
        <v>0.4</v>
      </c>
      <c r="L91" s="569">
        <f t="shared" si="189"/>
        <v>0.4</v>
      </c>
      <c r="M91" s="569">
        <f t="shared" si="189"/>
        <v>0.4</v>
      </c>
      <c r="N91" s="569">
        <f t="shared" si="189"/>
        <v>0.4</v>
      </c>
      <c r="O91" s="569">
        <f t="shared" si="189"/>
        <v>0.4</v>
      </c>
      <c r="P91" s="569">
        <f t="shared" si="189"/>
        <v>0.4</v>
      </c>
    </row>
    <row r="92" spans="2:20" hidden="1" outlineLevel="1">
      <c r="B92" s="15"/>
      <c r="C92" s="34"/>
      <c r="D92" s="34"/>
      <c r="E92" s="35"/>
      <c r="F92" s="35"/>
      <c r="G92" s="35"/>
      <c r="H92" s="556"/>
      <c r="I92" s="556"/>
      <c r="J92" s="556"/>
      <c r="K92" s="556"/>
      <c r="L92" s="556"/>
      <c r="M92" s="556"/>
      <c r="N92" s="556"/>
      <c r="O92" s="556"/>
      <c r="P92" s="556"/>
    </row>
    <row r="93" spans="2:20" hidden="1" outlineLevel="1">
      <c r="B93" s="22" t="s">
        <v>117</v>
      </c>
      <c r="C93" s="36"/>
      <c r="D93" s="36"/>
      <c r="E93" s="36"/>
      <c r="F93" s="36"/>
      <c r="G93" s="36"/>
      <c r="H93" s="557">
        <f t="shared" ref="H93:N93" si="190">G102</f>
        <v>0</v>
      </c>
      <c r="I93" s="557">
        <f t="shared" si="190"/>
        <v>0</v>
      </c>
      <c r="J93" s="557">
        <f t="shared" si="190"/>
        <v>0</v>
      </c>
      <c r="K93" s="557">
        <f t="shared" si="190"/>
        <v>0</v>
      </c>
      <c r="L93" s="557">
        <f t="shared" si="190"/>
        <v>0</v>
      </c>
      <c r="M93" s="557">
        <f t="shared" si="190"/>
        <v>0</v>
      </c>
      <c r="N93" s="557">
        <f t="shared" si="190"/>
        <v>0</v>
      </c>
      <c r="O93" s="557">
        <f t="shared" ref="O93" si="191">N102</f>
        <v>0</v>
      </c>
      <c r="P93" s="557">
        <f t="shared" ref="P93" si="192">O102</f>
        <v>0</v>
      </c>
    </row>
    <row r="94" spans="2:20" hidden="1" outlineLevel="1">
      <c r="B94" s="1" t="s">
        <v>90</v>
      </c>
      <c r="C94" s="30"/>
      <c r="D94" s="30"/>
      <c r="E94" s="30"/>
      <c r="F94" s="30"/>
      <c r="G94" s="30"/>
      <c r="H94" s="558">
        <f t="shared" ref="H94:N94" si="193">H93/H90</f>
        <v>0</v>
      </c>
      <c r="I94" s="558">
        <f t="shared" si="193"/>
        <v>0</v>
      </c>
      <c r="J94" s="558">
        <f t="shared" si="193"/>
        <v>0</v>
      </c>
      <c r="K94" s="558">
        <f t="shared" si="193"/>
        <v>0</v>
      </c>
      <c r="L94" s="558">
        <f t="shared" si="193"/>
        <v>0</v>
      </c>
      <c r="M94" s="558">
        <f t="shared" si="193"/>
        <v>0</v>
      </c>
      <c r="N94" s="558">
        <f t="shared" si="193"/>
        <v>0</v>
      </c>
      <c r="O94" s="558">
        <f t="shared" ref="O94:P94" si="194">O93/O90</f>
        <v>0</v>
      </c>
      <c r="P94" s="558">
        <f t="shared" si="194"/>
        <v>0</v>
      </c>
    </row>
    <row r="95" spans="2:20" hidden="1" outlineLevel="1">
      <c r="B95" s="23"/>
      <c r="C95" s="3"/>
      <c r="D95" s="3"/>
      <c r="E95" s="3"/>
      <c r="F95" s="3"/>
      <c r="G95" s="3"/>
      <c r="H95" s="559"/>
      <c r="I95" s="559"/>
      <c r="J95" s="559"/>
      <c r="K95" s="559"/>
      <c r="L95" s="559"/>
      <c r="M95" s="559"/>
      <c r="N95" s="559"/>
      <c r="O95" s="559"/>
      <c r="P95" s="559"/>
    </row>
    <row r="96" spans="2:20" hidden="1" outlineLevel="1">
      <c r="B96" s="23" t="s">
        <v>101</v>
      </c>
      <c r="C96" s="26"/>
      <c r="D96" s="26"/>
      <c r="E96" s="26"/>
      <c r="F96" s="26"/>
      <c r="G96" s="26"/>
      <c r="H96" s="555">
        <f t="shared" ref="H96:M96" si="195">H97*H90</f>
        <v>0</v>
      </c>
      <c r="I96" s="555">
        <f t="shared" si="195"/>
        <v>0</v>
      </c>
      <c r="J96" s="555">
        <f t="shared" si="195"/>
        <v>0</v>
      </c>
      <c r="K96" s="555">
        <f t="shared" si="195"/>
        <v>0</v>
      </c>
      <c r="L96" s="555">
        <f t="shared" si="195"/>
        <v>0</v>
      </c>
      <c r="M96" s="555">
        <f t="shared" si="195"/>
        <v>0</v>
      </c>
      <c r="N96" s="555">
        <f>N97*N90</f>
        <v>0</v>
      </c>
      <c r="O96" s="555">
        <f t="shared" ref="O96" si="196">O97*O90</f>
        <v>0</v>
      </c>
      <c r="P96" s="555">
        <f>P97*P90</f>
        <v>0</v>
      </c>
    </row>
    <row r="97" spans="2:16" hidden="1" outlineLevel="1">
      <c r="B97" s="1" t="s">
        <v>102</v>
      </c>
      <c r="C97" s="31"/>
      <c r="D97" s="31"/>
      <c r="E97" s="31"/>
      <c r="F97" s="31"/>
      <c r="G97" s="31"/>
      <c r="H97" s="560">
        <f t="shared" ref="H97:N97" si="197">CHOOSE($H$3,H16,H17,H18)</f>
        <v>0</v>
      </c>
      <c r="I97" s="560">
        <f t="shared" si="197"/>
        <v>0</v>
      </c>
      <c r="J97" s="560">
        <f t="shared" si="197"/>
        <v>0</v>
      </c>
      <c r="K97" s="560">
        <f t="shared" si="197"/>
        <v>0</v>
      </c>
      <c r="L97" s="560">
        <f t="shared" si="197"/>
        <v>0</v>
      </c>
      <c r="M97" s="560">
        <f t="shared" si="197"/>
        <v>0</v>
      </c>
      <c r="N97" s="560">
        <f t="shared" si="197"/>
        <v>0</v>
      </c>
      <c r="O97" s="560">
        <f t="shared" ref="O97:P97" si="198">CHOOSE($H$3,O16,O17,O18)</f>
        <v>0</v>
      </c>
      <c r="P97" s="560">
        <f t="shared" si="198"/>
        <v>0</v>
      </c>
    </row>
    <row r="98" spans="2:16" hidden="1" outlineLevel="1">
      <c r="B98" s="1"/>
      <c r="C98" s="3"/>
      <c r="D98" s="3"/>
      <c r="E98" s="3"/>
      <c r="F98" s="3"/>
      <c r="G98" s="3"/>
      <c r="H98" s="559"/>
      <c r="I98" s="559"/>
      <c r="J98" s="559"/>
      <c r="K98" s="559"/>
      <c r="L98" s="559"/>
      <c r="M98" s="559"/>
      <c r="N98" s="559"/>
      <c r="O98" s="559"/>
      <c r="P98" s="559"/>
    </row>
    <row r="99" spans="2:16" hidden="1" outlineLevel="1">
      <c r="B99" s="23" t="s">
        <v>91</v>
      </c>
      <c r="C99" s="26"/>
      <c r="D99" s="26"/>
      <c r="E99" s="26"/>
      <c r="F99" s="26"/>
      <c r="G99" s="26"/>
      <c r="H99" s="555">
        <f t="shared" ref="H99:M99" si="199">H100*H93</f>
        <v>0</v>
      </c>
      <c r="I99" s="555">
        <f t="shared" si="199"/>
        <v>0</v>
      </c>
      <c r="J99" s="555">
        <f t="shared" si="199"/>
        <v>0</v>
      </c>
      <c r="K99" s="555">
        <f t="shared" si="199"/>
        <v>0</v>
      </c>
      <c r="L99" s="555">
        <f t="shared" si="199"/>
        <v>0</v>
      </c>
      <c r="M99" s="555">
        <f t="shared" si="199"/>
        <v>0</v>
      </c>
      <c r="N99" s="555">
        <f>N100*N93</f>
        <v>0</v>
      </c>
      <c r="O99" s="555">
        <f t="shared" ref="O99" si="200">O100*O93</f>
        <v>0</v>
      </c>
      <c r="P99" s="555">
        <f>P100*P93</f>
        <v>0</v>
      </c>
    </row>
    <row r="100" spans="2:16" hidden="1" outlineLevel="1">
      <c r="B100" s="1" t="s">
        <v>92</v>
      </c>
      <c r="C100" s="33"/>
      <c r="D100" s="33"/>
      <c r="E100" s="33"/>
      <c r="F100" s="39"/>
      <c r="G100" s="39"/>
      <c r="H100" s="561">
        <v>0.05</v>
      </c>
      <c r="I100" s="561">
        <f t="shared" ref="I100:N100" si="201">H100</f>
        <v>0.05</v>
      </c>
      <c r="J100" s="561">
        <f t="shared" si="201"/>
        <v>0.05</v>
      </c>
      <c r="K100" s="561">
        <f t="shared" si="201"/>
        <v>0.05</v>
      </c>
      <c r="L100" s="561">
        <f t="shared" si="201"/>
        <v>0.05</v>
      </c>
      <c r="M100" s="561">
        <f t="shared" si="201"/>
        <v>0.05</v>
      </c>
      <c r="N100" s="561">
        <f t="shared" si="201"/>
        <v>0.05</v>
      </c>
      <c r="O100" s="561">
        <f t="shared" ref="O100" si="202">N100</f>
        <v>0.05</v>
      </c>
      <c r="P100" s="561">
        <f t="shared" ref="P100" si="203">O100</f>
        <v>0.05</v>
      </c>
    </row>
    <row r="101" spans="2:16" hidden="1" outlineLevel="1">
      <c r="B101" s="23"/>
      <c r="C101" s="3"/>
      <c r="D101" s="3"/>
      <c r="E101" s="3"/>
      <c r="F101" s="3"/>
      <c r="G101" s="3"/>
      <c r="H101" s="559"/>
      <c r="I101" s="559"/>
      <c r="J101" s="559"/>
      <c r="K101" s="559"/>
      <c r="L101" s="559"/>
      <c r="M101" s="559"/>
      <c r="N101" s="559"/>
      <c r="O101" s="559"/>
      <c r="P101" s="559"/>
    </row>
    <row r="102" spans="2:16" hidden="1" outlineLevel="1">
      <c r="B102" s="23" t="s">
        <v>118</v>
      </c>
      <c r="C102" s="26"/>
      <c r="D102" s="26"/>
      <c r="E102" s="26"/>
      <c r="F102" s="26"/>
      <c r="G102" s="26"/>
      <c r="H102" s="555">
        <f t="shared" ref="H102:M102" si="204">H93+H96-H99</f>
        <v>0</v>
      </c>
      <c r="I102" s="555">
        <f t="shared" si="204"/>
        <v>0</v>
      </c>
      <c r="J102" s="555">
        <f t="shared" si="204"/>
        <v>0</v>
      </c>
      <c r="K102" s="555">
        <f t="shared" si="204"/>
        <v>0</v>
      </c>
      <c r="L102" s="555">
        <f t="shared" si="204"/>
        <v>0</v>
      </c>
      <c r="M102" s="555">
        <f t="shared" si="204"/>
        <v>0</v>
      </c>
      <c r="N102" s="555">
        <f>N93+N96-N99</f>
        <v>0</v>
      </c>
      <c r="O102" s="555">
        <f t="shared" ref="O102" si="205">O93+O96-O99</f>
        <v>0</v>
      </c>
      <c r="P102" s="555">
        <f>P93+P96-P99</f>
        <v>0</v>
      </c>
    </row>
    <row r="103" spans="2:16" hidden="1" outlineLevel="1">
      <c r="B103" s="25" t="s">
        <v>93</v>
      </c>
      <c r="C103" s="32"/>
      <c r="D103" s="32"/>
      <c r="E103" s="32"/>
      <c r="F103" s="32"/>
      <c r="G103" s="32"/>
      <c r="H103" s="562">
        <f t="shared" ref="H103:N103" si="206">H102/H90</f>
        <v>0</v>
      </c>
      <c r="I103" s="562">
        <f t="shared" si="206"/>
        <v>0</v>
      </c>
      <c r="J103" s="562">
        <f t="shared" si="206"/>
        <v>0</v>
      </c>
      <c r="K103" s="562">
        <f t="shared" si="206"/>
        <v>0</v>
      </c>
      <c r="L103" s="562">
        <f t="shared" si="206"/>
        <v>0</v>
      </c>
      <c r="M103" s="562">
        <f t="shared" si="206"/>
        <v>0</v>
      </c>
      <c r="N103" s="562">
        <f t="shared" si="206"/>
        <v>0</v>
      </c>
      <c r="O103" s="562">
        <f t="shared" ref="O103:P103" si="207">O102/O90</f>
        <v>0</v>
      </c>
      <c r="P103" s="562">
        <f t="shared" si="207"/>
        <v>0</v>
      </c>
    </row>
    <row r="104" spans="2:16" hidden="1" outlineLevel="1">
      <c r="B104" s="21"/>
      <c r="H104" s="563"/>
      <c r="I104" s="563"/>
      <c r="J104" s="563"/>
      <c r="K104" s="563"/>
      <c r="L104" s="563"/>
      <c r="M104" s="563"/>
      <c r="N104" s="563"/>
      <c r="O104" s="563"/>
      <c r="P104" s="563"/>
    </row>
    <row r="105" spans="2:16" hidden="1" outlineLevel="1">
      <c r="B105" s="24" t="s">
        <v>94</v>
      </c>
      <c r="F105" s="37"/>
      <c r="G105" s="37"/>
      <c r="H105" s="564">
        <v>6</v>
      </c>
      <c r="I105" s="564">
        <f t="shared" ref="I105:N106" si="208">H105</f>
        <v>6</v>
      </c>
      <c r="J105" s="564">
        <f t="shared" si="208"/>
        <v>6</v>
      </c>
      <c r="K105" s="564">
        <f t="shared" si="208"/>
        <v>6</v>
      </c>
      <c r="L105" s="564">
        <f t="shared" si="208"/>
        <v>6</v>
      </c>
      <c r="M105" s="564">
        <f t="shared" si="208"/>
        <v>6</v>
      </c>
      <c r="N105" s="564">
        <f t="shared" si="208"/>
        <v>6</v>
      </c>
      <c r="O105" s="564">
        <f t="shared" ref="O105:O106" si="209">N105</f>
        <v>6</v>
      </c>
      <c r="P105" s="564">
        <f t="shared" ref="P105:P106" si="210">O105</f>
        <v>6</v>
      </c>
    </row>
    <row r="106" spans="2:16" hidden="1" outlineLevel="1">
      <c r="B106" s="24" t="s">
        <v>95</v>
      </c>
      <c r="F106" s="37"/>
      <c r="G106" s="37"/>
      <c r="H106" s="564">
        <v>11</v>
      </c>
      <c r="I106" s="564">
        <f t="shared" si="208"/>
        <v>11</v>
      </c>
      <c r="J106" s="564">
        <f t="shared" si="208"/>
        <v>11</v>
      </c>
      <c r="K106" s="564">
        <f t="shared" si="208"/>
        <v>11</v>
      </c>
      <c r="L106" s="564">
        <f t="shared" si="208"/>
        <v>11</v>
      </c>
      <c r="M106" s="564">
        <f t="shared" si="208"/>
        <v>11</v>
      </c>
      <c r="N106" s="564">
        <f t="shared" si="208"/>
        <v>11</v>
      </c>
      <c r="O106" s="564">
        <f t="shared" si="209"/>
        <v>11</v>
      </c>
      <c r="P106" s="564">
        <f t="shared" si="210"/>
        <v>11</v>
      </c>
    </row>
    <row r="107" spans="2:16" hidden="1" outlineLevel="1">
      <c r="B107" s="21"/>
      <c r="H107" s="563"/>
      <c r="I107" s="563"/>
      <c r="J107" s="563"/>
      <c r="K107" s="563"/>
      <c r="L107" s="563"/>
      <c r="M107" s="563"/>
      <c r="N107" s="563"/>
      <c r="O107" s="563"/>
      <c r="P107" s="563"/>
    </row>
    <row r="108" spans="2:16" hidden="1" outlineLevel="1">
      <c r="B108" s="24" t="s">
        <v>104</v>
      </c>
      <c r="C108" s="26"/>
      <c r="D108" s="26"/>
      <c r="E108" s="26"/>
      <c r="F108" s="26"/>
      <c r="G108" s="26"/>
      <c r="H108" s="555">
        <f>H48</f>
        <v>25000</v>
      </c>
      <c r="I108" s="555">
        <f t="shared" ref="I108:N108" si="211">H108*(1+I109)</f>
        <v>25500</v>
      </c>
      <c r="J108" s="555">
        <f t="shared" si="211"/>
        <v>26010</v>
      </c>
      <c r="K108" s="555">
        <f t="shared" si="211"/>
        <v>26530.2</v>
      </c>
      <c r="L108" s="555">
        <f t="shared" si="211"/>
        <v>27060.804</v>
      </c>
      <c r="M108" s="555">
        <f t="shared" si="211"/>
        <v>27602.020080000002</v>
      </c>
      <c r="N108" s="555">
        <f t="shared" si="211"/>
        <v>28154.060481600001</v>
      </c>
      <c r="O108" s="555">
        <f t="shared" ref="O108" si="212">N108*(1+O109)</f>
        <v>28717.141691232002</v>
      </c>
      <c r="P108" s="555">
        <f t="shared" ref="P108" si="213">O108*(1+P109)</f>
        <v>29291.484525056643</v>
      </c>
    </row>
    <row r="109" spans="2:16" hidden="1" outlineLevel="1">
      <c r="B109" s="1" t="s">
        <v>96</v>
      </c>
      <c r="C109" s="34"/>
      <c r="D109" s="35"/>
      <c r="E109" s="35"/>
      <c r="F109" s="35"/>
      <c r="G109" s="35"/>
      <c r="H109" s="556"/>
      <c r="I109" s="556">
        <f t="shared" ref="I109:N109" si="214">I49</f>
        <v>0.02</v>
      </c>
      <c r="J109" s="556">
        <f t="shared" si="214"/>
        <v>0.02</v>
      </c>
      <c r="K109" s="556">
        <f t="shared" si="214"/>
        <v>0.02</v>
      </c>
      <c r="L109" s="556">
        <f t="shared" si="214"/>
        <v>0.02</v>
      </c>
      <c r="M109" s="556">
        <f t="shared" si="214"/>
        <v>0.02</v>
      </c>
      <c r="N109" s="556">
        <f t="shared" si="214"/>
        <v>0.02</v>
      </c>
      <c r="O109" s="556">
        <f t="shared" ref="O109:P109" si="215">O49</f>
        <v>0.02</v>
      </c>
      <c r="P109" s="556">
        <f t="shared" si="215"/>
        <v>0.02</v>
      </c>
    </row>
    <row r="110" spans="2:16" hidden="1" outlineLevel="1">
      <c r="B110" s="24" t="s">
        <v>105</v>
      </c>
      <c r="C110" s="26"/>
      <c r="D110" s="26"/>
      <c r="E110" s="26"/>
      <c r="F110" s="26"/>
      <c r="G110" s="26"/>
      <c r="H110" s="555">
        <f>H50</f>
        <v>21250</v>
      </c>
      <c r="I110" s="555">
        <f t="shared" ref="I110:N110" si="216">I108*(1-I111)</f>
        <v>21675</v>
      </c>
      <c r="J110" s="555">
        <f t="shared" si="216"/>
        <v>22108.5</v>
      </c>
      <c r="K110" s="555">
        <f t="shared" si="216"/>
        <v>22550.67</v>
      </c>
      <c r="L110" s="555">
        <f t="shared" si="216"/>
        <v>23001.683399999998</v>
      </c>
      <c r="M110" s="555">
        <f t="shared" si="216"/>
        <v>23461.717068000002</v>
      </c>
      <c r="N110" s="555">
        <f t="shared" si="216"/>
        <v>23930.951409360001</v>
      </c>
      <c r="O110" s="555">
        <f t="shared" ref="O110:P110" si="217">O108*(1-O111)</f>
        <v>24409.570437547201</v>
      </c>
      <c r="P110" s="555">
        <f t="shared" si="217"/>
        <v>24897.761846298145</v>
      </c>
    </row>
    <row r="111" spans="2:16" hidden="1" outlineLevel="1">
      <c r="B111" s="1" t="s">
        <v>103</v>
      </c>
      <c r="C111" s="35"/>
      <c r="D111" s="35"/>
      <c r="E111" s="35"/>
      <c r="F111" s="35"/>
      <c r="G111" s="35"/>
      <c r="H111" s="556">
        <f>H51</f>
        <v>0.15</v>
      </c>
      <c r="I111" s="556">
        <f t="shared" ref="I111:N111" si="218">I51</f>
        <v>0.15</v>
      </c>
      <c r="J111" s="556">
        <f t="shared" si="218"/>
        <v>0.15</v>
      </c>
      <c r="K111" s="556">
        <f t="shared" si="218"/>
        <v>0.15</v>
      </c>
      <c r="L111" s="556">
        <f t="shared" si="218"/>
        <v>0.15</v>
      </c>
      <c r="M111" s="556">
        <f t="shared" si="218"/>
        <v>0.15</v>
      </c>
      <c r="N111" s="556">
        <f t="shared" si="218"/>
        <v>0.15</v>
      </c>
      <c r="O111" s="556">
        <f t="shared" ref="O111:P111" si="219">O51</f>
        <v>0.15</v>
      </c>
      <c r="P111" s="556">
        <f t="shared" si="219"/>
        <v>0.15</v>
      </c>
    </row>
    <row r="112" spans="2:16" hidden="1" outlineLevel="1">
      <c r="H112" s="563"/>
      <c r="I112" s="563"/>
      <c r="J112" s="563"/>
      <c r="K112" s="563"/>
      <c r="L112" s="563"/>
      <c r="M112" s="563"/>
      <c r="N112" s="563"/>
      <c r="O112" s="563"/>
      <c r="P112" s="563"/>
    </row>
    <row r="113" spans="2:16" hidden="1" outlineLevel="1">
      <c r="B113" s="400" t="s">
        <v>122</v>
      </c>
      <c r="C113" s="18"/>
      <c r="D113" s="18"/>
      <c r="E113" s="18"/>
      <c r="F113" s="259"/>
      <c r="G113" s="259"/>
      <c r="H113" s="565">
        <f t="shared" ref="H113:M113" si="220">H93*H106*H110/1000000+H96*H105*H110/1000000</f>
        <v>0</v>
      </c>
      <c r="I113" s="565">
        <f t="shared" si="220"/>
        <v>0</v>
      </c>
      <c r="J113" s="565">
        <f t="shared" si="220"/>
        <v>0</v>
      </c>
      <c r="K113" s="565">
        <f t="shared" si="220"/>
        <v>0</v>
      </c>
      <c r="L113" s="565">
        <f t="shared" si="220"/>
        <v>0</v>
      </c>
      <c r="M113" s="565">
        <f t="shared" si="220"/>
        <v>0</v>
      </c>
      <c r="N113" s="565">
        <f>N93*N106*N110/1000000+N96*N105*N110/1000000</f>
        <v>0</v>
      </c>
      <c r="O113" s="565">
        <f t="shared" ref="O113" si="221">O93*O106*O110/1000000+O96*O105*O110/1000000</f>
        <v>0</v>
      </c>
      <c r="P113" s="566">
        <f>P93*P106*P110/1000000+P96*P105*P110/1000000</f>
        <v>0</v>
      </c>
    </row>
    <row r="114" spans="2:16" hidden="1" outlineLevel="1">
      <c r="H114" s="563"/>
      <c r="I114" s="563"/>
      <c r="J114" s="563"/>
      <c r="K114" s="563"/>
      <c r="L114" s="563"/>
      <c r="M114" s="563"/>
      <c r="N114" s="563"/>
      <c r="O114" s="563"/>
      <c r="P114" s="563"/>
    </row>
    <row r="115" spans="2:16" hidden="1" outlineLevel="1">
      <c r="B115" s="4" t="s">
        <v>126</v>
      </c>
      <c r="C115" s="5">
        <v>2013</v>
      </c>
      <c r="D115" s="5">
        <v>2014</v>
      </c>
      <c r="E115" s="5">
        <v>2015</v>
      </c>
      <c r="F115" s="5">
        <v>2016</v>
      </c>
      <c r="G115" s="5">
        <v>2017</v>
      </c>
      <c r="H115" s="567">
        <v>2018</v>
      </c>
      <c r="I115" s="567">
        <v>2019</v>
      </c>
      <c r="J115" s="567">
        <v>2020</v>
      </c>
      <c r="K115" s="567">
        <v>2021</v>
      </c>
      <c r="L115" s="567">
        <v>2022</v>
      </c>
      <c r="M115" s="567">
        <v>2023</v>
      </c>
      <c r="N115" s="567">
        <v>2024</v>
      </c>
      <c r="O115" s="567">
        <v>2025</v>
      </c>
      <c r="P115" s="568">
        <v>2026</v>
      </c>
    </row>
    <row r="116" spans="2:16" hidden="1" outlineLevel="1">
      <c r="H116" s="563"/>
      <c r="I116" s="563"/>
      <c r="J116" s="563"/>
      <c r="K116" s="563"/>
      <c r="L116" s="563"/>
      <c r="M116" s="563"/>
      <c r="N116" s="563"/>
      <c r="O116" s="563"/>
      <c r="P116" s="563"/>
    </row>
    <row r="117" spans="2:16" hidden="1" outlineLevel="1">
      <c r="B117" s="27" t="s">
        <v>88</v>
      </c>
      <c r="C117" s="179">
        <v>3549</v>
      </c>
      <c r="D117" s="26">
        <f t="shared" ref="D117:J117" si="222">C117*(1+D118)</f>
        <v>3584.4900000000002</v>
      </c>
      <c r="E117" s="26">
        <f t="shared" si="222"/>
        <v>3620.3349000000003</v>
      </c>
      <c r="F117" s="26">
        <f t="shared" si="222"/>
        <v>3656.5382490000002</v>
      </c>
      <c r="G117" s="26">
        <f t="shared" si="222"/>
        <v>3693.1036314900002</v>
      </c>
      <c r="H117" s="555">
        <f t="shared" si="222"/>
        <v>3730.0346678049004</v>
      </c>
      <c r="I117" s="555">
        <f t="shared" si="222"/>
        <v>3767.3350144829496</v>
      </c>
      <c r="J117" s="555">
        <f t="shared" si="222"/>
        <v>3805.008364627779</v>
      </c>
      <c r="K117" s="555">
        <f t="shared" ref="K117:P117" si="223">J117*(1+K118)</f>
        <v>3843.0584482740569</v>
      </c>
      <c r="L117" s="555">
        <f t="shared" si="223"/>
        <v>3881.4890327567973</v>
      </c>
      <c r="M117" s="555">
        <f t="shared" si="223"/>
        <v>3920.3039230843651</v>
      </c>
      <c r="N117" s="555">
        <f t="shared" si="223"/>
        <v>3959.506962315209</v>
      </c>
      <c r="O117" s="555">
        <f t="shared" si="223"/>
        <v>3999.1020319383611</v>
      </c>
      <c r="P117" s="555">
        <f t="shared" si="223"/>
        <v>4039.0930522577446</v>
      </c>
    </row>
    <row r="118" spans="2:16" hidden="1" outlineLevel="1">
      <c r="B118" s="15" t="s">
        <v>89</v>
      </c>
      <c r="C118" s="225"/>
      <c r="D118" s="225">
        <v>0.01</v>
      </c>
      <c r="E118" s="228">
        <f t="shared" ref="E118:J118" si="224">D118</f>
        <v>0.01</v>
      </c>
      <c r="F118" s="228">
        <f t="shared" si="224"/>
        <v>0.01</v>
      </c>
      <c r="G118" s="228">
        <f t="shared" si="224"/>
        <v>0.01</v>
      </c>
      <c r="H118" s="556">
        <f t="shared" si="224"/>
        <v>0.01</v>
      </c>
      <c r="I118" s="556">
        <f t="shared" si="224"/>
        <v>0.01</v>
      </c>
      <c r="J118" s="556">
        <f t="shared" si="224"/>
        <v>0.01</v>
      </c>
      <c r="K118" s="556">
        <f t="shared" ref="K118:P118" si="225">J118</f>
        <v>0.01</v>
      </c>
      <c r="L118" s="556">
        <f t="shared" si="225"/>
        <v>0.01</v>
      </c>
      <c r="M118" s="556">
        <f t="shared" si="225"/>
        <v>0.01</v>
      </c>
      <c r="N118" s="556">
        <f t="shared" si="225"/>
        <v>0.01</v>
      </c>
      <c r="O118" s="556">
        <f t="shared" si="225"/>
        <v>0.01</v>
      </c>
      <c r="P118" s="556">
        <f t="shared" si="225"/>
        <v>0.01</v>
      </c>
    </row>
    <row r="119" spans="2:16" hidden="1" outlineLevel="1">
      <c r="H119" s="563"/>
      <c r="I119" s="563"/>
      <c r="J119" s="563"/>
      <c r="K119" s="563"/>
      <c r="L119" s="563"/>
      <c r="M119" s="563"/>
      <c r="N119" s="563"/>
      <c r="O119" s="563"/>
      <c r="P119" s="563"/>
    </row>
    <row r="120" spans="2:16" hidden="1" outlineLevel="1">
      <c r="B120" s="27" t="s">
        <v>121</v>
      </c>
      <c r="C120" s="26">
        <f t="shared" ref="C120:J120" si="226">C121*C117</f>
        <v>1419.6000000000001</v>
      </c>
      <c r="D120" s="26">
        <f t="shared" si="226"/>
        <v>1433.7960000000003</v>
      </c>
      <c r="E120" s="26">
        <f t="shared" si="226"/>
        <v>1448.1339600000001</v>
      </c>
      <c r="F120" s="26">
        <f t="shared" si="226"/>
        <v>1462.6152996000001</v>
      </c>
      <c r="G120" s="26">
        <f t="shared" si="226"/>
        <v>1477.2414525960003</v>
      </c>
      <c r="H120" s="555">
        <f t="shared" si="226"/>
        <v>1492.0138671219602</v>
      </c>
      <c r="I120" s="555">
        <f t="shared" si="226"/>
        <v>1506.9340057931799</v>
      </c>
      <c r="J120" s="555">
        <f t="shared" si="226"/>
        <v>1522.0033458511116</v>
      </c>
      <c r="K120" s="555">
        <f t="shared" ref="K120:P120" si="227">K121*K117</f>
        <v>1537.2233793096229</v>
      </c>
      <c r="L120" s="555">
        <f t="shared" si="227"/>
        <v>1552.595613102719</v>
      </c>
      <c r="M120" s="555">
        <f t="shared" si="227"/>
        <v>1568.1215692337462</v>
      </c>
      <c r="N120" s="555">
        <f t="shared" si="227"/>
        <v>1583.8027849260836</v>
      </c>
      <c r="O120" s="555">
        <f t="shared" si="227"/>
        <v>1599.6408127753446</v>
      </c>
      <c r="P120" s="555">
        <f t="shared" si="227"/>
        <v>1615.6372209030978</v>
      </c>
    </row>
    <row r="121" spans="2:16" hidden="1" outlineLevel="1">
      <c r="B121" s="15" t="s">
        <v>119</v>
      </c>
      <c r="C121" s="225">
        <f>C91</f>
        <v>0.4</v>
      </c>
      <c r="D121" s="225">
        <f>C121</f>
        <v>0.4</v>
      </c>
      <c r="E121" s="225">
        <f t="shared" ref="E121:J121" si="228">D121</f>
        <v>0.4</v>
      </c>
      <c r="F121" s="225">
        <f t="shared" si="228"/>
        <v>0.4</v>
      </c>
      <c r="G121" s="225">
        <f t="shared" si="228"/>
        <v>0.4</v>
      </c>
      <c r="H121" s="569">
        <f t="shared" si="228"/>
        <v>0.4</v>
      </c>
      <c r="I121" s="569">
        <f t="shared" si="228"/>
        <v>0.4</v>
      </c>
      <c r="J121" s="569">
        <f t="shared" si="228"/>
        <v>0.4</v>
      </c>
      <c r="K121" s="569">
        <f t="shared" ref="K121:P121" si="229">J121</f>
        <v>0.4</v>
      </c>
      <c r="L121" s="569">
        <f t="shared" si="229"/>
        <v>0.4</v>
      </c>
      <c r="M121" s="569">
        <f t="shared" si="229"/>
        <v>0.4</v>
      </c>
      <c r="N121" s="569">
        <f t="shared" si="229"/>
        <v>0.4</v>
      </c>
      <c r="O121" s="569">
        <f t="shared" si="229"/>
        <v>0.4</v>
      </c>
      <c r="P121" s="569">
        <f t="shared" si="229"/>
        <v>0.4</v>
      </c>
    </row>
    <row r="122" spans="2:16" hidden="1" outlineLevel="1">
      <c r="B122" s="15"/>
      <c r="C122" s="34"/>
      <c r="D122" s="34"/>
      <c r="E122" s="35"/>
      <c r="F122" s="35"/>
      <c r="G122" s="35"/>
      <c r="H122" s="556"/>
      <c r="I122" s="556"/>
      <c r="J122" s="556"/>
      <c r="K122" s="556"/>
      <c r="L122" s="556"/>
      <c r="M122" s="556"/>
      <c r="N122" s="556"/>
      <c r="O122" s="556"/>
      <c r="P122" s="556"/>
    </row>
    <row r="123" spans="2:16" hidden="1" outlineLevel="1">
      <c r="B123" s="22" t="s">
        <v>117</v>
      </c>
      <c r="C123" s="36"/>
      <c r="D123" s="36"/>
      <c r="E123" s="36"/>
      <c r="F123" s="36"/>
      <c r="G123" s="36"/>
      <c r="H123" s="557">
        <f t="shared" ref="H123:N123" si="230">G132</f>
        <v>0</v>
      </c>
      <c r="I123" s="557">
        <f t="shared" si="230"/>
        <v>0</v>
      </c>
      <c r="J123" s="557">
        <f t="shared" si="230"/>
        <v>0</v>
      </c>
      <c r="K123" s="557">
        <f t="shared" si="230"/>
        <v>0</v>
      </c>
      <c r="L123" s="557">
        <f t="shared" si="230"/>
        <v>0</v>
      </c>
      <c r="M123" s="557">
        <f t="shared" si="230"/>
        <v>0</v>
      </c>
      <c r="N123" s="557">
        <f t="shared" si="230"/>
        <v>0</v>
      </c>
      <c r="O123" s="557">
        <f t="shared" ref="O123" si="231">N132</f>
        <v>0</v>
      </c>
      <c r="P123" s="557">
        <f t="shared" ref="P123" si="232">O132</f>
        <v>0</v>
      </c>
    </row>
    <row r="124" spans="2:16" hidden="1" outlineLevel="1">
      <c r="B124" s="1" t="s">
        <v>90</v>
      </c>
      <c r="C124" s="30"/>
      <c r="D124" s="30"/>
      <c r="E124" s="30"/>
      <c r="F124" s="30"/>
      <c r="G124" s="30"/>
      <c r="H124" s="558">
        <f t="shared" ref="H124:N124" si="233">H123/H120</f>
        <v>0</v>
      </c>
      <c r="I124" s="558">
        <f t="shared" si="233"/>
        <v>0</v>
      </c>
      <c r="J124" s="558">
        <f t="shared" si="233"/>
        <v>0</v>
      </c>
      <c r="K124" s="558">
        <f t="shared" si="233"/>
        <v>0</v>
      </c>
      <c r="L124" s="558">
        <f t="shared" si="233"/>
        <v>0</v>
      </c>
      <c r="M124" s="558">
        <f t="shared" si="233"/>
        <v>0</v>
      </c>
      <c r="N124" s="558">
        <f t="shared" si="233"/>
        <v>0</v>
      </c>
      <c r="O124" s="558">
        <f t="shared" ref="O124:P124" si="234">O123/O120</f>
        <v>0</v>
      </c>
      <c r="P124" s="558">
        <f t="shared" si="234"/>
        <v>0</v>
      </c>
    </row>
    <row r="125" spans="2:16" hidden="1" outlineLevel="1">
      <c r="B125" s="23"/>
      <c r="C125" s="3"/>
      <c r="D125" s="3"/>
      <c r="E125" s="3"/>
      <c r="F125" s="3"/>
      <c r="G125" s="3"/>
      <c r="H125" s="559"/>
      <c r="I125" s="559"/>
      <c r="J125" s="559"/>
      <c r="K125" s="559"/>
      <c r="L125" s="559"/>
      <c r="M125" s="559"/>
      <c r="N125" s="559"/>
      <c r="O125" s="559"/>
      <c r="P125" s="559"/>
    </row>
    <row r="126" spans="2:16" hidden="1" outlineLevel="1">
      <c r="B126" s="23" t="s">
        <v>101</v>
      </c>
      <c r="C126" s="26"/>
      <c r="D126" s="26"/>
      <c r="E126" s="26"/>
      <c r="F126" s="26"/>
      <c r="G126" s="26"/>
      <c r="H126" s="555">
        <f t="shared" ref="H126:M126" si="235">H127*H120</f>
        <v>0</v>
      </c>
      <c r="I126" s="555">
        <f t="shared" si="235"/>
        <v>0</v>
      </c>
      <c r="J126" s="555">
        <f t="shared" si="235"/>
        <v>0</v>
      </c>
      <c r="K126" s="555">
        <f t="shared" si="235"/>
        <v>0</v>
      </c>
      <c r="L126" s="555">
        <f t="shared" si="235"/>
        <v>0</v>
      </c>
      <c r="M126" s="555">
        <f t="shared" si="235"/>
        <v>0</v>
      </c>
      <c r="N126" s="555">
        <f>N127*N120</f>
        <v>0</v>
      </c>
      <c r="O126" s="555">
        <f t="shared" ref="O126" si="236">O127*O120</f>
        <v>0</v>
      </c>
      <c r="P126" s="555">
        <f>P127*P120</f>
        <v>0</v>
      </c>
    </row>
    <row r="127" spans="2:16" hidden="1" outlineLevel="1">
      <c r="B127" s="1" t="s">
        <v>102</v>
      </c>
      <c r="C127" s="31"/>
      <c r="D127" s="31"/>
      <c r="E127" s="31"/>
      <c r="F127" s="31"/>
      <c r="G127" s="31"/>
      <c r="H127" s="560">
        <f t="shared" ref="H127:N127" si="237">CHOOSE($H$3,H21,H22,H23)</f>
        <v>0</v>
      </c>
      <c r="I127" s="560">
        <f t="shared" si="237"/>
        <v>0</v>
      </c>
      <c r="J127" s="560">
        <f t="shared" si="237"/>
        <v>0</v>
      </c>
      <c r="K127" s="560">
        <f t="shared" si="237"/>
        <v>0</v>
      </c>
      <c r="L127" s="560">
        <f t="shared" si="237"/>
        <v>0</v>
      </c>
      <c r="M127" s="560">
        <f t="shared" si="237"/>
        <v>0</v>
      </c>
      <c r="N127" s="560">
        <f t="shared" si="237"/>
        <v>0</v>
      </c>
      <c r="O127" s="560">
        <f t="shared" ref="O127:P127" si="238">CHOOSE($H$3,O21,O22,O23)</f>
        <v>0</v>
      </c>
      <c r="P127" s="560">
        <f t="shared" si="238"/>
        <v>0</v>
      </c>
    </row>
    <row r="128" spans="2:16" hidden="1" outlineLevel="1">
      <c r="B128" s="1"/>
      <c r="C128" s="3"/>
      <c r="D128" s="3"/>
      <c r="E128" s="3"/>
      <c r="F128" s="3"/>
      <c r="G128" s="3"/>
      <c r="H128" s="559"/>
      <c r="I128" s="559"/>
      <c r="J128" s="559"/>
      <c r="K128" s="559"/>
      <c r="L128" s="559"/>
      <c r="M128" s="559"/>
      <c r="N128" s="559"/>
      <c r="O128" s="559"/>
      <c r="P128" s="559"/>
    </row>
    <row r="129" spans="2:16" hidden="1" outlineLevel="1">
      <c r="B129" s="23" t="s">
        <v>91</v>
      </c>
      <c r="C129" s="26"/>
      <c r="D129" s="26"/>
      <c r="E129" s="26"/>
      <c r="F129" s="26"/>
      <c r="G129" s="26"/>
      <c r="H129" s="555">
        <f t="shared" ref="H129:M129" si="239">H130*H123</f>
        <v>0</v>
      </c>
      <c r="I129" s="555">
        <f t="shared" si="239"/>
        <v>0</v>
      </c>
      <c r="J129" s="555">
        <f t="shared" si="239"/>
        <v>0</v>
      </c>
      <c r="K129" s="555">
        <f t="shared" si="239"/>
        <v>0</v>
      </c>
      <c r="L129" s="555">
        <f t="shared" si="239"/>
        <v>0</v>
      </c>
      <c r="M129" s="555">
        <f t="shared" si="239"/>
        <v>0</v>
      </c>
      <c r="N129" s="555">
        <f>N130*N123</f>
        <v>0</v>
      </c>
      <c r="O129" s="555">
        <f t="shared" ref="O129" si="240">O130*O123</f>
        <v>0</v>
      </c>
      <c r="P129" s="555">
        <f>P130*P123</f>
        <v>0</v>
      </c>
    </row>
    <row r="130" spans="2:16" hidden="1" outlineLevel="1">
      <c r="B130" s="1" t="s">
        <v>92</v>
      </c>
      <c r="C130" s="33"/>
      <c r="D130" s="33"/>
      <c r="E130" s="33"/>
      <c r="F130" s="39"/>
      <c r="G130" s="39"/>
      <c r="H130" s="561">
        <v>0.05</v>
      </c>
      <c r="I130" s="561">
        <f t="shared" ref="I130:N130" si="241">H130</f>
        <v>0.05</v>
      </c>
      <c r="J130" s="561">
        <f t="shared" si="241"/>
        <v>0.05</v>
      </c>
      <c r="K130" s="561">
        <f t="shared" si="241"/>
        <v>0.05</v>
      </c>
      <c r="L130" s="561">
        <f t="shared" si="241"/>
        <v>0.05</v>
      </c>
      <c r="M130" s="561">
        <f t="shared" si="241"/>
        <v>0.05</v>
      </c>
      <c r="N130" s="561">
        <f t="shared" si="241"/>
        <v>0.05</v>
      </c>
      <c r="O130" s="561">
        <f t="shared" ref="O130" si="242">N130</f>
        <v>0.05</v>
      </c>
      <c r="P130" s="561">
        <f t="shared" ref="P130" si="243">O130</f>
        <v>0.05</v>
      </c>
    </row>
    <row r="131" spans="2:16" hidden="1" outlineLevel="1">
      <c r="B131" s="23"/>
      <c r="C131" s="3"/>
      <c r="D131" s="3"/>
      <c r="E131" s="3"/>
      <c r="F131" s="3"/>
      <c r="G131" s="3"/>
      <c r="H131" s="559"/>
      <c r="I131" s="559"/>
      <c r="J131" s="559"/>
      <c r="K131" s="559"/>
      <c r="L131" s="559"/>
      <c r="M131" s="559"/>
      <c r="N131" s="559"/>
      <c r="O131" s="559"/>
      <c r="P131" s="559"/>
    </row>
    <row r="132" spans="2:16" hidden="1" outlineLevel="1">
      <c r="B132" s="23" t="s">
        <v>118</v>
      </c>
      <c r="C132" s="26"/>
      <c r="D132" s="26"/>
      <c r="E132" s="26"/>
      <c r="F132" s="26"/>
      <c r="G132" s="26"/>
      <c r="H132" s="555">
        <f t="shared" ref="H132:M132" si="244">H123+H126-H129</f>
        <v>0</v>
      </c>
      <c r="I132" s="555">
        <f t="shared" si="244"/>
        <v>0</v>
      </c>
      <c r="J132" s="555">
        <f t="shared" si="244"/>
        <v>0</v>
      </c>
      <c r="K132" s="555">
        <f t="shared" si="244"/>
        <v>0</v>
      </c>
      <c r="L132" s="555">
        <f t="shared" si="244"/>
        <v>0</v>
      </c>
      <c r="M132" s="555">
        <f t="shared" si="244"/>
        <v>0</v>
      </c>
      <c r="N132" s="555">
        <f>N123+N126-N129</f>
        <v>0</v>
      </c>
      <c r="O132" s="555">
        <f t="shared" ref="O132" si="245">O123+O126-O129</f>
        <v>0</v>
      </c>
      <c r="P132" s="555">
        <f>P123+P126-P129</f>
        <v>0</v>
      </c>
    </row>
    <row r="133" spans="2:16" hidden="1" outlineLevel="1">
      <c r="B133" s="25" t="s">
        <v>93</v>
      </c>
      <c r="C133" s="32"/>
      <c r="D133" s="32"/>
      <c r="E133" s="32"/>
      <c r="F133" s="32"/>
      <c r="G133" s="32"/>
      <c r="H133" s="562">
        <f t="shared" ref="H133:N133" si="246">H132/H120</f>
        <v>0</v>
      </c>
      <c r="I133" s="562">
        <f t="shared" si="246"/>
        <v>0</v>
      </c>
      <c r="J133" s="562">
        <f t="shared" si="246"/>
        <v>0</v>
      </c>
      <c r="K133" s="562">
        <f t="shared" si="246"/>
        <v>0</v>
      </c>
      <c r="L133" s="562">
        <f t="shared" si="246"/>
        <v>0</v>
      </c>
      <c r="M133" s="562">
        <f t="shared" si="246"/>
        <v>0</v>
      </c>
      <c r="N133" s="562">
        <f t="shared" si="246"/>
        <v>0</v>
      </c>
      <c r="O133" s="562">
        <f t="shared" ref="O133:P133" si="247">O132/O120</f>
        <v>0</v>
      </c>
      <c r="P133" s="562">
        <f t="shared" si="247"/>
        <v>0</v>
      </c>
    </row>
    <row r="134" spans="2:16" hidden="1" outlineLevel="1">
      <c r="B134" s="21"/>
      <c r="H134" s="563"/>
      <c r="I134" s="563"/>
      <c r="J134" s="563"/>
      <c r="K134" s="563"/>
      <c r="L134" s="563"/>
      <c r="M134" s="563"/>
      <c r="N134" s="563"/>
      <c r="O134" s="563"/>
      <c r="P134" s="563"/>
    </row>
    <row r="135" spans="2:16" hidden="1" outlineLevel="1">
      <c r="B135" s="24" t="s">
        <v>94</v>
      </c>
      <c r="F135" s="37"/>
      <c r="G135" s="37"/>
      <c r="H135" s="564">
        <v>6</v>
      </c>
      <c r="I135" s="564">
        <f t="shared" ref="I135:N136" si="248">H135</f>
        <v>6</v>
      </c>
      <c r="J135" s="564">
        <f t="shared" si="248"/>
        <v>6</v>
      </c>
      <c r="K135" s="564">
        <f t="shared" si="248"/>
        <v>6</v>
      </c>
      <c r="L135" s="564">
        <f t="shared" si="248"/>
        <v>6</v>
      </c>
      <c r="M135" s="564">
        <f t="shared" si="248"/>
        <v>6</v>
      </c>
      <c r="N135" s="564">
        <f t="shared" si="248"/>
        <v>6</v>
      </c>
      <c r="O135" s="564">
        <f t="shared" ref="O135:O136" si="249">N135</f>
        <v>6</v>
      </c>
      <c r="P135" s="564">
        <f t="shared" ref="P135:P136" si="250">O135</f>
        <v>6</v>
      </c>
    </row>
    <row r="136" spans="2:16" hidden="1" outlineLevel="1">
      <c r="B136" s="24" t="s">
        <v>95</v>
      </c>
      <c r="F136" s="37"/>
      <c r="G136" s="37"/>
      <c r="H136" s="564">
        <v>11</v>
      </c>
      <c r="I136" s="564">
        <f t="shared" si="248"/>
        <v>11</v>
      </c>
      <c r="J136" s="564">
        <f t="shared" si="248"/>
        <v>11</v>
      </c>
      <c r="K136" s="564">
        <f t="shared" si="248"/>
        <v>11</v>
      </c>
      <c r="L136" s="564">
        <f t="shared" si="248"/>
        <v>11</v>
      </c>
      <c r="M136" s="564">
        <f t="shared" si="248"/>
        <v>11</v>
      </c>
      <c r="N136" s="564">
        <f t="shared" si="248"/>
        <v>11</v>
      </c>
      <c r="O136" s="564">
        <f t="shared" si="249"/>
        <v>11</v>
      </c>
      <c r="P136" s="564">
        <f t="shared" si="250"/>
        <v>11</v>
      </c>
    </row>
    <row r="137" spans="2:16" hidden="1" outlineLevel="1">
      <c r="B137" s="21"/>
      <c r="H137" s="563"/>
      <c r="I137" s="563"/>
      <c r="J137" s="563"/>
      <c r="K137" s="563"/>
      <c r="L137" s="563"/>
      <c r="M137" s="563"/>
      <c r="N137" s="563"/>
      <c r="O137" s="563"/>
      <c r="P137" s="563"/>
    </row>
    <row r="138" spans="2:16" hidden="1" outlineLevel="1">
      <c r="B138" s="24" t="s">
        <v>104</v>
      </c>
      <c r="C138" s="26"/>
      <c r="D138" s="26"/>
      <c r="E138" s="26"/>
      <c r="F138" s="26"/>
      <c r="G138" s="26"/>
      <c r="H138" s="555">
        <f t="shared" ref="H138:M138" si="251">H78</f>
        <v>16675</v>
      </c>
      <c r="I138" s="555">
        <f t="shared" si="251"/>
        <v>16675</v>
      </c>
      <c r="J138" s="555">
        <f t="shared" si="251"/>
        <v>16675</v>
      </c>
      <c r="K138" s="555">
        <f t="shared" si="251"/>
        <v>16675</v>
      </c>
      <c r="L138" s="555">
        <f t="shared" si="251"/>
        <v>16675</v>
      </c>
      <c r="M138" s="555">
        <f t="shared" si="251"/>
        <v>16675</v>
      </c>
      <c r="N138" s="555">
        <f>N78</f>
        <v>16675</v>
      </c>
      <c r="O138" s="555">
        <f t="shared" ref="O138" si="252">O78</f>
        <v>16675</v>
      </c>
      <c r="P138" s="555">
        <f>P78</f>
        <v>16675</v>
      </c>
    </row>
    <row r="139" spans="2:16" hidden="1" outlineLevel="1">
      <c r="B139" s="1" t="s">
        <v>96</v>
      </c>
      <c r="C139" s="34"/>
      <c r="D139" s="35"/>
      <c r="E139" s="35"/>
      <c r="F139" s="35"/>
      <c r="G139" s="35"/>
      <c r="H139" s="556"/>
      <c r="I139" s="556">
        <f t="shared" ref="I139:J141" si="253">I79</f>
        <v>0</v>
      </c>
      <c r="J139" s="556">
        <f t="shared" si="253"/>
        <v>0</v>
      </c>
      <c r="K139" s="556">
        <f t="shared" ref="K139:M141" si="254">K79</f>
        <v>0</v>
      </c>
      <c r="L139" s="556">
        <f t="shared" si="254"/>
        <v>0</v>
      </c>
      <c r="M139" s="556">
        <f t="shared" si="254"/>
        <v>0</v>
      </c>
      <c r="N139" s="556">
        <f>N79</f>
        <v>0</v>
      </c>
      <c r="O139" s="556">
        <f t="shared" ref="O139" si="255">O79</f>
        <v>0</v>
      </c>
      <c r="P139" s="556">
        <f>P79</f>
        <v>0</v>
      </c>
    </row>
    <row r="140" spans="2:16" hidden="1" outlineLevel="1">
      <c r="B140" s="24" t="s">
        <v>105</v>
      </c>
      <c r="C140" s="26"/>
      <c r="D140" s="26"/>
      <c r="E140" s="26"/>
      <c r="F140" s="26"/>
      <c r="G140" s="26"/>
      <c r="H140" s="555">
        <f>H80</f>
        <v>14173.75</v>
      </c>
      <c r="I140" s="555">
        <f t="shared" si="253"/>
        <v>14173.75</v>
      </c>
      <c r="J140" s="555">
        <f t="shared" si="253"/>
        <v>14173.75</v>
      </c>
      <c r="K140" s="555">
        <f t="shared" si="254"/>
        <v>14173.75</v>
      </c>
      <c r="L140" s="555">
        <f t="shared" si="254"/>
        <v>14173.75</v>
      </c>
      <c r="M140" s="555">
        <f t="shared" si="254"/>
        <v>14173.75</v>
      </c>
      <c r="N140" s="555">
        <f>N80</f>
        <v>14173.75</v>
      </c>
      <c r="O140" s="555">
        <f t="shared" ref="O140" si="256">O80</f>
        <v>14173.75</v>
      </c>
      <c r="P140" s="555">
        <f>P80</f>
        <v>14173.75</v>
      </c>
    </row>
    <row r="141" spans="2:16" hidden="1" outlineLevel="1">
      <c r="B141" s="1" t="s">
        <v>103</v>
      </c>
      <c r="C141" s="35"/>
      <c r="D141" s="35"/>
      <c r="E141" s="35"/>
      <c r="F141" s="35"/>
      <c r="G141" s="35"/>
      <c r="H141" s="556">
        <f>H81</f>
        <v>0.15</v>
      </c>
      <c r="I141" s="556">
        <f t="shared" si="253"/>
        <v>0.15</v>
      </c>
      <c r="J141" s="556">
        <f t="shared" si="253"/>
        <v>0.15</v>
      </c>
      <c r="K141" s="556">
        <f t="shared" si="254"/>
        <v>0.15</v>
      </c>
      <c r="L141" s="556">
        <f t="shared" si="254"/>
        <v>0.15</v>
      </c>
      <c r="M141" s="556">
        <f t="shared" si="254"/>
        <v>0.15</v>
      </c>
      <c r="N141" s="556">
        <f>N81</f>
        <v>0.15</v>
      </c>
      <c r="O141" s="556">
        <f t="shared" ref="O141" si="257">O81</f>
        <v>0.15</v>
      </c>
      <c r="P141" s="556">
        <f>P81</f>
        <v>0.15</v>
      </c>
    </row>
    <row r="142" spans="2:16" hidden="1" outlineLevel="1">
      <c r="H142" s="563"/>
      <c r="I142" s="563"/>
      <c r="J142" s="563"/>
      <c r="K142" s="563"/>
      <c r="L142" s="563"/>
      <c r="M142" s="563"/>
      <c r="N142" s="563"/>
      <c r="O142" s="563"/>
      <c r="P142" s="563"/>
    </row>
    <row r="143" spans="2:16" hidden="1" outlineLevel="1">
      <c r="B143" s="400" t="s">
        <v>122</v>
      </c>
      <c r="C143" s="18"/>
      <c r="D143" s="18"/>
      <c r="E143" s="18"/>
      <c r="F143" s="259"/>
      <c r="G143" s="259"/>
      <c r="H143" s="565">
        <f t="shared" ref="H143:M143" si="258">H123*H136*H140/1000000+H126*H135*H140/1000000</f>
        <v>0</v>
      </c>
      <c r="I143" s="565">
        <f t="shared" si="258"/>
        <v>0</v>
      </c>
      <c r="J143" s="565">
        <f t="shared" si="258"/>
        <v>0</v>
      </c>
      <c r="K143" s="565">
        <f t="shared" si="258"/>
        <v>0</v>
      </c>
      <c r="L143" s="565">
        <f t="shared" si="258"/>
        <v>0</v>
      </c>
      <c r="M143" s="565">
        <f t="shared" si="258"/>
        <v>0</v>
      </c>
      <c r="N143" s="565">
        <f>N123*N136*N140/1000000+N126*N135*N140/1000000</f>
        <v>0</v>
      </c>
      <c r="O143" s="565">
        <f t="shared" ref="O143" si="259">O123*O136*O140/1000000+O126*O135*O140/1000000</f>
        <v>0</v>
      </c>
      <c r="P143" s="566">
        <f>P123*P136*P140/1000000+P126*P135*P140/1000000</f>
        <v>0</v>
      </c>
    </row>
    <row r="144" spans="2:16" collapsed="1">
      <c r="H144" s="563"/>
      <c r="I144" s="563"/>
      <c r="J144" s="563"/>
      <c r="K144" s="563"/>
      <c r="L144" s="563"/>
      <c r="M144" s="563"/>
      <c r="N144" s="563"/>
      <c r="O144" s="563"/>
      <c r="P144" s="563"/>
    </row>
    <row r="145" spans="2:20">
      <c r="B145" s="400" t="s">
        <v>43</v>
      </c>
      <c r="C145" s="18"/>
      <c r="D145" s="18"/>
      <c r="E145" s="18"/>
      <c r="F145" s="259"/>
      <c r="G145" s="259"/>
      <c r="H145" s="565">
        <f>H83+H53</f>
        <v>0</v>
      </c>
      <c r="I145" s="565">
        <f t="shared" ref="I145:T145" si="260">I83+I53</f>
        <v>0</v>
      </c>
      <c r="J145" s="565">
        <f t="shared" si="260"/>
        <v>0</v>
      </c>
      <c r="K145" s="565">
        <f t="shared" si="260"/>
        <v>0</v>
      </c>
      <c r="L145" s="565">
        <f t="shared" si="260"/>
        <v>0</v>
      </c>
      <c r="M145" s="565">
        <f t="shared" si="260"/>
        <v>0</v>
      </c>
      <c r="N145" s="565">
        <f t="shared" si="260"/>
        <v>0</v>
      </c>
      <c r="O145" s="565">
        <f t="shared" si="260"/>
        <v>0</v>
      </c>
      <c r="P145" s="565">
        <f t="shared" si="260"/>
        <v>0</v>
      </c>
      <c r="Q145" s="565">
        <f t="shared" si="260"/>
        <v>0</v>
      </c>
      <c r="R145" s="565">
        <f t="shared" si="260"/>
        <v>0</v>
      </c>
      <c r="S145" s="565">
        <f t="shared" si="260"/>
        <v>0</v>
      </c>
      <c r="T145" s="566">
        <f t="shared" si="260"/>
        <v>0</v>
      </c>
    </row>
    <row r="146" spans="2:20">
      <c r="H146" s="563"/>
      <c r="I146" s="563"/>
      <c r="J146" s="563"/>
      <c r="K146" s="563"/>
      <c r="L146" s="563"/>
      <c r="M146" s="563"/>
      <c r="N146" s="563"/>
      <c r="O146" s="563"/>
      <c r="P146" s="563"/>
    </row>
    <row r="147" spans="2:20">
      <c r="B147" s="650" t="s">
        <v>553</v>
      </c>
      <c r="H147" s="652">
        <v>0</v>
      </c>
      <c r="I147" s="652">
        <v>0.15</v>
      </c>
      <c r="J147" s="652">
        <f>I147+0.03</f>
        <v>0.18</v>
      </c>
      <c r="K147" s="652">
        <f>J147+0.03</f>
        <v>0.21</v>
      </c>
      <c r="L147" s="652">
        <f>K147+0.03</f>
        <v>0.24</v>
      </c>
      <c r="M147" s="652">
        <f>L147+0.03</f>
        <v>0.27</v>
      </c>
      <c r="N147" s="652">
        <f>M147+0.03</f>
        <v>0.30000000000000004</v>
      </c>
      <c r="O147" s="651">
        <f t="shared" ref="O147:T147" si="261">N147</f>
        <v>0.30000000000000004</v>
      </c>
      <c r="P147" s="651">
        <f t="shared" si="261"/>
        <v>0.30000000000000004</v>
      </c>
      <c r="Q147" s="651">
        <f t="shared" si="261"/>
        <v>0.30000000000000004</v>
      </c>
      <c r="R147" s="651">
        <f t="shared" si="261"/>
        <v>0.30000000000000004</v>
      </c>
      <c r="S147" s="651">
        <f t="shared" si="261"/>
        <v>0.30000000000000004</v>
      </c>
      <c r="T147" s="651">
        <f t="shared" si="261"/>
        <v>0.30000000000000004</v>
      </c>
    </row>
    <row r="149" spans="2:20">
      <c r="B149" s="400" t="s">
        <v>553</v>
      </c>
      <c r="C149" s="18"/>
      <c r="D149" s="18"/>
      <c r="E149" s="18"/>
      <c r="F149" s="259"/>
      <c r="G149" s="259"/>
      <c r="H149" s="565">
        <f>H145*H147</f>
        <v>0</v>
      </c>
      <c r="I149" s="565">
        <f t="shared" ref="I149:T149" si="262">I145*I147</f>
        <v>0</v>
      </c>
      <c r="J149" s="565">
        <f t="shared" si="262"/>
        <v>0</v>
      </c>
      <c r="K149" s="565">
        <f t="shared" si="262"/>
        <v>0</v>
      </c>
      <c r="L149" s="565">
        <f t="shared" si="262"/>
        <v>0</v>
      </c>
      <c r="M149" s="565">
        <f t="shared" si="262"/>
        <v>0</v>
      </c>
      <c r="N149" s="565">
        <f t="shared" si="262"/>
        <v>0</v>
      </c>
      <c r="O149" s="565">
        <f t="shared" si="262"/>
        <v>0</v>
      </c>
      <c r="P149" s="565">
        <f t="shared" si="262"/>
        <v>0</v>
      </c>
      <c r="Q149" s="565">
        <f t="shared" si="262"/>
        <v>0</v>
      </c>
      <c r="R149" s="565">
        <f t="shared" si="262"/>
        <v>0</v>
      </c>
      <c r="S149" s="565">
        <f t="shared" si="262"/>
        <v>0</v>
      </c>
      <c r="T149" s="566">
        <f t="shared" si="262"/>
        <v>0</v>
      </c>
    </row>
  </sheetData>
  <phoneticPr fontId="4" type="noConversion"/>
  <pageMargins left="0" right="0" top="0" bottom="0" header="0" footer="0"/>
  <pageSetup paperSize="5" scale="4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2:O83"/>
  <sheetViews>
    <sheetView showGridLines="0" zoomScale="85" zoomScaleNormal="85" workbookViewId="0"/>
  </sheetViews>
  <sheetFormatPr defaultRowHeight="12.75"/>
  <cols>
    <col min="1" max="1" width="2.28515625" style="415" customWidth="1"/>
    <col min="2" max="2" width="35.85546875" style="415" customWidth="1"/>
    <col min="3" max="3" width="12.85546875" style="415" customWidth="1"/>
    <col min="4" max="5" width="13.42578125" style="415" customWidth="1"/>
    <col min="6" max="6" width="14.5703125" style="415" customWidth="1"/>
    <col min="7" max="7" width="11" style="415" customWidth="1"/>
    <col min="8" max="8" width="12.5703125" style="415" customWidth="1"/>
    <col min="9" max="14" width="11.140625" style="415" bestFit="1" customWidth="1"/>
    <col min="15" max="16384" width="9.140625" style="415"/>
  </cols>
  <sheetData>
    <row r="2" spans="2:15">
      <c r="B2" s="414" t="s">
        <v>85</v>
      </c>
      <c r="C2" s="414"/>
      <c r="D2" s="414"/>
      <c r="E2" s="414"/>
      <c r="F2" s="414"/>
      <c r="G2" s="414"/>
      <c r="H2" s="414"/>
      <c r="I2" s="414"/>
      <c r="J2" s="414"/>
      <c r="K2" s="414"/>
      <c r="L2" s="414"/>
    </row>
    <row r="3" spans="2:15">
      <c r="B3" s="416" t="s">
        <v>86</v>
      </c>
      <c r="C3" s="417">
        <f>DCF!C31</f>
        <v>2</v>
      </c>
      <c r="E3" s="418" t="s">
        <v>87</v>
      </c>
      <c r="F3" s="419">
        <f>DCF!C23</f>
        <v>117.89998532386268</v>
      </c>
    </row>
    <row r="5" spans="2:15">
      <c r="B5" s="420" t="s">
        <v>177</v>
      </c>
      <c r="C5" s="421"/>
      <c r="D5" s="421">
        <v>2014</v>
      </c>
      <c r="E5" s="421">
        <v>2015</v>
      </c>
      <c r="F5" s="421">
        <v>2016</v>
      </c>
      <c r="G5" s="421">
        <v>2017</v>
      </c>
      <c r="H5" s="421">
        <v>2018</v>
      </c>
      <c r="I5" s="421">
        <v>2019</v>
      </c>
      <c r="J5" s="421">
        <v>2020</v>
      </c>
      <c r="K5" s="421">
        <v>2021</v>
      </c>
      <c r="L5" s="421">
        <v>2022</v>
      </c>
      <c r="M5" s="421">
        <v>2023</v>
      </c>
      <c r="N5" s="447">
        <v>2024</v>
      </c>
    </row>
    <row r="6" spans="2:15">
      <c r="B6" s="422" t="s">
        <v>82</v>
      </c>
      <c r="C6" s="423"/>
      <c r="D6" s="423"/>
      <c r="E6" s="423"/>
      <c r="F6" s="424"/>
      <c r="G6" s="424"/>
      <c r="H6" s="424"/>
      <c r="I6" s="425">
        <f t="shared" ref="I6:N6" si="0">I7*1.25</f>
        <v>0</v>
      </c>
      <c r="J6" s="425">
        <f t="shared" si="0"/>
        <v>0</v>
      </c>
      <c r="K6" s="425">
        <f t="shared" si="0"/>
        <v>0</v>
      </c>
      <c r="L6" s="425">
        <f t="shared" si="0"/>
        <v>0</v>
      </c>
      <c r="M6" s="425">
        <f t="shared" si="0"/>
        <v>0</v>
      </c>
      <c r="N6" s="425">
        <f t="shared" si="0"/>
        <v>0</v>
      </c>
    </row>
    <row r="7" spans="2:15">
      <c r="B7" s="422" t="s">
        <v>83</v>
      </c>
      <c r="C7" s="423"/>
      <c r="D7" s="423"/>
      <c r="E7" s="423"/>
      <c r="F7" s="424"/>
      <c r="G7" s="424"/>
      <c r="H7" s="424"/>
      <c r="I7" s="425">
        <v>0</v>
      </c>
      <c r="J7" s="425">
        <v>0</v>
      </c>
      <c r="K7" s="425">
        <v>0</v>
      </c>
      <c r="L7" s="425">
        <v>0</v>
      </c>
      <c r="M7" s="425">
        <v>0</v>
      </c>
      <c r="N7" s="425">
        <v>0</v>
      </c>
      <c r="O7" s="425"/>
    </row>
    <row r="8" spans="2:15">
      <c r="B8" s="426" t="s">
        <v>84</v>
      </c>
      <c r="C8" s="423"/>
      <c r="D8" s="423"/>
      <c r="E8" s="423"/>
      <c r="F8" s="424"/>
      <c r="G8" s="424"/>
      <c r="H8" s="424"/>
      <c r="I8" s="425">
        <f t="shared" ref="I8:N8" si="1">H8</f>
        <v>0</v>
      </c>
      <c r="J8" s="425">
        <f t="shared" si="1"/>
        <v>0</v>
      </c>
      <c r="K8" s="425">
        <f t="shared" si="1"/>
        <v>0</v>
      </c>
      <c r="L8" s="425">
        <f t="shared" si="1"/>
        <v>0</v>
      </c>
      <c r="M8" s="425">
        <f t="shared" si="1"/>
        <v>0</v>
      </c>
      <c r="N8" s="425">
        <f t="shared" si="1"/>
        <v>0</v>
      </c>
    </row>
    <row r="10" spans="2:15">
      <c r="B10" s="420" t="s">
        <v>178</v>
      </c>
      <c r="C10" s="421"/>
      <c r="D10" s="421">
        <v>2014</v>
      </c>
      <c r="E10" s="421">
        <v>2015</v>
      </c>
      <c r="F10" s="421">
        <v>2016</v>
      </c>
      <c r="G10" s="421">
        <v>2017</v>
      </c>
      <c r="H10" s="421">
        <v>2018</v>
      </c>
      <c r="I10" s="421">
        <v>2019</v>
      </c>
      <c r="J10" s="421">
        <v>2020</v>
      </c>
      <c r="K10" s="421">
        <v>2021</v>
      </c>
      <c r="L10" s="421">
        <v>2022</v>
      </c>
      <c r="M10" s="421">
        <v>2023</v>
      </c>
      <c r="N10" s="447">
        <v>2024</v>
      </c>
    </row>
    <row r="11" spans="2:15">
      <c r="B11" s="422" t="s">
        <v>82</v>
      </c>
      <c r="C11" s="423"/>
      <c r="D11" s="423"/>
      <c r="E11" s="423"/>
      <c r="F11" s="424"/>
      <c r="G11" s="424"/>
      <c r="H11" s="424"/>
      <c r="I11" s="425">
        <f t="shared" ref="I11:N11" si="2">I12*1.25</f>
        <v>0</v>
      </c>
      <c r="J11" s="425">
        <f t="shared" si="2"/>
        <v>0</v>
      </c>
      <c r="K11" s="425">
        <f t="shared" si="2"/>
        <v>0</v>
      </c>
      <c r="L11" s="425">
        <f t="shared" si="2"/>
        <v>0</v>
      </c>
      <c r="M11" s="425">
        <f t="shared" si="2"/>
        <v>0</v>
      </c>
      <c r="N11" s="425">
        <f t="shared" si="2"/>
        <v>0</v>
      </c>
    </row>
    <row r="12" spans="2:15">
      <c r="B12" s="422" t="s">
        <v>83</v>
      </c>
      <c r="C12" s="423"/>
      <c r="D12" s="423"/>
      <c r="E12" s="423"/>
      <c r="F12" s="424"/>
      <c r="G12" s="424"/>
      <c r="H12" s="424"/>
      <c r="I12" s="425">
        <v>0</v>
      </c>
      <c r="J12" s="425">
        <v>0</v>
      </c>
      <c r="K12" s="425">
        <v>0</v>
      </c>
      <c r="L12" s="425">
        <v>0</v>
      </c>
      <c r="M12" s="425">
        <v>0</v>
      </c>
      <c r="N12" s="425">
        <v>0</v>
      </c>
    </row>
    <row r="13" spans="2:15">
      <c r="B13" s="426" t="s">
        <v>84</v>
      </c>
      <c r="C13" s="423"/>
      <c r="D13" s="423"/>
      <c r="E13" s="423"/>
      <c r="F13" s="424"/>
      <c r="G13" s="424"/>
      <c r="H13" s="424"/>
      <c r="I13" s="425">
        <f t="shared" ref="I13:N13" si="3">H13</f>
        <v>0</v>
      </c>
      <c r="J13" s="425">
        <f t="shared" si="3"/>
        <v>0</v>
      </c>
      <c r="K13" s="425">
        <f t="shared" si="3"/>
        <v>0</v>
      </c>
      <c r="L13" s="425">
        <f t="shared" si="3"/>
        <v>0</v>
      </c>
      <c r="M13" s="425">
        <f t="shared" si="3"/>
        <v>0</v>
      </c>
      <c r="N13" s="425">
        <f t="shared" si="3"/>
        <v>0</v>
      </c>
    </row>
    <row r="15" spans="2:15">
      <c r="B15" s="420"/>
      <c r="C15" s="421">
        <v>2013</v>
      </c>
      <c r="D15" s="421">
        <v>2014</v>
      </c>
      <c r="E15" s="421">
        <v>2015</v>
      </c>
      <c r="F15" s="421">
        <v>2016</v>
      </c>
      <c r="G15" s="421">
        <v>2017</v>
      </c>
      <c r="H15" s="421">
        <v>2018</v>
      </c>
      <c r="I15" s="421">
        <v>2019</v>
      </c>
      <c r="J15" s="421">
        <v>2020</v>
      </c>
      <c r="K15" s="421">
        <v>2021</v>
      </c>
      <c r="L15" s="421">
        <v>2022</v>
      </c>
      <c r="M15" s="421">
        <v>2023</v>
      </c>
      <c r="N15" s="447">
        <v>2024</v>
      </c>
    </row>
    <row r="16" spans="2:15" ht="15.75">
      <c r="B16" s="427" t="s">
        <v>149</v>
      </c>
      <c r="C16" s="428"/>
      <c r="D16" s="428"/>
      <c r="E16" s="428"/>
      <c r="F16" s="428"/>
      <c r="G16" s="428"/>
      <c r="H16" s="428"/>
      <c r="I16" s="428"/>
      <c r="J16" s="428"/>
      <c r="K16" s="428"/>
      <c r="L16" s="428"/>
      <c r="M16" s="428"/>
      <c r="N16" s="428"/>
    </row>
    <row r="17" spans="2:14">
      <c r="B17" s="415" t="s">
        <v>140</v>
      </c>
      <c r="C17" s="429">
        <v>226000000</v>
      </c>
      <c r="D17" s="429">
        <f>C17*(1+D18)</f>
        <v>228260000</v>
      </c>
      <c r="E17" s="429">
        <f t="shared" ref="E17:J17" si="4">D17*(1+E18)</f>
        <v>230542600</v>
      </c>
      <c r="F17" s="429">
        <f t="shared" si="4"/>
        <v>232848026</v>
      </c>
      <c r="G17" s="429">
        <f t="shared" si="4"/>
        <v>235176506.25999999</v>
      </c>
      <c r="H17" s="429">
        <f t="shared" si="4"/>
        <v>237528271.32260001</v>
      </c>
      <c r="I17" s="429">
        <f t="shared" si="4"/>
        <v>239903554.035826</v>
      </c>
      <c r="J17" s="429">
        <f t="shared" si="4"/>
        <v>242302589.57618427</v>
      </c>
      <c r="K17" s="429">
        <f>J17*(1+K18)</f>
        <v>244725615.47194612</v>
      </c>
      <c r="L17" s="429">
        <f>K17*(1+L18)</f>
        <v>247172871.62666559</v>
      </c>
      <c r="M17" s="429">
        <f>L17*(1+M18)</f>
        <v>249644600.34293225</v>
      </c>
      <c r="N17" s="429">
        <f>M17*(1+N18)</f>
        <v>252141046.34636158</v>
      </c>
    </row>
    <row r="18" spans="2:14">
      <c r="B18" s="430" t="s">
        <v>141</v>
      </c>
      <c r="C18" s="431"/>
      <c r="D18" s="431">
        <v>0.01</v>
      </c>
      <c r="E18" s="431">
        <v>0.01</v>
      </c>
      <c r="F18" s="431">
        <v>0.01</v>
      </c>
      <c r="G18" s="431">
        <v>0.01</v>
      </c>
      <c r="H18" s="431">
        <v>0.01</v>
      </c>
      <c r="I18" s="431">
        <v>0.01</v>
      </c>
      <c r="J18" s="431">
        <v>0.01</v>
      </c>
      <c r="K18" s="431">
        <v>0.01</v>
      </c>
      <c r="L18" s="431">
        <v>0.01</v>
      </c>
      <c r="M18" s="431">
        <v>0.01</v>
      </c>
      <c r="N18" s="431">
        <v>0.01</v>
      </c>
    </row>
    <row r="20" spans="2:14">
      <c r="B20" s="415" t="s">
        <v>150</v>
      </c>
      <c r="C20" s="429">
        <f>C21*C17</f>
        <v>74580000</v>
      </c>
      <c r="D20" s="429">
        <f t="shared" ref="D20:J20" si="5">D21*D17</f>
        <v>75325800</v>
      </c>
      <c r="E20" s="429">
        <f t="shared" si="5"/>
        <v>76079058</v>
      </c>
      <c r="F20" s="429">
        <f t="shared" si="5"/>
        <v>76839848.579999998</v>
      </c>
      <c r="G20" s="429">
        <f t="shared" si="5"/>
        <v>77608247.065799996</v>
      </c>
      <c r="H20" s="429">
        <f t="shared" si="5"/>
        <v>78384329.536458001</v>
      </c>
      <c r="I20" s="429">
        <f t="shared" si="5"/>
        <v>79168172.831822589</v>
      </c>
      <c r="J20" s="429">
        <f t="shared" si="5"/>
        <v>79959854.560140818</v>
      </c>
      <c r="K20" s="429">
        <f>K21*K17</f>
        <v>80759453.105742216</v>
      </c>
      <c r="L20" s="429">
        <f>L21*L17</f>
        <v>81567047.636799648</v>
      </c>
      <c r="M20" s="429">
        <f>M21*M17</f>
        <v>82382718.113167644</v>
      </c>
      <c r="N20" s="429">
        <f>N21*N17</f>
        <v>83206545.294299319</v>
      </c>
    </row>
    <row r="21" spans="2:14">
      <c r="B21" s="430" t="s">
        <v>142</v>
      </c>
      <c r="C21" s="431">
        <v>0.33</v>
      </c>
      <c r="D21" s="431">
        <v>0.33</v>
      </c>
      <c r="E21" s="431">
        <v>0.33</v>
      </c>
      <c r="F21" s="431">
        <v>0.33</v>
      </c>
      <c r="G21" s="431">
        <v>0.33</v>
      </c>
      <c r="H21" s="431">
        <v>0.33</v>
      </c>
      <c r="I21" s="431">
        <v>0.33</v>
      </c>
      <c r="J21" s="431">
        <v>0.33</v>
      </c>
      <c r="K21" s="431">
        <v>0.33</v>
      </c>
      <c r="L21" s="431">
        <v>0.33</v>
      </c>
      <c r="M21" s="431">
        <v>0.33</v>
      </c>
      <c r="N21" s="431">
        <v>0.33</v>
      </c>
    </row>
    <row r="23" spans="2:14">
      <c r="B23" s="415" t="s">
        <v>169</v>
      </c>
      <c r="C23" s="429">
        <f>C24*C20</f>
        <v>18645000</v>
      </c>
      <c r="D23" s="429">
        <f t="shared" ref="D23:J23" si="6">D24*D20</f>
        <v>18831450</v>
      </c>
      <c r="E23" s="429">
        <f t="shared" si="6"/>
        <v>19019764.5</v>
      </c>
      <c r="F23" s="429">
        <f t="shared" si="6"/>
        <v>19209962.145</v>
      </c>
      <c r="G23" s="429">
        <f t="shared" si="6"/>
        <v>19402061.766449999</v>
      </c>
      <c r="H23" s="429">
        <f t="shared" si="6"/>
        <v>19596082.3841145</v>
      </c>
      <c r="I23" s="429">
        <f t="shared" si="6"/>
        <v>19792043.207955647</v>
      </c>
      <c r="J23" s="429">
        <f t="shared" si="6"/>
        <v>19989963.640035205</v>
      </c>
      <c r="K23" s="429">
        <f>K24*K20</f>
        <v>20189863.276435554</v>
      </c>
      <c r="L23" s="429">
        <f>L24*L20</f>
        <v>20391761.909199912</v>
      </c>
      <c r="M23" s="429">
        <f>M24*M20</f>
        <v>20595679.528291911</v>
      </c>
      <c r="N23" s="429">
        <f>N24*N20</f>
        <v>20801636.32357483</v>
      </c>
    </row>
    <row r="24" spans="2:14">
      <c r="B24" s="430" t="s">
        <v>143</v>
      </c>
      <c r="C24" s="431">
        <v>0.25</v>
      </c>
      <c r="D24" s="431">
        <v>0.25</v>
      </c>
      <c r="E24" s="431">
        <v>0.25</v>
      </c>
      <c r="F24" s="431">
        <v>0.25</v>
      </c>
      <c r="G24" s="431">
        <v>0.25</v>
      </c>
      <c r="H24" s="431">
        <v>0.25</v>
      </c>
      <c r="I24" s="431">
        <v>0.25</v>
      </c>
      <c r="J24" s="431">
        <v>0.25</v>
      </c>
      <c r="K24" s="431">
        <v>0.25</v>
      </c>
      <c r="L24" s="431">
        <v>0.25</v>
      </c>
      <c r="M24" s="431">
        <v>0.25</v>
      </c>
      <c r="N24" s="431">
        <v>0.25</v>
      </c>
    </row>
    <row r="26" spans="2:14">
      <c r="B26" s="415" t="s">
        <v>170</v>
      </c>
      <c r="C26" s="429">
        <f>C27*C23</f>
        <v>8390250</v>
      </c>
      <c r="D26" s="429">
        <f t="shared" ref="D26:J26" si="7">D27*D23</f>
        <v>8474152.5</v>
      </c>
      <c r="E26" s="429">
        <f t="shared" si="7"/>
        <v>8558894.0250000004</v>
      </c>
      <c r="F26" s="429">
        <f>F27*F23</f>
        <v>8644482.9652500004</v>
      </c>
      <c r="G26" s="429">
        <f t="shared" si="7"/>
        <v>8730927.7949024998</v>
      </c>
      <c r="H26" s="429">
        <f t="shared" si="7"/>
        <v>8818237.0728515256</v>
      </c>
      <c r="I26" s="429">
        <f t="shared" si="7"/>
        <v>8906419.4435800407</v>
      </c>
      <c r="J26" s="429">
        <f t="shared" si="7"/>
        <v>8995483.6380158421</v>
      </c>
      <c r="K26" s="429">
        <f>K27*K23</f>
        <v>9085438.4743959997</v>
      </c>
      <c r="L26" s="429">
        <f>L27*L23</f>
        <v>9176292.8591399603</v>
      </c>
      <c r="M26" s="429">
        <f>M27*M23</f>
        <v>9268055.7877313606</v>
      </c>
      <c r="N26" s="429">
        <f>N27*N23</f>
        <v>9360736.345608674</v>
      </c>
    </row>
    <row r="27" spans="2:14">
      <c r="B27" s="430" t="s">
        <v>171</v>
      </c>
      <c r="C27" s="431">
        <v>0.45</v>
      </c>
      <c r="D27" s="431">
        <v>0.45</v>
      </c>
      <c r="E27" s="431">
        <v>0.45</v>
      </c>
      <c r="F27" s="431">
        <v>0.45</v>
      </c>
      <c r="G27" s="431">
        <v>0.45</v>
      </c>
      <c r="H27" s="431">
        <v>0.45</v>
      </c>
      <c r="I27" s="431">
        <v>0.45</v>
      </c>
      <c r="J27" s="431">
        <v>0.45</v>
      </c>
      <c r="K27" s="431">
        <v>0.45</v>
      </c>
      <c r="L27" s="431">
        <v>0.45</v>
      </c>
      <c r="M27" s="431">
        <v>0.45</v>
      </c>
      <c r="N27" s="431">
        <v>0.45</v>
      </c>
    </row>
    <row r="29" spans="2:14">
      <c r="B29" s="415" t="s">
        <v>144</v>
      </c>
      <c r="C29" s="429">
        <f>C30*C26</f>
        <v>3356100</v>
      </c>
      <c r="D29" s="429">
        <f t="shared" ref="D29:J29" si="8">D30*D26</f>
        <v>3389661</v>
      </c>
      <c r="E29" s="429">
        <f t="shared" si="8"/>
        <v>3423557.6100000003</v>
      </c>
      <c r="F29" s="429">
        <f t="shared" si="8"/>
        <v>3457793.1861000005</v>
      </c>
      <c r="G29" s="429">
        <f t="shared" si="8"/>
        <v>3492371.1179610002</v>
      </c>
      <c r="H29" s="429">
        <f t="shared" si="8"/>
        <v>3527294.8291406105</v>
      </c>
      <c r="I29" s="429">
        <f t="shared" si="8"/>
        <v>3562567.7774320166</v>
      </c>
      <c r="J29" s="429">
        <f t="shared" si="8"/>
        <v>3598193.4552063369</v>
      </c>
      <c r="K29" s="429">
        <f>K30*K26</f>
        <v>3634175.3897584002</v>
      </c>
      <c r="L29" s="429">
        <f>L30*L26</f>
        <v>3670517.1436559842</v>
      </c>
      <c r="M29" s="429">
        <f>M30*M26</f>
        <v>3707222.3150925445</v>
      </c>
      <c r="N29" s="429">
        <f>N30*N26</f>
        <v>3744294.5382434698</v>
      </c>
    </row>
    <row r="30" spans="2:14">
      <c r="B30" s="430" t="s">
        <v>145</v>
      </c>
      <c r="C30" s="431">
        <v>0.4</v>
      </c>
      <c r="D30" s="431">
        <v>0.4</v>
      </c>
      <c r="E30" s="431">
        <v>0.4</v>
      </c>
      <c r="F30" s="431">
        <v>0.4</v>
      </c>
      <c r="G30" s="431">
        <v>0.4</v>
      </c>
      <c r="H30" s="431">
        <v>0.4</v>
      </c>
      <c r="I30" s="431">
        <v>0.4</v>
      </c>
      <c r="J30" s="431">
        <v>0.4</v>
      </c>
      <c r="K30" s="431">
        <v>0.4</v>
      </c>
      <c r="L30" s="431">
        <v>0.4</v>
      </c>
      <c r="M30" s="431">
        <v>0.4</v>
      </c>
      <c r="N30" s="431">
        <v>0.4</v>
      </c>
    </row>
    <row r="32" spans="2:14">
      <c r="B32" s="432" t="s">
        <v>152</v>
      </c>
      <c r="C32" s="429">
        <v>3000000</v>
      </c>
      <c r="D32" s="429">
        <f>C32*(1+D33)</f>
        <v>3030000</v>
      </c>
      <c r="E32" s="429">
        <f t="shared" ref="E32:J32" si="9">D32*(1+E33)</f>
        <v>3060300</v>
      </c>
      <c r="F32" s="429">
        <f t="shared" si="9"/>
        <v>3090903</v>
      </c>
      <c r="G32" s="429">
        <f t="shared" si="9"/>
        <v>3121812.03</v>
      </c>
      <c r="H32" s="429">
        <f t="shared" si="9"/>
        <v>3153030.1502999999</v>
      </c>
      <c r="I32" s="429">
        <f t="shared" si="9"/>
        <v>3184560.4518029997</v>
      </c>
      <c r="J32" s="429">
        <f t="shared" si="9"/>
        <v>3216406.0563210296</v>
      </c>
      <c r="K32" s="429">
        <f>J32*(1+K33)</f>
        <v>3248570.1168842399</v>
      </c>
      <c r="L32" s="429">
        <f>K32*(1+L33)</f>
        <v>3281055.8180530826</v>
      </c>
      <c r="M32" s="429">
        <f>L32*(1+M33)</f>
        <v>3313866.3762336136</v>
      </c>
      <c r="N32" s="429">
        <f>M32*(1+N33)</f>
        <v>3347005.0399959497</v>
      </c>
    </row>
    <row r="33" spans="2:14">
      <c r="B33" s="430" t="s">
        <v>153</v>
      </c>
      <c r="C33" s="431"/>
      <c r="D33" s="431">
        <v>0.01</v>
      </c>
      <c r="E33" s="431">
        <v>0.01</v>
      </c>
      <c r="F33" s="431">
        <v>0.01</v>
      </c>
      <c r="G33" s="431">
        <v>0.01</v>
      </c>
      <c r="H33" s="431">
        <v>0.01</v>
      </c>
      <c r="I33" s="431">
        <v>0.01</v>
      </c>
      <c r="J33" s="431">
        <v>0.01</v>
      </c>
      <c r="K33" s="431">
        <v>0.01</v>
      </c>
      <c r="L33" s="431">
        <v>0.01</v>
      </c>
      <c r="M33" s="431">
        <v>0.01</v>
      </c>
      <c r="N33" s="431">
        <v>0.01</v>
      </c>
    </row>
    <row r="34" spans="2:14">
      <c r="B34" s="433"/>
      <c r="D34" s="434"/>
      <c r="E34" s="434"/>
      <c r="F34" s="434"/>
      <c r="G34" s="434"/>
      <c r="H34" s="434"/>
      <c r="I34" s="434"/>
      <c r="J34" s="434"/>
      <c r="K34" s="434"/>
      <c r="L34" s="434"/>
      <c r="M34" s="434"/>
      <c r="N34" s="434"/>
    </row>
    <row r="35" spans="2:14">
      <c r="B35" s="432" t="s">
        <v>173</v>
      </c>
      <c r="C35" s="429">
        <f>C32*C36</f>
        <v>1500000</v>
      </c>
      <c r="D35" s="429">
        <f t="shared" ref="D35:J35" si="10">D32*D36</f>
        <v>1515000</v>
      </c>
      <c r="E35" s="429">
        <f t="shared" si="10"/>
        <v>1530150</v>
      </c>
      <c r="F35" s="429">
        <f t="shared" si="10"/>
        <v>1545451.5</v>
      </c>
      <c r="G35" s="429">
        <f t="shared" si="10"/>
        <v>1560906.0149999999</v>
      </c>
      <c r="H35" s="429">
        <f t="shared" si="10"/>
        <v>1576515.0751499999</v>
      </c>
      <c r="I35" s="429">
        <f t="shared" si="10"/>
        <v>1592280.2259014999</v>
      </c>
      <c r="J35" s="429">
        <f t="shared" si="10"/>
        <v>1608203.0281605148</v>
      </c>
      <c r="K35" s="429">
        <f>K32*K36</f>
        <v>1624285.05844212</v>
      </c>
      <c r="L35" s="429">
        <f>L32*L36</f>
        <v>1640527.9090265413</v>
      </c>
      <c r="M35" s="429">
        <f>M32*M36</f>
        <v>1656933.1881168068</v>
      </c>
      <c r="N35" s="429">
        <f>N32*N36</f>
        <v>1673502.5199979749</v>
      </c>
    </row>
    <row r="36" spans="2:14">
      <c r="B36" s="430" t="s">
        <v>174</v>
      </c>
      <c r="C36" s="431">
        <v>0.5</v>
      </c>
      <c r="D36" s="431">
        <v>0.5</v>
      </c>
      <c r="E36" s="431">
        <v>0.5</v>
      </c>
      <c r="F36" s="431">
        <v>0.5</v>
      </c>
      <c r="G36" s="431">
        <v>0.5</v>
      </c>
      <c r="H36" s="431">
        <v>0.5</v>
      </c>
      <c r="I36" s="431">
        <v>0.5</v>
      </c>
      <c r="J36" s="431">
        <v>0.5</v>
      </c>
      <c r="K36" s="431">
        <v>0.5</v>
      </c>
      <c r="L36" s="431">
        <v>0.5</v>
      </c>
      <c r="M36" s="431">
        <v>0.5</v>
      </c>
      <c r="N36" s="431">
        <v>0.5</v>
      </c>
    </row>
    <row r="38" spans="2:14">
      <c r="B38" s="435" t="s">
        <v>147</v>
      </c>
      <c r="C38" s="436">
        <f>C29+C35</f>
        <v>4856100</v>
      </c>
      <c r="D38" s="436">
        <f t="shared" ref="D38:J38" si="11">D29+D35</f>
        <v>4904661</v>
      </c>
      <c r="E38" s="436">
        <f t="shared" si="11"/>
        <v>4953707.6100000003</v>
      </c>
      <c r="F38" s="436">
        <f t="shared" si="11"/>
        <v>5003244.6861000005</v>
      </c>
      <c r="G38" s="436">
        <f t="shared" si="11"/>
        <v>5053277.1329610003</v>
      </c>
      <c r="H38" s="436">
        <f t="shared" si="11"/>
        <v>5103809.9042906109</v>
      </c>
      <c r="I38" s="436">
        <f t="shared" si="11"/>
        <v>5154848.0033335164</v>
      </c>
      <c r="J38" s="436">
        <f t="shared" si="11"/>
        <v>5206396.4833668517</v>
      </c>
      <c r="K38" s="436">
        <f>K29+K35</f>
        <v>5258460.4482005201</v>
      </c>
      <c r="L38" s="436">
        <f>L29+L35</f>
        <v>5311045.0526825255</v>
      </c>
      <c r="M38" s="436">
        <f>M29+M35</f>
        <v>5364155.5032093516</v>
      </c>
      <c r="N38" s="436">
        <f>N29+N35</f>
        <v>5417797.0582414446</v>
      </c>
    </row>
    <row r="40" spans="2:14">
      <c r="B40" s="415" t="s">
        <v>146</v>
      </c>
      <c r="C40" s="429"/>
      <c r="D40" s="429"/>
      <c r="E40" s="429"/>
      <c r="F40" s="429"/>
      <c r="G40" s="429"/>
      <c r="H40" s="429"/>
      <c r="I40" s="429">
        <f t="shared" ref="I40:N40" si="12">I41*I38</f>
        <v>0</v>
      </c>
      <c r="J40" s="429">
        <f t="shared" si="12"/>
        <v>0</v>
      </c>
      <c r="K40" s="429">
        <f t="shared" si="12"/>
        <v>0</v>
      </c>
      <c r="L40" s="429">
        <f t="shared" si="12"/>
        <v>0</v>
      </c>
      <c r="M40" s="429">
        <f t="shared" si="12"/>
        <v>0</v>
      </c>
      <c r="N40" s="429">
        <f t="shared" si="12"/>
        <v>0</v>
      </c>
    </row>
    <row r="41" spans="2:14">
      <c r="B41" s="430" t="s">
        <v>148</v>
      </c>
      <c r="C41" s="431"/>
      <c r="D41" s="431"/>
      <c r="E41" s="431"/>
      <c r="F41" s="431"/>
      <c r="G41" s="431"/>
      <c r="H41" s="431"/>
      <c r="I41" s="431">
        <f t="shared" ref="I41:N41" si="13">CHOOSE($C$3,I6,I7,I8)</f>
        <v>0</v>
      </c>
      <c r="J41" s="431">
        <f t="shared" si="13"/>
        <v>0</v>
      </c>
      <c r="K41" s="431">
        <f t="shared" si="13"/>
        <v>0</v>
      </c>
      <c r="L41" s="431">
        <f t="shared" si="13"/>
        <v>0</v>
      </c>
      <c r="M41" s="431">
        <f t="shared" si="13"/>
        <v>0</v>
      </c>
      <c r="N41" s="431">
        <f t="shared" si="13"/>
        <v>0</v>
      </c>
    </row>
    <row r="43" spans="2:14">
      <c r="B43" s="415" t="s">
        <v>164</v>
      </c>
      <c r="C43" s="437"/>
      <c r="D43" s="437"/>
      <c r="E43" s="437"/>
      <c r="F43" s="437"/>
      <c r="G43" s="437"/>
      <c r="H43" s="437"/>
      <c r="I43" s="437">
        <v>500</v>
      </c>
      <c r="J43" s="437">
        <f>I43*(1+J44)</f>
        <v>510</v>
      </c>
      <c r="K43" s="437">
        <f>J43*(1+K44)</f>
        <v>520.20000000000005</v>
      </c>
      <c r="L43" s="437">
        <f>K43*(1+L44)</f>
        <v>530.60400000000004</v>
      </c>
      <c r="M43" s="437">
        <f>L43*(1+M44)</f>
        <v>541.21608000000003</v>
      </c>
      <c r="N43" s="437">
        <f>M43*(1+N44)</f>
        <v>552.0404016</v>
      </c>
    </row>
    <row r="44" spans="2:14">
      <c r="B44" s="430" t="s">
        <v>163</v>
      </c>
      <c r="C44" s="431"/>
      <c r="D44" s="431"/>
      <c r="E44" s="431"/>
      <c r="F44" s="431"/>
      <c r="G44" s="431"/>
      <c r="H44" s="431"/>
      <c r="I44" s="431"/>
      <c r="J44" s="431">
        <v>0.02</v>
      </c>
      <c r="K44" s="431">
        <f>+J44</f>
        <v>0.02</v>
      </c>
      <c r="L44" s="431">
        <f>+K44</f>
        <v>0.02</v>
      </c>
      <c r="M44" s="431">
        <f>+L44</f>
        <v>0.02</v>
      </c>
      <c r="N44" s="431">
        <f>+M44</f>
        <v>0.02</v>
      </c>
    </row>
    <row r="45" spans="2:14">
      <c r="B45" s="430" t="s">
        <v>165</v>
      </c>
      <c r="C45" s="431"/>
      <c r="D45" s="431"/>
      <c r="E45" s="431"/>
      <c r="F45" s="431"/>
      <c r="G45" s="431"/>
      <c r="H45" s="431"/>
      <c r="I45" s="431">
        <v>0.15</v>
      </c>
      <c r="J45" s="431">
        <v>0.15</v>
      </c>
      <c r="K45" s="431">
        <v>0.15</v>
      </c>
      <c r="L45" s="431">
        <v>0.15</v>
      </c>
      <c r="M45" s="431">
        <v>0.15</v>
      </c>
      <c r="N45" s="431">
        <v>0.15</v>
      </c>
    </row>
    <row r="46" spans="2:14">
      <c r="B46" s="415" t="s">
        <v>166</v>
      </c>
      <c r="I46" s="437">
        <f t="shared" ref="I46:N46" si="14">I43*(1-I45)</f>
        <v>425</v>
      </c>
      <c r="J46" s="437">
        <f t="shared" si="14"/>
        <v>433.5</v>
      </c>
      <c r="K46" s="437">
        <f t="shared" si="14"/>
        <v>442.17</v>
      </c>
      <c r="L46" s="437">
        <f t="shared" si="14"/>
        <v>451.01340000000005</v>
      </c>
      <c r="M46" s="437">
        <f t="shared" si="14"/>
        <v>460.03366800000003</v>
      </c>
      <c r="N46" s="437">
        <f t="shared" si="14"/>
        <v>469.23434135999997</v>
      </c>
    </row>
    <row r="47" spans="2:14">
      <c r="B47" s="433"/>
    </row>
    <row r="48" spans="2:14">
      <c r="B48" s="415" t="s">
        <v>162</v>
      </c>
      <c r="C48" s="438"/>
      <c r="D48" s="438"/>
      <c r="E48" s="438"/>
      <c r="F48" s="438"/>
      <c r="G48" s="438"/>
      <c r="H48" s="438"/>
      <c r="I48" s="438">
        <v>2</v>
      </c>
      <c r="J48" s="438">
        <v>2.5</v>
      </c>
      <c r="K48" s="438">
        <v>3</v>
      </c>
      <c r="L48" s="438">
        <v>3</v>
      </c>
      <c r="M48" s="438">
        <v>3.5</v>
      </c>
      <c r="N48" s="438">
        <v>3.5</v>
      </c>
    </row>
    <row r="50" spans="2:14">
      <c r="B50" s="420" t="s">
        <v>151</v>
      </c>
      <c r="C50" s="445">
        <f>(C40*C46*C48)/1000000</f>
        <v>0</v>
      </c>
      <c r="D50" s="445">
        <f t="shared" ref="D50:J50" si="15">(D40*D46*D48)/1000000</f>
        <v>0</v>
      </c>
      <c r="E50" s="445">
        <f t="shared" si="15"/>
        <v>0</v>
      </c>
      <c r="F50" s="445">
        <f>(F40*F46*F48)/1000000</f>
        <v>0</v>
      </c>
      <c r="G50" s="445">
        <f t="shared" si="15"/>
        <v>0</v>
      </c>
      <c r="H50" s="445">
        <f t="shared" si="15"/>
        <v>0</v>
      </c>
      <c r="I50" s="445">
        <f t="shared" si="15"/>
        <v>0</v>
      </c>
      <c r="J50" s="445">
        <f t="shared" si="15"/>
        <v>0</v>
      </c>
      <c r="K50" s="445">
        <f>(K40*K46*K48)/1000000</f>
        <v>0</v>
      </c>
      <c r="L50" s="445">
        <f>(L40*L46*L48)/1000000</f>
        <v>0</v>
      </c>
      <c r="M50" s="445">
        <f>(M40*M46*M48)/1000000</f>
        <v>0</v>
      </c>
      <c r="N50" s="446">
        <f>(N40*N46*N48)/1000000</f>
        <v>0</v>
      </c>
    </row>
    <row r="51" spans="2:14" s="440" customFormat="1">
      <c r="B51" s="427"/>
      <c r="C51" s="439"/>
      <c r="D51" s="439"/>
      <c r="E51" s="439"/>
      <c r="F51" s="439"/>
      <c r="G51" s="439"/>
      <c r="H51" s="439"/>
      <c r="I51" s="439"/>
      <c r="J51" s="439"/>
      <c r="K51" s="439"/>
      <c r="L51" s="439"/>
      <c r="M51" s="439"/>
      <c r="N51" s="439"/>
    </row>
    <row r="52" spans="2:14">
      <c r="B52" s="441" t="s">
        <v>154</v>
      </c>
    </row>
    <row r="53" spans="2:14">
      <c r="B53" s="432" t="s">
        <v>157</v>
      </c>
      <c r="C53" s="429">
        <v>308000000</v>
      </c>
      <c r="D53" s="429">
        <f>C53*(1+D54)</f>
        <v>311080000</v>
      </c>
      <c r="E53" s="429">
        <f t="shared" ref="E53:J53" si="16">D53*(1+E54)</f>
        <v>314190800</v>
      </c>
      <c r="F53" s="429">
        <f t="shared" si="16"/>
        <v>317332708</v>
      </c>
      <c r="G53" s="429">
        <f t="shared" si="16"/>
        <v>320506035.07999998</v>
      </c>
      <c r="H53" s="429">
        <f t="shared" si="16"/>
        <v>323711095.43079996</v>
      </c>
      <c r="I53" s="429">
        <f t="shared" si="16"/>
        <v>326948206.38510793</v>
      </c>
      <c r="J53" s="429">
        <f t="shared" si="16"/>
        <v>330217688.44895899</v>
      </c>
      <c r="K53" s="429">
        <f>J53*(1+K54)</f>
        <v>333519865.33344859</v>
      </c>
      <c r="L53" s="429">
        <f>K53*(1+L54)</f>
        <v>336855063.98678309</v>
      </c>
      <c r="M53" s="429">
        <f>L53*(1+M54)</f>
        <v>340223614.62665093</v>
      </c>
      <c r="N53" s="429">
        <f>M53*(1+N54)</f>
        <v>343625850.77291745</v>
      </c>
    </row>
    <row r="54" spans="2:14">
      <c r="B54" s="430" t="s">
        <v>141</v>
      </c>
      <c r="C54" s="431"/>
      <c r="D54" s="431">
        <v>0.01</v>
      </c>
      <c r="E54" s="431">
        <v>0.01</v>
      </c>
      <c r="F54" s="431">
        <v>0.01</v>
      </c>
      <c r="G54" s="431">
        <v>0.01</v>
      </c>
      <c r="H54" s="431">
        <v>0.01</v>
      </c>
      <c r="I54" s="431">
        <v>0.01</v>
      </c>
      <c r="J54" s="431">
        <v>0.01</v>
      </c>
      <c r="K54" s="431">
        <v>0.01</v>
      </c>
      <c r="L54" s="431">
        <v>0.01</v>
      </c>
      <c r="M54" s="431">
        <v>0.01</v>
      </c>
      <c r="N54" s="431">
        <v>0.01</v>
      </c>
    </row>
    <row r="55" spans="2:14">
      <c r="B55" s="441"/>
    </row>
    <row r="56" spans="2:14">
      <c r="B56" s="415" t="s">
        <v>155</v>
      </c>
      <c r="C56" s="429">
        <f>C57*C53</f>
        <v>616000</v>
      </c>
      <c r="D56" s="429">
        <f t="shared" ref="D56:J56" si="17">D57*D53</f>
        <v>622160</v>
      </c>
      <c r="E56" s="429">
        <f t="shared" si="17"/>
        <v>628381.6</v>
      </c>
      <c r="F56" s="429">
        <f t="shared" si="17"/>
        <v>634665.41599999997</v>
      </c>
      <c r="G56" s="429">
        <f t="shared" si="17"/>
        <v>641012.07016</v>
      </c>
      <c r="H56" s="429">
        <f t="shared" si="17"/>
        <v>647422.19086159999</v>
      </c>
      <c r="I56" s="429">
        <f t="shared" si="17"/>
        <v>653896.41277021589</v>
      </c>
      <c r="J56" s="429">
        <f t="shared" si="17"/>
        <v>660435.37689791794</v>
      </c>
      <c r="K56" s="429">
        <f>K57*K53</f>
        <v>667039.73066689714</v>
      </c>
      <c r="L56" s="429">
        <f>L57*L53</f>
        <v>673710.12797356618</v>
      </c>
      <c r="M56" s="429">
        <f>M57*M53</f>
        <v>680447.22925330186</v>
      </c>
      <c r="N56" s="429">
        <f>N57*N53</f>
        <v>687251.70154583489</v>
      </c>
    </row>
    <row r="57" spans="2:14">
      <c r="B57" s="430" t="s">
        <v>156</v>
      </c>
      <c r="C57" s="431">
        <f>1/500</f>
        <v>2E-3</v>
      </c>
      <c r="D57" s="431">
        <f t="shared" ref="D57:N57" si="18">1/500</f>
        <v>2E-3</v>
      </c>
      <c r="E57" s="431">
        <f t="shared" si="18"/>
        <v>2E-3</v>
      </c>
      <c r="F57" s="431">
        <f t="shared" si="18"/>
        <v>2E-3</v>
      </c>
      <c r="G57" s="431">
        <f t="shared" si="18"/>
        <v>2E-3</v>
      </c>
      <c r="H57" s="431">
        <f t="shared" si="18"/>
        <v>2E-3</v>
      </c>
      <c r="I57" s="431">
        <f t="shared" si="18"/>
        <v>2E-3</v>
      </c>
      <c r="J57" s="431">
        <f t="shared" si="18"/>
        <v>2E-3</v>
      </c>
      <c r="K57" s="431">
        <f t="shared" si="18"/>
        <v>2E-3</v>
      </c>
      <c r="L57" s="431">
        <f t="shared" si="18"/>
        <v>2E-3</v>
      </c>
      <c r="M57" s="431">
        <f t="shared" si="18"/>
        <v>2E-3</v>
      </c>
      <c r="N57" s="431">
        <f t="shared" si="18"/>
        <v>2E-3</v>
      </c>
    </row>
    <row r="59" spans="2:14">
      <c r="B59" s="415" t="s">
        <v>158</v>
      </c>
      <c r="C59" s="429">
        <f>C60*C56</f>
        <v>61600</v>
      </c>
      <c r="D59" s="429">
        <f t="shared" ref="D59:J59" si="19">D60*D56</f>
        <v>62216</v>
      </c>
      <c r="E59" s="429">
        <f t="shared" si="19"/>
        <v>62838.16</v>
      </c>
      <c r="F59" s="429">
        <f t="shared" si="19"/>
        <v>63466.541599999997</v>
      </c>
      <c r="G59" s="429">
        <f t="shared" si="19"/>
        <v>64101.207016</v>
      </c>
      <c r="H59" s="429">
        <f t="shared" si="19"/>
        <v>64742.219086160003</v>
      </c>
      <c r="I59" s="429">
        <f t="shared" si="19"/>
        <v>65389.64127702159</v>
      </c>
      <c r="J59" s="429">
        <f t="shared" si="19"/>
        <v>66043.537689791803</v>
      </c>
      <c r="K59" s="429">
        <f>K60*K56</f>
        <v>66703.973066689723</v>
      </c>
      <c r="L59" s="429">
        <f>L60*L56</f>
        <v>67371.012797356627</v>
      </c>
      <c r="M59" s="429">
        <f>M60*M56</f>
        <v>68044.722925330192</v>
      </c>
      <c r="N59" s="429">
        <f>N60*N56</f>
        <v>68725.170154583495</v>
      </c>
    </row>
    <row r="60" spans="2:14">
      <c r="B60" s="430" t="s">
        <v>159</v>
      </c>
      <c r="C60" s="431">
        <v>0.1</v>
      </c>
      <c r="D60" s="431">
        <v>0.1</v>
      </c>
      <c r="E60" s="431">
        <v>0.1</v>
      </c>
      <c r="F60" s="431">
        <v>0.1</v>
      </c>
      <c r="G60" s="431">
        <v>0.1</v>
      </c>
      <c r="H60" s="431">
        <v>0.1</v>
      </c>
      <c r="I60" s="431">
        <v>0.1</v>
      </c>
      <c r="J60" s="431">
        <v>0.1</v>
      </c>
      <c r="K60" s="431">
        <v>0.1</v>
      </c>
      <c r="L60" s="431">
        <v>0.1</v>
      </c>
      <c r="M60" s="431">
        <v>0.1</v>
      </c>
      <c r="N60" s="431">
        <v>0.1</v>
      </c>
    </row>
    <row r="62" spans="2:14">
      <c r="B62" s="415" t="s">
        <v>144</v>
      </c>
      <c r="C62" s="429">
        <f>C63*C59</f>
        <v>24640</v>
      </c>
      <c r="D62" s="429">
        <f t="shared" ref="D62:J62" si="20">D63*D59</f>
        <v>24886.400000000001</v>
      </c>
      <c r="E62" s="429">
        <f t="shared" si="20"/>
        <v>25135.264000000003</v>
      </c>
      <c r="F62" s="429">
        <f t="shared" si="20"/>
        <v>25386.61664</v>
      </c>
      <c r="G62" s="429">
        <f t="shared" si="20"/>
        <v>25640.482806400003</v>
      </c>
      <c r="H62" s="429">
        <f t="shared" si="20"/>
        <v>25896.887634464001</v>
      </c>
      <c r="I62" s="429">
        <f t="shared" si="20"/>
        <v>26155.856510808637</v>
      </c>
      <c r="J62" s="429">
        <f t="shared" si="20"/>
        <v>26417.415075916724</v>
      </c>
      <c r="K62" s="429">
        <f>K63*K59</f>
        <v>26681.589226675889</v>
      </c>
      <c r="L62" s="429">
        <f>L63*L59</f>
        <v>26948.405118942654</v>
      </c>
      <c r="M62" s="429">
        <f>M63*M59</f>
        <v>27217.889170132079</v>
      </c>
      <c r="N62" s="429">
        <f>N63*N59</f>
        <v>27490.068061833401</v>
      </c>
    </row>
    <row r="63" spans="2:14">
      <c r="B63" s="430" t="s">
        <v>161</v>
      </c>
      <c r="C63" s="431">
        <v>0.4</v>
      </c>
      <c r="D63" s="431">
        <v>0.4</v>
      </c>
      <c r="E63" s="431">
        <v>0.4</v>
      </c>
      <c r="F63" s="431">
        <v>0.4</v>
      </c>
      <c r="G63" s="431">
        <v>0.4</v>
      </c>
      <c r="H63" s="431">
        <v>0.4</v>
      </c>
      <c r="I63" s="431">
        <v>0.4</v>
      </c>
      <c r="J63" s="431">
        <v>0.4</v>
      </c>
      <c r="K63" s="431">
        <v>0.4</v>
      </c>
      <c r="L63" s="431">
        <v>0.4</v>
      </c>
      <c r="M63" s="431">
        <v>0.4</v>
      </c>
      <c r="N63" s="431">
        <v>0.4</v>
      </c>
    </row>
    <row r="65" spans="2:14">
      <c r="B65" s="435" t="s">
        <v>147</v>
      </c>
      <c r="C65" s="436">
        <f>C62</f>
        <v>24640</v>
      </c>
      <c r="D65" s="436">
        <f>D62</f>
        <v>24886.400000000001</v>
      </c>
      <c r="E65" s="436">
        <f t="shared" ref="E65:J65" si="21">E62</f>
        <v>25135.264000000003</v>
      </c>
      <c r="F65" s="436">
        <f t="shared" si="21"/>
        <v>25386.61664</v>
      </c>
      <c r="G65" s="436">
        <f t="shared" si="21"/>
        <v>25640.482806400003</v>
      </c>
      <c r="H65" s="436">
        <f t="shared" si="21"/>
        <v>25896.887634464001</v>
      </c>
      <c r="I65" s="436">
        <f t="shared" si="21"/>
        <v>26155.856510808637</v>
      </c>
      <c r="J65" s="436">
        <f t="shared" si="21"/>
        <v>26417.415075916724</v>
      </c>
      <c r="K65" s="436">
        <f>K62</f>
        <v>26681.589226675889</v>
      </c>
      <c r="L65" s="436">
        <f>L62</f>
        <v>26948.405118942654</v>
      </c>
      <c r="M65" s="436">
        <f>M62</f>
        <v>27217.889170132079</v>
      </c>
      <c r="N65" s="436">
        <f>N62</f>
        <v>27490.068061833401</v>
      </c>
    </row>
    <row r="67" spans="2:14">
      <c r="B67" s="415" t="s">
        <v>146</v>
      </c>
      <c r="C67" s="438">
        <f t="shared" ref="C67:J67" si="22">C68*C65</f>
        <v>0</v>
      </c>
      <c r="D67" s="438">
        <f t="shared" si="22"/>
        <v>0</v>
      </c>
      <c r="E67" s="438">
        <f t="shared" si="22"/>
        <v>0</v>
      </c>
      <c r="F67" s="438">
        <f t="shared" si="22"/>
        <v>0</v>
      </c>
      <c r="G67" s="438">
        <f t="shared" si="22"/>
        <v>0</v>
      </c>
      <c r="H67" s="438">
        <f t="shared" si="22"/>
        <v>0</v>
      </c>
      <c r="I67" s="442">
        <f t="shared" si="22"/>
        <v>0</v>
      </c>
      <c r="J67" s="442">
        <f t="shared" si="22"/>
        <v>0</v>
      </c>
      <c r="K67" s="442">
        <f>K68*K65</f>
        <v>0</v>
      </c>
      <c r="L67" s="442">
        <f>L68*L65</f>
        <v>0</v>
      </c>
      <c r="M67" s="442">
        <f>M68*M65</f>
        <v>0</v>
      </c>
      <c r="N67" s="442">
        <f>N68*N65</f>
        <v>0</v>
      </c>
    </row>
    <row r="68" spans="2:14">
      <c r="B68" s="430" t="s">
        <v>148</v>
      </c>
      <c r="C68" s="431"/>
      <c r="D68" s="431"/>
      <c r="E68" s="431"/>
      <c r="F68" s="431"/>
      <c r="G68" s="431"/>
      <c r="H68" s="431"/>
      <c r="I68" s="431">
        <f t="shared" ref="I68:N68" si="23">CHOOSE($C$3,I11,I12,I13)</f>
        <v>0</v>
      </c>
      <c r="J68" s="431">
        <f t="shared" si="23"/>
        <v>0</v>
      </c>
      <c r="K68" s="431">
        <f t="shared" si="23"/>
        <v>0</v>
      </c>
      <c r="L68" s="431">
        <f t="shared" si="23"/>
        <v>0</v>
      </c>
      <c r="M68" s="431">
        <f t="shared" si="23"/>
        <v>0</v>
      </c>
      <c r="N68" s="431">
        <f t="shared" si="23"/>
        <v>0</v>
      </c>
    </row>
    <row r="69" spans="2:14">
      <c r="C69" s="438"/>
      <c r="D69" s="438"/>
      <c r="E69" s="438"/>
      <c r="F69" s="438"/>
      <c r="G69" s="438"/>
      <c r="H69" s="438"/>
      <c r="I69" s="438"/>
      <c r="J69" s="438"/>
      <c r="K69" s="438"/>
      <c r="L69" s="438"/>
      <c r="M69" s="438"/>
      <c r="N69" s="438"/>
    </row>
    <row r="70" spans="2:14">
      <c r="B70" s="415" t="s">
        <v>166</v>
      </c>
      <c r="C70" s="438"/>
      <c r="D70" s="438"/>
      <c r="E70" s="438"/>
      <c r="F70" s="438"/>
      <c r="G70" s="438"/>
      <c r="H70" s="438"/>
      <c r="I70" s="438">
        <f t="shared" ref="I70:N70" si="24">I46</f>
        <v>425</v>
      </c>
      <c r="J70" s="437">
        <f t="shared" si="24"/>
        <v>433.5</v>
      </c>
      <c r="K70" s="437">
        <f t="shared" si="24"/>
        <v>442.17</v>
      </c>
      <c r="L70" s="437">
        <f t="shared" si="24"/>
        <v>451.01340000000005</v>
      </c>
      <c r="M70" s="437">
        <f t="shared" si="24"/>
        <v>460.03366800000003</v>
      </c>
      <c r="N70" s="437">
        <f t="shared" si="24"/>
        <v>469.23434135999997</v>
      </c>
    </row>
    <row r="71" spans="2:14">
      <c r="C71" s="438"/>
      <c r="D71" s="438"/>
      <c r="E71" s="438"/>
      <c r="F71" s="438"/>
      <c r="G71" s="438"/>
      <c r="H71" s="438"/>
      <c r="I71" s="438"/>
      <c r="J71" s="438"/>
      <c r="K71" s="438"/>
      <c r="L71" s="438"/>
      <c r="M71" s="438"/>
      <c r="N71" s="438"/>
    </row>
    <row r="72" spans="2:14">
      <c r="B72" s="415" t="s">
        <v>162</v>
      </c>
      <c r="C72" s="438"/>
      <c r="D72" s="438"/>
      <c r="E72" s="438"/>
      <c r="F72" s="438"/>
      <c r="G72" s="438"/>
      <c r="H72" s="438"/>
      <c r="I72" s="438">
        <v>2</v>
      </c>
      <c r="J72" s="438">
        <v>4</v>
      </c>
      <c r="K72" s="438">
        <v>4</v>
      </c>
      <c r="L72" s="438">
        <v>4</v>
      </c>
      <c r="M72" s="438">
        <v>4</v>
      </c>
      <c r="N72" s="438">
        <v>4</v>
      </c>
    </row>
    <row r="73" spans="2:14">
      <c r="C73" s="438"/>
      <c r="D73" s="438"/>
      <c r="E73" s="438"/>
      <c r="F73" s="438"/>
      <c r="G73" s="438"/>
      <c r="H73" s="438"/>
      <c r="I73" s="438"/>
      <c r="J73" s="438"/>
      <c r="K73" s="438"/>
      <c r="L73" s="438"/>
      <c r="M73" s="438"/>
      <c r="N73" s="438"/>
    </row>
    <row r="74" spans="2:14">
      <c r="B74" s="420" t="s">
        <v>160</v>
      </c>
      <c r="C74" s="445"/>
      <c r="D74" s="445"/>
      <c r="E74" s="445"/>
      <c r="F74" s="445"/>
      <c r="G74" s="445"/>
      <c r="H74" s="445"/>
      <c r="I74" s="445">
        <f t="shared" ref="I74:N74" si="25">(I67*I70*I72)/1000000</f>
        <v>0</v>
      </c>
      <c r="J74" s="445">
        <f t="shared" si="25"/>
        <v>0</v>
      </c>
      <c r="K74" s="445">
        <f t="shared" si="25"/>
        <v>0</v>
      </c>
      <c r="L74" s="445">
        <f t="shared" si="25"/>
        <v>0</v>
      </c>
      <c r="M74" s="445">
        <f t="shared" si="25"/>
        <v>0</v>
      </c>
      <c r="N74" s="446">
        <f t="shared" si="25"/>
        <v>0</v>
      </c>
    </row>
    <row r="75" spans="2:14" s="440" customFormat="1">
      <c r="B75" s="427"/>
      <c r="C75" s="443"/>
      <c r="D75" s="443"/>
      <c r="E75" s="443"/>
      <c r="F75" s="443"/>
      <c r="G75" s="443"/>
      <c r="H75" s="443"/>
      <c r="I75" s="443"/>
      <c r="J75" s="443"/>
      <c r="K75" s="443"/>
      <c r="L75" s="443"/>
      <c r="M75" s="443"/>
      <c r="N75" s="443"/>
    </row>
    <row r="76" spans="2:14">
      <c r="B76" s="420" t="s">
        <v>172</v>
      </c>
      <c r="C76" s="445"/>
      <c r="D76" s="445"/>
      <c r="E76" s="445"/>
      <c r="F76" s="445"/>
      <c r="G76" s="445"/>
      <c r="H76" s="445"/>
      <c r="I76" s="445">
        <f t="shared" ref="I76:N76" si="26">I74+I50</f>
        <v>0</v>
      </c>
      <c r="J76" s="445">
        <f t="shared" si="26"/>
        <v>0</v>
      </c>
      <c r="K76" s="445">
        <f t="shared" si="26"/>
        <v>0</v>
      </c>
      <c r="L76" s="445">
        <f t="shared" si="26"/>
        <v>0</v>
      </c>
      <c r="M76" s="445">
        <f t="shared" si="26"/>
        <v>0</v>
      </c>
      <c r="N76" s="446">
        <f t="shared" si="26"/>
        <v>0</v>
      </c>
    </row>
    <row r="79" spans="2:14">
      <c r="B79" s="420" t="s">
        <v>167</v>
      </c>
      <c r="C79" s="445"/>
      <c r="D79" s="445"/>
      <c r="E79" s="445"/>
      <c r="F79" s="445"/>
      <c r="G79" s="445"/>
      <c r="H79" s="445"/>
      <c r="I79" s="445">
        <f t="shared" ref="I79:N79" si="27">I76*I80</f>
        <v>0</v>
      </c>
      <c r="J79" s="445">
        <f t="shared" si="27"/>
        <v>0</v>
      </c>
      <c r="K79" s="445">
        <f t="shared" si="27"/>
        <v>0</v>
      </c>
      <c r="L79" s="445">
        <f t="shared" si="27"/>
        <v>0</v>
      </c>
      <c r="M79" s="445">
        <f t="shared" si="27"/>
        <v>0</v>
      </c>
      <c r="N79" s="446">
        <f t="shared" si="27"/>
        <v>0</v>
      </c>
    </row>
    <row r="80" spans="2:14">
      <c r="B80" s="430" t="s">
        <v>168</v>
      </c>
      <c r="C80" s="431"/>
      <c r="D80" s="431"/>
      <c r="E80" s="431"/>
      <c r="F80" s="431"/>
      <c r="G80" s="431"/>
      <c r="H80" s="431"/>
      <c r="I80" s="444">
        <v>0.16</v>
      </c>
      <c r="J80" s="444">
        <f>+I80</f>
        <v>0.16</v>
      </c>
      <c r="K80" s="444">
        <f>+J80</f>
        <v>0.16</v>
      </c>
      <c r="L80" s="444">
        <f>+K80</f>
        <v>0.16</v>
      </c>
      <c r="M80" s="444">
        <f>+L80</f>
        <v>0.16</v>
      </c>
      <c r="N80" s="444">
        <f>+M80</f>
        <v>0.16</v>
      </c>
    </row>
    <row r="81" spans="13:14">
      <c r="M81" s="439"/>
      <c r="N81" s="439"/>
    </row>
    <row r="82" spans="13:14">
      <c r="M82" s="439"/>
      <c r="N82" s="439"/>
    </row>
    <row r="83" spans="13:14">
      <c r="M83" s="439"/>
      <c r="N83" s="439"/>
    </row>
  </sheetData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B2:P129"/>
  <sheetViews>
    <sheetView showGridLines="0" zoomScale="85" zoomScaleNormal="85" workbookViewId="0"/>
  </sheetViews>
  <sheetFormatPr defaultRowHeight="12.75" outlineLevelRow="2"/>
  <cols>
    <col min="1" max="1" width="5" customWidth="1"/>
    <col min="2" max="2" width="42.28515625" bestFit="1" customWidth="1"/>
    <col min="3" max="3" width="12.140625" hidden="1" customWidth="1"/>
    <col min="4" max="4" width="12.5703125" hidden="1" customWidth="1"/>
    <col min="5" max="5" width="12.140625" hidden="1" customWidth="1"/>
    <col min="6" max="6" width="12.42578125" hidden="1" customWidth="1"/>
    <col min="7" max="7" width="12" hidden="1" customWidth="1"/>
    <col min="8" max="8" width="12.42578125" hidden="1" customWidth="1"/>
    <col min="9" max="9" width="12.28515625" customWidth="1"/>
    <col min="10" max="15" width="12" bestFit="1" customWidth="1"/>
    <col min="16" max="16" width="12" customWidth="1"/>
  </cols>
  <sheetData>
    <row r="2" spans="2:16">
      <c r="B2" s="10" t="s">
        <v>85</v>
      </c>
      <c r="C2" s="10"/>
      <c r="D2" s="10"/>
      <c r="E2" s="10"/>
      <c r="F2" s="10"/>
    </row>
    <row r="3" spans="2:16">
      <c r="B3" s="11" t="s">
        <v>86</v>
      </c>
      <c r="I3" s="12">
        <f>'hATTR-PN Mkt Model'!H3</f>
        <v>2</v>
      </c>
      <c r="K3" s="13" t="s">
        <v>87</v>
      </c>
      <c r="L3" s="14">
        <f>DCF!C23</f>
        <v>117.89998532386268</v>
      </c>
      <c r="N3" s="14"/>
    </row>
    <row r="5" spans="2:16" outlineLevel="1">
      <c r="B5" s="57" t="s">
        <v>137</v>
      </c>
      <c r="C5" s="5">
        <v>2013</v>
      </c>
      <c r="D5" s="5">
        <v>2014</v>
      </c>
      <c r="E5" s="5">
        <v>2015</v>
      </c>
      <c r="F5" s="5">
        <v>2016</v>
      </c>
      <c r="G5" s="5">
        <v>2017</v>
      </c>
      <c r="H5" s="5">
        <v>2018</v>
      </c>
      <c r="I5" s="5">
        <v>2019</v>
      </c>
      <c r="J5" s="5">
        <v>2020</v>
      </c>
      <c r="K5" s="5">
        <v>2021</v>
      </c>
      <c r="L5" s="5">
        <v>2022</v>
      </c>
      <c r="M5" s="5">
        <v>2023</v>
      </c>
      <c r="N5" s="5">
        <v>2024</v>
      </c>
      <c r="O5" s="5">
        <v>2025</v>
      </c>
      <c r="P5" s="285">
        <v>2026</v>
      </c>
    </row>
    <row r="6" spans="2:16" outlineLevel="2">
      <c r="B6" s="55" t="s">
        <v>82</v>
      </c>
      <c r="C6" s="7"/>
      <c r="D6" s="7"/>
      <c r="E6" s="7"/>
      <c r="F6" s="9"/>
      <c r="G6" s="9"/>
      <c r="H6" s="224"/>
      <c r="I6" s="224">
        <f>I7*1.25</f>
        <v>0</v>
      </c>
      <c r="J6" s="224">
        <f t="shared" ref="J6:P6" si="0">J7*1.25</f>
        <v>0</v>
      </c>
      <c r="K6" s="224">
        <f t="shared" si="0"/>
        <v>0</v>
      </c>
      <c r="L6" s="224">
        <f t="shared" si="0"/>
        <v>0</v>
      </c>
      <c r="M6" s="224">
        <f t="shared" si="0"/>
        <v>0</v>
      </c>
      <c r="N6" s="224">
        <f t="shared" si="0"/>
        <v>0</v>
      </c>
      <c r="O6" s="224">
        <f t="shared" si="0"/>
        <v>0</v>
      </c>
      <c r="P6" s="224">
        <f t="shared" si="0"/>
        <v>0</v>
      </c>
    </row>
    <row r="7" spans="2:16" outlineLevel="2">
      <c r="B7" s="55" t="s">
        <v>83</v>
      </c>
      <c r="C7" s="7"/>
      <c r="D7" s="7"/>
      <c r="E7" s="7"/>
      <c r="F7" s="9"/>
      <c r="G7" s="9"/>
      <c r="H7" s="224"/>
      <c r="I7" s="224">
        <v>0</v>
      </c>
      <c r="J7" s="224">
        <v>0</v>
      </c>
      <c r="K7" s="224">
        <v>0</v>
      </c>
      <c r="L7" s="224">
        <v>0</v>
      </c>
      <c r="M7" s="224">
        <v>0</v>
      </c>
      <c r="N7" s="224">
        <v>0</v>
      </c>
      <c r="O7" s="224">
        <v>0</v>
      </c>
      <c r="P7" s="224">
        <v>0</v>
      </c>
    </row>
    <row r="8" spans="2:16" outlineLevel="2">
      <c r="B8" s="56" t="s">
        <v>84</v>
      </c>
      <c r="C8" s="7"/>
      <c r="D8" s="7"/>
      <c r="E8" s="7"/>
      <c r="F8" s="9"/>
      <c r="G8" s="9"/>
      <c r="H8" s="224"/>
      <c r="I8" s="224">
        <f t="shared" ref="I8:N8" si="1">H8</f>
        <v>0</v>
      </c>
      <c r="J8" s="224">
        <f t="shared" si="1"/>
        <v>0</v>
      </c>
      <c r="K8" s="224">
        <f t="shared" si="1"/>
        <v>0</v>
      </c>
      <c r="L8" s="224">
        <f t="shared" si="1"/>
        <v>0</v>
      </c>
      <c r="M8" s="224">
        <f t="shared" si="1"/>
        <v>0</v>
      </c>
      <c r="N8" s="224">
        <f t="shared" si="1"/>
        <v>0</v>
      </c>
      <c r="O8" s="224">
        <f t="shared" ref="O8" si="2">N8</f>
        <v>0</v>
      </c>
      <c r="P8" s="224">
        <f t="shared" ref="P8" si="3">O8</f>
        <v>0</v>
      </c>
    </row>
    <row r="9" spans="2:16" outlineLevel="1">
      <c r="B9" s="6"/>
      <c r="C9" s="7"/>
      <c r="D9" s="7"/>
      <c r="E9" s="7"/>
      <c r="F9" s="8"/>
      <c r="G9" s="8"/>
      <c r="H9" s="9"/>
      <c r="I9" s="9"/>
      <c r="J9" s="9"/>
      <c r="K9" s="9"/>
      <c r="L9" s="9"/>
      <c r="M9" s="9"/>
      <c r="N9" s="9"/>
      <c r="O9" s="9"/>
      <c r="P9" s="9"/>
    </row>
    <row r="10" spans="2:16" outlineLevel="1">
      <c r="B10" s="57" t="s">
        <v>188</v>
      </c>
      <c r="C10" s="5">
        <v>2013</v>
      </c>
      <c r="D10" s="5">
        <v>2014</v>
      </c>
      <c r="E10" s="5">
        <v>2015</v>
      </c>
      <c r="F10" s="5">
        <v>2016</v>
      </c>
      <c r="G10" s="5">
        <v>2017</v>
      </c>
      <c r="H10" s="5">
        <v>2018</v>
      </c>
      <c r="I10" s="5">
        <v>2019</v>
      </c>
      <c r="J10" s="5">
        <v>2020</v>
      </c>
      <c r="K10" s="5">
        <v>2021</v>
      </c>
      <c r="L10" s="5">
        <v>2022</v>
      </c>
      <c r="M10" s="5">
        <v>2023</v>
      </c>
      <c r="N10" s="5">
        <v>2024</v>
      </c>
      <c r="O10" s="5">
        <v>2025</v>
      </c>
      <c r="P10" s="285">
        <v>2026</v>
      </c>
    </row>
    <row r="11" spans="2:16" outlineLevel="2">
      <c r="B11" s="55" t="s">
        <v>82</v>
      </c>
      <c r="C11" s="7"/>
      <c r="D11" s="7"/>
      <c r="E11" s="7"/>
      <c r="F11" s="9"/>
      <c r="G11" s="9"/>
      <c r="H11" s="9"/>
      <c r="I11" s="224">
        <f>I12*1.25</f>
        <v>0</v>
      </c>
      <c r="J11" s="224">
        <f t="shared" ref="J11" si="4">J12*1.25</f>
        <v>0</v>
      </c>
      <c r="K11" s="224">
        <f t="shared" ref="K11" si="5">K12*1.25</f>
        <v>0</v>
      </c>
      <c r="L11" s="224">
        <f t="shared" ref="L11" si="6">L12*1.25</f>
        <v>0</v>
      </c>
      <c r="M11" s="224">
        <f t="shared" ref="M11" si="7">M12*1.25</f>
        <v>0</v>
      </c>
      <c r="N11" s="224">
        <f t="shared" ref="N11" si="8">N12*1.25</f>
        <v>0</v>
      </c>
      <c r="O11" s="224">
        <f t="shared" ref="O11" si="9">O12*1.25</f>
        <v>0</v>
      </c>
      <c r="P11" s="224">
        <f t="shared" ref="P11" si="10">P12*1.25</f>
        <v>0</v>
      </c>
    </row>
    <row r="12" spans="2:16" outlineLevel="2">
      <c r="B12" s="55" t="s">
        <v>83</v>
      </c>
      <c r="C12" s="7"/>
      <c r="D12" s="7"/>
      <c r="E12" s="7"/>
      <c r="F12" s="9"/>
      <c r="G12" s="9"/>
      <c r="H12" s="9"/>
      <c r="I12" s="224">
        <f t="shared" ref="I12:J13" si="11">I7*0.667</f>
        <v>0</v>
      </c>
      <c r="J12" s="224">
        <f t="shared" si="11"/>
        <v>0</v>
      </c>
      <c r="K12" s="224">
        <f t="shared" ref="K12:N12" si="12">K7*0.667</f>
        <v>0</v>
      </c>
      <c r="L12" s="224">
        <f t="shared" si="12"/>
        <v>0</v>
      </c>
      <c r="M12" s="224">
        <f t="shared" si="12"/>
        <v>0</v>
      </c>
      <c r="N12" s="224">
        <f t="shared" si="12"/>
        <v>0</v>
      </c>
      <c r="O12" s="224">
        <f t="shared" ref="O12:P12" si="13">O7*0.667</f>
        <v>0</v>
      </c>
      <c r="P12" s="224">
        <f t="shared" si="13"/>
        <v>0</v>
      </c>
    </row>
    <row r="13" spans="2:16" outlineLevel="2">
      <c r="B13" s="56" t="s">
        <v>84</v>
      </c>
      <c r="C13" s="7"/>
      <c r="D13" s="7"/>
      <c r="E13" s="7"/>
      <c r="F13" s="9"/>
      <c r="G13" s="9"/>
      <c r="H13" s="9"/>
      <c r="I13" s="224">
        <f t="shared" si="11"/>
        <v>0</v>
      </c>
      <c r="J13" s="224">
        <f t="shared" si="11"/>
        <v>0</v>
      </c>
      <c r="K13" s="224">
        <f t="shared" ref="K13:N13" si="14">K8*0.667</f>
        <v>0</v>
      </c>
      <c r="L13" s="224">
        <f t="shared" si="14"/>
        <v>0</v>
      </c>
      <c r="M13" s="224">
        <f t="shared" si="14"/>
        <v>0</v>
      </c>
      <c r="N13" s="224">
        <f t="shared" si="14"/>
        <v>0</v>
      </c>
      <c r="O13" s="224">
        <f t="shared" ref="O13:P13" si="15">O8*0.667</f>
        <v>0</v>
      </c>
      <c r="P13" s="224">
        <f t="shared" si="15"/>
        <v>0</v>
      </c>
    </row>
    <row r="14" spans="2:16" outlineLevel="1"/>
    <row r="15" spans="2:16">
      <c r="B15" s="571" t="s">
        <v>448</v>
      </c>
      <c r="C15" s="5">
        <v>2013</v>
      </c>
      <c r="D15" s="5">
        <v>2014</v>
      </c>
      <c r="E15" s="5">
        <v>2015</v>
      </c>
      <c r="F15" s="5">
        <v>2016</v>
      </c>
      <c r="G15" s="5">
        <v>2017</v>
      </c>
      <c r="H15" s="5">
        <v>2018</v>
      </c>
      <c r="I15" s="5">
        <v>2019</v>
      </c>
      <c r="J15" s="5">
        <v>2020</v>
      </c>
      <c r="K15" s="5">
        <v>2021</v>
      </c>
      <c r="L15" s="5">
        <v>2022</v>
      </c>
      <c r="M15" s="5">
        <v>2023</v>
      </c>
      <c r="N15" s="5">
        <v>2024</v>
      </c>
      <c r="O15" s="5">
        <v>2025</v>
      </c>
      <c r="P15" s="285">
        <v>2026</v>
      </c>
    </row>
    <row r="17" spans="2:16">
      <c r="B17" t="s">
        <v>115</v>
      </c>
      <c r="C17" s="26">
        <v>318000000</v>
      </c>
      <c r="D17" s="26">
        <f t="shared" ref="D17:N17" si="16">C17*(1+D18)</f>
        <v>321180000</v>
      </c>
      <c r="E17" s="26">
        <f t="shared" si="16"/>
        <v>324391800</v>
      </c>
      <c r="F17" s="26">
        <f t="shared" si="16"/>
        <v>327635718</v>
      </c>
      <c r="G17" s="26">
        <f t="shared" si="16"/>
        <v>330912075.18000001</v>
      </c>
      <c r="H17" s="26">
        <f t="shared" si="16"/>
        <v>334221195.93180001</v>
      </c>
      <c r="I17" s="26">
        <f t="shared" si="16"/>
        <v>337563407.89111799</v>
      </c>
      <c r="J17" s="26">
        <f t="shared" si="16"/>
        <v>340939041.97002918</v>
      </c>
      <c r="K17" s="26">
        <f t="shared" si="16"/>
        <v>344348432.3897295</v>
      </c>
      <c r="L17" s="26">
        <f t="shared" si="16"/>
        <v>347791916.7136268</v>
      </c>
      <c r="M17" s="26">
        <f t="shared" si="16"/>
        <v>351269835.88076305</v>
      </c>
      <c r="N17" s="26">
        <f t="shared" si="16"/>
        <v>354782534.23957068</v>
      </c>
      <c r="O17" s="26">
        <f t="shared" ref="O17" si="17">N17*(1+O18)</f>
        <v>358330359.5819664</v>
      </c>
      <c r="P17" s="26">
        <f t="shared" ref="P17" si="18">O17*(1+P18)</f>
        <v>361913663.17778605</v>
      </c>
    </row>
    <row r="18" spans="2:16">
      <c r="B18" s="15" t="s">
        <v>138</v>
      </c>
      <c r="C18" s="26"/>
      <c r="D18" s="225">
        <v>0.01</v>
      </c>
      <c r="E18" s="225">
        <f t="shared" ref="E18:N18" si="19">D18</f>
        <v>0.01</v>
      </c>
      <c r="F18" s="225">
        <f t="shared" si="19"/>
        <v>0.01</v>
      </c>
      <c r="G18" s="225">
        <f t="shared" si="19"/>
        <v>0.01</v>
      </c>
      <c r="H18" s="264">
        <f t="shared" si="19"/>
        <v>0.01</v>
      </c>
      <c r="I18" s="264">
        <f t="shared" si="19"/>
        <v>0.01</v>
      </c>
      <c r="J18" s="264">
        <f t="shared" si="19"/>
        <v>0.01</v>
      </c>
      <c r="K18" s="264">
        <f t="shared" si="19"/>
        <v>0.01</v>
      </c>
      <c r="L18" s="264">
        <f t="shared" si="19"/>
        <v>0.01</v>
      </c>
      <c r="M18" s="264">
        <f t="shared" si="19"/>
        <v>0.01</v>
      </c>
      <c r="N18" s="264">
        <f t="shared" si="19"/>
        <v>0.01</v>
      </c>
      <c r="O18" s="264">
        <f t="shared" ref="O18" si="20">N18</f>
        <v>0.01</v>
      </c>
      <c r="P18" s="264">
        <f t="shared" ref="P18" si="21">O18</f>
        <v>0.01</v>
      </c>
    </row>
    <row r="19" spans="2:16">
      <c r="H19" s="83"/>
      <c r="I19" s="83"/>
      <c r="J19" s="83"/>
      <c r="K19" s="83"/>
      <c r="L19" s="83"/>
      <c r="M19" s="83"/>
      <c r="N19" s="83"/>
      <c r="O19" s="83"/>
      <c r="P19" s="83"/>
    </row>
    <row r="20" spans="2:16">
      <c r="B20" t="s">
        <v>134</v>
      </c>
      <c r="C20" s="26">
        <f t="shared" ref="C20:N20" si="22">C21*C17</f>
        <v>41658000</v>
      </c>
      <c r="D20" s="26">
        <f t="shared" si="22"/>
        <v>42074580</v>
      </c>
      <c r="E20" s="26">
        <f t="shared" si="22"/>
        <v>42495325.800000004</v>
      </c>
      <c r="F20" s="26">
        <f t="shared" si="22"/>
        <v>42920279.057999998</v>
      </c>
      <c r="G20" s="26">
        <f t="shared" si="22"/>
        <v>43349481.848580003</v>
      </c>
      <c r="H20" s="41">
        <f t="shared" si="22"/>
        <v>43782976.667065799</v>
      </c>
      <c r="I20" s="41">
        <f t="shared" si="22"/>
        <v>44220806.433736458</v>
      </c>
      <c r="J20" s="41">
        <f t="shared" si="22"/>
        <v>44663014.498073824</v>
      </c>
      <c r="K20" s="41">
        <f t="shared" si="22"/>
        <v>45109644.643054567</v>
      </c>
      <c r="L20" s="41">
        <f t="shared" si="22"/>
        <v>45560741.089485116</v>
      </c>
      <c r="M20" s="41">
        <f t="shared" si="22"/>
        <v>46016348.500379965</v>
      </c>
      <c r="N20" s="41">
        <f t="shared" si="22"/>
        <v>46476511.985383764</v>
      </c>
      <c r="O20" s="41">
        <f t="shared" ref="O20:P20" si="23">O21*O17</f>
        <v>46941277.105237603</v>
      </c>
      <c r="P20" s="41">
        <f t="shared" si="23"/>
        <v>47410689.876289971</v>
      </c>
    </row>
    <row r="21" spans="2:16">
      <c r="B21" s="15" t="s">
        <v>135</v>
      </c>
      <c r="C21" s="226">
        <v>0.13100000000000001</v>
      </c>
      <c r="D21" s="226">
        <f t="shared" ref="D21:N21" si="24">C21</f>
        <v>0.13100000000000001</v>
      </c>
      <c r="E21" s="226">
        <f t="shared" si="24"/>
        <v>0.13100000000000001</v>
      </c>
      <c r="F21" s="226">
        <f t="shared" si="24"/>
        <v>0.13100000000000001</v>
      </c>
      <c r="G21" s="226">
        <f t="shared" si="24"/>
        <v>0.13100000000000001</v>
      </c>
      <c r="H21" s="281">
        <f t="shared" si="24"/>
        <v>0.13100000000000001</v>
      </c>
      <c r="I21" s="281">
        <f t="shared" si="24"/>
        <v>0.13100000000000001</v>
      </c>
      <c r="J21" s="281">
        <f t="shared" si="24"/>
        <v>0.13100000000000001</v>
      </c>
      <c r="K21" s="281">
        <f t="shared" si="24"/>
        <v>0.13100000000000001</v>
      </c>
      <c r="L21" s="281">
        <f t="shared" si="24"/>
        <v>0.13100000000000001</v>
      </c>
      <c r="M21" s="281">
        <f t="shared" si="24"/>
        <v>0.13100000000000001</v>
      </c>
      <c r="N21" s="281">
        <f t="shared" si="24"/>
        <v>0.13100000000000001</v>
      </c>
      <c r="O21" s="281">
        <f t="shared" ref="O21" si="25">N21</f>
        <v>0.13100000000000001</v>
      </c>
      <c r="P21" s="281">
        <f t="shared" ref="P21" si="26">O21</f>
        <v>0.13100000000000001</v>
      </c>
    </row>
    <row r="22" spans="2:16">
      <c r="C22" s="227"/>
      <c r="D22" s="227"/>
      <c r="E22" s="227"/>
      <c r="F22" s="227"/>
      <c r="G22" s="227"/>
      <c r="H22" s="83"/>
      <c r="I22" s="83"/>
      <c r="J22" s="83"/>
      <c r="K22" s="83"/>
      <c r="L22" s="83"/>
      <c r="M22" s="83"/>
      <c r="N22" s="83"/>
      <c r="O22" s="83"/>
      <c r="P22" s="83"/>
    </row>
    <row r="23" spans="2:16">
      <c r="B23" s="27" t="s">
        <v>185</v>
      </c>
      <c r="C23" s="26">
        <f t="shared" ref="C23:N23" si="27">C24*C20</f>
        <v>1666320</v>
      </c>
      <c r="D23" s="26">
        <f t="shared" si="27"/>
        <v>1682983.2</v>
      </c>
      <c r="E23" s="26">
        <f t="shared" si="27"/>
        <v>1699813.0320000001</v>
      </c>
      <c r="F23" s="26">
        <f t="shared" si="27"/>
        <v>1716811.1623199999</v>
      </c>
      <c r="G23" s="26">
        <f t="shared" si="27"/>
        <v>1733979.2739432002</v>
      </c>
      <c r="H23" s="41">
        <f t="shared" si="27"/>
        <v>1751319.0666826321</v>
      </c>
      <c r="I23" s="41">
        <f t="shared" si="27"/>
        <v>1768832.2573494583</v>
      </c>
      <c r="J23" s="41">
        <f t="shared" si="27"/>
        <v>1786520.5799229529</v>
      </c>
      <c r="K23" s="41">
        <f t="shared" si="27"/>
        <v>1804385.7857221828</v>
      </c>
      <c r="L23" s="41">
        <f t="shared" si="27"/>
        <v>1822429.6435794048</v>
      </c>
      <c r="M23" s="41">
        <f t="shared" si="27"/>
        <v>1840653.9400151987</v>
      </c>
      <c r="N23" s="41">
        <f t="shared" si="27"/>
        <v>1859060.4794153506</v>
      </c>
      <c r="O23" s="41">
        <f t="shared" ref="O23:P23" si="28">O24*O20</f>
        <v>1877651.0842095041</v>
      </c>
      <c r="P23" s="41">
        <f t="shared" si="28"/>
        <v>1896427.595051599</v>
      </c>
    </row>
    <row r="24" spans="2:16">
      <c r="B24" s="15" t="s">
        <v>136</v>
      </c>
      <c r="C24" s="226">
        <v>0.04</v>
      </c>
      <c r="D24" s="226">
        <f t="shared" ref="D24:N24" si="29">C24</f>
        <v>0.04</v>
      </c>
      <c r="E24" s="226">
        <f t="shared" si="29"/>
        <v>0.04</v>
      </c>
      <c r="F24" s="226">
        <f t="shared" si="29"/>
        <v>0.04</v>
      </c>
      <c r="G24" s="226">
        <f t="shared" si="29"/>
        <v>0.04</v>
      </c>
      <c r="H24" s="281">
        <f t="shared" si="29"/>
        <v>0.04</v>
      </c>
      <c r="I24" s="281">
        <f t="shared" si="29"/>
        <v>0.04</v>
      </c>
      <c r="J24" s="281">
        <f t="shared" si="29"/>
        <v>0.04</v>
      </c>
      <c r="K24" s="281">
        <f t="shared" si="29"/>
        <v>0.04</v>
      </c>
      <c r="L24" s="281">
        <f t="shared" si="29"/>
        <v>0.04</v>
      </c>
      <c r="M24" s="281">
        <f t="shared" si="29"/>
        <v>0.04</v>
      </c>
      <c r="N24" s="281">
        <f t="shared" si="29"/>
        <v>0.04</v>
      </c>
      <c r="O24" s="281">
        <f t="shared" ref="O24" si="30">N24</f>
        <v>0.04</v>
      </c>
      <c r="P24" s="281">
        <f t="shared" ref="P24" si="31">O24</f>
        <v>0.04</v>
      </c>
    </row>
    <row r="25" spans="2:16">
      <c r="B25" s="15"/>
      <c r="C25" s="53"/>
      <c r="D25" s="53"/>
      <c r="E25" s="53"/>
      <c r="F25" s="53"/>
      <c r="G25" s="53"/>
      <c r="H25" s="281"/>
      <c r="I25" s="281"/>
      <c r="J25" s="281"/>
      <c r="K25" s="281"/>
      <c r="L25" s="281"/>
      <c r="M25" s="281"/>
      <c r="N25" s="281"/>
      <c r="O25" s="281"/>
      <c r="P25" s="281"/>
    </row>
    <row r="26" spans="2:16">
      <c r="B26" s="27" t="s">
        <v>184</v>
      </c>
      <c r="C26" s="26">
        <f t="shared" ref="C26:N26" si="32">C28*C23</f>
        <v>216621.6</v>
      </c>
      <c r="D26" s="26">
        <f t="shared" si="32"/>
        <v>218787.81599999999</v>
      </c>
      <c r="E26" s="26">
        <f t="shared" si="32"/>
        <v>220975.69416000001</v>
      </c>
      <c r="F26" s="26">
        <f t="shared" si="32"/>
        <v>223185.45110159999</v>
      </c>
      <c r="G26" s="26">
        <f t="shared" si="32"/>
        <v>225417.30561261604</v>
      </c>
      <c r="H26" s="41">
        <f t="shared" si="32"/>
        <v>227671.47866874217</v>
      </c>
      <c r="I26" s="41">
        <f t="shared" si="32"/>
        <v>229948.19345542957</v>
      </c>
      <c r="J26" s="41">
        <f t="shared" si="32"/>
        <v>232247.6753899839</v>
      </c>
      <c r="K26" s="41">
        <f t="shared" si="32"/>
        <v>234570.15214388378</v>
      </c>
      <c r="L26" s="41">
        <f t="shared" si="32"/>
        <v>236915.85366532262</v>
      </c>
      <c r="M26" s="41">
        <f t="shared" si="32"/>
        <v>239285.01220197583</v>
      </c>
      <c r="N26" s="41">
        <f t="shared" si="32"/>
        <v>241677.86232399559</v>
      </c>
      <c r="O26" s="41">
        <f t="shared" ref="O26:P26" si="33">O28*O23</f>
        <v>244094.64094723554</v>
      </c>
      <c r="P26" s="41">
        <f t="shared" si="33"/>
        <v>246535.58735670787</v>
      </c>
    </row>
    <row r="27" spans="2:16" hidden="1" outlineLevel="1">
      <c r="B27" s="27" t="s">
        <v>186</v>
      </c>
      <c r="C27" s="26">
        <f t="shared" ref="C27:N27" si="34">C23-C26</f>
        <v>1449698.4</v>
      </c>
      <c r="D27" s="26">
        <f t="shared" si="34"/>
        <v>1464195.3840000001</v>
      </c>
      <c r="E27" s="26">
        <f t="shared" si="34"/>
        <v>1478837.3378400002</v>
      </c>
      <c r="F27" s="26">
        <f t="shared" si="34"/>
        <v>1493625.7112183999</v>
      </c>
      <c r="G27" s="26">
        <f t="shared" si="34"/>
        <v>1508561.9683305842</v>
      </c>
      <c r="H27" s="41">
        <f t="shared" si="34"/>
        <v>1523647.58801389</v>
      </c>
      <c r="I27" s="41">
        <f t="shared" si="34"/>
        <v>1538884.0638940288</v>
      </c>
      <c r="J27" s="41">
        <f t="shared" si="34"/>
        <v>1554272.904532969</v>
      </c>
      <c r="K27" s="41">
        <f t="shared" si="34"/>
        <v>1569815.6335782991</v>
      </c>
      <c r="L27" s="41">
        <f t="shared" si="34"/>
        <v>1585513.7899140823</v>
      </c>
      <c r="M27" s="41">
        <f t="shared" si="34"/>
        <v>1601368.9278132229</v>
      </c>
      <c r="N27" s="41">
        <f t="shared" si="34"/>
        <v>1617382.6170913549</v>
      </c>
      <c r="O27" s="41">
        <f t="shared" ref="O27:P27" si="35">O23-O26</f>
        <v>1633556.4432622686</v>
      </c>
      <c r="P27" s="41">
        <f t="shared" si="35"/>
        <v>1649892.0076948912</v>
      </c>
    </row>
    <row r="28" spans="2:16" hidden="1" outlineLevel="1">
      <c r="B28" s="15" t="s">
        <v>139</v>
      </c>
      <c r="C28" s="226">
        <v>0.13</v>
      </c>
      <c r="D28" s="226">
        <f t="shared" ref="D28:N28" si="36">C28</f>
        <v>0.13</v>
      </c>
      <c r="E28" s="226">
        <f t="shared" si="36"/>
        <v>0.13</v>
      </c>
      <c r="F28" s="226">
        <f t="shared" si="36"/>
        <v>0.13</v>
      </c>
      <c r="G28" s="226">
        <f t="shared" si="36"/>
        <v>0.13</v>
      </c>
      <c r="H28" s="281">
        <f t="shared" si="36"/>
        <v>0.13</v>
      </c>
      <c r="I28" s="281">
        <f t="shared" si="36"/>
        <v>0.13</v>
      </c>
      <c r="J28" s="281">
        <f t="shared" si="36"/>
        <v>0.13</v>
      </c>
      <c r="K28" s="281">
        <f t="shared" si="36"/>
        <v>0.13</v>
      </c>
      <c r="L28" s="281">
        <f t="shared" si="36"/>
        <v>0.13</v>
      </c>
      <c r="M28" s="281">
        <f t="shared" si="36"/>
        <v>0.13</v>
      </c>
      <c r="N28" s="281">
        <f t="shared" si="36"/>
        <v>0.13</v>
      </c>
      <c r="O28" s="281">
        <f t="shared" ref="O28" si="37">N28</f>
        <v>0.13</v>
      </c>
      <c r="P28" s="281">
        <f t="shared" ref="P28" si="38">O28</f>
        <v>0.13</v>
      </c>
    </row>
    <row r="29" spans="2:16" collapsed="1">
      <c r="B29" s="15"/>
      <c r="C29" s="53"/>
      <c r="D29" s="53"/>
      <c r="E29" s="53"/>
      <c r="F29" s="53"/>
      <c r="G29" s="53"/>
      <c r="H29" s="281"/>
      <c r="I29" s="281"/>
      <c r="J29" s="281"/>
      <c r="K29" s="281"/>
      <c r="L29" s="281"/>
      <c r="M29" s="281"/>
      <c r="N29" s="281"/>
      <c r="O29" s="281"/>
      <c r="P29" s="281"/>
    </row>
    <row r="30" spans="2:16">
      <c r="B30" s="192" t="s">
        <v>449</v>
      </c>
      <c r="C30" s="26">
        <f t="shared" ref="C30:N30" si="39">C31*C26+C32*C27</f>
        <v>23828.376</v>
      </c>
      <c r="D30" s="26">
        <f t="shared" si="39"/>
        <v>24066.659759999999</v>
      </c>
      <c r="E30" s="26">
        <f t="shared" si="39"/>
        <v>24307.326357600003</v>
      </c>
      <c r="F30" s="26">
        <f t="shared" si="39"/>
        <v>24550.399621175999</v>
      </c>
      <c r="G30" s="26">
        <f t="shared" si="39"/>
        <v>24795.903617387765</v>
      </c>
      <c r="H30" s="41">
        <f t="shared" si="39"/>
        <v>25043.862653561639</v>
      </c>
      <c r="I30" s="41">
        <f t="shared" si="39"/>
        <v>25294.301280097254</v>
      </c>
      <c r="J30" s="41">
        <f t="shared" si="39"/>
        <v>25547.244292898227</v>
      </c>
      <c r="K30" s="41">
        <f t="shared" si="39"/>
        <v>25802.716735827216</v>
      </c>
      <c r="L30" s="41">
        <f t="shared" si="39"/>
        <v>26060.743903185488</v>
      </c>
      <c r="M30" s="41">
        <f t="shared" si="39"/>
        <v>26321.351342217342</v>
      </c>
      <c r="N30" s="41">
        <f t="shared" si="39"/>
        <v>26584.564855639514</v>
      </c>
      <c r="O30" s="41">
        <f t="shared" ref="O30:P30" si="40">O31*O26+O32*O27</f>
        <v>26850.410504195908</v>
      </c>
      <c r="P30" s="41">
        <f t="shared" si="40"/>
        <v>27118.914609237865</v>
      </c>
    </row>
    <row r="31" spans="2:16">
      <c r="B31" s="15" t="s">
        <v>451</v>
      </c>
      <c r="C31" s="226">
        <v>0.11</v>
      </c>
      <c r="D31" s="226">
        <f t="shared" ref="D31:N31" si="41">C31</f>
        <v>0.11</v>
      </c>
      <c r="E31" s="226">
        <f t="shared" si="41"/>
        <v>0.11</v>
      </c>
      <c r="F31" s="226">
        <f t="shared" si="41"/>
        <v>0.11</v>
      </c>
      <c r="G31" s="226">
        <f t="shared" si="41"/>
        <v>0.11</v>
      </c>
      <c r="H31" s="281">
        <f t="shared" si="41"/>
        <v>0.11</v>
      </c>
      <c r="I31" s="281">
        <f t="shared" si="41"/>
        <v>0.11</v>
      </c>
      <c r="J31" s="281">
        <f t="shared" si="41"/>
        <v>0.11</v>
      </c>
      <c r="K31" s="281">
        <f t="shared" si="41"/>
        <v>0.11</v>
      </c>
      <c r="L31" s="281">
        <f t="shared" si="41"/>
        <v>0.11</v>
      </c>
      <c r="M31" s="281">
        <f t="shared" si="41"/>
        <v>0.11</v>
      </c>
      <c r="N31" s="281">
        <f t="shared" si="41"/>
        <v>0.11</v>
      </c>
      <c r="O31" s="281">
        <f t="shared" ref="O31:P31" si="42">N31</f>
        <v>0.11</v>
      </c>
      <c r="P31" s="281">
        <f t="shared" si="42"/>
        <v>0.11</v>
      </c>
    </row>
    <row r="32" spans="2:16" hidden="1" outlineLevel="1">
      <c r="B32" s="15" t="s">
        <v>179</v>
      </c>
      <c r="C32" s="226">
        <v>0</v>
      </c>
      <c r="D32" s="226">
        <v>0</v>
      </c>
      <c r="E32" s="226">
        <v>0</v>
      </c>
      <c r="F32" s="226">
        <v>0</v>
      </c>
      <c r="G32" s="226">
        <v>0</v>
      </c>
      <c r="H32" s="281">
        <v>0</v>
      </c>
      <c r="I32" s="281">
        <f t="shared" ref="I32:N32" si="43">H32</f>
        <v>0</v>
      </c>
      <c r="J32" s="281">
        <f t="shared" si="43"/>
        <v>0</v>
      </c>
      <c r="K32" s="281">
        <f t="shared" si="43"/>
        <v>0</v>
      </c>
      <c r="L32" s="281">
        <f t="shared" si="43"/>
        <v>0</v>
      </c>
      <c r="M32" s="281">
        <f t="shared" si="43"/>
        <v>0</v>
      </c>
      <c r="N32" s="281">
        <f t="shared" si="43"/>
        <v>0</v>
      </c>
      <c r="O32" s="281">
        <f t="shared" ref="O32:P32" si="44">N32</f>
        <v>0</v>
      </c>
      <c r="P32" s="281">
        <f t="shared" si="44"/>
        <v>0</v>
      </c>
    </row>
    <row r="33" spans="2:16" collapsed="1">
      <c r="B33" s="2"/>
      <c r="H33" s="83"/>
      <c r="I33" s="83"/>
      <c r="J33" s="83"/>
      <c r="K33" s="83"/>
      <c r="L33" s="83"/>
      <c r="M33" s="83"/>
      <c r="N33" s="83"/>
      <c r="O33" s="83"/>
      <c r="P33" s="83"/>
    </row>
    <row r="34" spans="2:16">
      <c r="B34" s="180" t="s">
        <v>360</v>
      </c>
      <c r="C34" s="36"/>
      <c r="D34" s="36"/>
      <c r="E34" s="36"/>
      <c r="F34" s="36"/>
      <c r="G34" s="36"/>
      <c r="H34" s="197">
        <f t="shared" ref="H34:N34" si="45">G43</f>
        <v>0</v>
      </c>
      <c r="I34" s="197">
        <f t="shared" si="45"/>
        <v>0</v>
      </c>
      <c r="J34" s="197">
        <f t="shared" si="45"/>
        <v>0</v>
      </c>
      <c r="K34" s="197">
        <f t="shared" si="45"/>
        <v>0</v>
      </c>
      <c r="L34" s="197">
        <f t="shared" si="45"/>
        <v>0</v>
      </c>
      <c r="M34" s="197">
        <f t="shared" si="45"/>
        <v>0</v>
      </c>
      <c r="N34" s="197">
        <f t="shared" si="45"/>
        <v>0</v>
      </c>
      <c r="O34" s="197">
        <f t="shared" ref="O34" si="46">N43</f>
        <v>0</v>
      </c>
      <c r="P34" s="197">
        <f t="shared" ref="P34" si="47">O43</f>
        <v>0</v>
      </c>
    </row>
    <row r="35" spans="2:16">
      <c r="B35" s="1" t="s">
        <v>90</v>
      </c>
      <c r="C35" s="30"/>
      <c r="D35" s="30"/>
      <c r="E35" s="30"/>
      <c r="F35" s="30"/>
      <c r="G35" s="30"/>
      <c r="H35" s="280">
        <f t="shared" ref="H35:N35" si="48">H34/H30</f>
        <v>0</v>
      </c>
      <c r="I35" s="280">
        <f t="shared" si="48"/>
        <v>0</v>
      </c>
      <c r="J35" s="280">
        <f t="shared" si="48"/>
        <v>0</v>
      </c>
      <c r="K35" s="280">
        <f t="shared" si="48"/>
        <v>0</v>
      </c>
      <c r="L35" s="280">
        <f t="shared" si="48"/>
        <v>0</v>
      </c>
      <c r="M35" s="280">
        <f t="shared" si="48"/>
        <v>0</v>
      </c>
      <c r="N35" s="280">
        <f t="shared" si="48"/>
        <v>0</v>
      </c>
      <c r="O35" s="280">
        <f t="shared" ref="O35:P35" si="49">O34/O30</f>
        <v>0</v>
      </c>
      <c r="P35" s="280">
        <f t="shared" si="49"/>
        <v>0</v>
      </c>
    </row>
    <row r="36" spans="2:16">
      <c r="B36" s="23"/>
      <c r="C36" s="3"/>
      <c r="D36" s="3"/>
      <c r="E36" s="3"/>
      <c r="F36" s="3"/>
      <c r="G36" s="3"/>
      <c r="H36" s="93"/>
      <c r="I36" s="93"/>
      <c r="J36" s="93"/>
      <c r="K36" s="93"/>
      <c r="L36" s="93"/>
      <c r="M36" s="93"/>
      <c r="N36" s="93"/>
      <c r="O36" s="93"/>
      <c r="P36" s="93"/>
    </row>
    <row r="37" spans="2:16">
      <c r="B37" s="23" t="s">
        <v>101</v>
      </c>
      <c r="C37" s="58"/>
      <c r="D37" s="26"/>
      <c r="E37" s="26"/>
      <c r="F37" s="26"/>
      <c r="G37" s="26"/>
      <c r="H37" s="41">
        <f t="shared" ref="H37:N37" si="50">H38*H30</f>
        <v>0</v>
      </c>
      <c r="I37" s="41">
        <f t="shared" si="50"/>
        <v>0</v>
      </c>
      <c r="J37" s="41">
        <f t="shared" si="50"/>
        <v>0</v>
      </c>
      <c r="K37" s="41">
        <f t="shared" si="50"/>
        <v>0</v>
      </c>
      <c r="L37" s="41">
        <f t="shared" si="50"/>
        <v>0</v>
      </c>
      <c r="M37" s="41">
        <f t="shared" si="50"/>
        <v>0</v>
      </c>
      <c r="N37" s="41">
        <f t="shared" si="50"/>
        <v>0</v>
      </c>
      <c r="O37" s="41">
        <f t="shared" ref="O37:P37" si="51">O38*O30</f>
        <v>0</v>
      </c>
      <c r="P37" s="41">
        <f t="shared" si="51"/>
        <v>0</v>
      </c>
    </row>
    <row r="38" spans="2:16">
      <c r="B38" s="1" t="s">
        <v>102</v>
      </c>
      <c r="C38" s="31" t="s">
        <v>176</v>
      </c>
      <c r="D38" s="31"/>
      <c r="E38" s="31"/>
      <c r="F38" s="31"/>
      <c r="G38" s="31"/>
      <c r="H38" s="265">
        <f>CHOOSE('hATTR-PN Mkt Model'!$H$3,'hATTR-CM Mkt Model'!H6,'hATTR-CM Mkt Model'!H7,'hATTR-CM Mkt Model'!H8)</f>
        <v>0</v>
      </c>
      <c r="I38" s="265">
        <f>CHOOSE('hATTR-PN Mkt Model'!$H$3,'hATTR-CM Mkt Model'!I6,'hATTR-CM Mkt Model'!I7,'hATTR-CM Mkt Model'!I8)</f>
        <v>0</v>
      </c>
      <c r="J38" s="265">
        <f>CHOOSE('hATTR-PN Mkt Model'!$H$3,'hATTR-CM Mkt Model'!J6,'hATTR-CM Mkt Model'!J7,'hATTR-CM Mkt Model'!J8)</f>
        <v>0</v>
      </c>
      <c r="K38" s="265">
        <f>CHOOSE('hATTR-PN Mkt Model'!$H$3,'hATTR-CM Mkt Model'!K6,'hATTR-CM Mkt Model'!K7,'hATTR-CM Mkt Model'!K8)</f>
        <v>0</v>
      </c>
      <c r="L38" s="265">
        <f>CHOOSE('hATTR-PN Mkt Model'!$H$3,'hATTR-CM Mkt Model'!L6,'hATTR-CM Mkt Model'!L7,'hATTR-CM Mkt Model'!L8)</f>
        <v>0</v>
      </c>
      <c r="M38" s="265">
        <f>CHOOSE('hATTR-PN Mkt Model'!$H$3,'hATTR-CM Mkt Model'!M6,'hATTR-CM Mkt Model'!M7,'hATTR-CM Mkt Model'!M8)</f>
        <v>0</v>
      </c>
      <c r="N38" s="265">
        <f>CHOOSE('hATTR-PN Mkt Model'!$H$3,'hATTR-CM Mkt Model'!N6,'hATTR-CM Mkt Model'!N7,'hATTR-CM Mkt Model'!N8)</f>
        <v>0</v>
      </c>
      <c r="O38" s="265">
        <f>CHOOSE('hATTR-PN Mkt Model'!$H$3,'hATTR-CM Mkt Model'!O6,'hATTR-CM Mkt Model'!O7,'hATTR-CM Mkt Model'!O8)</f>
        <v>0</v>
      </c>
      <c r="P38" s="265">
        <f>CHOOSE('hATTR-PN Mkt Model'!$H$3,'hATTR-CM Mkt Model'!P6,'hATTR-CM Mkt Model'!P7,'hATTR-CM Mkt Model'!P8)</f>
        <v>0</v>
      </c>
    </row>
    <row r="39" spans="2:16">
      <c r="B39" s="1"/>
      <c r="C39" s="3"/>
      <c r="D39" s="3"/>
      <c r="E39" s="3"/>
      <c r="F39" s="3"/>
      <c r="G39" s="3"/>
      <c r="H39" s="93"/>
      <c r="I39" s="93"/>
      <c r="J39" s="93"/>
      <c r="K39" s="93"/>
      <c r="L39" s="93"/>
      <c r="M39" s="93"/>
      <c r="N39" s="93"/>
      <c r="O39" s="93"/>
      <c r="P39" s="93"/>
    </row>
    <row r="40" spans="2:16">
      <c r="B40" s="23" t="s">
        <v>91</v>
      </c>
      <c r="C40" s="26"/>
      <c r="D40" s="26"/>
      <c r="E40" s="26"/>
      <c r="F40" s="26"/>
      <c r="G40" s="26"/>
      <c r="H40" s="41">
        <f t="shared" ref="H40:N40" si="52">H41*H34</f>
        <v>0</v>
      </c>
      <c r="I40" s="41">
        <f t="shared" si="52"/>
        <v>0</v>
      </c>
      <c r="J40" s="41">
        <f t="shared" si="52"/>
        <v>0</v>
      </c>
      <c r="K40" s="41">
        <f t="shared" si="52"/>
        <v>0</v>
      </c>
      <c r="L40" s="41">
        <f t="shared" si="52"/>
        <v>0</v>
      </c>
      <c r="M40" s="41">
        <f t="shared" si="52"/>
        <v>0</v>
      </c>
      <c r="N40" s="41">
        <f t="shared" si="52"/>
        <v>0</v>
      </c>
      <c r="O40" s="41">
        <f t="shared" ref="O40:P40" si="53">O41*O34</f>
        <v>0</v>
      </c>
      <c r="P40" s="41">
        <f t="shared" si="53"/>
        <v>0</v>
      </c>
    </row>
    <row r="41" spans="2:16">
      <c r="B41" s="1" t="s">
        <v>92</v>
      </c>
      <c r="C41" s="33"/>
      <c r="D41" s="33"/>
      <c r="E41" s="33"/>
      <c r="F41" s="39"/>
      <c r="G41" s="39"/>
      <c r="H41" s="266">
        <v>0.25</v>
      </c>
      <c r="I41" s="266">
        <f t="shared" ref="I41:N41" si="54">H41</f>
        <v>0.25</v>
      </c>
      <c r="J41" s="266">
        <f t="shared" si="54"/>
        <v>0.25</v>
      </c>
      <c r="K41" s="266">
        <f t="shared" si="54"/>
        <v>0.25</v>
      </c>
      <c r="L41" s="266">
        <f t="shared" si="54"/>
        <v>0.25</v>
      </c>
      <c r="M41" s="266">
        <f t="shared" si="54"/>
        <v>0.25</v>
      </c>
      <c r="N41" s="266">
        <f t="shared" si="54"/>
        <v>0.25</v>
      </c>
      <c r="O41" s="266">
        <f t="shared" ref="O41" si="55">N41</f>
        <v>0.25</v>
      </c>
      <c r="P41" s="266">
        <f t="shared" ref="P41" si="56">O41</f>
        <v>0.25</v>
      </c>
    </row>
    <row r="42" spans="2:16">
      <c r="B42" s="23"/>
      <c r="C42" s="3"/>
      <c r="D42" s="3"/>
      <c r="E42" s="3"/>
      <c r="F42" s="3"/>
      <c r="G42" s="3"/>
      <c r="H42" s="93"/>
      <c r="I42" s="93"/>
      <c r="J42" s="93"/>
      <c r="K42" s="93"/>
      <c r="L42" s="93"/>
      <c r="M42" s="93"/>
      <c r="N42" s="93"/>
      <c r="O42" s="93"/>
      <c r="P42" s="93"/>
    </row>
    <row r="43" spans="2:16">
      <c r="B43" s="181" t="s">
        <v>361</v>
      </c>
      <c r="C43" s="26"/>
      <c r="D43" s="26"/>
      <c r="E43" s="26"/>
      <c r="F43" s="26"/>
      <c r="G43" s="26"/>
      <c r="H43" s="41">
        <f t="shared" ref="H43:N43" si="57">H34+H37-H40</f>
        <v>0</v>
      </c>
      <c r="I43" s="41">
        <f t="shared" si="57"/>
        <v>0</v>
      </c>
      <c r="J43" s="41">
        <f t="shared" si="57"/>
        <v>0</v>
      </c>
      <c r="K43" s="41">
        <f t="shared" si="57"/>
        <v>0</v>
      </c>
      <c r="L43" s="41">
        <f t="shared" si="57"/>
        <v>0</v>
      </c>
      <c r="M43" s="41">
        <f t="shared" si="57"/>
        <v>0</v>
      </c>
      <c r="N43" s="41">
        <f t="shared" si="57"/>
        <v>0</v>
      </c>
      <c r="O43" s="41">
        <f t="shared" ref="O43:P43" si="58">O34+O37-O40</f>
        <v>0</v>
      </c>
      <c r="P43" s="41">
        <f t="shared" si="58"/>
        <v>0</v>
      </c>
    </row>
    <row r="44" spans="2:16">
      <c r="B44" s="25" t="s">
        <v>93</v>
      </c>
      <c r="C44" s="32"/>
      <c r="D44" s="32"/>
      <c r="E44" s="32"/>
      <c r="F44" s="32"/>
      <c r="G44" s="32"/>
      <c r="H44" s="267">
        <f t="shared" ref="H44:N44" si="59">H43/H30</f>
        <v>0</v>
      </c>
      <c r="I44" s="267">
        <f t="shared" si="59"/>
        <v>0</v>
      </c>
      <c r="J44" s="267">
        <f t="shared" si="59"/>
        <v>0</v>
      </c>
      <c r="K44" s="267">
        <f t="shared" si="59"/>
        <v>0</v>
      </c>
      <c r="L44" s="267">
        <f t="shared" si="59"/>
        <v>0</v>
      </c>
      <c r="M44" s="267">
        <f t="shared" si="59"/>
        <v>0</v>
      </c>
      <c r="N44" s="267">
        <f t="shared" si="59"/>
        <v>0</v>
      </c>
      <c r="O44" s="267">
        <f t="shared" ref="O44:P44" si="60">O43/O30</f>
        <v>0</v>
      </c>
      <c r="P44" s="267">
        <f t="shared" si="60"/>
        <v>0</v>
      </c>
    </row>
    <row r="45" spans="2:16">
      <c r="B45" s="21"/>
      <c r="H45" s="83"/>
      <c r="I45" s="83"/>
      <c r="J45" s="83"/>
      <c r="K45" s="83"/>
      <c r="L45" s="83"/>
      <c r="M45" s="83"/>
      <c r="N45" s="83"/>
      <c r="O45" s="83"/>
      <c r="P45" s="83"/>
    </row>
    <row r="46" spans="2:16">
      <c r="B46" s="24" t="s">
        <v>94</v>
      </c>
      <c r="F46" s="37"/>
      <c r="G46" s="37"/>
      <c r="H46" s="201">
        <v>6</v>
      </c>
      <c r="I46" s="201">
        <v>6</v>
      </c>
      <c r="J46" s="201">
        <f t="shared" ref="J46:N47" si="61">I46</f>
        <v>6</v>
      </c>
      <c r="K46" s="201">
        <f t="shared" si="61"/>
        <v>6</v>
      </c>
      <c r="L46" s="201">
        <f t="shared" si="61"/>
        <v>6</v>
      </c>
      <c r="M46" s="201">
        <f t="shared" si="61"/>
        <v>6</v>
      </c>
      <c r="N46" s="201">
        <f t="shared" si="61"/>
        <v>6</v>
      </c>
      <c r="O46" s="201">
        <f t="shared" ref="O46:O47" si="62">N46</f>
        <v>6</v>
      </c>
      <c r="P46" s="201">
        <f t="shared" ref="P46:P47" si="63">O46</f>
        <v>6</v>
      </c>
    </row>
    <row r="47" spans="2:16">
      <c r="B47" s="24" t="s">
        <v>95</v>
      </c>
      <c r="F47" s="37"/>
      <c r="G47" s="37"/>
      <c r="H47" s="201">
        <v>11</v>
      </c>
      <c r="I47" s="201">
        <f>H47</f>
        <v>11</v>
      </c>
      <c r="J47" s="201">
        <f t="shared" si="61"/>
        <v>11</v>
      </c>
      <c r="K47" s="201">
        <f t="shared" si="61"/>
        <v>11</v>
      </c>
      <c r="L47" s="201">
        <f t="shared" si="61"/>
        <v>11</v>
      </c>
      <c r="M47" s="201">
        <f t="shared" si="61"/>
        <v>11</v>
      </c>
      <c r="N47" s="201">
        <f t="shared" si="61"/>
        <v>11</v>
      </c>
      <c r="O47" s="201">
        <f t="shared" si="62"/>
        <v>11</v>
      </c>
      <c r="P47" s="201">
        <f t="shared" si="63"/>
        <v>11</v>
      </c>
    </row>
    <row r="48" spans="2:16">
      <c r="B48" s="21"/>
      <c r="H48" s="83"/>
      <c r="I48" s="83"/>
      <c r="J48" s="83"/>
      <c r="K48" s="83"/>
      <c r="L48" s="83"/>
      <c r="M48" s="83"/>
      <c r="N48" s="83"/>
      <c r="O48" s="83"/>
      <c r="P48" s="83"/>
    </row>
    <row r="49" spans="2:16">
      <c r="B49" s="24" t="s">
        <v>104</v>
      </c>
      <c r="C49" s="26"/>
      <c r="D49" s="26"/>
      <c r="E49" s="26"/>
      <c r="F49" s="26"/>
      <c r="G49" s="26"/>
      <c r="H49" s="60">
        <f>'hATTR-PN Mkt Model'!H50</f>
        <v>30000</v>
      </c>
      <c r="I49" s="41">
        <f>'hATTR-PN Mkt Model'!I50</f>
        <v>30300</v>
      </c>
      <c r="J49" s="41">
        <f>'hATTR-PN Mkt Model'!J50</f>
        <v>30603</v>
      </c>
      <c r="K49" s="41">
        <f>'hATTR-PN Mkt Model'!K50</f>
        <v>30909.03</v>
      </c>
      <c r="L49" s="41">
        <f>'hATTR-PN Mkt Model'!L50</f>
        <v>31218.120299999999</v>
      </c>
      <c r="M49" s="41">
        <f>'hATTR-PN Mkt Model'!M50</f>
        <v>31530.301502999999</v>
      </c>
      <c r="N49" s="41">
        <f>'hATTR-PN Mkt Model'!N50</f>
        <v>31845.604518029999</v>
      </c>
      <c r="O49" s="41">
        <f>'hATTR-PN Mkt Model'!O50</f>
        <v>32164.0605632103</v>
      </c>
      <c r="P49" s="41">
        <f>'hATTR-PN Mkt Model'!P50</f>
        <v>32485.701168842403</v>
      </c>
    </row>
    <row r="50" spans="2:16">
      <c r="B50" s="1" t="s">
        <v>96</v>
      </c>
      <c r="C50" s="34"/>
      <c r="D50" s="35"/>
      <c r="E50" s="35"/>
      <c r="F50" s="35"/>
      <c r="G50" s="35"/>
      <c r="H50" s="268"/>
      <c r="I50" s="292">
        <v>0.01</v>
      </c>
      <c r="J50" s="292">
        <v>0.01</v>
      </c>
      <c r="K50" s="292">
        <v>0.01</v>
      </c>
      <c r="L50" s="292">
        <v>0.01</v>
      </c>
      <c r="M50" s="292">
        <v>0.01</v>
      </c>
      <c r="N50" s="292">
        <v>0.01</v>
      </c>
      <c r="O50" s="292">
        <v>0.01</v>
      </c>
      <c r="P50" s="292">
        <v>0.01</v>
      </c>
    </row>
    <row r="51" spans="2:16">
      <c r="B51" s="24" t="s">
        <v>105</v>
      </c>
      <c r="C51" s="26"/>
      <c r="D51" s="26"/>
      <c r="E51" s="26"/>
      <c r="F51" s="26"/>
      <c r="G51" s="26"/>
      <c r="H51" s="41">
        <f>'hATTR-PN Mkt Model'!H52</f>
        <v>27750</v>
      </c>
      <c r="I51" s="41">
        <f>'hATTR-PN Mkt Model'!I52</f>
        <v>28027.5</v>
      </c>
      <c r="J51" s="41">
        <f>'hATTR-PN Mkt Model'!J52</f>
        <v>28307.775000000001</v>
      </c>
      <c r="K51" s="41">
        <f>'hATTR-PN Mkt Model'!K52</f>
        <v>28590.852750000002</v>
      </c>
      <c r="L51" s="41">
        <f>'hATTR-PN Mkt Model'!L52</f>
        <v>28876.761277500002</v>
      </c>
      <c r="M51" s="41">
        <f>'hATTR-PN Mkt Model'!M52</f>
        <v>29165.528890275</v>
      </c>
      <c r="N51" s="41">
        <f>'hATTR-PN Mkt Model'!N52</f>
        <v>29457.184179177752</v>
      </c>
      <c r="O51" s="41">
        <f>'hATTR-PN Mkt Model'!O52</f>
        <v>29751.756020969529</v>
      </c>
      <c r="P51" s="41">
        <f>'hATTR-PN Mkt Model'!P52</f>
        <v>30049.273581179223</v>
      </c>
    </row>
    <row r="52" spans="2:16">
      <c r="B52" s="1" t="s">
        <v>103</v>
      </c>
      <c r="C52" s="35"/>
      <c r="D52" s="35"/>
      <c r="E52" s="35"/>
      <c r="F52" s="35"/>
      <c r="G52" s="35"/>
      <c r="H52" s="268">
        <f>'hATTR-PN Mkt Model'!H53</f>
        <v>7.4999999999999997E-2</v>
      </c>
      <c r="I52" s="268">
        <f>'hATTR-PN Mkt Model'!I53</f>
        <v>7.4999999999999997E-2</v>
      </c>
      <c r="J52" s="268">
        <f>'hATTR-PN Mkt Model'!J53</f>
        <v>7.4999999999999997E-2</v>
      </c>
      <c r="K52" s="268">
        <f>'hATTR-PN Mkt Model'!K53</f>
        <v>7.4999999999999997E-2</v>
      </c>
      <c r="L52" s="268">
        <f>'hATTR-PN Mkt Model'!L53</f>
        <v>7.4999999999999997E-2</v>
      </c>
      <c r="M52" s="268">
        <f>'hATTR-PN Mkt Model'!M53</f>
        <v>7.4999999999999997E-2</v>
      </c>
      <c r="N52" s="268">
        <f>'hATTR-PN Mkt Model'!N53</f>
        <v>7.4999999999999997E-2</v>
      </c>
      <c r="O52" s="268">
        <f>'hATTR-PN Mkt Model'!O53</f>
        <v>7.4999999999999997E-2</v>
      </c>
      <c r="P52" s="268">
        <f>'hATTR-PN Mkt Model'!P53</f>
        <v>7.4999999999999997E-2</v>
      </c>
    </row>
    <row r="54" spans="2:16">
      <c r="B54" s="284" t="s">
        <v>393</v>
      </c>
      <c r="C54" s="5"/>
      <c r="D54" s="5"/>
      <c r="E54" s="5"/>
      <c r="F54" s="5"/>
      <c r="G54" s="5"/>
      <c r="H54" s="283">
        <f t="shared" ref="H54:N54" si="64">H34*H47*H51/1000000+H37*H46*H51/1000000</f>
        <v>0</v>
      </c>
      <c r="I54" s="283">
        <f t="shared" si="64"/>
        <v>0</v>
      </c>
      <c r="J54" s="283">
        <f t="shared" si="64"/>
        <v>0</v>
      </c>
      <c r="K54" s="283">
        <f t="shared" si="64"/>
        <v>0</v>
      </c>
      <c r="L54" s="283">
        <f t="shared" si="64"/>
        <v>0</v>
      </c>
      <c r="M54" s="283">
        <f t="shared" si="64"/>
        <v>0</v>
      </c>
      <c r="N54" s="283">
        <f t="shared" si="64"/>
        <v>0</v>
      </c>
      <c r="O54" s="283">
        <f t="shared" ref="O54:P54" si="65">O34*O47*O51/1000000+O37*O46*O51/1000000</f>
        <v>0</v>
      </c>
      <c r="P54" s="282">
        <f t="shared" si="65"/>
        <v>0</v>
      </c>
    </row>
    <row r="56" spans="2:16">
      <c r="B56" s="571" t="s">
        <v>450</v>
      </c>
      <c r="C56" s="5">
        <v>2013</v>
      </c>
      <c r="D56" s="5">
        <v>2014</v>
      </c>
      <c r="E56" s="5">
        <v>2015</v>
      </c>
      <c r="F56" s="5">
        <v>2016</v>
      </c>
      <c r="G56" s="5">
        <v>2017</v>
      </c>
      <c r="H56" s="5">
        <v>2018</v>
      </c>
      <c r="I56" s="5">
        <v>2019</v>
      </c>
      <c r="J56" s="5">
        <v>2020</v>
      </c>
      <c r="K56" s="5">
        <v>2021</v>
      </c>
      <c r="L56" s="5">
        <v>2022</v>
      </c>
      <c r="M56" s="5">
        <v>2023</v>
      </c>
      <c r="N56" s="5">
        <v>2024</v>
      </c>
      <c r="O56" s="5">
        <v>2025</v>
      </c>
      <c r="P56" s="285">
        <v>2026</v>
      </c>
    </row>
    <row r="58" spans="2:16">
      <c r="B58" t="s">
        <v>189</v>
      </c>
      <c r="C58" s="293">
        <v>14000000</v>
      </c>
      <c r="D58" s="26">
        <f t="shared" ref="D58" si="66">C58*(1+D59)</f>
        <v>14140000</v>
      </c>
      <c r="E58" s="26">
        <f t="shared" ref="E58" si="67">D58*(1+E59)</f>
        <v>14281400</v>
      </c>
      <c r="F58" s="26">
        <f t="shared" ref="F58" si="68">E58*(1+F59)</f>
        <v>14424214</v>
      </c>
      <c r="G58" s="26">
        <f t="shared" ref="G58" si="69">F58*(1+G59)</f>
        <v>14568456.140000001</v>
      </c>
      <c r="H58" s="26">
        <f t="shared" ref="H58" si="70">G58*(1+H59)</f>
        <v>14714140.701400001</v>
      </c>
      <c r="I58" s="26">
        <f t="shared" ref="I58" si="71">H58*(1+I59)</f>
        <v>14861282.108414</v>
      </c>
      <c r="J58" s="26">
        <f t="shared" ref="J58" si="72">I58*(1+J59)</f>
        <v>15009894.92949814</v>
      </c>
      <c r="K58" s="26">
        <f t="shared" ref="K58" si="73">J58*(1+K59)</f>
        <v>15159993.87879312</v>
      </c>
      <c r="L58" s="26">
        <f t="shared" ref="L58" si="74">K58*(1+L59)</f>
        <v>15311593.817581052</v>
      </c>
      <c r="M58" s="26">
        <f t="shared" ref="M58" si="75">L58*(1+M59)</f>
        <v>15464709.755756862</v>
      </c>
      <c r="N58" s="26">
        <f t="shared" ref="N58" si="76">M58*(1+N59)</f>
        <v>15619356.853314431</v>
      </c>
      <c r="O58" s="26">
        <f t="shared" ref="O58" si="77">N58*(1+O59)</f>
        <v>15775550.421847576</v>
      </c>
      <c r="P58" s="26">
        <f t="shared" ref="P58" si="78">O58*(1+P59)</f>
        <v>15933305.926066052</v>
      </c>
    </row>
    <row r="59" spans="2:16">
      <c r="B59" s="15" t="s">
        <v>138</v>
      </c>
      <c r="C59" s="293"/>
      <c r="D59" s="225">
        <v>0.01</v>
      </c>
      <c r="E59" s="225">
        <f t="shared" ref="E59" si="79">D59</f>
        <v>0.01</v>
      </c>
      <c r="F59" s="225">
        <f t="shared" ref="F59" si="80">E59</f>
        <v>0.01</v>
      </c>
      <c r="G59" s="225">
        <f t="shared" ref="G59" si="81">F59</f>
        <v>0.01</v>
      </c>
      <c r="H59" s="264">
        <f t="shared" ref="H59" si="82">G59</f>
        <v>0.01</v>
      </c>
      <c r="I59" s="264">
        <f t="shared" ref="I59" si="83">H59</f>
        <v>0.01</v>
      </c>
      <c r="J59" s="264">
        <f t="shared" ref="J59" si="84">I59</f>
        <v>0.01</v>
      </c>
      <c r="K59" s="264">
        <f t="shared" ref="K59" si="85">J59</f>
        <v>0.01</v>
      </c>
      <c r="L59" s="264">
        <f t="shared" ref="L59" si="86">K59</f>
        <v>0.01</v>
      </c>
      <c r="M59" s="264">
        <f t="shared" ref="M59" si="87">L59</f>
        <v>0.01</v>
      </c>
      <c r="N59" s="264">
        <f t="shared" ref="N59" si="88">M59</f>
        <v>0.01</v>
      </c>
      <c r="O59" s="264">
        <f t="shared" ref="O59" si="89">N59</f>
        <v>0.01</v>
      </c>
      <c r="P59" s="264">
        <f t="shared" ref="P59" si="90">O59</f>
        <v>0.01</v>
      </c>
    </row>
    <row r="60" spans="2:16">
      <c r="H60" s="83"/>
      <c r="I60" s="83"/>
      <c r="J60" s="83"/>
      <c r="K60" s="83"/>
      <c r="L60" s="83"/>
      <c r="M60" s="83"/>
      <c r="N60" s="83"/>
      <c r="O60" s="83"/>
      <c r="P60" s="83"/>
    </row>
    <row r="61" spans="2:16">
      <c r="B61" s="27" t="s">
        <v>185</v>
      </c>
      <c r="C61" s="26">
        <f t="shared" ref="C61:N61" si="91">C62*C58</f>
        <v>560000</v>
      </c>
      <c r="D61" s="26">
        <f t="shared" si="91"/>
        <v>565600</v>
      </c>
      <c r="E61" s="26">
        <f t="shared" si="91"/>
        <v>571256</v>
      </c>
      <c r="F61" s="26">
        <f t="shared" si="91"/>
        <v>576968.56000000006</v>
      </c>
      <c r="G61" s="26">
        <f t="shared" si="91"/>
        <v>582738.24560000002</v>
      </c>
      <c r="H61" s="41">
        <f t="shared" si="91"/>
        <v>588565.62805599999</v>
      </c>
      <c r="I61" s="41">
        <f t="shared" si="91"/>
        <v>594451.28433656006</v>
      </c>
      <c r="J61" s="41">
        <f t="shared" si="91"/>
        <v>600395.7971799256</v>
      </c>
      <c r="K61" s="41">
        <f t="shared" si="91"/>
        <v>606399.75515172479</v>
      </c>
      <c r="L61" s="41">
        <f t="shared" si="91"/>
        <v>612463.75270324212</v>
      </c>
      <c r="M61" s="41">
        <f t="shared" si="91"/>
        <v>618588.39023027453</v>
      </c>
      <c r="N61" s="41">
        <f t="shared" si="91"/>
        <v>624774.27413257724</v>
      </c>
      <c r="O61" s="41">
        <f t="shared" ref="O61:P61" si="92">O62*O58</f>
        <v>631022.01687390311</v>
      </c>
      <c r="P61" s="41">
        <f t="shared" si="92"/>
        <v>637332.23704264208</v>
      </c>
    </row>
    <row r="62" spans="2:16">
      <c r="B62" s="15" t="s">
        <v>190</v>
      </c>
      <c r="C62" s="226">
        <v>0.04</v>
      </c>
      <c r="D62" s="226">
        <f t="shared" ref="D62:N62" si="93">C62</f>
        <v>0.04</v>
      </c>
      <c r="E62" s="226">
        <f t="shared" si="93"/>
        <v>0.04</v>
      </c>
      <c r="F62" s="226">
        <f t="shared" si="93"/>
        <v>0.04</v>
      </c>
      <c r="G62" s="226">
        <f t="shared" si="93"/>
        <v>0.04</v>
      </c>
      <c r="H62" s="281">
        <f t="shared" si="93"/>
        <v>0.04</v>
      </c>
      <c r="I62" s="281">
        <f t="shared" si="93"/>
        <v>0.04</v>
      </c>
      <c r="J62" s="281">
        <f t="shared" si="93"/>
        <v>0.04</v>
      </c>
      <c r="K62" s="281">
        <f t="shared" si="93"/>
        <v>0.04</v>
      </c>
      <c r="L62" s="281">
        <f t="shared" si="93"/>
        <v>0.04</v>
      </c>
      <c r="M62" s="281">
        <f t="shared" si="93"/>
        <v>0.04</v>
      </c>
      <c r="N62" s="281">
        <f t="shared" si="93"/>
        <v>0.04</v>
      </c>
      <c r="O62" s="281">
        <f t="shared" ref="O62" si="94">N62</f>
        <v>0.04</v>
      </c>
      <c r="P62" s="281">
        <f t="shared" ref="P62" si="95">O62</f>
        <v>0.04</v>
      </c>
    </row>
    <row r="63" spans="2:16">
      <c r="B63" s="15"/>
      <c r="C63" s="53"/>
      <c r="D63" s="53"/>
      <c r="E63" s="53"/>
      <c r="F63" s="53"/>
      <c r="G63" s="53"/>
      <c r="H63" s="281"/>
      <c r="I63" s="281"/>
      <c r="J63" s="281"/>
      <c r="K63" s="281"/>
      <c r="L63" s="281"/>
      <c r="M63" s="281"/>
      <c r="N63" s="281"/>
      <c r="O63" s="281"/>
      <c r="P63" s="281"/>
    </row>
    <row r="64" spans="2:16">
      <c r="B64" s="27" t="s">
        <v>184</v>
      </c>
      <c r="C64" s="26">
        <f t="shared" ref="C64:N64" si="96">C66*C61</f>
        <v>72800</v>
      </c>
      <c r="D64" s="26">
        <f t="shared" si="96"/>
        <v>73528</v>
      </c>
      <c r="E64" s="26">
        <f t="shared" si="96"/>
        <v>74263.28</v>
      </c>
      <c r="F64" s="26">
        <f t="shared" si="96"/>
        <v>75005.912800000006</v>
      </c>
      <c r="G64" s="26">
        <f t="shared" si="96"/>
        <v>75755.971927999999</v>
      </c>
      <c r="H64" s="41">
        <f t="shared" si="96"/>
        <v>76513.531647280004</v>
      </c>
      <c r="I64" s="41">
        <f t="shared" si="96"/>
        <v>77278.66696375281</v>
      </c>
      <c r="J64" s="41">
        <f t="shared" si="96"/>
        <v>78051.453633390338</v>
      </c>
      <c r="K64" s="41">
        <f t="shared" si="96"/>
        <v>78831.968169724219</v>
      </c>
      <c r="L64" s="41">
        <f t="shared" si="96"/>
        <v>79620.287851421483</v>
      </c>
      <c r="M64" s="41">
        <f t="shared" si="96"/>
        <v>80416.490729935686</v>
      </c>
      <c r="N64" s="41">
        <f t="shared" si="96"/>
        <v>81220.655637235046</v>
      </c>
      <c r="O64" s="41">
        <f t="shared" ref="O64:P64" si="97">O66*O61</f>
        <v>82032.862193607405</v>
      </c>
      <c r="P64" s="41">
        <f t="shared" si="97"/>
        <v>82853.190815543479</v>
      </c>
    </row>
    <row r="65" spans="2:16" outlineLevel="1">
      <c r="B65" s="27" t="s">
        <v>186</v>
      </c>
      <c r="C65" s="26">
        <f t="shared" ref="C65:N65" si="98">C61-C64</f>
        <v>487200</v>
      </c>
      <c r="D65" s="26">
        <f t="shared" si="98"/>
        <v>492072</v>
      </c>
      <c r="E65" s="26">
        <f t="shared" si="98"/>
        <v>496992.72</v>
      </c>
      <c r="F65" s="26">
        <f t="shared" si="98"/>
        <v>501962.64720000006</v>
      </c>
      <c r="G65" s="26">
        <f t="shared" si="98"/>
        <v>506982.27367200004</v>
      </c>
      <c r="H65" s="41">
        <f t="shared" si="98"/>
        <v>512052.09640872001</v>
      </c>
      <c r="I65" s="41">
        <f t="shared" si="98"/>
        <v>517172.61737280723</v>
      </c>
      <c r="J65" s="41">
        <f t="shared" si="98"/>
        <v>522344.34354653524</v>
      </c>
      <c r="K65" s="41">
        <f t="shared" si="98"/>
        <v>527567.78698200057</v>
      </c>
      <c r="L65" s="41">
        <f t="shared" si="98"/>
        <v>532843.46485182061</v>
      </c>
      <c r="M65" s="41">
        <f t="shared" si="98"/>
        <v>538171.89950033883</v>
      </c>
      <c r="N65" s="41">
        <f t="shared" si="98"/>
        <v>543553.61849534221</v>
      </c>
      <c r="O65" s="41">
        <f t="shared" ref="O65:P65" si="99">O61-O64</f>
        <v>548989.15468029573</v>
      </c>
      <c r="P65" s="41">
        <f t="shared" si="99"/>
        <v>554479.04622709856</v>
      </c>
    </row>
    <row r="66" spans="2:16" outlineLevel="1">
      <c r="B66" s="15" t="s">
        <v>139</v>
      </c>
      <c r="C66" s="226">
        <v>0.13</v>
      </c>
      <c r="D66" s="226">
        <f t="shared" ref="D66:N66" si="100">C66</f>
        <v>0.13</v>
      </c>
      <c r="E66" s="226">
        <f t="shared" si="100"/>
        <v>0.13</v>
      </c>
      <c r="F66" s="226">
        <f t="shared" si="100"/>
        <v>0.13</v>
      </c>
      <c r="G66" s="226">
        <f t="shared" si="100"/>
        <v>0.13</v>
      </c>
      <c r="H66" s="281">
        <f t="shared" si="100"/>
        <v>0.13</v>
      </c>
      <c r="I66" s="281">
        <f t="shared" si="100"/>
        <v>0.13</v>
      </c>
      <c r="J66" s="281">
        <f t="shared" si="100"/>
        <v>0.13</v>
      </c>
      <c r="K66" s="281">
        <f t="shared" si="100"/>
        <v>0.13</v>
      </c>
      <c r="L66" s="281">
        <f t="shared" si="100"/>
        <v>0.13</v>
      </c>
      <c r="M66" s="281">
        <f t="shared" si="100"/>
        <v>0.13</v>
      </c>
      <c r="N66" s="281">
        <f t="shared" si="100"/>
        <v>0.13</v>
      </c>
      <c r="O66" s="281">
        <f t="shared" ref="O66" si="101">N66</f>
        <v>0.13</v>
      </c>
      <c r="P66" s="281">
        <f t="shared" ref="P66" si="102">O66</f>
        <v>0.13</v>
      </c>
    </row>
    <row r="67" spans="2:16">
      <c r="B67" s="15"/>
      <c r="C67" s="53"/>
      <c r="D67" s="53"/>
      <c r="E67" s="53"/>
      <c r="F67" s="53"/>
      <c r="G67" s="53"/>
      <c r="H67" s="281"/>
      <c r="I67" s="281"/>
      <c r="J67" s="281"/>
      <c r="K67" s="281"/>
      <c r="L67" s="281"/>
      <c r="M67" s="281"/>
      <c r="N67" s="281"/>
      <c r="O67" s="281"/>
      <c r="P67" s="281"/>
    </row>
    <row r="68" spans="2:16">
      <c r="B68" s="192" t="s">
        <v>449</v>
      </c>
      <c r="C68" s="26"/>
      <c r="D68" s="26">
        <f t="shared" ref="D68:N68" si="103">D69*D64+D70*D65</f>
        <v>8088.08</v>
      </c>
      <c r="E68" s="26">
        <f t="shared" si="103"/>
        <v>8168.9607999999998</v>
      </c>
      <c r="F68" s="26">
        <f t="shared" si="103"/>
        <v>8250.6504080000013</v>
      </c>
      <c r="G68" s="26">
        <f t="shared" si="103"/>
        <v>8333.1569120799995</v>
      </c>
      <c r="H68" s="41">
        <f t="shared" si="103"/>
        <v>8416.4884812008004</v>
      </c>
      <c r="I68" s="41">
        <f t="shared" si="103"/>
        <v>8500.6533660128098</v>
      </c>
      <c r="J68" s="41">
        <f t="shared" si="103"/>
        <v>8585.6598996729372</v>
      </c>
      <c r="K68" s="41">
        <f t="shared" si="103"/>
        <v>8671.5164986696636</v>
      </c>
      <c r="L68" s="41">
        <f t="shared" si="103"/>
        <v>8758.2316636563628</v>
      </c>
      <c r="M68" s="41">
        <f t="shared" si="103"/>
        <v>8845.8139802929254</v>
      </c>
      <c r="N68" s="41">
        <f t="shared" si="103"/>
        <v>8934.2721200958549</v>
      </c>
      <c r="O68" s="41">
        <f t="shared" ref="O68:P68" si="104">O69*O64+O70*O65</f>
        <v>9023.6148412968141</v>
      </c>
      <c r="P68" s="41">
        <f t="shared" si="104"/>
        <v>9113.8509897097829</v>
      </c>
    </row>
    <row r="69" spans="2:16">
      <c r="B69" s="15" t="s">
        <v>451</v>
      </c>
      <c r="C69" s="53"/>
      <c r="D69" s="226">
        <v>0.11</v>
      </c>
      <c r="E69" s="226">
        <f>'hATTR-CM Mkt Model'!D31</f>
        <v>0.11</v>
      </c>
      <c r="F69" s="226">
        <f>'hATTR-CM Mkt Model'!E31</f>
        <v>0.11</v>
      </c>
      <c r="G69" s="226">
        <f>'hATTR-CM Mkt Model'!F31</f>
        <v>0.11</v>
      </c>
      <c r="H69" s="281">
        <f>'hATTR-CM Mkt Model'!G31</f>
        <v>0.11</v>
      </c>
      <c r="I69" s="281">
        <f>'hATTR-CM Mkt Model'!H31</f>
        <v>0.11</v>
      </c>
      <c r="J69" s="281">
        <f>'hATTR-CM Mkt Model'!I31</f>
        <v>0.11</v>
      </c>
      <c r="K69" s="281">
        <f>'hATTR-CM Mkt Model'!J31</f>
        <v>0.11</v>
      </c>
      <c r="L69" s="281">
        <f>'hATTR-CM Mkt Model'!K31</f>
        <v>0.11</v>
      </c>
      <c r="M69" s="281">
        <f>'hATTR-CM Mkt Model'!L31</f>
        <v>0.11</v>
      </c>
      <c r="N69" s="281">
        <f>'hATTR-CM Mkt Model'!M31</f>
        <v>0.11</v>
      </c>
      <c r="O69" s="281">
        <f>'hATTR-CM Mkt Model'!N31</f>
        <v>0.11</v>
      </c>
      <c r="P69" s="281">
        <f>'hATTR-CM Mkt Model'!O31</f>
        <v>0.11</v>
      </c>
    </row>
    <row r="70" spans="2:16" hidden="1" outlineLevel="1">
      <c r="B70" s="15" t="s">
        <v>179</v>
      </c>
      <c r="C70" s="53"/>
      <c r="D70" s="226">
        <f>'hATTR-CM Mkt Model'!C32</f>
        <v>0</v>
      </c>
      <c r="E70" s="226">
        <f>'hATTR-CM Mkt Model'!D32</f>
        <v>0</v>
      </c>
      <c r="F70" s="226">
        <f>'hATTR-CM Mkt Model'!E32</f>
        <v>0</v>
      </c>
      <c r="G70" s="226">
        <f>'hATTR-CM Mkt Model'!F32</f>
        <v>0</v>
      </c>
      <c r="H70" s="281">
        <f>'hATTR-CM Mkt Model'!G32</f>
        <v>0</v>
      </c>
      <c r="I70" s="281">
        <f>'hATTR-CM Mkt Model'!H32</f>
        <v>0</v>
      </c>
      <c r="J70" s="281">
        <f>'hATTR-CM Mkt Model'!I32</f>
        <v>0</v>
      </c>
      <c r="K70" s="281">
        <f>'hATTR-CM Mkt Model'!J32</f>
        <v>0</v>
      </c>
      <c r="L70" s="281">
        <f>'hATTR-CM Mkt Model'!K32</f>
        <v>0</v>
      </c>
      <c r="M70" s="281">
        <f>'hATTR-CM Mkt Model'!L32</f>
        <v>0</v>
      </c>
      <c r="N70" s="281">
        <f>'hATTR-CM Mkt Model'!M32</f>
        <v>0</v>
      </c>
      <c r="O70" s="281">
        <f>'hATTR-CM Mkt Model'!N32</f>
        <v>0</v>
      </c>
      <c r="P70" s="281">
        <f>'hATTR-CM Mkt Model'!O32</f>
        <v>0</v>
      </c>
    </row>
    <row r="71" spans="2:16" collapsed="1">
      <c r="B71" s="2"/>
      <c r="H71" s="83"/>
      <c r="I71" s="83"/>
      <c r="J71" s="83"/>
      <c r="K71" s="83"/>
      <c r="L71" s="83"/>
      <c r="M71" s="83"/>
      <c r="N71" s="83"/>
      <c r="O71" s="83"/>
      <c r="P71" s="83"/>
    </row>
    <row r="72" spans="2:16">
      <c r="B72" s="22" t="s">
        <v>132</v>
      </c>
      <c r="C72" s="36"/>
      <c r="D72" s="36"/>
      <c r="E72" s="36"/>
      <c r="F72" s="36"/>
      <c r="G72" s="36"/>
      <c r="H72" s="197"/>
      <c r="I72" s="197">
        <f t="shared" ref="I72:N72" si="105">H81</f>
        <v>0</v>
      </c>
      <c r="J72" s="197">
        <f t="shared" si="105"/>
        <v>0</v>
      </c>
      <c r="K72" s="197">
        <f t="shared" si="105"/>
        <v>0</v>
      </c>
      <c r="L72" s="197">
        <f t="shared" si="105"/>
        <v>0</v>
      </c>
      <c r="M72" s="197">
        <f t="shared" si="105"/>
        <v>0</v>
      </c>
      <c r="N72" s="197">
        <f t="shared" si="105"/>
        <v>0</v>
      </c>
      <c r="O72" s="197">
        <f t="shared" ref="O72" si="106">N81</f>
        <v>0</v>
      </c>
      <c r="P72" s="197">
        <f t="shared" ref="P72" si="107">O81</f>
        <v>0</v>
      </c>
    </row>
    <row r="73" spans="2:16">
      <c r="B73" s="1" t="s">
        <v>90</v>
      </c>
      <c r="C73" s="30"/>
      <c r="D73" s="30"/>
      <c r="E73" s="30"/>
      <c r="F73" s="30"/>
      <c r="G73" s="30"/>
      <c r="H73" s="280"/>
      <c r="I73" s="280">
        <f t="shared" ref="I73:N73" si="108">I72/I68</f>
        <v>0</v>
      </c>
      <c r="J73" s="280">
        <f t="shared" si="108"/>
        <v>0</v>
      </c>
      <c r="K73" s="280">
        <f t="shared" si="108"/>
        <v>0</v>
      </c>
      <c r="L73" s="280">
        <f t="shared" si="108"/>
        <v>0</v>
      </c>
      <c r="M73" s="280">
        <f t="shared" si="108"/>
        <v>0</v>
      </c>
      <c r="N73" s="280">
        <f t="shared" si="108"/>
        <v>0</v>
      </c>
      <c r="O73" s="280">
        <f t="shared" ref="O73:P73" si="109">O72/O68</f>
        <v>0</v>
      </c>
      <c r="P73" s="280">
        <f t="shared" si="109"/>
        <v>0</v>
      </c>
    </row>
    <row r="74" spans="2:16">
      <c r="B74" s="23"/>
      <c r="C74" s="3"/>
      <c r="D74" s="3"/>
      <c r="E74" s="3"/>
      <c r="F74" s="3"/>
      <c r="G74" s="3"/>
      <c r="H74" s="93"/>
      <c r="I74" s="93"/>
      <c r="J74" s="93"/>
      <c r="K74" s="93"/>
      <c r="L74" s="93"/>
      <c r="M74" s="93"/>
      <c r="N74" s="93"/>
      <c r="O74" s="93"/>
      <c r="P74" s="93"/>
    </row>
    <row r="75" spans="2:16">
      <c r="B75" s="23" t="s">
        <v>101</v>
      </c>
      <c r="C75" s="58"/>
      <c r="D75" s="26"/>
      <c r="E75" s="26"/>
      <c r="F75" s="26"/>
      <c r="G75" s="26"/>
      <c r="H75" s="41"/>
      <c r="I75" s="41">
        <f t="shared" ref="I75:N75" si="110">I76*I68</f>
        <v>0</v>
      </c>
      <c r="J75" s="41">
        <f t="shared" si="110"/>
        <v>0</v>
      </c>
      <c r="K75" s="41">
        <f t="shared" si="110"/>
        <v>0</v>
      </c>
      <c r="L75" s="41">
        <f t="shared" si="110"/>
        <v>0</v>
      </c>
      <c r="M75" s="41">
        <f t="shared" si="110"/>
        <v>0</v>
      </c>
      <c r="N75" s="41">
        <f t="shared" si="110"/>
        <v>0</v>
      </c>
      <c r="O75" s="41">
        <f t="shared" ref="O75:P75" si="111">O76*O68</f>
        <v>0</v>
      </c>
      <c r="P75" s="41">
        <f t="shared" si="111"/>
        <v>0</v>
      </c>
    </row>
    <row r="76" spans="2:16">
      <c r="B76" s="1" t="s">
        <v>102</v>
      </c>
      <c r="C76" s="31" t="s">
        <v>176</v>
      </c>
      <c r="D76" s="31"/>
      <c r="E76" s="31"/>
      <c r="F76" s="31"/>
      <c r="G76" s="31"/>
      <c r="H76" s="265"/>
      <c r="I76" s="265">
        <f>CHOOSE('hATTR-PN Mkt Model'!$H$3,'hATTR-CM Mkt Model'!I11,'hATTR-CM Mkt Model'!I12,'hATTR-CM Mkt Model'!I13)</f>
        <v>0</v>
      </c>
      <c r="J76" s="265">
        <f>CHOOSE('hATTR-PN Mkt Model'!$H$3,'hATTR-CM Mkt Model'!J11,'hATTR-CM Mkt Model'!J12,'hATTR-CM Mkt Model'!J13)</f>
        <v>0</v>
      </c>
      <c r="K76" s="265">
        <f>CHOOSE('hATTR-PN Mkt Model'!$H$3,'hATTR-CM Mkt Model'!K11,'hATTR-CM Mkt Model'!K12,'hATTR-CM Mkt Model'!K13)</f>
        <v>0</v>
      </c>
      <c r="L76" s="265">
        <f>CHOOSE('hATTR-PN Mkt Model'!$H$3,'hATTR-CM Mkt Model'!L11,'hATTR-CM Mkt Model'!L12,'hATTR-CM Mkt Model'!L13)</f>
        <v>0</v>
      </c>
      <c r="M76" s="265">
        <f>CHOOSE('hATTR-PN Mkt Model'!$H$3,'hATTR-CM Mkt Model'!M11,'hATTR-CM Mkt Model'!M12,'hATTR-CM Mkt Model'!M13)</f>
        <v>0</v>
      </c>
      <c r="N76" s="265">
        <f>CHOOSE('hATTR-PN Mkt Model'!$H$3,'hATTR-CM Mkt Model'!N11,'hATTR-CM Mkt Model'!N12,'hATTR-CM Mkt Model'!N13)</f>
        <v>0</v>
      </c>
      <c r="O76" s="265">
        <f>CHOOSE('hATTR-PN Mkt Model'!$H$3,'hATTR-CM Mkt Model'!O11,'hATTR-CM Mkt Model'!O12,'hATTR-CM Mkt Model'!O13)</f>
        <v>0</v>
      </c>
      <c r="P76" s="265">
        <f>CHOOSE('hATTR-PN Mkt Model'!$H$3,'hATTR-CM Mkt Model'!P11,'hATTR-CM Mkt Model'!P12,'hATTR-CM Mkt Model'!P13)</f>
        <v>0</v>
      </c>
    </row>
    <row r="77" spans="2:16">
      <c r="B77" s="1"/>
      <c r="C77" s="3"/>
      <c r="D77" s="3"/>
      <c r="E77" s="3"/>
      <c r="F77" s="3"/>
      <c r="G77" s="3"/>
      <c r="H77" s="93"/>
      <c r="I77" s="93"/>
      <c r="J77" s="93"/>
      <c r="K77" s="93"/>
      <c r="L77" s="93"/>
      <c r="M77" s="93"/>
      <c r="N77" s="93"/>
      <c r="O77" s="93"/>
      <c r="P77" s="93"/>
    </row>
    <row r="78" spans="2:16">
      <c r="B78" s="23" t="s">
        <v>91</v>
      </c>
      <c r="C78" s="26"/>
      <c r="D78" s="26"/>
      <c r="E78" s="26"/>
      <c r="F78" s="26"/>
      <c r="G78" s="26"/>
      <c r="H78" s="41"/>
      <c r="I78" s="41">
        <f t="shared" ref="I78:N78" si="112">I79*I72</f>
        <v>0</v>
      </c>
      <c r="J78" s="41">
        <f t="shared" si="112"/>
        <v>0</v>
      </c>
      <c r="K78" s="41">
        <f t="shared" si="112"/>
        <v>0</v>
      </c>
      <c r="L78" s="41">
        <f t="shared" si="112"/>
        <v>0</v>
      </c>
      <c r="M78" s="41">
        <f t="shared" si="112"/>
        <v>0</v>
      </c>
      <c r="N78" s="41">
        <f t="shared" si="112"/>
        <v>0</v>
      </c>
      <c r="O78" s="41">
        <f t="shared" ref="O78:P78" si="113">O79*O72</f>
        <v>0</v>
      </c>
      <c r="P78" s="41">
        <f t="shared" si="113"/>
        <v>0</v>
      </c>
    </row>
    <row r="79" spans="2:16">
      <c r="B79" s="1" t="s">
        <v>92</v>
      </c>
      <c r="C79" s="33"/>
      <c r="D79" s="33"/>
      <c r="E79" s="33"/>
      <c r="F79" s="39"/>
      <c r="G79" s="39"/>
      <c r="H79" s="266"/>
      <c r="I79" s="266">
        <f>'hATTR-CM Mkt Model'!I41</f>
        <v>0.25</v>
      </c>
      <c r="J79" s="266">
        <f>'hATTR-CM Mkt Model'!J41</f>
        <v>0.25</v>
      </c>
      <c r="K79" s="266">
        <f>'hATTR-CM Mkt Model'!K41</f>
        <v>0.25</v>
      </c>
      <c r="L79" s="266">
        <f>'hATTR-CM Mkt Model'!L41</f>
        <v>0.25</v>
      </c>
      <c r="M79" s="266">
        <f>'hATTR-CM Mkt Model'!M41</f>
        <v>0.25</v>
      </c>
      <c r="N79" s="266">
        <f>'hATTR-CM Mkt Model'!N41</f>
        <v>0.25</v>
      </c>
      <c r="O79" s="266">
        <f>'hATTR-CM Mkt Model'!O41</f>
        <v>0.25</v>
      </c>
      <c r="P79" s="266">
        <f>'hATTR-CM Mkt Model'!P41</f>
        <v>0.25</v>
      </c>
    </row>
    <row r="80" spans="2:16">
      <c r="B80" s="23"/>
      <c r="C80" s="3"/>
      <c r="D80" s="3"/>
      <c r="E80" s="3"/>
      <c r="F80" s="3"/>
      <c r="G80" s="3"/>
      <c r="H80" s="93"/>
      <c r="I80" s="93"/>
      <c r="J80" s="93"/>
      <c r="K80" s="93"/>
      <c r="L80" s="93"/>
      <c r="M80" s="93"/>
      <c r="N80" s="93"/>
      <c r="O80" s="93"/>
      <c r="P80" s="93"/>
    </row>
    <row r="81" spans="2:16">
      <c r="B81" s="23" t="s">
        <v>133</v>
      </c>
      <c r="C81" s="26"/>
      <c r="D81" s="26"/>
      <c r="E81" s="26"/>
      <c r="F81" s="26"/>
      <c r="G81" s="26"/>
      <c r="H81" s="41"/>
      <c r="I81" s="41">
        <f t="shared" ref="I81:N81" si="114">I72+I75-I78</f>
        <v>0</v>
      </c>
      <c r="J81" s="41">
        <f t="shared" si="114"/>
        <v>0</v>
      </c>
      <c r="K81" s="41">
        <f t="shared" si="114"/>
        <v>0</v>
      </c>
      <c r="L81" s="41">
        <f t="shared" si="114"/>
        <v>0</v>
      </c>
      <c r="M81" s="41">
        <f t="shared" si="114"/>
        <v>0</v>
      </c>
      <c r="N81" s="41">
        <f t="shared" si="114"/>
        <v>0</v>
      </c>
      <c r="O81" s="41">
        <f t="shared" ref="O81:P81" si="115">O72+O75-O78</f>
        <v>0</v>
      </c>
      <c r="P81" s="41">
        <f t="shared" si="115"/>
        <v>0</v>
      </c>
    </row>
    <row r="82" spans="2:16">
      <c r="B82" s="25" t="s">
        <v>93</v>
      </c>
      <c r="C82" s="32"/>
      <c r="D82" s="32"/>
      <c r="E82" s="32"/>
      <c r="F82" s="32"/>
      <c r="G82" s="32"/>
      <c r="H82" s="267"/>
      <c r="I82" s="267">
        <f t="shared" ref="I82:N82" si="116">I81/I68</f>
        <v>0</v>
      </c>
      <c r="J82" s="267">
        <f t="shared" si="116"/>
        <v>0</v>
      </c>
      <c r="K82" s="267">
        <f t="shared" si="116"/>
        <v>0</v>
      </c>
      <c r="L82" s="267">
        <f t="shared" si="116"/>
        <v>0</v>
      </c>
      <c r="M82" s="267">
        <f t="shared" si="116"/>
        <v>0</v>
      </c>
      <c r="N82" s="267">
        <f t="shared" si="116"/>
        <v>0</v>
      </c>
      <c r="O82" s="267">
        <f t="shared" ref="O82:P82" si="117">O81/O68</f>
        <v>0</v>
      </c>
      <c r="P82" s="267">
        <f t="shared" si="117"/>
        <v>0</v>
      </c>
    </row>
    <row r="83" spans="2:16">
      <c r="B83" s="21"/>
      <c r="H83" s="83"/>
      <c r="I83" s="83"/>
      <c r="J83" s="83"/>
      <c r="K83" s="83"/>
      <c r="L83" s="83"/>
      <c r="M83" s="83"/>
      <c r="N83" s="83"/>
      <c r="O83" s="83"/>
      <c r="P83" s="83"/>
    </row>
    <row r="84" spans="2:16">
      <c r="B84" s="24" t="s">
        <v>94</v>
      </c>
      <c r="F84" s="37"/>
      <c r="G84" s="37"/>
      <c r="H84" s="201"/>
      <c r="I84" s="201">
        <v>6</v>
      </c>
      <c r="J84" s="201">
        <f t="shared" ref="J84:N85" si="118">I84</f>
        <v>6</v>
      </c>
      <c r="K84" s="201">
        <f t="shared" si="118"/>
        <v>6</v>
      </c>
      <c r="L84" s="201">
        <f t="shared" si="118"/>
        <v>6</v>
      </c>
      <c r="M84" s="201">
        <f t="shared" si="118"/>
        <v>6</v>
      </c>
      <c r="N84" s="201">
        <f t="shared" si="118"/>
        <v>6</v>
      </c>
      <c r="O84" s="201">
        <f t="shared" ref="O84:O85" si="119">N84</f>
        <v>6</v>
      </c>
      <c r="P84" s="201">
        <f t="shared" ref="P84:P85" si="120">O84</f>
        <v>6</v>
      </c>
    </row>
    <row r="85" spans="2:16">
      <c r="B85" s="24" t="s">
        <v>95</v>
      </c>
      <c r="F85" s="37"/>
      <c r="G85" s="37"/>
      <c r="H85" s="201"/>
      <c r="I85" s="201">
        <v>11</v>
      </c>
      <c r="J85" s="201">
        <f t="shared" si="118"/>
        <v>11</v>
      </c>
      <c r="K85" s="201">
        <f t="shared" si="118"/>
        <v>11</v>
      </c>
      <c r="L85" s="201">
        <f t="shared" si="118"/>
        <v>11</v>
      </c>
      <c r="M85" s="201">
        <f t="shared" si="118"/>
        <v>11</v>
      </c>
      <c r="N85" s="201">
        <f t="shared" si="118"/>
        <v>11</v>
      </c>
      <c r="O85" s="201">
        <f t="shared" si="119"/>
        <v>11</v>
      </c>
      <c r="P85" s="201">
        <f t="shared" si="120"/>
        <v>11</v>
      </c>
    </row>
    <row r="86" spans="2:16">
      <c r="B86" s="21"/>
      <c r="H86" s="83"/>
      <c r="I86" s="83"/>
      <c r="J86" s="83"/>
      <c r="K86" s="83"/>
      <c r="L86" s="83"/>
      <c r="M86" s="83"/>
      <c r="N86" s="83"/>
      <c r="O86" s="83"/>
      <c r="P86" s="83"/>
    </row>
    <row r="87" spans="2:16">
      <c r="B87" s="24" t="s">
        <v>105</v>
      </c>
      <c r="C87" s="26"/>
      <c r="D87" s="26"/>
      <c r="E87" s="26"/>
      <c r="F87" s="26"/>
      <c r="G87" s="26"/>
      <c r="H87" s="41"/>
      <c r="I87" s="41">
        <f>'hATTR-PN Mkt Model'!I98</f>
        <v>30300</v>
      </c>
      <c r="J87" s="41">
        <f>'hATTR-PN Mkt Model'!J98</f>
        <v>30603</v>
      </c>
      <c r="K87" s="41">
        <f>'hATTR-PN Mkt Model'!K98</f>
        <v>30909.03</v>
      </c>
      <c r="L87" s="41">
        <f>'hATTR-PN Mkt Model'!L98</f>
        <v>31218.120299999999</v>
      </c>
      <c r="M87" s="41">
        <f>'hATTR-PN Mkt Model'!M98</f>
        <v>31530.301502999999</v>
      </c>
      <c r="N87" s="41">
        <f>'hATTR-PN Mkt Model'!N98</f>
        <v>31845.604518029999</v>
      </c>
      <c r="O87" s="41">
        <f>'hATTR-PN Mkt Model'!O98</f>
        <v>32164.0605632103</v>
      </c>
      <c r="P87" s="41">
        <f>'hATTR-PN Mkt Model'!P98</f>
        <v>32485.701168842403</v>
      </c>
    </row>
    <row r="88" spans="2:16">
      <c r="B88" s="1" t="s">
        <v>103</v>
      </c>
      <c r="C88" s="35"/>
      <c r="D88" s="35"/>
      <c r="E88" s="35"/>
      <c r="F88" s="35"/>
      <c r="G88" s="35"/>
      <c r="H88" s="268"/>
      <c r="I88" s="268">
        <f>'hATTR-CM Mkt Model'!I52</f>
        <v>7.4999999999999997E-2</v>
      </c>
      <c r="J88" s="268">
        <f>'hATTR-CM Mkt Model'!J52</f>
        <v>7.4999999999999997E-2</v>
      </c>
      <c r="K88" s="268">
        <f>'hATTR-CM Mkt Model'!K52</f>
        <v>7.4999999999999997E-2</v>
      </c>
      <c r="L88" s="268">
        <f>'hATTR-CM Mkt Model'!L52</f>
        <v>7.4999999999999997E-2</v>
      </c>
      <c r="M88" s="268">
        <f>'hATTR-CM Mkt Model'!M52</f>
        <v>7.4999999999999997E-2</v>
      </c>
      <c r="N88" s="268">
        <f>'hATTR-CM Mkt Model'!N52</f>
        <v>7.4999999999999997E-2</v>
      </c>
      <c r="O88" s="268">
        <f>'hATTR-CM Mkt Model'!O52</f>
        <v>7.4999999999999997E-2</v>
      </c>
      <c r="P88" s="268">
        <f>'hATTR-CM Mkt Model'!P52</f>
        <v>7.4999999999999997E-2</v>
      </c>
    </row>
    <row r="89" spans="2:16">
      <c r="H89" s="83"/>
      <c r="I89" s="83"/>
      <c r="J89" s="83"/>
      <c r="K89" s="83"/>
      <c r="L89" s="83"/>
      <c r="M89" s="83"/>
      <c r="N89" s="83"/>
      <c r="O89" s="83"/>
      <c r="P89" s="83"/>
    </row>
    <row r="90" spans="2:16">
      <c r="B90" s="284" t="s">
        <v>394</v>
      </c>
      <c r="C90" s="5"/>
      <c r="D90" s="5"/>
      <c r="E90" s="5"/>
      <c r="F90" s="5"/>
      <c r="G90" s="5"/>
      <c r="H90" s="279"/>
      <c r="I90" s="279">
        <f t="shared" ref="I90:N90" si="121">I72*I85*I87/1000000+I75*I84*I87/1000000</f>
        <v>0</v>
      </c>
      <c r="J90" s="279">
        <f t="shared" si="121"/>
        <v>0</v>
      </c>
      <c r="K90" s="279">
        <f t="shared" si="121"/>
        <v>0</v>
      </c>
      <c r="L90" s="279">
        <f t="shared" si="121"/>
        <v>0</v>
      </c>
      <c r="M90" s="279">
        <f t="shared" si="121"/>
        <v>0</v>
      </c>
      <c r="N90" s="279">
        <f t="shared" si="121"/>
        <v>0</v>
      </c>
      <c r="O90" s="279">
        <f t="shared" ref="O90:P90" si="122">O72*O85*O87/1000000+O75*O84*O87/1000000</f>
        <v>0</v>
      </c>
      <c r="P90" s="278">
        <f t="shared" si="122"/>
        <v>0</v>
      </c>
    </row>
    <row r="91" spans="2:16">
      <c r="H91" s="268"/>
      <c r="I91" s="268"/>
      <c r="J91" s="268"/>
      <c r="K91" s="268"/>
      <c r="L91" s="268"/>
      <c r="M91" s="268"/>
      <c r="N91" s="268"/>
      <c r="O91" s="268"/>
      <c r="P91" s="268"/>
    </row>
    <row r="92" spans="2:16">
      <c r="B92" s="284" t="s">
        <v>395</v>
      </c>
      <c r="C92" s="5"/>
      <c r="D92" s="5"/>
      <c r="E92" s="5"/>
      <c r="F92" s="5"/>
      <c r="G92" s="5"/>
      <c r="H92" s="279"/>
      <c r="I92" s="279"/>
      <c r="J92" s="279">
        <f t="shared" ref="J92:P92" si="123">J54*J93</f>
        <v>0</v>
      </c>
      <c r="K92" s="279">
        <f t="shared" si="123"/>
        <v>0</v>
      </c>
      <c r="L92" s="279">
        <f t="shared" si="123"/>
        <v>0</v>
      </c>
      <c r="M92" s="279">
        <f t="shared" si="123"/>
        <v>0</v>
      </c>
      <c r="N92" s="279">
        <f t="shared" si="123"/>
        <v>0</v>
      </c>
      <c r="O92" s="279">
        <f t="shared" si="123"/>
        <v>0</v>
      </c>
      <c r="P92" s="278">
        <f t="shared" si="123"/>
        <v>0</v>
      </c>
    </row>
    <row r="93" spans="2:16">
      <c r="B93" s="64" t="s">
        <v>194</v>
      </c>
      <c r="C93" s="62"/>
      <c r="D93" s="62"/>
      <c r="E93" s="62"/>
      <c r="F93" s="63"/>
      <c r="G93" s="63"/>
      <c r="H93" s="63"/>
      <c r="I93" s="63"/>
      <c r="J93" s="268">
        <v>2.5000000000000001E-2</v>
      </c>
      <c r="K93" s="268">
        <v>0.05</v>
      </c>
      <c r="L93" s="268">
        <v>7.4999999999999997E-2</v>
      </c>
      <c r="M93" s="268">
        <v>0.1</v>
      </c>
      <c r="N93" s="268">
        <v>0.125</v>
      </c>
      <c r="O93" s="268">
        <v>0.15</v>
      </c>
      <c r="P93" s="268">
        <v>0.17499999999999999</v>
      </c>
    </row>
    <row r="94" spans="2:16">
      <c r="H94" s="83"/>
      <c r="I94" s="83"/>
      <c r="J94" s="83"/>
      <c r="K94" s="83"/>
      <c r="L94" s="83"/>
      <c r="M94" s="83"/>
      <c r="N94" s="83"/>
      <c r="O94" s="83"/>
      <c r="P94" s="83"/>
    </row>
    <row r="95" spans="2:16">
      <c r="B95" s="284" t="s">
        <v>396</v>
      </c>
      <c r="C95" s="5"/>
      <c r="D95" s="5"/>
      <c r="E95" s="5"/>
      <c r="F95" s="5"/>
      <c r="G95" s="5"/>
      <c r="H95" s="279"/>
      <c r="I95" s="279"/>
      <c r="J95" s="279">
        <f t="shared" ref="J95:P95" si="124">J96*J92</f>
        <v>0</v>
      </c>
      <c r="K95" s="279">
        <f t="shared" si="124"/>
        <v>0</v>
      </c>
      <c r="L95" s="279">
        <f t="shared" si="124"/>
        <v>0</v>
      </c>
      <c r="M95" s="279">
        <f t="shared" si="124"/>
        <v>0</v>
      </c>
      <c r="N95" s="279">
        <f t="shared" si="124"/>
        <v>0</v>
      </c>
      <c r="O95" s="279">
        <f t="shared" si="124"/>
        <v>0</v>
      </c>
      <c r="P95" s="278">
        <f t="shared" si="124"/>
        <v>0</v>
      </c>
    </row>
    <row r="96" spans="2:16">
      <c r="B96" s="64" t="s">
        <v>194</v>
      </c>
      <c r="C96" s="62"/>
      <c r="D96" s="62"/>
      <c r="E96" s="62"/>
      <c r="F96" s="63"/>
      <c r="G96" s="63"/>
      <c r="H96" s="63"/>
      <c r="I96" s="63"/>
      <c r="J96" s="268">
        <f t="shared" ref="J96:P96" si="125">IF(J92&gt;100,20%,18%)</f>
        <v>0.18</v>
      </c>
      <c r="K96" s="268">
        <f t="shared" si="125"/>
        <v>0.18</v>
      </c>
      <c r="L96" s="268">
        <f t="shared" si="125"/>
        <v>0.18</v>
      </c>
      <c r="M96" s="268">
        <f t="shared" si="125"/>
        <v>0.18</v>
      </c>
      <c r="N96" s="268">
        <f t="shared" si="125"/>
        <v>0.18</v>
      </c>
      <c r="O96" s="268">
        <f t="shared" si="125"/>
        <v>0.18</v>
      </c>
      <c r="P96" s="268">
        <f t="shared" si="125"/>
        <v>0.18</v>
      </c>
    </row>
    <row r="97" spans="2:16">
      <c r="H97" s="83"/>
      <c r="I97" s="83"/>
      <c r="J97" s="83"/>
      <c r="K97" s="83"/>
      <c r="L97" s="83"/>
      <c r="M97" s="83"/>
      <c r="N97" s="83"/>
      <c r="O97" s="83"/>
      <c r="P97" s="83"/>
    </row>
    <row r="98" spans="2:16" s="83" customFormat="1">
      <c r="B98" s="191" t="s">
        <v>362</v>
      </c>
      <c r="C98" s="187">
        <v>2013</v>
      </c>
      <c r="D98" s="187">
        <v>2014</v>
      </c>
      <c r="E98" s="187">
        <v>2015</v>
      </c>
      <c r="F98" s="187">
        <v>2016</v>
      </c>
      <c r="G98" s="187">
        <v>2017</v>
      </c>
      <c r="H98" s="187">
        <v>2018</v>
      </c>
      <c r="I98" s="187">
        <v>2019</v>
      </c>
      <c r="J98" s="187">
        <v>2020</v>
      </c>
      <c r="K98" s="187">
        <v>2021</v>
      </c>
      <c r="L98" s="187">
        <v>2022</v>
      </c>
      <c r="M98" s="187">
        <v>2023</v>
      </c>
      <c r="N98" s="187">
        <v>2024</v>
      </c>
      <c r="O98" s="187">
        <v>2025</v>
      </c>
      <c r="P98" s="217">
        <v>2026</v>
      </c>
    </row>
    <row r="99" spans="2:16">
      <c r="B99" s="49" t="s">
        <v>382</v>
      </c>
      <c r="C99" s="42"/>
      <c r="D99" s="42"/>
      <c r="E99" s="42"/>
      <c r="F99" s="43"/>
      <c r="G99" s="43"/>
      <c r="H99" s="218"/>
      <c r="I99" s="218">
        <f>'hATTR-CM Mkt Model'!I54</f>
        <v>0</v>
      </c>
      <c r="J99" s="218">
        <f>'hATTR-CM Mkt Model'!J54</f>
        <v>0</v>
      </c>
      <c r="K99" s="218">
        <f>'hATTR-CM Mkt Model'!K54</f>
        <v>0</v>
      </c>
      <c r="L99" s="218">
        <f>'hATTR-CM Mkt Model'!L54</f>
        <v>0</v>
      </c>
      <c r="M99" s="218">
        <f>'hATTR-CM Mkt Model'!M54</f>
        <v>0</v>
      </c>
      <c r="N99" s="218">
        <f>'hATTR-CM Mkt Model'!N54</f>
        <v>0</v>
      </c>
      <c r="O99" s="218">
        <f>'hATTR-CM Mkt Model'!O54</f>
        <v>0</v>
      </c>
      <c r="P99" s="219">
        <f>'hATTR-CM Mkt Model'!P54</f>
        <v>0</v>
      </c>
    </row>
    <row r="100" spans="2:16">
      <c r="B100" s="50" t="s">
        <v>383</v>
      </c>
      <c r="C100" s="3"/>
      <c r="D100" s="3"/>
      <c r="E100" s="3"/>
      <c r="F100" s="44"/>
      <c r="G100" s="44"/>
      <c r="H100" s="220"/>
      <c r="I100" s="220">
        <f t="shared" ref="I100:N100" si="126">I90</f>
        <v>0</v>
      </c>
      <c r="J100" s="220">
        <f t="shared" si="126"/>
        <v>0</v>
      </c>
      <c r="K100" s="220">
        <f t="shared" si="126"/>
        <v>0</v>
      </c>
      <c r="L100" s="220">
        <f t="shared" si="126"/>
        <v>0</v>
      </c>
      <c r="M100" s="220">
        <f t="shared" si="126"/>
        <v>0</v>
      </c>
      <c r="N100" s="220">
        <f t="shared" si="126"/>
        <v>0</v>
      </c>
      <c r="O100" s="220">
        <f t="shared" ref="O100:P100" si="127">O90</f>
        <v>0</v>
      </c>
      <c r="P100" s="221">
        <f t="shared" si="127"/>
        <v>0</v>
      </c>
    </row>
    <row r="101" spans="2:16">
      <c r="B101" s="50" t="s">
        <v>385</v>
      </c>
      <c r="C101" s="3"/>
      <c r="D101" s="3"/>
      <c r="E101" s="3"/>
      <c r="F101" s="44"/>
      <c r="G101" s="44"/>
      <c r="H101" s="220"/>
      <c r="I101" s="220">
        <f>I92</f>
        <v>0</v>
      </c>
      <c r="J101" s="220">
        <f t="shared" ref="J101:N101" si="128">J92</f>
        <v>0</v>
      </c>
      <c r="K101" s="220">
        <f t="shared" si="128"/>
        <v>0</v>
      </c>
      <c r="L101" s="220">
        <f t="shared" si="128"/>
        <v>0</v>
      </c>
      <c r="M101" s="220">
        <f t="shared" si="128"/>
        <v>0</v>
      </c>
      <c r="N101" s="220">
        <f t="shared" si="128"/>
        <v>0</v>
      </c>
      <c r="O101" s="220">
        <f t="shared" ref="O101:P101" si="129">O92</f>
        <v>0</v>
      </c>
      <c r="P101" s="221">
        <f t="shared" si="129"/>
        <v>0</v>
      </c>
    </row>
    <row r="102" spans="2:16">
      <c r="B102" s="51" t="s">
        <v>200</v>
      </c>
      <c r="C102" s="45"/>
      <c r="D102" s="45"/>
      <c r="E102" s="45"/>
      <c r="F102" s="46"/>
      <c r="G102" s="46"/>
      <c r="H102" s="222"/>
      <c r="I102" s="222">
        <f t="shared" ref="I102:N102" si="130">I100+I99+I101</f>
        <v>0</v>
      </c>
      <c r="J102" s="222">
        <f t="shared" si="130"/>
        <v>0</v>
      </c>
      <c r="K102" s="222">
        <f t="shared" si="130"/>
        <v>0</v>
      </c>
      <c r="L102" s="222">
        <f t="shared" si="130"/>
        <v>0</v>
      </c>
      <c r="M102" s="222">
        <f t="shared" si="130"/>
        <v>0</v>
      </c>
      <c r="N102" s="222">
        <f t="shared" si="130"/>
        <v>0</v>
      </c>
      <c r="O102" s="222">
        <f t="shared" ref="O102:P102" si="131">O100+O99+O101</f>
        <v>0</v>
      </c>
      <c r="P102" s="223">
        <f t="shared" si="131"/>
        <v>0</v>
      </c>
    </row>
    <row r="103" spans="2:16">
      <c r="H103" s="83"/>
      <c r="I103" s="83"/>
      <c r="J103" s="83"/>
      <c r="K103" s="83"/>
      <c r="L103" s="83"/>
      <c r="M103" s="83"/>
      <c r="N103" s="83"/>
      <c r="O103" s="83"/>
      <c r="P103" s="83"/>
    </row>
    <row r="104" spans="2:16" s="83" customFormat="1">
      <c r="B104" s="191" t="s">
        <v>397</v>
      </c>
      <c r="C104" s="187">
        <v>2013</v>
      </c>
      <c r="D104" s="187">
        <v>2014</v>
      </c>
      <c r="E104" s="187">
        <v>2015</v>
      </c>
      <c r="F104" s="187">
        <v>2016</v>
      </c>
      <c r="G104" s="187">
        <v>2017</v>
      </c>
      <c r="H104" s="187">
        <v>2018</v>
      </c>
      <c r="I104" s="187">
        <v>2019</v>
      </c>
      <c r="J104" s="187">
        <v>2020</v>
      </c>
      <c r="K104" s="187">
        <v>2021</v>
      </c>
      <c r="L104" s="187">
        <v>2022</v>
      </c>
      <c r="M104" s="187">
        <v>2023</v>
      </c>
      <c r="N104" s="187">
        <v>2024</v>
      </c>
      <c r="O104" s="187">
        <v>2025</v>
      </c>
      <c r="P104" s="217">
        <v>2026</v>
      </c>
    </row>
    <row r="105" spans="2:16">
      <c r="B105" s="49" t="s">
        <v>97</v>
      </c>
      <c r="C105" s="42"/>
      <c r="D105" s="42"/>
      <c r="E105" s="42"/>
      <c r="F105" s="43"/>
      <c r="G105" s="43"/>
      <c r="H105" s="218"/>
      <c r="I105" s="218">
        <f>I99</f>
        <v>0</v>
      </c>
      <c r="J105" s="218">
        <f t="shared" ref="J105:N105" si="132">J99</f>
        <v>0</v>
      </c>
      <c r="K105" s="218">
        <f t="shared" si="132"/>
        <v>0</v>
      </c>
      <c r="L105" s="218">
        <f t="shared" si="132"/>
        <v>0</v>
      </c>
      <c r="M105" s="218">
        <f t="shared" si="132"/>
        <v>0</v>
      </c>
      <c r="N105" s="218">
        <f t="shared" si="132"/>
        <v>0</v>
      </c>
      <c r="O105" s="218">
        <f t="shared" ref="O105:P105" si="133">O99</f>
        <v>0</v>
      </c>
      <c r="P105" s="219">
        <f t="shared" si="133"/>
        <v>0</v>
      </c>
    </row>
    <row r="106" spans="2:16">
      <c r="B106" s="50" t="s">
        <v>122</v>
      </c>
      <c r="C106" s="3"/>
      <c r="D106" s="3"/>
      <c r="E106" s="3"/>
      <c r="F106" s="44"/>
      <c r="G106" s="44"/>
      <c r="H106" s="220"/>
      <c r="I106" s="220">
        <f>I100</f>
        <v>0</v>
      </c>
      <c r="J106" s="220">
        <f t="shared" ref="J106:N106" si="134">J100</f>
        <v>0</v>
      </c>
      <c r="K106" s="220">
        <f t="shared" si="134"/>
        <v>0</v>
      </c>
      <c r="L106" s="220">
        <f t="shared" si="134"/>
        <v>0</v>
      </c>
      <c r="M106" s="220">
        <f t="shared" si="134"/>
        <v>0</v>
      </c>
      <c r="N106" s="220">
        <f t="shared" si="134"/>
        <v>0</v>
      </c>
      <c r="O106" s="220">
        <f t="shared" ref="O106:P106" si="135">O100</f>
        <v>0</v>
      </c>
      <c r="P106" s="221">
        <f t="shared" si="135"/>
        <v>0</v>
      </c>
    </row>
    <row r="107" spans="2:16">
      <c r="B107" s="50" t="s">
        <v>388</v>
      </c>
      <c r="C107" s="3"/>
      <c r="D107" s="3"/>
      <c r="E107" s="3"/>
      <c r="F107" s="44"/>
      <c r="G107" s="44"/>
      <c r="H107" s="220"/>
      <c r="I107" s="220">
        <f>I95</f>
        <v>0</v>
      </c>
      <c r="J107" s="220">
        <f t="shared" ref="J107:N107" si="136">J95</f>
        <v>0</v>
      </c>
      <c r="K107" s="220">
        <f t="shared" si="136"/>
        <v>0</v>
      </c>
      <c r="L107" s="220">
        <f t="shared" si="136"/>
        <v>0</v>
      </c>
      <c r="M107" s="220">
        <f t="shared" si="136"/>
        <v>0</v>
      </c>
      <c r="N107" s="220">
        <f t="shared" si="136"/>
        <v>0</v>
      </c>
      <c r="O107" s="220">
        <f t="shared" ref="O107:P107" si="137">O95</f>
        <v>0</v>
      </c>
      <c r="P107" s="221">
        <f t="shared" si="137"/>
        <v>0</v>
      </c>
    </row>
    <row r="108" spans="2:16">
      <c r="B108" s="51" t="s">
        <v>43</v>
      </c>
      <c r="C108" s="45"/>
      <c r="D108" s="45"/>
      <c r="E108" s="45"/>
      <c r="F108" s="46"/>
      <c r="G108" s="46"/>
      <c r="H108" s="222"/>
      <c r="I108" s="222">
        <f t="shared" ref="I108:N108" si="138">I107+I106+I105</f>
        <v>0</v>
      </c>
      <c r="J108" s="222">
        <f t="shared" si="138"/>
        <v>0</v>
      </c>
      <c r="K108" s="222">
        <f t="shared" si="138"/>
        <v>0</v>
      </c>
      <c r="L108" s="222">
        <f t="shared" si="138"/>
        <v>0</v>
      </c>
      <c r="M108" s="222">
        <f t="shared" si="138"/>
        <v>0</v>
      </c>
      <c r="N108" s="222">
        <f t="shared" si="138"/>
        <v>0</v>
      </c>
      <c r="O108" s="222">
        <f t="shared" ref="O108:P108" si="139">O107+O106+O105</f>
        <v>0</v>
      </c>
      <c r="P108" s="223">
        <f t="shared" si="139"/>
        <v>0</v>
      </c>
    </row>
    <row r="109" spans="2:16">
      <c r="H109" s="83"/>
      <c r="I109" s="83"/>
      <c r="J109" s="83"/>
      <c r="K109" s="83"/>
      <c r="L109" s="83"/>
      <c r="M109" s="83"/>
      <c r="N109" s="83"/>
      <c r="O109" s="83"/>
      <c r="P109" s="83"/>
    </row>
    <row r="110" spans="2:16" s="83" customFormat="1">
      <c r="B110" s="191" t="s">
        <v>201</v>
      </c>
      <c r="C110" s="187">
        <v>2013</v>
      </c>
      <c r="D110" s="187">
        <v>2014</v>
      </c>
      <c r="E110" s="187">
        <v>2015</v>
      </c>
      <c r="F110" s="187">
        <v>2016</v>
      </c>
      <c r="G110" s="187">
        <v>2017</v>
      </c>
      <c r="H110" s="187">
        <v>2018</v>
      </c>
      <c r="I110" s="187">
        <v>2019</v>
      </c>
      <c r="J110" s="187">
        <v>2020</v>
      </c>
      <c r="K110" s="187">
        <v>2021</v>
      </c>
      <c r="L110" s="187">
        <v>2022</v>
      </c>
      <c r="M110" s="187">
        <v>2023</v>
      </c>
      <c r="N110" s="187">
        <v>2024</v>
      </c>
      <c r="O110" s="187">
        <v>2025</v>
      </c>
      <c r="P110" s="217">
        <v>2026</v>
      </c>
    </row>
    <row r="111" spans="2:16">
      <c r="H111" s="83"/>
      <c r="I111" s="83"/>
      <c r="J111" s="83"/>
      <c r="K111" s="83"/>
      <c r="L111" s="83"/>
      <c r="M111" s="83"/>
      <c r="N111" s="83"/>
      <c r="O111" s="83"/>
      <c r="P111" s="83"/>
    </row>
    <row r="112" spans="2:16">
      <c r="B112" s="2" t="s">
        <v>196</v>
      </c>
      <c r="H112" s="220">
        <f>H90+H54</f>
        <v>0</v>
      </c>
      <c r="I112" s="220">
        <f t="shared" ref="I112:N112" si="140">I99+I100</f>
        <v>0</v>
      </c>
      <c r="J112" s="220">
        <f t="shared" si="140"/>
        <v>0</v>
      </c>
      <c r="K112" s="220">
        <f t="shared" si="140"/>
        <v>0</v>
      </c>
      <c r="L112" s="220">
        <f t="shared" si="140"/>
        <v>0</v>
      </c>
      <c r="M112" s="220">
        <f t="shared" si="140"/>
        <v>0</v>
      </c>
      <c r="N112" s="220">
        <f t="shared" si="140"/>
        <v>0</v>
      </c>
      <c r="O112" s="220">
        <f t="shared" ref="O112:P112" si="141">O99+O100</f>
        <v>0</v>
      </c>
      <c r="P112" s="220">
        <f t="shared" si="141"/>
        <v>0</v>
      </c>
    </row>
    <row r="113" spans="2:16">
      <c r="H113" s="83"/>
      <c r="I113" s="83"/>
      <c r="J113" s="83"/>
      <c r="K113" s="83"/>
      <c r="L113" s="83"/>
      <c r="M113" s="83"/>
      <c r="N113" s="83"/>
      <c r="O113" s="83"/>
      <c r="P113" s="83"/>
    </row>
    <row r="114" spans="2:16">
      <c r="B114" s="2" t="s">
        <v>14</v>
      </c>
      <c r="H114" s="220">
        <f>H115*H112</f>
        <v>0</v>
      </c>
      <c r="I114" s="220">
        <f t="shared" ref="I114:N114" si="142">I115*I112</f>
        <v>0</v>
      </c>
      <c r="J114" s="220">
        <f t="shared" si="142"/>
        <v>0</v>
      </c>
      <c r="K114" s="220">
        <f t="shared" si="142"/>
        <v>0</v>
      </c>
      <c r="L114" s="220">
        <f t="shared" si="142"/>
        <v>0</v>
      </c>
      <c r="M114" s="220">
        <f t="shared" si="142"/>
        <v>0</v>
      </c>
      <c r="N114" s="220">
        <f t="shared" si="142"/>
        <v>0</v>
      </c>
      <c r="O114" s="220">
        <f t="shared" ref="O114:P114" si="143">O115*O112</f>
        <v>0</v>
      </c>
      <c r="P114" s="220">
        <f t="shared" si="143"/>
        <v>0</v>
      </c>
    </row>
    <row r="115" spans="2:16">
      <c r="B115" s="47" t="s">
        <v>199</v>
      </c>
      <c r="H115" s="199">
        <f>IS!AK19</f>
        <v>0.12</v>
      </c>
      <c r="I115" s="199">
        <f>IS!AP19</f>
        <v>0.12</v>
      </c>
      <c r="J115" s="199">
        <f>IS!AU19</f>
        <v>9.9999999999999992E-2</v>
      </c>
      <c r="K115" s="199">
        <f>IS!AZ19</f>
        <v>7.9999999999999988E-2</v>
      </c>
      <c r="L115" s="199">
        <f>K115</f>
        <v>7.9999999999999988E-2</v>
      </c>
      <c r="M115" s="199">
        <f>L115</f>
        <v>7.9999999999999988E-2</v>
      </c>
      <c r="N115" s="199">
        <f>M115</f>
        <v>7.9999999999999988E-2</v>
      </c>
      <c r="O115" s="199">
        <f>N115</f>
        <v>7.9999999999999988E-2</v>
      </c>
      <c r="P115" s="199">
        <f>O115</f>
        <v>7.9999999999999988E-2</v>
      </c>
    </row>
    <row r="116" spans="2:16">
      <c r="B116" s="2"/>
      <c r="H116" s="83"/>
      <c r="I116" s="83"/>
      <c r="J116" s="83"/>
      <c r="K116" s="83"/>
      <c r="L116" s="83"/>
      <c r="M116" s="83"/>
      <c r="N116" s="83"/>
      <c r="O116" s="83"/>
      <c r="P116" s="83"/>
    </row>
    <row r="117" spans="2:16" hidden="1" outlineLevel="1">
      <c r="B117" s="262" t="s">
        <v>82</v>
      </c>
      <c r="H117" s="83"/>
      <c r="I117" s="220">
        <v>40</v>
      </c>
      <c r="J117" s="220">
        <v>40</v>
      </c>
      <c r="K117" s="220">
        <v>40</v>
      </c>
      <c r="L117" s="220">
        <v>40</v>
      </c>
      <c r="M117" s="220">
        <v>40</v>
      </c>
      <c r="N117" s="220">
        <v>40</v>
      </c>
      <c r="O117" s="220">
        <v>40</v>
      </c>
      <c r="P117" s="220">
        <v>40</v>
      </c>
    </row>
    <row r="118" spans="2:16" hidden="1" outlineLevel="1">
      <c r="B118" s="262" t="s">
        <v>83</v>
      </c>
      <c r="H118" s="83"/>
      <c r="I118" s="220">
        <v>40</v>
      </c>
      <c r="J118" s="220">
        <v>40</v>
      </c>
      <c r="K118" s="220">
        <v>40</v>
      </c>
      <c r="L118" s="220">
        <v>40</v>
      </c>
      <c r="M118" s="220">
        <v>40</v>
      </c>
      <c r="N118" s="220">
        <v>40</v>
      </c>
      <c r="O118" s="220">
        <v>40</v>
      </c>
      <c r="P118" s="220">
        <v>40</v>
      </c>
    </row>
    <row r="119" spans="2:16" hidden="1" outlineLevel="1">
      <c r="B119" s="262" t="s">
        <v>84</v>
      </c>
      <c r="H119" s="83"/>
      <c r="I119" s="220">
        <v>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</row>
    <row r="120" spans="2:16" collapsed="1">
      <c r="B120" s="47" t="s">
        <v>17</v>
      </c>
      <c r="E120" s="227"/>
      <c r="F120" s="227"/>
      <c r="G120" s="227"/>
      <c r="H120" s="220">
        <v>40</v>
      </c>
      <c r="I120" s="220"/>
      <c r="J120" s="220"/>
      <c r="K120" s="220"/>
      <c r="L120" s="220"/>
      <c r="M120" s="220"/>
      <c r="N120" s="220"/>
      <c r="O120" s="220"/>
      <c r="P120" s="220"/>
    </row>
    <row r="121" spans="2:16" hidden="1" outlineLevel="1">
      <c r="B121" s="262" t="s">
        <v>82</v>
      </c>
      <c r="E121" s="227"/>
      <c r="F121" s="227"/>
      <c r="G121" s="227"/>
      <c r="H121" s="220"/>
      <c r="I121" s="220"/>
      <c r="J121" s="220"/>
      <c r="K121" s="220"/>
      <c r="L121" s="220"/>
      <c r="M121" s="220"/>
      <c r="N121" s="220"/>
      <c r="O121" s="220"/>
      <c r="P121" s="220"/>
    </row>
    <row r="122" spans="2:16" hidden="1" outlineLevel="1">
      <c r="B122" s="262" t="s">
        <v>83</v>
      </c>
      <c r="E122" s="227"/>
      <c r="F122" s="227"/>
      <c r="G122" s="227"/>
      <c r="H122" s="220"/>
      <c r="I122" s="220"/>
      <c r="J122" s="220"/>
      <c r="K122" s="220"/>
      <c r="L122" s="220"/>
      <c r="M122" s="220"/>
      <c r="N122" s="220"/>
      <c r="O122" s="220"/>
      <c r="P122" s="220"/>
    </row>
    <row r="123" spans="2:16" hidden="1" outlineLevel="1">
      <c r="B123" s="262" t="s">
        <v>84</v>
      </c>
      <c r="E123" s="227"/>
      <c r="F123" s="227"/>
      <c r="G123" s="227"/>
      <c r="H123" s="220"/>
      <c r="I123" s="220"/>
      <c r="J123" s="220"/>
      <c r="K123" s="220"/>
      <c r="L123" s="220"/>
      <c r="M123" s="220"/>
      <c r="N123" s="220"/>
      <c r="O123" s="220"/>
      <c r="P123" s="220"/>
    </row>
    <row r="124" spans="2:16" collapsed="1">
      <c r="B124" s="2" t="s">
        <v>15</v>
      </c>
      <c r="D124" s="66"/>
      <c r="E124" s="229"/>
      <c r="F124" s="229"/>
      <c r="G124" s="229"/>
      <c r="H124" s="220">
        <v>30</v>
      </c>
      <c r="I124" s="220"/>
      <c r="J124" s="220"/>
      <c r="K124" s="220"/>
      <c r="L124" s="220"/>
      <c r="M124" s="220"/>
      <c r="N124" s="220"/>
      <c r="O124" s="220"/>
      <c r="P124" s="220"/>
    </row>
    <row r="125" spans="2:16">
      <c r="B125" s="2"/>
      <c r="H125" s="83"/>
      <c r="I125" s="83"/>
      <c r="J125" s="83"/>
      <c r="K125" s="83"/>
      <c r="L125" s="83"/>
      <c r="M125" s="83"/>
      <c r="N125" s="83"/>
      <c r="O125" s="83"/>
      <c r="P125" s="83"/>
    </row>
    <row r="126" spans="2:16">
      <c r="B126" s="2" t="s">
        <v>197</v>
      </c>
      <c r="D126" s="44"/>
      <c r="E126" s="44"/>
      <c r="F126" s="44"/>
      <c r="G126" s="44"/>
      <c r="H126" s="220">
        <f>H112-H114-H120-H124</f>
        <v>-70</v>
      </c>
      <c r="I126" s="220">
        <f t="shared" ref="I126:N126" si="144">I112-I114-I120-I124</f>
        <v>0</v>
      </c>
      <c r="J126" s="220">
        <f t="shared" si="144"/>
        <v>0</v>
      </c>
      <c r="K126" s="220">
        <f t="shared" si="144"/>
        <v>0</v>
      </c>
      <c r="L126" s="220">
        <f t="shared" si="144"/>
        <v>0</v>
      </c>
      <c r="M126" s="220">
        <f t="shared" si="144"/>
        <v>0</v>
      </c>
      <c r="N126" s="220">
        <f t="shared" si="144"/>
        <v>0</v>
      </c>
      <c r="O126" s="220">
        <f t="shared" ref="O126:P126" si="145">O112-O114-O120-O124</f>
        <v>0</v>
      </c>
      <c r="P126" s="220">
        <f t="shared" si="145"/>
        <v>0</v>
      </c>
    </row>
    <row r="127" spans="2:16">
      <c r="H127" s="83"/>
      <c r="I127" s="83"/>
      <c r="J127" s="83"/>
      <c r="K127" s="83"/>
      <c r="L127" s="83"/>
      <c r="M127" s="83"/>
      <c r="N127" s="83"/>
      <c r="O127" s="83"/>
      <c r="P127" s="83"/>
    </row>
    <row r="128" spans="2:16">
      <c r="B128" s="294" t="s">
        <v>195</v>
      </c>
      <c r="C128" s="16"/>
      <c r="D128" s="17"/>
      <c r="E128" s="17">
        <f>E129*E126</f>
        <v>0</v>
      </c>
      <c r="F128" s="17">
        <f>F129*F126</f>
        <v>0</v>
      </c>
      <c r="G128" s="17">
        <f>G129*G126</f>
        <v>0</v>
      </c>
      <c r="H128" s="17">
        <f>H129*H126</f>
        <v>-35</v>
      </c>
      <c r="I128" s="17">
        <f t="shared" ref="I128:N128" si="146">I129*I126</f>
        <v>0</v>
      </c>
      <c r="J128" s="17">
        <f t="shared" si="146"/>
        <v>0</v>
      </c>
      <c r="K128" s="17">
        <f t="shared" si="146"/>
        <v>0</v>
      </c>
      <c r="L128" s="17">
        <f t="shared" si="146"/>
        <v>0</v>
      </c>
      <c r="M128" s="17">
        <f t="shared" si="146"/>
        <v>0</v>
      </c>
      <c r="N128" s="17">
        <f t="shared" si="146"/>
        <v>0</v>
      </c>
      <c r="O128" s="17">
        <f t="shared" ref="O128:P128" si="147">O129*O126</f>
        <v>0</v>
      </c>
      <c r="P128" s="570">
        <f t="shared" si="147"/>
        <v>0</v>
      </c>
    </row>
    <row r="129" spans="2:16">
      <c r="B129" s="2" t="s">
        <v>198</v>
      </c>
      <c r="D129" s="35"/>
      <c r="E129" s="228">
        <v>0.5</v>
      </c>
      <c r="F129" s="228">
        <v>0.5</v>
      </c>
      <c r="G129" s="228">
        <v>0.5</v>
      </c>
      <c r="H129" s="268">
        <v>0.5</v>
      </c>
      <c r="I129" s="268">
        <f t="shared" ref="I129:N129" si="148">H129</f>
        <v>0.5</v>
      </c>
      <c r="J129" s="268">
        <f t="shared" si="148"/>
        <v>0.5</v>
      </c>
      <c r="K129" s="268">
        <f t="shared" si="148"/>
        <v>0.5</v>
      </c>
      <c r="L129" s="268">
        <f t="shared" si="148"/>
        <v>0.5</v>
      </c>
      <c r="M129" s="268">
        <f t="shared" si="148"/>
        <v>0.5</v>
      </c>
      <c r="N129" s="268">
        <f t="shared" si="148"/>
        <v>0.5</v>
      </c>
      <c r="O129" s="268">
        <f t="shared" ref="O129" si="149">N129</f>
        <v>0.5</v>
      </c>
      <c r="P129" s="268">
        <f t="shared" ref="P129" si="150">O129</f>
        <v>0.5</v>
      </c>
    </row>
  </sheetData>
  <phoneticPr fontId="45" type="noConversion"/>
  <pageMargins left="0" right="0" top="0" bottom="0" header="0" footer="0"/>
  <pageSetup paperSize="5" scale="38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648" bestFit="1" customWidth="1"/>
    <col min="2" max="2" width="19.85546875" style="686" customWidth="1"/>
    <col min="3" max="3" width="12" style="648" bestFit="1" customWidth="1"/>
    <col min="4" max="256" width="9.140625" style="648"/>
    <col min="257" max="257" width="29.5703125" style="648" bestFit="1" customWidth="1"/>
    <col min="258" max="258" width="19.85546875" style="648" customWidth="1"/>
    <col min="259" max="259" width="12" style="648" bestFit="1" customWidth="1"/>
    <col min="260" max="512" width="9.140625" style="648"/>
    <col min="513" max="513" width="29.5703125" style="648" bestFit="1" customWidth="1"/>
    <col min="514" max="514" width="19.85546875" style="648" customWidth="1"/>
    <col min="515" max="515" width="12" style="648" bestFit="1" customWidth="1"/>
    <col min="516" max="768" width="9.140625" style="648"/>
    <col min="769" max="769" width="29.5703125" style="648" bestFit="1" customWidth="1"/>
    <col min="770" max="770" width="19.85546875" style="648" customWidth="1"/>
    <col min="771" max="771" width="12" style="648" bestFit="1" customWidth="1"/>
    <col min="772" max="1024" width="9.140625" style="648"/>
    <col min="1025" max="1025" width="29.5703125" style="648" bestFit="1" customWidth="1"/>
    <col min="1026" max="1026" width="19.85546875" style="648" customWidth="1"/>
    <col min="1027" max="1027" width="12" style="648" bestFit="1" customWidth="1"/>
    <col min="1028" max="1280" width="9.140625" style="648"/>
    <col min="1281" max="1281" width="29.5703125" style="648" bestFit="1" customWidth="1"/>
    <col min="1282" max="1282" width="19.85546875" style="648" customWidth="1"/>
    <col min="1283" max="1283" width="12" style="648" bestFit="1" customWidth="1"/>
    <col min="1284" max="1536" width="9.140625" style="648"/>
    <col min="1537" max="1537" width="29.5703125" style="648" bestFit="1" customWidth="1"/>
    <col min="1538" max="1538" width="19.85546875" style="648" customWidth="1"/>
    <col min="1539" max="1539" width="12" style="648" bestFit="1" customWidth="1"/>
    <col min="1540" max="1792" width="9.140625" style="648"/>
    <col min="1793" max="1793" width="29.5703125" style="648" bestFit="1" customWidth="1"/>
    <col min="1794" max="1794" width="19.85546875" style="648" customWidth="1"/>
    <col min="1795" max="1795" width="12" style="648" bestFit="1" customWidth="1"/>
    <col min="1796" max="2048" width="9.140625" style="648"/>
    <col min="2049" max="2049" width="29.5703125" style="648" bestFit="1" customWidth="1"/>
    <col min="2050" max="2050" width="19.85546875" style="648" customWidth="1"/>
    <col min="2051" max="2051" width="12" style="648" bestFit="1" customWidth="1"/>
    <col min="2052" max="2304" width="9.140625" style="648"/>
    <col min="2305" max="2305" width="29.5703125" style="648" bestFit="1" customWidth="1"/>
    <col min="2306" max="2306" width="19.85546875" style="648" customWidth="1"/>
    <col min="2307" max="2307" width="12" style="648" bestFit="1" customWidth="1"/>
    <col min="2308" max="2560" width="9.140625" style="648"/>
    <col min="2561" max="2561" width="29.5703125" style="648" bestFit="1" customWidth="1"/>
    <col min="2562" max="2562" width="19.85546875" style="648" customWidth="1"/>
    <col min="2563" max="2563" width="12" style="648" bestFit="1" customWidth="1"/>
    <col min="2564" max="2816" width="9.140625" style="648"/>
    <col min="2817" max="2817" width="29.5703125" style="648" bestFit="1" customWidth="1"/>
    <col min="2818" max="2818" width="19.85546875" style="648" customWidth="1"/>
    <col min="2819" max="2819" width="12" style="648" bestFit="1" customWidth="1"/>
    <col min="2820" max="3072" width="9.140625" style="648"/>
    <col min="3073" max="3073" width="29.5703125" style="648" bestFit="1" customWidth="1"/>
    <col min="3074" max="3074" width="19.85546875" style="648" customWidth="1"/>
    <col min="3075" max="3075" width="12" style="648" bestFit="1" customWidth="1"/>
    <col min="3076" max="3328" width="9.140625" style="648"/>
    <col min="3329" max="3329" width="29.5703125" style="648" bestFit="1" customWidth="1"/>
    <col min="3330" max="3330" width="19.85546875" style="648" customWidth="1"/>
    <col min="3331" max="3331" width="12" style="648" bestFit="1" customWidth="1"/>
    <col min="3332" max="3584" width="9.140625" style="648"/>
    <col min="3585" max="3585" width="29.5703125" style="648" bestFit="1" customWidth="1"/>
    <col min="3586" max="3586" width="19.85546875" style="648" customWidth="1"/>
    <col min="3587" max="3587" width="12" style="648" bestFit="1" customWidth="1"/>
    <col min="3588" max="3840" width="9.140625" style="648"/>
    <col min="3841" max="3841" width="29.5703125" style="648" bestFit="1" customWidth="1"/>
    <col min="3842" max="3842" width="19.85546875" style="648" customWidth="1"/>
    <col min="3843" max="3843" width="12" style="648" bestFit="1" customWidth="1"/>
    <col min="3844" max="4096" width="9.140625" style="648"/>
    <col min="4097" max="4097" width="29.5703125" style="648" bestFit="1" customWidth="1"/>
    <col min="4098" max="4098" width="19.85546875" style="648" customWidth="1"/>
    <col min="4099" max="4099" width="12" style="648" bestFit="1" customWidth="1"/>
    <col min="4100" max="4352" width="9.140625" style="648"/>
    <col min="4353" max="4353" width="29.5703125" style="648" bestFit="1" customWidth="1"/>
    <col min="4354" max="4354" width="19.85546875" style="648" customWidth="1"/>
    <col min="4355" max="4355" width="12" style="648" bestFit="1" customWidth="1"/>
    <col min="4356" max="4608" width="9.140625" style="648"/>
    <col min="4609" max="4609" width="29.5703125" style="648" bestFit="1" customWidth="1"/>
    <col min="4610" max="4610" width="19.85546875" style="648" customWidth="1"/>
    <col min="4611" max="4611" width="12" style="648" bestFit="1" customWidth="1"/>
    <col min="4612" max="4864" width="9.140625" style="648"/>
    <col min="4865" max="4865" width="29.5703125" style="648" bestFit="1" customWidth="1"/>
    <col min="4866" max="4866" width="19.85546875" style="648" customWidth="1"/>
    <col min="4867" max="4867" width="12" style="648" bestFit="1" customWidth="1"/>
    <col min="4868" max="5120" width="9.140625" style="648"/>
    <col min="5121" max="5121" width="29.5703125" style="648" bestFit="1" customWidth="1"/>
    <col min="5122" max="5122" width="19.85546875" style="648" customWidth="1"/>
    <col min="5123" max="5123" width="12" style="648" bestFit="1" customWidth="1"/>
    <col min="5124" max="5376" width="9.140625" style="648"/>
    <col min="5377" max="5377" width="29.5703125" style="648" bestFit="1" customWidth="1"/>
    <col min="5378" max="5378" width="19.85546875" style="648" customWidth="1"/>
    <col min="5379" max="5379" width="12" style="648" bestFit="1" customWidth="1"/>
    <col min="5380" max="5632" width="9.140625" style="648"/>
    <col min="5633" max="5633" width="29.5703125" style="648" bestFit="1" customWidth="1"/>
    <col min="5634" max="5634" width="19.85546875" style="648" customWidth="1"/>
    <col min="5635" max="5635" width="12" style="648" bestFit="1" customWidth="1"/>
    <col min="5636" max="5888" width="9.140625" style="648"/>
    <col min="5889" max="5889" width="29.5703125" style="648" bestFit="1" customWidth="1"/>
    <col min="5890" max="5890" width="19.85546875" style="648" customWidth="1"/>
    <col min="5891" max="5891" width="12" style="648" bestFit="1" customWidth="1"/>
    <col min="5892" max="6144" width="9.140625" style="648"/>
    <col min="6145" max="6145" width="29.5703125" style="648" bestFit="1" customWidth="1"/>
    <col min="6146" max="6146" width="19.85546875" style="648" customWidth="1"/>
    <col min="6147" max="6147" width="12" style="648" bestFit="1" customWidth="1"/>
    <col min="6148" max="6400" width="9.140625" style="648"/>
    <col min="6401" max="6401" width="29.5703125" style="648" bestFit="1" customWidth="1"/>
    <col min="6402" max="6402" width="19.85546875" style="648" customWidth="1"/>
    <col min="6403" max="6403" width="12" style="648" bestFit="1" customWidth="1"/>
    <col min="6404" max="6656" width="9.140625" style="648"/>
    <col min="6657" max="6657" width="29.5703125" style="648" bestFit="1" customWidth="1"/>
    <col min="6658" max="6658" width="19.85546875" style="648" customWidth="1"/>
    <col min="6659" max="6659" width="12" style="648" bestFit="1" customWidth="1"/>
    <col min="6660" max="6912" width="9.140625" style="648"/>
    <col min="6913" max="6913" width="29.5703125" style="648" bestFit="1" customWidth="1"/>
    <col min="6914" max="6914" width="19.85546875" style="648" customWidth="1"/>
    <col min="6915" max="6915" width="12" style="648" bestFit="1" customWidth="1"/>
    <col min="6916" max="7168" width="9.140625" style="648"/>
    <col min="7169" max="7169" width="29.5703125" style="648" bestFit="1" customWidth="1"/>
    <col min="7170" max="7170" width="19.85546875" style="648" customWidth="1"/>
    <col min="7171" max="7171" width="12" style="648" bestFit="1" customWidth="1"/>
    <col min="7172" max="7424" width="9.140625" style="648"/>
    <col min="7425" max="7425" width="29.5703125" style="648" bestFit="1" customWidth="1"/>
    <col min="7426" max="7426" width="19.85546875" style="648" customWidth="1"/>
    <col min="7427" max="7427" width="12" style="648" bestFit="1" customWidth="1"/>
    <col min="7428" max="7680" width="9.140625" style="648"/>
    <col min="7681" max="7681" width="29.5703125" style="648" bestFit="1" customWidth="1"/>
    <col min="7682" max="7682" width="19.85546875" style="648" customWidth="1"/>
    <col min="7683" max="7683" width="12" style="648" bestFit="1" customWidth="1"/>
    <col min="7684" max="7936" width="9.140625" style="648"/>
    <col min="7937" max="7937" width="29.5703125" style="648" bestFit="1" customWidth="1"/>
    <col min="7938" max="7938" width="19.85546875" style="648" customWidth="1"/>
    <col min="7939" max="7939" width="12" style="648" bestFit="1" customWidth="1"/>
    <col min="7940" max="8192" width="9.140625" style="648"/>
    <col min="8193" max="8193" width="29.5703125" style="648" bestFit="1" customWidth="1"/>
    <col min="8194" max="8194" width="19.85546875" style="648" customWidth="1"/>
    <col min="8195" max="8195" width="12" style="648" bestFit="1" customWidth="1"/>
    <col min="8196" max="8448" width="9.140625" style="648"/>
    <col min="8449" max="8449" width="29.5703125" style="648" bestFit="1" customWidth="1"/>
    <col min="8450" max="8450" width="19.85546875" style="648" customWidth="1"/>
    <col min="8451" max="8451" width="12" style="648" bestFit="1" customWidth="1"/>
    <col min="8452" max="8704" width="9.140625" style="648"/>
    <col min="8705" max="8705" width="29.5703125" style="648" bestFit="1" customWidth="1"/>
    <col min="8706" max="8706" width="19.85546875" style="648" customWidth="1"/>
    <col min="8707" max="8707" width="12" style="648" bestFit="1" customWidth="1"/>
    <col min="8708" max="8960" width="9.140625" style="648"/>
    <col min="8961" max="8961" width="29.5703125" style="648" bestFit="1" customWidth="1"/>
    <col min="8962" max="8962" width="19.85546875" style="648" customWidth="1"/>
    <col min="8963" max="8963" width="12" style="648" bestFit="1" customWidth="1"/>
    <col min="8964" max="9216" width="9.140625" style="648"/>
    <col min="9217" max="9217" width="29.5703125" style="648" bestFit="1" customWidth="1"/>
    <col min="9218" max="9218" width="19.85546875" style="648" customWidth="1"/>
    <col min="9219" max="9219" width="12" style="648" bestFit="1" customWidth="1"/>
    <col min="9220" max="9472" width="9.140625" style="648"/>
    <col min="9473" max="9473" width="29.5703125" style="648" bestFit="1" customWidth="1"/>
    <col min="9474" max="9474" width="19.85546875" style="648" customWidth="1"/>
    <col min="9475" max="9475" width="12" style="648" bestFit="1" customWidth="1"/>
    <col min="9476" max="9728" width="9.140625" style="648"/>
    <col min="9729" max="9729" width="29.5703125" style="648" bestFit="1" customWidth="1"/>
    <col min="9730" max="9730" width="19.85546875" style="648" customWidth="1"/>
    <col min="9731" max="9731" width="12" style="648" bestFit="1" customWidth="1"/>
    <col min="9732" max="9984" width="9.140625" style="648"/>
    <col min="9985" max="9985" width="29.5703125" style="648" bestFit="1" customWidth="1"/>
    <col min="9986" max="9986" width="19.85546875" style="648" customWidth="1"/>
    <col min="9987" max="9987" width="12" style="648" bestFit="1" customWidth="1"/>
    <col min="9988" max="10240" width="9.140625" style="648"/>
    <col min="10241" max="10241" width="29.5703125" style="648" bestFit="1" customWidth="1"/>
    <col min="10242" max="10242" width="19.85546875" style="648" customWidth="1"/>
    <col min="10243" max="10243" width="12" style="648" bestFit="1" customWidth="1"/>
    <col min="10244" max="10496" width="9.140625" style="648"/>
    <col min="10497" max="10497" width="29.5703125" style="648" bestFit="1" customWidth="1"/>
    <col min="10498" max="10498" width="19.85546875" style="648" customWidth="1"/>
    <col min="10499" max="10499" width="12" style="648" bestFit="1" customWidth="1"/>
    <col min="10500" max="10752" width="9.140625" style="648"/>
    <col min="10753" max="10753" width="29.5703125" style="648" bestFit="1" customWidth="1"/>
    <col min="10754" max="10754" width="19.85546875" style="648" customWidth="1"/>
    <col min="10755" max="10755" width="12" style="648" bestFit="1" customWidth="1"/>
    <col min="10756" max="11008" width="9.140625" style="648"/>
    <col min="11009" max="11009" width="29.5703125" style="648" bestFit="1" customWidth="1"/>
    <col min="11010" max="11010" width="19.85546875" style="648" customWidth="1"/>
    <col min="11011" max="11011" width="12" style="648" bestFit="1" customWidth="1"/>
    <col min="11012" max="11264" width="9.140625" style="648"/>
    <col min="11265" max="11265" width="29.5703125" style="648" bestFit="1" customWidth="1"/>
    <col min="11266" max="11266" width="19.85546875" style="648" customWidth="1"/>
    <col min="11267" max="11267" width="12" style="648" bestFit="1" customWidth="1"/>
    <col min="11268" max="11520" width="9.140625" style="648"/>
    <col min="11521" max="11521" width="29.5703125" style="648" bestFit="1" customWidth="1"/>
    <col min="11522" max="11522" width="19.85546875" style="648" customWidth="1"/>
    <col min="11523" max="11523" width="12" style="648" bestFit="1" customWidth="1"/>
    <col min="11524" max="11776" width="9.140625" style="648"/>
    <col min="11777" max="11777" width="29.5703125" style="648" bestFit="1" customWidth="1"/>
    <col min="11778" max="11778" width="19.85546875" style="648" customWidth="1"/>
    <col min="11779" max="11779" width="12" style="648" bestFit="1" customWidth="1"/>
    <col min="11780" max="12032" width="9.140625" style="648"/>
    <col min="12033" max="12033" width="29.5703125" style="648" bestFit="1" customWidth="1"/>
    <col min="12034" max="12034" width="19.85546875" style="648" customWidth="1"/>
    <col min="12035" max="12035" width="12" style="648" bestFit="1" customWidth="1"/>
    <col min="12036" max="12288" width="9.140625" style="648"/>
    <col min="12289" max="12289" width="29.5703125" style="648" bestFit="1" customWidth="1"/>
    <col min="12290" max="12290" width="19.85546875" style="648" customWidth="1"/>
    <col min="12291" max="12291" width="12" style="648" bestFit="1" customWidth="1"/>
    <col min="12292" max="12544" width="9.140625" style="648"/>
    <col min="12545" max="12545" width="29.5703125" style="648" bestFit="1" customWidth="1"/>
    <col min="12546" max="12546" width="19.85546875" style="648" customWidth="1"/>
    <col min="12547" max="12547" width="12" style="648" bestFit="1" customWidth="1"/>
    <col min="12548" max="12800" width="9.140625" style="648"/>
    <col min="12801" max="12801" width="29.5703125" style="648" bestFit="1" customWidth="1"/>
    <col min="12802" max="12802" width="19.85546875" style="648" customWidth="1"/>
    <col min="12803" max="12803" width="12" style="648" bestFit="1" customWidth="1"/>
    <col min="12804" max="13056" width="9.140625" style="648"/>
    <col min="13057" max="13057" width="29.5703125" style="648" bestFit="1" customWidth="1"/>
    <col min="13058" max="13058" width="19.85546875" style="648" customWidth="1"/>
    <col min="13059" max="13059" width="12" style="648" bestFit="1" customWidth="1"/>
    <col min="13060" max="13312" width="9.140625" style="648"/>
    <col min="13313" max="13313" width="29.5703125" style="648" bestFit="1" customWidth="1"/>
    <col min="13314" max="13314" width="19.85546875" style="648" customWidth="1"/>
    <col min="13315" max="13315" width="12" style="648" bestFit="1" customWidth="1"/>
    <col min="13316" max="13568" width="9.140625" style="648"/>
    <col min="13569" max="13569" width="29.5703125" style="648" bestFit="1" customWidth="1"/>
    <col min="13570" max="13570" width="19.85546875" style="648" customWidth="1"/>
    <col min="13571" max="13571" width="12" style="648" bestFit="1" customWidth="1"/>
    <col min="13572" max="13824" width="9.140625" style="648"/>
    <col min="13825" max="13825" width="29.5703125" style="648" bestFit="1" customWidth="1"/>
    <col min="13826" max="13826" width="19.85546875" style="648" customWidth="1"/>
    <col min="13827" max="13827" width="12" style="648" bestFit="1" customWidth="1"/>
    <col min="13828" max="14080" width="9.140625" style="648"/>
    <col min="14081" max="14081" width="29.5703125" style="648" bestFit="1" customWidth="1"/>
    <col min="14082" max="14082" width="19.85546875" style="648" customWidth="1"/>
    <col min="14083" max="14083" width="12" style="648" bestFit="1" customWidth="1"/>
    <col min="14084" max="14336" width="9.140625" style="648"/>
    <col min="14337" max="14337" width="29.5703125" style="648" bestFit="1" customWidth="1"/>
    <col min="14338" max="14338" width="19.85546875" style="648" customWidth="1"/>
    <col min="14339" max="14339" width="12" style="648" bestFit="1" customWidth="1"/>
    <col min="14340" max="14592" width="9.140625" style="648"/>
    <col min="14593" max="14593" width="29.5703125" style="648" bestFit="1" customWidth="1"/>
    <col min="14594" max="14594" width="19.85546875" style="648" customWidth="1"/>
    <col min="14595" max="14595" width="12" style="648" bestFit="1" customWidth="1"/>
    <col min="14596" max="14848" width="9.140625" style="648"/>
    <col min="14849" max="14849" width="29.5703125" style="648" bestFit="1" customWidth="1"/>
    <col min="14850" max="14850" width="19.85546875" style="648" customWidth="1"/>
    <col min="14851" max="14851" width="12" style="648" bestFit="1" customWidth="1"/>
    <col min="14852" max="15104" width="9.140625" style="648"/>
    <col min="15105" max="15105" width="29.5703125" style="648" bestFit="1" customWidth="1"/>
    <col min="15106" max="15106" width="19.85546875" style="648" customWidth="1"/>
    <col min="15107" max="15107" width="12" style="648" bestFit="1" customWidth="1"/>
    <col min="15108" max="15360" width="9.140625" style="648"/>
    <col min="15361" max="15361" width="29.5703125" style="648" bestFit="1" customWidth="1"/>
    <col min="15362" max="15362" width="19.85546875" style="648" customWidth="1"/>
    <col min="15363" max="15363" width="12" style="648" bestFit="1" customWidth="1"/>
    <col min="15364" max="15616" width="9.140625" style="648"/>
    <col min="15617" max="15617" width="29.5703125" style="648" bestFit="1" customWidth="1"/>
    <col min="15618" max="15618" width="19.85546875" style="648" customWidth="1"/>
    <col min="15619" max="15619" width="12" style="648" bestFit="1" customWidth="1"/>
    <col min="15620" max="15872" width="9.140625" style="648"/>
    <col min="15873" max="15873" width="29.5703125" style="648" bestFit="1" customWidth="1"/>
    <col min="15874" max="15874" width="19.85546875" style="648" customWidth="1"/>
    <col min="15875" max="15875" width="12" style="648" bestFit="1" customWidth="1"/>
    <col min="15876" max="16128" width="9.140625" style="648"/>
    <col min="16129" max="16129" width="29.5703125" style="648" bestFit="1" customWidth="1"/>
    <col min="16130" max="16130" width="19.85546875" style="648" customWidth="1"/>
    <col min="16131" max="16131" width="12" style="648" bestFit="1" customWidth="1"/>
    <col min="16132" max="16384" width="9.140625" style="648"/>
  </cols>
  <sheetData>
    <row r="1" spans="1:2">
      <c r="A1" s="648" t="s">
        <v>862</v>
      </c>
      <c r="B1" s="685">
        <v>6.1</v>
      </c>
    </row>
    <row r="2" spans="1:2">
      <c r="A2" s="648" t="s">
        <v>863</v>
      </c>
      <c r="B2" s="689">
        <v>43203.485983796294</v>
      </c>
    </row>
    <row r="3" spans="1:2">
      <c r="A3" s="648" t="s">
        <v>864</v>
      </c>
      <c r="B3" s="686" t="s">
        <v>566</v>
      </c>
    </row>
    <row r="4" spans="1:2">
      <c r="A4" s="648" t="s">
        <v>865</v>
      </c>
      <c r="B4" s="686" t="s">
        <v>866</v>
      </c>
    </row>
    <row r="5" spans="1:2">
      <c r="A5" s="648" t="s">
        <v>867</v>
      </c>
      <c r="B5" s="686" t="s">
        <v>868</v>
      </c>
    </row>
    <row r="6" spans="1:2">
      <c r="A6" s="648" t="s">
        <v>869</v>
      </c>
    </row>
    <row r="7" spans="1:2">
      <c r="A7" s="648" t="s">
        <v>870</v>
      </c>
      <c r="B7" s="686" t="s">
        <v>429</v>
      </c>
    </row>
    <row r="8" spans="1:2">
      <c r="A8" s="648" t="s">
        <v>871</v>
      </c>
      <c r="B8" s="686" t="s">
        <v>872</v>
      </c>
    </row>
    <row r="9" spans="1:2">
      <c r="A9" s="648" t="s">
        <v>873</v>
      </c>
      <c r="B9" s="686" t="s">
        <v>910</v>
      </c>
    </row>
    <row r="10" spans="1:2">
      <c r="A10" s="648" t="s">
        <v>874</v>
      </c>
    </row>
    <row r="11" spans="1:2">
      <c r="A11" s="648" t="s">
        <v>875</v>
      </c>
    </row>
    <row r="12" spans="1:2">
      <c r="A12" s="648" t="s">
        <v>876</v>
      </c>
    </row>
    <row r="13" spans="1:2">
      <c r="A13" s="648" t="s">
        <v>877</v>
      </c>
    </row>
    <row r="14" spans="1:2">
      <c r="A14" s="648" t="s">
        <v>878</v>
      </c>
    </row>
    <row r="15" spans="1:2">
      <c r="A15" s="648" t="s">
        <v>879</v>
      </c>
    </row>
    <row r="16" spans="1:2">
      <c r="A16" s="648" t="s">
        <v>880</v>
      </c>
    </row>
    <row r="17" spans="1:4">
      <c r="A17" s="648" t="s">
        <v>881</v>
      </c>
      <c r="B17" s="686" t="s">
        <v>911</v>
      </c>
    </row>
    <row r="18" spans="1:4">
      <c r="A18" s="648" t="s">
        <v>882</v>
      </c>
      <c r="B18" s="686" t="s">
        <v>914</v>
      </c>
    </row>
    <row r="19" spans="1:4">
      <c r="A19" s="648" t="s">
        <v>883</v>
      </c>
      <c r="B19" s="686" t="s">
        <v>129</v>
      </c>
    </row>
    <row r="20" spans="1:4">
      <c r="A20" s="648" t="s">
        <v>884</v>
      </c>
      <c r="B20" s="687" t="s">
        <v>915</v>
      </c>
    </row>
    <row r="21" spans="1:4">
      <c r="A21" s="648" t="s">
        <v>885</v>
      </c>
      <c r="B21" s="686" t="s">
        <v>129</v>
      </c>
    </row>
    <row r="22" spans="1:4">
      <c r="A22" s="648" t="s">
        <v>886</v>
      </c>
      <c r="B22" s="687" t="s">
        <v>497</v>
      </c>
    </row>
    <row r="23" spans="1:4">
      <c r="A23" s="648" t="s">
        <v>435</v>
      </c>
      <c r="B23" s="685">
        <v>99.61</v>
      </c>
    </row>
    <row r="24" spans="1:4">
      <c r="A24" s="648" t="s">
        <v>434</v>
      </c>
      <c r="B24" s="686" t="s">
        <v>128</v>
      </c>
      <c r="D24" s="648" t="s">
        <v>176</v>
      </c>
    </row>
    <row r="25" spans="1:4">
      <c r="A25" s="648" t="s">
        <v>887</v>
      </c>
      <c r="B25" s="686" t="s">
        <v>916</v>
      </c>
    </row>
    <row r="26" spans="1:4">
      <c r="A26" s="648" t="s">
        <v>888</v>
      </c>
      <c r="B26" s="686">
        <v>0</v>
      </c>
    </row>
    <row r="27" spans="1:4">
      <c r="A27" s="648" t="s">
        <v>889</v>
      </c>
      <c r="B27" s="686" t="s">
        <v>890</v>
      </c>
    </row>
    <row r="28" spans="1:4">
      <c r="A28" s="648" t="s">
        <v>891</v>
      </c>
      <c r="B28" s="686" t="s">
        <v>892</v>
      </c>
    </row>
    <row r="29" spans="1:4">
      <c r="A29" s="648" t="s">
        <v>893</v>
      </c>
    </row>
    <row r="30" spans="1:4">
      <c r="A30" s="648" t="s">
        <v>894</v>
      </c>
    </row>
    <row r="31" spans="1:4">
      <c r="A31" s="648" t="s">
        <v>895</v>
      </c>
    </row>
    <row r="32" spans="1:4">
      <c r="A32" s="648" t="s">
        <v>896</v>
      </c>
      <c r="B32" s="685"/>
    </row>
    <row r="33" spans="1:2">
      <c r="A33" s="648" t="s">
        <v>897</v>
      </c>
      <c r="B33" s="685"/>
    </row>
    <row r="34" spans="1:2">
      <c r="A34" s="648" t="s">
        <v>898</v>
      </c>
      <c r="B34" s="685"/>
    </row>
    <row r="35" spans="1:2">
      <c r="A35" s="648" t="s">
        <v>899</v>
      </c>
      <c r="B35" s="686">
        <v>1000000</v>
      </c>
    </row>
    <row r="36" spans="1:2">
      <c r="A36" s="648" t="s">
        <v>900</v>
      </c>
      <c r="B36" s="686" t="s">
        <v>912</v>
      </c>
    </row>
    <row r="37" spans="1:2">
      <c r="A37" s="648" t="s">
        <v>901</v>
      </c>
      <c r="B37" s="686" t="s">
        <v>902</v>
      </c>
    </row>
    <row r="38" spans="1:2">
      <c r="A38" s="648" t="s">
        <v>903</v>
      </c>
      <c r="B38" s="686" t="s">
        <v>904</v>
      </c>
    </row>
    <row r="39" spans="1:2">
      <c r="A39" s="648" t="s">
        <v>905</v>
      </c>
      <c r="B39" s="686" t="s">
        <v>913</v>
      </c>
    </row>
    <row r="40" spans="1:2">
      <c r="A40" s="648" t="s">
        <v>906</v>
      </c>
      <c r="B40" s="686">
        <v>1500004768</v>
      </c>
    </row>
    <row r="41" spans="1:2">
      <c r="A41" s="648" t="s">
        <v>907</v>
      </c>
      <c r="B41" s="686">
        <v>1</v>
      </c>
    </row>
    <row r="42" spans="1:2">
      <c r="A42" s="688" t="s">
        <v>908</v>
      </c>
    </row>
    <row r="43" spans="1:2">
      <c r="A43" s="648" t="s">
        <v>909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648" bestFit="1" customWidth="1"/>
    <col min="2" max="256" width="9.140625" style="648"/>
    <col min="257" max="257" width="28.5703125" style="648" bestFit="1" customWidth="1"/>
    <col min="258" max="512" width="9.140625" style="648"/>
    <col min="513" max="513" width="28.5703125" style="648" bestFit="1" customWidth="1"/>
    <col min="514" max="768" width="9.140625" style="648"/>
    <col min="769" max="769" width="28.5703125" style="648" bestFit="1" customWidth="1"/>
    <col min="770" max="1024" width="9.140625" style="648"/>
    <col min="1025" max="1025" width="28.5703125" style="648" bestFit="1" customWidth="1"/>
    <col min="1026" max="1280" width="9.140625" style="648"/>
    <col min="1281" max="1281" width="28.5703125" style="648" bestFit="1" customWidth="1"/>
    <col min="1282" max="1536" width="9.140625" style="648"/>
    <col min="1537" max="1537" width="28.5703125" style="648" bestFit="1" customWidth="1"/>
    <col min="1538" max="1792" width="9.140625" style="648"/>
    <col min="1793" max="1793" width="28.5703125" style="648" bestFit="1" customWidth="1"/>
    <col min="1794" max="2048" width="9.140625" style="648"/>
    <col min="2049" max="2049" width="28.5703125" style="648" bestFit="1" customWidth="1"/>
    <col min="2050" max="2304" width="9.140625" style="648"/>
    <col min="2305" max="2305" width="28.5703125" style="648" bestFit="1" customWidth="1"/>
    <col min="2306" max="2560" width="9.140625" style="648"/>
    <col min="2561" max="2561" width="28.5703125" style="648" bestFit="1" customWidth="1"/>
    <col min="2562" max="2816" width="9.140625" style="648"/>
    <col min="2817" max="2817" width="28.5703125" style="648" bestFit="1" customWidth="1"/>
    <col min="2818" max="3072" width="9.140625" style="648"/>
    <col min="3073" max="3073" width="28.5703125" style="648" bestFit="1" customWidth="1"/>
    <col min="3074" max="3328" width="9.140625" style="648"/>
    <col min="3329" max="3329" width="28.5703125" style="648" bestFit="1" customWidth="1"/>
    <col min="3330" max="3584" width="9.140625" style="648"/>
    <col min="3585" max="3585" width="28.5703125" style="648" bestFit="1" customWidth="1"/>
    <col min="3586" max="3840" width="9.140625" style="648"/>
    <col min="3841" max="3841" width="28.5703125" style="648" bestFit="1" customWidth="1"/>
    <col min="3842" max="4096" width="9.140625" style="648"/>
    <col min="4097" max="4097" width="28.5703125" style="648" bestFit="1" customWidth="1"/>
    <col min="4098" max="4352" width="9.140625" style="648"/>
    <col min="4353" max="4353" width="28.5703125" style="648" bestFit="1" customWidth="1"/>
    <col min="4354" max="4608" width="9.140625" style="648"/>
    <col min="4609" max="4609" width="28.5703125" style="648" bestFit="1" customWidth="1"/>
    <col min="4610" max="4864" width="9.140625" style="648"/>
    <col min="4865" max="4865" width="28.5703125" style="648" bestFit="1" customWidth="1"/>
    <col min="4866" max="5120" width="9.140625" style="648"/>
    <col min="5121" max="5121" width="28.5703125" style="648" bestFit="1" customWidth="1"/>
    <col min="5122" max="5376" width="9.140625" style="648"/>
    <col min="5377" max="5377" width="28.5703125" style="648" bestFit="1" customWidth="1"/>
    <col min="5378" max="5632" width="9.140625" style="648"/>
    <col min="5633" max="5633" width="28.5703125" style="648" bestFit="1" customWidth="1"/>
    <col min="5634" max="5888" width="9.140625" style="648"/>
    <col min="5889" max="5889" width="28.5703125" style="648" bestFit="1" customWidth="1"/>
    <col min="5890" max="6144" width="9.140625" style="648"/>
    <col min="6145" max="6145" width="28.5703125" style="648" bestFit="1" customWidth="1"/>
    <col min="6146" max="6400" width="9.140625" style="648"/>
    <col min="6401" max="6401" width="28.5703125" style="648" bestFit="1" customWidth="1"/>
    <col min="6402" max="6656" width="9.140625" style="648"/>
    <col min="6657" max="6657" width="28.5703125" style="648" bestFit="1" customWidth="1"/>
    <col min="6658" max="6912" width="9.140625" style="648"/>
    <col min="6913" max="6913" width="28.5703125" style="648" bestFit="1" customWidth="1"/>
    <col min="6914" max="7168" width="9.140625" style="648"/>
    <col min="7169" max="7169" width="28.5703125" style="648" bestFit="1" customWidth="1"/>
    <col min="7170" max="7424" width="9.140625" style="648"/>
    <col min="7425" max="7425" width="28.5703125" style="648" bestFit="1" customWidth="1"/>
    <col min="7426" max="7680" width="9.140625" style="648"/>
    <col min="7681" max="7681" width="28.5703125" style="648" bestFit="1" customWidth="1"/>
    <col min="7682" max="7936" width="9.140625" style="648"/>
    <col min="7937" max="7937" width="28.5703125" style="648" bestFit="1" customWidth="1"/>
    <col min="7938" max="8192" width="9.140625" style="648"/>
    <col min="8193" max="8193" width="28.5703125" style="648" bestFit="1" customWidth="1"/>
    <col min="8194" max="8448" width="9.140625" style="648"/>
    <col min="8449" max="8449" width="28.5703125" style="648" bestFit="1" customWidth="1"/>
    <col min="8450" max="8704" width="9.140625" style="648"/>
    <col min="8705" max="8705" width="28.5703125" style="648" bestFit="1" customWidth="1"/>
    <col min="8706" max="8960" width="9.140625" style="648"/>
    <col min="8961" max="8961" width="28.5703125" style="648" bestFit="1" customWidth="1"/>
    <col min="8962" max="9216" width="9.140625" style="648"/>
    <col min="9217" max="9217" width="28.5703125" style="648" bestFit="1" customWidth="1"/>
    <col min="9218" max="9472" width="9.140625" style="648"/>
    <col min="9473" max="9473" width="28.5703125" style="648" bestFit="1" customWidth="1"/>
    <col min="9474" max="9728" width="9.140625" style="648"/>
    <col min="9729" max="9729" width="28.5703125" style="648" bestFit="1" customWidth="1"/>
    <col min="9730" max="9984" width="9.140625" style="648"/>
    <col min="9985" max="9985" width="28.5703125" style="648" bestFit="1" customWidth="1"/>
    <col min="9986" max="10240" width="9.140625" style="648"/>
    <col min="10241" max="10241" width="28.5703125" style="648" bestFit="1" customWidth="1"/>
    <col min="10242" max="10496" width="9.140625" style="648"/>
    <col min="10497" max="10497" width="28.5703125" style="648" bestFit="1" customWidth="1"/>
    <col min="10498" max="10752" width="9.140625" style="648"/>
    <col min="10753" max="10753" width="28.5703125" style="648" bestFit="1" customWidth="1"/>
    <col min="10754" max="11008" width="9.140625" style="648"/>
    <col min="11009" max="11009" width="28.5703125" style="648" bestFit="1" customWidth="1"/>
    <col min="11010" max="11264" width="9.140625" style="648"/>
    <col min="11265" max="11265" width="28.5703125" style="648" bestFit="1" customWidth="1"/>
    <col min="11266" max="11520" width="9.140625" style="648"/>
    <col min="11521" max="11521" width="28.5703125" style="648" bestFit="1" customWidth="1"/>
    <col min="11522" max="11776" width="9.140625" style="648"/>
    <col min="11777" max="11777" width="28.5703125" style="648" bestFit="1" customWidth="1"/>
    <col min="11778" max="12032" width="9.140625" style="648"/>
    <col min="12033" max="12033" width="28.5703125" style="648" bestFit="1" customWidth="1"/>
    <col min="12034" max="12288" width="9.140625" style="648"/>
    <col min="12289" max="12289" width="28.5703125" style="648" bestFit="1" customWidth="1"/>
    <col min="12290" max="12544" width="9.140625" style="648"/>
    <col min="12545" max="12545" width="28.5703125" style="648" bestFit="1" customWidth="1"/>
    <col min="12546" max="12800" width="9.140625" style="648"/>
    <col min="12801" max="12801" width="28.5703125" style="648" bestFit="1" customWidth="1"/>
    <col min="12802" max="13056" width="9.140625" style="648"/>
    <col min="13057" max="13057" width="28.5703125" style="648" bestFit="1" customWidth="1"/>
    <col min="13058" max="13312" width="9.140625" style="648"/>
    <col min="13313" max="13313" width="28.5703125" style="648" bestFit="1" customWidth="1"/>
    <col min="13314" max="13568" width="9.140625" style="648"/>
    <col min="13569" max="13569" width="28.5703125" style="648" bestFit="1" customWidth="1"/>
    <col min="13570" max="13824" width="9.140625" style="648"/>
    <col min="13825" max="13825" width="28.5703125" style="648" bestFit="1" customWidth="1"/>
    <col min="13826" max="14080" width="9.140625" style="648"/>
    <col min="14081" max="14081" width="28.5703125" style="648" bestFit="1" customWidth="1"/>
    <col min="14082" max="14336" width="9.140625" style="648"/>
    <col min="14337" max="14337" width="28.5703125" style="648" bestFit="1" customWidth="1"/>
    <col min="14338" max="14592" width="9.140625" style="648"/>
    <col min="14593" max="14593" width="28.5703125" style="648" bestFit="1" customWidth="1"/>
    <col min="14594" max="14848" width="9.140625" style="648"/>
    <col min="14849" max="14849" width="28.5703125" style="648" bestFit="1" customWidth="1"/>
    <col min="14850" max="15104" width="9.140625" style="648"/>
    <col min="15105" max="15105" width="28.5703125" style="648" bestFit="1" customWidth="1"/>
    <col min="15106" max="15360" width="9.140625" style="648"/>
    <col min="15361" max="15361" width="28.5703125" style="648" bestFit="1" customWidth="1"/>
    <col min="15362" max="15616" width="9.140625" style="648"/>
    <col min="15617" max="15617" width="28.5703125" style="648" bestFit="1" customWidth="1"/>
    <col min="15618" max="15872" width="9.140625" style="648"/>
    <col min="15873" max="15873" width="28.5703125" style="648" bestFit="1" customWidth="1"/>
    <col min="15874" max="16128" width="9.140625" style="648"/>
    <col min="16129" max="16129" width="28.5703125" style="648" bestFit="1" customWidth="1"/>
    <col min="16130" max="16384" width="9.140625" style="648"/>
  </cols>
  <sheetData>
    <row r="1" spans="1:1">
      <c r="A1" s="690" t="s">
        <v>917</v>
      </c>
    </row>
    <row r="2" spans="1:1">
      <c r="A2" s="690" t="s">
        <v>922</v>
      </c>
    </row>
    <row r="3" spans="1:1">
      <c r="A3" s="690" t="s">
        <v>923</v>
      </c>
    </row>
    <row r="4" spans="1:1">
      <c r="A4" s="690" t="s">
        <v>924</v>
      </c>
    </row>
    <row r="5" spans="1:1">
      <c r="A5" s="690" t="s">
        <v>925</v>
      </c>
    </row>
    <row r="6" spans="1:1">
      <c r="A6" s="690" t="s">
        <v>918</v>
      </c>
    </row>
    <row r="7" spans="1:1">
      <c r="A7" s="690" t="s">
        <v>926</v>
      </c>
    </row>
    <row r="8" spans="1:1">
      <c r="A8" s="690" t="s">
        <v>927</v>
      </c>
    </row>
    <row r="9" spans="1:1">
      <c r="A9" s="690" t="s">
        <v>928</v>
      </c>
    </row>
    <row r="10" spans="1:1">
      <c r="A10" s="690" t="s">
        <v>919</v>
      </c>
    </row>
    <row r="11" spans="1:1">
      <c r="A11" s="690" t="s">
        <v>929</v>
      </c>
    </row>
    <row r="12" spans="1:1">
      <c r="A12" s="690" t="s">
        <v>920</v>
      </c>
    </row>
    <row r="13" spans="1:1">
      <c r="A13" s="690" t="s">
        <v>921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"/>
  <sheetViews>
    <sheetView workbookViewId="0"/>
  </sheetViews>
  <sheetFormatPr defaultRowHeight="12.75"/>
  <sheetData>
    <row r="1" spans="1:6">
      <c r="A1" t="s">
        <v>183</v>
      </c>
    </row>
    <row r="2" spans="1:6">
      <c r="A2" s="61" t="s">
        <v>181</v>
      </c>
      <c r="B2" s="61" t="s">
        <v>497</v>
      </c>
      <c r="C2" s="61" t="s">
        <v>182</v>
      </c>
      <c r="D2" s="61" t="s">
        <v>564</v>
      </c>
      <c r="E2" s="61" t="s">
        <v>180</v>
      </c>
      <c r="F2" s="61" t="s">
        <v>128</v>
      </c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/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079550B6-E087-47E8-BED0-DBFC7C079E4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13755637-C13A-43DD-9B79-0F9F1B0C6BCC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88</vt:i4>
      </vt:variant>
    </vt:vector>
  </HeadingPairs>
  <TitlesOfParts>
    <vt:vector size="100" baseType="lpstr">
      <vt:lpstr>ImportantDisclosures</vt:lpstr>
      <vt:lpstr>DCF</vt:lpstr>
      <vt:lpstr>IS</vt:lpstr>
      <vt:lpstr>BS</vt:lpstr>
      <vt:lpstr>CF</vt:lpstr>
      <vt:lpstr>hATTR-PN Mkt Model</vt:lpstr>
      <vt:lpstr>Givosiran</vt:lpstr>
      <vt:lpstr>Fitusiran</vt:lpstr>
      <vt:lpstr>ALN-PSCsc</vt:lpstr>
      <vt:lpstr>hATTR-CM Mkt 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Linking_10</vt:lpstr>
      <vt:lpstr>Linking_12</vt:lpstr>
      <vt:lpstr>Givosiran!Linking_13</vt:lpstr>
      <vt:lpstr>Linking_13</vt:lpstr>
      <vt:lpstr>Linking_14</vt:lpstr>
      <vt:lpstr>Linking_19</vt:lpstr>
      <vt:lpstr>Linking_22</vt:lpstr>
      <vt:lpstr>Linking_23</vt:lpstr>
      <vt:lpstr>Linking_24</vt:lpstr>
      <vt:lpstr>Linking_26</vt:lpstr>
      <vt:lpstr>Linking_3</vt:lpstr>
      <vt:lpstr>Linking_4</vt:lpstr>
      <vt:lpstr>Linking_5</vt:lpstr>
      <vt:lpstr>Linking_6</vt:lpstr>
      <vt:lpstr>Givosiran!Linking_7</vt:lpstr>
      <vt:lpstr>Linking_7</vt:lpstr>
      <vt:lpstr>Linking_8</vt:lpstr>
      <vt:lpstr>Linking_9</vt:lpstr>
      <vt:lpstr>Linking_Range_54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2013-01-14T19:20:50Z</dcterms:created>
  <dc:creator>David.Lebowitz@morganstanley.com</dc:creator>
  <cp:lastModifiedBy>Lebowitz, David (Research)</cp:lastModifiedBy>
  <cp:lastPrinted>2018-02-08T21:44:56Z</cp:lastPrinted>
  <dcterms:modified xsi:type="dcterms:W3CDTF">2018-04-13T15:39:50Z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linkTarget="Prop__Plant___Equip_Net" name="_Plant___Equip_Net" pid="2">
    <vt:r8>0</vt:r8>
  </property>
  <property fmtid="{D5CDD505-2E9C-101B-9397-08002B2CF9AE}" name="LinkingAutoNameNumberLinking_Range_" pid="3">
    <vt:lpwstr>54</vt:lpwstr>
  </property>
  <property fmtid="{D5CDD505-2E9C-101B-9397-08002B2CF9AE}" name="{A44787D4-0540-4523-9961-78E4036D8C6D}" pid="4">
    <vt:lpwstr>{CD48FF84-47E9-4016-8EDA-1EF146811801}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761575</vt:lpwstr>
  </property>
  <property fmtid="{D5CDD505-2E9C-101B-9397-08002B2CF9AE}" name="ERModPubCompanyName" pid="8">
    <vt:lpwstr>Alnylam Pharmaceuticals Inc</vt:lpwstr>
  </property>
  <property fmtid="{D5CDD505-2E9C-101B-9397-08002B2CF9AE}" name="MSDH34TAG" pid="9">
    <vt:lpwstr>.TEZUF76X5TAHATHESADREYAK-00-INB160+*94600-06=ebf2dede/-3f30/-11e8/-b3f7/-7a79cfe26848,MD=20180413114406/-0400,ZZ=000Z-3dd2.</vt:lpwstr>
  </property>
</Properties>
</file>