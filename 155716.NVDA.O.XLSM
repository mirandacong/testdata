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15" windowWidth="27960" windowHeight="12915" tabRatio="909" firstSheet="1" activeTab="1"/>
  </bookViews>
  <sheets>
    <sheet name="MW-Cache" sheetId="22" state="veryHidden" r:id="rId1"/>
    <sheet name="ImportantDisclosures" sheetId="38" r:id="rId2"/>
    <sheet name="IS" sheetId="13" r:id="rId3"/>
    <sheet name="BS" sheetId="14" r:id="rId4"/>
    <sheet name="CF" sheetId="15" r:id="rId5"/>
    <sheet name="BU-Segment" sheetId="9" r:id="rId6"/>
    <sheet name="IndexInformation" sheetId="39" r:id="rId7"/>
    <sheet name="ModPubIndex" sheetId="40" r:id="rId8"/>
  </sheets>
  <externalReferences>
    <externalReference r:id="rId9"/>
    <externalReference r:id="rId10"/>
    <externalReference r:id="rId11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[1]Sheet1!$1:$1048576</definedName>
    <definedName name="_Order1" hidden="1">255</definedName>
    <definedName name="_Order2" hidden="1">255</definedName>
    <definedName name="_Regression_Int" hidden="1">1</definedName>
    <definedName name="AccessDatabase" hidden="1">"G:\Frank Lee\TFT-LCD\TFT report_OCT02\TFT_report_data.mdb"</definedName>
    <definedName name="AdditionalInstructions">IndexInformation!$B$42</definedName>
    <definedName name="Address" localSheetId="1">ImportantDisclosures!$A$2:$A$2</definedName>
    <definedName name="ANA" localSheetId="7">ModPubIndex!$A$7</definedName>
    <definedName name="anscount" hidden="1">1</definedName>
    <definedName name="AS2DocOpenMode" hidden="1">"AS2DocumentEdit"</definedName>
    <definedName name="AS2SyncStepLS" hidden="1">0</definedName>
    <definedName name="AS2VersionLS" hidden="1">300</definedName>
    <definedName name="Authors" localSheetId="1">ImportantDisclosures!$A$7</definedName>
    <definedName name="Authors" localSheetId="6">IndexInformation!$B$18</definedName>
    <definedName name="BG_Ins" hidden="1">4</definedName>
    <definedName name="BRO" localSheetId="7">ModPubIndex!$A$1</definedName>
    <definedName name="BS">[2]BS!$B$46:$CU$46</definedName>
    <definedName name="BSMethod">2</definedName>
    <definedName name="Button_1">"TFT_report_data_share_prices_List"</definedName>
    <definedName name="cc_ReportCurrency">"NTD"</definedName>
    <definedName name="cc_ReportCurrencyUnit">"NT$"</definedName>
    <definedName name="cc_ReportCurrencyUnitFactor">1</definedName>
    <definedName name="Conv_mark">0</definedName>
    <definedName name="converting">{"Client Name or Project Name"}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OFFSET([3]c1!$G$12,0,0,COUNTA([3]c1!$G$12:$G$31),1)</definedName>
    <definedName name="Date" localSheetId="1">ImportantDisclosures!$A$8</definedName>
    <definedName name="Dates">OFFSET('[2]Earnings Exhibits'!$A$3,0,COUNTA('[2]Earnings Exhibits'!$3:$3)+2,1,-20)</definedName>
    <definedName name="Dates10">OFFSET('[2]Earnings Exhibits'!$A$3,0,COUNTA('[2]Earnings Exhibits'!$3:$3)+2,1,-38)</definedName>
    <definedName name="DB">"WIREHKPROD"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1">ImportantDisclosures!#REF!</definedName>
    <definedName name="DistTablePreamble" localSheetId="1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DummyEstYears">3</definedName>
    <definedName name="EMAIL_ALERT" localSheetId="7">ModPubIndex!$A$10</definedName>
    <definedName name="EmailAlert" localSheetId="6">IndexInformation!$B$28</definedName>
    <definedName name="esnrc128c1_values" hidden="1">{"TW","COMPANIES",TRUE}</definedName>
    <definedName name="EurosFRF">1</definedName>
    <definedName name="EurosITL">1</definedName>
    <definedName name="FINCriteriaType">1</definedName>
    <definedName name="FineUS">{"Client Name or Project Name"}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forest">{"Client Name or Project Name"}</definedName>
    <definedName name="forest2">{"Client Name or Project Name"}</definedName>
    <definedName name="FR_COM_ABBR">"1122.HK"</definedName>
    <definedName name="FR_COU_ABBR">"chn"</definedName>
    <definedName name="FR_END_DATE">"'31 Dec 2001"</definedName>
    <definedName name="FR_START_DATE">"'1 Jan 2001"</definedName>
    <definedName name="FR_SYBASE_SERVER">"PTKFBVDF01"</definedName>
    <definedName name="FR_TEMPLATE_KEY">"110952|1"</definedName>
    <definedName name="g">{"Client Name or Project Name"}</definedName>
    <definedName name="gg">{"Client Name or Project Name"}</definedName>
    <definedName name="ggg">{"Client Name or Project Name"}</definedName>
    <definedName name="gggg">{"Client Name or Project Name"}</definedName>
    <definedName name="ggggg">{"Client Name or Project Name"}</definedName>
    <definedName name="ggggggg">{"Client Name or Project Name"}</definedName>
    <definedName name="GM">OFFSET('[2]Earnings Exhibits'!$A$10,0,COUNTA('[2]Earnings Exhibits'!$10:$10),1,-19)</definedName>
    <definedName name="GMDates">OFFSET('[2]Earnings Exhibits'!$B$3,0,COUNTA('[2]Earnings Exhibits'!$3:$3),1,-19)</definedName>
    <definedName name="HL" localSheetId="7">ModPubIndex!$A$8</definedName>
    <definedName name="HTML_CodePage" hidden="1">1252</definedName>
    <definedName name="HTML_Description" hidden="1">""</definedName>
    <definedName name="HTML_Email" hidden="1">""</definedName>
    <definedName name="HTML_Header" hidden="1">"Income-Adj"</definedName>
    <definedName name="HTML_LastUpdate" hidden="1">"9/1/99"</definedName>
    <definedName name="HTML_LineAfter" hidden="1">FALSE</definedName>
    <definedName name="HTML_LineBefore" hidden="1">FALSE</definedName>
    <definedName name="HTML_Name" hidden="1">"Neo"</definedName>
    <definedName name="HTML_OBDlg2" hidden="1">TRUE</definedName>
    <definedName name="HTML_OBDlg4" hidden="1">TRUE</definedName>
    <definedName name="HTML_OS" hidden="1">0</definedName>
    <definedName name="HTML_PathFile" hidden="1">"E:\statements-2.0\from_excel.htm"</definedName>
    <definedName name="HTML_Title" hidden="1">"Histo_Statements"</definedName>
    <definedName name="hygiene">{"Client Name or Project Name"}</definedName>
    <definedName name="ICP">0</definedName>
    <definedName name="ictsymbol">"NT$"</definedName>
    <definedName name="icusymbol">"NT$"</definedName>
    <definedName name="IND" localSheetId="7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SMethod">1</definedName>
    <definedName name="iue">1</definedName>
    <definedName name="iuesymbol">"NT$"</definedName>
    <definedName name="iun">1000000</definedName>
    <definedName name="iunsymbol">"NT$m"</definedName>
    <definedName name="ius">1000000</definedName>
    <definedName name="KeepVersions" localSheetId="6">IndexInformation!$B$8</definedName>
    <definedName name="LabelList">OFFSET(LabelData,1,0,ROWS(LabelData)-1,1)</definedName>
    <definedName name="LanguageCode">IndexInformation!$B$38</definedName>
    <definedName name="LastCell" localSheetId="1">ImportantDisclosures!$A$22</definedName>
    <definedName name="Linking_14">IS!$B$2:$CB$54</definedName>
    <definedName name="Linking_15">BS!$B$2:$BB$37</definedName>
    <definedName name="Linking_16">IS!$B$2:$CB$35</definedName>
    <definedName name="Linking_17">IS!$B$6:$CB$54</definedName>
    <definedName name="Linking_18">BS!$B$2:$BB$38</definedName>
    <definedName name="Linking_19">'BU-Segment'!$B$247:$CB$276</definedName>
    <definedName name="Linking_20">'BU-Segment'!$B$247:$BB$276</definedName>
    <definedName name="Linking_21">'BU-Segment'!$B$247:$AX$276</definedName>
    <definedName name="Linking_22">'BU-Segment'!$B$247:$CF$276</definedName>
    <definedName name="Linking_24">BS!$B$7:$BB$38</definedName>
    <definedName name="Linking_25">'BU-Segment'!$B$247:$CF$275</definedName>
    <definedName name="Linking_27">IS!$B$2:$CD$35</definedName>
    <definedName name="Linking_28">IS!$B$2:$CC$35</definedName>
    <definedName name="Linking_29">CF!$B$2:$CC$50</definedName>
    <definedName name="Linking_31">IS!$B$1:$CC$35</definedName>
    <definedName name="Linking_32">BS!$B$6:$BB$38</definedName>
    <definedName name="Linking_33">CF!$B$6:$CC$50</definedName>
    <definedName name="Linking_34">IS!$B$2:$CE$35</definedName>
    <definedName name="Linking_35">CF!$B$2:$CE$50</definedName>
    <definedName name="Linking_37">IS!$B$1:$CE$35</definedName>
    <definedName name="Linking_38">BS!$B$2:$BF$38</definedName>
    <definedName name="Linking_4">IS!$B$2:$CA$81</definedName>
    <definedName name="Linking_40">BS!$A$2:$BF$38</definedName>
    <definedName name="Linking_41">IS!$B$2:$CE$38</definedName>
    <definedName name="Linking_6">0.521664255012753</definedName>
    <definedName name="Linking_7">IS!$B$2:$CB$81</definedName>
    <definedName name="Linking_8">BS!$B$2:$CB$38</definedName>
    <definedName name="Linking_9">CF!$B$2:$CB$50</definedName>
    <definedName name="Linking_Range_11">IS!$B$2:$CA$54</definedName>
    <definedName name="Linking_Range_12">BS!$B$2:$CA$39</definedName>
    <definedName name="Linking_Range_13">BS!$B$2:$CA$38</definedName>
    <definedName name="Linking_Range_14">CF!$B$2:$CA$50</definedName>
    <definedName name="Linking_Range_17">IS!$B$2:$CA$80</definedName>
    <definedName name="Linking_Range_20">'BU-Segment'!$B$247:$BZ$262</definedName>
    <definedName name="Linking_Range_21">'BU-Segment'!$B$247:$BZ$276</definedName>
    <definedName name="Linking_Range_5">IS!$B$2:$BZ$54</definedName>
    <definedName name="Linking_Range_6">BS!$B$2:$BZ$38</definedName>
    <definedName name="Linking_Range_7">CF!$B$2:$BZ$50</definedName>
    <definedName name="Linking_Text_1">IS!$AE$26</definedName>
    <definedName name="MacroVersion" localSheetId="6">IndexInformation!$B$1</definedName>
    <definedName name="ModelPrice" localSheetId="1">ImportantDisclosures!$A$14</definedName>
    <definedName name="Multiplier" localSheetId="6">IndexInformation!$B$35</definedName>
    <definedName name="NextQoQ">OFFSET('[2]Earnings Exhibits'!$A$8,0,COUNTA('[2]Earnings Exhibits'!$6:$6),1,-38)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OM">OFFSET('[2]Earnings Exhibits'!$A$13,0,COUNTA('[2]Earnings Exhibits'!$13:$13),1,-19)</definedName>
    <definedName name="PANA" localSheetId="7">ModPubIndex!$A$11</definedName>
    <definedName name="PathName" localSheetId="6">IndexInformation!$B$25</definedName>
    <definedName name="_xlnm.Print_Area">"Formula removed, name can be deleted."</definedName>
    <definedName name="_xlnm.Print_Titles">"Formula removed, name can be deleted."</definedName>
    <definedName name="PRODUCT" localSheetId="7">ModPubIndex!$A$6</definedName>
    <definedName name="ProjectName">{"Client Name or Project Name"}</definedName>
    <definedName name="PSYM" localSheetId="7">ModPubIndex!$A$4</definedName>
    <definedName name="PublishDate" localSheetId="6">IndexInformation!$B$2</definedName>
    <definedName name="QoQ">OFFSET('[2]Earnings Exhibits'!$A$7,0,COUNTA('[2]Earnings Exhibits'!$6:$6),1,-38)</definedName>
    <definedName name="Rangename">"Summary DCF"</definedName>
    <definedName name="Rating" localSheetId="6">IndexInformation!$B$9</definedName>
    <definedName name="RatingsDefined" localSheetId="1">ImportantDisclosures!$A$21</definedName>
    <definedName name="RatingsDefs" localSheetId="1">ImportantDisclosures!#REF!</definedName>
    <definedName name="Rec.Asset_Debt">0</definedName>
    <definedName name="RegACDisclosure" localSheetId="1">ImportantDisclosures!#REF!</definedName>
    <definedName name="REP_CHT_DivisionalBreakdown">"Chart 416"</definedName>
    <definedName name="REP_CHT_GeographicalBreakdown">"Chart 417"</definedName>
    <definedName name="REP_CHT_Spare1">"Chart 422"</definedName>
    <definedName name="REP_CHT_Spare2">"Chart 423"</definedName>
    <definedName name="ResearchTopic" localSheetId="6">IndexInformation!$B$4</definedName>
    <definedName name="RIC" localSheetId="6">IndexInformation!$B$21</definedName>
    <definedName name="Sales">OFFSET('[2]Earnings Exhibits'!$A$5,0,COUNTA('[2]Earnings Exhibits'!$5:$5),1,-20)</definedName>
    <definedName name="SavedThisSession">FALSE</definedName>
    <definedName name="SECSettlement" localSheetId="1">ImportantDisclosures!#REF!</definedName>
    <definedName name="SEDOL" localSheetId="6">IndexInformation!$B$22</definedName>
    <definedName name="sencount" hidden="1">1</definedName>
    <definedName name="solver_adj" localSheetId="5" hidden="1">'BU-Segment'!$BY$107,'BU-Segment'!$BY$181</definedName>
    <definedName name="solver_adj" localSheetId="2" hidden="1">IS!$BY$18</definedName>
    <definedName name="solver_cvg" localSheetId="5" hidden="1">0.0001</definedName>
    <definedName name="solver_cvg" localSheetId="2" hidden="1">0.0001</definedName>
    <definedName name="solver_drv" localSheetId="5" hidden="1">1</definedName>
    <definedName name="solver_drv" localSheetId="2" hidden="1">1</definedName>
    <definedName name="solver_eng" localSheetId="5" hidden="1">1</definedName>
    <definedName name="solver_eng" localSheetId="2" hidden="1">1</definedName>
    <definedName name="solver_est" localSheetId="5" hidden="1">1</definedName>
    <definedName name="solver_est" localSheetId="2" hidden="1">1</definedName>
    <definedName name="solver_itr" localSheetId="5" hidden="1">2147483647</definedName>
    <definedName name="solver_itr" localSheetId="2" hidden="1">2147483647</definedName>
    <definedName name="solver_mip" localSheetId="5" hidden="1">2147483647</definedName>
    <definedName name="solver_mip" localSheetId="2" hidden="1">2147483647</definedName>
    <definedName name="solver_mni" localSheetId="5" hidden="1">30</definedName>
    <definedName name="solver_mni" localSheetId="2" hidden="1">30</definedName>
    <definedName name="solver_mrt" localSheetId="5" hidden="1">0.075</definedName>
    <definedName name="solver_mrt" localSheetId="2" hidden="1">0.075</definedName>
    <definedName name="solver_msl" localSheetId="5" hidden="1">2</definedName>
    <definedName name="solver_msl" localSheetId="2" hidden="1">2</definedName>
    <definedName name="solver_neg" localSheetId="5" hidden="1">2</definedName>
    <definedName name="solver_neg" localSheetId="2" hidden="1">1</definedName>
    <definedName name="solver_nod" localSheetId="5" hidden="1">2147483647</definedName>
    <definedName name="solver_nod" localSheetId="2" hidden="1">2147483647</definedName>
    <definedName name="solver_num" localSheetId="5" hidden="1">0</definedName>
    <definedName name="solver_num" localSheetId="2" hidden="1">0</definedName>
    <definedName name="solver_nwt" localSheetId="5" hidden="1">1</definedName>
    <definedName name="solver_nwt" localSheetId="2" hidden="1">1</definedName>
    <definedName name="solver_opt" localSheetId="5" hidden="1">'BU-Segment'!$BY$1</definedName>
    <definedName name="solver_opt" localSheetId="2" hidden="1">IS!$CF$16</definedName>
    <definedName name="solver_pre" localSheetId="5" hidden="1">0.0000000001</definedName>
    <definedName name="solver_pre" localSheetId="2" hidden="1">0.000001</definedName>
    <definedName name="solver_rbv" localSheetId="5" hidden="1">1</definedName>
    <definedName name="solver_rbv" localSheetId="2" hidden="1">1</definedName>
    <definedName name="solver_rlx" localSheetId="5" hidden="1">2</definedName>
    <definedName name="solver_rlx" localSheetId="2" hidden="1">2</definedName>
    <definedName name="solver_rsd" localSheetId="5" hidden="1">0</definedName>
    <definedName name="solver_rsd" localSheetId="2" hidden="1">0</definedName>
    <definedName name="solver_scl" localSheetId="5" hidden="1">1</definedName>
    <definedName name="solver_scl" localSheetId="2" hidden="1">1</definedName>
    <definedName name="solver_sho" localSheetId="5" hidden="1">2</definedName>
    <definedName name="solver_sho" localSheetId="2" hidden="1">2</definedName>
    <definedName name="solver_ssz" localSheetId="5" hidden="1">100</definedName>
    <definedName name="solver_ssz" localSheetId="2" hidden="1">100</definedName>
    <definedName name="solver_tim" localSheetId="5" hidden="1">2147483647</definedName>
    <definedName name="solver_tim" localSheetId="2" hidden="1">2147483647</definedName>
    <definedName name="solver_tol" localSheetId="5" hidden="1">0.01</definedName>
    <definedName name="solver_tol" localSheetId="2" hidden="1">0.01</definedName>
    <definedName name="solver_typ" localSheetId="5" hidden="1">3</definedName>
    <definedName name="solver_typ" localSheetId="2" hidden="1">3</definedName>
    <definedName name="solver_val" localSheetId="5" hidden="1">0</definedName>
    <definedName name="solver_val" localSheetId="2" hidden="1">0</definedName>
    <definedName name="solver_ver" localSheetId="5" hidden="1">3</definedName>
    <definedName name="solver_ver" localSheetId="2" hidden="1">3</definedName>
    <definedName name="SourceDefined" localSheetId="1">ImportantDisclosures!$A$19</definedName>
    <definedName name="Stock_dividend">0</definedName>
    <definedName name="StockRating" localSheetId="1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1">ImportantDisclosures!$A$15</definedName>
    <definedName name="TaxTV">10%</definedName>
    <definedName name="TaxXL">5%</definedName>
    <definedName name="Template.WIRE">"DBACCESS"</definedName>
    <definedName name="TemplateRegion">IndexInformation!$B$36</definedName>
    <definedName name="TestAdd">"Test RefersTo1"</definedName>
    <definedName name="TextRefCopyRangeCount" hidden="1">2</definedName>
    <definedName name="Ticker" localSheetId="1">ImportantDisclosures!$A$10</definedName>
    <definedName name="TickerRegion">IndexInformation!$B$41</definedName>
    <definedName name="Tickers" localSheetId="6">IndexInformation!$B$19</definedName>
    <definedName name="Trace">FALSE</definedName>
    <definedName name="UnitStringsList">OFFSET(UnitStrings,0,0,ROWS(UnitStrings),1)</definedName>
    <definedName name="UpdateReason" localSheetId="6">IndexInformation!$B$17</definedName>
    <definedName name="UpgradeVersion">"v2.35"</definedName>
    <definedName name="USRegDisclosures" localSheetId="1">ImportantDisclosures!#REF!</definedName>
    <definedName name="Version">0</definedName>
    <definedName name="Version.WIRE">1</definedName>
    <definedName name="XRefCopyRangeCount" hidden="1">1</definedName>
    <definedName name="Years">"A1:v1"</definedName>
  </definedNames>
  <calcPr calcId="145621"/>
</workbook>
</file>

<file path=xl/calcChain.xml><?xml version="1.0" encoding="utf-8"?>
<calcChain xmlns="http://schemas.openxmlformats.org/spreadsheetml/2006/main">
  <c r="BH32" i="13" l="1"/>
  <c r="BI32" i="13" s="1"/>
  <c r="BJ32" i="13" s="1"/>
  <c r="BD32" i="13"/>
  <c r="BE32" i="13" s="1"/>
  <c r="BF32" i="13" s="1"/>
  <c r="BB241" i="9" l="1"/>
  <c r="BB238" i="9"/>
  <c r="BB240" i="9"/>
  <c r="BB239" i="9"/>
  <c r="BB234" i="9"/>
  <c r="BB233" i="9"/>
  <c r="BB231" i="9"/>
  <c r="BB232" i="9" s="1"/>
  <c r="BB227" i="9"/>
  <c r="BB228" i="9" s="1"/>
  <c r="BB226" i="9"/>
  <c r="BB220" i="9"/>
  <c r="BB219" i="9"/>
  <c r="BB218" i="9"/>
  <c r="BB51" i="15"/>
  <c r="BE76" i="9" l="1"/>
  <c r="BF76" i="9" s="1"/>
  <c r="BD76" i="9"/>
  <c r="CE101" i="13" l="1"/>
  <c r="BX101" i="13"/>
  <c r="BP101" i="13"/>
  <c r="CE100" i="13"/>
  <c r="BQ100" i="13"/>
  <c r="BB101" i="13"/>
  <c r="BA101" i="13"/>
  <c r="AZ101" i="13"/>
  <c r="AY101" i="13"/>
  <c r="AX101" i="13"/>
  <c r="AW101" i="13"/>
  <c r="AV101" i="13"/>
  <c r="AU101" i="13"/>
  <c r="AT101" i="13"/>
  <c r="AS101" i="13"/>
  <c r="AR101" i="13"/>
  <c r="AQ101" i="13"/>
  <c r="AP101" i="13"/>
  <c r="AO101" i="13"/>
  <c r="AN101" i="13"/>
  <c r="AM101" i="13"/>
  <c r="AL101" i="13"/>
  <c r="AK101" i="13"/>
  <c r="AJ101" i="13"/>
  <c r="AI101" i="13"/>
  <c r="AH101" i="13"/>
  <c r="BW101" i="13" s="1"/>
  <c r="AG101" i="13"/>
  <c r="AF101" i="13"/>
  <c r="AE101" i="13"/>
  <c r="AD101" i="13"/>
  <c r="BV101" i="13" s="1"/>
  <c r="AC101" i="13"/>
  <c r="AB101" i="13"/>
  <c r="AA101" i="13"/>
  <c r="Z101" i="13"/>
  <c r="BU101" i="13" s="1"/>
  <c r="Y101" i="13"/>
  <c r="X101" i="13"/>
  <c r="W101" i="13"/>
  <c r="V101" i="13"/>
  <c r="BT101" i="13" s="1"/>
  <c r="U101" i="13"/>
  <c r="T101" i="13"/>
  <c r="S101" i="13"/>
  <c r="R101" i="13"/>
  <c r="BS101" i="13" s="1"/>
  <c r="Q101" i="13"/>
  <c r="P101" i="13"/>
  <c r="O101" i="13"/>
  <c r="N101" i="13"/>
  <c r="BR101" i="13" s="1"/>
  <c r="M101" i="13"/>
  <c r="L101" i="13"/>
  <c r="K101" i="13"/>
  <c r="J101" i="13"/>
  <c r="BQ101" i="13" s="1"/>
  <c r="I101" i="13"/>
  <c r="H101" i="13"/>
  <c r="G101" i="13"/>
  <c r="F101" i="13"/>
  <c r="E101" i="13"/>
  <c r="D101" i="13"/>
  <c r="C101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AO100" i="13"/>
  <c r="AN100" i="13"/>
  <c r="AM100" i="13"/>
  <c r="AL100" i="13"/>
  <c r="BX100" i="13" s="1"/>
  <c r="AK100" i="13"/>
  <c r="AJ100" i="13"/>
  <c r="AI100" i="13"/>
  <c r="AH100" i="13"/>
  <c r="BW100" i="13" s="1"/>
  <c r="AG100" i="13"/>
  <c r="AF100" i="13"/>
  <c r="AE100" i="13"/>
  <c r="AD100" i="13"/>
  <c r="BV100" i="13" s="1"/>
  <c r="AC100" i="13"/>
  <c r="AB100" i="13"/>
  <c r="AA100" i="13"/>
  <c r="Z100" i="13"/>
  <c r="BU100" i="13" s="1"/>
  <c r="Y100" i="13"/>
  <c r="X100" i="13"/>
  <c r="W100" i="13"/>
  <c r="V100" i="13"/>
  <c r="BT100" i="13" s="1"/>
  <c r="U100" i="13"/>
  <c r="T100" i="13"/>
  <c r="S100" i="13"/>
  <c r="R100" i="13"/>
  <c r="BS100" i="13" s="1"/>
  <c r="Q100" i="13"/>
  <c r="P100" i="13"/>
  <c r="O100" i="13"/>
  <c r="N100" i="13"/>
  <c r="BR100" i="13" s="1"/>
  <c r="M100" i="13"/>
  <c r="L100" i="13"/>
  <c r="K100" i="13"/>
  <c r="J100" i="13"/>
  <c r="I100" i="13"/>
  <c r="H100" i="13"/>
  <c r="G100" i="13"/>
  <c r="F100" i="13"/>
  <c r="BP100" i="13" s="1"/>
  <c r="E100" i="13"/>
  <c r="D100" i="13"/>
  <c r="C100" i="13"/>
  <c r="BF98" i="13"/>
  <c r="BC97" i="13"/>
  <c r="AP97" i="13"/>
  <c r="AP96" i="13"/>
  <c r="BC93" i="13"/>
  <c r="BD93" i="13" s="1"/>
  <c r="BE93" i="13" s="1"/>
  <c r="BF93" i="13" s="1"/>
  <c r="BG93" i="13" s="1"/>
  <c r="BH93" i="13" s="1"/>
  <c r="BI93" i="13" s="1"/>
  <c r="BJ93" i="13" s="1"/>
  <c r="BK93" i="13" s="1"/>
  <c r="BL93" i="13" s="1"/>
  <c r="BM93" i="13" s="1"/>
  <c r="BN93" i="13" s="1"/>
  <c r="AO93" i="13"/>
  <c r="AM91" i="13"/>
  <c r="AK91" i="13"/>
  <c r="AG91" i="13"/>
  <c r="AE91" i="13"/>
  <c r="AC91" i="13"/>
  <c r="AA91" i="13"/>
  <c r="Y91" i="13"/>
  <c r="W91" i="13"/>
  <c r="U91" i="13"/>
  <c r="Q91" i="13"/>
  <c r="O91" i="13"/>
  <c r="M91" i="13"/>
  <c r="K91" i="13"/>
  <c r="I91" i="13"/>
  <c r="G91" i="13"/>
  <c r="E91" i="13"/>
  <c r="AY91" i="13"/>
  <c r="AX91" i="13"/>
  <c r="AQ91" i="13"/>
  <c r="BC90" i="13"/>
  <c r="BA91" i="13"/>
  <c r="AZ91" i="13"/>
  <c r="CB90" i="13"/>
  <c r="AW91" i="13"/>
  <c r="CA90" i="13"/>
  <c r="AU91" i="13"/>
  <c r="AT91" i="13"/>
  <c r="AS91" i="13"/>
  <c r="AR91" i="13"/>
  <c r="BY90" i="13"/>
  <c r="AL91" i="13"/>
  <c r="AJ91" i="13"/>
  <c r="AI91" i="13"/>
  <c r="AH91" i="13"/>
  <c r="AF91" i="13"/>
  <c r="BW90" i="13"/>
  <c r="AD91" i="13"/>
  <c r="AB91" i="13"/>
  <c r="BV91" i="13" s="1"/>
  <c r="Z91" i="13"/>
  <c r="BU90" i="13"/>
  <c r="V91" i="13"/>
  <c r="BT90" i="13"/>
  <c r="S91" i="13"/>
  <c r="R91" i="13"/>
  <c r="P91" i="13"/>
  <c r="N91" i="13"/>
  <c r="L91" i="13"/>
  <c r="J91" i="13"/>
  <c r="H91" i="13"/>
  <c r="F91" i="13"/>
  <c r="BP90" i="13"/>
  <c r="AU88" i="13"/>
  <c r="AQ88" i="13"/>
  <c r="AP88" i="13"/>
  <c r="AM88" i="13"/>
  <c r="AE88" i="13"/>
  <c r="AA88" i="13"/>
  <c r="Z88" i="13"/>
  <c r="W88" i="13"/>
  <c r="O88" i="13"/>
  <c r="K88" i="13"/>
  <c r="J88" i="13"/>
  <c r="G88" i="13"/>
  <c r="C113" i="13"/>
  <c r="AY87" i="13"/>
  <c r="AQ87" i="13"/>
  <c r="AM87" i="13"/>
  <c r="AI87" i="13"/>
  <c r="AA87" i="13"/>
  <c r="W87" i="13"/>
  <c r="S87" i="13"/>
  <c r="K87" i="13"/>
  <c r="G87" i="13"/>
  <c r="CA86" i="13"/>
  <c r="BZ86" i="13"/>
  <c r="AP86" i="13"/>
  <c r="AL86" i="13"/>
  <c r="AH86" i="13"/>
  <c r="AD86" i="13"/>
  <c r="Z86" i="13"/>
  <c r="V86" i="13"/>
  <c r="R86" i="13"/>
  <c r="N86" i="13"/>
  <c r="J86" i="13"/>
  <c r="F86" i="13"/>
  <c r="BB113" i="13"/>
  <c r="AY113" i="13"/>
  <c r="AX113" i="13"/>
  <c r="AX87" i="13"/>
  <c r="AU113" i="13"/>
  <c r="AT113" i="13"/>
  <c r="AQ113" i="13"/>
  <c r="AP113" i="13"/>
  <c r="AL113" i="13"/>
  <c r="AK86" i="13"/>
  <c r="AJ86" i="13"/>
  <c r="AH113" i="13"/>
  <c r="AH87" i="13"/>
  <c r="AD113" i="13"/>
  <c r="Z113" i="13"/>
  <c r="V113" i="13"/>
  <c r="U86" i="13"/>
  <c r="T86" i="13"/>
  <c r="R113" i="13"/>
  <c r="Q87" i="13"/>
  <c r="N113" i="13"/>
  <c r="M87" i="13"/>
  <c r="J113" i="13"/>
  <c r="F113" i="13"/>
  <c r="F87" i="13"/>
  <c r="D88" i="13"/>
  <c r="BB88" i="13"/>
  <c r="BC88" i="13" s="1"/>
  <c r="BD88" i="13" s="1"/>
  <c r="BE88" i="13" s="1"/>
  <c r="BF88" i="13" s="1"/>
  <c r="BG88" i="13" s="1"/>
  <c r="BH88" i="13" s="1"/>
  <c r="BI88" i="13" s="1"/>
  <c r="BJ88" i="13" s="1"/>
  <c r="BK88" i="13" s="1"/>
  <c r="BL88" i="13" s="1"/>
  <c r="BM88" i="13" s="1"/>
  <c r="BN88" i="13" s="1"/>
  <c r="CB84" i="13"/>
  <c r="AX88" i="13"/>
  <c r="AT88" i="13"/>
  <c r="BY84" i="13"/>
  <c r="AL88" i="13"/>
  <c r="BX84" i="13"/>
  <c r="AH88" i="13"/>
  <c r="BW84" i="13"/>
  <c r="AD88" i="13"/>
  <c r="BV84" i="13"/>
  <c r="V88" i="13"/>
  <c r="BT84" i="13"/>
  <c r="R88" i="13"/>
  <c r="BS84" i="13"/>
  <c r="N88" i="13"/>
  <c r="F88" i="13"/>
  <c r="BP84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CE73" i="13"/>
  <c r="CD73" i="13"/>
  <c r="CC73" i="13"/>
  <c r="CB73" i="13"/>
  <c r="AX73" i="13"/>
  <c r="AW73" i="13"/>
  <c r="BX73" i="13"/>
  <c r="BT73" i="13"/>
  <c r="BP73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CB71" i="13"/>
  <c r="BZ71" i="13"/>
  <c r="BY71" i="13"/>
  <c r="BV71" i="13"/>
  <c r="BR71" i="13"/>
  <c r="BQ71" i="13"/>
  <c r="CE72" i="13"/>
  <c r="CB72" i="13"/>
  <c r="CA72" i="13"/>
  <c r="CE71" i="13"/>
  <c r="CD71" i="13"/>
  <c r="CC71" i="13"/>
  <c r="BU71" i="13"/>
  <c r="CB66" i="13"/>
  <c r="BC67" i="13"/>
  <c r="CB67" i="13"/>
  <c r="CE66" i="13"/>
  <c r="CD66" i="13"/>
  <c r="CC66" i="13"/>
  <c r="BE65" i="13"/>
  <c r="BD65" i="13"/>
  <c r="BZ67" i="13"/>
  <c r="BY67" i="13"/>
  <c r="BX67" i="13"/>
  <c r="BV67" i="13"/>
  <c r="BV47" i="13" s="1"/>
  <c r="BU67" i="13"/>
  <c r="BT67" i="13"/>
  <c r="BR67" i="13"/>
  <c r="BR47" i="13" s="1"/>
  <c r="BQ67" i="13"/>
  <c r="BQ47" i="13" s="1"/>
  <c r="BP67" i="13"/>
  <c r="CA66" i="13"/>
  <c r="BZ66" i="13"/>
  <c r="BY66" i="13"/>
  <c r="BX66" i="13"/>
  <c r="BW66" i="13"/>
  <c r="BY65" i="13"/>
  <c r="BR65" i="13"/>
  <c r="CB60" i="13"/>
  <c r="CA60" i="13"/>
  <c r="CE60" i="13"/>
  <c r="CD60" i="13"/>
  <c r="CC60" i="13"/>
  <c r="BZ60" i="13"/>
  <c r="BC59" i="13"/>
  <c r="CB59" i="13"/>
  <c r="CA59" i="13"/>
  <c r="BX59" i="13"/>
  <c r="BW59" i="13"/>
  <c r="BT59" i="13"/>
  <c r="BS59" i="13"/>
  <c r="BP59" i="13"/>
  <c r="BU47" i="13"/>
  <c r="BT47" i="13"/>
  <c r="BP47" i="13"/>
  <c r="BC47" i="13"/>
  <c r="BC116" i="13" s="1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E47" i="13"/>
  <c r="D47" i="13"/>
  <c r="C47" i="13"/>
  <c r="BC46" i="13"/>
  <c r="BC45" i="13"/>
  <c r="BC48" i="13" s="1"/>
  <c r="CD36" i="13"/>
  <c r="BX36" i="13"/>
  <c r="CC36" i="13"/>
  <c r="BV36" i="13"/>
  <c r="BT36" i="13"/>
  <c r="CB36" i="13"/>
  <c r="CE36" i="13"/>
  <c r="BS36" i="13"/>
  <c r="BR36" i="13"/>
  <c r="BW36" i="13"/>
  <c r="BQ36" i="13"/>
  <c r="BZ36" i="13"/>
  <c r="BP36" i="13"/>
  <c r="CA36" i="13"/>
  <c r="BU36" i="13"/>
  <c r="BY36" i="13"/>
  <c r="BB91" i="13" l="1"/>
  <c r="CB91" i="13" s="1"/>
  <c r="BD59" i="13"/>
  <c r="BE59" i="13" s="1"/>
  <c r="BF59" i="13" s="1"/>
  <c r="BG59" i="13" s="1"/>
  <c r="BQ59" i="13"/>
  <c r="BR59" i="13"/>
  <c r="BU59" i="13"/>
  <c r="BV59" i="13"/>
  <c r="BY59" i="13"/>
  <c r="BZ59" i="13"/>
  <c r="BC77" i="13"/>
  <c r="BD67" i="13"/>
  <c r="D77" i="13"/>
  <c r="H77" i="13"/>
  <c r="L77" i="13"/>
  <c r="P77" i="13"/>
  <c r="T77" i="13"/>
  <c r="X77" i="13"/>
  <c r="AB77" i="13"/>
  <c r="AF77" i="13"/>
  <c r="AJ77" i="13"/>
  <c r="AN77" i="13"/>
  <c r="F77" i="13"/>
  <c r="J77" i="13"/>
  <c r="N77" i="13"/>
  <c r="R77" i="13"/>
  <c r="V77" i="13"/>
  <c r="Z77" i="13"/>
  <c r="AD77" i="13"/>
  <c r="AH77" i="13"/>
  <c r="AL77" i="13"/>
  <c r="AP77" i="13"/>
  <c r="AT77" i="13"/>
  <c r="AW77" i="13"/>
  <c r="C77" i="13"/>
  <c r="G77" i="13"/>
  <c r="BQ65" i="13"/>
  <c r="K77" i="13"/>
  <c r="O77" i="13"/>
  <c r="BS77" i="13" s="1"/>
  <c r="S77" i="13"/>
  <c r="W77" i="13"/>
  <c r="BU65" i="13"/>
  <c r="AA77" i="13"/>
  <c r="AE77" i="13"/>
  <c r="AI77" i="13"/>
  <c r="BX65" i="13"/>
  <c r="AM77" i="13"/>
  <c r="AQ77" i="13"/>
  <c r="AU77" i="13"/>
  <c r="BD77" i="13"/>
  <c r="BD78" i="13" s="1"/>
  <c r="BS65" i="13"/>
  <c r="BZ65" i="13"/>
  <c r="BA77" i="13"/>
  <c r="AZ77" i="13"/>
  <c r="AR77" i="13"/>
  <c r="AY77" i="13"/>
  <c r="CB65" i="13"/>
  <c r="BT65" i="13"/>
  <c r="CA65" i="13"/>
  <c r="BB77" i="13"/>
  <c r="E77" i="13"/>
  <c r="I77" i="13"/>
  <c r="M77" i="13"/>
  <c r="Q77" i="13"/>
  <c r="U77" i="13"/>
  <c r="Y77" i="13"/>
  <c r="AC77" i="13"/>
  <c r="AG77" i="13"/>
  <c r="AK77" i="13"/>
  <c r="AO77" i="13"/>
  <c r="AS77" i="13"/>
  <c r="BS67" i="13"/>
  <c r="BS47" i="13" s="1"/>
  <c r="BW67" i="13"/>
  <c r="CA67" i="13"/>
  <c r="BF65" i="13"/>
  <c r="BP65" i="13"/>
  <c r="BV65" i="13"/>
  <c r="BW65" i="13"/>
  <c r="CC65" i="13"/>
  <c r="AV77" i="13"/>
  <c r="BP71" i="13"/>
  <c r="BS71" i="13"/>
  <c r="BT71" i="13"/>
  <c r="BW71" i="13"/>
  <c r="BX71" i="13"/>
  <c r="CA71" i="13"/>
  <c r="CC72" i="13"/>
  <c r="CD72" i="13"/>
  <c r="BQ73" i="13"/>
  <c r="BR73" i="13"/>
  <c r="BS73" i="13"/>
  <c r="BU73" i="13"/>
  <c r="BV73" i="13"/>
  <c r="BW73" i="13"/>
  <c r="BY73" i="13"/>
  <c r="BZ73" i="13"/>
  <c r="CA73" i="13"/>
  <c r="AX77" i="13"/>
  <c r="D86" i="13"/>
  <c r="V87" i="13"/>
  <c r="AG87" i="13"/>
  <c r="BC91" i="13"/>
  <c r="BD90" i="13"/>
  <c r="BR91" i="13"/>
  <c r="BR84" i="13"/>
  <c r="CA84" i="13"/>
  <c r="D113" i="13"/>
  <c r="D87" i="13"/>
  <c r="H113" i="13"/>
  <c r="H87" i="13"/>
  <c r="H88" i="13"/>
  <c r="H86" i="13"/>
  <c r="L113" i="13"/>
  <c r="L87" i="13"/>
  <c r="L88" i="13"/>
  <c r="L86" i="13"/>
  <c r="P113" i="13"/>
  <c r="P87" i="13"/>
  <c r="P88" i="13"/>
  <c r="T113" i="13"/>
  <c r="T87" i="13"/>
  <c r="BT85" i="13"/>
  <c r="X113" i="13"/>
  <c r="X87" i="13"/>
  <c r="X88" i="13"/>
  <c r="X86" i="13"/>
  <c r="AB113" i="13"/>
  <c r="AB87" i="13"/>
  <c r="AB88" i="13"/>
  <c r="AB86" i="13"/>
  <c r="AF113" i="13"/>
  <c r="AF87" i="13"/>
  <c r="AF88" i="13"/>
  <c r="AJ113" i="13"/>
  <c r="AJ87" i="13"/>
  <c r="AN113" i="13"/>
  <c r="AN87" i="13"/>
  <c r="AN88" i="13"/>
  <c r="AN86" i="13"/>
  <c r="AR113" i="13"/>
  <c r="AR87" i="13"/>
  <c r="AR88" i="13"/>
  <c r="BZ85" i="13"/>
  <c r="AV113" i="13"/>
  <c r="AV87" i="13"/>
  <c r="CA85" i="13"/>
  <c r="AV88" i="13"/>
  <c r="AZ113" i="13"/>
  <c r="AZ87" i="13"/>
  <c r="E86" i="13"/>
  <c r="T88" i="13"/>
  <c r="BX91" i="13"/>
  <c r="CA91" i="13"/>
  <c r="E113" i="13"/>
  <c r="E88" i="13"/>
  <c r="E87" i="13"/>
  <c r="I113" i="13"/>
  <c r="I88" i="13"/>
  <c r="I87" i="13"/>
  <c r="J87" i="13"/>
  <c r="M113" i="13"/>
  <c r="M88" i="13"/>
  <c r="N87" i="13"/>
  <c r="M86" i="13"/>
  <c r="Q113" i="13"/>
  <c r="Q88" i="13"/>
  <c r="Q86" i="13"/>
  <c r="U113" i="13"/>
  <c r="U88" i="13"/>
  <c r="U87" i="13"/>
  <c r="Y113" i="13"/>
  <c r="Y88" i="13"/>
  <c r="Y87" i="13"/>
  <c r="Z87" i="13"/>
  <c r="AC113" i="13"/>
  <c r="AC88" i="13"/>
  <c r="AD87" i="13"/>
  <c r="AC86" i="13"/>
  <c r="AG113" i="13"/>
  <c r="AG88" i="13"/>
  <c r="AG86" i="13"/>
  <c r="AK113" i="13"/>
  <c r="AK88" i="13"/>
  <c r="AK87" i="13"/>
  <c r="AO113" i="13"/>
  <c r="AO88" i="13"/>
  <c r="AO87" i="13"/>
  <c r="AP87" i="13"/>
  <c r="AS113" i="13"/>
  <c r="AS88" i="13"/>
  <c r="AT87" i="13"/>
  <c r="AW113" i="13"/>
  <c r="AW88" i="13"/>
  <c r="BA113" i="13"/>
  <c r="BA88" i="13"/>
  <c r="BA87" i="13"/>
  <c r="P86" i="13"/>
  <c r="AF86" i="13"/>
  <c r="R87" i="13"/>
  <c r="AS87" i="13"/>
  <c r="BB87" i="13"/>
  <c r="BQ85" i="13"/>
  <c r="AJ88" i="13"/>
  <c r="BS91" i="13"/>
  <c r="I86" i="13"/>
  <c r="Y86" i="13"/>
  <c r="AO86" i="13"/>
  <c r="AC87" i="13"/>
  <c r="AL87" i="13"/>
  <c r="AW87" i="13"/>
  <c r="BS85" i="13"/>
  <c r="BX85" i="13"/>
  <c r="AZ88" i="13"/>
  <c r="BQ84" i="13"/>
  <c r="BU84" i="13"/>
  <c r="BZ84" i="13"/>
  <c r="BC84" i="13"/>
  <c r="G113" i="13"/>
  <c r="G86" i="13"/>
  <c r="K113" i="13"/>
  <c r="BR85" i="13"/>
  <c r="K86" i="13"/>
  <c r="O113" i="13"/>
  <c r="O86" i="13"/>
  <c r="S113" i="13"/>
  <c r="S86" i="13"/>
  <c r="W113" i="13"/>
  <c r="W86" i="13"/>
  <c r="AA113" i="13"/>
  <c r="BV85" i="13"/>
  <c r="AA86" i="13"/>
  <c r="AE113" i="13"/>
  <c r="AE86" i="13"/>
  <c r="BW86" i="13" s="1"/>
  <c r="AI113" i="13"/>
  <c r="AI86" i="13"/>
  <c r="BX86" i="13" s="1"/>
  <c r="AM113" i="13"/>
  <c r="BY85" i="13"/>
  <c r="AM86" i="13"/>
  <c r="O87" i="13"/>
  <c r="AE87" i="13"/>
  <c r="AU87" i="13"/>
  <c r="BP85" i="13"/>
  <c r="BU85" i="13"/>
  <c r="BW85" i="13"/>
  <c r="CB85" i="13"/>
  <c r="C86" i="13"/>
  <c r="C88" i="13"/>
  <c r="S88" i="13"/>
  <c r="AI88" i="13"/>
  <c r="AY88" i="13"/>
  <c r="BR90" i="13"/>
  <c r="BV90" i="13"/>
  <c r="BZ90" i="13"/>
  <c r="BQ90" i="13"/>
  <c r="X91" i="13"/>
  <c r="AN91" i="13"/>
  <c r="BY91" i="13" s="1"/>
  <c r="BZ91" i="13"/>
  <c r="AV91" i="13"/>
  <c r="BS90" i="13"/>
  <c r="BX90" i="13"/>
  <c r="D91" i="13"/>
  <c r="BP91" i="13" s="1"/>
  <c r="T91" i="13"/>
  <c r="BT91" i="13" s="1"/>
  <c r="CB86" i="13"/>
  <c r="BQ91" i="13"/>
  <c r="BU91" i="13"/>
  <c r="AY38" i="13"/>
  <c r="AU38" i="13"/>
  <c r="AQ38" i="13"/>
  <c r="AM38" i="13"/>
  <c r="AI38" i="13"/>
  <c r="BB38" i="13"/>
  <c r="BC38" i="13" s="1"/>
  <c r="BA38" i="13"/>
  <c r="AZ38" i="13"/>
  <c r="AX38" i="13"/>
  <c r="AV38" i="13"/>
  <c r="AT38" i="13"/>
  <c r="AS38" i="13"/>
  <c r="AR38" i="13"/>
  <c r="AP38" i="13"/>
  <c r="AO38" i="13"/>
  <c r="AN38" i="13"/>
  <c r="AL38" i="13"/>
  <c r="AK38" i="13"/>
  <c r="AJ38" i="13"/>
  <c r="AH38" i="13"/>
  <c r="AM36" i="13"/>
  <c r="AX36" i="13"/>
  <c r="AQ36" i="13"/>
  <c r="BI36" i="13"/>
  <c r="AI36" i="13"/>
  <c r="BJ36" i="13"/>
  <c r="BC36" i="13"/>
  <c r="BF36" i="13"/>
  <c r="AP36" i="13"/>
  <c r="AJ36" i="13"/>
  <c r="BD36" i="13"/>
  <c r="AS36" i="13"/>
  <c r="AR36" i="13"/>
  <c r="AW36" i="13"/>
  <c r="AK36" i="13"/>
  <c r="BG36" i="13"/>
  <c r="BN36" i="13"/>
  <c r="BA36" i="13"/>
  <c r="BL36" i="13"/>
  <c r="BH36" i="13"/>
  <c r="AV36" i="13"/>
  <c r="BB36" i="13"/>
  <c r="BE36" i="13"/>
  <c r="AN36" i="13"/>
  <c r="AZ36" i="13"/>
  <c r="AU36" i="13"/>
  <c r="BK36" i="13"/>
  <c r="AY36" i="13"/>
  <c r="AL36" i="13"/>
  <c r="BM36" i="13"/>
  <c r="AO36" i="13"/>
  <c r="AT36" i="13"/>
  <c r="AH36" i="13"/>
  <c r="BV77" i="13" l="1"/>
  <c r="BP77" i="13"/>
  <c r="BY86" i="13"/>
  <c r="BD38" i="13"/>
  <c r="BC37" i="13"/>
  <c r="BY113" i="13"/>
  <c r="BY88" i="13"/>
  <c r="BY87" i="13"/>
  <c r="BR113" i="13"/>
  <c r="BR88" i="13"/>
  <c r="BR87" i="13"/>
  <c r="BX37" i="13"/>
  <c r="BX38" i="13" s="1"/>
  <c r="BY37" i="13"/>
  <c r="BY38" i="13" s="1"/>
  <c r="BZ37" i="13"/>
  <c r="BZ38" i="13" s="1"/>
  <c r="CB37" i="13"/>
  <c r="CB38" i="13" s="1"/>
  <c r="BP113" i="13"/>
  <c r="BP88" i="13"/>
  <c r="BV113" i="13"/>
  <c r="BV88" i="13"/>
  <c r="BV87" i="13"/>
  <c r="BQ113" i="13"/>
  <c r="BQ88" i="13"/>
  <c r="BQ87" i="13"/>
  <c r="BZ113" i="13"/>
  <c r="BZ88" i="13"/>
  <c r="BZ87" i="13"/>
  <c r="BG65" i="13"/>
  <c r="CB77" i="13"/>
  <c r="BZ77" i="13"/>
  <c r="BW77" i="13"/>
  <c r="BT77" i="13"/>
  <c r="BQ77" i="13"/>
  <c r="BC85" i="13"/>
  <c r="CA113" i="13"/>
  <c r="CA88" i="13"/>
  <c r="CA87" i="13"/>
  <c r="BT113" i="13"/>
  <c r="BT88" i="13"/>
  <c r="BT87" i="13"/>
  <c r="BY77" i="13"/>
  <c r="AW37" i="13"/>
  <c r="AW38" i="13" s="1"/>
  <c r="BW113" i="13"/>
  <c r="BW88" i="13"/>
  <c r="BW87" i="13"/>
  <c r="BX113" i="13"/>
  <c r="BX88" i="13"/>
  <c r="BX87" i="13"/>
  <c r="BE90" i="13"/>
  <c r="BD91" i="13"/>
  <c r="BD84" i="13" s="1"/>
  <c r="BR77" i="13"/>
  <c r="BE67" i="13"/>
  <c r="BD47" i="13"/>
  <c r="BD116" i="13" s="1"/>
  <c r="BH59" i="13"/>
  <c r="BI59" i="13" s="1"/>
  <c r="BJ59" i="13" s="1"/>
  <c r="BK59" i="13" s="1"/>
  <c r="CD59" i="13"/>
  <c r="CB113" i="13"/>
  <c r="CB87" i="13"/>
  <c r="CB88" i="13"/>
  <c r="BU113" i="13"/>
  <c r="BU88" i="13"/>
  <c r="BU87" i="13"/>
  <c r="BS113" i="13"/>
  <c r="BS88" i="13"/>
  <c r="BS87" i="13"/>
  <c r="CA77" i="13"/>
  <c r="BX77" i="13"/>
  <c r="BU77" i="13"/>
  <c r="BC78" i="13"/>
  <c r="CC59" i="13"/>
  <c r="V36" i="13"/>
  <c r="C36" i="13"/>
  <c r="T36" i="13"/>
  <c r="U36" i="13"/>
  <c r="O36" i="13"/>
  <c r="R36" i="13"/>
  <c r="X36" i="13"/>
  <c r="Q36" i="13"/>
  <c r="J36" i="13"/>
  <c r="Z36" i="13"/>
  <c r="AF36" i="13"/>
  <c r="P36" i="13"/>
  <c r="W36" i="13"/>
  <c r="F36" i="13"/>
  <c r="L36" i="13"/>
  <c r="AC36" i="13"/>
  <c r="H36" i="13"/>
  <c r="Y36" i="13"/>
  <c r="D36" i="13"/>
  <c r="AB36" i="13"/>
  <c r="AD36" i="13"/>
  <c r="N36" i="13"/>
  <c r="G36" i="13"/>
  <c r="AG36" i="13"/>
  <c r="K36" i="13"/>
  <c r="AA36" i="13"/>
  <c r="M36" i="13"/>
  <c r="AE36" i="13"/>
  <c r="S36" i="13"/>
  <c r="E36" i="13"/>
  <c r="I36" i="13"/>
  <c r="CA37" i="13" l="1"/>
  <c r="CA38" i="13" s="1"/>
  <c r="BF67" i="13"/>
  <c r="BE47" i="13"/>
  <c r="BE116" i="13" s="1"/>
  <c r="BE77" i="13"/>
  <c r="BE91" i="13"/>
  <c r="BF90" i="13"/>
  <c r="CC90" i="13" s="1"/>
  <c r="BD85" i="13"/>
  <c r="BH65" i="13"/>
  <c r="BC113" i="13"/>
  <c r="BC87" i="13"/>
  <c r="BC86" i="13"/>
  <c r="BL59" i="13"/>
  <c r="BM59" i="13" s="1"/>
  <c r="BN59" i="13" s="1"/>
  <c r="BE38" i="13"/>
  <c r="BD37" i="13"/>
  <c r="BL32" i="13"/>
  <c r="BM32" i="13" s="1"/>
  <c r="BN32" i="13" s="1"/>
  <c r="BP31" i="13"/>
  <c r="BC29" i="13"/>
  <c r="BW29" i="13"/>
  <c r="BW99" i="13" s="1"/>
  <c r="BS29" i="13"/>
  <c r="BS99" i="13" s="1"/>
  <c r="C97" i="13"/>
  <c r="AP50" i="13"/>
  <c r="BX28" i="13"/>
  <c r="BS28" i="13"/>
  <c r="BW31" i="13"/>
  <c r="BS31" i="13"/>
  <c r="BU29" i="13"/>
  <c r="BU99" i="13" s="1"/>
  <c r="BQ29" i="13"/>
  <c r="BQ99" i="13" s="1"/>
  <c r="BV28" i="13"/>
  <c r="BR28" i="13"/>
  <c r="BW27" i="13"/>
  <c r="BU27" i="13"/>
  <c r="BU116" i="13" s="1"/>
  <c r="CE59" i="13" l="1"/>
  <c r="BX98" i="13"/>
  <c r="BS98" i="13"/>
  <c r="BS50" i="13"/>
  <c r="F116" i="13"/>
  <c r="F70" i="13"/>
  <c r="F74" i="13" s="1"/>
  <c r="R116" i="13"/>
  <c r="R70" i="13"/>
  <c r="R74" i="13" s="1"/>
  <c r="AD116" i="13"/>
  <c r="AD70" i="13"/>
  <c r="AD74" i="13" s="1"/>
  <c r="AP116" i="13"/>
  <c r="AP70" i="13"/>
  <c r="AP74" i="13" s="1"/>
  <c r="BB70" i="13"/>
  <c r="BB74" i="13" s="1"/>
  <c r="J98" i="13"/>
  <c r="J96" i="13"/>
  <c r="J50" i="13"/>
  <c r="V98" i="13"/>
  <c r="V96" i="13"/>
  <c r="V50" i="13"/>
  <c r="AD98" i="13"/>
  <c r="AD96" i="13"/>
  <c r="AD50" i="13"/>
  <c r="AH98" i="13"/>
  <c r="AH96" i="13"/>
  <c r="AH50" i="13"/>
  <c r="BB98" i="13"/>
  <c r="BB96" i="13"/>
  <c r="BB50" i="13"/>
  <c r="L99" i="13"/>
  <c r="L97" i="13"/>
  <c r="AB99" i="13"/>
  <c r="AB97" i="13"/>
  <c r="AN99" i="13"/>
  <c r="AN97" i="13"/>
  <c r="BF38" i="13"/>
  <c r="BG67" i="13"/>
  <c r="BF47" i="13"/>
  <c r="BF116" i="13" s="1"/>
  <c r="BF77" i="13"/>
  <c r="BF78" i="13" s="1"/>
  <c r="C116" i="13"/>
  <c r="C70" i="13"/>
  <c r="G116" i="13"/>
  <c r="G70" i="13"/>
  <c r="K116" i="13"/>
  <c r="K70" i="13"/>
  <c r="O116" i="13"/>
  <c r="O70" i="13"/>
  <c r="S116" i="13"/>
  <c r="S70" i="13"/>
  <c r="W116" i="13"/>
  <c r="W70" i="13"/>
  <c r="AA116" i="13"/>
  <c r="AA70" i="13"/>
  <c r="AE116" i="13"/>
  <c r="AE70" i="13"/>
  <c r="AI116" i="13"/>
  <c r="AI70" i="13"/>
  <c r="AM116" i="13"/>
  <c r="AM70" i="13"/>
  <c r="AQ116" i="13"/>
  <c r="AQ70" i="13"/>
  <c r="AU70" i="13"/>
  <c r="AY70" i="13"/>
  <c r="BP27" i="13"/>
  <c r="BP116" i="13" s="1"/>
  <c r="BT27" i="13"/>
  <c r="BT116" i="13" s="1"/>
  <c r="BX27" i="13"/>
  <c r="BW28" i="13"/>
  <c r="BR29" i="13"/>
  <c r="BR99" i="13" s="1"/>
  <c r="BV29" i="13"/>
  <c r="BV99" i="13" s="1"/>
  <c r="BT31" i="13"/>
  <c r="BX31" i="13"/>
  <c r="C96" i="13"/>
  <c r="C50" i="13"/>
  <c r="G98" i="13"/>
  <c r="G96" i="13"/>
  <c r="G50" i="13"/>
  <c r="K98" i="13"/>
  <c r="K96" i="13"/>
  <c r="K50" i="13"/>
  <c r="O98" i="13"/>
  <c r="O96" i="13"/>
  <c r="O50" i="13"/>
  <c r="S98" i="13"/>
  <c r="S96" i="13"/>
  <c r="S50" i="13"/>
  <c r="W98" i="13"/>
  <c r="W96" i="13"/>
  <c r="W50" i="13"/>
  <c r="AA98" i="13"/>
  <c r="AA96" i="13"/>
  <c r="AA50" i="13"/>
  <c r="AE98" i="13"/>
  <c r="AE96" i="13"/>
  <c r="AE50" i="13"/>
  <c r="AI98" i="13"/>
  <c r="AI96" i="13"/>
  <c r="AI50" i="13"/>
  <c r="AM98" i="13"/>
  <c r="AM96" i="13"/>
  <c r="AM50" i="13"/>
  <c r="AQ98" i="13"/>
  <c r="AQ96" i="13"/>
  <c r="AQ50" i="13"/>
  <c r="AU98" i="13"/>
  <c r="AU96" i="13"/>
  <c r="AU50" i="13"/>
  <c r="AY98" i="13"/>
  <c r="AY96" i="13"/>
  <c r="AY50" i="13"/>
  <c r="BC28" i="13"/>
  <c r="E99" i="13"/>
  <c r="E97" i="13"/>
  <c r="BP97" i="13" s="1"/>
  <c r="I99" i="13"/>
  <c r="I97" i="13"/>
  <c r="M99" i="13"/>
  <c r="M97" i="13"/>
  <c r="Q99" i="13"/>
  <c r="Q97" i="13"/>
  <c r="U99" i="13"/>
  <c r="U97" i="13"/>
  <c r="Y99" i="13"/>
  <c r="Y97" i="13"/>
  <c r="AC99" i="13"/>
  <c r="AC97" i="13"/>
  <c r="AG99" i="13"/>
  <c r="AG97" i="13"/>
  <c r="AK99" i="13"/>
  <c r="AK97" i="13"/>
  <c r="AO99" i="13"/>
  <c r="AO97" i="13"/>
  <c r="AS99" i="13"/>
  <c r="AS97" i="13"/>
  <c r="AW99" i="13"/>
  <c r="AW97" i="13"/>
  <c r="BA99" i="13"/>
  <c r="BA97" i="13"/>
  <c r="BD113" i="13"/>
  <c r="BD87" i="13"/>
  <c r="CC67" i="13"/>
  <c r="J116" i="13"/>
  <c r="J70" i="13"/>
  <c r="J74" i="13" s="1"/>
  <c r="V116" i="13"/>
  <c r="V70" i="13"/>
  <c r="V74" i="13" s="1"/>
  <c r="AH116" i="13"/>
  <c r="AH70" i="13"/>
  <c r="AH74" i="13" s="1"/>
  <c r="AT70" i="13"/>
  <c r="AT74" i="13" s="1"/>
  <c r="F98" i="13"/>
  <c r="F96" i="13"/>
  <c r="F50" i="13"/>
  <c r="R98" i="13"/>
  <c r="R96" i="13"/>
  <c r="R50" i="13"/>
  <c r="AT98" i="13"/>
  <c r="AT96" i="13"/>
  <c r="AT50" i="13"/>
  <c r="D99" i="13"/>
  <c r="D97" i="13"/>
  <c r="T99" i="13"/>
  <c r="T97" i="13"/>
  <c r="AJ99" i="13"/>
  <c r="AJ97" i="13"/>
  <c r="AV99" i="13"/>
  <c r="AV97" i="13"/>
  <c r="H116" i="13"/>
  <c r="H70" i="13"/>
  <c r="H74" i="13" s="1"/>
  <c r="P116" i="13"/>
  <c r="P70" i="13"/>
  <c r="P74" i="13" s="1"/>
  <c r="T116" i="13"/>
  <c r="T70" i="13"/>
  <c r="T74" i="13" s="1"/>
  <c r="AB116" i="13"/>
  <c r="AB70" i="13"/>
  <c r="AB74" i="13" s="1"/>
  <c r="AJ116" i="13"/>
  <c r="AJ70" i="13"/>
  <c r="AJ74" i="13" s="1"/>
  <c r="AR70" i="13"/>
  <c r="AR74" i="13" s="1"/>
  <c r="AZ70" i="13"/>
  <c r="AZ74" i="13" s="1"/>
  <c r="BQ27" i="13"/>
  <c r="BQ116" i="13" s="1"/>
  <c r="BT28" i="13"/>
  <c r="BQ31" i="13"/>
  <c r="BU31" i="13"/>
  <c r="D98" i="13"/>
  <c r="D96" i="13"/>
  <c r="D50" i="13"/>
  <c r="H98" i="13"/>
  <c r="H96" i="13"/>
  <c r="H50" i="13"/>
  <c r="L98" i="13"/>
  <c r="L96" i="13"/>
  <c r="L50" i="13"/>
  <c r="P98" i="13"/>
  <c r="P96" i="13"/>
  <c r="P50" i="13"/>
  <c r="T98" i="13"/>
  <c r="T96" i="13"/>
  <c r="T50" i="13"/>
  <c r="X98" i="13"/>
  <c r="X96" i="13"/>
  <c r="X50" i="13"/>
  <c r="AB98" i="13"/>
  <c r="AB96" i="13"/>
  <c r="AB50" i="13"/>
  <c r="AF98" i="13"/>
  <c r="AF96" i="13"/>
  <c r="AF50" i="13"/>
  <c r="AJ98" i="13"/>
  <c r="AJ96" i="13"/>
  <c r="AJ50" i="13"/>
  <c r="AN98" i="13"/>
  <c r="AN96" i="13"/>
  <c r="AN50" i="13"/>
  <c r="AR98" i="13"/>
  <c r="AR96" i="13"/>
  <c r="AR50" i="13"/>
  <c r="AV98" i="13"/>
  <c r="AV96" i="13"/>
  <c r="AV50" i="13"/>
  <c r="AZ98" i="13"/>
  <c r="AZ96" i="13"/>
  <c r="AZ50" i="13"/>
  <c r="F99" i="13"/>
  <c r="F97" i="13"/>
  <c r="J99" i="13"/>
  <c r="J97" i="13"/>
  <c r="N99" i="13"/>
  <c r="N97" i="13"/>
  <c r="R99" i="13"/>
  <c r="R97" i="13"/>
  <c r="V99" i="13"/>
  <c r="V97" i="13"/>
  <c r="Z99" i="13"/>
  <c r="Z97" i="13"/>
  <c r="AD99" i="13"/>
  <c r="AD97" i="13"/>
  <c r="AH99" i="13"/>
  <c r="AH97" i="13"/>
  <c r="AL99" i="13"/>
  <c r="AL97" i="13"/>
  <c r="AT99" i="13"/>
  <c r="AT97" i="13"/>
  <c r="AX99" i="13"/>
  <c r="AX97" i="13"/>
  <c r="BB99" i="13"/>
  <c r="BB97" i="13"/>
  <c r="BD86" i="13"/>
  <c r="BI65" i="13"/>
  <c r="BE84" i="13"/>
  <c r="BE78" i="13"/>
  <c r="CC78" i="13" s="1"/>
  <c r="CC77" i="13"/>
  <c r="N116" i="13"/>
  <c r="N70" i="13"/>
  <c r="N74" i="13" s="1"/>
  <c r="Z116" i="13"/>
  <c r="Z70" i="13"/>
  <c r="Z74" i="13" s="1"/>
  <c r="AL116" i="13"/>
  <c r="AL70" i="13"/>
  <c r="AL74" i="13" s="1"/>
  <c r="AX70" i="13"/>
  <c r="AX74" i="13" s="1"/>
  <c r="BS27" i="13"/>
  <c r="BS116" i="13" s="1"/>
  <c r="BR98" i="13"/>
  <c r="BV98" i="13"/>
  <c r="BV50" i="13"/>
  <c r="N98" i="13"/>
  <c r="N96" i="13"/>
  <c r="N50" i="13"/>
  <c r="Z98" i="13"/>
  <c r="Z96" i="13"/>
  <c r="Z50" i="13"/>
  <c r="AL98" i="13"/>
  <c r="AL96" i="13"/>
  <c r="AL50" i="13"/>
  <c r="AX98" i="13"/>
  <c r="AX96" i="13"/>
  <c r="AX50" i="13"/>
  <c r="H99" i="13"/>
  <c r="H97" i="13"/>
  <c r="P99" i="13"/>
  <c r="P97" i="13"/>
  <c r="X99" i="13"/>
  <c r="X97" i="13"/>
  <c r="AF99" i="13"/>
  <c r="AF97" i="13"/>
  <c r="AR99" i="13"/>
  <c r="AR97" i="13"/>
  <c r="AZ99" i="13"/>
  <c r="AZ97" i="13"/>
  <c r="D116" i="13"/>
  <c r="D70" i="13"/>
  <c r="D74" i="13" s="1"/>
  <c r="L116" i="13"/>
  <c r="L70" i="13"/>
  <c r="L74" i="13" s="1"/>
  <c r="X116" i="13"/>
  <c r="X70" i="13"/>
  <c r="X74" i="13" s="1"/>
  <c r="AF116" i="13"/>
  <c r="AF70" i="13"/>
  <c r="AF74" i="13" s="1"/>
  <c r="AN116" i="13"/>
  <c r="AN70" i="13"/>
  <c r="AN74" i="13" s="1"/>
  <c r="AV70" i="13"/>
  <c r="AV74" i="13" s="1"/>
  <c r="BP28" i="13"/>
  <c r="E116" i="13"/>
  <c r="E70" i="13"/>
  <c r="E74" i="13" s="1"/>
  <c r="I116" i="13"/>
  <c r="I70" i="13"/>
  <c r="I74" i="13" s="1"/>
  <c r="M116" i="13"/>
  <c r="M70" i="13"/>
  <c r="M74" i="13" s="1"/>
  <c r="Q116" i="13"/>
  <c r="Q70" i="13"/>
  <c r="Q74" i="13" s="1"/>
  <c r="U116" i="13"/>
  <c r="U70" i="13"/>
  <c r="U74" i="13" s="1"/>
  <c r="Y116" i="13"/>
  <c r="Y70" i="13"/>
  <c r="Y74" i="13" s="1"/>
  <c r="AC116" i="13"/>
  <c r="AC70" i="13"/>
  <c r="AC74" i="13" s="1"/>
  <c r="AG116" i="13"/>
  <c r="AG70" i="13"/>
  <c r="AG74" i="13" s="1"/>
  <c r="AK116" i="13"/>
  <c r="AK70" i="13"/>
  <c r="AK74" i="13" s="1"/>
  <c r="AO116" i="13"/>
  <c r="AO70" i="13"/>
  <c r="AO74" i="13" s="1"/>
  <c r="AS70" i="13"/>
  <c r="AS74" i="13" s="1"/>
  <c r="AW70" i="13"/>
  <c r="AW74" i="13" s="1"/>
  <c r="BA70" i="13"/>
  <c r="BA74" i="13" s="1"/>
  <c r="BR27" i="13"/>
  <c r="BR116" i="13" s="1"/>
  <c r="BV27" i="13"/>
  <c r="BV116" i="13" s="1"/>
  <c r="BQ28" i="13"/>
  <c r="BU28" i="13"/>
  <c r="BP29" i="13"/>
  <c r="BT29" i="13"/>
  <c r="BT99" i="13" s="1"/>
  <c r="BX29" i="13"/>
  <c r="BX99" i="13" s="1"/>
  <c r="BR31" i="13"/>
  <c r="BV31" i="13"/>
  <c r="E98" i="13"/>
  <c r="E96" i="13"/>
  <c r="E50" i="13"/>
  <c r="I98" i="13"/>
  <c r="I96" i="13"/>
  <c r="I50" i="13"/>
  <c r="M98" i="13"/>
  <c r="M96" i="13"/>
  <c r="M50" i="13"/>
  <c r="Q98" i="13"/>
  <c r="Q96" i="13"/>
  <c r="Q50" i="13"/>
  <c r="U98" i="13"/>
  <c r="U96" i="13"/>
  <c r="U50" i="13"/>
  <c r="Y98" i="13"/>
  <c r="Y96" i="13"/>
  <c r="Y50" i="13"/>
  <c r="AC98" i="13"/>
  <c r="AC96" i="13"/>
  <c r="AC50" i="13"/>
  <c r="AG98" i="13"/>
  <c r="AG96" i="13"/>
  <c r="AG50" i="13"/>
  <c r="AK98" i="13"/>
  <c r="AK96" i="13"/>
  <c r="AK50" i="13"/>
  <c r="AO98" i="13"/>
  <c r="AO96" i="13"/>
  <c r="AO50" i="13"/>
  <c r="AS98" i="13"/>
  <c r="AS96" i="13"/>
  <c r="AS50" i="13"/>
  <c r="AW98" i="13"/>
  <c r="AW96" i="13"/>
  <c r="AW50" i="13"/>
  <c r="BA98" i="13"/>
  <c r="BA96" i="13"/>
  <c r="BA50" i="13"/>
  <c r="G99" i="13"/>
  <c r="G97" i="13"/>
  <c r="K99" i="13"/>
  <c r="K97" i="13"/>
  <c r="O99" i="13"/>
  <c r="O97" i="13"/>
  <c r="S99" i="13"/>
  <c r="S97" i="13"/>
  <c r="W99" i="13"/>
  <c r="W97" i="13"/>
  <c r="AA99" i="13"/>
  <c r="AA97" i="13"/>
  <c r="AE99" i="13"/>
  <c r="AE97" i="13"/>
  <c r="AI99" i="13"/>
  <c r="AI97" i="13"/>
  <c r="AM99" i="13"/>
  <c r="AM97" i="13"/>
  <c r="BY97" i="13" s="1"/>
  <c r="AQ99" i="13"/>
  <c r="AQ97" i="13"/>
  <c r="AU99" i="13"/>
  <c r="AU97" i="13"/>
  <c r="AY99" i="13"/>
  <c r="AY97" i="13"/>
  <c r="BG90" i="13"/>
  <c r="BF91" i="13"/>
  <c r="CC91" i="13" s="1"/>
  <c r="CB97" i="13" l="1"/>
  <c r="BZ97" i="13"/>
  <c r="BX97" i="13"/>
  <c r="BV97" i="13"/>
  <c r="BT97" i="13"/>
  <c r="BR97" i="13"/>
  <c r="BY96" i="13"/>
  <c r="BQ96" i="13"/>
  <c r="BX50" i="13"/>
  <c r="BR50" i="13"/>
  <c r="AQ74" i="13"/>
  <c r="BZ70" i="13"/>
  <c r="BZ74" i="13" s="1"/>
  <c r="AA74" i="13"/>
  <c r="BV70" i="13"/>
  <c r="BV74" i="13" s="1"/>
  <c r="C74" i="13"/>
  <c r="BP70" i="13"/>
  <c r="BP74" i="13" s="1"/>
  <c r="CA97" i="13"/>
  <c r="BW97" i="13"/>
  <c r="BQ97" i="13"/>
  <c r="BP50" i="13"/>
  <c r="CB96" i="13"/>
  <c r="BX96" i="13"/>
  <c r="BT96" i="13"/>
  <c r="BP96" i="13"/>
  <c r="BG91" i="13"/>
  <c r="BH90" i="13"/>
  <c r="BU96" i="13"/>
  <c r="BW98" i="13"/>
  <c r="BW50" i="13"/>
  <c r="AI74" i="13"/>
  <c r="BX70" i="13"/>
  <c r="BX74" i="13" s="1"/>
  <c r="K74" i="13"/>
  <c r="BR70" i="13"/>
  <c r="BR74" i="13" s="1"/>
  <c r="BU98" i="13"/>
  <c r="BU50" i="13"/>
  <c r="BF84" i="13"/>
  <c r="CC84" i="13" s="1"/>
  <c r="BE85" i="13"/>
  <c r="BT98" i="13"/>
  <c r="BT50" i="13"/>
  <c r="BC70" i="13"/>
  <c r="BC50" i="13"/>
  <c r="BD28" i="13"/>
  <c r="BZ96" i="13"/>
  <c r="BV96" i="13"/>
  <c r="BR96" i="13"/>
  <c r="BG38" i="13"/>
  <c r="AY74" i="13"/>
  <c r="CB70" i="13"/>
  <c r="CB74" i="13" s="1"/>
  <c r="S74" i="13"/>
  <c r="BT70" i="13"/>
  <c r="BT74" i="13" s="1"/>
  <c r="BH67" i="13"/>
  <c r="BG47" i="13"/>
  <c r="BG116" i="13" s="1"/>
  <c r="BG77" i="13"/>
  <c r="BU97" i="13"/>
  <c r="BS97" i="13"/>
  <c r="BQ98" i="13"/>
  <c r="BQ50" i="13"/>
  <c r="BJ65" i="13"/>
  <c r="CA96" i="13"/>
  <c r="BW96" i="13"/>
  <c r="BS96" i="13"/>
  <c r="AU74" i="13"/>
  <c r="CA70" i="13"/>
  <c r="CA74" i="13" s="1"/>
  <c r="AM74" i="13"/>
  <c r="BY70" i="13"/>
  <c r="BY74" i="13" s="1"/>
  <c r="AE74" i="13"/>
  <c r="BW70" i="13"/>
  <c r="BW74" i="13" s="1"/>
  <c r="W74" i="13"/>
  <c r="BU70" i="13"/>
  <c r="BU74" i="13" s="1"/>
  <c r="O74" i="13"/>
  <c r="BS70" i="13"/>
  <c r="BS74" i="13" s="1"/>
  <c r="G74" i="13"/>
  <c r="BQ70" i="13"/>
  <c r="BQ74" i="13" s="1"/>
  <c r="BE37" i="13"/>
  <c r="BC23" i="13"/>
  <c r="BC64" i="13" s="1"/>
  <c r="BB47" i="13"/>
  <c r="BB116" i="13" s="1"/>
  <c r="BA47" i="13"/>
  <c r="BA116" i="13" s="1"/>
  <c r="AZ47" i="13"/>
  <c r="AZ116" i="13" s="1"/>
  <c r="AY47" i="13"/>
  <c r="AY116" i="13" s="1"/>
  <c r="AX47" i="13"/>
  <c r="AX116" i="13" s="1"/>
  <c r="AW47" i="13"/>
  <c r="AW116" i="13" s="1"/>
  <c r="AV47" i="13"/>
  <c r="AV116" i="13" s="1"/>
  <c r="AU47" i="13"/>
  <c r="AU116" i="13" s="1"/>
  <c r="AT47" i="13"/>
  <c r="AT116" i="13" s="1"/>
  <c r="AS47" i="13"/>
  <c r="AS116" i="13" s="1"/>
  <c r="AR47" i="13"/>
  <c r="AR116" i="13" s="1"/>
  <c r="BD19" i="13"/>
  <c r="AZ23" i="13"/>
  <c r="AZ64" i="13" s="1"/>
  <c r="AZ68" i="13" s="1"/>
  <c r="AX23" i="13"/>
  <c r="AX64" i="13" s="1"/>
  <c r="AX68" i="13" s="1"/>
  <c r="AV23" i="13"/>
  <c r="AV64" i="13" s="1"/>
  <c r="AV68" i="13" s="1"/>
  <c r="AR23" i="13"/>
  <c r="AR64" i="13" s="1"/>
  <c r="AR68" i="13" s="1"/>
  <c r="AN23" i="13"/>
  <c r="AN64" i="13" s="1"/>
  <c r="AN68" i="13" s="1"/>
  <c r="AL23" i="13"/>
  <c r="AL64" i="13" s="1"/>
  <c r="AL68" i="13" s="1"/>
  <c r="AJ23" i="13"/>
  <c r="AJ64" i="13" s="1"/>
  <c r="AJ68" i="13" s="1"/>
  <c r="AF23" i="13"/>
  <c r="AF64" i="13" s="1"/>
  <c r="AF68" i="13" s="1"/>
  <c r="AB23" i="13"/>
  <c r="AB64" i="13" s="1"/>
  <c r="AB68" i="13" s="1"/>
  <c r="X23" i="13"/>
  <c r="X64" i="13" s="1"/>
  <c r="X68" i="13" s="1"/>
  <c r="V23" i="13"/>
  <c r="V64" i="13" s="1"/>
  <c r="V68" i="13" s="1"/>
  <c r="T23" i="13"/>
  <c r="T64" i="13" s="1"/>
  <c r="T68" i="13" s="1"/>
  <c r="P23" i="13"/>
  <c r="P64" i="13" s="1"/>
  <c r="P68" i="13" s="1"/>
  <c r="L23" i="13"/>
  <c r="L64" i="13" s="1"/>
  <c r="L68" i="13" s="1"/>
  <c r="H23" i="13"/>
  <c r="H64" i="13" s="1"/>
  <c r="H68" i="13" s="1"/>
  <c r="F23" i="13"/>
  <c r="F64" i="13" s="1"/>
  <c r="F68" i="13" s="1"/>
  <c r="D23" i="13"/>
  <c r="D64" i="13" s="1"/>
  <c r="D68" i="13" s="1"/>
  <c r="BD16" i="13"/>
  <c r="BD23" i="13" s="1"/>
  <c r="BD64" i="13" s="1"/>
  <c r="BD68" i="13" s="1"/>
  <c r="BK15" i="13"/>
  <c r="BE15" i="13"/>
  <c r="BI15" i="13"/>
  <c r="BF15" i="13"/>
  <c r="BM15" i="13"/>
  <c r="BD15" i="13"/>
  <c r="BH15" i="13"/>
  <c r="BG15" i="13"/>
  <c r="BJ15" i="13"/>
  <c r="BN15" i="13"/>
  <c r="BL15" i="13"/>
  <c r="BE16" i="13" l="1"/>
  <c r="BF16" i="13" s="1"/>
  <c r="BF45" i="13" s="1"/>
  <c r="R45" i="13"/>
  <c r="AP45" i="13"/>
  <c r="BE45" i="13"/>
  <c r="E45" i="13"/>
  <c r="I45" i="13"/>
  <c r="M45" i="13"/>
  <c r="Q45" i="13"/>
  <c r="U45" i="13"/>
  <c r="Y45" i="13"/>
  <c r="AC45" i="13"/>
  <c r="AG45" i="13"/>
  <c r="AK45" i="13"/>
  <c r="AO45" i="13"/>
  <c r="AS45" i="13"/>
  <c r="AW45" i="13"/>
  <c r="BA45" i="13"/>
  <c r="F46" i="13"/>
  <c r="J46" i="13"/>
  <c r="N46" i="13"/>
  <c r="R46" i="13"/>
  <c r="V46" i="13"/>
  <c r="Z46" i="13"/>
  <c r="AD46" i="13"/>
  <c r="AH46" i="13"/>
  <c r="AL46" i="13"/>
  <c r="AP46" i="13"/>
  <c r="AT46" i="13"/>
  <c r="AX46" i="13"/>
  <c r="BB46" i="13"/>
  <c r="BK65" i="13"/>
  <c r="CD65" i="13"/>
  <c r="BF37" i="13"/>
  <c r="BI90" i="13"/>
  <c r="BH91" i="13"/>
  <c r="N45" i="13"/>
  <c r="N48" i="13" s="1"/>
  <c r="AD45" i="13"/>
  <c r="BB45" i="13"/>
  <c r="BB48" i="13" s="1"/>
  <c r="C46" i="13"/>
  <c r="G46" i="13"/>
  <c r="K46" i="13"/>
  <c r="O46" i="13"/>
  <c r="S46" i="13"/>
  <c r="W46" i="13"/>
  <c r="AA46" i="13"/>
  <c r="AE46" i="13"/>
  <c r="AI46" i="13"/>
  <c r="AM46" i="13"/>
  <c r="AQ46" i="13"/>
  <c r="AU46" i="13"/>
  <c r="AY46" i="13"/>
  <c r="E23" i="13"/>
  <c r="E64" i="13" s="1"/>
  <c r="E68" i="13" s="1"/>
  <c r="I23" i="13"/>
  <c r="I64" i="13" s="1"/>
  <c r="I68" i="13" s="1"/>
  <c r="M23" i="13"/>
  <c r="M64" i="13" s="1"/>
  <c r="M68" i="13" s="1"/>
  <c r="Q23" i="13"/>
  <c r="Q64" i="13" s="1"/>
  <c r="Q68" i="13" s="1"/>
  <c r="U23" i="13"/>
  <c r="U64" i="13" s="1"/>
  <c r="U68" i="13" s="1"/>
  <c r="Y23" i="13"/>
  <c r="Y64" i="13" s="1"/>
  <c r="Y68" i="13" s="1"/>
  <c r="AC23" i="13"/>
  <c r="AC64" i="13" s="1"/>
  <c r="AC68" i="13" s="1"/>
  <c r="AG23" i="13"/>
  <c r="AG64" i="13" s="1"/>
  <c r="AG68" i="13" s="1"/>
  <c r="AK23" i="13"/>
  <c r="AK64" i="13" s="1"/>
  <c r="AK68" i="13" s="1"/>
  <c r="AO23" i="13"/>
  <c r="AO64" i="13" s="1"/>
  <c r="AO68" i="13" s="1"/>
  <c r="AS23" i="13"/>
  <c r="AS64" i="13" s="1"/>
  <c r="AS68" i="13" s="1"/>
  <c r="AW23" i="13"/>
  <c r="AW64" i="13" s="1"/>
  <c r="AW68" i="13" s="1"/>
  <c r="BA23" i="13"/>
  <c r="BA64" i="13" s="1"/>
  <c r="BA68" i="13" s="1"/>
  <c r="BI67" i="13"/>
  <c r="BH47" i="13"/>
  <c r="BH116" i="13" s="1"/>
  <c r="BH77" i="13"/>
  <c r="BH78" i="13" s="1"/>
  <c r="BC74" i="13"/>
  <c r="BE113" i="13"/>
  <c r="BE87" i="13"/>
  <c r="J45" i="13"/>
  <c r="J48" i="13" s="1"/>
  <c r="Z45" i="13"/>
  <c r="Z48" i="13" s="1"/>
  <c r="AH45" i="13"/>
  <c r="AH48" i="13" s="1"/>
  <c r="AT45" i="13"/>
  <c r="AT48" i="13" s="1"/>
  <c r="C45" i="13"/>
  <c r="C48" i="13" s="1"/>
  <c r="G45" i="13"/>
  <c r="G48" i="13" s="1"/>
  <c r="K45" i="13"/>
  <c r="K48" i="13" s="1"/>
  <c r="O45" i="13"/>
  <c r="O48" i="13" s="1"/>
  <c r="S45" i="13"/>
  <c r="S48" i="13" s="1"/>
  <c r="W45" i="13"/>
  <c r="W48" i="13" s="1"/>
  <c r="AA45" i="13"/>
  <c r="AA48" i="13" s="1"/>
  <c r="AE45" i="13"/>
  <c r="AE48" i="13" s="1"/>
  <c r="AI45" i="13"/>
  <c r="AI48" i="13" s="1"/>
  <c r="AM45" i="13"/>
  <c r="AM48" i="13" s="1"/>
  <c r="AQ45" i="13"/>
  <c r="AQ48" i="13" s="1"/>
  <c r="AU45" i="13"/>
  <c r="AU48" i="13" s="1"/>
  <c r="AY45" i="13"/>
  <c r="AY48" i="13" s="1"/>
  <c r="BD46" i="13"/>
  <c r="D46" i="13"/>
  <c r="H46" i="13"/>
  <c r="L46" i="13"/>
  <c r="P46" i="13"/>
  <c r="T46" i="13"/>
  <c r="X46" i="13"/>
  <c r="AB46" i="13"/>
  <c r="AF46" i="13"/>
  <c r="AJ46" i="13"/>
  <c r="AN46" i="13"/>
  <c r="AR46" i="13"/>
  <c r="AV46" i="13"/>
  <c r="AZ46" i="13"/>
  <c r="J23" i="13"/>
  <c r="J64" i="13" s="1"/>
  <c r="J68" i="13" s="1"/>
  <c r="N23" i="13"/>
  <c r="N64" i="13" s="1"/>
  <c r="N68" i="13" s="1"/>
  <c r="R23" i="13"/>
  <c r="R64" i="13" s="1"/>
  <c r="R68" i="13" s="1"/>
  <c r="Z23" i="13"/>
  <c r="Z64" i="13" s="1"/>
  <c r="Z68" i="13" s="1"/>
  <c r="AD23" i="13"/>
  <c r="AD64" i="13" s="1"/>
  <c r="AD68" i="13" s="1"/>
  <c r="AH23" i="13"/>
  <c r="AH64" i="13" s="1"/>
  <c r="AH68" i="13" s="1"/>
  <c r="AP23" i="13"/>
  <c r="AP64" i="13" s="1"/>
  <c r="AP68" i="13" s="1"/>
  <c r="AT23" i="13"/>
  <c r="AT64" i="13" s="1"/>
  <c r="AT68" i="13" s="1"/>
  <c r="BB23" i="13"/>
  <c r="BB64" i="13" s="1"/>
  <c r="BB68" i="13" s="1"/>
  <c r="BG78" i="13"/>
  <c r="BE86" i="13"/>
  <c r="BF85" i="13"/>
  <c r="CC85" i="13" s="1"/>
  <c r="BG84" i="13"/>
  <c r="BG37" i="13" s="1"/>
  <c r="F45" i="13"/>
  <c r="V45" i="13"/>
  <c r="V48" i="13" s="1"/>
  <c r="AL45" i="13"/>
  <c r="AX45" i="13"/>
  <c r="AX48" i="13" s="1"/>
  <c r="BD45" i="13"/>
  <c r="BD48" i="13" s="1"/>
  <c r="D45" i="13"/>
  <c r="D48" i="13" s="1"/>
  <c r="H45" i="13"/>
  <c r="L45" i="13"/>
  <c r="L48" i="13" s="1"/>
  <c r="P45" i="13"/>
  <c r="T45" i="13"/>
  <c r="T48" i="13" s="1"/>
  <c r="X45" i="13"/>
  <c r="AB45" i="13"/>
  <c r="AB48" i="13" s="1"/>
  <c r="AF45" i="13"/>
  <c r="AJ45" i="13"/>
  <c r="AJ48" i="13" s="1"/>
  <c r="AN45" i="13"/>
  <c r="AR45" i="13"/>
  <c r="AR48" i="13" s="1"/>
  <c r="AV45" i="13"/>
  <c r="AZ45" i="13"/>
  <c r="AZ48" i="13" s="1"/>
  <c r="BE19" i="13"/>
  <c r="E46" i="13"/>
  <c r="I46" i="13"/>
  <c r="M46" i="13"/>
  <c r="Q46" i="13"/>
  <c r="U46" i="13"/>
  <c r="Y46" i="13"/>
  <c r="AC46" i="13"/>
  <c r="AG46" i="13"/>
  <c r="AK46" i="13"/>
  <c r="AO46" i="13"/>
  <c r="AS46" i="13"/>
  <c r="AW46" i="13"/>
  <c r="BA46" i="13"/>
  <c r="C23" i="13"/>
  <c r="G23" i="13"/>
  <c r="K23" i="13"/>
  <c r="O23" i="13"/>
  <c r="S23" i="13"/>
  <c r="W23" i="13"/>
  <c r="AA23" i="13"/>
  <c r="AE23" i="13"/>
  <c r="AI23" i="13"/>
  <c r="AM23" i="13"/>
  <c r="AM64" i="13" s="1"/>
  <c r="AQ23" i="13"/>
  <c r="AQ64" i="13" s="1"/>
  <c r="AU23" i="13"/>
  <c r="AU64" i="13" s="1"/>
  <c r="AY23" i="13"/>
  <c r="AY64" i="13" s="1"/>
  <c r="BC68" i="13"/>
  <c r="CC37" i="13"/>
  <c r="BH38" i="13"/>
  <c r="BE28" i="13"/>
  <c r="G15" i="13"/>
  <c r="BC15" i="13"/>
  <c r="C15" i="13"/>
  <c r="AU15" i="13"/>
  <c r="BA15" i="13"/>
  <c r="F15" i="13"/>
  <c r="O15" i="13"/>
  <c r="X15" i="13"/>
  <c r="AV15" i="13"/>
  <c r="V15" i="13"/>
  <c r="BB15" i="13"/>
  <c r="U15" i="13"/>
  <c r="L15" i="13"/>
  <c r="R15" i="13"/>
  <c r="Q15" i="13"/>
  <c r="Y15" i="13"/>
  <c r="AN15" i="13"/>
  <c r="W15" i="13"/>
  <c r="AZ15" i="13"/>
  <c r="AJ15" i="13"/>
  <c r="K15" i="13"/>
  <c r="AG15" i="13"/>
  <c r="AF15" i="13"/>
  <c r="T15" i="13"/>
  <c r="I15" i="13"/>
  <c r="J15" i="13"/>
  <c r="AW15" i="13"/>
  <c r="AC15" i="13"/>
  <c r="AP15" i="13"/>
  <c r="AY15" i="13"/>
  <c r="AR15" i="13"/>
  <c r="AQ15" i="13"/>
  <c r="S15" i="13"/>
  <c r="Z15" i="13"/>
  <c r="AK15" i="13"/>
  <c r="AO15" i="13"/>
  <c r="D15" i="13"/>
  <c r="AS15" i="13"/>
  <c r="H15" i="13"/>
  <c r="AM15" i="13"/>
  <c r="N15" i="13"/>
  <c r="AH15" i="13"/>
  <c r="E15" i="13"/>
  <c r="AI15" i="13"/>
  <c r="AT15" i="13"/>
  <c r="P15" i="13"/>
  <c r="AX15" i="13"/>
  <c r="AB15" i="13"/>
  <c r="M15" i="13"/>
  <c r="AE15" i="13"/>
  <c r="AD15" i="13"/>
  <c r="AA15" i="13"/>
  <c r="AL15" i="13"/>
  <c r="AV48" i="13" l="1"/>
  <c r="AF48" i="13"/>
  <c r="P48" i="13"/>
  <c r="F48" i="13"/>
  <c r="AN48" i="13"/>
  <c r="X48" i="13"/>
  <c r="H48" i="13"/>
  <c r="AL48" i="13"/>
  <c r="AD48" i="13"/>
  <c r="BG16" i="13"/>
  <c r="BG45" i="13" s="1"/>
  <c r="BE23" i="13"/>
  <c r="BE64" i="13" s="1"/>
  <c r="BE68" i="13"/>
  <c r="CC113" i="13"/>
  <c r="CC88" i="13"/>
  <c r="CC87" i="13"/>
  <c r="BF28" i="13"/>
  <c r="S64" i="13"/>
  <c r="BT23" i="13"/>
  <c r="BZ64" i="13"/>
  <c r="BZ68" i="13" s="1"/>
  <c r="AQ68" i="13"/>
  <c r="AA64" i="13"/>
  <c r="BV23" i="13"/>
  <c r="K64" i="13"/>
  <c r="BR23" i="13"/>
  <c r="BF86" i="13"/>
  <c r="CC86" i="13" s="1"/>
  <c r="BA48" i="13"/>
  <c r="AS48" i="13"/>
  <c r="AK48" i="13"/>
  <c r="AC48" i="13"/>
  <c r="U48" i="13"/>
  <c r="M48" i="13"/>
  <c r="E48" i="13"/>
  <c r="AP48" i="13"/>
  <c r="BY64" i="13"/>
  <c r="BY68" i="13" s="1"/>
  <c r="AM68" i="13"/>
  <c r="W64" i="13"/>
  <c r="BU23" i="13"/>
  <c r="G64" i="13"/>
  <c r="BQ23" i="13"/>
  <c r="BI38" i="13"/>
  <c r="AI64" i="13"/>
  <c r="BX23" i="13"/>
  <c r="C64" i="13"/>
  <c r="BP23" i="13"/>
  <c r="BE46" i="13"/>
  <c r="BE48" i="13" s="1"/>
  <c r="BF19" i="13"/>
  <c r="BG85" i="13"/>
  <c r="BH84" i="13"/>
  <c r="BL65" i="13"/>
  <c r="AW48" i="13"/>
  <c r="AO48" i="13"/>
  <c r="AG48" i="13"/>
  <c r="Y48" i="13"/>
  <c r="Q48" i="13"/>
  <c r="I48" i="13"/>
  <c r="R48" i="13"/>
  <c r="AY68" i="13"/>
  <c r="CB64" i="13"/>
  <c r="CB68" i="13" s="1"/>
  <c r="CC38" i="13"/>
  <c r="CA64" i="13"/>
  <c r="CA68" i="13" s="1"/>
  <c r="AU68" i="13"/>
  <c r="AE64" i="13"/>
  <c r="BW23" i="13"/>
  <c r="O64" i="13"/>
  <c r="BS23" i="13"/>
  <c r="BF113" i="13"/>
  <c r="BF87" i="13"/>
  <c r="BJ67" i="13"/>
  <c r="BI47" i="13"/>
  <c r="BI116" i="13" s="1"/>
  <c r="BI77" i="13"/>
  <c r="BI91" i="13"/>
  <c r="BJ90" i="13"/>
  <c r="CD90" i="13" s="1"/>
  <c r="CB31" i="13"/>
  <c r="CA31" i="13"/>
  <c r="BZ31" i="13"/>
  <c r="BY31" i="13"/>
  <c r="CB29" i="13"/>
  <c r="CA29" i="13"/>
  <c r="BZ29" i="13"/>
  <c r="BY29" i="13"/>
  <c r="BY99" i="13" s="1"/>
  <c r="CC28" i="13"/>
  <c r="CB28" i="13"/>
  <c r="CA28" i="13"/>
  <c r="BZ28" i="13"/>
  <c r="BY28" i="13"/>
  <c r="CE27" i="13"/>
  <c r="CD27" i="13"/>
  <c r="CC27" i="13"/>
  <c r="CB27" i="13"/>
  <c r="CA27" i="13"/>
  <c r="BZ27" i="13"/>
  <c r="BY27" i="13"/>
  <c r="BH16" i="13" l="1"/>
  <c r="BH45" i="13" s="1"/>
  <c r="CA50" i="13"/>
  <c r="O68" i="13"/>
  <c r="BS64" i="13"/>
  <c r="BS68" i="13" s="1"/>
  <c r="BI84" i="13"/>
  <c r="BH85" i="13"/>
  <c r="BP64" i="13"/>
  <c r="BP68" i="13" s="1"/>
  <c r="C68" i="13"/>
  <c r="BI37" i="13"/>
  <c r="BJ38" i="13"/>
  <c r="BI16" i="13"/>
  <c r="BG28" i="13"/>
  <c r="BH28" i="13" s="1"/>
  <c r="BI28" i="13" s="1"/>
  <c r="BJ28" i="13" s="1"/>
  <c r="CB50" i="13"/>
  <c r="BI78" i="13"/>
  <c r="BG113" i="13"/>
  <c r="BG87" i="13"/>
  <c r="G68" i="13"/>
  <c r="BQ64" i="13"/>
  <c r="BQ68" i="13" s="1"/>
  <c r="BG86" i="13"/>
  <c r="BV64" i="13"/>
  <c r="BV68" i="13" s="1"/>
  <c r="AA68" i="13"/>
  <c r="BY98" i="13"/>
  <c r="BY50" i="13"/>
  <c r="AE68" i="13"/>
  <c r="BW64" i="13"/>
  <c r="BW68" i="13" s="1"/>
  <c r="BM65" i="13"/>
  <c r="BX64" i="13"/>
  <c r="BX68" i="13" s="1"/>
  <c r="AI68" i="13"/>
  <c r="BY116" i="13"/>
  <c r="BZ50" i="13"/>
  <c r="BJ91" i="13"/>
  <c r="CD91" i="13" s="1"/>
  <c r="BK90" i="13"/>
  <c r="BK67" i="13"/>
  <c r="BJ47" i="13"/>
  <c r="BJ116" i="13" s="1"/>
  <c r="BJ77" i="13"/>
  <c r="BJ78" i="13" s="1"/>
  <c r="BF46" i="13"/>
  <c r="BF48" i="13" s="1"/>
  <c r="BG19" i="13"/>
  <c r="BF23" i="13"/>
  <c r="BH37" i="13"/>
  <c r="W68" i="13"/>
  <c r="BU64" i="13"/>
  <c r="BU68" i="13" s="1"/>
  <c r="BR64" i="13"/>
  <c r="BR68" i="13" s="1"/>
  <c r="K68" i="13"/>
  <c r="BT64" i="13"/>
  <c r="BT68" i="13" s="1"/>
  <c r="S68" i="13"/>
  <c r="CD67" i="13"/>
  <c r="CC23" i="13"/>
  <c r="CB23" i="13"/>
  <c r="CA23" i="13"/>
  <c r="BZ23" i="13"/>
  <c r="BY23" i="13"/>
  <c r="CE22" i="13"/>
  <c r="CD22" i="13"/>
  <c r="CC22" i="13"/>
  <c r="CC47" i="13" s="1"/>
  <c r="CC116" i="13" s="1"/>
  <c r="CB22" i="13"/>
  <c r="CB47" i="13" s="1"/>
  <c r="CB116" i="13" s="1"/>
  <c r="CA22" i="13"/>
  <c r="CA47" i="13" s="1"/>
  <c r="CA116" i="13" s="1"/>
  <c r="BZ22" i="13"/>
  <c r="BZ47" i="13" s="1"/>
  <c r="BZ116" i="13" s="1"/>
  <c r="BY22" i="13"/>
  <c r="BY47" i="13" s="1"/>
  <c r="CE20" i="13"/>
  <c r="CD20" i="13"/>
  <c r="CC20" i="13"/>
  <c r="CB20" i="13"/>
  <c r="CA20" i="13"/>
  <c r="BZ20" i="13"/>
  <c r="BY20" i="13"/>
  <c r="CC19" i="13"/>
  <c r="CB19" i="13"/>
  <c r="CA19" i="13"/>
  <c r="BZ19" i="13"/>
  <c r="BY19" i="13"/>
  <c r="CE17" i="13"/>
  <c r="CD17" i="13"/>
  <c r="CC17" i="13"/>
  <c r="CB17" i="13"/>
  <c r="CA17" i="13"/>
  <c r="BZ17" i="13"/>
  <c r="BY17" i="13"/>
  <c r="CC16" i="13"/>
  <c r="CB16" i="13"/>
  <c r="CA16" i="13"/>
  <c r="BZ16" i="13"/>
  <c r="BY16" i="13"/>
  <c r="CD15" i="13"/>
  <c r="CC15" i="13"/>
  <c r="BZ15" i="13"/>
  <c r="CE15" i="13"/>
  <c r="BY15" i="13"/>
  <c r="CB15" i="13"/>
  <c r="CA15" i="13"/>
  <c r="CE65" i="13" l="1"/>
  <c r="BZ45" i="13"/>
  <c r="CC46" i="13"/>
  <c r="BG46" i="13"/>
  <c r="BG48" i="13" s="1"/>
  <c r="BH19" i="13"/>
  <c r="BG23" i="13"/>
  <c r="CD78" i="13"/>
  <c r="BI45" i="13"/>
  <c r="BJ16" i="13"/>
  <c r="BJ84" i="13"/>
  <c r="BI85" i="13"/>
  <c r="CD84" i="13"/>
  <c r="CA45" i="13"/>
  <c r="BZ46" i="13"/>
  <c r="CD47" i="13"/>
  <c r="CD116" i="13" s="1"/>
  <c r="BY46" i="13"/>
  <c r="CB45" i="13"/>
  <c r="CA46" i="13"/>
  <c r="BL67" i="13"/>
  <c r="BK47" i="13"/>
  <c r="BK116" i="13" s="1"/>
  <c r="BK77" i="13"/>
  <c r="BY45" i="13"/>
  <c r="BY48" i="13" s="1"/>
  <c r="CC45" i="13"/>
  <c r="CB46" i="13"/>
  <c r="BF64" i="13"/>
  <c r="BL90" i="13"/>
  <c r="BK91" i="13"/>
  <c r="BN65" i="13"/>
  <c r="BH86" i="13"/>
  <c r="BI86" i="13" s="1"/>
  <c r="CD77" i="13"/>
  <c r="BJ37" i="13"/>
  <c r="CD37" i="13" s="1"/>
  <c r="BK38" i="13"/>
  <c r="BH113" i="13"/>
  <c r="BH87" i="13"/>
  <c r="CE12" i="13"/>
  <c r="CD12" i="13"/>
  <c r="CC12" i="13"/>
  <c r="CB12" i="13"/>
  <c r="CA12" i="13"/>
  <c r="BZ12" i="13"/>
  <c r="BY12" i="13"/>
  <c r="BX22" i="13"/>
  <c r="BX47" i="13" s="1"/>
  <c r="BX116" i="13" s="1"/>
  <c r="BW22" i="13"/>
  <c r="BW47" i="13" s="1"/>
  <c r="BW116" i="13" s="1"/>
  <c r="BX20" i="13"/>
  <c r="BW20" i="13"/>
  <c r="BX19" i="13"/>
  <c r="BW19" i="13"/>
  <c r="BX17" i="13"/>
  <c r="BW17" i="13"/>
  <c r="BX16" i="13"/>
  <c r="BW16" i="13"/>
  <c r="BX15" i="13"/>
  <c r="BW15" i="13"/>
  <c r="BZ48" i="13" l="1"/>
  <c r="CA48" i="13"/>
  <c r="BK78" i="13"/>
  <c r="CB48" i="13"/>
  <c r="BG64" i="13"/>
  <c r="BW46" i="13"/>
  <c r="BX46" i="13"/>
  <c r="BL38" i="13"/>
  <c r="CC48" i="13"/>
  <c r="BM67" i="13"/>
  <c r="BL47" i="13"/>
  <c r="BL116" i="13" s="1"/>
  <c r="BL77" i="13"/>
  <c r="BL78" i="13" s="1"/>
  <c r="BH46" i="13"/>
  <c r="BH48" i="13" s="1"/>
  <c r="BI19" i="13"/>
  <c r="BH23" i="13"/>
  <c r="BW45" i="13"/>
  <c r="BJ45" i="13"/>
  <c r="BK16" i="13"/>
  <c r="CD16" i="13"/>
  <c r="BF68" i="13"/>
  <c r="CC64" i="13"/>
  <c r="CC68" i="13" s="1"/>
  <c r="BX45" i="13"/>
  <c r="BI113" i="13"/>
  <c r="BI87" i="13"/>
  <c r="BM90" i="13"/>
  <c r="BL91" i="13"/>
  <c r="BJ85" i="13"/>
  <c r="BJ86" i="13" s="1"/>
  <c r="CD86" i="13" s="1"/>
  <c r="BK84" i="13"/>
  <c r="BX12" i="13"/>
  <c r="BW12" i="13"/>
  <c r="BV20" i="13"/>
  <c r="BU20" i="13"/>
  <c r="BT20" i="13"/>
  <c r="BS20" i="13"/>
  <c r="BR20" i="13"/>
  <c r="BQ20" i="13"/>
  <c r="BP20" i="13"/>
  <c r="BV19" i="13"/>
  <c r="BU19" i="13"/>
  <c r="BT19" i="13"/>
  <c r="BS19" i="13"/>
  <c r="BR19" i="13"/>
  <c r="BQ19" i="13"/>
  <c r="BP19" i="13"/>
  <c r="BV17" i="13"/>
  <c r="BU17" i="13"/>
  <c r="BT17" i="13"/>
  <c r="BS17" i="13"/>
  <c r="BR17" i="13"/>
  <c r="BQ17" i="13"/>
  <c r="BP17" i="13"/>
  <c r="BV16" i="13"/>
  <c r="BU16" i="13"/>
  <c r="BT16" i="13"/>
  <c r="BS16" i="13"/>
  <c r="BR16" i="13"/>
  <c r="BQ16" i="13"/>
  <c r="BP16" i="13"/>
  <c r="BU15" i="13"/>
  <c r="BQ15" i="13"/>
  <c r="BT15" i="13"/>
  <c r="BP15" i="13"/>
  <c r="BR15" i="13"/>
  <c r="BV15" i="13"/>
  <c r="BS15" i="13"/>
  <c r="BX48" i="13" l="1"/>
  <c r="BW48" i="13"/>
  <c r="BR45" i="13"/>
  <c r="BV45" i="13"/>
  <c r="BQ46" i="13"/>
  <c r="BR46" i="13"/>
  <c r="BK45" i="13"/>
  <c r="BL16" i="13"/>
  <c r="BP45" i="13"/>
  <c r="BJ113" i="13"/>
  <c r="BJ87" i="13"/>
  <c r="BH64" i="13"/>
  <c r="BH68" i="13" s="1"/>
  <c r="BN67" i="13"/>
  <c r="CE67" i="13" s="1"/>
  <c r="CE47" i="13" s="1"/>
  <c r="CE116" i="13" s="1"/>
  <c r="BM47" i="13"/>
  <c r="BM116" i="13" s="1"/>
  <c r="BM77" i="13"/>
  <c r="BM78" i="13" s="1"/>
  <c r="BQ45" i="13"/>
  <c r="BQ48" i="13" s="1"/>
  <c r="BU45" i="13"/>
  <c r="BP46" i="13"/>
  <c r="BT46" i="13"/>
  <c r="BM91" i="13"/>
  <c r="BN90" i="13"/>
  <c r="BN91" i="13" s="1"/>
  <c r="BI46" i="13"/>
  <c r="BI48" i="13" s="1"/>
  <c r="BJ19" i="13"/>
  <c r="CD19" i="13" s="1"/>
  <c r="BI23" i="13"/>
  <c r="BU46" i="13"/>
  <c r="BV46" i="13"/>
  <c r="BS45" i="13"/>
  <c r="BL84" i="13"/>
  <c r="BK85" i="13"/>
  <c r="BK86" i="13" s="1"/>
  <c r="BK37" i="13"/>
  <c r="BG68" i="13"/>
  <c r="BT45" i="13"/>
  <c r="BT48" i="13" s="1"/>
  <c r="BS46" i="13"/>
  <c r="CD45" i="13"/>
  <c r="BM38" i="13"/>
  <c r="CD85" i="13"/>
  <c r="BV12" i="13"/>
  <c r="BU12" i="13"/>
  <c r="BT12" i="13"/>
  <c r="BS12" i="13"/>
  <c r="BR12" i="13"/>
  <c r="BQ12" i="13"/>
  <c r="BP12" i="13"/>
  <c r="BB42" i="13"/>
  <c r="BA42" i="13"/>
  <c r="AZ42" i="13"/>
  <c r="AX42" i="13"/>
  <c r="AW42" i="13"/>
  <c r="AV42" i="13"/>
  <c r="AT42" i="13"/>
  <c r="AS42" i="13"/>
  <c r="AR42" i="13"/>
  <c r="AP42" i="13"/>
  <c r="AO42" i="13"/>
  <c r="AN42" i="13"/>
  <c r="AL42" i="13"/>
  <c r="AK42" i="13"/>
  <c r="AJ42" i="13"/>
  <c r="AH42" i="13"/>
  <c r="AG42" i="13"/>
  <c r="AF42" i="13"/>
  <c r="AD42" i="13"/>
  <c r="AC42" i="13"/>
  <c r="AB42" i="13"/>
  <c r="AA42" i="13"/>
  <c r="Z42" i="13"/>
  <c r="Y42" i="13"/>
  <c r="X42" i="13"/>
  <c r="W42" i="13"/>
  <c r="V42" i="13"/>
  <c r="U42" i="13"/>
  <c r="T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CE8" i="13"/>
  <c r="CD8" i="13"/>
  <c r="BZ8" i="13"/>
  <c r="BW8" i="13"/>
  <c r="CC8" i="13"/>
  <c r="CA8" i="13"/>
  <c r="CB8" i="13"/>
  <c r="BX8" i="13"/>
  <c r="BV8" i="13"/>
  <c r="BR48" i="13" l="1"/>
  <c r="BU48" i="13"/>
  <c r="CE90" i="13"/>
  <c r="CE91" i="13"/>
  <c r="CD46" i="13"/>
  <c r="AI42" i="13"/>
  <c r="BX11" i="13"/>
  <c r="BX42" i="13" s="1"/>
  <c r="AQ42" i="13"/>
  <c r="BZ11" i="13"/>
  <c r="BZ42" i="13" s="1"/>
  <c r="BP11" i="13"/>
  <c r="BP42" i="13" s="1"/>
  <c r="BR11" i="13"/>
  <c r="BR42" i="13" s="1"/>
  <c r="BV11" i="13"/>
  <c r="BV42" i="13" s="1"/>
  <c r="BN38" i="13"/>
  <c r="BS48" i="13"/>
  <c r="BL45" i="13"/>
  <c r="BM16" i="13"/>
  <c r="BV48" i="13"/>
  <c r="BS11" i="13"/>
  <c r="BS42" i="13" s="1"/>
  <c r="BK113" i="13"/>
  <c r="BK87" i="13"/>
  <c r="BI64" i="13"/>
  <c r="AY42" i="13"/>
  <c r="CB11" i="13"/>
  <c r="CB42" i="13" s="1"/>
  <c r="BT11" i="13"/>
  <c r="BT42" i="13" s="1"/>
  <c r="CD113" i="13"/>
  <c r="CD88" i="13"/>
  <c r="CD87" i="13"/>
  <c r="CD38" i="13"/>
  <c r="CD48" i="13"/>
  <c r="BM84" i="13"/>
  <c r="BL85" i="13"/>
  <c r="BL86" i="13" s="1"/>
  <c r="BJ46" i="13"/>
  <c r="BJ48" i="13" s="1"/>
  <c r="BK19" i="13"/>
  <c r="BJ23" i="13"/>
  <c r="BN47" i="13"/>
  <c r="BN116" i="13" s="1"/>
  <c r="BN77" i="13"/>
  <c r="AE42" i="13"/>
  <c r="BW11" i="13"/>
  <c r="BW42" i="13" s="1"/>
  <c r="AM42" i="13"/>
  <c r="BY11" i="13"/>
  <c r="BY42" i="13" s="1"/>
  <c r="AU42" i="13"/>
  <c r="CA11" i="13"/>
  <c r="CA42" i="13" s="1"/>
  <c r="BQ11" i="13"/>
  <c r="BQ42" i="13" s="1"/>
  <c r="BU11" i="13"/>
  <c r="BU42" i="13" s="1"/>
  <c r="BL37" i="13"/>
  <c r="CD23" i="13"/>
  <c r="BP48" i="13"/>
  <c r="BK8" i="13"/>
  <c r="AG8" i="13"/>
  <c r="BB8" i="13"/>
  <c r="AL8" i="13"/>
  <c r="AP8" i="13"/>
  <c r="AV8" i="13"/>
  <c r="AH8" i="13"/>
  <c r="BX26" i="13"/>
  <c r="BV26" i="13"/>
  <c r="BE8" i="13"/>
  <c r="BC8" i="13"/>
  <c r="AI8" i="13"/>
  <c r="AR8" i="13"/>
  <c r="AQ8" i="13"/>
  <c r="BH8" i="13"/>
  <c r="AT8" i="13"/>
  <c r="AU8" i="13"/>
  <c r="AX8" i="13"/>
  <c r="BF8" i="13"/>
  <c r="AJ8" i="13"/>
  <c r="BW26" i="13"/>
  <c r="AY8" i="13"/>
  <c r="AS8" i="13"/>
  <c r="AN8" i="13"/>
  <c r="BA8" i="13"/>
  <c r="CB26" i="13"/>
  <c r="AM8" i="13"/>
  <c r="AE8" i="13"/>
  <c r="CC26" i="13"/>
  <c r="BM8" i="13"/>
  <c r="BG8" i="13"/>
  <c r="BZ26" i="13"/>
  <c r="CA26" i="13"/>
  <c r="AZ8" i="13"/>
  <c r="BI8" i="13"/>
  <c r="AF8" i="13"/>
  <c r="BL8" i="13"/>
  <c r="AO8" i="13"/>
  <c r="AK8" i="13"/>
  <c r="BJ8" i="13"/>
  <c r="BN8" i="13"/>
  <c r="AW8" i="13"/>
  <c r="BD8" i="13"/>
  <c r="BK46" i="13" l="1"/>
  <c r="BK48" i="13" s="1"/>
  <c r="BL19" i="13"/>
  <c r="BK23" i="13"/>
  <c r="BL113" i="13"/>
  <c r="BL87" i="13"/>
  <c r="BM45" i="13"/>
  <c r="BN16" i="13"/>
  <c r="CE16" i="13"/>
  <c r="BM85" i="13"/>
  <c r="BM86" i="13" s="1"/>
  <c r="BN84" i="13"/>
  <c r="BN85" i="13" s="1"/>
  <c r="BJ64" i="13"/>
  <c r="BJ68" i="13" s="1"/>
  <c r="BN78" i="13"/>
  <c r="CE78" i="13" s="1"/>
  <c r="CE77" i="13"/>
  <c r="BN37" i="13"/>
  <c r="BI68" i="13"/>
  <c r="BM37" i="13"/>
  <c r="CE37" i="13" s="1"/>
  <c r="CE3" i="13"/>
  <c r="CD3" i="13"/>
  <c r="CC3" i="13"/>
  <c r="CB3" i="13"/>
  <c r="CA3" i="13"/>
  <c r="BZ3" i="13"/>
  <c r="BY3" i="13"/>
  <c r="BX3" i="13"/>
  <c r="BW3" i="13"/>
  <c r="AR26" i="13"/>
  <c r="AS26" i="13"/>
  <c r="BA26" i="13"/>
  <c r="AQ26" i="13"/>
  <c r="AH26" i="13"/>
  <c r="AV26" i="13"/>
  <c r="BE26" i="13"/>
  <c r="BF26" i="13"/>
  <c r="BB26" i="13"/>
  <c r="AT26" i="13"/>
  <c r="AM26" i="13"/>
  <c r="AI26" i="13"/>
  <c r="AO26" i="13"/>
  <c r="AW26" i="13"/>
  <c r="AG26" i="13"/>
  <c r="AJ26" i="13"/>
  <c r="AK26" i="13"/>
  <c r="AZ26" i="13"/>
  <c r="AU26" i="13"/>
  <c r="AP26" i="13"/>
  <c r="BC26" i="13"/>
  <c r="BD26" i="13"/>
  <c r="AY26" i="13"/>
  <c r="AE26" i="13"/>
  <c r="AL26" i="13"/>
  <c r="AN26" i="13"/>
  <c r="AX26" i="13"/>
  <c r="AF26" i="13"/>
  <c r="BN86" i="13" l="1"/>
  <c r="CE86" i="13" s="1"/>
  <c r="L41" i="13"/>
  <c r="L43" i="13" s="1"/>
  <c r="L21" i="13"/>
  <c r="L105" i="13"/>
  <c r="L104" i="13"/>
  <c r="L18" i="13"/>
  <c r="L13" i="13"/>
  <c r="L10" i="13"/>
  <c r="L9" i="13"/>
  <c r="AF41" i="13"/>
  <c r="AF43" i="13" s="1"/>
  <c r="AF21" i="13"/>
  <c r="AF18" i="13"/>
  <c r="AF105" i="13"/>
  <c r="AF104" i="13"/>
  <c r="AF13" i="13"/>
  <c r="AF10" i="13"/>
  <c r="AF9" i="13"/>
  <c r="C41" i="13"/>
  <c r="C43" i="13" s="1"/>
  <c r="C105" i="13"/>
  <c r="C104" i="13"/>
  <c r="C18" i="13"/>
  <c r="C13" i="13"/>
  <c r="BP7" i="13"/>
  <c r="G41" i="13"/>
  <c r="G43" i="13" s="1"/>
  <c r="G21" i="13"/>
  <c r="G105" i="13"/>
  <c r="G104" i="13"/>
  <c r="G18" i="13"/>
  <c r="G13" i="13"/>
  <c r="G10" i="13"/>
  <c r="G9" i="13"/>
  <c r="BQ7" i="13"/>
  <c r="K41" i="13"/>
  <c r="K43" i="13" s="1"/>
  <c r="K105" i="13"/>
  <c r="K104" i="13"/>
  <c r="K18" i="13"/>
  <c r="K21" i="13"/>
  <c r="K13" i="13"/>
  <c r="K9" i="13"/>
  <c r="K10" i="13"/>
  <c r="BR7" i="13"/>
  <c r="O41" i="13"/>
  <c r="O43" i="13" s="1"/>
  <c r="O18" i="13"/>
  <c r="O105" i="13"/>
  <c r="O104" i="13"/>
  <c r="O21" i="13"/>
  <c r="O13" i="13"/>
  <c r="O10" i="13"/>
  <c r="O9" i="13"/>
  <c r="BS7" i="13"/>
  <c r="S41" i="13"/>
  <c r="S43" i="13" s="1"/>
  <c r="S21" i="13"/>
  <c r="S105" i="13"/>
  <c r="S104" i="13"/>
  <c r="S18" i="13"/>
  <c r="S13" i="13"/>
  <c r="S10" i="13"/>
  <c r="S9" i="13"/>
  <c r="BT7" i="13"/>
  <c r="W41" i="13"/>
  <c r="W43" i="13" s="1"/>
  <c r="W21" i="13"/>
  <c r="W105" i="13"/>
  <c r="W104" i="13"/>
  <c r="W18" i="13"/>
  <c r="W13" i="13"/>
  <c r="W10" i="13"/>
  <c r="W9" i="13"/>
  <c r="BU7" i="13"/>
  <c r="AA41" i="13"/>
  <c r="AA43" i="13" s="1"/>
  <c r="AA105" i="13"/>
  <c r="AA104" i="13"/>
  <c r="AA18" i="13"/>
  <c r="AA21" i="13"/>
  <c r="AA13" i="13"/>
  <c r="AA9" i="13"/>
  <c r="AA10" i="13"/>
  <c r="BV7" i="13"/>
  <c r="AE41" i="13"/>
  <c r="AE43" i="13" s="1"/>
  <c r="AE18" i="13"/>
  <c r="AE105" i="13"/>
  <c r="AE104" i="13"/>
  <c r="AE21" i="13"/>
  <c r="AE13" i="13"/>
  <c r="AE10" i="13"/>
  <c r="AE9" i="13"/>
  <c r="BW7" i="13"/>
  <c r="AI41" i="13"/>
  <c r="AI43" i="13" s="1"/>
  <c r="AI21" i="13"/>
  <c r="AI105" i="13"/>
  <c r="AI104" i="13"/>
  <c r="AI18" i="13"/>
  <c r="AI13" i="13"/>
  <c r="AI10" i="13"/>
  <c r="AI9" i="13"/>
  <c r="BX7" i="13"/>
  <c r="AM41" i="13"/>
  <c r="AM43" i="13" s="1"/>
  <c r="AM21" i="13"/>
  <c r="AM105" i="13"/>
  <c r="AM104" i="13"/>
  <c r="AM18" i="13"/>
  <c r="AM13" i="13"/>
  <c r="AM10" i="13"/>
  <c r="AM9" i="13"/>
  <c r="BY7" i="13"/>
  <c r="AQ41" i="13"/>
  <c r="AQ43" i="13" s="1"/>
  <c r="AQ105" i="13"/>
  <c r="AQ104" i="13"/>
  <c r="AQ18" i="13"/>
  <c r="AQ21" i="13"/>
  <c r="AQ13" i="13"/>
  <c r="AQ9" i="13"/>
  <c r="AQ10" i="13"/>
  <c r="BZ7" i="13"/>
  <c r="AU41" i="13"/>
  <c r="AU43" i="13" s="1"/>
  <c r="AU18" i="13"/>
  <c r="AU105" i="13"/>
  <c r="AU104" i="13"/>
  <c r="AU21" i="13"/>
  <c r="AU13" i="13"/>
  <c r="AU10" i="13"/>
  <c r="AU9" i="13"/>
  <c r="CA7" i="13"/>
  <c r="AY41" i="13"/>
  <c r="AY43" i="13" s="1"/>
  <c r="AY21" i="13"/>
  <c r="AY105" i="13"/>
  <c r="AY104" i="13"/>
  <c r="AY18" i="13"/>
  <c r="AY13" i="13"/>
  <c r="AY10" i="13"/>
  <c r="AY9" i="13"/>
  <c r="CB7" i="13"/>
  <c r="BN45" i="13"/>
  <c r="H41" i="13"/>
  <c r="H43" i="13" s="1"/>
  <c r="H21" i="13"/>
  <c r="H18" i="13"/>
  <c r="H105" i="13"/>
  <c r="H104" i="13"/>
  <c r="H13" i="13"/>
  <c r="H9" i="13"/>
  <c r="H10" i="13"/>
  <c r="T41" i="13"/>
  <c r="T43" i="13" s="1"/>
  <c r="T21" i="13"/>
  <c r="T105" i="13"/>
  <c r="T104" i="13"/>
  <c r="T18" i="13"/>
  <c r="T13" i="13"/>
  <c r="T10" i="13"/>
  <c r="T9" i="13"/>
  <c r="AB41" i="13"/>
  <c r="AB43" i="13" s="1"/>
  <c r="AB21" i="13"/>
  <c r="AB105" i="13"/>
  <c r="AB104" i="13"/>
  <c r="AB18" i="13"/>
  <c r="AB13" i="13"/>
  <c r="AB10" i="13"/>
  <c r="AB9" i="13"/>
  <c r="AJ41" i="13"/>
  <c r="AJ43" i="13" s="1"/>
  <c r="AJ21" i="13"/>
  <c r="AJ105" i="13"/>
  <c r="AJ104" i="13"/>
  <c r="AJ18" i="13"/>
  <c r="AJ13" i="13"/>
  <c r="AJ10" i="13"/>
  <c r="AJ9" i="13"/>
  <c r="AR41" i="13"/>
  <c r="AR43" i="13" s="1"/>
  <c r="AR21" i="13"/>
  <c r="AR105" i="13"/>
  <c r="AR104" i="13"/>
  <c r="AR18" i="13"/>
  <c r="AR13" i="13"/>
  <c r="AR10" i="13"/>
  <c r="AR9" i="13"/>
  <c r="AV41" i="13"/>
  <c r="AV43" i="13" s="1"/>
  <c r="AV21" i="13"/>
  <c r="AV18" i="13"/>
  <c r="AV105" i="13"/>
  <c r="AV104" i="13"/>
  <c r="AV13" i="13"/>
  <c r="AV10" i="13"/>
  <c r="AV9" i="13"/>
  <c r="AZ41" i="13"/>
  <c r="AZ43" i="13" s="1"/>
  <c r="AZ21" i="13"/>
  <c r="AZ105" i="13"/>
  <c r="AZ104" i="13"/>
  <c r="AZ18" i="13"/>
  <c r="AZ13" i="13"/>
  <c r="AZ10" i="13"/>
  <c r="AZ9" i="13"/>
  <c r="BN113" i="13"/>
  <c r="BN87" i="13"/>
  <c r="CE85" i="13"/>
  <c r="CE38" i="13" s="1"/>
  <c r="D41" i="13"/>
  <c r="D43" i="13" s="1"/>
  <c r="D21" i="13"/>
  <c r="D105" i="13"/>
  <c r="D104" i="13"/>
  <c r="D18" i="13"/>
  <c r="D13" i="13"/>
  <c r="D10" i="13"/>
  <c r="P41" i="13"/>
  <c r="P43" i="13" s="1"/>
  <c r="P21" i="13"/>
  <c r="P18" i="13"/>
  <c r="P105" i="13"/>
  <c r="P104" i="13"/>
  <c r="P13" i="13"/>
  <c r="P10" i="13"/>
  <c r="P9" i="13"/>
  <c r="X41" i="13"/>
  <c r="X43" i="13" s="1"/>
  <c r="X21" i="13"/>
  <c r="X18" i="13"/>
  <c r="X105" i="13"/>
  <c r="X104" i="13"/>
  <c r="X13" i="13"/>
  <c r="X10" i="13"/>
  <c r="X9" i="13"/>
  <c r="AN41" i="13"/>
  <c r="AN43" i="13" s="1"/>
  <c r="AN21" i="13"/>
  <c r="AN18" i="13"/>
  <c r="AN105" i="13"/>
  <c r="AN104" i="13"/>
  <c r="AN13" i="13"/>
  <c r="AN10" i="13"/>
  <c r="AN9" i="13"/>
  <c r="E41" i="13"/>
  <c r="E43" i="13" s="1"/>
  <c r="E21" i="13"/>
  <c r="E18" i="13"/>
  <c r="E104" i="13"/>
  <c r="E105" i="13"/>
  <c r="E13" i="13"/>
  <c r="E10" i="13"/>
  <c r="I41" i="13"/>
  <c r="I43" i="13" s="1"/>
  <c r="I104" i="13"/>
  <c r="I105" i="13"/>
  <c r="I21" i="13"/>
  <c r="I18" i="13"/>
  <c r="I13" i="13"/>
  <c r="I10" i="13"/>
  <c r="I9" i="13"/>
  <c r="M41" i="13"/>
  <c r="M43" i="13" s="1"/>
  <c r="M21" i="13"/>
  <c r="M104" i="13"/>
  <c r="M18" i="13"/>
  <c r="M105" i="13"/>
  <c r="M13" i="13"/>
  <c r="M9" i="13"/>
  <c r="M10" i="13"/>
  <c r="Q41" i="13"/>
  <c r="Q43" i="13" s="1"/>
  <c r="Q104" i="13"/>
  <c r="Q105" i="13"/>
  <c r="Q21" i="13"/>
  <c r="Q18" i="13"/>
  <c r="Q13" i="13"/>
  <c r="Q9" i="13"/>
  <c r="Q10" i="13"/>
  <c r="U41" i="13"/>
  <c r="U43" i="13" s="1"/>
  <c r="U21" i="13"/>
  <c r="U18" i="13"/>
  <c r="U104" i="13"/>
  <c r="U105" i="13"/>
  <c r="U13" i="13"/>
  <c r="U10" i="13"/>
  <c r="U9" i="13"/>
  <c r="Y41" i="13"/>
  <c r="Y43" i="13" s="1"/>
  <c r="Y104" i="13"/>
  <c r="Y105" i="13"/>
  <c r="Y21" i="13"/>
  <c r="Y18" i="13"/>
  <c r="Y13" i="13"/>
  <c r="Y9" i="13"/>
  <c r="Y10" i="13"/>
  <c r="AC41" i="13"/>
  <c r="AC43" i="13" s="1"/>
  <c r="AC21" i="13"/>
  <c r="AC104" i="13"/>
  <c r="AC18" i="13"/>
  <c r="AC105" i="13"/>
  <c r="AC13" i="13"/>
  <c r="AC9" i="13"/>
  <c r="AC10" i="13"/>
  <c r="AG41" i="13"/>
  <c r="AG43" i="13" s="1"/>
  <c r="AG104" i="13"/>
  <c r="AG105" i="13"/>
  <c r="AG21" i="13"/>
  <c r="AG18" i="13"/>
  <c r="AG13" i="13"/>
  <c r="AG9" i="13"/>
  <c r="AG10" i="13"/>
  <c r="AK41" i="13"/>
  <c r="AK43" i="13" s="1"/>
  <c r="AK18" i="13"/>
  <c r="AK104" i="13"/>
  <c r="AK105" i="13"/>
  <c r="AK21" i="13"/>
  <c r="AK13" i="13"/>
  <c r="AK10" i="13"/>
  <c r="AK9" i="13"/>
  <c r="AO41" i="13"/>
  <c r="AO43" i="13" s="1"/>
  <c r="AO21" i="13"/>
  <c r="AO104" i="13"/>
  <c r="AO105" i="13"/>
  <c r="AO18" i="13"/>
  <c r="AO13" i="13"/>
  <c r="AO9" i="13"/>
  <c r="AO10" i="13"/>
  <c r="AS41" i="13"/>
  <c r="AS43" i="13" s="1"/>
  <c r="AS21" i="13"/>
  <c r="AS104" i="13"/>
  <c r="AS18" i="13"/>
  <c r="AS105" i="13"/>
  <c r="AS13" i="13"/>
  <c r="AS9" i="13"/>
  <c r="AS10" i="13"/>
  <c r="AW41" i="13"/>
  <c r="AW43" i="13" s="1"/>
  <c r="AW104" i="13"/>
  <c r="AW105" i="13"/>
  <c r="AW21" i="13"/>
  <c r="AW18" i="13"/>
  <c r="AW13" i="13"/>
  <c r="AW10" i="13"/>
  <c r="AW9" i="13"/>
  <c r="BA41" i="13"/>
  <c r="BA43" i="13" s="1"/>
  <c r="BA18" i="13"/>
  <c r="BA104" i="13"/>
  <c r="BA105" i="13"/>
  <c r="BA21" i="13"/>
  <c r="BA13" i="13"/>
  <c r="BA9" i="13"/>
  <c r="BA10" i="13"/>
  <c r="CE84" i="13"/>
  <c r="BM113" i="13"/>
  <c r="BM87" i="13"/>
  <c r="BL46" i="13"/>
  <c r="BL48" i="13" s="1"/>
  <c r="BM19" i="13"/>
  <c r="BL23" i="13"/>
  <c r="F41" i="13"/>
  <c r="F43" i="13" s="1"/>
  <c r="F21" i="13"/>
  <c r="F18" i="13"/>
  <c r="F105" i="13"/>
  <c r="F104" i="13"/>
  <c r="F13" i="13"/>
  <c r="F10" i="13"/>
  <c r="J41" i="13"/>
  <c r="J43" i="13" s="1"/>
  <c r="J18" i="13"/>
  <c r="J105" i="13"/>
  <c r="J104" i="13"/>
  <c r="J21" i="13"/>
  <c r="J13" i="13"/>
  <c r="J9" i="13"/>
  <c r="J10" i="13"/>
  <c r="N41" i="13"/>
  <c r="N43" i="13" s="1"/>
  <c r="N18" i="13"/>
  <c r="N105" i="13"/>
  <c r="N104" i="13"/>
  <c r="N21" i="13"/>
  <c r="N13" i="13"/>
  <c r="N10" i="13"/>
  <c r="N9" i="13"/>
  <c r="R41" i="13"/>
  <c r="R43" i="13" s="1"/>
  <c r="R104" i="13"/>
  <c r="R105" i="13"/>
  <c r="R18" i="13"/>
  <c r="R21" i="13"/>
  <c r="R13" i="13"/>
  <c r="R9" i="13"/>
  <c r="R10" i="13"/>
  <c r="V41" i="13"/>
  <c r="V43" i="13" s="1"/>
  <c r="V104" i="13"/>
  <c r="V21" i="13"/>
  <c r="V105" i="13"/>
  <c r="V18" i="13"/>
  <c r="V13" i="13"/>
  <c r="V10" i="13"/>
  <c r="V9" i="13"/>
  <c r="Z41" i="13"/>
  <c r="Z43" i="13" s="1"/>
  <c r="Z105" i="13"/>
  <c r="Z18" i="13"/>
  <c r="Z21" i="13"/>
  <c r="Z104" i="13"/>
  <c r="Z13" i="13"/>
  <c r="Z9" i="13"/>
  <c r="Z10" i="13"/>
  <c r="AD41" i="13"/>
  <c r="AD43" i="13" s="1"/>
  <c r="AD104" i="13"/>
  <c r="AD105" i="13"/>
  <c r="AD21" i="13"/>
  <c r="AD18" i="13"/>
  <c r="AD13" i="13"/>
  <c r="AD9" i="13"/>
  <c r="AD10" i="13"/>
  <c r="AH41" i="13"/>
  <c r="AH43" i="13" s="1"/>
  <c r="AH105" i="13"/>
  <c r="AH104" i="13"/>
  <c r="AH18" i="13"/>
  <c r="AH21" i="13"/>
  <c r="AH13" i="13"/>
  <c r="AH9" i="13"/>
  <c r="AH10" i="13"/>
  <c r="AL41" i="13"/>
  <c r="AL43" i="13" s="1"/>
  <c r="AL21" i="13"/>
  <c r="AL105" i="13"/>
  <c r="AL18" i="13"/>
  <c r="AL104" i="13"/>
  <c r="AL13" i="13"/>
  <c r="AL10" i="13"/>
  <c r="AL9" i="13"/>
  <c r="AP41" i="13"/>
  <c r="AP43" i="13" s="1"/>
  <c r="AP105" i="13"/>
  <c r="AP18" i="13"/>
  <c r="AP21" i="13"/>
  <c r="AP104" i="13"/>
  <c r="AP13" i="13"/>
  <c r="AP9" i="13"/>
  <c r="AP10" i="13"/>
  <c r="AT41" i="13"/>
  <c r="AT43" i="13" s="1"/>
  <c r="AT105" i="13"/>
  <c r="AT18" i="13"/>
  <c r="AT21" i="13"/>
  <c r="AT104" i="13"/>
  <c r="AT13" i="13"/>
  <c r="AT10" i="13"/>
  <c r="AT9" i="13"/>
  <c r="AX41" i="13"/>
  <c r="AX43" i="13" s="1"/>
  <c r="AX105" i="13"/>
  <c r="AX104" i="13"/>
  <c r="AX18" i="13"/>
  <c r="AX21" i="13"/>
  <c r="AX13" i="13"/>
  <c r="AX10" i="13"/>
  <c r="AX9" i="13"/>
  <c r="BB41" i="13"/>
  <c r="BB43" i="13" s="1"/>
  <c r="BB21" i="13"/>
  <c r="BB105" i="13"/>
  <c r="BB104" i="13"/>
  <c r="BB18" i="13"/>
  <c r="BB13" i="13"/>
  <c r="BB9" i="13"/>
  <c r="BB10" i="13"/>
  <c r="CD64" i="13"/>
  <c r="CD68" i="13" s="1"/>
  <c r="CE45" i="13"/>
  <c r="BK64" i="13"/>
  <c r="BB177" i="9"/>
  <c r="BB178" i="9"/>
  <c r="AW177" i="9"/>
  <c r="AX177" i="9"/>
  <c r="AW178" i="9"/>
  <c r="AX178" i="9"/>
  <c r="BB283" i="9"/>
  <c r="BB282" i="9"/>
  <c r="BB281" i="9"/>
  <c r="BB280" i="9"/>
  <c r="BB279" i="9"/>
  <c r="BB271" i="9"/>
  <c r="BB270" i="9"/>
  <c r="BB269" i="9"/>
  <c r="BB268" i="9"/>
  <c r="BB267" i="9"/>
  <c r="BB256" i="9"/>
  <c r="BB287" i="9" s="1"/>
  <c r="BB255" i="9"/>
  <c r="BB247" i="9"/>
  <c r="BB246" i="9"/>
  <c r="BB242" i="9"/>
  <c r="BB225" i="9"/>
  <c r="BB224" i="9"/>
  <c r="BB216" i="9"/>
  <c r="BB209" i="9"/>
  <c r="BB208" i="9"/>
  <c r="BB210" i="9" s="1"/>
  <c r="BB201" i="9"/>
  <c r="BB200" i="9"/>
  <c r="BB194" i="9"/>
  <c r="BB193" i="9"/>
  <c r="BB184" i="9"/>
  <c r="BB185" i="9" s="1"/>
  <c r="BB176" i="9"/>
  <c r="BB180" i="9" s="1"/>
  <c r="BB147" i="9"/>
  <c r="BB120" i="9"/>
  <c r="BB110" i="9"/>
  <c r="BB139" i="9" s="1"/>
  <c r="BB105" i="9"/>
  <c r="BB104" i="9"/>
  <c r="BB103" i="9"/>
  <c r="BB102" i="9"/>
  <c r="BB87" i="9"/>
  <c r="BB86" i="9"/>
  <c r="BB80" i="9"/>
  <c r="BB77" i="9"/>
  <c r="BB74" i="9"/>
  <c r="BB70" i="9"/>
  <c r="BB71" i="9" s="1"/>
  <c r="BB56" i="9"/>
  <c r="BB53" i="9"/>
  <c r="BB54" i="9" s="1"/>
  <c r="BB43" i="9"/>
  <c r="BB40" i="9"/>
  <c r="BB41" i="9" s="1"/>
  <c r="BB22" i="9"/>
  <c r="BB81" i="9" s="1"/>
  <c r="BB6" i="9"/>
  <c r="BB244" i="9" s="1"/>
  <c r="BB195" i="9" l="1"/>
  <c r="F57" i="13"/>
  <c r="F61" i="13" s="1"/>
  <c r="F62" i="13" s="1"/>
  <c r="F24" i="13"/>
  <c r="F14" i="13"/>
  <c r="F58" i="13" s="1"/>
  <c r="BA57" i="13"/>
  <c r="BA61" i="13" s="1"/>
  <c r="BA62" i="13" s="1"/>
  <c r="BA24" i="13"/>
  <c r="BA14" i="13"/>
  <c r="BA58" i="13" s="1"/>
  <c r="AW57" i="13"/>
  <c r="AW61" i="13" s="1"/>
  <c r="AW62" i="13" s="1"/>
  <c r="AW24" i="13"/>
  <c r="AW14" i="13"/>
  <c r="AW58" i="13" s="1"/>
  <c r="AS57" i="13"/>
  <c r="AS61" i="13" s="1"/>
  <c r="AS62" i="13" s="1"/>
  <c r="AS24" i="13"/>
  <c r="AS14" i="13"/>
  <c r="AS58" i="13" s="1"/>
  <c r="AO57" i="13"/>
  <c r="AO61" i="13" s="1"/>
  <c r="AO62" i="13" s="1"/>
  <c r="AO24" i="13"/>
  <c r="AO14" i="13"/>
  <c r="AO58" i="13" s="1"/>
  <c r="AK57" i="13"/>
  <c r="AK61" i="13" s="1"/>
  <c r="AK62" i="13" s="1"/>
  <c r="AK24" i="13"/>
  <c r="AK14" i="13"/>
  <c r="AK58" i="13" s="1"/>
  <c r="AG57" i="13"/>
  <c r="AG61" i="13" s="1"/>
  <c r="AG62" i="13" s="1"/>
  <c r="AG24" i="13"/>
  <c r="AG14" i="13"/>
  <c r="AG58" i="13" s="1"/>
  <c r="AC57" i="13"/>
  <c r="AC61" i="13" s="1"/>
  <c r="AC62" i="13" s="1"/>
  <c r="AC24" i="13"/>
  <c r="AC14" i="13"/>
  <c r="AC58" i="13" s="1"/>
  <c r="Y57" i="13"/>
  <c r="Y61" i="13" s="1"/>
  <c r="Y62" i="13" s="1"/>
  <c r="Y24" i="13"/>
  <c r="Y14" i="13"/>
  <c r="Y58" i="13" s="1"/>
  <c r="U57" i="13"/>
  <c r="U61" i="13" s="1"/>
  <c r="U62" i="13" s="1"/>
  <c r="U24" i="13"/>
  <c r="U14" i="13"/>
  <c r="U58" i="13" s="1"/>
  <c r="Q57" i="13"/>
  <c r="Q61" i="13" s="1"/>
  <c r="Q62" i="13" s="1"/>
  <c r="Q24" i="13"/>
  <c r="Q14" i="13"/>
  <c r="Q58" i="13" s="1"/>
  <c r="M57" i="13"/>
  <c r="M61" i="13" s="1"/>
  <c r="M62" i="13" s="1"/>
  <c r="M24" i="13"/>
  <c r="M14" i="13"/>
  <c r="M58" i="13" s="1"/>
  <c r="I57" i="13"/>
  <c r="I61" i="13" s="1"/>
  <c r="I62" i="13" s="1"/>
  <c r="I24" i="13"/>
  <c r="I14" i="13"/>
  <c r="I58" i="13" s="1"/>
  <c r="E49" i="13"/>
  <c r="E51" i="13" s="1"/>
  <c r="E44" i="13"/>
  <c r="AN49" i="13"/>
  <c r="AN51" i="13" s="1"/>
  <c r="AN44" i="13"/>
  <c r="X49" i="13"/>
  <c r="X51" i="13" s="1"/>
  <c r="X44" i="13"/>
  <c r="P49" i="13"/>
  <c r="P51" i="13" s="1"/>
  <c r="P44" i="13"/>
  <c r="CE113" i="13"/>
  <c r="CE88" i="13"/>
  <c r="CE87" i="13"/>
  <c r="AZ57" i="13"/>
  <c r="AZ61" i="13" s="1"/>
  <c r="AZ24" i="13"/>
  <c r="AZ14" i="13"/>
  <c r="AZ58" i="13" s="1"/>
  <c r="AV57" i="13"/>
  <c r="AV61" i="13" s="1"/>
  <c r="AV24" i="13"/>
  <c r="AV14" i="13"/>
  <c r="AV58" i="13" s="1"/>
  <c r="AR57" i="13"/>
  <c r="AR61" i="13" s="1"/>
  <c r="AR62" i="13" s="1"/>
  <c r="AR24" i="13"/>
  <c r="AR14" i="13"/>
  <c r="AR58" i="13" s="1"/>
  <c r="AJ57" i="13"/>
  <c r="AJ61" i="13" s="1"/>
  <c r="AJ62" i="13" s="1"/>
  <c r="AJ24" i="13"/>
  <c r="AJ14" i="13"/>
  <c r="AJ58" i="13" s="1"/>
  <c r="AB57" i="13"/>
  <c r="AB61" i="13" s="1"/>
  <c r="AB62" i="13" s="1"/>
  <c r="AB24" i="13"/>
  <c r="AB14" i="13"/>
  <c r="AB58" i="13" s="1"/>
  <c r="T57" i="13"/>
  <c r="T61" i="13" s="1"/>
  <c r="T62" i="13" s="1"/>
  <c r="T24" i="13"/>
  <c r="T14" i="13"/>
  <c r="T58" i="13" s="1"/>
  <c r="H57" i="13"/>
  <c r="H61" i="13" s="1"/>
  <c r="H62" i="13" s="1"/>
  <c r="H24" i="13"/>
  <c r="H14" i="13"/>
  <c r="H58" i="13" s="1"/>
  <c r="CA41" i="13"/>
  <c r="CA43" i="13" s="1"/>
  <c r="CA18" i="13"/>
  <c r="CA21" i="13"/>
  <c r="CA104" i="13"/>
  <c r="CA105" i="13"/>
  <c r="CA9" i="13"/>
  <c r="AU49" i="13"/>
  <c r="AU51" i="13" s="1"/>
  <c r="AU44" i="13"/>
  <c r="AQ57" i="13"/>
  <c r="AQ24" i="13"/>
  <c r="AQ14" i="13"/>
  <c r="AQ58" i="13" s="1"/>
  <c r="BZ13" i="13"/>
  <c r="BZ14" i="13" s="1"/>
  <c r="BZ58" i="13" s="1"/>
  <c r="BW41" i="13"/>
  <c r="BW43" i="13" s="1"/>
  <c r="BW105" i="13"/>
  <c r="BW21" i="13"/>
  <c r="BW18" i="13"/>
  <c r="BW104" i="13"/>
  <c r="BW9" i="13"/>
  <c r="AE49" i="13"/>
  <c r="AE51" i="13" s="1"/>
  <c r="AE44" i="13"/>
  <c r="AA57" i="13"/>
  <c r="AA24" i="13"/>
  <c r="AA14" i="13"/>
  <c r="AA58" i="13" s="1"/>
  <c r="BV13" i="13"/>
  <c r="BS41" i="13"/>
  <c r="BS43" i="13" s="1"/>
  <c r="BS21" i="13"/>
  <c r="BS18" i="13"/>
  <c r="BS9" i="13"/>
  <c r="BS104" i="13"/>
  <c r="BS105" i="13"/>
  <c r="O49" i="13"/>
  <c r="O51" i="13" s="1"/>
  <c r="O44" i="13"/>
  <c r="K57" i="13"/>
  <c r="K24" i="13"/>
  <c r="K14" i="13"/>
  <c r="K58" i="13" s="1"/>
  <c r="BR13" i="13"/>
  <c r="C57" i="13"/>
  <c r="C24" i="13"/>
  <c r="C14" i="13"/>
  <c r="C58" i="13" s="1"/>
  <c r="BP13" i="13"/>
  <c r="C49" i="13"/>
  <c r="C51" i="13" s="1"/>
  <c r="C44" i="13"/>
  <c r="AF49" i="13"/>
  <c r="AF51" i="13" s="1"/>
  <c r="AF44" i="13"/>
  <c r="L49" i="13"/>
  <c r="L51" i="13" s="1"/>
  <c r="L44" i="13"/>
  <c r="BB57" i="13"/>
  <c r="BB61" i="13" s="1"/>
  <c r="BB62" i="13" s="1"/>
  <c r="BB24" i="13"/>
  <c r="BB243" i="9" s="1"/>
  <c r="BB14" i="13"/>
  <c r="BB58" i="13" s="1"/>
  <c r="AX57" i="13"/>
  <c r="AX61" i="13" s="1"/>
  <c r="AX62" i="13" s="1"/>
  <c r="AX24" i="13"/>
  <c r="AX14" i="13"/>
  <c r="AX58" i="13" s="1"/>
  <c r="AT57" i="13"/>
  <c r="AT61" i="13" s="1"/>
  <c r="AT62" i="13" s="1"/>
  <c r="AT24" i="13"/>
  <c r="AT14" i="13"/>
  <c r="AT58" i="13" s="1"/>
  <c r="AP57" i="13"/>
  <c r="AP61" i="13" s="1"/>
  <c r="AP62" i="13" s="1"/>
  <c r="AP24" i="13"/>
  <c r="AP14" i="13"/>
  <c r="AP58" i="13" s="1"/>
  <c r="AL57" i="13"/>
  <c r="AL61" i="13" s="1"/>
  <c r="AL62" i="13" s="1"/>
  <c r="AL24" i="13"/>
  <c r="AL14" i="13"/>
  <c r="AL58" i="13" s="1"/>
  <c r="AH57" i="13"/>
  <c r="AH61" i="13" s="1"/>
  <c r="AH62" i="13" s="1"/>
  <c r="AH24" i="13"/>
  <c r="AH14" i="13"/>
  <c r="AH58" i="13" s="1"/>
  <c r="AD57" i="13"/>
  <c r="AD61" i="13" s="1"/>
  <c r="AD62" i="13" s="1"/>
  <c r="AD24" i="13"/>
  <c r="AD14" i="13"/>
  <c r="AD58" i="13" s="1"/>
  <c r="Z57" i="13"/>
  <c r="Z61" i="13" s="1"/>
  <c r="Z62" i="13" s="1"/>
  <c r="Z24" i="13"/>
  <c r="Z14" i="13"/>
  <c r="Z58" i="13" s="1"/>
  <c r="V57" i="13"/>
  <c r="V61" i="13" s="1"/>
  <c r="V62" i="13" s="1"/>
  <c r="V24" i="13"/>
  <c r="V14" i="13"/>
  <c r="V58" i="13" s="1"/>
  <c r="R57" i="13"/>
  <c r="R61" i="13" s="1"/>
  <c r="R62" i="13" s="1"/>
  <c r="R24" i="13"/>
  <c r="R14" i="13"/>
  <c r="R58" i="13" s="1"/>
  <c r="N57" i="13"/>
  <c r="N61" i="13" s="1"/>
  <c r="N62" i="13" s="1"/>
  <c r="N24" i="13"/>
  <c r="N14" i="13"/>
  <c r="N58" i="13" s="1"/>
  <c r="J57" i="13"/>
  <c r="J61" i="13" s="1"/>
  <c r="J62" i="13" s="1"/>
  <c r="J24" i="13"/>
  <c r="J14" i="13"/>
  <c r="J58" i="13" s="1"/>
  <c r="F49" i="13"/>
  <c r="F51" i="13" s="1"/>
  <c r="F44" i="13"/>
  <c r="BM46" i="13"/>
  <c r="BM48" i="13" s="1"/>
  <c r="BN19" i="13"/>
  <c r="BM23" i="13"/>
  <c r="BA49" i="13"/>
  <c r="BA51" i="13" s="1"/>
  <c r="BA44" i="13"/>
  <c r="AW49" i="13"/>
  <c r="AW51" i="13" s="1"/>
  <c r="AW44" i="13"/>
  <c r="AS49" i="13"/>
  <c r="AS51" i="13" s="1"/>
  <c r="AS44" i="13"/>
  <c r="AO49" i="13"/>
  <c r="AO51" i="13" s="1"/>
  <c r="AO44" i="13"/>
  <c r="AK49" i="13"/>
  <c r="AK51" i="13" s="1"/>
  <c r="AK44" i="13"/>
  <c r="AG49" i="13"/>
  <c r="AG51" i="13" s="1"/>
  <c r="AG44" i="13"/>
  <c r="AC49" i="13"/>
  <c r="AC51" i="13" s="1"/>
  <c r="AC44" i="13"/>
  <c r="Y49" i="13"/>
  <c r="Y51" i="13" s="1"/>
  <c r="Y44" i="13"/>
  <c r="U49" i="13"/>
  <c r="U51" i="13" s="1"/>
  <c r="U44" i="13"/>
  <c r="Q49" i="13"/>
  <c r="Q51" i="13" s="1"/>
  <c r="Q44" i="13"/>
  <c r="M49" i="13"/>
  <c r="M51" i="13" s="1"/>
  <c r="M44" i="13"/>
  <c r="I49" i="13"/>
  <c r="I51" i="13" s="1"/>
  <c r="I44" i="13"/>
  <c r="AZ49" i="13"/>
  <c r="AZ51" i="13" s="1"/>
  <c r="AZ44" i="13"/>
  <c r="AV49" i="13"/>
  <c r="AV51" i="13" s="1"/>
  <c r="AV44" i="13"/>
  <c r="AR49" i="13"/>
  <c r="AR51" i="13" s="1"/>
  <c r="AR44" i="13"/>
  <c r="AJ49" i="13"/>
  <c r="AJ51" i="13" s="1"/>
  <c r="AJ44" i="13"/>
  <c r="AB49" i="13"/>
  <c r="AB51" i="13" s="1"/>
  <c r="AB44" i="13"/>
  <c r="T49" i="13"/>
  <c r="T51" i="13" s="1"/>
  <c r="T44" i="13"/>
  <c r="H49" i="13"/>
  <c r="H51" i="13" s="1"/>
  <c r="H44" i="13"/>
  <c r="BZ41" i="13"/>
  <c r="BZ43" i="13" s="1"/>
  <c r="BZ21" i="13"/>
  <c r="BZ104" i="13"/>
  <c r="BZ18" i="13"/>
  <c r="BZ105" i="13"/>
  <c r="BZ9" i="13"/>
  <c r="AQ49" i="13"/>
  <c r="AQ51" i="13" s="1"/>
  <c r="AQ44" i="13"/>
  <c r="AM57" i="13"/>
  <c r="AM24" i="13"/>
  <c r="AM14" i="13"/>
  <c r="AM58" i="13" s="1"/>
  <c r="BY13" i="13"/>
  <c r="BV41" i="13"/>
  <c r="BV43" i="13" s="1"/>
  <c r="BV105" i="13"/>
  <c r="BV9" i="13"/>
  <c r="BV21" i="13"/>
  <c r="BV104" i="13"/>
  <c r="BV18" i="13"/>
  <c r="AA49" i="13"/>
  <c r="AA51" i="13" s="1"/>
  <c r="AA44" i="13"/>
  <c r="W57" i="13"/>
  <c r="W24" i="13"/>
  <c r="W14" i="13"/>
  <c r="W58" i="13" s="1"/>
  <c r="BU13" i="13"/>
  <c r="BR41" i="13"/>
  <c r="BR43" i="13" s="1"/>
  <c r="BR104" i="13"/>
  <c r="BR18" i="13"/>
  <c r="BR21" i="13"/>
  <c r="BR9" i="13"/>
  <c r="BR105" i="13"/>
  <c r="K49" i="13"/>
  <c r="K51" i="13" s="1"/>
  <c r="K44" i="13"/>
  <c r="G57" i="13"/>
  <c r="G24" i="13"/>
  <c r="G14" i="13"/>
  <c r="G58" i="13" s="1"/>
  <c r="BQ13" i="13"/>
  <c r="CE19" i="13"/>
  <c r="BK68" i="13"/>
  <c r="BB44" i="13"/>
  <c r="BB49" i="13"/>
  <c r="BB51" i="13" s="1"/>
  <c r="AX44" i="13"/>
  <c r="AX49" i="13"/>
  <c r="AX51" i="13" s="1"/>
  <c r="AT44" i="13"/>
  <c r="AT49" i="13"/>
  <c r="AT51" i="13" s="1"/>
  <c r="AP49" i="13"/>
  <c r="AP51" i="13" s="1"/>
  <c r="AP44" i="13"/>
  <c r="AL44" i="13"/>
  <c r="AL49" i="13"/>
  <c r="AL51" i="13" s="1"/>
  <c r="AH49" i="13"/>
  <c r="AH51" i="13" s="1"/>
  <c r="AH44" i="13"/>
  <c r="AD44" i="13"/>
  <c r="AD49" i="13"/>
  <c r="AD51" i="13" s="1"/>
  <c r="Z49" i="13"/>
  <c r="Z51" i="13" s="1"/>
  <c r="Z44" i="13"/>
  <c r="V44" i="13"/>
  <c r="V49" i="13"/>
  <c r="V51" i="13" s="1"/>
  <c r="R49" i="13"/>
  <c r="R51" i="13" s="1"/>
  <c r="R44" i="13"/>
  <c r="N49" i="13"/>
  <c r="N51" i="13" s="1"/>
  <c r="N44" i="13"/>
  <c r="J49" i="13"/>
  <c r="J51" i="13" s="1"/>
  <c r="J44" i="13"/>
  <c r="D57" i="13"/>
  <c r="D61" i="13" s="1"/>
  <c r="D62" i="13" s="1"/>
  <c r="D24" i="13"/>
  <c r="D14" i="13"/>
  <c r="D58" i="13" s="1"/>
  <c r="AY57" i="13"/>
  <c r="AY24" i="13"/>
  <c r="AY14" i="13"/>
  <c r="AY58" i="13" s="1"/>
  <c r="CB13" i="13"/>
  <c r="CB14" i="13" s="1"/>
  <c r="CB58" i="13" s="1"/>
  <c r="BY41" i="13"/>
  <c r="BY43" i="13" s="1"/>
  <c r="BY104" i="13"/>
  <c r="BY105" i="13"/>
  <c r="BY18" i="13"/>
  <c r="BY21" i="13"/>
  <c r="BY9" i="13"/>
  <c r="AM49" i="13"/>
  <c r="AM51" i="13" s="1"/>
  <c r="AM44" i="13"/>
  <c r="AI57" i="13"/>
  <c r="AI24" i="13"/>
  <c r="AI14" i="13"/>
  <c r="AI58" i="13" s="1"/>
  <c r="BX13" i="13"/>
  <c r="BU41" i="13"/>
  <c r="BU43" i="13" s="1"/>
  <c r="BU18" i="13"/>
  <c r="BU21" i="13"/>
  <c r="BU105" i="13"/>
  <c r="BU104" i="13"/>
  <c r="BU9" i="13"/>
  <c r="W44" i="13"/>
  <c r="W49" i="13"/>
  <c r="W51" i="13" s="1"/>
  <c r="S57" i="13"/>
  <c r="S24" i="13"/>
  <c r="S14" i="13"/>
  <c r="S58" i="13" s="1"/>
  <c r="BT13" i="13"/>
  <c r="BQ41" i="13"/>
  <c r="BQ43" i="13" s="1"/>
  <c r="BQ18" i="13"/>
  <c r="BQ105" i="13"/>
  <c r="BQ104" i="13"/>
  <c r="BQ21" i="13"/>
  <c r="BQ9" i="13"/>
  <c r="G44" i="13"/>
  <c r="G49" i="13"/>
  <c r="G51" i="13" s="1"/>
  <c r="BL64" i="13"/>
  <c r="BL68" i="13" s="1"/>
  <c r="E57" i="13"/>
  <c r="E61" i="13" s="1"/>
  <c r="E62" i="13" s="1"/>
  <c r="E24" i="13"/>
  <c r="E14" i="13"/>
  <c r="E58" i="13" s="1"/>
  <c r="AN57" i="13"/>
  <c r="AN61" i="13" s="1"/>
  <c r="AN62" i="13" s="1"/>
  <c r="AN24" i="13"/>
  <c r="AN14" i="13"/>
  <c r="AN58" i="13" s="1"/>
  <c r="X57" i="13"/>
  <c r="X61" i="13" s="1"/>
  <c r="X62" i="13" s="1"/>
  <c r="X24" i="13"/>
  <c r="X14" i="13"/>
  <c r="X58" i="13" s="1"/>
  <c r="P57" i="13"/>
  <c r="P61" i="13" s="1"/>
  <c r="P62" i="13" s="1"/>
  <c r="P24" i="13"/>
  <c r="P14" i="13"/>
  <c r="P58" i="13" s="1"/>
  <c r="D49" i="13"/>
  <c r="D51" i="13" s="1"/>
  <c r="D44" i="13"/>
  <c r="CB41" i="13"/>
  <c r="CB43" i="13" s="1"/>
  <c r="CB18" i="13"/>
  <c r="CB21" i="13"/>
  <c r="CB104" i="13"/>
  <c r="CB105" i="13"/>
  <c r="CB9" i="13"/>
  <c r="AY49" i="13"/>
  <c r="AY51" i="13" s="1"/>
  <c r="AY44" i="13"/>
  <c r="AU57" i="13"/>
  <c r="AU24" i="13"/>
  <c r="AU14" i="13"/>
  <c r="AU58" i="13" s="1"/>
  <c r="CA13" i="13"/>
  <c r="CA14" i="13" s="1"/>
  <c r="CA58" i="13" s="1"/>
  <c r="BX41" i="13"/>
  <c r="BX43" i="13" s="1"/>
  <c r="BX18" i="13"/>
  <c r="BX105" i="13"/>
  <c r="BX21" i="13"/>
  <c r="BX104" i="13"/>
  <c r="BX9" i="13"/>
  <c r="AI49" i="13"/>
  <c r="AI51" i="13" s="1"/>
  <c r="AI44" i="13"/>
  <c r="AE57" i="13"/>
  <c r="AE24" i="13"/>
  <c r="AE14" i="13"/>
  <c r="AE58" i="13" s="1"/>
  <c r="BW13" i="13"/>
  <c r="BT41" i="13"/>
  <c r="BT43" i="13" s="1"/>
  <c r="BT21" i="13"/>
  <c r="BT18" i="13"/>
  <c r="BT104" i="13"/>
  <c r="BT105" i="13"/>
  <c r="BT9" i="13"/>
  <c r="S49" i="13"/>
  <c r="S51" i="13" s="1"/>
  <c r="S44" i="13"/>
  <c r="O57" i="13"/>
  <c r="O24" i="13"/>
  <c r="O14" i="13"/>
  <c r="O58" i="13" s="1"/>
  <c r="BS13" i="13"/>
  <c r="BP41" i="13"/>
  <c r="BP43" i="13" s="1"/>
  <c r="BP21" i="13"/>
  <c r="BP18" i="13"/>
  <c r="BP105" i="13"/>
  <c r="BP104" i="13"/>
  <c r="AF57" i="13"/>
  <c r="AF61" i="13" s="1"/>
  <c r="AF62" i="13" s="1"/>
  <c r="AF24" i="13"/>
  <c r="AF14" i="13"/>
  <c r="AF58" i="13" s="1"/>
  <c r="L57" i="13"/>
  <c r="L61" i="13" s="1"/>
  <c r="L62" i="13" s="1"/>
  <c r="L24" i="13"/>
  <c r="L14" i="13"/>
  <c r="L58" i="13" s="1"/>
  <c r="BB36" i="9"/>
  <c r="BB49" i="9"/>
  <c r="BB32" i="9" s="1"/>
  <c r="BB66" i="9"/>
  <c r="BB68" i="9" s="1"/>
  <c r="BB142" i="9"/>
  <c r="BB113" i="9"/>
  <c r="BB111" i="9"/>
  <c r="BB145" i="9"/>
  <c r="BB112" i="9"/>
  <c r="BB148" i="9"/>
  <c r="BB121" i="9"/>
  <c r="BB31" i="9"/>
  <c r="BB14" i="9"/>
  <c r="BB78" i="9"/>
  <c r="BB275" i="9"/>
  <c r="BB72" i="9"/>
  <c r="BB39" i="9"/>
  <c r="BB38" i="9"/>
  <c r="BB85" i="9"/>
  <c r="BB99" i="9"/>
  <c r="BB37" i="9"/>
  <c r="BB181" i="9"/>
  <c r="BB115" i="9"/>
  <c r="BB116" i="9" s="1"/>
  <c r="BB189" i="9"/>
  <c r="BB13" i="9"/>
  <c r="BB18" i="9" s="1"/>
  <c r="BB25" i="9"/>
  <c r="BB75" i="9"/>
  <c r="BB217" i="9"/>
  <c r="BB274" i="9"/>
  <c r="BW24" i="13" l="1"/>
  <c r="BW14" i="13"/>
  <c r="BW58" i="13" s="1"/>
  <c r="L30" i="13"/>
  <c r="L25" i="13"/>
  <c r="BP49" i="13"/>
  <c r="BP51" i="13" s="1"/>
  <c r="BP44" i="13"/>
  <c r="O61" i="13"/>
  <c r="O62" i="13" s="1"/>
  <c r="BS57" i="13"/>
  <c r="BS61" i="13" s="1"/>
  <c r="BS62" i="13" s="1"/>
  <c r="BT49" i="13"/>
  <c r="BT51" i="13" s="1"/>
  <c r="BT44" i="13"/>
  <c r="AE61" i="13"/>
  <c r="AE62" i="13" s="1"/>
  <c r="BW57" i="13"/>
  <c r="BW61" i="13" s="1"/>
  <c r="BW62" i="13" s="1"/>
  <c r="BX49" i="13"/>
  <c r="BX51" i="13" s="1"/>
  <c r="BX44" i="13"/>
  <c r="AU61" i="13"/>
  <c r="AU62" i="13" s="1"/>
  <c r="CA57" i="13"/>
  <c r="CA61" i="13" s="1"/>
  <c r="CA62" i="13" s="1"/>
  <c r="CB49" i="13"/>
  <c r="CB51" i="13" s="1"/>
  <c r="CB44" i="13"/>
  <c r="E30" i="13"/>
  <c r="E25" i="13"/>
  <c r="BQ49" i="13"/>
  <c r="BQ51" i="13" s="1"/>
  <c r="BQ44" i="13"/>
  <c r="S61" i="13"/>
  <c r="S62" i="13" s="1"/>
  <c r="BT57" i="13"/>
  <c r="BT61" i="13" s="1"/>
  <c r="BT62" i="13" s="1"/>
  <c r="BU49" i="13"/>
  <c r="BU51" i="13" s="1"/>
  <c r="BU44" i="13"/>
  <c r="AI61" i="13"/>
  <c r="AI62" i="13" s="1"/>
  <c r="BX57" i="13"/>
  <c r="BX61" i="13" s="1"/>
  <c r="BX62" i="13" s="1"/>
  <c r="BY49" i="13"/>
  <c r="BY51" i="13" s="1"/>
  <c r="BY44" i="13"/>
  <c r="AY61" i="13"/>
  <c r="AY62" i="13" s="1"/>
  <c r="CB57" i="13"/>
  <c r="CB61" i="13" s="1"/>
  <c r="CB62" i="13" s="1"/>
  <c r="R30" i="13"/>
  <c r="R25" i="13"/>
  <c r="AH30" i="13"/>
  <c r="AH25" i="13"/>
  <c r="AX30" i="13"/>
  <c r="AX25" i="13"/>
  <c r="T30" i="13"/>
  <c r="T25" i="13"/>
  <c r="AV30" i="13"/>
  <c r="AV25" i="13"/>
  <c r="AZ69" i="13"/>
  <c r="AZ62" i="13"/>
  <c r="M30" i="13"/>
  <c r="M25" i="13"/>
  <c r="AC30" i="13"/>
  <c r="AC25" i="13"/>
  <c r="AS30" i="13"/>
  <c r="AS25" i="13"/>
  <c r="BS24" i="13"/>
  <c r="BS14" i="13"/>
  <c r="BS58" i="13" s="1"/>
  <c r="AN30" i="13"/>
  <c r="AN25" i="13"/>
  <c r="BT24" i="13"/>
  <c r="BT14" i="13"/>
  <c r="BT58" i="13" s="1"/>
  <c r="BX24" i="13"/>
  <c r="BX14" i="13"/>
  <c r="BX58" i="13" s="1"/>
  <c r="G30" i="13"/>
  <c r="G25" i="13"/>
  <c r="W30" i="13"/>
  <c r="W25" i="13"/>
  <c r="AM30" i="13"/>
  <c r="AM25" i="13"/>
  <c r="N30" i="13"/>
  <c r="N25" i="13"/>
  <c r="AD30" i="13"/>
  <c r="AD25" i="13"/>
  <c r="AT30" i="13"/>
  <c r="AT25" i="13"/>
  <c r="C30" i="13"/>
  <c r="C25" i="13"/>
  <c r="K30" i="13"/>
  <c r="K25" i="13"/>
  <c r="AA30" i="13"/>
  <c r="AA25" i="13"/>
  <c r="AQ30" i="13"/>
  <c r="AQ25" i="13"/>
  <c r="BZ24" i="13"/>
  <c r="BZ25" i="13" s="1"/>
  <c r="H30" i="13"/>
  <c r="H25" i="13"/>
  <c r="AR30" i="13"/>
  <c r="AR25" i="13"/>
  <c r="AV69" i="13"/>
  <c r="AV62" i="13"/>
  <c r="I30" i="13"/>
  <c r="I25" i="13"/>
  <c r="Y30" i="13"/>
  <c r="Y25" i="13"/>
  <c r="AO30" i="13"/>
  <c r="AO25" i="13"/>
  <c r="X30" i="13"/>
  <c r="X25" i="13"/>
  <c r="D30" i="13"/>
  <c r="D25" i="13"/>
  <c r="CE46" i="13"/>
  <c r="CE48" i="13" s="1"/>
  <c r="BQ57" i="13"/>
  <c r="BQ61" i="13" s="1"/>
  <c r="BQ62" i="13" s="1"/>
  <c r="G61" i="13"/>
  <c r="G62" i="13" s="1"/>
  <c r="BR49" i="13"/>
  <c r="BR51" i="13" s="1"/>
  <c r="BR44" i="13"/>
  <c r="BU57" i="13"/>
  <c r="BU61" i="13" s="1"/>
  <c r="BU62" i="13" s="1"/>
  <c r="W61" i="13"/>
  <c r="W62" i="13" s="1"/>
  <c r="BV49" i="13"/>
  <c r="BV51" i="13" s="1"/>
  <c r="BV44" i="13"/>
  <c r="BY57" i="13"/>
  <c r="BY61" i="13" s="1"/>
  <c r="BY62" i="13" s="1"/>
  <c r="AM61" i="13"/>
  <c r="AM62" i="13" s="1"/>
  <c r="BZ49" i="13"/>
  <c r="BZ51" i="13" s="1"/>
  <c r="BZ44" i="13"/>
  <c r="BM64" i="13"/>
  <c r="BM68" i="13" s="1"/>
  <c r="J30" i="13"/>
  <c r="J25" i="13"/>
  <c r="Z30" i="13"/>
  <c r="Z25" i="13"/>
  <c r="AP30" i="13"/>
  <c r="AP25" i="13"/>
  <c r="C61" i="13"/>
  <c r="C62" i="13" s="1"/>
  <c r="BP57" i="13"/>
  <c r="BP61" i="13" s="1"/>
  <c r="BP62" i="13" s="1"/>
  <c r="K61" i="13"/>
  <c r="K62" i="13" s="1"/>
  <c r="BR57" i="13"/>
  <c r="BR61" i="13" s="1"/>
  <c r="BR62" i="13" s="1"/>
  <c r="BS49" i="13"/>
  <c r="BS51" i="13" s="1"/>
  <c r="BS44" i="13"/>
  <c r="AA61" i="13"/>
  <c r="AA62" i="13" s="1"/>
  <c r="BV57" i="13"/>
  <c r="BV61" i="13" s="1"/>
  <c r="BV62" i="13" s="1"/>
  <c r="BW49" i="13"/>
  <c r="BW51" i="13" s="1"/>
  <c r="BW44" i="13"/>
  <c r="AQ61" i="13"/>
  <c r="BZ57" i="13"/>
  <c r="CA49" i="13"/>
  <c r="CA51" i="13" s="1"/>
  <c r="CA44" i="13"/>
  <c r="AJ30" i="13"/>
  <c r="AJ25" i="13"/>
  <c r="U30" i="13"/>
  <c r="U25" i="13"/>
  <c r="AK30" i="13"/>
  <c r="AK25" i="13"/>
  <c r="BA30" i="13"/>
  <c r="BA25" i="13"/>
  <c r="F30" i="13"/>
  <c r="F25" i="13"/>
  <c r="AF30" i="13"/>
  <c r="AF25" i="13"/>
  <c r="O30" i="13"/>
  <c r="O25" i="13"/>
  <c r="AE30" i="13"/>
  <c r="AE25" i="13"/>
  <c r="AU30" i="13"/>
  <c r="AU25" i="13"/>
  <c r="CA24" i="13"/>
  <c r="CA25" i="13" s="1"/>
  <c r="P30" i="13"/>
  <c r="P25" i="13"/>
  <c r="S30" i="13"/>
  <c r="S25" i="13"/>
  <c r="AI30" i="13"/>
  <c r="AI25" i="13"/>
  <c r="AY30" i="13"/>
  <c r="AY25" i="13"/>
  <c r="CB24" i="13"/>
  <c r="CB25" i="13" s="1"/>
  <c r="BQ24" i="13"/>
  <c r="BQ14" i="13"/>
  <c r="BQ58" i="13" s="1"/>
  <c r="BU24" i="13"/>
  <c r="BU14" i="13"/>
  <c r="BU58" i="13" s="1"/>
  <c r="BY24" i="13"/>
  <c r="BY14" i="13"/>
  <c r="BY58" i="13" s="1"/>
  <c r="BN46" i="13"/>
  <c r="BN48" i="13" s="1"/>
  <c r="BN23" i="13"/>
  <c r="V30" i="13"/>
  <c r="V25" i="13"/>
  <c r="AL30" i="13"/>
  <c r="AL25" i="13"/>
  <c r="BB30" i="13"/>
  <c r="BB25" i="13"/>
  <c r="BP24" i="13"/>
  <c r="BP14" i="13"/>
  <c r="BP58" i="13" s="1"/>
  <c r="BR24" i="13"/>
  <c r="BR14" i="13"/>
  <c r="BR58" i="13" s="1"/>
  <c r="BV24" i="13"/>
  <c r="BV14" i="13"/>
  <c r="BV58" i="13" s="1"/>
  <c r="AB30" i="13"/>
  <c r="AB25" i="13"/>
  <c r="AZ30" i="13"/>
  <c r="AZ25" i="13"/>
  <c r="Q30" i="13"/>
  <c r="Q25" i="13"/>
  <c r="AG30" i="13"/>
  <c r="AG25" i="13"/>
  <c r="AW30" i="13"/>
  <c r="AW25" i="13"/>
  <c r="BB15" i="9"/>
  <c r="BB51" i="9"/>
  <c r="BB62" i="9"/>
  <c r="BB64" i="9" s="1"/>
  <c r="BB100" i="9"/>
  <c r="BB106" i="9" s="1"/>
  <c r="BB263" i="9"/>
  <c r="BB253" i="9" s="1"/>
  <c r="BB67" i="9"/>
  <c r="BB50" i="9"/>
  <c r="BB52" i="9"/>
  <c r="BB24" i="9"/>
  <c r="BB23" i="9"/>
  <c r="BB63" i="9"/>
  <c r="AZ33" i="13" l="1"/>
  <c r="AZ32" i="13"/>
  <c r="AZ52" i="13" s="1"/>
  <c r="BP30" i="13"/>
  <c r="BP25" i="13"/>
  <c r="J33" i="13"/>
  <c r="J32" i="13"/>
  <c r="J52" i="13" s="1"/>
  <c r="AQ33" i="13"/>
  <c r="AQ32" i="13"/>
  <c r="AQ52" i="13" s="1"/>
  <c r="BZ30" i="13"/>
  <c r="BZ32" i="13" s="1"/>
  <c r="BZ52" i="13" s="1"/>
  <c r="W33" i="13"/>
  <c r="W32" i="13"/>
  <c r="W52" i="13" s="1"/>
  <c r="BX30" i="13"/>
  <c r="BX25" i="13"/>
  <c r="BT30" i="13"/>
  <c r="BT25" i="13"/>
  <c r="BS30" i="13"/>
  <c r="BS25" i="13"/>
  <c r="AV33" i="13"/>
  <c r="AV32" i="13"/>
  <c r="AV52" i="13" s="1"/>
  <c r="E33" i="13"/>
  <c r="E32" i="13"/>
  <c r="E52" i="13" s="1"/>
  <c r="L33" i="13"/>
  <c r="L32" i="13"/>
  <c r="L52" i="13" s="1"/>
  <c r="BN64" i="13"/>
  <c r="BN68" i="13" s="1"/>
  <c r="AY33" i="13"/>
  <c r="AY32" i="13"/>
  <c r="AY52" i="13" s="1"/>
  <c r="CB30" i="13"/>
  <c r="CB32" i="13" s="1"/>
  <c r="S33" i="13"/>
  <c r="S32" i="13"/>
  <c r="S52" i="13" s="1"/>
  <c r="AE33" i="13"/>
  <c r="AE32" i="13"/>
  <c r="AE52" i="13" s="1"/>
  <c r="F33" i="13"/>
  <c r="F32" i="13"/>
  <c r="F52" i="13" s="1"/>
  <c r="AK33" i="13"/>
  <c r="AK32" i="13"/>
  <c r="AK52" i="13" s="1"/>
  <c r="AJ33" i="13"/>
  <c r="AJ32" i="13"/>
  <c r="AJ52" i="13" s="1"/>
  <c r="AQ62" i="13"/>
  <c r="BZ61" i="13"/>
  <c r="BZ62" i="13" s="1"/>
  <c r="CE64" i="13"/>
  <c r="CE68" i="13" s="1"/>
  <c r="D33" i="13"/>
  <c r="D32" i="13"/>
  <c r="D52" i="13" s="1"/>
  <c r="AO33" i="13"/>
  <c r="AO32" i="13"/>
  <c r="AO52" i="13" s="1"/>
  <c r="I33" i="13"/>
  <c r="I32" i="13"/>
  <c r="I52" i="13" s="1"/>
  <c r="AR33" i="13"/>
  <c r="AR32" i="13"/>
  <c r="AR52" i="13" s="1"/>
  <c r="AG33" i="13"/>
  <c r="AG32" i="13"/>
  <c r="AG52" i="13" s="1"/>
  <c r="BV30" i="13"/>
  <c r="BV25" i="13"/>
  <c r="BU30" i="13"/>
  <c r="BU25" i="13"/>
  <c r="AP33" i="13"/>
  <c r="AP32" i="13"/>
  <c r="AP52" i="13" s="1"/>
  <c r="AN33" i="13"/>
  <c r="AN32" i="13"/>
  <c r="AN52" i="13" s="1"/>
  <c r="AS33" i="13"/>
  <c r="AS32" i="13"/>
  <c r="AS52" i="13" s="1"/>
  <c r="R33" i="13"/>
  <c r="R32" i="13"/>
  <c r="R52" i="13" s="1"/>
  <c r="AI33" i="13"/>
  <c r="AI32" i="13"/>
  <c r="AI52" i="13" s="1"/>
  <c r="P33" i="13"/>
  <c r="P32" i="13"/>
  <c r="P52" i="13" s="1"/>
  <c r="AU33" i="13"/>
  <c r="AU32" i="13"/>
  <c r="AU52" i="13" s="1"/>
  <c r="CA30" i="13"/>
  <c r="CA32" i="13" s="1"/>
  <c r="O33" i="13"/>
  <c r="O32" i="13"/>
  <c r="O52" i="13" s="1"/>
  <c r="AF33" i="13"/>
  <c r="AF32" i="13"/>
  <c r="AF52" i="13" s="1"/>
  <c r="BA33" i="13"/>
  <c r="BA32" i="13"/>
  <c r="BA52" i="13" s="1"/>
  <c r="U33" i="13"/>
  <c r="U32" i="13"/>
  <c r="U52" i="13" s="1"/>
  <c r="CA52" i="13"/>
  <c r="CA115" i="13" s="1"/>
  <c r="CE23" i="13"/>
  <c r="X33" i="13"/>
  <c r="X32" i="13"/>
  <c r="X52" i="13" s="1"/>
  <c r="Y33" i="13"/>
  <c r="Y32" i="13"/>
  <c r="Y52" i="13" s="1"/>
  <c r="H33" i="13"/>
  <c r="H32" i="13"/>
  <c r="H52" i="13" s="1"/>
  <c r="AL33" i="13"/>
  <c r="AL32" i="13"/>
  <c r="AL52" i="13" s="1"/>
  <c r="K33" i="13"/>
  <c r="K32" i="13"/>
  <c r="K52" i="13" s="1"/>
  <c r="AD33" i="13"/>
  <c r="AD32" i="13"/>
  <c r="AD52" i="13" s="1"/>
  <c r="M33" i="13"/>
  <c r="M32" i="13"/>
  <c r="M52" i="13" s="1"/>
  <c r="AX33" i="13"/>
  <c r="AX32" i="13"/>
  <c r="AX52" i="13" s="1"/>
  <c r="AW33" i="13"/>
  <c r="AW32" i="13"/>
  <c r="AW52" i="13" s="1"/>
  <c r="Q33" i="13"/>
  <c r="Q32" i="13"/>
  <c r="Q52" i="13" s="1"/>
  <c r="AB33" i="13"/>
  <c r="AB32" i="13"/>
  <c r="AB52" i="13" s="1"/>
  <c r="BR30" i="13"/>
  <c r="BR25" i="13"/>
  <c r="BB33" i="13"/>
  <c r="BB32" i="13"/>
  <c r="BB52" i="13" s="1"/>
  <c r="V33" i="13"/>
  <c r="V32" i="13"/>
  <c r="V52" i="13" s="1"/>
  <c r="BY30" i="13"/>
  <c r="BY25" i="13"/>
  <c r="BQ30" i="13"/>
  <c r="BQ25" i="13"/>
  <c r="Z33" i="13"/>
  <c r="Z32" i="13"/>
  <c r="Z52" i="13" s="1"/>
  <c r="AA33" i="13"/>
  <c r="AA32" i="13"/>
  <c r="AA52" i="13" s="1"/>
  <c r="C33" i="13"/>
  <c r="C32" i="13"/>
  <c r="C52" i="13" s="1"/>
  <c r="AT33" i="13"/>
  <c r="AT32" i="13"/>
  <c r="AT52" i="13" s="1"/>
  <c r="N33" i="13"/>
  <c r="N32" i="13"/>
  <c r="N52" i="13" s="1"/>
  <c r="AM33" i="13"/>
  <c r="AM32" i="13"/>
  <c r="AM52" i="13" s="1"/>
  <c r="G33" i="13"/>
  <c r="G32" i="13"/>
  <c r="G52" i="13" s="1"/>
  <c r="AC33" i="13"/>
  <c r="AC32" i="13"/>
  <c r="AC52" i="13" s="1"/>
  <c r="T33" i="13"/>
  <c r="T32" i="13"/>
  <c r="T52" i="13" s="1"/>
  <c r="AH33" i="13"/>
  <c r="AH32" i="13"/>
  <c r="AH52" i="13" s="1"/>
  <c r="CB52" i="13"/>
  <c r="CB115" i="13" s="1"/>
  <c r="BW30" i="13"/>
  <c r="BW25" i="13"/>
  <c r="BB254" i="9"/>
  <c r="BB272" i="9"/>
  <c r="BB262" i="9"/>
  <c r="BB261" i="9"/>
  <c r="BB284" i="9"/>
  <c r="BB260" i="9"/>
  <c r="BB107" i="9"/>
  <c r="BB27" i="9"/>
  <c r="BZ115" i="13" l="1"/>
  <c r="BZ53" i="13"/>
  <c r="BZ54" i="13" s="1"/>
  <c r="BW33" i="13"/>
  <c r="BW34" i="13" s="1"/>
  <c r="BW32" i="13"/>
  <c r="BW52" i="13" s="1"/>
  <c r="CB53" i="13"/>
  <c r="CB54" i="13" s="1"/>
  <c r="T115" i="13"/>
  <c r="T53" i="13"/>
  <c r="T54" i="13" s="1"/>
  <c r="G76" i="13"/>
  <c r="G34" i="13"/>
  <c r="N76" i="13"/>
  <c r="N79" i="13" s="1"/>
  <c r="N80" i="13" s="1"/>
  <c r="N34" i="13"/>
  <c r="C76" i="13"/>
  <c r="C34" i="13"/>
  <c r="BQ33" i="13"/>
  <c r="BQ34" i="13" s="1"/>
  <c r="BQ32" i="13"/>
  <c r="BQ52" i="13" s="1"/>
  <c r="V76" i="13"/>
  <c r="V79" i="13" s="1"/>
  <c r="V80" i="13" s="1"/>
  <c r="V34" i="13"/>
  <c r="BR33" i="13"/>
  <c r="BR34" i="13" s="1"/>
  <c r="BR32" i="13"/>
  <c r="BR52" i="13" s="1"/>
  <c r="Q76" i="13"/>
  <c r="Q79" i="13" s="1"/>
  <c r="Q80" i="13" s="1"/>
  <c r="Q34" i="13"/>
  <c r="M76" i="13"/>
  <c r="M79" i="13" s="1"/>
  <c r="M80" i="13" s="1"/>
  <c r="M34" i="13"/>
  <c r="AD115" i="13"/>
  <c r="AD53" i="13"/>
  <c r="AD54" i="13" s="1"/>
  <c r="Y76" i="13"/>
  <c r="Y79" i="13" s="1"/>
  <c r="Y80" i="13" s="1"/>
  <c r="Y34" i="13"/>
  <c r="U115" i="13"/>
  <c r="U53" i="13"/>
  <c r="U54" i="13" s="1"/>
  <c r="AF115" i="13"/>
  <c r="AF53" i="13"/>
  <c r="AF54" i="13" s="1"/>
  <c r="P76" i="13"/>
  <c r="P79" i="13" s="1"/>
  <c r="P80" i="13" s="1"/>
  <c r="P34" i="13"/>
  <c r="R115" i="13"/>
  <c r="R53" i="13"/>
  <c r="R54" i="13" s="1"/>
  <c r="AN115" i="13"/>
  <c r="AN53" i="13"/>
  <c r="AN54" i="13" s="1"/>
  <c r="AG115" i="13"/>
  <c r="AG53" i="13"/>
  <c r="AG54" i="13" s="1"/>
  <c r="I115" i="13"/>
  <c r="I53" i="13"/>
  <c r="I54" i="13" s="1"/>
  <c r="AK115" i="13"/>
  <c r="AK53" i="13"/>
  <c r="AK54" i="13" s="1"/>
  <c r="AE115" i="13"/>
  <c r="AE53" i="13"/>
  <c r="AE54" i="13" s="1"/>
  <c r="E76" i="13"/>
  <c r="E79" i="13" s="1"/>
  <c r="E80" i="13" s="1"/>
  <c r="E34" i="13"/>
  <c r="AV76" i="13"/>
  <c r="AV35" i="13"/>
  <c r="AV34" i="13"/>
  <c r="BT33" i="13"/>
  <c r="BT34" i="13" s="1"/>
  <c r="BT32" i="13"/>
  <c r="BT52" i="13" s="1"/>
  <c r="W76" i="13"/>
  <c r="W34" i="13"/>
  <c r="J115" i="13"/>
  <c r="J53" i="13"/>
  <c r="J54" i="13" s="1"/>
  <c r="AZ115" i="13"/>
  <c r="AZ53" i="13"/>
  <c r="AZ54" i="13" s="1"/>
  <c r="T76" i="13"/>
  <c r="T79" i="13" s="1"/>
  <c r="T80" i="13" s="1"/>
  <c r="T34" i="13"/>
  <c r="AM115" i="13"/>
  <c r="AM53" i="13"/>
  <c r="AM54" i="13" s="1"/>
  <c r="AT115" i="13"/>
  <c r="AT53" i="13"/>
  <c r="AT54" i="13" s="1"/>
  <c r="AA115" i="13"/>
  <c r="AA53" i="13"/>
  <c r="AA54" i="13" s="1"/>
  <c r="Z115" i="13"/>
  <c r="Z53" i="13"/>
  <c r="Z54" i="13" s="1"/>
  <c r="BB115" i="13"/>
  <c r="BB53" i="13"/>
  <c r="BB54" i="13" s="1"/>
  <c r="AB115" i="13"/>
  <c r="AB53" i="13"/>
  <c r="AB54" i="13" s="1"/>
  <c r="AW115" i="13"/>
  <c r="AW53" i="13"/>
  <c r="AW54" i="13" s="1"/>
  <c r="AX115" i="13"/>
  <c r="AX53" i="13"/>
  <c r="AX54" i="13" s="1"/>
  <c r="AD76" i="13"/>
  <c r="AD79" i="13" s="1"/>
  <c r="AD80" i="13" s="1"/>
  <c r="AD34" i="13"/>
  <c r="H115" i="13"/>
  <c r="H53" i="13"/>
  <c r="H54" i="13" s="1"/>
  <c r="X115" i="13"/>
  <c r="X53" i="13"/>
  <c r="X54" i="13" s="1"/>
  <c r="U76" i="13"/>
  <c r="U79" i="13" s="1"/>
  <c r="U80" i="13" s="1"/>
  <c r="U34" i="13"/>
  <c r="AF76" i="13"/>
  <c r="AF79" i="13" s="1"/>
  <c r="AF80" i="13" s="1"/>
  <c r="AF34" i="13"/>
  <c r="AU115" i="13"/>
  <c r="AU53" i="13"/>
  <c r="AU54" i="13" s="1"/>
  <c r="AI115" i="13"/>
  <c r="AI53" i="13"/>
  <c r="AI54" i="13" s="1"/>
  <c r="R76" i="13"/>
  <c r="R79" i="13" s="1"/>
  <c r="R80" i="13" s="1"/>
  <c r="R34" i="13"/>
  <c r="AN76" i="13"/>
  <c r="AN79" i="13" s="1"/>
  <c r="AN34" i="13"/>
  <c r="AN35" i="13"/>
  <c r="BU33" i="13"/>
  <c r="BU34" i="13" s="1"/>
  <c r="BU32" i="13"/>
  <c r="BU52" i="13" s="1"/>
  <c r="AG76" i="13"/>
  <c r="AG79" i="13" s="1"/>
  <c r="AG80" i="13" s="1"/>
  <c r="AG34" i="13"/>
  <c r="I76" i="13"/>
  <c r="I79" i="13" s="1"/>
  <c r="I80" i="13" s="1"/>
  <c r="I34" i="13"/>
  <c r="D115" i="13"/>
  <c r="D53" i="13"/>
  <c r="D54" i="13" s="1"/>
  <c r="AK76" i="13"/>
  <c r="AK79" i="13" s="1"/>
  <c r="AK80" i="13" s="1"/>
  <c r="AK34" i="13"/>
  <c r="AE76" i="13"/>
  <c r="AE34" i="13"/>
  <c r="AY115" i="13"/>
  <c r="AY53" i="13"/>
  <c r="AY54" i="13" s="1"/>
  <c r="L115" i="13"/>
  <c r="L53" i="13"/>
  <c r="L54" i="13" s="1"/>
  <c r="J76" i="13"/>
  <c r="J79" i="13" s="1"/>
  <c r="J80" i="13" s="1"/>
  <c r="J34" i="13"/>
  <c r="AZ76" i="13"/>
  <c r="AZ79" i="13" s="1"/>
  <c r="AZ34" i="13"/>
  <c r="AZ35" i="13"/>
  <c r="AH115" i="13"/>
  <c r="AH53" i="13"/>
  <c r="AH54" i="13" s="1"/>
  <c r="AC115" i="13"/>
  <c r="AC53" i="13"/>
  <c r="AC54" i="13" s="1"/>
  <c r="AM76" i="13"/>
  <c r="AM35" i="13"/>
  <c r="AM34" i="13"/>
  <c r="AT76" i="13"/>
  <c r="AT79" i="13" s="1"/>
  <c r="AT35" i="13"/>
  <c r="AT34" i="13"/>
  <c r="AA76" i="13"/>
  <c r="AA34" i="13"/>
  <c r="Z76" i="13"/>
  <c r="Z79" i="13" s="1"/>
  <c r="Z80" i="13" s="1"/>
  <c r="Z34" i="13"/>
  <c r="BY32" i="13"/>
  <c r="BY52" i="13" s="1"/>
  <c r="BY33" i="13"/>
  <c r="BY34" i="13" s="1"/>
  <c r="BB76" i="13"/>
  <c r="BB79" i="13" s="1"/>
  <c r="BB35" i="13"/>
  <c r="BB34" i="13"/>
  <c r="AB76" i="13"/>
  <c r="AB79" i="13" s="1"/>
  <c r="AB80" i="13" s="1"/>
  <c r="AB34" i="13"/>
  <c r="AW76" i="13"/>
  <c r="AW79" i="13" s="1"/>
  <c r="AW35" i="13"/>
  <c r="AW34" i="13"/>
  <c r="AX76" i="13"/>
  <c r="AX79" i="13" s="1"/>
  <c r="AX35" i="13"/>
  <c r="AX34" i="13"/>
  <c r="K115" i="13"/>
  <c r="K53" i="13"/>
  <c r="K54" i="13" s="1"/>
  <c r="AL115" i="13"/>
  <c r="AL53" i="13"/>
  <c r="AL54" i="13" s="1"/>
  <c r="H76" i="13"/>
  <c r="H79" i="13" s="1"/>
  <c r="H80" i="13" s="1"/>
  <c r="H34" i="13"/>
  <c r="X76" i="13"/>
  <c r="X79" i="13" s="1"/>
  <c r="X80" i="13" s="1"/>
  <c r="X34" i="13"/>
  <c r="BA115" i="13"/>
  <c r="BA53" i="13"/>
  <c r="BA54" i="13" s="1"/>
  <c r="O115" i="13"/>
  <c r="O53" i="13"/>
  <c r="O54" i="13" s="1"/>
  <c r="AU76" i="13"/>
  <c r="AU35" i="13"/>
  <c r="AU34" i="13"/>
  <c r="CA33" i="13"/>
  <c r="CA34" i="13" s="1"/>
  <c r="AI76" i="13"/>
  <c r="AI34" i="13"/>
  <c r="AS115" i="13"/>
  <c r="AS53" i="13"/>
  <c r="AS54" i="13" s="1"/>
  <c r="AP115" i="13"/>
  <c r="AP53" i="13"/>
  <c r="AP54" i="13" s="1"/>
  <c r="AR115" i="13"/>
  <c r="AR53" i="13"/>
  <c r="AR54" i="13" s="1"/>
  <c r="AO115" i="13"/>
  <c r="AO53" i="13"/>
  <c r="AO54" i="13" s="1"/>
  <c r="D76" i="13"/>
  <c r="D79" i="13" s="1"/>
  <c r="D80" i="13" s="1"/>
  <c r="D34" i="13"/>
  <c r="AJ115" i="13"/>
  <c r="AJ53" i="13"/>
  <c r="AJ54" i="13" s="1"/>
  <c r="F115" i="13"/>
  <c r="F53" i="13"/>
  <c r="F54" i="13" s="1"/>
  <c r="S115" i="13"/>
  <c r="S53" i="13"/>
  <c r="S54" i="13" s="1"/>
  <c r="AY76" i="13"/>
  <c r="AY35" i="13"/>
  <c r="AY34" i="13"/>
  <c r="CB33" i="13"/>
  <c r="CB34" i="13" s="1"/>
  <c r="L76" i="13"/>
  <c r="L79" i="13" s="1"/>
  <c r="L80" i="13" s="1"/>
  <c r="L34" i="13"/>
  <c r="BS33" i="13"/>
  <c r="BS34" i="13" s="1"/>
  <c r="BS32" i="13"/>
  <c r="BS52" i="13" s="1"/>
  <c r="BX33" i="13"/>
  <c r="BX34" i="13" s="1"/>
  <c r="BX32" i="13"/>
  <c r="BX52" i="13" s="1"/>
  <c r="AQ115" i="13"/>
  <c r="AQ53" i="13"/>
  <c r="AQ54" i="13" s="1"/>
  <c r="AH76" i="13"/>
  <c r="AH79" i="13" s="1"/>
  <c r="AH80" i="13" s="1"/>
  <c r="AH34" i="13"/>
  <c r="AC76" i="13"/>
  <c r="AC79" i="13" s="1"/>
  <c r="AC80" i="13" s="1"/>
  <c r="AC34" i="13"/>
  <c r="G115" i="13"/>
  <c r="G53" i="13"/>
  <c r="G54" i="13" s="1"/>
  <c r="N115" i="13"/>
  <c r="N53" i="13"/>
  <c r="N54" i="13" s="1"/>
  <c r="C115" i="13"/>
  <c r="C53" i="13"/>
  <c r="C54" i="13" s="1"/>
  <c r="V115" i="13"/>
  <c r="V53" i="13"/>
  <c r="V54" i="13" s="1"/>
  <c r="Q115" i="13"/>
  <c r="Q53" i="13"/>
  <c r="Q54" i="13" s="1"/>
  <c r="M115" i="13"/>
  <c r="M53" i="13"/>
  <c r="M54" i="13" s="1"/>
  <c r="K76" i="13"/>
  <c r="K34" i="13"/>
  <c r="AL76" i="13"/>
  <c r="AL79" i="13" s="1"/>
  <c r="AL80" i="13" s="1"/>
  <c r="AL34" i="13"/>
  <c r="Y115" i="13"/>
  <c r="Y53" i="13"/>
  <c r="Y54" i="13" s="1"/>
  <c r="CA53" i="13"/>
  <c r="CA54" i="13" s="1"/>
  <c r="BA76" i="13"/>
  <c r="BA79" i="13" s="1"/>
  <c r="BA35" i="13"/>
  <c r="BA34" i="13"/>
  <c r="O76" i="13"/>
  <c r="O34" i="13"/>
  <c r="P115" i="13"/>
  <c r="P53" i="13"/>
  <c r="P54" i="13" s="1"/>
  <c r="AS76" i="13"/>
  <c r="AS79" i="13" s="1"/>
  <c r="AS35" i="13"/>
  <c r="AS34" i="13"/>
  <c r="AP76" i="13"/>
  <c r="AP79" i="13" s="1"/>
  <c r="AP35" i="13"/>
  <c r="AP34" i="13"/>
  <c r="BV33" i="13"/>
  <c r="BV34" i="13" s="1"/>
  <c r="BV32" i="13"/>
  <c r="BV52" i="13" s="1"/>
  <c r="AR76" i="13"/>
  <c r="AR79" i="13" s="1"/>
  <c r="AR35" i="13"/>
  <c r="AR34" i="13"/>
  <c r="AO76" i="13"/>
  <c r="AO79" i="13" s="1"/>
  <c r="AO35" i="13"/>
  <c r="AO34" i="13"/>
  <c r="AJ76" i="13"/>
  <c r="AJ79" i="13" s="1"/>
  <c r="AJ80" i="13" s="1"/>
  <c r="AJ34" i="13"/>
  <c r="F76" i="13"/>
  <c r="F79" i="13" s="1"/>
  <c r="F80" i="13" s="1"/>
  <c r="F34" i="13"/>
  <c r="S76" i="13"/>
  <c r="S34" i="13"/>
  <c r="E115" i="13"/>
  <c r="E53" i="13"/>
  <c r="E54" i="13" s="1"/>
  <c r="AV115" i="13"/>
  <c r="AV53" i="13"/>
  <c r="AV54" i="13" s="1"/>
  <c r="W115" i="13"/>
  <c r="W53" i="13"/>
  <c r="W54" i="13" s="1"/>
  <c r="AQ76" i="13"/>
  <c r="AQ35" i="13"/>
  <c r="AQ34" i="13"/>
  <c r="BZ33" i="13"/>
  <c r="BZ34" i="13" s="1"/>
  <c r="BP33" i="13"/>
  <c r="BP34" i="13" s="1"/>
  <c r="BP32" i="13"/>
  <c r="BP52" i="13" s="1"/>
  <c r="BB28" i="9"/>
  <c r="BB10" i="9"/>
  <c r="BB276" i="9"/>
  <c r="BB264" i="9"/>
  <c r="BB273" i="9"/>
  <c r="BB285" i="9"/>
  <c r="CB35" i="13" l="1"/>
  <c r="CA35" i="13"/>
  <c r="BP115" i="13"/>
  <c r="BP53" i="13"/>
  <c r="BP54" i="13" s="1"/>
  <c r="BZ35" i="13"/>
  <c r="S79" i="13"/>
  <c r="S80" i="13" s="1"/>
  <c r="BT76" i="13"/>
  <c r="BT79" i="13" s="1"/>
  <c r="BT80" i="13" s="1"/>
  <c r="BR76" i="13"/>
  <c r="BR79" i="13" s="1"/>
  <c r="BR80" i="13" s="1"/>
  <c r="K79" i="13"/>
  <c r="K80" i="13" s="1"/>
  <c r="CB76" i="13"/>
  <c r="CB79" i="13" s="1"/>
  <c r="CB80" i="13" s="1"/>
  <c r="AY79" i="13"/>
  <c r="AW81" i="13"/>
  <c r="AW80" i="13"/>
  <c r="BY35" i="13"/>
  <c r="BP76" i="13"/>
  <c r="BP79" i="13" s="1"/>
  <c r="BP80" i="13" s="1"/>
  <c r="C79" i="13"/>
  <c r="C80" i="13" s="1"/>
  <c r="BQ76" i="13"/>
  <c r="BQ79" i="13" s="1"/>
  <c r="BQ80" i="13" s="1"/>
  <c r="G79" i="13"/>
  <c r="G80" i="13" s="1"/>
  <c r="BW115" i="13"/>
  <c r="BW53" i="13"/>
  <c r="AQ79" i="13"/>
  <c r="BZ76" i="13"/>
  <c r="BZ79" i="13" s="1"/>
  <c r="BZ80" i="13" s="1"/>
  <c r="BA80" i="13"/>
  <c r="BA81" i="13"/>
  <c r="BS115" i="13"/>
  <c r="BS53" i="13"/>
  <c r="BS54" i="13" s="1"/>
  <c r="AX81" i="13"/>
  <c r="AX80" i="13"/>
  <c r="BB81" i="13"/>
  <c r="BB80" i="13"/>
  <c r="AM79" i="13"/>
  <c r="BY76" i="13"/>
  <c r="BY79" i="13" s="1"/>
  <c r="BY80" i="13" s="1"/>
  <c r="AZ81" i="13"/>
  <c r="AZ80" i="13"/>
  <c r="BW76" i="13"/>
  <c r="BW79" i="13" s="1"/>
  <c r="BW80" i="13" s="1"/>
  <c r="AE79" i="13"/>
  <c r="AE80" i="13" s="1"/>
  <c r="BR115" i="13"/>
  <c r="BR53" i="13"/>
  <c r="BR54" i="13" s="1"/>
  <c r="BQ115" i="13"/>
  <c r="BQ53" i="13"/>
  <c r="BQ54" i="13" s="1"/>
  <c r="AR81" i="13"/>
  <c r="AR80" i="13"/>
  <c r="AS81" i="13"/>
  <c r="AS80" i="13"/>
  <c r="BS76" i="13"/>
  <c r="BS79" i="13" s="1"/>
  <c r="BS80" i="13" s="1"/>
  <c r="O79" i="13"/>
  <c r="O80" i="13" s="1"/>
  <c r="AI79" i="13"/>
  <c r="AI80" i="13" s="1"/>
  <c r="BX76" i="13"/>
  <c r="BX79" i="13" s="1"/>
  <c r="BX80" i="13" s="1"/>
  <c r="CA76" i="13"/>
  <c r="CA79" i="13" s="1"/>
  <c r="CA80" i="13" s="1"/>
  <c r="AU79" i="13"/>
  <c r="AT81" i="13"/>
  <c r="AT80" i="13"/>
  <c r="BU115" i="13"/>
  <c r="BU53" i="13"/>
  <c r="AN81" i="13"/>
  <c r="AN80" i="13"/>
  <c r="BU76" i="13"/>
  <c r="BU79" i="13" s="1"/>
  <c r="BU80" i="13" s="1"/>
  <c r="W79" i="13"/>
  <c r="W80" i="13" s="1"/>
  <c r="AO81" i="13"/>
  <c r="AO80" i="13"/>
  <c r="BV115" i="13"/>
  <c r="BV53" i="13"/>
  <c r="AP81" i="13"/>
  <c r="AP80" i="13"/>
  <c r="BX115" i="13"/>
  <c r="BX53" i="13"/>
  <c r="BY115" i="13"/>
  <c r="BY53" i="13"/>
  <c r="BY54" i="13" s="1"/>
  <c r="BV76" i="13"/>
  <c r="BV79" i="13" s="1"/>
  <c r="BV80" i="13" s="1"/>
  <c r="AA79" i="13"/>
  <c r="AA80" i="13" s="1"/>
  <c r="BT115" i="13"/>
  <c r="BT53" i="13"/>
  <c r="BT54" i="13" s="1"/>
  <c r="AV75" i="13"/>
  <c r="AV79" i="13"/>
  <c r="BB16" i="9"/>
  <c r="BB11" i="9"/>
  <c r="BB48" i="14"/>
  <c r="BB44" i="14" s="1"/>
  <c r="BB47" i="14"/>
  <c r="BB45" i="14" s="1"/>
  <c r="BB39" i="14"/>
  <c r="BB100" i="13"/>
  <c r="BC96" i="13" s="1"/>
  <c r="AV80" i="13" l="1"/>
  <c r="AV81" i="13"/>
  <c r="BX55" i="13"/>
  <c r="BX54" i="13"/>
  <c r="BV54" i="13"/>
  <c r="BV55" i="13"/>
  <c r="BU55" i="13"/>
  <c r="BU54" i="13"/>
  <c r="AU81" i="13"/>
  <c r="AU80" i="13"/>
  <c r="AQ80" i="13"/>
  <c r="AQ81" i="13"/>
  <c r="BZ81" i="13" s="1"/>
  <c r="BW55" i="13"/>
  <c r="BW54" i="13"/>
  <c r="AM81" i="13"/>
  <c r="BY81" i="13" s="1"/>
  <c r="AM80" i="13"/>
  <c r="AY81" i="13"/>
  <c r="CB81" i="13" s="1"/>
  <c r="AY80" i="13"/>
  <c r="BB43" i="14"/>
  <c r="BB42" i="14"/>
  <c r="CA81" i="13" l="1"/>
  <c r="BW352" i="9"/>
  <c r="BV352" i="9"/>
  <c r="BU352" i="9"/>
  <c r="BT352" i="9"/>
  <c r="BS352" i="9"/>
  <c r="BR352" i="9"/>
  <c r="BQ352" i="9"/>
  <c r="BP352" i="9"/>
  <c r="BW351" i="9"/>
  <c r="BV351" i="9"/>
  <c r="BU351" i="9"/>
  <c r="BT351" i="9"/>
  <c r="BS351" i="9"/>
  <c r="BR351" i="9"/>
  <c r="BQ351" i="9"/>
  <c r="BP351" i="9"/>
  <c r="BW350" i="9"/>
  <c r="BV350" i="9"/>
  <c r="BU350" i="9"/>
  <c r="BT350" i="9"/>
  <c r="BS350" i="9"/>
  <c r="BR350" i="9"/>
  <c r="BQ350" i="9"/>
  <c r="BP350" i="9"/>
  <c r="BW349" i="9"/>
  <c r="BV349" i="9"/>
  <c r="BU349" i="9"/>
  <c r="BT349" i="9"/>
  <c r="BS349" i="9"/>
  <c r="BR349" i="9"/>
  <c r="BQ349" i="9"/>
  <c r="BP349" i="9"/>
  <c r="BW348" i="9"/>
  <c r="BV348" i="9"/>
  <c r="BU348" i="9"/>
  <c r="BT348" i="9"/>
  <c r="BS348" i="9"/>
  <c r="BR348" i="9"/>
  <c r="BQ348" i="9"/>
  <c r="BP348" i="9"/>
  <c r="BW347" i="9"/>
  <c r="BV347" i="9"/>
  <c r="BU347" i="9"/>
  <c r="BT347" i="9"/>
  <c r="BS347" i="9"/>
  <c r="BR347" i="9"/>
  <c r="BQ347" i="9"/>
  <c r="BP347" i="9"/>
  <c r="BW346" i="9"/>
  <c r="BV346" i="9"/>
  <c r="BU346" i="9"/>
  <c r="BT346" i="9"/>
  <c r="BS346" i="9"/>
  <c r="BR346" i="9"/>
  <c r="BQ346" i="9"/>
  <c r="BP346" i="9"/>
  <c r="AN352" i="9"/>
  <c r="AM352" i="9"/>
  <c r="AL352" i="9"/>
  <c r="AK352" i="9"/>
  <c r="AJ352" i="9"/>
  <c r="AI352" i="9"/>
  <c r="AH352" i="9"/>
  <c r="AG352" i="9"/>
  <c r="AF352" i="9"/>
  <c r="AE352" i="9"/>
  <c r="AD352" i="9"/>
  <c r="AC352" i="9"/>
  <c r="AB352" i="9"/>
  <c r="AA352" i="9"/>
  <c r="Z352" i="9"/>
  <c r="Y352" i="9"/>
  <c r="X352" i="9"/>
  <c r="W352" i="9"/>
  <c r="V352" i="9"/>
  <c r="U352" i="9"/>
  <c r="T352" i="9"/>
  <c r="S352" i="9"/>
  <c r="R352" i="9"/>
  <c r="Q352" i="9"/>
  <c r="P352" i="9"/>
  <c r="O352" i="9"/>
  <c r="N352" i="9"/>
  <c r="M352" i="9"/>
  <c r="L352" i="9"/>
  <c r="K352" i="9"/>
  <c r="J352" i="9"/>
  <c r="I352" i="9"/>
  <c r="H352" i="9"/>
  <c r="G352" i="9"/>
  <c r="F352" i="9"/>
  <c r="E352" i="9"/>
  <c r="D352" i="9"/>
  <c r="C352" i="9"/>
  <c r="AN351" i="9"/>
  <c r="AM351" i="9"/>
  <c r="AL351" i="9"/>
  <c r="AK351" i="9"/>
  <c r="AJ351" i="9"/>
  <c r="AI351" i="9"/>
  <c r="AH351" i="9"/>
  <c r="AG351" i="9"/>
  <c r="AF351" i="9"/>
  <c r="AE351" i="9"/>
  <c r="AD351" i="9"/>
  <c r="AC351" i="9"/>
  <c r="AB351" i="9"/>
  <c r="AA351" i="9"/>
  <c r="Z351" i="9"/>
  <c r="Y351" i="9"/>
  <c r="X351" i="9"/>
  <c r="W351" i="9"/>
  <c r="V351" i="9"/>
  <c r="U351" i="9"/>
  <c r="T351" i="9"/>
  <c r="S351" i="9"/>
  <c r="R351" i="9"/>
  <c r="Q351" i="9"/>
  <c r="P351" i="9"/>
  <c r="O351" i="9"/>
  <c r="N351" i="9"/>
  <c r="M351" i="9"/>
  <c r="L351" i="9"/>
  <c r="K351" i="9"/>
  <c r="J351" i="9"/>
  <c r="I351" i="9"/>
  <c r="H351" i="9"/>
  <c r="G351" i="9"/>
  <c r="F351" i="9"/>
  <c r="E351" i="9"/>
  <c r="D351" i="9"/>
  <c r="C351" i="9"/>
  <c r="AN350" i="9"/>
  <c r="AM350" i="9"/>
  <c r="AL350" i="9"/>
  <c r="AK350" i="9"/>
  <c r="AJ350" i="9"/>
  <c r="AI350" i="9"/>
  <c r="AH350" i="9"/>
  <c r="AG350" i="9"/>
  <c r="AF350" i="9"/>
  <c r="AE350" i="9"/>
  <c r="AD350" i="9"/>
  <c r="AC350" i="9"/>
  <c r="AB350" i="9"/>
  <c r="AA350" i="9"/>
  <c r="Z350" i="9"/>
  <c r="Y350" i="9"/>
  <c r="X350" i="9"/>
  <c r="W350" i="9"/>
  <c r="V350" i="9"/>
  <c r="U350" i="9"/>
  <c r="T350" i="9"/>
  <c r="S350" i="9"/>
  <c r="R350" i="9"/>
  <c r="Q350" i="9"/>
  <c r="P350" i="9"/>
  <c r="O350" i="9"/>
  <c r="N350" i="9"/>
  <c r="M350" i="9"/>
  <c r="L350" i="9"/>
  <c r="K350" i="9"/>
  <c r="J350" i="9"/>
  <c r="I350" i="9"/>
  <c r="H350" i="9"/>
  <c r="G350" i="9"/>
  <c r="F350" i="9"/>
  <c r="E350" i="9"/>
  <c r="D350" i="9"/>
  <c r="C350" i="9"/>
  <c r="AN349" i="9"/>
  <c r="AM349" i="9"/>
  <c r="AL349" i="9"/>
  <c r="AK349" i="9"/>
  <c r="AJ349" i="9"/>
  <c r="AI349" i="9"/>
  <c r="AH349" i="9"/>
  <c r="AG349" i="9"/>
  <c r="AF349" i="9"/>
  <c r="AE349" i="9"/>
  <c r="AD349" i="9"/>
  <c r="AC349" i="9"/>
  <c r="AB349" i="9"/>
  <c r="AA349" i="9"/>
  <c r="Z349" i="9"/>
  <c r="Y349" i="9"/>
  <c r="X349" i="9"/>
  <c r="W349" i="9"/>
  <c r="V349" i="9"/>
  <c r="U349" i="9"/>
  <c r="T349" i="9"/>
  <c r="S349" i="9"/>
  <c r="R349" i="9"/>
  <c r="Q349" i="9"/>
  <c r="P349" i="9"/>
  <c r="O349" i="9"/>
  <c r="N349" i="9"/>
  <c r="M349" i="9"/>
  <c r="L349" i="9"/>
  <c r="K349" i="9"/>
  <c r="J349" i="9"/>
  <c r="I349" i="9"/>
  <c r="H349" i="9"/>
  <c r="G349" i="9"/>
  <c r="F349" i="9"/>
  <c r="E349" i="9"/>
  <c r="D349" i="9"/>
  <c r="C349" i="9"/>
  <c r="AN348" i="9"/>
  <c r="AM348" i="9"/>
  <c r="AL348" i="9"/>
  <c r="AK348" i="9"/>
  <c r="AJ348" i="9"/>
  <c r="AI348" i="9"/>
  <c r="AH348" i="9"/>
  <c r="AG348" i="9"/>
  <c r="AF348" i="9"/>
  <c r="AE348" i="9"/>
  <c r="AD348" i="9"/>
  <c r="AC348" i="9"/>
  <c r="AB348" i="9"/>
  <c r="AA348" i="9"/>
  <c r="Z348" i="9"/>
  <c r="Y348" i="9"/>
  <c r="X348" i="9"/>
  <c r="W348" i="9"/>
  <c r="V348" i="9"/>
  <c r="U348" i="9"/>
  <c r="T348" i="9"/>
  <c r="S348" i="9"/>
  <c r="R348" i="9"/>
  <c r="Q348" i="9"/>
  <c r="P348" i="9"/>
  <c r="O348" i="9"/>
  <c r="N348" i="9"/>
  <c r="M348" i="9"/>
  <c r="L348" i="9"/>
  <c r="K348" i="9"/>
  <c r="J348" i="9"/>
  <c r="I348" i="9"/>
  <c r="H348" i="9"/>
  <c r="G348" i="9"/>
  <c r="F348" i="9"/>
  <c r="E348" i="9"/>
  <c r="D348" i="9"/>
  <c r="C348" i="9"/>
  <c r="AN347" i="9"/>
  <c r="AM347" i="9"/>
  <c r="AL347" i="9"/>
  <c r="AK347" i="9"/>
  <c r="AJ347" i="9"/>
  <c r="AI347" i="9"/>
  <c r="AH347" i="9"/>
  <c r="AG347" i="9"/>
  <c r="AF347" i="9"/>
  <c r="AE347" i="9"/>
  <c r="AD347" i="9"/>
  <c r="AC347" i="9"/>
  <c r="AB347" i="9"/>
  <c r="AA347" i="9"/>
  <c r="Z347" i="9"/>
  <c r="Y347" i="9"/>
  <c r="X347" i="9"/>
  <c r="W347" i="9"/>
  <c r="V347" i="9"/>
  <c r="U347" i="9"/>
  <c r="T347" i="9"/>
  <c r="S347" i="9"/>
  <c r="R347" i="9"/>
  <c r="Q347" i="9"/>
  <c r="P347" i="9"/>
  <c r="O347" i="9"/>
  <c r="N347" i="9"/>
  <c r="M347" i="9"/>
  <c r="L347" i="9"/>
  <c r="K347" i="9"/>
  <c r="J347" i="9"/>
  <c r="I347" i="9"/>
  <c r="H347" i="9"/>
  <c r="G347" i="9"/>
  <c r="F347" i="9"/>
  <c r="E347" i="9"/>
  <c r="D347" i="9"/>
  <c r="C347" i="9"/>
  <c r="AN346" i="9"/>
  <c r="AM346" i="9"/>
  <c r="AL346" i="9"/>
  <c r="AK346" i="9"/>
  <c r="AJ346" i="9"/>
  <c r="AI346" i="9"/>
  <c r="AH346" i="9"/>
  <c r="AG346" i="9"/>
  <c r="AF346" i="9"/>
  <c r="AE346" i="9"/>
  <c r="AD346" i="9"/>
  <c r="AC346" i="9"/>
  <c r="AB346" i="9"/>
  <c r="AA346" i="9"/>
  <c r="Z346" i="9"/>
  <c r="Y346" i="9"/>
  <c r="X346" i="9"/>
  <c r="W346" i="9"/>
  <c r="V346" i="9"/>
  <c r="U346" i="9"/>
  <c r="T346" i="9"/>
  <c r="S346" i="9"/>
  <c r="R346" i="9"/>
  <c r="Q346" i="9"/>
  <c r="P346" i="9"/>
  <c r="O346" i="9"/>
  <c r="N346" i="9"/>
  <c r="M346" i="9"/>
  <c r="L346" i="9"/>
  <c r="K346" i="9"/>
  <c r="J346" i="9"/>
  <c r="I346" i="9"/>
  <c r="H346" i="9"/>
  <c r="G346" i="9"/>
  <c r="F346" i="9"/>
  <c r="E346" i="9"/>
  <c r="D346" i="9"/>
  <c r="C346" i="9"/>
  <c r="BT343" i="9"/>
  <c r="BS343" i="9"/>
  <c r="BR343" i="9"/>
  <c r="BQ343" i="9"/>
  <c r="BP343" i="9"/>
  <c r="AN343" i="9"/>
  <c r="AM343" i="9"/>
  <c r="AL343" i="9"/>
  <c r="AK343" i="9"/>
  <c r="AJ343" i="9"/>
  <c r="AI343" i="9"/>
  <c r="AH343" i="9"/>
  <c r="AG343" i="9"/>
  <c r="AF343" i="9"/>
  <c r="AE343" i="9"/>
  <c r="AD343" i="9"/>
  <c r="Z343" i="9"/>
  <c r="V343" i="9"/>
  <c r="R343" i="9"/>
  <c r="N343" i="9"/>
  <c r="J343" i="9"/>
  <c r="F343" i="9"/>
  <c r="E343" i="9"/>
  <c r="D343" i="9"/>
  <c r="C343" i="9"/>
  <c r="AD332" i="9"/>
  <c r="AC332" i="9"/>
  <c r="AB332" i="9"/>
  <c r="AA332" i="9"/>
  <c r="Z332" i="9"/>
  <c r="Y332" i="9"/>
  <c r="X332" i="9"/>
  <c r="W332" i="9"/>
  <c r="V332" i="9"/>
  <c r="U332" i="9"/>
  <c r="T332" i="9"/>
  <c r="S332" i="9"/>
  <c r="R332" i="9"/>
  <c r="Q332" i="9"/>
  <c r="P332" i="9"/>
  <c r="O332" i="9"/>
  <c r="N332" i="9"/>
  <c r="M332" i="9"/>
  <c r="L332" i="9"/>
  <c r="K332" i="9"/>
  <c r="J332" i="9"/>
  <c r="I332" i="9"/>
  <c r="H332" i="9"/>
  <c r="G332" i="9"/>
  <c r="AD331" i="9"/>
  <c r="AC331" i="9"/>
  <c r="AB331" i="9"/>
  <c r="AA331" i="9"/>
  <c r="Z331" i="9"/>
  <c r="Y331" i="9"/>
  <c r="X331" i="9"/>
  <c r="W331" i="9"/>
  <c r="V331" i="9"/>
  <c r="U331" i="9"/>
  <c r="T331" i="9"/>
  <c r="S331" i="9"/>
  <c r="R331" i="9"/>
  <c r="Q331" i="9"/>
  <c r="P331" i="9"/>
  <c r="O331" i="9"/>
  <c r="N331" i="9"/>
  <c r="M331" i="9"/>
  <c r="L331" i="9"/>
  <c r="K331" i="9"/>
  <c r="J331" i="9"/>
  <c r="I331" i="9"/>
  <c r="H331" i="9"/>
  <c r="G331" i="9"/>
  <c r="AD330" i="9"/>
  <c r="AC330" i="9"/>
  <c r="AB330" i="9"/>
  <c r="AB343" i="9" s="1"/>
  <c r="AA330" i="9"/>
  <c r="Z330" i="9"/>
  <c r="Y330" i="9"/>
  <c r="X330" i="9"/>
  <c r="X343" i="9" s="1"/>
  <c r="W330" i="9"/>
  <c r="V330" i="9"/>
  <c r="U330" i="9"/>
  <c r="T330" i="9"/>
  <c r="T343" i="9" s="1"/>
  <c r="S330" i="9"/>
  <c r="R330" i="9"/>
  <c r="Q330" i="9"/>
  <c r="P330" i="9"/>
  <c r="P343" i="9" s="1"/>
  <c r="O330" i="9"/>
  <c r="N330" i="9"/>
  <c r="M330" i="9"/>
  <c r="L330" i="9"/>
  <c r="L343" i="9" s="1"/>
  <c r="K330" i="9"/>
  <c r="J330" i="9"/>
  <c r="I330" i="9"/>
  <c r="H330" i="9"/>
  <c r="H343" i="9" s="1"/>
  <c r="G330" i="9"/>
  <c r="AD329" i="9"/>
  <c r="BW309" i="9"/>
  <c r="BV309" i="9"/>
  <c r="BU309" i="9"/>
  <c r="BT309" i="9"/>
  <c r="BS309" i="9"/>
  <c r="BR309" i="9"/>
  <c r="BQ309" i="9"/>
  <c r="BP309" i="9"/>
  <c r="BW307" i="9"/>
  <c r="BV307" i="9"/>
  <c r="BU307" i="9"/>
  <c r="BT307" i="9"/>
  <c r="BS307" i="9"/>
  <c r="BR307" i="9"/>
  <c r="BQ307" i="9"/>
  <c r="BP307" i="9"/>
  <c r="BA283" i="9"/>
  <c r="AZ283" i="9"/>
  <c r="AY283" i="9"/>
  <c r="AX283" i="9"/>
  <c r="AW283" i="9"/>
  <c r="AV283" i="9"/>
  <c r="AU283" i="9"/>
  <c r="BA282" i="9"/>
  <c r="AZ282" i="9"/>
  <c r="AY282" i="9"/>
  <c r="AX282" i="9"/>
  <c r="AW282" i="9"/>
  <c r="AV282" i="9"/>
  <c r="AU282" i="9"/>
  <c r="AN282" i="9"/>
  <c r="BA281" i="9"/>
  <c r="AZ281" i="9"/>
  <c r="AY281" i="9"/>
  <c r="AX281" i="9"/>
  <c r="AW281" i="9"/>
  <c r="AV281" i="9"/>
  <c r="AU281" i="9"/>
  <c r="AT281" i="9"/>
  <c r="AS281" i="9"/>
  <c r="AR281" i="9"/>
  <c r="AQ281" i="9"/>
  <c r="AP281" i="9"/>
  <c r="AO281" i="9"/>
  <c r="AN281" i="9"/>
  <c r="BA280" i="9"/>
  <c r="AZ280" i="9"/>
  <c r="AY280" i="9"/>
  <c r="AX280" i="9"/>
  <c r="AW280" i="9"/>
  <c r="AV280" i="9"/>
  <c r="AU280" i="9"/>
  <c r="AT280" i="9"/>
  <c r="AS280" i="9"/>
  <c r="AR280" i="9"/>
  <c r="AQ280" i="9"/>
  <c r="AP280" i="9"/>
  <c r="AO280" i="9"/>
  <c r="AN280" i="9"/>
  <c r="BA279" i="9"/>
  <c r="AZ279" i="9"/>
  <c r="AY279" i="9"/>
  <c r="AX279" i="9"/>
  <c r="AW279" i="9"/>
  <c r="AV279" i="9"/>
  <c r="AU279" i="9"/>
  <c r="AR279" i="9"/>
  <c r="AQ279" i="9"/>
  <c r="AP279" i="9"/>
  <c r="AO279" i="9"/>
  <c r="AN279" i="9"/>
  <c r="B276" i="9"/>
  <c r="B275" i="9"/>
  <c r="B287" i="9" s="1"/>
  <c r="B274" i="9"/>
  <c r="B286" i="9" s="1"/>
  <c r="B273" i="9"/>
  <c r="B285" i="9" s="1"/>
  <c r="B272" i="9"/>
  <c r="B284" i="9" s="1"/>
  <c r="B271" i="9"/>
  <c r="B283" i="9" s="1"/>
  <c r="B270" i="9"/>
  <c r="B282" i="9" s="1"/>
  <c r="B269" i="9"/>
  <c r="B281" i="9" s="1"/>
  <c r="B268" i="9"/>
  <c r="B280" i="9" s="1"/>
  <c r="B267" i="9"/>
  <c r="B279" i="9" s="1"/>
  <c r="BA271" i="9"/>
  <c r="AZ271" i="9"/>
  <c r="AY271" i="9"/>
  <c r="AX271" i="9"/>
  <c r="AR271" i="9"/>
  <c r="BA270" i="9"/>
  <c r="AZ270" i="9"/>
  <c r="AY270" i="9"/>
  <c r="AX270" i="9"/>
  <c r="AT270" i="9"/>
  <c r="BA269" i="9"/>
  <c r="AZ269" i="9"/>
  <c r="AY269" i="9"/>
  <c r="AX269" i="9"/>
  <c r="AW269" i="9"/>
  <c r="AV269" i="9"/>
  <c r="AU269" i="9"/>
  <c r="AT269" i="9"/>
  <c r="AS269" i="9"/>
  <c r="AR269" i="9"/>
  <c r="AQ269" i="9"/>
  <c r="BA268" i="9"/>
  <c r="AZ268" i="9"/>
  <c r="AY268" i="9"/>
  <c r="AX268" i="9"/>
  <c r="AW268" i="9"/>
  <c r="AV268" i="9"/>
  <c r="AU268" i="9"/>
  <c r="AT268" i="9"/>
  <c r="AS268" i="9"/>
  <c r="AR268" i="9"/>
  <c r="AQ268" i="9"/>
  <c r="BA267" i="9"/>
  <c r="AZ267" i="9"/>
  <c r="AY267" i="9"/>
  <c r="AX267" i="9"/>
  <c r="AV267" i="9"/>
  <c r="AU267" i="9"/>
  <c r="AT267" i="9"/>
  <c r="AR267" i="9"/>
  <c r="AQ267" i="9"/>
  <c r="AH263" i="9"/>
  <c r="AG263" i="9"/>
  <c r="AF263" i="9"/>
  <c r="AE263" i="9"/>
  <c r="AD263" i="9"/>
  <c r="AC263" i="9"/>
  <c r="AB263" i="9"/>
  <c r="AA263" i="9"/>
  <c r="Z263" i="9"/>
  <c r="Y263" i="9"/>
  <c r="X263" i="9"/>
  <c r="W263" i="9"/>
  <c r="BC261" i="9"/>
  <c r="AW257" i="9"/>
  <c r="AW256" i="9"/>
  <c r="AN257" i="9"/>
  <c r="AM257" i="9"/>
  <c r="BA256" i="9"/>
  <c r="BA275" i="9" s="1"/>
  <c r="AZ256" i="9"/>
  <c r="AY256" i="9"/>
  <c r="AX256" i="9"/>
  <c r="AX287" i="9" s="1"/>
  <c r="BE254" i="9"/>
  <c r="BD254" i="9"/>
  <c r="BD285" i="9" s="1"/>
  <c r="BC254" i="9"/>
  <c r="AY254" i="9"/>
  <c r="AV256" i="9"/>
  <c r="AV287" i="9" s="1"/>
  <c r="AU256" i="9"/>
  <c r="AT256" i="9"/>
  <c r="AP256" i="9"/>
  <c r="AO256" i="9"/>
  <c r="AO287" i="9" s="1"/>
  <c r="AN256" i="9"/>
  <c r="AN287" i="9" s="1"/>
  <c r="AM256" i="9"/>
  <c r="AU254" i="9"/>
  <c r="CA256" i="9"/>
  <c r="BX256" i="9"/>
  <c r="CA252" i="9"/>
  <c r="BY252" i="9"/>
  <c r="BY271" i="9" s="1"/>
  <c r="BX252" i="9"/>
  <c r="AS252" i="9"/>
  <c r="AT283" i="9" s="1"/>
  <c r="AR252" i="9"/>
  <c r="AQ252" i="9"/>
  <c r="AP252" i="9"/>
  <c r="AO252" i="9"/>
  <c r="AO283" i="9" s="1"/>
  <c r="AN252" i="9"/>
  <c r="AN283" i="9" s="1"/>
  <c r="AS251" i="9"/>
  <c r="BZ251" i="9" s="1"/>
  <c r="BZ270" i="9" s="1"/>
  <c r="AR251" i="9"/>
  <c r="AQ251" i="9"/>
  <c r="AO251" i="9"/>
  <c r="BF251" i="9"/>
  <c r="BE251" i="9"/>
  <c r="BE282" i="9" s="1"/>
  <c r="BD251" i="9"/>
  <c r="BC251" i="9"/>
  <c r="AS248" i="9"/>
  <c r="AS247" i="9"/>
  <c r="AS246" i="9"/>
  <c r="CA251" i="9"/>
  <c r="BY251" i="9"/>
  <c r="BY270" i="9" s="1"/>
  <c r="CA250" i="9"/>
  <c r="BZ250" i="9"/>
  <c r="BY250" i="9"/>
  <c r="BY269" i="9" s="1"/>
  <c r="CB249" i="9"/>
  <c r="CB268" i="9" s="1"/>
  <c r="CA249" i="9"/>
  <c r="CA268" i="9" s="1"/>
  <c r="BZ249" i="9"/>
  <c r="BY249" i="9"/>
  <c r="BY268" i="9" s="1"/>
  <c r="CA248" i="9"/>
  <c r="BY248" i="9"/>
  <c r="BY267" i="9" s="1"/>
  <c r="CE247" i="9"/>
  <c r="CD247" i="9"/>
  <c r="CC247" i="9"/>
  <c r="CB247" i="9"/>
  <c r="CA247" i="9"/>
  <c r="BZ247" i="9"/>
  <c r="BY247" i="9"/>
  <c r="BX247" i="9"/>
  <c r="AX247" i="9"/>
  <c r="AW247" i="9"/>
  <c r="AT247" i="9"/>
  <c r="AT246" i="9"/>
  <c r="AR247" i="9"/>
  <c r="AQ247" i="9"/>
  <c r="AP247" i="9"/>
  <c r="AO247" i="9"/>
  <c r="AN247" i="9"/>
  <c r="AM247" i="9"/>
  <c r="AL247" i="9"/>
  <c r="AK247" i="9"/>
  <c r="AJ247" i="9"/>
  <c r="AI247" i="9"/>
  <c r="AH247" i="9"/>
  <c r="AG247" i="9"/>
  <c r="AF247" i="9"/>
  <c r="AE247" i="9"/>
  <c r="AD247" i="9"/>
  <c r="AC247" i="9"/>
  <c r="AB247" i="9"/>
  <c r="AA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E247" i="9"/>
  <c r="D247" i="9"/>
  <c r="C247" i="9"/>
  <c r="BA246" i="9"/>
  <c r="AZ246" i="9"/>
  <c r="AY246" i="9"/>
  <c r="AX246" i="9"/>
  <c r="AW246" i="9"/>
  <c r="AV246" i="9"/>
  <c r="AU246" i="9"/>
  <c r="BA242" i="9"/>
  <c r="AZ242" i="9"/>
  <c r="AY242" i="9"/>
  <c r="AW242" i="9"/>
  <c r="AV242" i="9"/>
  <c r="AU242" i="9"/>
  <c r="AT242" i="9"/>
  <c r="AS242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F242" i="9"/>
  <c r="AE242" i="9"/>
  <c r="BW241" i="9"/>
  <c r="BP241" i="9"/>
  <c r="AX241" i="9"/>
  <c r="AX242" i="9" s="1"/>
  <c r="AX239" i="9"/>
  <c r="AX240" i="9" s="1"/>
  <c r="AX238" i="9"/>
  <c r="BA240" i="9"/>
  <c r="AZ240" i="9"/>
  <c r="AY240" i="9"/>
  <c r="AW240" i="9"/>
  <c r="AV240" i="9"/>
  <c r="AU240" i="9"/>
  <c r="AT240" i="9"/>
  <c r="AS240" i="9"/>
  <c r="AR240" i="9"/>
  <c r="AQ240" i="9"/>
  <c r="AP240" i="9"/>
  <c r="AO240" i="9"/>
  <c r="AN240" i="9"/>
  <c r="AM240" i="9"/>
  <c r="AL240" i="9"/>
  <c r="AK240" i="9"/>
  <c r="AJ240" i="9"/>
  <c r="AI240" i="9"/>
  <c r="AH240" i="9"/>
  <c r="AG240" i="9"/>
  <c r="AF240" i="9"/>
  <c r="AE240" i="9"/>
  <c r="BW239" i="9"/>
  <c r="AD239" i="9"/>
  <c r="AC239" i="9"/>
  <c r="AB239" i="9"/>
  <c r="AA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E239" i="9"/>
  <c r="D239" i="9"/>
  <c r="C239" i="9"/>
  <c r="BZ239" i="9"/>
  <c r="BY239" i="9"/>
  <c r="BZ238" i="9"/>
  <c r="BY238" i="9"/>
  <c r="BX238" i="9"/>
  <c r="BX257" i="9" s="1"/>
  <c r="BW238" i="9"/>
  <c r="BW343" i="9" s="1"/>
  <c r="BP238" i="9"/>
  <c r="AY235" i="9"/>
  <c r="AW235" i="9"/>
  <c r="AV235" i="9"/>
  <c r="AU235" i="9"/>
  <c r="AT235" i="9"/>
  <c r="AS235" i="9"/>
  <c r="AR235" i="9"/>
  <c r="AQ235" i="9"/>
  <c r="AP235" i="9"/>
  <c r="AO235" i="9"/>
  <c r="AN235" i="9"/>
  <c r="AM235" i="9"/>
  <c r="AL235" i="9"/>
  <c r="AK235" i="9"/>
  <c r="AJ235" i="9"/>
  <c r="AI235" i="9"/>
  <c r="AH235" i="9"/>
  <c r="AG235" i="9"/>
  <c r="AF235" i="9"/>
  <c r="AE235" i="9"/>
  <c r="T235" i="9"/>
  <c r="L235" i="9"/>
  <c r="AX234" i="9"/>
  <c r="AX235" i="9" s="1"/>
  <c r="AX233" i="9"/>
  <c r="AX231" i="9"/>
  <c r="AX232" i="9" s="1"/>
  <c r="AD234" i="9"/>
  <c r="AD241" i="9" s="1"/>
  <c r="AC234" i="9"/>
  <c r="AC241" i="9" s="1"/>
  <c r="AB234" i="9"/>
  <c r="AA234" i="9"/>
  <c r="AA235" i="9" s="1"/>
  <c r="Z234" i="9"/>
  <c r="Z241" i="9" s="1"/>
  <c r="Y234" i="9"/>
  <c r="Y241" i="9" s="1"/>
  <c r="X234" i="9"/>
  <c r="W234" i="9"/>
  <c r="W241" i="9" s="1"/>
  <c r="V234" i="9"/>
  <c r="V241" i="9" s="1"/>
  <c r="U234" i="9"/>
  <c r="U241" i="9" s="1"/>
  <c r="T234" i="9"/>
  <c r="S234" i="9"/>
  <c r="S241" i="9" s="1"/>
  <c r="R234" i="9"/>
  <c r="R241" i="9" s="1"/>
  <c r="Q234" i="9"/>
  <c r="Q241" i="9" s="1"/>
  <c r="P234" i="9"/>
  <c r="O234" i="9"/>
  <c r="O235" i="9" s="1"/>
  <c r="N234" i="9"/>
  <c r="N241" i="9" s="1"/>
  <c r="M234" i="9"/>
  <c r="M241" i="9" s="1"/>
  <c r="L234" i="9"/>
  <c r="K234" i="9"/>
  <c r="K235" i="9" s="1"/>
  <c r="J234" i="9"/>
  <c r="J241" i="9" s="1"/>
  <c r="I234" i="9"/>
  <c r="I241" i="9" s="1"/>
  <c r="H234" i="9"/>
  <c r="G234" i="9"/>
  <c r="G241" i="9" s="1"/>
  <c r="BA232" i="9"/>
  <c r="AZ232" i="9"/>
  <c r="AY232" i="9"/>
  <c r="AW232" i="9"/>
  <c r="AV232" i="9"/>
  <c r="AU232" i="9"/>
  <c r="AT232" i="9"/>
  <c r="AS232" i="9"/>
  <c r="AR232" i="9"/>
  <c r="AQ232" i="9"/>
  <c r="AP232" i="9"/>
  <c r="AO232" i="9"/>
  <c r="AN232" i="9"/>
  <c r="AM232" i="9"/>
  <c r="AL232" i="9"/>
  <c r="AK232" i="9"/>
  <c r="AJ232" i="9"/>
  <c r="AI232" i="9"/>
  <c r="AH232" i="9"/>
  <c r="AG232" i="9"/>
  <c r="AF232" i="9"/>
  <c r="AE232" i="9"/>
  <c r="BZ232" i="9"/>
  <c r="BY232" i="9"/>
  <c r="BZ231" i="9"/>
  <c r="BY231" i="9"/>
  <c r="BX231" i="9"/>
  <c r="AA231" i="9"/>
  <c r="V231" i="9"/>
  <c r="U231" i="9"/>
  <c r="T231" i="9"/>
  <c r="S231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BA228" i="9"/>
  <c r="AZ228" i="9"/>
  <c r="AY228" i="9"/>
  <c r="AW228" i="9"/>
  <c r="AV228" i="9"/>
  <c r="AU228" i="9"/>
  <c r="AT228" i="9"/>
  <c r="AS228" i="9"/>
  <c r="AR228" i="9"/>
  <c r="AQ228" i="9"/>
  <c r="AP228" i="9"/>
  <c r="AO228" i="9"/>
  <c r="AN228" i="9"/>
  <c r="AM228" i="9"/>
  <c r="AL228" i="9"/>
  <c r="AK228" i="9"/>
  <c r="AJ228" i="9"/>
  <c r="AI228" i="9"/>
  <c r="AH228" i="9"/>
  <c r="AG228" i="9"/>
  <c r="AF228" i="9"/>
  <c r="AE228" i="9"/>
  <c r="AC228" i="9"/>
  <c r="Z228" i="9"/>
  <c r="Y228" i="9"/>
  <c r="U228" i="9"/>
  <c r="R228" i="9"/>
  <c r="Q228" i="9"/>
  <c r="M228" i="9"/>
  <c r="J228" i="9"/>
  <c r="I228" i="9"/>
  <c r="AX227" i="9"/>
  <c r="AX228" i="9" s="1"/>
  <c r="AX226" i="9"/>
  <c r="AX223" i="9"/>
  <c r="AY224" i="9" s="1"/>
  <c r="AD227" i="9"/>
  <c r="AD228" i="9" s="1"/>
  <c r="AC227" i="9"/>
  <c r="AB227" i="9"/>
  <c r="AA227" i="9"/>
  <c r="Z227" i="9"/>
  <c r="Y227" i="9"/>
  <c r="X227" i="9"/>
  <c r="W227" i="9"/>
  <c r="V227" i="9"/>
  <c r="V228" i="9" s="1"/>
  <c r="U227" i="9"/>
  <c r="T227" i="9"/>
  <c r="S227" i="9"/>
  <c r="R227" i="9"/>
  <c r="Q227" i="9"/>
  <c r="P227" i="9"/>
  <c r="O227" i="9"/>
  <c r="N227" i="9"/>
  <c r="N228" i="9" s="1"/>
  <c r="M227" i="9"/>
  <c r="L227" i="9"/>
  <c r="K227" i="9"/>
  <c r="J227" i="9"/>
  <c r="I227" i="9"/>
  <c r="H227" i="9"/>
  <c r="G227" i="9"/>
  <c r="AW225" i="9"/>
  <c r="AV225" i="9"/>
  <c r="AU225" i="9"/>
  <c r="AT225" i="9"/>
  <c r="AS225" i="9"/>
  <c r="AR225" i="9"/>
  <c r="AQ225" i="9"/>
  <c r="AP225" i="9"/>
  <c r="AO225" i="9"/>
  <c r="AN225" i="9"/>
  <c r="AM225" i="9"/>
  <c r="AL225" i="9"/>
  <c r="AK225" i="9"/>
  <c r="AJ225" i="9"/>
  <c r="AI225" i="9"/>
  <c r="AH225" i="9"/>
  <c r="AG225" i="9"/>
  <c r="AF225" i="9"/>
  <c r="AE225" i="9"/>
  <c r="BA225" i="9"/>
  <c r="AZ225" i="9"/>
  <c r="AY225" i="9"/>
  <c r="BA224" i="9"/>
  <c r="AZ224" i="9"/>
  <c r="AW224" i="9"/>
  <c r="AV224" i="9"/>
  <c r="AU224" i="9"/>
  <c r="AT224" i="9"/>
  <c r="AS224" i="9"/>
  <c r="AR224" i="9"/>
  <c r="AQ224" i="9"/>
  <c r="AP224" i="9"/>
  <c r="AO224" i="9"/>
  <c r="AN224" i="9"/>
  <c r="AM224" i="9"/>
  <c r="AL224" i="9"/>
  <c r="AK224" i="9"/>
  <c r="AJ224" i="9"/>
  <c r="AI224" i="9"/>
  <c r="AH224" i="9"/>
  <c r="AG224" i="9"/>
  <c r="AF224" i="9"/>
  <c r="AE224" i="9"/>
  <c r="BZ223" i="9"/>
  <c r="BY223" i="9"/>
  <c r="BZ224" i="9" s="1"/>
  <c r="BX223" i="9"/>
  <c r="AD223" i="9"/>
  <c r="AC223" i="9"/>
  <c r="AB223" i="9"/>
  <c r="AA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AX219" i="9"/>
  <c r="AX218" i="9"/>
  <c r="AX215" i="9"/>
  <c r="AX216" i="9" s="1"/>
  <c r="AD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AW217" i="9"/>
  <c r="AV217" i="9"/>
  <c r="AU217" i="9"/>
  <c r="AT217" i="9"/>
  <c r="AS217" i="9"/>
  <c r="AR217" i="9"/>
  <c r="AQ217" i="9"/>
  <c r="AP217" i="9"/>
  <c r="AO217" i="9"/>
  <c r="AN217" i="9"/>
  <c r="AM217" i="9"/>
  <c r="AL217" i="9"/>
  <c r="AK217" i="9"/>
  <c r="AJ217" i="9"/>
  <c r="AI217" i="9"/>
  <c r="AH217" i="9"/>
  <c r="AG217" i="9"/>
  <c r="AF217" i="9"/>
  <c r="AE217" i="9"/>
  <c r="BA217" i="9"/>
  <c r="AZ217" i="9"/>
  <c r="AY217" i="9"/>
  <c r="BA216" i="9"/>
  <c r="AZ216" i="9"/>
  <c r="AW216" i="9"/>
  <c r="AV216" i="9"/>
  <c r="AU216" i="9"/>
  <c r="AT216" i="9"/>
  <c r="AS216" i="9"/>
  <c r="AR216" i="9"/>
  <c r="AQ216" i="9"/>
  <c r="AP216" i="9"/>
  <c r="AO216" i="9"/>
  <c r="AN216" i="9"/>
  <c r="AM216" i="9"/>
  <c r="AL216" i="9"/>
  <c r="AK216" i="9"/>
  <c r="AJ216" i="9"/>
  <c r="AI216" i="9"/>
  <c r="AH216" i="9"/>
  <c r="AG216" i="9"/>
  <c r="AF216" i="9"/>
  <c r="AE216" i="9"/>
  <c r="BZ215" i="9"/>
  <c r="BY215" i="9"/>
  <c r="BY216" i="9" s="1"/>
  <c r="BX215" i="9"/>
  <c r="AD215" i="9"/>
  <c r="AC215" i="9"/>
  <c r="AB215" i="9"/>
  <c r="AA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BN213" i="9"/>
  <c r="BM213" i="9"/>
  <c r="BL213" i="9"/>
  <c r="BK213" i="9"/>
  <c r="BJ213" i="9"/>
  <c r="BI213" i="9"/>
  <c r="BH213" i="9"/>
  <c r="BG213" i="9"/>
  <c r="BF213" i="9"/>
  <c r="BE213" i="9"/>
  <c r="BD213" i="9"/>
  <c r="BC213" i="9"/>
  <c r="BA213" i="9"/>
  <c r="AZ213" i="9"/>
  <c r="AY213" i="9"/>
  <c r="AV213" i="9"/>
  <c r="AU213" i="9"/>
  <c r="BN209" i="9"/>
  <c r="BM209" i="9"/>
  <c r="BL209" i="9"/>
  <c r="BK209" i="9"/>
  <c r="BJ209" i="9"/>
  <c r="BI209" i="9"/>
  <c r="BH209" i="9"/>
  <c r="BG209" i="9"/>
  <c r="BF209" i="9"/>
  <c r="BE209" i="9"/>
  <c r="BD209" i="9"/>
  <c r="BC209" i="9"/>
  <c r="BA209" i="9"/>
  <c r="AZ209" i="9"/>
  <c r="AY209" i="9"/>
  <c r="AX209" i="9"/>
  <c r="AW209" i="9"/>
  <c r="AV209" i="9"/>
  <c r="AU209" i="9"/>
  <c r="AT209" i="9"/>
  <c r="AS209" i="9"/>
  <c r="AR209" i="9"/>
  <c r="AQ209" i="9"/>
  <c r="AP209" i="9"/>
  <c r="AO209" i="9"/>
  <c r="AN209" i="9"/>
  <c r="AM209" i="9"/>
  <c r="AL209" i="9"/>
  <c r="AK209" i="9"/>
  <c r="AJ209" i="9"/>
  <c r="AI209" i="9"/>
  <c r="AH209" i="9"/>
  <c r="AG209" i="9"/>
  <c r="AF209" i="9"/>
  <c r="AE209" i="9"/>
  <c r="AD209" i="9"/>
  <c r="AC209" i="9"/>
  <c r="AB209" i="9"/>
  <c r="AA209" i="9"/>
  <c r="BN208" i="9"/>
  <c r="BN210" i="9" s="1"/>
  <c r="BM208" i="9"/>
  <c r="BM210" i="9" s="1"/>
  <c r="BL208" i="9"/>
  <c r="BL210" i="9" s="1"/>
  <c r="BL189" i="9" s="1"/>
  <c r="BK208" i="9"/>
  <c r="BK210" i="9" s="1"/>
  <c r="BJ208" i="9"/>
  <c r="BJ210" i="9" s="1"/>
  <c r="BI208" i="9"/>
  <c r="BI210" i="9" s="1"/>
  <c r="BH208" i="9"/>
  <c r="BH210" i="9" s="1"/>
  <c r="BH189" i="9" s="1"/>
  <c r="BG208" i="9"/>
  <c r="BG210" i="9" s="1"/>
  <c r="BF208" i="9"/>
  <c r="BF210" i="9" s="1"/>
  <c r="BE208" i="9"/>
  <c r="BE210" i="9" s="1"/>
  <c r="BD208" i="9"/>
  <c r="BD210" i="9" s="1"/>
  <c r="BD189" i="9" s="1"/>
  <c r="BC208" i="9"/>
  <c r="BC210" i="9" s="1"/>
  <c r="BA208" i="9"/>
  <c r="BA210" i="9" s="1"/>
  <c r="AZ208" i="9"/>
  <c r="AZ210" i="9" s="1"/>
  <c r="AZ189" i="9" s="1"/>
  <c r="AY208" i="9"/>
  <c r="AY210" i="9" s="1"/>
  <c r="AX208" i="9"/>
  <c r="AX210" i="9" s="1"/>
  <c r="AW208" i="9"/>
  <c r="AW210" i="9" s="1"/>
  <c r="AV208" i="9"/>
  <c r="AV210" i="9" s="1"/>
  <c r="AU208" i="9"/>
  <c r="AU210" i="9" s="1"/>
  <c r="AT208" i="9"/>
  <c r="AT210" i="9" s="1"/>
  <c r="AS208" i="9"/>
  <c r="AS210" i="9" s="1"/>
  <c r="AR208" i="9"/>
  <c r="AR210" i="9" s="1"/>
  <c r="AQ208" i="9"/>
  <c r="AQ210" i="9" s="1"/>
  <c r="AP208" i="9"/>
  <c r="AP210" i="9" s="1"/>
  <c r="AO208" i="9"/>
  <c r="AO210" i="9" s="1"/>
  <c r="AN208" i="9"/>
  <c r="AN210" i="9" s="1"/>
  <c r="AM208" i="9"/>
  <c r="AM210" i="9" s="1"/>
  <c r="AL208" i="9"/>
  <c r="AL210" i="9" s="1"/>
  <c r="AK208" i="9"/>
  <c r="AK210" i="9" s="1"/>
  <c r="AJ208" i="9"/>
  <c r="AJ210" i="9" s="1"/>
  <c r="AI208" i="9"/>
  <c r="AI210" i="9" s="1"/>
  <c r="AH208" i="9"/>
  <c r="AH210" i="9" s="1"/>
  <c r="AG208" i="9"/>
  <c r="AG210" i="9" s="1"/>
  <c r="AF208" i="9"/>
  <c r="AF210" i="9" s="1"/>
  <c r="AE208" i="9"/>
  <c r="AE210" i="9" s="1"/>
  <c r="AD208" i="9"/>
  <c r="AD210" i="9" s="1"/>
  <c r="AC208" i="9"/>
  <c r="AC210" i="9" s="1"/>
  <c r="AB208" i="9"/>
  <c r="AB210" i="9" s="1"/>
  <c r="AB189" i="9" s="1"/>
  <c r="AA208" i="9"/>
  <c r="AA210" i="9" s="1"/>
  <c r="AA189" i="9" s="1"/>
  <c r="BX200" i="9"/>
  <c r="BX255" i="9" s="1"/>
  <c r="BV200" i="9"/>
  <c r="BJ201" i="9"/>
  <c r="AP201" i="9"/>
  <c r="AL201" i="9"/>
  <c r="BN200" i="9"/>
  <c r="BN255" i="9" s="1"/>
  <c r="BM200" i="9"/>
  <c r="BM255" i="9" s="1"/>
  <c r="BL200" i="9"/>
  <c r="BK200" i="9"/>
  <c r="BK255" i="9" s="1"/>
  <c r="BJ200" i="9"/>
  <c r="BJ255" i="9" s="1"/>
  <c r="BI200" i="9"/>
  <c r="BI255" i="9" s="1"/>
  <c r="BH200" i="9"/>
  <c r="BG200" i="9"/>
  <c r="BG255" i="9" s="1"/>
  <c r="BF200" i="9"/>
  <c r="BF255" i="9" s="1"/>
  <c r="BE200" i="9"/>
  <c r="BE255" i="9" s="1"/>
  <c r="BD200" i="9"/>
  <c r="CC200" i="9" s="1"/>
  <c r="BC200" i="9"/>
  <c r="BC255" i="9" s="1"/>
  <c r="BA200" i="9"/>
  <c r="BA255" i="9" s="1"/>
  <c r="AZ200" i="9"/>
  <c r="CB200" i="9" s="1"/>
  <c r="AY200" i="9"/>
  <c r="AY255" i="9" s="1"/>
  <c r="AX200" i="9"/>
  <c r="AX255" i="9" s="1"/>
  <c r="AW200" i="9"/>
  <c r="AW255" i="9" s="1"/>
  <c r="AV200" i="9"/>
  <c r="AU200" i="9"/>
  <c r="AU255" i="9" s="1"/>
  <c r="AT200" i="9"/>
  <c r="AT255" i="9" s="1"/>
  <c r="AS200" i="9"/>
  <c r="AS255" i="9" s="1"/>
  <c r="AR200" i="9"/>
  <c r="AR255" i="9" s="1"/>
  <c r="AQ200" i="9"/>
  <c r="AQ255" i="9" s="1"/>
  <c r="AP200" i="9"/>
  <c r="AP255" i="9" s="1"/>
  <c r="AP286" i="9" s="1"/>
  <c r="AO200" i="9"/>
  <c r="AO255" i="9" s="1"/>
  <c r="AN200" i="9"/>
  <c r="AN255" i="9" s="1"/>
  <c r="AM200" i="9"/>
  <c r="AM255" i="9" s="1"/>
  <c r="AL200" i="9"/>
  <c r="AK200" i="9"/>
  <c r="AJ200" i="9"/>
  <c r="AI200" i="9"/>
  <c r="AI201" i="9" s="1"/>
  <c r="AH200" i="9"/>
  <c r="AH201" i="9" s="1"/>
  <c r="AG200" i="9"/>
  <c r="AF200" i="9"/>
  <c r="AE200" i="9"/>
  <c r="AE201" i="9" s="1"/>
  <c r="BV199" i="9"/>
  <c r="BV198" i="9"/>
  <c r="X199" i="9"/>
  <c r="U199" i="9"/>
  <c r="T199" i="9"/>
  <c r="S199" i="9"/>
  <c r="Q199" i="9"/>
  <c r="P199" i="9"/>
  <c r="O199" i="9"/>
  <c r="M199" i="9"/>
  <c r="L199" i="9"/>
  <c r="K199" i="9"/>
  <c r="I199" i="9"/>
  <c r="H199" i="9"/>
  <c r="G199" i="9"/>
  <c r="F199" i="9"/>
  <c r="E199" i="9"/>
  <c r="D199" i="9"/>
  <c r="C199" i="9"/>
  <c r="CE199" i="9"/>
  <c r="CD199" i="9"/>
  <c r="CC199" i="9"/>
  <c r="CB199" i="9"/>
  <c r="CA199" i="9"/>
  <c r="BZ199" i="9"/>
  <c r="BY199" i="9"/>
  <c r="CE198" i="9"/>
  <c r="CD198" i="9"/>
  <c r="CC198" i="9"/>
  <c r="CB198" i="9"/>
  <c r="CA198" i="9"/>
  <c r="BZ198" i="9"/>
  <c r="BY198" i="9"/>
  <c r="BX198" i="9"/>
  <c r="BW198" i="9"/>
  <c r="BW200" i="9" s="1"/>
  <c r="BF195" i="9"/>
  <c r="AZ195" i="9"/>
  <c r="AP195" i="9"/>
  <c r="BN194" i="9"/>
  <c r="BN195" i="9" s="1"/>
  <c r="BM194" i="9"/>
  <c r="BM195" i="9" s="1"/>
  <c r="BL194" i="9"/>
  <c r="BL195" i="9" s="1"/>
  <c r="BK194" i="9"/>
  <c r="BK195" i="9" s="1"/>
  <c r="BJ194" i="9"/>
  <c r="BJ195" i="9" s="1"/>
  <c r="BI194" i="9"/>
  <c r="BI195" i="9" s="1"/>
  <c r="BH194" i="9"/>
  <c r="BH195" i="9" s="1"/>
  <c r="BG194" i="9"/>
  <c r="BG195" i="9" s="1"/>
  <c r="BF194" i="9"/>
  <c r="BE194" i="9"/>
  <c r="BE195" i="9" s="1"/>
  <c r="BD194" i="9"/>
  <c r="BD195" i="9" s="1"/>
  <c r="BC194" i="9"/>
  <c r="BC195" i="9" s="1"/>
  <c r="BA194" i="9"/>
  <c r="BA195" i="9" s="1"/>
  <c r="AZ194" i="9"/>
  <c r="AY194" i="9"/>
  <c r="AY195" i="9" s="1"/>
  <c r="AX194" i="9"/>
  <c r="AX195" i="9" s="1"/>
  <c r="AW194" i="9"/>
  <c r="AV194" i="9"/>
  <c r="AV195" i="9" s="1"/>
  <c r="AU194" i="9"/>
  <c r="AU195" i="9" s="1"/>
  <c r="AT194" i="9"/>
  <c r="AT195" i="9" s="1"/>
  <c r="AS194" i="9"/>
  <c r="AR194" i="9"/>
  <c r="AR195" i="9" s="1"/>
  <c r="AQ194" i="9"/>
  <c r="AQ195" i="9" s="1"/>
  <c r="AP194" i="9"/>
  <c r="AO194" i="9"/>
  <c r="AN194" i="9"/>
  <c r="AN195" i="9" s="1"/>
  <c r="AM194" i="9"/>
  <c r="AM195" i="9" s="1"/>
  <c r="AL194" i="9"/>
  <c r="AK194" i="9"/>
  <c r="AJ194" i="9"/>
  <c r="AJ195" i="9" s="1"/>
  <c r="AI194" i="9"/>
  <c r="AI195" i="9" s="1"/>
  <c r="AH194" i="9"/>
  <c r="AG194" i="9"/>
  <c r="AF194" i="9"/>
  <c r="AF195" i="9" s="1"/>
  <c r="AE194" i="9"/>
  <c r="AE195" i="9" s="1"/>
  <c r="AD194" i="9"/>
  <c r="AC194" i="9"/>
  <c r="AB194" i="9"/>
  <c r="AB195" i="9" s="1"/>
  <c r="AA194" i="9"/>
  <c r="AA195" i="9" s="1"/>
  <c r="AZ193" i="9"/>
  <c r="AY193" i="9"/>
  <c r="AX193" i="9"/>
  <c r="AW193" i="9"/>
  <c r="AV193" i="9"/>
  <c r="AU193" i="9"/>
  <c r="AT193" i="9"/>
  <c r="AS193" i="9"/>
  <c r="AR193" i="9"/>
  <c r="AQ193" i="9"/>
  <c r="AP193" i="9"/>
  <c r="AO193" i="9"/>
  <c r="AN193" i="9"/>
  <c r="BY193" i="9" s="1"/>
  <c r="AM193" i="9"/>
  <c r="AL193" i="9"/>
  <c r="AL195" i="9" s="1"/>
  <c r="AK193" i="9"/>
  <c r="AK195" i="9" s="1"/>
  <c r="AJ193" i="9"/>
  <c r="AI193" i="9"/>
  <c r="BX193" i="9" s="1"/>
  <c r="AH193" i="9"/>
  <c r="AH195" i="9" s="1"/>
  <c r="AG193" i="9"/>
  <c r="BW193" i="9" s="1"/>
  <c r="AF193" i="9"/>
  <c r="AE193" i="9"/>
  <c r="AD193" i="9"/>
  <c r="AD231" i="9" s="1"/>
  <c r="AC193" i="9"/>
  <c r="AC231" i="9" s="1"/>
  <c r="AB193" i="9"/>
  <c r="AB231" i="9" s="1"/>
  <c r="AA193" i="9"/>
  <c r="Z193" i="9"/>
  <c r="Z195" i="9" s="1"/>
  <c r="Y193" i="9"/>
  <c r="Y231" i="9" s="1"/>
  <c r="X193" i="9"/>
  <c r="X231" i="9" s="1"/>
  <c r="W193" i="9"/>
  <c r="W231" i="9" s="1"/>
  <c r="BN189" i="9"/>
  <c r="BM189" i="9"/>
  <c r="BJ189" i="9"/>
  <c r="BI189" i="9"/>
  <c r="BF189" i="9"/>
  <c r="BE189" i="9"/>
  <c r="BA189" i="9"/>
  <c r="AX189" i="9"/>
  <c r="AX190" i="9" s="1"/>
  <c r="AW189" i="9"/>
  <c r="AW190" i="9" s="1"/>
  <c r="AT189" i="9"/>
  <c r="AT190" i="9" s="1"/>
  <c r="AS189" i="9"/>
  <c r="AS190" i="9" s="1"/>
  <c r="AP189" i="9"/>
  <c r="AP190" i="9" s="1"/>
  <c r="AO189" i="9"/>
  <c r="AO190" i="9" s="1"/>
  <c r="AL189" i="9"/>
  <c r="AL190" i="9" s="1"/>
  <c r="AK189" i="9"/>
  <c r="AK190" i="9" s="1"/>
  <c r="AH189" i="9"/>
  <c r="AH190" i="9" s="1"/>
  <c r="AG189" i="9"/>
  <c r="AG190" i="9" s="1"/>
  <c r="AD189" i="9"/>
  <c r="AC189" i="9"/>
  <c r="AR186" i="9"/>
  <c r="AB186" i="9"/>
  <c r="AY185" i="9"/>
  <c r="AX185" i="9"/>
  <c r="AU185" i="9"/>
  <c r="AT185" i="9"/>
  <c r="AQ185" i="9"/>
  <c r="AP185" i="9"/>
  <c r="AM185" i="9"/>
  <c r="AL185" i="9"/>
  <c r="AI185" i="9"/>
  <c r="AE185" i="9"/>
  <c r="BW184" i="9"/>
  <c r="BN184" i="9"/>
  <c r="BM184" i="9"/>
  <c r="BM201" i="9" s="1"/>
  <c r="BL184" i="9"/>
  <c r="CE184" i="9" s="1"/>
  <c r="CE194" i="9" s="1"/>
  <c r="BK184" i="9"/>
  <c r="BJ184" i="9"/>
  <c r="BI184" i="9"/>
  <c r="BI201" i="9" s="1"/>
  <c r="BH184" i="9"/>
  <c r="BG184" i="9"/>
  <c r="CD184" i="9" s="1"/>
  <c r="CD194" i="9" s="1"/>
  <c r="BF184" i="9"/>
  <c r="BE184" i="9"/>
  <c r="BE201" i="9" s="1"/>
  <c r="BD184" i="9"/>
  <c r="BC184" i="9"/>
  <c r="CC184" i="9" s="1"/>
  <c r="BA184" i="9"/>
  <c r="BA201" i="9" s="1"/>
  <c r="AZ184" i="9"/>
  <c r="AZ186" i="9" s="1"/>
  <c r="AY184" i="9"/>
  <c r="AY186" i="9" s="1"/>
  <c r="AX184" i="9"/>
  <c r="AX186" i="9" s="1"/>
  <c r="AW184" i="9"/>
  <c r="AW201" i="9" s="1"/>
  <c r="AV184" i="9"/>
  <c r="AU184" i="9"/>
  <c r="AU186" i="9" s="1"/>
  <c r="AT184" i="9"/>
  <c r="AT186" i="9" s="1"/>
  <c r="AS184" i="9"/>
  <c r="AR184" i="9"/>
  <c r="AQ184" i="9"/>
  <c r="AQ186" i="9" s="1"/>
  <c r="AP184" i="9"/>
  <c r="AP186" i="9" s="1"/>
  <c r="AO184" i="9"/>
  <c r="AN184" i="9"/>
  <c r="AN186" i="9" s="1"/>
  <c r="AM184" i="9"/>
  <c r="AM186" i="9" s="1"/>
  <c r="AL184" i="9"/>
  <c r="AL186" i="9" s="1"/>
  <c r="AK184" i="9"/>
  <c r="AJ184" i="9"/>
  <c r="AJ186" i="9" s="1"/>
  <c r="AI184" i="9"/>
  <c r="AI186" i="9" s="1"/>
  <c r="AH184" i="9"/>
  <c r="AH186" i="9" s="1"/>
  <c r="AG184" i="9"/>
  <c r="AG201" i="9" s="1"/>
  <c r="AF184" i="9"/>
  <c r="AE184" i="9"/>
  <c r="AB184" i="9"/>
  <c r="AA184" i="9"/>
  <c r="X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E184" i="9"/>
  <c r="D184" i="9"/>
  <c r="C184" i="9"/>
  <c r="AV178" i="9"/>
  <c r="AU178" i="9"/>
  <c r="CA178" i="9" s="1"/>
  <c r="AV177" i="9"/>
  <c r="AU177" i="9"/>
  <c r="BZ178" i="9"/>
  <c r="BY178" i="9"/>
  <c r="BX178" i="9"/>
  <c r="BZ177" i="9"/>
  <c r="BY177" i="9"/>
  <c r="BX177" i="9"/>
  <c r="BZ176" i="9"/>
  <c r="BF178" i="9"/>
  <c r="BE178" i="9"/>
  <c r="BD178" i="9"/>
  <c r="BC178" i="9"/>
  <c r="BA178" i="9"/>
  <c r="AZ178" i="9"/>
  <c r="AY178" i="9"/>
  <c r="BE177" i="9"/>
  <c r="BD177" i="9"/>
  <c r="BC177" i="9"/>
  <c r="BA177" i="9"/>
  <c r="AZ177" i="9"/>
  <c r="AY177" i="9"/>
  <c r="CB177" i="9" s="1"/>
  <c r="BF176" i="9"/>
  <c r="BE176" i="9"/>
  <c r="BD176" i="9"/>
  <c r="CC176" i="9" s="1"/>
  <c r="BC176" i="9"/>
  <c r="BC180" i="9" s="1"/>
  <c r="BA176" i="9"/>
  <c r="AZ176" i="9"/>
  <c r="AZ180" i="9" s="1"/>
  <c r="AZ115" i="9" s="1"/>
  <c r="AY176" i="9"/>
  <c r="AY180" i="9" s="1"/>
  <c r="AX176" i="9"/>
  <c r="AX180" i="9" s="1"/>
  <c r="AW176" i="9"/>
  <c r="AW180" i="9" s="1"/>
  <c r="AW115" i="9" s="1"/>
  <c r="AW116" i="9" s="1"/>
  <c r="AV176" i="9"/>
  <c r="AV180" i="9" s="1"/>
  <c r="AV181" i="9" s="1"/>
  <c r="AU176" i="9"/>
  <c r="AU180" i="9" s="1"/>
  <c r="AT176" i="9"/>
  <c r="AS176" i="9"/>
  <c r="AR176" i="9"/>
  <c r="AQ176" i="9"/>
  <c r="AP176" i="9"/>
  <c r="AO176" i="9"/>
  <c r="AN176" i="9"/>
  <c r="BY176" i="9" s="1"/>
  <c r="AM176" i="9"/>
  <c r="AL176" i="9"/>
  <c r="AK176" i="9"/>
  <c r="AJ176" i="9"/>
  <c r="AI176" i="9"/>
  <c r="BX176" i="9" s="1"/>
  <c r="AH176" i="9"/>
  <c r="AG176" i="9"/>
  <c r="AF176" i="9"/>
  <c r="AE176" i="9"/>
  <c r="AD176" i="9"/>
  <c r="AC176" i="9"/>
  <c r="AB176" i="9"/>
  <c r="AA176" i="9"/>
  <c r="Z176" i="9"/>
  <c r="Y176" i="9"/>
  <c r="X176" i="9"/>
  <c r="W176" i="9"/>
  <c r="CE174" i="9"/>
  <c r="CD174" i="9"/>
  <c r="CC174" i="9"/>
  <c r="CB174" i="9"/>
  <c r="CA174" i="9"/>
  <c r="CE173" i="9"/>
  <c r="CD173" i="9"/>
  <c r="CC173" i="9"/>
  <c r="CB173" i="9"/>
  <c r="CA173" i="9"/>
  <c r="CE172" i="9"/>
  <c r="CD172" i="9"/>
  <c r="CC172" i="9"/>
  <c r="CB172" i="9"/>
  <c r="CA172" i="9"/>
  <c r="BZ172" i="9"/>
  <c r="CE171" i="9"/>
  <c r="CD171" i="9"/>
  <c r="CC171" i="9"/>
  <c r="CB171" i="9"/>
  <c r="CA171" i="9"/>
  <c r="BY171" i="9"/>
  <c r="AT174" i="9"/>
  <c r="AS174" i="9"/>
  <c r="AR174" i="9"/>
  <c r="BZ174" i="9" s="1"/>
  <c r="AQ174" i="9"/>
  <c r="AP174" i="9"/>
  <c r="AO174" i="9"/>
  <c r="AN174" i="9"/>
  <c r="BY174" i="9" s="1"/>
  <c r="AM174" i="9"/>
  <c r="AT173" i="9"/>
  <c r="AS173" i="9"/>
  <c r="AR173" i="9"/>
  <c r="BZ173" i="9" s="1"/>
  <c r="AQ173" i="9"/>
  <c r="AP173" i="9"/>
  <c r="AO173" i="9"/>
  <c r="AN173" i="9"/>
  <c r="BY173" i="9" s="1"/>
  <c r="AM173" i="9"/>
  <c r="AL173" i="9"/>
  <c r="AK173" i="9"/>
  <c r="AJ173" i="9"/>
  <c r="AI173" i="9"/>
  <c r="BX173" i="9" s="1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AT172" i="9"/>
  <c r="AS172" i="9"/>
  <c r="AR172" i="9"/>
  <c r="AQ172" i="9"/>
  <c r="AP172" i="9"/>
  <c r="AO172" i="9"/>
  <c r="AN172" i="9"/>
  <c r="BY172" i="9" s="1"/>
  <c r="AM172" i="9"/>
  <c r="AL172" i="9"/>
  <c r="AK172" i="9"/>
  <c r="AJ172" i="9"/>
  <c r="AI172" i="9"/>
  <c r="BX172" i="9" s="1"/>
  <c r="AH172" i="9"/>
  <c r="AG172" i="9"/>
  <c r="AF172" i="9"/>
  <c r="AE172" i="9"/>
  <c r="AD172" i="9"/>
  <c r="AC172" i="9"/>
  <c r="AB172" i="9"/>
  <c r="AA172" i="9"/>
  <c r="Z172" i="9"/>
  <c r="Y172" i="9"/>
  <c r="X172" i="9"/>
  <c r="W172" i="9"/>
  <c r="AT171" i="9"/>
  <c r="AS171" i="9"/>
  <c r="AR171" i="9"/>
  <c r="BZ171" i="9" s="1"/>
  <c r="AQ171" i="9"/>
  <c r="AP171" i="9"/>
  <c r="AO171" i="9"/>
  <c r="AN171" i="9"/>
  <c r="AM171" i="9"/>
  <c r="AL171" i="9"/>
  <c r="AK171" i="9"/>
  <c r="AJ171" i="9"/>
  <c r="AI171" i="9"/>
  <c r="BX171" i="9" s="1"/>
  <c r="AH171" i="9"/>
  <c r="AG171" i="9"/>
  <c r="AF171" i="9"/>
  <c r="AE171" i="9"/>
  <c r="AD171" i="9"/>
  <c r="AC171" i="9"/>
  <c r="AB171" i="9"/>
  <c r="AA171" i="9"/>
  <c r="Z171" i="9"/>
  <c r="Y171" i="9"/>
  <c r="X171" i="9"/>
  <c r="W171" i="9"/>
  <c r="CE169" i="9"/>
  <c r="CD169" i="9"/>
  <c r="CC169" i="9"/>
  <c r="CB169" i="9"/>
  <c r="CA169" i="9"/>
  <c r="CE168" i="9"/>
  <c r="CD168" i="9"/>
  <c r="CC168" i="9"/>
  <c r="CB168" i="9"/>
  <c r="CA168" i="9"/>
  <c r="CE167" i="9"/>
  <c r="CD167" i="9"/>
  <c r="CC167" i="9"/>
  <c r="CB167" i="9"/>
  <c r="CA167" i="9"/>
  <c r="CE166" i="9"/>
  <c r="CD166" i="9"/>
  <c r="CC166" i="9"/>
  <c r="CB166" i="9"/>
  <c r="CA166" i="9"/>
  <c r="AO169" i="9"/>
  <c r="AO180" i="9" s="1"/>
  <c r="AO181" i="9" s="1"/>
  <c r="AG169" i="9"/>
  <c r="Y169" i="9"/>
  <c r="Y154" i="9" s="1"/>
  <c r="AT168" i="9"/>
  <c r="AS168" i="9"/>
  <c r="AR168" i="9"/>
  <c r="BZ168" i="9" s="1"/>
  <c r="AQ168" i="9"/>
  <c r="AP168" i="9"/>
  <c r="AO168" i="9"/>
  <c r="AN168" i="9"/>
  <c r="BY168" i="9" s="1"/>
  <c r="AM168" i="9"/>
  <c r="AL168" i="9"/>
  <c r="AK168" i="9"/>
  <c r="AJ168" i="9"/>
  <c r="AI168" i="9"/>
  <c r="AH168" i="9"/>
  <c r="AG168" i="9"/>
  <c r="AF168" i="9"/>
  <c r="AE168" i="9"/>
  <c r="AD168" i="9"/>
  <c r="AC168" i="9"/>
  <c r="AB168" i="9"/>
  <c r="AA168" i="9"/>
  <c r="Z168" i="9"/>
  <c r="Y168" i="9"/>
  <c r="X168" i="9"/>
  <c r="W168" i="9"/>
  <c r="AT167" i="9"/>
  <c r="AS167" i="9"/>
  <c r="AR167" i="9"/>
  <c r="BZ167" i="9" s="1"/>
  <c r="AQ167" i="9"/>
  <c r="AP167" i="9"/>
  <c r="AO167" i="9"/>
  <c r="AN167" i="9"/>
  <c r="BY167" i="9" s="1"/>
  <c r="AM167" i="9"/>
  <c r="AL167" i="9"/>
  <c r="AK167" i="9"/>
  <c r="AJ167" i="9"/>
  <c r="AI167" i="9"/>
  <c r="AH167" i="9"/>
  <c r="AG167" i="9"/>
  <c r="AF167" i="9"/>
  <c r="AE167" i="9"/>
  <c r="AD167" i="9"/>
  <c r="AC167" i="9"/>
  <c r="AB167" i="9"/>
  <c r="AA167" i="9"/>
  <c r="Z167" i="9"/>
  <c r="Y167" i="9"/>
  <c r="X167" i="9"/>
  <c r="W167" i="9"/>
  <c r="AT166" i="9"/>
  <c r="AT169" i="9" s="1"/>
  <c r="AS166" i="9"/>
  <c r="AS169" i="9" s="1"/>
  <c r="AR166" i="9"/>
  <c r="AR169" i="9" s="1"/>
  <c r="AR154" i="9" s="1"/>
  <c r="AQ166" i="9"/>
  <c r="AQ169" i="9" s="1"/>
  <c r="AP166" i="9"/>
  <c r="AP169" i="9" s="1"/>
  <c r="AO166" i="9"/>
  <c r="AN166" i="9"/>
  <c r="BY166" i="9" s="1"/>
  <c r="AM166" i="9"/>
  <c r="AM169" i="9" s="1"/>
  <c r="AL166" i="9"/>
  <c r="AL169" i="9" s="1"/>
  <c r="AK166" i="9"/>
  <c r="AK169" i="9" s="1"/>
  <c r="AJ166" i="9"/>
  <c r="AJ169" i="9" s="1"/>
  <c r="AJ154" i="9" s="1"/>
  <c r="AI166" i="9"/>
  <c r="AH166" i="9"/>
  <c r="AH169" i="9" s="1"/>
  <c r="AG166" i="9"/>
  <c r="AF166" i="9"/>
  <c r="AF169" i="9" s="1"/>
  <c r="AE166" i="9"/>
  <c r="AE169" i="9" s="1"/>
  <c r="AD166" i="9"/>
  <c r="AD169" i="9" s="1"/>
  <c r="AC166" i="9"/>
  <c r="AC169" i="9" s="1"/>
  <c r="AB166" i="9"/>
  <c r="AB169" i="9" s="1"/>
  <c r="AB154" i="9" s="1"/>
  <c r="AA166" i="9"/>
  <c r="AA169" i="9" s="1"/>
  <c r="Z166" i="9"/>
  <c r="Z169" i="9" s="1"/>
  <c r="Y166" i="9"/>
  <c r="X166" i="9"/>
  <c r="X169" i="9" s="1"/>
  <c r="W166" i="9"/>
  <c r="W169" i="9" s="1"/>
  <c r="AK154" i="9"/>
  <c r="AE154" i="9"/>
  <c r="AA154" i="9"/>
  <c r="BT147" i="9"/>
  <c r="BS147" i="9"/>
  <c r="BR147" i="9"/>
  <c r="BQ147" i="9"/>
  <c r="BP147" i="9"/>
  <c r="BA148" i="9"/>
  <c r="AO148" i="9"/>
  <c r="BE147" i="9"/>
  <c r="BD147" i="9"/>
  <c r="BC147" i="9"/>
  <c r="BA147" i="9"/>
  <c r="AZ147" i="9"/>
  <c r="AY147" i="9"/>
  <c r="CB147" i="9" s="1"/>
  <c r="AX147" i="9"/>
  <c r="AW147" i="9"/>
  <c r="AV147" i="9"/>
  <c r="AU147" i="9"/>
  <c r="CA147" i="9" s="1"/>
  <c r="AS147" i="9"/>
  <c r="AO147" i="9"/>
  <c r="AN147" i="9"/>
  <c r="BA145" i="9"/>
  <c r="CC144" i="9"/>
  <c r="CB144" i="9"/>
  <c r="CA144" i="9"/>
  <c r="BN144" i="9"/>
  <c r="BM144" i="9"/>
  <c r="BJ144" i="9"/>
  <c r="BJ178" i="9" s="1"/>
  <c r="BI144" i="9"/>
  <c r="BI178" i="9" s="1"/>
  <c r="BH144" i="9"/>
  <c r="BH178" i="9" s="1"/>
  <c r="BG178" i="9"/>
  <c r="AT144" i="9"/>
  <c r="AS144" i="9"/>
  <c r="AR144" i="9"/>
  <c r="AQ144" i="9"/>
  <c r="BZ144" i="9" s="1"/>
  <c r="AP144" i="9"/>
  <c r="AO144" i="9"/>
  <c r="AN144" i="9"/>
  <c r="AM144" i="9"/>
  <c r="BE142" i="9"/>
  <c r="CB141" i="9"/>
  <c r="CB254" i="9" s="1"/>
  <c r="CB273" i="9" s="1"/>
  <c r="CA141" i="9"/>
  <c r="CA254" i="9" s="1"/>
  <c r="BG141" i="9"/>
  <c r="BF141" i="9"/>
  <c r="AT141" i="9"/>
  <c r="AS141" i="9"/>
  <c r="AR141" i="9"/>
  <c r="AQ141" i="9"/>
  <c r="AP141" i="9"/>
  <c r="AO141" i="9"/>
  <c r="AN141" i="9"/>
  <c r="AN120" i="9" s="1"/>
  <c r="AM141" i="9"/>
  <c r="AL141" i="9"/>
  <c r="AK141" i="9"/>
  <c r="AK142" i="9" s="1"/>
  <c r="AJ141" i="9"/>
  <c r="AI141" i="9"/>
  <c r="BX138" i="9"/>
  <c r="BF139" i="9"/>
  <c r="BE139" i="9"/>
  <c r="AX139" i="9"/>
  <c r="AW139" i="9"/>
  <c r="AP139" i="9"/>
  <c r="AO139" i="9"/>
  <c r="AH139" i="9"/>
  <c r="AG139" i="9"/>
  <c r="Z139" i="9"/>
  <c r="Y139" i="9"/>
  <c r="CA140" i="9"/>
  <c r="BZ140" i="9"/>
  <c r="CC138" i="9"/>
  <c r="CB138" i="9"/>
  <c r="CA138" i="9"/>
  <c r="BZ138" i="9"/>
  <c r="BY138" i="9"/>
  <c r="BY140" i="9" s="1"/>
  <c r="BW138" i="9"/>
  <c r="BV138" i="9"/>
  <c r="BU138" i="9"/>
  <c r="BT138" i="9"/>
  <c r="BS138" i="9"/>
  <c r="BR138" i="9"/>
  <c r="BQ138" i="9"/>
  <c r="BP138" i="9"/>
  <c r="BG138" i="9"/>
  <c r="BG147" i="9" s="1"/>
  <c r="AP136" i="9"/>
  <c r="BT135" i="9"/>
  <c r="BS135" i="9"/>
  <c r="BR135" i="9"/>
  <c r="BQ135" i="9"/>
  <c r="BP135" i="9"/>
  <c r="AT134" i="9"/>
  <c r="AL134" i="9"/>
  <c r="AD134" i="9"/>
  <c r="BZ135" i="9"/>
  <c r="BY135" i="9"/>
  <c r="BZ133" i="9"/>
  <c r="BY133" i="9"/>
  <c r="BX133" i="9"/>
  <c r="BZ132" i="9"/>
  <c r="BY132" i="9"/>
  <c r="BX132" i="9"/>
  <c r="BZ131" i="9"/>
  <c r="BY131" i="9"/>
  <c r="BX131" i="9"/>
  <c r="BW133" i="9"/>
  <c r="BV133" i="9"/>
  <c r="BU133" i="9"/>
  <c r="BT133" i="9"/>
  <c r="BS133" i="9"/>
  <c r="BR133" i="9"/>
  <c r="BQ133" i="9"/>
  <c r="BP133" i="9"/>
  <c r="BW132" i="9"/>
  <c r="BV132" i="9"/>
  <c r="BU132" i="9"/>
  <c r="BT132" i="9"/>
  <c r="BS132" i="9"/>
  <c r="BR132" i="9"/>
  <c r="BQ132" i="9"/>
  <c r="BP132" i="9"/>
  <c r="BW131" i="9"/>
  <c r="BV131" i="9"/>
  <c r="BU131" i="9"/>
  <c r="BT131" i="9"/>
  <c r="BS131" i="9"/>
  <c r="BR131" i="9"/>
  <c r="BQ131" i="9"/>
  <c r="BP131" i="9"/>
  <c r="AR128" i="9"/>
  <c r="AJ128" i="9"/>
  <c r="AB128" i="9"/>
  <c r="AT127" i="9"/>
  <c r="AS127" i="9"/>
  <c r="AS129" i="9" s="1"/>
  <c r="AR127" i="9"/>
  <c r="AR147" i="9" s="1"/>
  <c r="AQ127" i="9"/>
  <c r="AP127" i="9"/>
  <c r="AQ128" i="9" s="1"/>
  <c r="AO127" i="9"/>
  <c r="AO129" i="9" s="1"/>
  <c r="AN127" i="9"/>
  <c r="AO128" i="9" s="1"/>
  <c r="AM127" i="9"/>
  <c r="AM147" i="9" s="1"/>
  <c r="AL127" i="9"/>
  <c r="AK127" i="9"/>
  <c r="AJ127" i="9"/>
  <c r="AK128" i="9" s="1"/>
  <c r="AI127" i="9"/>
  <c r="AH127" i="9"/>
  <c r="AI128" i="9" s="1"/>
  <c r="AG127" i="9"/>
  <c r="AF127" i="9"/>
  <c r="AE127" i="9"/>
  <c r="AD127" i="9"/>
  <c r="AC127" i="9"/>
  <c r="AC129" i="9" s="1"/>
  <c r="AB127" i="9"/>
  <c r="AA127" i="9"/>
  <c r="Z127" i="9"/>
  <c r="AA128" i="9" s="1"/>
  <c r="Y127" i="9"/>
  <c r="Y129" i="9" s="1"/>
  <c r="X127" i="9"/>
  <c r="Y128" i="9" s="1"/>
  <c r="W127" i="9"/>
  <c r="BY127" i="9"/>
  <c r="BZ126" i="9"/>
  <c r="BY126" i="9"/>
  <c r="BZ125" i="9"/>
  <c r="BY125" i="9"/>
  <c r="BZ124" i="9"/>
  <c r="BY124" i="9"/>
  <c r="BW127" i="9"/>
  <c r="BV127" i="9"/>
  <c r="BT127" i="9"/>
  <c r="BS127" i="9"/>
  <c r="BR127" i="9"/>
  <c r="BQ127" i="9"/>
  <c r="BP127" i="9"/>
  <c r="BX126" i="9"/>
  <c r="BW126" i="9"/>
  <c r="BV126" i="9"/>
  <c r="BU126" i="9"/>
  <c r="BT126" i="9"/>
  <c r="BS126" i="9"/>
  <c r="BR126" i="9"/>
  <c r="BQ126" i="9"/>
  <c r="BP126" i="9"/>
  <c r="BX125" i="9"/>
  <c r="BW125" i="9"/>
  <c r="BV125" i="9"/>
  <c r="BU125" i="9"/>
  <c r="BT125" i="9"/>
  <c r="BS125" i="9"/>
  <c r="BR125" i="9"/>
  <c r="BQ125" i="9"/>
  <c r="BP125" i="9"/>
  <c r="BX124" i="9"/>
  <c r="BW124" i="9"/>
  <c r="BV124" i="9"/>
  <c r="BU124" i="9"/>
  <c r="BT124" i="9"/>
  <c r="BS124" i="9"/>
  <c r="BR124" i="9"/>
  <c r="BQ124" i="9"/>
  <c r="BP124" i="9"/>
  <c r="BF121" i="9"/>
  <c r="BE121" i="9"/>
  <c r="AX121" i="9"/>
  <c r="AW121" i="9"/>
  <c r="BF120" i="9"/>
  <c r="BE120" i="9"/>
  <c r="BD120" i="9"/>
  <c r="BC120" i="9"/>
  <c r="BC110" i="9" s="1"/>
  <c r="BA120" i="9"/>
  <c r="BA121" i="9" s="1"/>
  <c r="AZ120" i="9"/>
  <c r="AY120" i="9"/>
  <c r="AY121" i="9" s="1"/>
  <c r="AX120" i="9"/>
  <c r="AW120" i="9"/>
  <c r="AV120" i="9"/>
  <c r="AU120" i="9"/>
  <c r="AU121" i="9" s="1"/>
  <c r="AT120" i="9"/>
  <c r="AS120" i="9"/>
  <c r="AP120" i="9"/>
  <c r="AP121" i="9" s="1"/>
  <c r="AO120" i="9"/>
  <c r="AO121" i="9" s="1"/>
  <c r="AP119" i="9"/>
  <c r="AO119" i="9"/>
  <c r="AH119" i="9"/>
  <c r="AH135" i="9" s="1"/>
  <c r="AG119" i="9"/>
  <c r="AG135" i="9" s="1"/>
  <c r="AG120" i="9" s="1"/>
  <c r="AG121" i="9" s="1"/>
  <c r="Z119" i="9"/>
  <c r="Z135" i="9" s="1"/>
  <c r="Y119" i="9"/>
  <c r="Y135" i="9" s="1"/>
  <c r="Y120" i="9" s="1"/>
  <c r="Y121" i="9" s="1"/>
  <c r="R119" i="9"/>
  <c r="Q119" i="9"/>
  <c r="J119" i="9"/>
  <c r="I119" i="9"/>
  <c r="AZ116" i="9"/>
  <c r="AD116" i="9"/>
  <c r="Z116" i="9"/>
  <c r="Y116" i="9"/>
  <c r="BV115" i="9"/>
  <c r="BU115" i="9"/>
  <c r="BC115" i="9"/>
  <c r="AY115" i="9"/>
  <c r="AX115" i="9"/>
  <c r="AX116" i="9" s="1"/>
  <c r="AU115" i="9"/>
  <c r="BF112" i="9"/>
  <c r="AX112" i="9"/>
  <c r="AT112" i="9"/>
  <c r="AP112" i="9"/>
  <c r="AL112" i="9"/>
  <c r="AH112" i="9"/>
  <c r="AD112" i="9"/>
  <c r="Z112" i="9"/>
  <c r="V112" i="9"/>
  <c r="R112" i="9"/>
  <c r="N112" i="9"/>
  <c r="J112" i="9"/>
  <c r="CB110" i="9"/>
  <c r="BX110" i="9"/>
  <c r="BP110" i="9"/>
  <c r="AU111" i="9"/>
  <c r="AQ111" i="9"/>
  <c r="AM111" i="9"/>
  <c r="AE111" i="9"/>
  <c r="AA111" i="9"/>
  <c r="W111" i="9"/>
  <c r="O111" i="9"/>
  <c r="K111" i="9"/>
  <c r="BF110" i="9"/>
  <c r="BF145" i="9" s="1"/>
  <c r="BE110" i="9"/>
  <c r="BE148" i="9" s="1"/>
  <c r="BD110" i="9"/>
  <c r="BA110" i="9"/>
  <c r="BA142" i="9" s="1"/>
  <c r="AZ110" i="9"/>
  <c r="AY110" i="9"/>
  <c r="AX110" i="9"/>
  <c r="AW110" i="9"/>
  <c r="AV110" i="9"/>
  <c r="AU110" i="9"/>
  <c r="AT110" i="9"/>
  <c r="AT139" i="9" s="1"/>
  <c r="AS110" i="9"/>
  <c r="AR110" i="9"/>
  <c r="AQ110" i="9"/>
  <c r="AP110" i="9"/>
  <c r="AP111" i="9" s="1"/>
  <c r="AO110" i="9"/>
  <c r="AN110" i="9"/>
  <c r="AM110" i="9"/>
  <c r="AL110" i="9"/>
  <c r="AL139" i="9" s="1"/>
  <c r="AK110" i="9"/>
  <c r="AK134" i="9" s="1"/>
  <c r="AJ110" i="9"/>
  <c r="AI110" i="9"/>
  <c r="AH110" i="9"/>
  <c r="AH111" i="9" s="1"/>
  <c r="AG110" i="9"/>
  <c r="AG134" i="9" s="1"/>
  <c r="AF110" i="9"/>
  <c r="AE110" i="9"/>
  <c r="AD110" i="9"/>
  <c r="AD139" i="9" s="1"/>
  <c r="AC110" i="9"/>
  <c r="AC134" i="9" s="1"/>
  <c r="AB110" i="9"/>
  <c r="AA110" i="9"/>
  <c r="Z110" i="9"/>
  <c r="Z111" i="9" s="1"/>
  <c r="Y110" i="9"/>
  <c r="Y134" i="9" s="1"/>
  <c r="X110" i="9"/>
  <c r="W110" i="9"/>
  <c r="V110" i="9"/>
  <c r="V119" i="9" s="1"/>
  <c r="U110" i="9"/>
  <c r="U119" i="9" s="1"/>
  <c r="T110" i="9"/>
  <c r="S110" i="9"/>
  <c r="R110" i="9"/>
  <c r="R111" i="9" s="1"/>
  <c r="Q110" i="9"/>
  <c r="Q111" i="9" s="1"/>
  <c r="P110" i="9"/>
  <c r="O110" i="9"/>
  <c r="N110" i="9"/>
  <c r="N119" i="9" s="1"/>
  <c r="M110" i="9"/>
  <c r="M119" i="9" s="1"/>
  <c r="L110" i="9"/>
  <c r="K110" i="9"/>
  <c r="J110" i="9"/>
  <c r="I110" i="9"/>
  <c r="H110" i="9"/>
  <c r="G110" i="9"/>
  <c r="CE105" i="9"/>
  <c r="BN105" i="9"/>
  <c r="BM105" i="9"/>
  <c r="BL105" i="9"/>
  <c r="BK105" i="9"/>
  <c r="BJ105" i="9"/>
  <c r="BI105" i="9"/>
  <c r="BH105" i="9"/>
  <c r="BG105" i="9"/>
  <c r="CD105" i="9" s="1"/>
  <c r="BF105" i="9"/>
  <c r="BE105" i="9"/>
  <c r="BD105" i="9"/>
  <c r="BC105" i="9"/>
  <c r="CC105" i="9" s="1"/>
  <c r="BA105" i="9"/>
  <c r="AZ105" i="9"/>
  <c r="AY105" i="9"/>
  <c r="CB105" i="9" s="1"/>
  <c r="AX105" i="9"/>
  <c r="AW105" i="9"/>
  <c r="AV105" i="9"/>
  <c r="AU105" i="9"/>
  <c r="CA105" i="9" s="1"/>
  <c r="AT105" i="9"/>
  <c r="AS105" i="9"/>
  <c r="AR105" i="9"/>
  <c r="AQ105" i="9"/>
  <c r="BZ105" i="9" s="1"/>
  <c r="AP105" i="9"/>
  <c r="AO105" i="9"/>
  <c r="AN105" i="9"/>
  <c r="BA104" i="9"/>
  <c r="AZ104" i="9"/>
  <c r="AY104" i="9"/>
  <c r="AX104" i="9"/>
  <c r="AW104" i="9"/>
  <c r="AV104" i="9"/>
  <c r="AU104" i="9"/>
  <c r="CA104" i="9" s="1"/>
  <c r="AT104" i="9"/>
  <c r="AS104" i="9"/>
  <c r="AR104" i="9"/>
  <c r="AQ104" i="9"/>
  <c r="BZ104" i="9" s="1"/>
  <c r="AP104" i="9"/>
  <c r="AO104" i="9"/>
  <c r="AN104" i="9"/>
  <c r="AM104" i="9"/>
  <c r="AE104" i="9"/>
  <c r="AD104" i="9"/>
  <c r="AC104" i="9"/>
  <c r="AB104" i="9"/>
  <c r="AA104" i="9"/>
  <c r="Z104" i="9"/>
  <c r="Y104" i="9"/>
  <c r="X104" i="9"/>
  <c r="W104" i="9"/>
  <c r="BA103" i="9"/>
  <c r="AZ103" i="9"/>
  <c r="AY103" i="9"/>
  <c r="CB103" i="9" s="1"/>
  <c r="AX103" i="9"/>
  <c r="AW103" i="9"/>
  <c r="AV103" i="9"/>
  <c r="AU103" i="9"/>
  <c r="CA103" i="9" s="1"/>
  <c r="AT103" i="9"/>
  <c r="AS103" i="9"/>
  <c r="AR103" i="9"/>
  <c r="AQ103" i="9"/>
  <c r="BZ103" i="9" s="1"/>
  <c r="AP103" i="9"/>
  <c r="AO103" i="9"/>
  <c r="AN103" i="9"/>
  <c r="AA103" i="9"/>
  <c r="Z103" i="9"/>
  <c r="BA102" i="9"/>
  <c r="AZ102" i="9"/>
  <c r="AY102" i="9"/>
  <c r="CB102" i="9" s="1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BY102" i="9" s="1"/>
  <c r="AK102" i="9"/>
  <c r="AJ102" i="9"/>
  <c r="AI102" i="9"/>
  <c r="AD102" i="9"/>
  <c r="AA102" i="9"/>
  <c r="Z102" i="9"/>
  <c r="S103" i="9"/>
  <c r="V102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AH99" i="9"/>
  <c r="AG99" i="9"/>
  <c r="AF99" i="9"/>
  <c r="AE99" i="9"/>
  <c r="AD99" i="9"/>
  <c r="AC99" i="9"/>
  <c r="AB99" i="9"/>
  <c r="AA99" i="9"/>
  <c r="Z99" i="9"/>
  <c r="Y99" i="9"/>
  <c r="X99" i="9"/>
  <c r="W99" i="9"/>
  <c r="AI96" i="9"/>
  <c r="AI105" i="9" s="1"/>
  <c r="AF96" i="9"/>
  <c r="AG96" i="9" s="1"/>
  <c r="AH96" i="9" s="1"/>
  <c r="AH95" i="9"/>
  <c r="AH104" i="9" s="1"/>
  <c r="AG95" i="9"/>
  <c r="AG104" i="9" s="1"/>
  <c r="AF95" i="9"/>
  <c r="AF104" i="9" s="1"/>
  <c r="AH94" i="9"/>
  <c r="AI94" i="9" s="1"/>
  <c r="AG94" i="9"/>
  <c r="AF94" i="9"/>
  <c r="AG93" i="9"/>
  <c r="AH93" i="9" s="1"/>
  <c r="AH102" i="9" s="1"/>
  <c r="AF93" i="9"/>
  <c r="BZ88" i="9"/>
  <c r="CA87" i="9"/>
  <c r="CA88" i="9" s="1"/>
  <c r="BZ87" i="9"/>
  <c r="CB86" i="9"/>
  <c r="CA86" i="9"/>
  <c r="BZ86" i="9"/>
  <c r="BY87" i="9"/>
  <c r="BX87" i="9"/>
  <c r="BY86" i="9"/>
  <c r="BX86" i="9"/>
  <c r="BA87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J86" i="9"/>
  <c r="AI86" i="9"/>
  <c r="BT82" i="9"/>
  <c r="BS82" i="9"/>
  <c r="BR82" i="9"/>
  <c r="BQ82" i="9"/>
  <c r="BP82" i="9"/>
  <c r="AL81" i="9"/>
  <c r="AK81" i="9"/>
  <c r="AJ81" i="9"/>
  <c r="BA80" i="9"/>
  <c r="AZ80" i="9"/>
  <c r="AY80" i="9"/>
  <c r="AX80" i="9"/>
  <c r="AW80" i="9"/>
  <c r="AV80" i="9"/>
  <c r="AU80" i="9"/>
  <c r="AT80" i="9"/>
  <c r="AS80" i="9"/>
  <c r="AR80" i="9"/>
  <c r="AQ80" i="9"/>
  <c r="BW79" i="9"/>
  <c r="BV79" i="9"/>
  <c r="BU79" i="9"/>
  <c r="BT79" i="9"/>
  <c r="BS79" i="9"/>
  <c r="BR79" i="9"/>
  <c r="BQ79" i="9"/>
  <c r="BP79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N77" i="9"/>
  <c r="AM77" i="9"/>
  <c r="AI77" i="9"/>
  <c r="AC77" i="9"/>
  <c r="Y77" i="9"/>
  <c r="W77" i="9"/>
  <c r="BS76" i="9"/>
  <c r="BR76" i="9"/>
  <c r="BQ76" i="9"/>
  <c r="BP76" i="9"/>
  <c r="AE76" i="9"/>
  <c r="AE77" i="9" s="1"/>
  <c r="AD76" i="9"/>
  <c r="AC76" i="9"/>
  <c r="AC103" i="9" s="1"/>
  <c r="AB76" i="9"/>
  <c r="AB103" i="9" s="1"/>
  <c r="AA76" i="9"/>
  <c r="AA77" i="9" s="1"/>
  <c r="Z76" i="9"/>
  <c r="Y76" i="9"/>
  <c r="Y103" i="9" s="1"/>
  <c r="X76" i="9"/>
  <c r="X103" i="9" s="1"/>
  <c r="W76" i="9"/>
  <c r="W103" i="9" s="1"/>
  <c r="V76" i="9"/>
  <c r="U76" i="9"/>
  <c r="U103" i="9" s="1"/>
  <c r="T76" i="9"/>
  <c r="T103" i="9" s="1"/>
  <c r="S76" i="9"/>
  <c r="BA74" i="9"/>
  <c r="AZ74" i="9"/>
  <c r="AY74" i="9"/>
  <c r="AX74" i="9"/>
  <c r="AW74" i="9"/>
  <c r="AV74" i="9"/>
  <c r="AU74" i="9"/>
  <c r="AT74" i="9"/>
  <c r="AS74" i="9"/>
  <c r="AR74" i="9"/>
  <c r="AQ74" i="9"/>
  <c r="AO74" i="9"/>
  <c r="AN74" i="9"/>
  <c r="AM74" i="9"/>
  <c r="AI74" i="9"/>
  <c r="AH74" i="9"/>
  <c r="AE74" i="9"/>
  <c r="AD74" i="9"/>
  <c r="Z74" i="9"/>
  <c r="CB79" i="9"/>
  <c r="CB80" i="9" s="1"/>
  <c r="CA79" i="9"/>
  <c r="BZ79" i="9"/>
  <c r="CA80" i="9" s="1"/>
  <c r="BY79" i="9"/>
  <c r="CB76" i="9"/>
  <c r="CA76" i="9"/>
  <c r="CA77" i="9" s="1"/>
  <c r="BZ76" i="9"/>
  <c r="BY76" i="9"/>
  <c r="BZ74" i="9"/>
  <c r="CB73" i="9"/>
  <c r="CB74" i="9" s="1"/>
  <c r="CA73" i="9"/>
  <c r="BZ73" i="9"/>
  <c r="BY73" i="9"/>
  <c r="BV76" i="9"/>
  <c r="BU76" i="9"/>
  <c r="BV77" i="9" s="1"/>
  <c r="BS73" i="9"/>
  <c r="BR73" i="9"/>
  <c r="BQ73" i="9"/>
  <c r="BP73" i="9"/>
  <c r="AH73" i="9"/>
  <c r="AG73" i="9"/>
  <c r="AF73" i="9"/>
  <c r="AF102" i="9" s="1"/>
  <c r="AE73" i="9"/>
  <c r="AD73" i="9"/>
  <c r="AC73" i="9"/>
  <c r="AB73" i="9"/>
  <c r="AB102" i="9" s="1"/>
  <c r="AA73" i="9"/>
  <c r="AA74" i="9" s="1"/>
  <c r="Z73" i="9"/>
  <c r="Y73" i="9"/>
  <c r="X73" i="9"/>
  <c r="X102" i="9" s="1"/>
  <c r="W73" i="9"/>
  <c r="W102" i="9" s="1"/>
  <c r="V73" i="9"/>
  <c r="U73" i="9"/>
  <c r="T73" i="9"/>
  <c r="T102" i="9" s="1"/>
  <c r="S73" i="9"/>
  <c r="S102" i="9" s="1"/>
  <c r="BT70" i="9"/>
  <c r="BS70" i="9"/>
  <c r="BR70" i="9"/>
  <c r="BQ70" i="9"/>
  <c r="BP70" i="9"/>
  <c r="BD79" i="9"/>
  <c r="BE79" i="9" s="1"/>
  <c r="BC79" i="9"/>
  <c r="BC80" i="9" s="1"/>
  <c r="BC76" i="9"/>
  <c r="BC86" i="9" s="1"/>
  <c r="BC250" i="9"/>
  <c r="BA72" i="9"/>
  <c r="AZ72" i="9"/>
  <c r="AW72" i="9"/>
  <c r="AV72" i="9"/>
  <c r="AS72" i="9"/>
  <c r="AR72" i="9"/>
  <c r="AO72" i="9"/>
  <c r="AN72" i="9"/>
  <c r="AZ71" i="9"/>
  <c r="AY71" i="9"/>
  <c r="AV71" i="9"/>
  <c r="AU71" i="9"/>
  <c r="AR71" i="9"/>
  <c r="AQ71" i="9"/>
  <c r="BA70" i="9"/>
  <c r="BA71" i="9" s="1"/>
  <c r="AZ70" i="9"/>
  <c r="AY70" i="9"/>
  <c r="CB70" i="9" s="1"/>
  <c r="AX70" i="9"/>
  <c r="AW70" i="9"/>
  <c r="AW71" i="9" s="1"/>
  <c r="AV70" i="9"/>
  <c r="AU70" i="9"/>
  <c r="AU72" i="9" s="1"/>
  <c r="AT70" i="9"/>
  <c r="AS70" i="9"/>
  <c r="AS71" i="9" s="1"/>
  <c r="AR70" i="9"/>
  <c r="AQ70" i="9"/>
  <c r="BZ70" i="9" s="1"/>
  <c r="AP70" i="9"/>
  <c r="AO70" i="9"/>
  <c r="AN70" i="9"/>
  <c r="AM70" i="9"/>
  <c r="BY70" i="9" s="1"/>
  <c r="AE68" i="9"/>
  <c r="AA68" i="9"/>
  <c r="AH67" i="9"/>
  <c r="AG67" i="9"/>
  <c r="AD67" i="9"/>
  <c r="AC67" i="9"/>
  <c r="AM67" i="9"/>
  <c r="AN66" i="9"/>
  <c r="AN68" i="9" s="1"/>
  <c r="AM66" i="9"/>
  <c r="AM68" i="9" s="1"/>
  <c r="AL66" i="9"/>
  <c r="AL68" i="9" s="1"/>
  <c r="AK66" i="9"/>
  <c r="AJ66" i="9"/>
  <c r="AK68" i="9" s="1"/>
  <c r="AI66" i="9"/>
  <c r="AH66" i="9"/>
  <c r="AH68" i="9" s="1"/>
  <c r="AG66" i="9"/>
  <c r="AF66" i="9"/>
  <c r="AE66" i="9"/>
  <c r="AD66" i="9"/>
  <c r="AD68" i="9" s="1"/>
  <c r="AC66" i="9"/>
  <c r="AB66" i="9"/>
  <c r="AA66" i="9"/>
  <c r="Z66" i="9"/>
  <c r="Z68" i="9" s="1"/>
  <c r="Y66" i="9"/>
  <c r="X66" i="9"/>
  <c r="X68" i="9" s="1"/>
  <c r="W66" i="9"/>
  <c r="BU66" i="9" s="1"/>
  <c r="AD64" i="9"/>
  <c r="AG63" i="9"/>
  <c r="AF63" i="9"/>
  <c r="AC63" i="9"/>
  <c r="AB63" i="9"/>
  <c r="AH62" i="9"/>
  <c r="AH64" i="9" s="1"/>
  <c r="AG62" i="9"/>
  <c r="AG64" i="9" s="1"/>
  <c r="AF62" i="9"/>
  <c r="AE62" i="9"/>
  <c r="AE64" i="9" s="1"/>
  <c r="AD62" i="9"/>
  <c r="AD63" i="9" s="1"/>
  <c r="AC62" i="9"/>
  <c r="AC64" i="9" s="1"/>
  <c r="AB62" i="9"/>
  <c r="AA62" i="9"/>
  <c r="Z62" i="9"/>
  <c r="Z64" i="9" s="1"/>
  <c r="Y62" i="9"/>
  <c r="Y64" i="9" s="1"/>
  <c r="X62" i="9"/>
  <c r="W62" i="9"/>
  <c r="BU62" i="9" s="1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BZ59" i="9"/>
  <c r="BY59" i="9"/>
  <c r="BZ58" i="9"/>
  <c r="BY58" i="9"/>
  <c r="BX58" i="9"/>
  <c r="BW58" i="9"/>
  <c r="BV58" i="9"/>
  <c r="BV59" i="9" s="1"/>
  <c r="BU58" i="9"/>
  <c r="AI56" i="9"/>
  <c r="AI49" i="9" s="1"/>
  <c r="AI50" i="9" s="1"/>
  <c r="AH56" i="9"/>
  <c r="AG56" i="9"/>
  <c r="AF56" i="9"/>
  <c r="AE56" i="9"/>
  <c r="AD56" i="9"/>
  <c r="AC56" i="9"/>
  <c r="AB56" i="9"/>
  <c r="AA56" i="9"/>
  <c r="Z56" i="9"/>
  <c r="Y56" i="9"/>
  <c r="X56" i="9"/>
  <c r="W56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BX53" i="9"/>
  <c r="BW53" i="9"/>
  <c r="BW54" i="9" s="1"/>
  <c r="BV53" i="9"/>
  <c r="BV54" i="9" s="1"/>
  <c r="BU53" i="9"/>
  <c r="BT53" i="9"/>
  <c r="BS53" i="9"/>
  <c r="BR53" i="9"/>
  <c r="BQ53" i="9"/>
  <c r="BP53" i="9"/>
  <c r="AE52" i="9"/>
  <c r="W52" i="9"/>
  <c r="AH51" i="9"/>
  <c r="AG51" i="9"/>
  <c r="AF51" i="9"/>
  <c r="AE51" i="9"/>
  <c r="AD51" i="9"/>
  <c r="AC51" i="9"/>
  <c r="AB51" i="9"/>
  <c r="AA51" i="9"/>
  <c r="Z51" i="9"/>
  <c r="Y51" i="9"/>
  <c r="X51" i="9"/>
  <c r="AH50" i="9"/>
  <c r="AG50" i="9"/>
  <c r="AF50" i="9"/>
  <c r="AE50" i="9"/>
  <c r="AD50" i="9"/>
  <c r="AC50" i="9"/>
  <c r="AB50" i="9"/>
  <c r="AA50" i="9"/>
  <c r="BW49" i="9"/>
  <c r="BV49" i="9"/>
  <c r="BV50" i="9" s="1"/>
  <c r="BU49" i="9"/>
  <c r="BT49" i="9"/>
  <c r="BS49" i="9"/>
  <c r="BR49" i="9"/>
  <c r="BQ49" i="9"/>
  <c r="BP49" i="9"/>
  <c r="AO53" i="9"/>
  <c r="AP53" i="9" s="1"/>
  <c r="AN53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BZ45" i="9"/>
  <c r="BY45" i="9"/>
  <c r="BX45" i="9"/>
  <c r="BW45" i="9"/>
  <c r="BV45" i="9"/>
  <c r="BU45" i="9"/>
  <c r="AI43" i="9"/>
  <c r="AI36" i="9" s="1"/>
  <c r="AI37" i="9" s="1"/>
  <c r="AH43" i="9"/>
  <c r="AG43" i="9"/>
  <c r="AF43" i="9"/>
  <c r="AE43" i="9"/>
  <c r="BW43" i="9" s="1"/>
  <c r="AD43" i="9"/>
  <c r="AC43" i="9"/>
  <c r="AB43" i="9"/>
  <c r="AA43" i="9"/>
  <c r="BV43" i="9" s="1"/>
  <c r="BV44" i="9" s="1"/>
  <c r="Z43" i="9"/>
  <c r="Y43" i="9"/>
  <c r="X43" i="9"/>
  <c r="W43" i="9"/>
  <c r="BU43" i="9" s="1"/>
  <c r="BU44" i="9" s="1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BX40" i="9"/>
  <c r="BW40" i="9"/>
  <c r="BV40" i="9"/>
  <c r="BU40" i="9"/>
  <c r="BT40" i="9"/>
  <c r="BS40" i="9"/>
  <c r="BR40" i="9"/>
  <c r="BQ40" i="9"/>
  <c r="BP40" i="9"/>
  <c r="AB39" i="9"/>
  <c r="X39" i="9"/>
  <c r="AH38" i="9"/>
  <c r="AG38" i="9"/>
  <c r="AF38" i="9"/>
  <c r="AE38" i="9"/>
  <c r="AD38" i="9"/>
  <c r="AC38" i="9"/>
  <c r="AB38" i="9"/>
  <c r="AA38" i="9"/>
  <c r="Z38" i="9"/>
  <c r="Y38" i="9"/>
  <c r="X38" i="9"/>
  <c r="AH37" i="9"/>
  <c r="AG37" i="9"/>
  <c r="AF37" i="9"/>
  <c r="AE37" i="9"/>
  <c r="AD37" i="9"/>
  <c r="AC37" i="9"/>
  <c r="AB37" i="9"/>
  <c r="AA37" i="9"/>
  <c r="BW36" i="9"/>
  <c r="BV36" i="9"/>
  <c r="BU36" i="9"/>
  <c r="BT36" i="9"/>
  <c r="BS36" i="9"/>
  <c r="BR36" i="9"/>
  <c r="BQ36" i="9"/>
  <c r="BP36" i="9"/>
  <c r="AP40" i="9"/>
  <c r="AO40" i="9"/>
  <c r="AN40" i="9"/>
  <c r="BY40" i="9" s="1"/>
  <c r="AZ31" i="9"/>
  <c r="AV31" i="9"/>
  <c r="AT31" i="9"/>
  <c r="AJ31" i="9"/>
  <c r="AJ23" i="9" s="1"/>
  <c r="AF31" i="9"/>
  <c r="AD31" i="9"/>
  <c r="T31" i="9"/>
  <c r="P31" i="9"/>
  <c r="N31" i="9"/>
  <c r="BZ22" i="9"/>
  <c r="BZ78" i="9" s="1"/>
  <c r="BV22" i="9"/>
  <c r="BR22" i="9"/>
  <c r="BP22" i="9"/>
  <c r="BA22" i="9"/>
  <c r="AZ22" i="9"/>
  <c r="AY22" i="9"/>
  <c r="AX22" i="9"/>
  <c r="AX31" i="9" s="1"/>
  <c r="AW22" i="9"/>
  <c r="AV22" i="9"/>
  <c r="AU22" i="9"/>
  <c r="AT22" i="9"/>
  <c r="AT14" i="9" s="1"/>
  <c r="AS22" i="9"/>
  <c r="AR22" i="9"/>
  <c r="AR31" i="9" s="1"/>
  <c r="AQ22" i="9"/>
  <c r="AP22" i="9"/>
  <c r="AP14" i="9" s="1"/>
  <c r="AO22" i="9"/>
  <c r="AN22" i="9"/>
  <c r="AM22" i="9"/>
  <c r="AL22" i="9"/>
  <c r="AL14" i="9" s="1"/>
  <c r="AK22" i="9"/>
  <c r="AJ22" i="9"/>
  <c r="AI22" i="9"/>
  <c r="AH22" i="9"/>
  <c r="AH31" i="9" s="1"/>
  <c r="AG22" i="9"/>
  <c r="AF22" i="9"/>
  <c r="AE22" i="9"/>
  <c r="AD22" i="9"/>
  <c r="AD52" i="9" s="1"/>
  <c r="AC22" i="9"/>
  <c r="AB22" i="9"/>
  <c r="AB31" i="9" s="1"/>
  <c r="AA22" i="9"/>
  <c r="Z22" i="9"/>
  <c r="Z39" i="9" s="1"/>
  <c r="Y22" i="9"/>
  <c r="X22" i="9"/>
  <c r="W22" i="9"/>
  <c r="V22" i="9"/>
  <c r="V31" i="9" s="1"/>
  <c r="U22" i="9"/>
  <c r="T22" i="9"/>
  <c r="S22" i="9"/>
  <c r="R22" i="9"/>
  <c r="R220" i="9" s="1"/>
  <c r="Q22" i="9"/>
  <c r="P22" i="9"/>
  <c r="O22" i="9"/>
  <c r="O31" i="9" s="1"/>
  <c r="N22" i="9"/>
  <c r="N220" i="9" s="1"/>
  <c r="M22" i="9"/>
  <c r="L22" i="9"/>
  <c r="L31" i="9" s="1"/>
  <c r="K22" i="9"/>
  <c r="K31" i="9" s="1"/>
  <c r="J22" i="9"/>
  <c r="J220" i="9" s="1"/>
  <c r="I22" i="9"/>
  <c r="H22" i="9"/>
  <c r="H31" i="9" s="1"/>
  <c r="G22" i="9"/>
  <c r="G31" i="9" s="1"/>
  <c r="AZ14" i="9"/>
  <c r="AY14" i="9"/>
  <c r="AV14" i="9"/>
  <c r="AU14" i="9"/>
  <c r="AR14" i="9"/>
  <c r="AQ14" i="9"/>
  <c r="AN14" i="9"/>
  <c r="AM14" i="9"/>
  <c r="AJ14" i="9"/>
  <c r="AI14" i="9"/>
  <c r="AF14" i="9"/>
  <c r="AE14" i="9"/>
  <c r="AB14" i="9"/>
  <c r="AA14" i="9"/>
  <c r="X14" i="9"/>
  <c r="AZ13" i="9"/>
  <c r="BV10" i="9"/>
  <c r="BU10" i="9"/>
  <c r="BT10" i="9"/>
  <c r="BS10" i="9"/>
  <c r="BR10" i="9"/>
  <c r="BQ10" i="9"/>
  <c r="BP10" i="9"/>
  <c r="BA6" i="9"/>
  <c r="AZ244" i="9"/>
  <c r="AY6" i="9"/>
  <c r="AX6" i="9"/>
  <c r="AW6" i="9"/>
  <c r="AV6" i="9"/>
  <c r="AU6" i="9"/>
  <c r="AT6" i="9"/>
  <c r="AS6" i="9"/>
  <c r="AR6" i="9"/>
  <c r="AR25" i="9" s="1"/>
  <c r="AQ6" i="9"/>
  <c r="AP6" i="9"/>
  <c r="AO6" i="9"/>
  <c r="AN6" i="9"/>
  <c r="AM6" i="9"/>
  <c r="AL6" i="9"/>
  <c r="AK6" i="9"/>
  <c r="AJ6" i="9"/>
  <c r="AJ25" i="9" s="1"/>
  <c r="AI6" i="9"/>
  <c r="AH6" i="9"/>
  <c r="AG6" i="9"/>
  <c r="AF6" i="9"/>
  <c r="AE6" i="9"/>
  <c r="AD6" i="9"/>
  <c r="AC6" i="9"/>
  <c r="AB6" i="9"/>
  <c r="AB25" i="9" s="1"/>
  <c r="AA6" i="9"/>
  <c r="Z6" i="9"/>
  <c r="Y6" i="9"/>
  <c r="X6" i="9"/>
  <c r="W6" i="9"/>
  <c r="V6" i="9"/>
  <c r="U6" i="9"/>
  <c r="T6" i="9"/>
  <c r="T25" i="9" s="1"/>
  <c r="S6" i="9"/>
  <c r="R6" i="9"/>
  <c r="Q6" i="9"/>
  <c r="P6" i="9"/>
  <c r="O6" i="9"/>
  <c r="N6" i="9"/>
  <c r="M6" i="9"/>
  <c r="L6" i="9"/>
  <c r="L25" i="9" s="1"/>
  <c r="K6" i="9"/>
  <c r="J6" i="9"/>
  <c r="I6" i="9"/>
  <c r="H6" i="9"/>
  <c r="G6" i="9"/>
  <c r="F6" i="9"/>
  <c r="E6" i="9"/>
  <c r="D6" i="9"/>
  <c r="C6" i="9"/>
  <c r="CE3" i="9"/>
  <c r="CE213" i="9" s="1"/>
  <c r="CD3" i="9"/>
  <c r="CD213" i="9" s="1"/>
  <c r="CC3" i="9"/>
  <c r="CC213" i="9" s="1"/>
  <c r="CB3" i="9"/>
  <c r="CB213" i="9" s="1"/>
  <c r="CA3" i="9"/>
  <c r="CA213" i="9" s="1"/>
  <c r="BZ3" i="9"/>
  <c r="BZ213" i="9" s="1"/>
  <c r="BY3" i="9"/>
  <c r="BY213" i="9" s="1"/>
  <c r="BX3" i="9"/>
  <c r="BX213" i="9" s="1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BY49" i="15"/>
  <c r="BX49" i="15"/>
  <c r="BW49" i="15"/>
  <c r="BV49" i="15"/>
  <c r="BU49" i="15"/>
  <c r="BT49" i="15"/>
  <c r="BS49" i="15"/>
  <c r="BR49" i="15"/>
  <c r="BQ49" i="15"/>
  <c r="BP49" i="15"/>
  <c r="BP48" i="15"/>
  <c r="CA46" i="15"/>
  <c r="BY46" i="15"/>
  <c r="BX46" i="15"/>
  <c r="BU46" i="15"/>
  <c r="BT46" i="15"/>
  <c r="BS46" i="15"/>
  <c r="BQ46" i="15"/>
  <c r="BZ45" i="15"/>
  <c r="BY45" i="15"/>
  <c r="BX45" i="15"/>
  <c r="BW45" i="15"/>
  <c r="BT45" i="15"/>
  <c r="BS45" i="15"/>
  <c r="BR45" i="15"/>
  <c r="CA44" i="15"/>
  <c r="BZ44" i="15"/>
  <c r="BY44" i="15"/>
  <c r="BX44" i="15"/>
  <c r="BW44" i="15"/>
  <c r="BT44" i="15"/>
  <c r="BS44" i="15"/>
  <c r="BP44" i="15"/>
  <c r="CB43" i="15"/>
  <c r="BY43" i="15"/>
  <c r="BV43" i="15"/>
  <c r="BU43" i="15"/>
  <c r="BR43" i="15"/>
  <c r="BQ43" i="15"/>
  <c r="CA42" i="15"/>
  <c r="BX42" i="15"/>
  <c r="BW42" i="15"/>
  <c r="BT42" i="15"/>
  <c r="BS42" i="15"/>
  <c r="BP42" i="15"/>
  <c r="BZ41" i="15"/>
  <c r="BY41" i="15"/>
  <c r="BV41" i="15"/>
  <c r="BU41" i="15"/>
  <c r="BR41" i="15"/>
  <c r="BQ41" i="15"/>
  <c r="CB40" i="15"/>
  <c r="CA40" i="15"/>
  <c r="BZ40" i="15"/>
  <c r="BX40" i="15"/>
  <c r="BW40" i="15"/>
  <c r="BT40" i="15"/>
  <c r="BS40" i="15"/>
  <c r="BP40" i="15"/>
  <c r="CA39" i="15"/>
  <c r="BY39" i="15"/>
  <c r="BV39" i="15"/>
  <c r="BU39" i="15"/>
  <c r="BR39" i="15"/>
  <c r="BQ39" i="15"/>
  <c r="CA38" i="15"/>
  <c r="BZ38" i="15"/>
  <c r="BX38" i="15"/>
  <c r="BW38" i="15"/>
  <c r="BT38" i="15"/>
  <c r="BS38" i="15"/>
  <c r="BP38" i="15"/>
  <c r="CE47" i="15"/>
  <c r="CD47" i="15"/>
  <c r="CC47" i="15"/>
  <c r="CB47" i="15"/>
  <c r="CA47" i="15"/>
  <c r="BZ47" i="15"/>
  <c r="BZ46" i="15"/>
  <c r="CA45" i="15"/>
  <c r="CE43" i="15"/>
  <c r="CD43" i="15"/>
  <c r="CC43" i="15"/>
  <c r="CA43" i="15"/>
  <c r="BZ43" i="15"/>
  <c r="BZ42" i="15"/>
  <c r="CA41" i="15"/>
  <c r="CE40" i="15"/>
  <c r="CD40" i="15"/>
  <c r="CC40" i="15"/>
  <c r="BZ39" i="15"/>
  <c r="CE38" i="15"/>
  <c r="CD38" i="15"/>
  <c r="CC38" i="15"/>
  <c r="CB38" i="15"/>
  <c r="BW46" i="15"/>
  <c r="BV46" i="15"/>
  <c r="BR46" i="15"/>
  <c r="BP46" i="15"/>
  <c r="BV45" i="15"/>
  <c r="BU45" i="15"/>
  <c r="BQ45" i="15"/>
  <c r="BP45" i="15"/>
  <c r="BV44" i="15"/>
  <c r="BU44" i="15"/>
  <c r="BR44" i="15"/>
  <c r="BQ44" i="15"/>
  <c r="BX43" i="15"/>
  <c r="BW43" i="15"/>
  <c r="BT43" i="15"/>
  <c r="BS43" i="15"/>
  <c r="BP43" i="15"/>
  <c r="BY42" i="15"/>
  <c r="BV42" i="15"/>
  <c r="BU42" i="15"/>
  <c r="BR42" i="15"/>
  <c r="BQ42" i="15"/>
  <c r="BX41" i="15"/>
  <c r="BW41" i="15"/>
  <c r="BT41" i="15"/>
  <c r="BS41" i="15"/>
  <c r="BP41" i="15"/>
  <c r="BY40" i="15"/>
  <c r="BV40" i="15"/>
  <c r="BU40" i="15"/>
  <c r="BR40" i="15"/>
  <c r="BQ40" i="15"/>
  <c r="BX39" i="15"/>
  <c r="BW39" i="15"/>
  <c r="BT39" i="15"/>
  <c r="BS39" i="15"/>
  <c r="BP39" i="15"/>
  <c r="BY38" i="15"/>
  <c r="BV38" i="15"/>
  <c r="BU38" i="15"/>
  <c r="BR38" i="15"/>
  <c r="BQ38" i="15"/>
  <c r="CA37" i="15"/>
  <c r="BZ37" i="15"/>
  <c r="BY37" i="15"/>
  <c r="BX37" i="15"/>
  <c r="BW37" i="15"/>
  <c r="BV37" i="15"/>
  <c r="BU37" i="15"/>
  <c r="BT37" i="15"/>
  <c r="BS37" i="15"/>
  <c r="BR37" i="15"/>
  <c r="BQ37" i="15"/>
  <c r="BP37" i="15"/>
  <c r="CA34" i="15"/>
  <c r="BZ34" i="15"/>
  <c r="BW34" i="15"/>
  <c r="BV34" i="15"/>
  <c r="BS34" i="15"/>
  <c r="BR34" i="15"/>
  <c r="CA33" i="15"/>
  <c r="BZ33" i="15"/>
  <c r="BW33" i="15"/>
  <c r="BV33" i="15"/>
  <c r="BS33" i="15"/>
  <c r="BR33" i="15"/>
  <c r="CA32" i="15"/>
  <c r="BZ32" i="15"/>
  <c r="BW32" i="15"/>
  <c r="BV32" i="15"/>
  <c r="BS32" i="15"/>
  <c r="BR32" i="15"/>
  <c r="CE31" i="15"/>
  <c r="CD31" i="15"/>
  <c r="BT31" i="15"/>
  <c r="BT30" i="15"/>
  <c r="BP30" i="15"/>
  <c r="CB29" i="15"/>
  <c r="BX29" i="15"/>
  <c r="BT29" i="15"/>
  <c r="BP29" i="15"/>
  <c r="CB28" i="15"/>
  <c r="BX28" i="15"/>
  <c r="BT28" i="15"/>
  <c r="BQ28" i="15"/>
  <c r="BP28" i="15"/>
  <c r="BY34" i="15"/>
  <c r="BX34" i="15"/>
  <c r="BU34" i="15"/>
  <c r="BT34" i="15"/>
  <c r="BQ34" i="15"/>
  <c r="BP34" i="15"/>
  <c r="CB33" i="15"/>
  <c r="BY33" i="15"/>
  <c r="BX33" i="15"/>
  <c r="BU33" i="15"/>
  <c r="BT33" i="15"/>
  <c r="BQ33" i="15"/>
  <c r="BP33" i="15"/>
  <c r="CE32" i="15"/>
  <c r="CD32" i="15"/>
  <c r="CC32" i="15"/>
  <c r="CB32" i="15"/>
  <c r="BY32" i="15"/>
  <c r="BX32" i="15"/>
  <c r="BU32" i="15"/>
  <c r="BT32" i="15"/>
  <c r="BQ32" i="15"/>
  <c r="BP32" i="15"/>
  <c r="CC31" i="15"/>
  <c r="CB31" i="15"/>
  <c r="BY31" i="15"/>
  <c r="BX31" i="15"/>
  <c r="BU31" i="15"/>
  <c r="BQ31" i="15"/>
  <c r="BP31" i="15"/>
  <c r="BY30" i="15"/>
  <c r="BX30" i="15"/>
  <c r="BU30" i="15"/>
  <c r="BQ30" i="15"/>
  <c r="CE29" i="15"/>
  <c r="CD29" i="15"/>
  <c r="CC29" i="15"/>
  <c r="BY29" i="15"/>
  <c r="BU29" i="15"/>
  <c r="BQ29" i="15"/>
  <c r="CE28" i="15"/>
  <c r="CD28" i="15"/>
  <c r="CC28" i="15"/>
  <c r="BY28" i="15"/>
  <c r="BU28" i="15"/>
  <c r="BU27" i="15"/>
  <c r="BY27" i="15"/>
  <c r="BX27" i="15"/>
  <c r="BT27" i="15"/>
  <c r="BQ27" i="15"/>
  <c r="BP27" i="15"/>
  <c r="AZ53" i="15"/>
  <c r="AY53" i="15"/>
  <c r="AV53" i="15"/>
  <c r="AR53" i="15"/>
  <c r="AN53" i="15"/>
  <c r="AM53" i="15"/>
  <c r="AJ53" i="15"/>
  <c r="AI53" i="15"/>
  <c r="AF53" i="15"/>
  <c r="BV24" i="15"/>
  <c r="BU24" i="15"/>
  <c r="BU53" i="15" s="1"/>
  <c r="BT24" i="15"/>
  <c r="BS24" i="15"/>
  <c r="BR24" i="15"/>
  <c r="CA23" i="15"/>
  <c r="BZ23" i="15"/>
  <c r="BW23" i="15"/>
  <c r="BV23" i="15"/>
  <c r="BU23" i="15"/>
  <c r="BT23" i="15"/>
  <c r="BR23" i="15"/>
  <c r="BP23" i="15"/>
  <c r="CA22" i="15"/>
  <c r="BZ22" i="15"/>
  <c r="BY22" i="15"/>
  <c r="BV22" i="15"/>
  <c r="BU22" i="15"/>
  <c r="BT22" i="15"/>
  <c r="BR22" i="15"/>
  <c r="BP22" i="15"/>
  <c r="CB21" i="15"/>
  <c r="CA21" i="15"/>
  <c r="BW21" i="15"/>
  <c r="BU21" i="15"/>
  <c r="BQ21" i="15"/>
  <c r="BP21" i="15"/>
  <c r="CA20" i="15"/>
  <c r="BW20" i="15"/>
  <c r="BU20" i="15"/>
  <c r="BQ20" i="15"/>
  <c r="BP20" i="15"/>
  <c r="CA19" i="15"/>
  <c r="BW19" i="15"/>
  <c r="BU19" i="15"/>
  <c r="BR19" i="15"/>
  <c r="BQ19" i="15"/>
  <c r="AX49" i="14"/>
  <c r="AT49" i="14"/>
  <c r="BZ18" i="15"/>
  <c r="AP49" i="14"/>
  <c r="BY18" i="15"/>
  <c r="AL49" i="14"/>
  <c r="AH49" i="14"/>
  <c r="BV18" i="15"/>
  <c r="BU18" i="15"/>
  <c r="BR18" i="15"/>
  <c r="BQ18" i="15"/>
  <c r="BZ16" i="15"/>
  <c r="BY16" i="15"/>
  <c r="BV16" i="15"/>
  <c r="BU16" i="15"/>
  <c r="BR16" i="15"/>
  <c r="BQ16" i="15"/>
  <c r="BZ15" i="15"/>
  <c r="BY15" i="15"/>
  <c r="BV15" i="15"/>
  <c r="BU15" i="15"/>
  <c r="BR15" i="15"/>
  <c r="BQ15" i="15"/>
  <c r="BZ14" i="15"/>
  <c r="BY14" i="15"/>
  <c r="BV14" i="15"/>
  <c r="BU14" i="15"/>
  <c r="BR14" i="15"/>
  <c r="BQ14" i="15"/>
  <c r="BZ13" i="15"/>
  <c r="BY13" i="15"/>
  <c r="BV13" i="15"/>
  <c r="BU13" i="15"/>
  <c r="BR13" i="15"/>
  <c r="BQ13" i="15"/>
  <c r="BZ12" i="15"/>
  <c r="BY12" i="15"/>
  <c r="BV12" i="15"/>
  <c r="BU12" i="15"/>
  <c r="BR12" i="15"/>
  <c r="BQ12" i="15"/>
  <c r="BY24" i="15"/>
  <c r="BY53" i="15" s="1"/>
  <c r="BX24" i="15"/>
  <c r="BX53" i="15" s="1"/>
  <c r="BQ24" i="15"/>
  <c r="BP24" i="15"/>
  <c r="BY23" i="15"/>
  <c r="BX23" i="15"/>
  <c r="BS23" i="15"/>
  <c r="BQ23" i="15"/>
  <c r="BX22" i="15"/>
  <c r="BW22" i="15"/>
  <c r="BS22" i="15"/>
  <c r="BQ22" i="15"/>
  <c r="CE21" i="15"/>
  <c r="CD21" i="15"/>
  <c r="CC21" i="15"/>
  <c r="BY21" i="15"/>
  <c r="BX21" i="15"/>
  <c r="BT21" i="15"/>
  <c r="BS21" i="15"/>
  <c r="BY20" i="15"/>
  <c r="BX20" i="15"/>
  <c r="BT20" i="15"/>
  <c r="BS20" i="15"/>
  <c r="BY19" i="15"/>
  <c r="BX19" i="15"/>
  <c r="BT19" i="15"/>
  <c r="BS19" i="15"/>
  <c r="BP19" i="15"/>
  <c r="CA18" i="15"/>
  <c r="BX18" i="15"/>
  <c r="BW18" i="15"/>
  <c r="BT18" i="15"/>
  <c r="BS18" i="15"/>
  <c r="BP18" i="15"/>
  <c r="CE17" i="15"/>
  <c r="CD17" i="15"/>
  <c r="CC17" i="15"/>
  <c r="CA17" i="15"/>
  <c r="BX17" i="15"/>
  <c r="BW17" i="15"/>
  <c r="BT17" i="15"/>
  <c r="BS17" i="15"/>
  <c r="BP17" i="15"/>
  <c r="CB16" i="15"/>
  <c r="CA16" i="15"/>
  <c r="BX16" i="15"/>
  <c r="BW16" i="15"/>
  <c r="BT16" i="15"/>
  <c r="BS16" i="15"/>
  <c r="BP16" i="15"/>
  <c r="CE15" i="15"/>
  <c r="CD15" i="15"/>
  <c r="CC15" i="15"/>
  <c r="CB15" i="15"/>
  <c r="CA15" i="15"/>
  <c r="BX15" i="15"/>
  <c r="BW15" i="15"/>
  <c r="BT15" i="15"/>
  <c r="BS15" i="15"/>
  <c r="BP15" i="15"/>
  <c r="CB14" i="15"/>
  <c r="CA14" i="15"/>
  <c r="BX14" i="15"/>
  <c r="BW14" i="15"/>
  <c r="BT14" i="15"/>
  <c r="BS14" i="15"/>
  <c r="BP14" i="15"/>
  <c r="CE13" i="15"/>
  <c r="CD13" i="15"/>
  <c r="CC13" i="15"/>
  <c r="CB13" i="15"/>
  <c r="CA13" i="15"/>
  <c r="BX13" i="15"/>
  <c r="BW13" i="15"/>
  <c r="BT13" i="15"/>
  <c r="BS13" i="15"/>
  <c r="BP13" i="15"/>
  <c r="CE12" i="15"/>
  <c r="CD12" i="15"/>
  <c r="CC12" i="15"/>
  <c r="CB12" i="15"/>
  <c r="CA12" i="15"/>
  <c r="BX12" i="15"/>
  <c r="BW12" i="15"/>
  <c r="BT12" i="15"/>
  <c r="BS12" i="15"/>
  <c r="BP12" i="15"/>
  <c r="CA11" i="15"/>
  <c r="BZ11" i="15"/>
  <c r="BY11" i="15"/>
  <c r="BX11" i="15"/>
  <c r="BW11" i="15"/>
  <c r="BV11" i="15"/>
  <c r="BU11" i="15"/>
  <c r="BT11" i="15"/>
  <c r="BS11" i="15"/>
  <c r="BR11" i="15"/>
  <c r="BQ11" i="15"/>
  <c r="BP11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CA8" i="15"/>
  <c r="BZ8" i="15"/>
  <c r="BY8" i="15"/>
  <c r="BX8" i="15"/>
  <c r="BW8" i="15"/>
  <c r="BV8" i="15"/>
  <c r="BU8" i="15"/>
  <c r="BT8" i="15"/>
  <c r="BS8" i="15"/>
  <c r="BR8" i="15"/>
  <c r="BQ8" i="15"/>
  <c r="BP8" i="15"/>
  <c r="CE3" i="15"/>
  <c r="CD3" i="15"/>
  <c r="CC3" i="15"/>
  <c r="CB3" i="15"/>
  <c r="CA3" i="15"/>
  <c r="BZ3" i="15"/>
  <c r="BY3" i="15"/>
  <c r="BX3" i="15"/>
  <c r="BW3" i="15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BX49" i="14"/>
  <c r="BA49" i="14"/>
  <c r="AZ49" i="14"/>
  <c r="AY49" i="14"/>
  <c r="AW49" i="14"/>
  <c r="AV49" i="14"/>
  <c r="AU49" i="14"/>
  <c r="AS49" i="14"/>
  <c r="AR49" i="14"/>
  <c r="AQ49" i="14"/>
  <c r="AO49" i="14"/>
  <c r="AN49" i="14"/>
  <c r="AM49" i="14"/>
  <c r="AK49" i="14"/>
  <c r="AJ49" i="14"/>
  <c r="AI49" i="14"/>
  <c r="AG49" i="14"/>
  <c r="AF49" i="14"/>
  <c r="AE49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BA47" i="14"/>
  <c r="AZ47" i="14"/>
  <c r="AY47" i="14"/>
  <c r="AY45" i="14" s="1"/>
  <c r="AX47" i="14"/>
  <c r="AW47" i="14"/>
  <c r="AV47" i="14"/>
  <c r="AU47" i="14"/>
  <c r="AU45" i="14" s="1"/>
  <c r="AT47" i="14"/>
  <c r="AS47" i="14"/>
  <c r="AR47" i="14"/>
  <c r="AQ47" i="14"/>
  <c r="AQ42" i="14" s="1"/>
  <c r="AP47" i="14"/>
  <c r="AO47" i="14"/>
  <c r="AN47" i="14"/>
  <c r="AM47" i="14"/>
  <c r="AM42" i="14" s="1"/>
  <c r="AL47" i="14"/>
  <c r="AK47" i="14"/>
  <c r="AJ47" i="14"/>
  <c r="AI47" i="14"/>
  <c r="AI45" i="14" s="1"/>
  <c r="AH47" i="14"/>
  <c r="AG47" i="14"/>
  <c r="AF47" i="14"/>
  <c r="AE47" i="14"/>
  <c r="AE45" i="14" s="1"/>
  <c r="AD48" i="14"/>
  <c r="AC48" i="14"/>
  <c r="AB48" i="14"/>
  <c r="AA48" i="14"/>
  <c r="Z48" i="14"/>
  <c r="Y48" i="14"/>
  <c r="X48" i="14"/>
  <c r="W48" i="14"/>
  <c r="W44" i="14" s="1"/>
  <c r="V48" i="14"/>
  <c r="U48" i="14"/>
  <c r="T48" i="14"/>
  <c r="S48" i="14"/>
  <c r="S44" i="14" s="1"/>
  <c r="R48" i="14"/>
  <c r="Q48" i="14"/>
  <c r="P48" i="14"/>
  <c r="O48" i="14"/>
  <c r="O44" i="14" s="1"/>
  <c r="N48" i="14"/>
  <c r="M48" i="14"/>
  <c r="L48" i="14"/>
  <c r="K48" i="14"/>
  <c r="K44" i="14" s="1"/>
  <c r="J48" i="14"/>
  <c r="I48" i="14"/>
  <c r="H48" i="14"/>
  <c r="G48" i="14"/>
  <c r="G44" i="14" s="1"/>
  <c r="F48" i="14"/>
  <c r="E48" i="14"/>
  <c r="D48" i="14"/>
  <c r="C48" i="14"/>
  <c r="C44" i="14" s="1"/>
  <c r="AD47" i="14"/>
  <c r="AC47" i="14"/>
  <c r="AB47" i="14"/>
  <c r="AA47" i="14"/>
  <c r="AA42" i="14" s="1"/>
  <c r="Z47" i="14"/>
  <c r="Y47" i="14"/>
  <c r="X47" i="14"/>
  <c r="W47" i="14"/>
  <c r="W42" i="14" s="1"/>
  <c r="V47" i="14"/>
  <c r="U47" i="14"/>
  <c r="T47" i="14"/>
  <c r="S47" i="14"/>
  <c r="S45" i="14" s="1"/>
  <c r="R47" i="14"/>
  <c r="Q47" i="14"/>
  <c r="P47" i="14"/>
  <c r="O47" i="14"/>
  <c r="O45" i="14" s="1"/>
  <c r="N47" i="14"/>
  <c r="M47" i="14"/>
  <c r="L47" i="14"/>
  <c r="K47" i="14"/>
  <c r="K42" i="14" s="1"/>
  <c r="J47" i="14"/>
  <c r="I47" i="14"/>
  <c r="H47" i="14"/>
  <c r="G47" i="14"/>
  <c r="G42" i="14" s="1"/>
  <c r="F47" i="14"/>
  <c r="E47" i="14"/>
  <c r="D47" i="14"/>
  <c r="C47" i="14"/>
  <c r="C45" i="14" s="1"/>
  <c r="BC44" i="14"/>
  <c r="BD44" i="14" s="1"/>
  <c r="BE44" i="14" s="1"/>
  <c r="BF44" i="14" s="1"/>
  <c r="BG44" i="14" s="1"/>
  <c r="BH44" i="14" s="1"/>
  <c r="BE45" i="14"/>
  <c r="BF45" i="14" s="1"/>
  <c r="BG45" i="14" s="1"/>
  <c r="BH45" i="14" s="1"/>
  <c r="BI45" i="14" s="1"/>
  <c r="BJ45" i="14" s="1"/>
  <c r="BK45" i="14" s="1"/>
  <c r="BL45" i="14" s="1"/>
  <c r="BM45" i="14" s="1"/>
  <c r="BN45" i="14" s="1"/>
  <c r="BD45" i="14"/>
  <c r="BD43" i="14"/>
  <c r="BE43" i="14" s="1"/>
  <c r="BF43" i="14" s="1"/>
  <c r="BG43" i="14" s="1"/>
  <c r="BH43" i="14" s="1"/>
  <c r="BI43" i="14" s="1"/>
  <c r="BJ43" i="14" s="1"/>
  <c r="BK43" i="14" s="1"/>
  <c r="BL43" i="14" s="1"/>
  <c r="BM43" i="14" s="1"/>
  <c r="BN43" i="14" s="1"/>
  <c r="CA38" i="14"/>
  <c r="BV38" i="14"/>
  <c r="BQ38" i="14"/>
  <c r="CA37" i="14"/>
  <c r="BV37" i="14"/>
  <c r="BR37" i="14"/>
  <c r="BZ36" i="14"/>
  <c r="BV36" i="14"/>
  <c r="BR36" i="14"/>
  <c r="BZ35" i="14"/>
  <c r="BV35" i="14"/>
  <c r="BR35" i="14"/>
  <c r="BZ34" i="14"/>
  <c r="BV34" i="14"/>
  <c r="BZ38" i="14"/>
  <c r="BX38" i="14"/>
  <c r="BU38" i="14"/>
  <c r="BT38" i="14"/>
  <c r="BP38" i="14"/>
  <c r="BY37" i="14"/>
  <c r="BW37" i="14"/>
  <c r="BU37" i="14"/>
  <c r="BT37" i="14"/>
  <c r="BS37" i="14"/>
  <c r="BQ37" i="14"/>
  <c r="BP37" i="14"/>
  <c r="CA36" i="14"/>
  <c r="BY36" i="14"/>
  <c r="BX36" i="14"/>
  <c r="BW36" i="14"/>
  <c r="BU36" i="14"/>
  <c r="BT36" i="14"/>
  <c r="BS36" i="14"/>
  <c r="BQ36" i="14"/>
  <c r="BP36" i="14"/>
  <c r="CA35" i="14"/>
  <c r="BY35" i="14"/>
  <c r="BX35" i="14"/>
  <c r="BW35" i="14"/>
  <c r="BU35" i="14"/>
  <c r="BT35" i="14"/>
  <c r="BS35" i="14"/>
  <c r="BQ35" i="14"/>
  <c r="BP35" i="14"/>
  <c r="CB41" i="15"/>
  <c r="CA34" i="14"/>
  <c r="BY34" i="14"/>
  <c r="BX34" i="14"/>
  <c r="BW34" i="14"/>
  <c r="BU34" i="14"/>
  <c r="BT34" i="14"/>
  <c r="BS34" i="14"/>
  <c r="BR34" i="14"/>
  <c r="BQ34" i="14"/>
  <c r="BP34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CA32" i="14"/>
  <c r="BX32" i="14"/>
  <c r="BW32" i="14"/>
  <c r="BT32" i="14"/>
  <c r="BS32" i="14"/>
  <c r="BP32" i="14"/>
  <c r="BY31" i="14"/>
  <c r="BX31" i="14"/>
  <c r="BW31" i="14"/>
  <c r="BV31" i="14"/>
  <c r="BU31" i="14"/>
  <c r="BT31" i="14"/>
  <c r="BS31" i="14"/>
  <c r="BR31" i="14"/>
  <c r="BQ31" i="14"/>
  <c r="BP31" i="14"/>
  <c r="BZ28" i="14"/>
  <c r="BX28" i="14"/>
  <c r="BV28" i="14"/>
  <c r="BT28" i="14"/>
  <c r="BR28" i="14"/>
  <c r="BP28" i="14"/>
  <c r="CB27" i="14"/>
  <c r="BZ27" i="14"/>
  <c r="BX27" i="14"/>
  <c r="BV27" i="14"/>
  <c r="BT27" i="14"/>
  <c r="BR27" i="14"/>
  <c r="BP27" i="14"/>
  <c r="BZ26" i="14"/>
  <c r="BX26" i="14"/>
  <c r="BV26" i="14"/>
  <c r="BT26" i="14"/>
  <c r="BR26" i="14"/>
  <c r="BP26" i="14"/>
  <c r="BZ25" i="14"/>
  <c r="BZ101" i="13" s="1"/>
  <c r="CA99" i="13" s="1"/>
  <c r="BX25" i="14"/>
  <c r="BV24" i="14"/>
  <c r="BV23" i="14"/>
  <c r="CB28" i="14"/>
  <c r="CA28" i="14"/>
  <c r="BY28" i="14"/>
  <c r="BW28" i="14"/>
  <c r="BU28" i="14"/>
  <c r="BS28" i="14"/>
  <c r="BQ28" i="14"/>
  <c r="BC27" i="14"/>
  <c r="BD27" i="14" s="1"/>
  <c r="BE27" i="14" s="1"/>
  <c r="BF27" i="14" s="1"/>
  <c r="BF44" i="15" s="1"/>
  <c r="CA27" i="14"/>
  <c r="BY27" i="14"/>
  <c r="BW27" i="14"/>
  <c r="BU27" i="14"/>
  <c r="BS27" i="14"/>
  <c r="BQ27" i="14"/>
  <c r="CB26" i="14"/>
  <c r="CA26" i="14"/>
  <c r="BY26" i="14"/>
  <c r="BW26" i="14"/>
  <c r="BU26" i="14"/>
  <c r="BS26" i="14"/>
  <c r="BQ26" i="14"/>
  <c r="AZ60" i="14"/>
  <c r="AZ61" i="14" s="1"/>
  <c r="AY60" i="14"/>
  <c r="AY61" i="14" s="1"/>
  <c r="CA25" i="14"/>
  <c r="CA101" i="13" s="1"/>
  <c r="CB99" i="13" s="1"/>
  <c r="AW60" i="14"/>
  <c r="AW61" i="14" s="1"/>
  <c r="AV60" i="14"/>
  <c r="AV61" i="14" s="1"/>
  <c r="AU60" i="14"/>
  <c r="AU61" i="14" s="1"/>
  <c r="AT60" i="14"/>
  <c r="AT61" i="14" s="1"/>
  <c r="AS60" i="14"/>
  <c r="AS61" i="14" s="1"/>
  <c r="AR60" i="14"/>
  <c r="AR61" i="14" s="1"/>
  <c r="AQ60" i="14"/>
  <c r="AQ61" i="14" s="1"/>
  <c r="AP60" i="14"/>
  <c r="AP61" i="14" s="1"/>
  <c r="AO60" i="14"/>
  <c r="AO61" i="14" s="1"/>
  <c r="AN60" i="14"/>
  <c r="AN61" i="14" s="1"/>
  <c r="AM60" i="14"/>
  <c r="AM61" i="14" s="1"/>
  <c r="AL60" i="14"/>
  <c r="AL61" i="14" s="1"/>
  <c r="AK60" i="14"/>
  <c r="AK61" i="14" s="1"/>
  <c r="AJ60" i="14"/>
  <c r="AJ61" i="14" s="1"/>
  <c r="AI60" i="14"/>
  <c r="AI61" i="14" s="1"/>
  <c r="AH60" i="14"/>
  <c r="AH61" i="14" s="1"/>
  <c r="AG60" i="14"/>
  <c r="AG61" i="14" s="1"/>
  <c r="AF60" i="14"/>
  <c r="AF61" i="14" s="1"/>
  <c r="AE60" i="14"/>
  <c r="AE61" i="14" s="1"/>
  <c r="BV25" i="14"/>
  <c r="BU25" i="14"/>
  <c r="BT25" i="14"/>
  <c r="BS25" i="14"/>
  <c r="BR25" i="14"/>
  <c r="BQ25" i="14"/>
  <c r="BP25" i="14"/>
  <c r="BZ24" i="14"/>
  <c r="BX24" i="14"/>
  <c r="BU24" i="14"/>
  <c r="BT24" i="14"/>
  <c r="BS24" i="14"/>
  <c r="BR24" i="14"/>
  <c r="BQ24" i="14"/>
  <c r="BP24" i="14"/>
  <c r="CB23" i="14"/>
  <c r="CA23" i="14"/>
  <c r="BZ23" i="14"/>
  <c r="BY23" i="14"/>
  <c r="BX23" i="14"/>
  <c r="BW23" i="14"/>
  <c r="BU23" i="14"/>
  <c r="BT23" i="14"/>
  <c r="BS23" i="14"/>
  <c r="BR23" i="14"/>
  <c r="BQ23" i="14"/>
  <c r="BP23" i="14"/>
  <c r="BA44" i="14"/>
  <c r="AY44" i="14"/>
  <c r="AW44" i="14"/>
  <c r="AU44" i="14"/>
  <c r="AS44" i="14"/>
  <c r="AQ44" i="14"/>
  <c r="AO44" i="14"/>
  <c r="AM44" i="14"/>
  <c r="AK44" i="14"/>
  <c r="AI44" i="14"/>
  <c r="AG44" i="14"/>
  <c r="AE44" i="14"/>
  <c r="AD44" i="14"/>
  <c r="AC44" i="14"/>
  <c r="AB44" i="14"/>
  <c r="AA44" i="14"/>
  <c r="Y44" i="14"/>
  <c r="X44" i="14"/>
  <c r="V44" i="14"/>
  <c r="U44" i="14"/>
  <c r="T44" i="14"/>
  <c r="Q44" i="14"/>
  <c r="P44" i="14"/>
  <c r="N44" i="14"/>
  <c r="M44" i="14"/>
  <c r="L44" i="14"/>
  <c r="I44" i="14"/>
  <c r="H44" i="14"/>
  <c r="F44" i="14"/>
  <c r="E44" i="14"/>
  <c r="D44" i="14"/>
  <c r="BZ19" i="14"/>
  <c r="BT19" i="14"/>
  <c r="BZ18" i="14"/>
  <c r="BT18" i="14"/>
  <c r="BZ17" i="14"/>
  <c r="BT17" i="14"/>
  <c r="BP17" i="14"/>
  <c r="BX16" i="14"/>
  <c r="BT16" i="14"/>
  <c r="BP16" i="14"/>
  <c r="BX15" i="14"/>
  <c r="BT15" i="14"/>
  <c r="BP15" i="14"/>
  <c r="BX14" i="14"/>
  <c r="BT14" i="14"/>
  <c r="BP14" i="14"/>
  <c r="BX13" i="14"/>
  <c r="BT13" i="14"/>
  <c r="BP13" i="14"/>
  <c r="BX12" i="14"/>
  <c r="BT12" i="14"/>
  <c r="BP12" i="14"/>
  <c r="CA19" i="14"/>
  <c r="BY19" i="14"/>
  <c r="BX19" i="14"/>
  <c r="BW19" i="14"/>
  <c r="BV19" i="14"/>
  <c r="BU19" i="14"/>
  <c r="BS19" i="14"/>
  <c r="BR19" i="14"/>
  <c r="BQ19" i="14"/>
  <c r="BP19" i="14"/>
  <c r="CA18" i="14"/>
  <c r="BY18" i="14"/>
  <c r="BX18" i="14"/>
  <c r="BW18" i="14"/>
  <c r="BV18" i="14"/>
  <c r="BU18" i="14"/>
  <c r="BS18" i="14"/>
  <c r="BR18" i="14"/>
  <c r="BQ18" i="14"/>
  <c r="BP18" i="14"/>
  <c r="CA17" i="14"/>
  <c r="BY17" i="14"/>
  <c r="BX17" i="14"/>
  <c r="BW17" i="14"/>
  <c r="BV17" i="14"/>
  <c r="BU17" i="14"/>
  <c r="BS17" i="14"/>
  <c r="BR17" i="14"/>
  <c r="BQ17" i="14"/>
  <c r="CA16" i="14"/>
  <c r="BZ16" i="14"/>
  <c r="BY16" i="14"/>
  <c r="BW16" i="14"/>
  <c r="BV16" i="14"/>
  <c r="BU16" i="14"/>
  <c r="BS16" i="14"/>
  <c r="BR16" i="14"/>
  <c r="BQ16" i="14"/>
  <c r="CA15" i="14"/>
  <c r="BZ15" i="14"/>
  <c r="BY15" i="14"/>
  <c r="BW15" i="14"/>
  <c r="BV15" i="14"/>
  <c r="BU15" i="14"/>
  <c r="BS15" i="14"/>
  <c r="BR15" i="14"/>
  <c r="BQ15" i="14"/>
  <c r="CA14" i="14"/>
  <c r="BZ14" i="14"/>
  <c r="BY14" i="14"/>
  <c r="BW14" i="14"/>
  <c r="BV14" i="14"/>
  <c r="BU14" i="14"/>
  <c r="BS14" i="14"/>
  <c r="BR14" i="14"/>
  <c r="BQ14" i="14"/>
  <c r="CA13" i="14"/>
  <c r="BZ13" i="14"/>
  <c r="BY13" i="14"/>
  <c r="BW13" i="14"/>
  <c r="BV13" i="14"/>
  <c r="BU13" i="14"/>
  <c r="BS13" i="14"/>
  <c r="BR13" i="14"/>
  <c r="BQ13" i="14"/>
  <c r="AZ45" i="14"/>
  <c r="AX45" i="14"/>
  <c r="AV45" i="14"/>
  <c r="AT45" i="14"/>
  <c r="AR45" i="14"/>
  <c r="AQ45" i="14"/>
  <c r="AP45" i="14"/>
  <c r="AN45" i="14"/>
  <c r="AL45" i="14"/>
  <c r="AJ45" i="14"/>
  <c r="AH45" i="14"/>
  <c r="AF45" i="14"/>
  <c r="AD45" i="14"/>
  <c r="AB45" i="14"/>
  <c r="AA45" i="14"/>
  <c r="Z45" i="14"/>
  <c r="X45" i="14"/>
  <c r="V45" i="14"/>
  <c r="T45" i="14"/>
  <c r="R45" i="14"/>
  <c r="P45" i="14"/>
  <c r="N45" i="14"/>
  <c r="L45" i="14"/>
  <c r="K45" i="14"/>
  <c r="J45" i="14"/>
  <c r="H45" i="14"/>
  <c r="F45" i="14"/>
  <c r="D45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B43" i="14"/>
  <c r="Z43" i="14"/>
  <c r="X43" i="14"/>
  <c r="V43" i="14"/>
  <c r="T43" i="14"/>
  <c r="R43" i="14"/>
  <c r="P43" i="14"/>
  <c r="N43" i="14"/>
  <c r="L43" i="14"/>
  <c r="J43" i="14"/>
  <c r="H43" i="14"/>
  <c r="F43" i="14"/>
  <c r="D43" i="14"/>
  <c r="BA42" i="14"/>
  <c r="AZ42" i="14"/>
  <c r="AX42" i="14"/>
  <c r="AW42" i="14"/>
  <c r="AV42" i="14"/>
  <c r="AT42" i="14"/>
  <c r="AS42" i="14"/>
  <c r="AR42" i="14"/>
  <c r="AP42" i="14"/>
  <c r="AO42" i="14"/>
  <c r="AN42" i="14"/>
  <c r="AL42" i="14"/>
  <c r="AK42" i="14"/>
  <c r="AJ42" i="14"/>
  <c r="AH42" i="14"/>
  <c r="AG42" i="14"/>
  <c r="AF42" i="14"/>
  <c r="AD42" i="14"/>
  <c r="AC42" i="14"/>
  <c r="AB42" i="14"/>
  <c r="Z42" i="14"/>
  <c r="Y42" i="14"/>
  <c r="X42" i="14"/>
  <c r="V42" i="14"/>
  <c r="U42" i="14"/>
  <c r="T42" i="14"/>
  <c r="R42" i="14"/>
  <c r="Q42" i="14"/>
  <c r="P42" i="14"/>
  <c r="N42" i="14"/>
  <c r="M42" i="14"/>
  <c r="L42" i="14"/>
  <c r="J42" i="14"/>
  <c r="I42" i="14"/>
  <c r="H42" i="14"/>
  <c r="F42" i="14"/>
  <c r="E42" i="14"/>
  <c r="D42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BV9" i="14"/>
  <c r="BU9" i="14"/>
  <c r="BT9" i="14"/>
  <c r="BS9" i="14"/>
  <c r="BR9" i="14"/>
  <c r="BQ9" i="14"/>
  <c r="BP9" i="14"/>
  <c r="BA55" i="14"/>
  <c r="BA57" i="14" s="1"/>
  <c r="AZ55" i="14"/>
  <c r="AY55" i="14"/>
  <c r="AY57" i="14" s="1"/>
  <c r="AY63" i="14" s="1"/>
  <c r="AY64" i="14" s="1"/>
  <c r="AX55" i="14"/>
  <c r="AW55" i="14"/>
  <c r="AW57" i="14" s="1"/>
  <c r="AW63" i="14" s="1"/>
  <c r="AW64" i="14" s="1"/>
  <c r="AV55" i="14"/>
  <c r="AU55" i="14"/>
  <c r="AU57" i="14" s="1"/>
  <c r="AU63" i="14" s="1"/>
  <c r="AU64" i="14" s="1"/>
  <c r="AT55" i="14"/>
  <c r="AS55" i="14"/>
  <c r="AS57" i="14" s="1"/>
  <c r="AS63" i="14" s="1"/>
  <c r="AS64" i="14" s="1"/>
  <c r="AR55" i="14"/>
  <c r="AQ55" i="14"/>
  <c r="AQ57" i="14" s="1"/>
  <c r="AQ63" i="14" s="1"/>
  <c r="AQ64" i="14" s="1"/>
  <c r="AP55" i="14"/>
  <c r="AO55" i="14"/>
  <c r="AO57" i="14" s="1"/>
  <c r="AO63" i="14" s="1"/>
  <c r="AO64" i="14" s="1"/>
  <c r="AN55" i="14"/>
  <c r="AM55" i="14"/>
  <c r="AM57" i="14" s="1"/>
  <c r="AM63" i="14" s="1"/>
  <c r="AM64" i="14" s="1"/>
  <c r="AL55" i="14"/>
  <c r="AK55" i="14"/>
  <c r="AK57" i="14" s="1"/>
  <c r="AK63" i="14" s="1"/>
  <c r="AK64" i="14" s="1"/>
  <c r="AJ55" i="14"/>
  <c r="AI55" i="14"/>
  <c r="AI57" i="14" s="1"/>
  <c r="AI63" i="14" s="1"/>
  <c r="AI64" i="14" s="1"/>
  <c r="AH55" i="14"/>
  <c r="AG55" i="14"/>
  <c r="AG57" i="14" s="1"/>
  <c r="AG63" i="14" s="1"/>
  <c r="AG64" i="14" s="1"/>
  <c r="AF55" i="14"/>
  <c r="AE55" i="14"/>
  <c r="AE57" i="14" s="1"/>
  <c r="AE63" i="14" s="1"/>
  <c r="AE64" i="14" s="1"/>
  <c r="BV8" i="14"/>
  <c r="BU8" i="14"/>
  <c r="BT8" i="14"/>
  <c r="BS8" i="14"/>
  <c r="BR8" i="14"/>
  <c r="BQ8" i="14"/>
  <c r="BP8" i="14"/>
  <c r="CE3" i="14"/>
  <c r="CD3" i="14"/>
  <c r="CC3" i="14"/>
  <c r="CB3" i="14"/>
  <c r="CA3" i="14"/>
  <c r="BZ3" i="14"/>
  <c r="BY3" i="14"/>
  <c r="BX3" i="14"/>
  <c r="BW3" i="14"/>
  <c r="BC10" i="15"/>
  <c r="AR15" i="9"/>
  <c r="BY49" i="14" l="1"/>
  <c r="G45" i="14"/>
  <c r="W45" i="14"/>
  <c r="AM45" i="14"/>
  <c r="BQ53" i="15"/>
  <c r="C42" i="14"/>
  <c r="O42" i="14"/>
  <c r="S42" i="14"/>
  <c r="AE42" i="14"/>
  <c r="AI42" i="14"/>
  <c r="AU42" i="14"/>
  <c r="AY42" i="14"/>
  <c r="BS239" i="9"/>
  <c r="BV239" i="9"/>
  <c r="AC7" i="9"/>
  <c r="AZ18" i="9"/>
  <c r="AZ25" i="9"/>
  <c r="M7" i="9"/>
  <c r="U7" i="9"/>
  <c r="BB8" i="9"/>
  <c r="AK7" i="9"/>
  <c r="E45" i="14"/>
  <c r="I45" i="14"/>
  <c r="M45" i="14"/>
  <c r="Q45" i="14"/>
  <c r="U45" i="14"/>
  <c r="Y45" i="14"/>
  <c r="AC45" i="14"/>
  <c r="AG45" i="14"/>
  <c r="AK45" i="14"/>
  <c r="AO45" i="14"/>
  <c r="AS45" i="14"/>
  <c r="AW45" i="14"/>
  <c r="BA45" i="14"/>
  <c r="CA47" i="14"/>
  <c r="BB7" i="9"/>
  <c r="AS7" i="9"/>
  <c r="BA7" i="9"/>
  <c r="CC178" i="9"/>
  <c r="CC146" i="9"/>
  <c r="BC111" i="9"/>
  <c r="BD77" i="9"/>
  <c r="BC104" i="9"/>
  <c r="CC140" i="9"/>
  <c r="BC70" i="9"/>
  <c r="BC72" i="9" s="1"/>
  <c r="BC87" i="9"/>
  <c r="BC102" i="9"/>
  <c r="AF57" i="14"/>
  <c r="AF63" i="14" s="1"/>
  <c r="AF64" i="14" s="1"/>
  <c r="AH57" i="14"/>
  <c r="AH63" i="14" s="1"/>
  <c r="AH64" i="14" s="1"/>
  <c r="AJ57" i="14"/>
  <c r="AJ63" i="14" s="1"/>
  <c r="AJ64" i="14" s="1"/>
  <c r="AL57" i="14"/>
  <c r="AL63" i="14" s="1"/>
  <c r="AL64" i="14" s="1"/>
  <c r="AN57" i="14"/>
  <c r="AN63" i="14" s="1"/>
  <c r="AN64" i="14" s="1"/>
  <c r="AP57" i="14"/>
  <c r="AP63" i="14" s="1"/>
  <c r="AP64" i="14" s="1"/>
  <c r="AR57" i="14"/>
  <c r="AR63" i="14" s="1"/>
  <c r="AR64" i="14" s="1"/>
  <c r="AT57" i="14"/>
  <c r="AT63" i="14" s="1"/>
  <c r="AT64" i="14" s="1"/>
  <c r="AV57" i="14"/>
  <c r="AV63" i="14" s="1"/>
  <c r="AV64" i="14" s="1"/>
  <c r="AX57" i="14"/>
  <c r="AZ57" i="14"/>
  <c r="AZ63" i="14" s="1"/>
  <c r="AZ64" i="14" s="1"/>
  <c r="CB44" i="15"/>
  <c r="CB45" i="15"/>
  <c r="CB27" i="15"/>
  <c r="CB23" i="15"/>
  <c r="CB37" i="15"/>
  <c r="BC44" i="15"/>
  <c r="BE44" i="15"/>
  <c r="BD44" i="15"/>
  <c r="C43" i="14"/>
  <c r="E43" i="14"/>
  <c r="G43" i="14"/>
  <c r="I43" i="14"/>
  <c r="K43" i="14"/>
  <c r="M43" i="14"/>
  <c r="O43" i="14"/>
  <c r="Q43" i="14"/>
  <c r="S43" i="14"/>
  <c r="U43" i="14"/>
  <c r="W43" i="14"/>
  <c r="Y43" i="14"/>
  <c r="AA43" i="14"/>
  <c r="AC43" i="14"/>
  <c r="AF44" i="14"/>
  <c r="AJ44" i="14"/>
  <c r="AL44" i="14"/>
  <c r="AN44" i="14"/>
  <c r="AR44" i="14"/>
  <c r="AT44" i="14"/>
  <c r="AV44" i="14"/>
  <c r="AZ44" i="14"/>
  <c r="BS47" i="14"/>
  <c r="BS48" i="14"/>
  <c r="BW47" i="14"/>
  <c r="CB10" i="15"/>
  <c r="BP6" i="9"/>
  <c r="G25" i="9"/>
  <c r="I113" i="9"/>
  <c r="K25" i="9"/>
  <c r="M113" i="9"/>
  <c r="O25" i="9"/>
  <c r="Q8" i="9"/>
  <c r="S25" i="9"/>
  <c r="U113" i="9"/>
  <c r="W25" i="9"/>
  <c r="Y8" i="9"/>
  <c r="AA25" i="9"/>
  <c r="BV6" i="9"/>
  <c r="AE244" i="9"/>
  <c r="AG8" i="9"/>
  <c r="AI244" i="9"/>
  <c r="AM244" i="9"/>
  <c r="AO8" i="9"/>
  <c r="AQ244" i="9"/>
  <c r="AU244" i="9"/>
  <c r="AW8" i="9"/>
  <c r="AY244" i="9"/>
  <c r="N7" i="9"/>
  <c r="V7" i="9"/>
  <c r="AD7" i="9"/>
  <c r="AL7" i="9"/>
  <c r="AT7" i="9"/>
  <c r="U8" i="9"/>
  <c r="BA8" i="9"/>
  <c r="W13" i="9"/>
  <c r="AA13" i="9"/>
  <c r="AE13" i="9"/>
  <c r="AE18" i="9" s="1"/>
  <c r="AI13" i="9"/>
  <c r="AM13" i="9"/>
  <c r="AM18" i="9" s="1"/>
  <c r="AQ13" i="9"/>
  <c r="AQ18" i="9" s="1"/>
  <c r="AU13" i="9"/>
  <c r="AY13" i="9"/>
  <c r="AY18" i="9" s="1"/>
  <c r="BW48" i="14"/>
  <c r="CA48" i="14"/>
  <c r="BQ6" i="9"/>
  <c r="BQ7" i="9" s="1"/>
  <c r="L8" i="9"/>
  <c r="P8" i="9"/>
  <c r="T8" i="9"/>
  <c r="BU6" i="9"/>
  <c r="AB8" i="9"/>
  <c r="AF244" i="9"/>
  <c r="AJ244" i="9"/>
  <c r="AN244" i="9"/>
  <c r="AR244" i="9"/>
  <c r="AV244" i="9"/>
  <c r="AK8" i="9"/>
  <c r="X13" i="9"/>
  <c r="X18" i="9" s="1"/>
  <c r="AB13" i="9"/>
  <c r="AB18" i="9" s="1"/>
  <c r="AF13" i="9"/>
  <c r="AF18" i="9" s="1"/>
  <c r="AJ13" i="9"/>
  <c r="AJ18" i="9" s="1"/>
  <c r="AN13" i="9"/>
  <c r="AN18" i="9" s="1"/>
  <c r="AR13" i="9"/>
  <c r="AR18" i="9" s="1"/>
  <c r="AV13" i="9"/>
  <c r="AV18" i="9" s="1"/>
  <c r="AU18" i="9"/>
  <c r="H25" i="9"/>
  <c r="P25" i="9"/>
  <c r="X25" i="9"/>
  <c r="AF25" i="9"/>
  <c r="AN25" i="9"/>
  <c r="AV25" i="9"/>
  <c r="J113" i="9"/>
  <c r="J8" i="9"/>
  <c r="N113" i="9"/>
  <c r="N8" i="9"/>
  <c r="R113" i="9"/>
  <c r="R8" i="9"/>
  <c r="V113" i="9"/>
  <c r="V8" i="9"/>
  <c r="Z113" i="9"/>
  <c r="Z8" i="9"/>
  <c r="Z13" i="9"/>
  <c r="AD113" i="9"/>
  <c r="AD8" i="9"/>
  <c r="AD13" i="9"/>
  <c r="AH244" i="9"/>
  <c r="AH113" i="9"/>
  <c r="AH8" i="9"/>
  <c r="AH13" i="9"/>
  <c r="AL244" i="9"/>
  <c r="AL113" i="9"/>
  <c r="AL8" i="9"/>
  <c r="AL13" i="9"/>
  <c r="AL18" i="9" s="1"/>
  <c r="AP244" i="9"/>
  <c r="AP113" i="9"/>
  <c r="AP8" i="9"/>
  <c r="AP13" i="9"/>
  <c r="AP18" i="9" s="1"/>
  <c r="AT244" i="9"/>
  <c r="AT113" i="9"/>
  <c r="AT8" i="9"/>
  <c r="AT13" i="9"/>
  <c r="AT18" i="9" s="1"/>
  <c r="AX113" i="9"/>
  <c r="AX8" i="9"/>
  <c r="AX13" i="9"/>
  <c r="J7" i="9"/>
  <c r="R7" i="9"/>
  <c r="Z7" i="9"/>
  <c r="AH7" i="9"/>
  <c r="AP7" i="9"/>
  <c r="AX7" i="9"/>
  <c r="I220" i="9"/>
  <c r="I25" i="9"/>
  <c r="I31" i="9"/>
  <c r="M220" i="9"/>
  <c r="M25" i="9"/>
  <c r="M31" i="9"/>
  <c r="Q220" i="9"/>
  <c r="Q25" i="9"/>
  <c r="BS22" i="9"/>
  <c r="Q31" i="9"/>
  <c r="U220" i="9"/>
  <c r="U78" i="9"/>
  <c r="U31" i="9"/>
  <c r="U25" i="9"/>
  <c r="Y220" i="9"/>
  <c r="Y82" i="9"/>
  <c r="Y78" i="9"/>
  <c r="Y52" i="9"/>
  <c r="Y25" i="9"/>
  <c r="Y31" i="9"/>
  <c r="Y39" i="9"/>
  <c r="AC220" i="9"/>
  <c r="AC82" i="9"/>
  <c r="AC78" i="9"/>
  <c r="AC52" i="9"/>
  <c r="AC39" i="9"/>
  <c r="AC25" i="9"/>
  <c r="AC31" i="9"/>
  <c r="AG220" i="9"/>
  <c r="AG76" i="9"/>
  <c r="AG52" i="9"/>
  <c r="AG25" i="9"/>
  <c r="BW22" i="9"/>
  <c r="AG39" i="9"/>
  <c r="AG31" i="9"/>
  <c r="AG24" i="9" s="1"/>
  <c r="AG14" i="9"/>
  <c r="AK220" i="9"/>
  <c r="AK79" i="9"/>
  <c r="AK76" i="9"/>
  <c r="AK31" i="9"/>
  <c r="AK25" i="9"/>
  <c r="AK14" i="9"/>
  <c r="AO220" i="9"/>
  <c r="AO81" i="9"/>
  <c r="AO75" i="9"/>
  <c r="AO78" i="9"/>
  <c r="AO25" i="9"/>
  <c r="AO31" i="9"/>
  <c r="AO14" i="9"/>
  <c r="AS220" i="9"/>
  <c r="AS81" i="9"/>
  <c r="AS75" i="9"/>
  <c r="AS78" i="9"/>
  <c r="AS25" i="9"/>
  <c r="AS31" i="9"/>
  <c r="AS14" i="9"/>
  <c r="AW220" i="9"/>
  <c r="AW81" i="9"/>
  <c r="AW75" i="9"/>
  <c r="AW78" i="9"/>
  <c r="AW25" i="9"/>
  <c r="CA22" i="9"/>
  <c r="AW31" i="9"/>
  <c r="AW14" i="9"/>
  <c r="BA220" i="9"/>
  <c r="BA81" i="9"/>
  <c r="BA75" i="9"/>
  <c r="BA78" i="9"/>
  <c r="BA31" i="9"/>
  <c r="BA25" i="9"/>
  <c r="BA14" i="9"/>
  <c r="BR6" i="9"/>
  <c r="BV11" i="9"/>
  <c r="AA18" i="9"/>
  <c r="AH24" i="9"/>
  <c r="AP66" i="9"/>
  <c r="AP54" i="9"/>
  <c r="AQ53" i="9"/>
  <c r="BU11" i="9"/>
  <c r="I8" i="9"/>
  <c r="BW46" i="9"/>
  <c r="BW44" i="9"/>
  <c r="Q113" i="9"/>
  <c r="BS6" i="9"/>
  <c r="BS7" i="9" s="1"/>
  <c r="Y113" i="9"/>
  <c r="Y13" i="9"/>
  <c r="AC113" i="9"/>
  <c r="AC13" i="9"/>
  <c r="AG244" i="9"/>
  <c r="AG113" i="9"/>
  <c r="BW6" i="9"/>
  <c r="BW7" i="9" s="1"/>
  <c r="AG13" i="9"/>
  <c r="AK244" i="9"/>
  <c r="AK113" i="9"/>
  <c r="AK13" i="9"/>
  <c r="BX13" i="9" s="1"/>
  <c r="AO244" i="9"/>
  <c r="AO113" i="9"/>
  <c r="AO13" i="9"/>
  <c r="AS244" i="9"/>
  <c r="AS113" i="9"/>
  <c r="AS13" i="9"/>
  <c r="AW244" i="9"/>
  <c r="AW113" i="9"/>
  <c r="AW13" i="9"/>
  <c r="BA244" i="9"/>
  <c r="BA113" i="9"/>
  <c r="BA13" i="9"/>
  <c r="I7" i="9"/>
  <c r="Q7" i="9"/>
  <c r="Y7" i="9"/>
  <c r="AG7" i="9"/>
  <c r="AO7" i="9"/>
  <c r="AW7" i="9"/>
  <c r="M8" i="9"/>
  <c r="AC8" i="9"/>
  <c r="AS8" i="9"/>
  <c r="AI18" i="9"/>
  <c r="G7" i="9"/>
  <c r="K7" i="9"/>
  <c r="O7" i="9"/>
  <c r="S7" i="9"/>
  <c r="W7" i="9"/>
  <c r="AA7" i="9"/>
  <c r="AE7" i="9"/>
  <c r="AI7" i="9"/>
  <c r="AM7" i="9"/>
  <c r="AQ7" i="9"/>
  <c r="AU7" i="9"/>
  <c r="AY7" i="9"/>
  <c r="G8" i="9"/>
  <c r="K8" i="9"/>
  <c r="O8" i="9"/>
  <c r="S8" i="9"/>
  <c r="W8" i="9"/>
  <c r="AA8" i="9"/>
  <c r="AE8" i="9"/>
  <c r="AI8" i="9"/>
  <c r="AM8" i="9"/>
  <c r="AQ8" i="9"/>
  <c r="AU8" i="9"/>
  <c r="AY8" i="9"/>
  <c r="BT6" i="9"/>
  <c r="BT7" i="9" s="1"/>
  <c r="BX6" i="9"/>
  <c r="BX7" i="9" s="1"/>
  <c r="S78" i="9"/>
  <c r="S31" i="9"/>
  <c r="W82" i="9"/>
  <c r="W39" i="9"/>
  <c r="W31" i="9"/>
  <c r="AA75" i="9"/>
  <c r="AA82" i="9"/>
  <c r="AA39" i="9"/>
  <c r="AA31" i="9"/>
  <c r="BV31" i="9" s="1"/>
  <c r="AE220" i="9"/>
  <c r="AE78" i="9"/>
  <c r="AE75" i="9"/>
  <c r="AE82" i="9"/>
  <c r="AE39" i="9"/>
  <c r="AE31" i="9"/>
  <c r="AI220" i="9"/>
  <c r="AI79" i="9"/>
  <c r="AI31" i="9"/>
  <c r="AM220" i="9"/>
  <c r="AM78" i="9"/>
  <c r="AM75" i="9"/>
  <c r="AM81" i="9"/>
  <c r="AM31" i="9"/>
  <c r="AQ220" i="9"/>
  <c r="AQ81" i="9"/>
  <c r="AQ78" i="9"/>
  <c r="AQ75" i="9"/>
  <c r="AQ31" i="9"/>
  <c r="BZ31" i="9" s="1"/>
  <c r="AU220" i="9"/>
  <c r="AU75" i="9"/>
  <c r="AU81" i="9"/>
  <c r="AU78" i="9"/>
  <c r="AU31" i="9"/>
  <c r="AY220" i="9"/>
  <c r="AY78" i="9"/>
  <c r="AY81" i="9"/>
  <c r="AY75" i="9"/>
  <c r="AY31" i="9"/>
  <c r="BT22" i="9"/>
  <c r="BX22" i="9"/>
  <c r="J25" i="9"/>
  <c r="N25" i="9"/>
  <c r="R25" i="9"/>
  <c r="V25" i="9"/>
  <c r="Z25" i="9"/>
  <c r="AD25" i="9"/>
  <c r="AH25" i="9"/>
  <c r="AL25" i="9"/>
  <c r="AP25" i="9"/>
  <c r="AT25" i="9"/>
  <c r="AX25" i="9"/>
  <c r="AL31" i="9"/>
  <c r="AD39" i="9"/>
  <c r="BW50" i="9"/>
  <c r="AA52" i="9"/>
  <c r="AI52" i="9"/>
  <c r="BX54" i="9"/>
  <c r="BX59" i="9"/>
  <c r="BW59" i="9"/>
  <c r="AH63" i="9"/>
  <c r="AN67" i="9"/>
  <c r="AJ68" i="9"/>
  <c r="AP72" i="9"/>
  <c r="AT71" i="9"/>
  <c r="AT72" i="9"/>
  <c r="AX71" i="9"/>
  <c r="AX72" i="9"/>
  <c r="H7" i="9"/>
  <c r="L7" i="9"/>
  <c r="P7" i="9"/>
  <c r="T7" i="9"/>
  <c r="X7" i="9"/>
  <c r="AB7" i="9"/>
  <c r="AF7" i="9"/>
  <c r="AJ7" i="9"/>
  <c r="AN7" i="9"/>
  <c r="AR7" i="9"/>
  <c r="AV7" i="9"/>
  <c r="AZ7" i="9"/>
  <c r="H8" i="9"/>
  <c r="X8" i="9"/>
  <c r="AF8" i="9"/>
  <c r="AJ8" i="9"/>
  <c r="AN8" i="9"/>
  <c r="AR8" i="9"/>
  <c r="AV8" i="9"/>
  <c r="AZ8" i="9"/>
  <c r="AH14" i="9"/>
  <c r="AH18" i="9" s="1"/>
  <c r="AX14" i="9"/>
  <c r="AX18" i="9" s="1"/>
  <c r="X82" i="9"/>
  <c r="X52" i="9"/>
  <c r="AB82" i="9"/>
  <c r="AB52" i="9"/>
  <c r="AF220" i="9"/>
  <c r="AF76" i="9"/>
  <c r="AF52" i="9"/>
  <c r="AJ220" i="9"/>
  <c r="AJ79" i="9"/>
  <c r="AN220" i="9"/>
  <c r="AN81" i="9"/>
  <c r="AN78" i="9"/>
  <c r="AN75" i="9"/>
  <c r="AR220" i="9"/>
  <c r="AR81" i="9"/>
  <c r="AR78" i="9"/>
  <c r="AR75" i="9"/>
  <c r="AV220" i="9"/>
  <c r="AV81" i="9"/>
  <c r="AV78" i="9"/>
  <c r="AV75" i="9"/>
  <c r="AZ220" i="9"/>
  <c r="AZ81" i="9"/>
  <c r="AZ75" i="9"/>
  <c r="AZ78" i="9"/>
  <c r="BQ22" i="9"/>
  <c r="BU22" i="9"/>
  <c r="BY22" i="9"/>
  <c r="AE25" i="9"/>
  <c r="AI25" i="9"/>
  <c r="AM25" i="9"/>
  <c r="AQ25" i="9"/>
  <c r="AU25" i="9"/>
  <c r="AY25" i="9"/>
  <c r="R31" i="9"/>
  <c r="X31" i="9"/>
  <c r="AN31" i="9"/>
  <c r="AF39" i="9"/>
  <c r="AA67" i="9"/>
  <c r="BV66" i="9"/>
  <c r="BV67" i="9" s="1"/>
  <c r="AE67" i="9"/>
  <c r="BW66" i="9"/>
  <c r="BX66" i="9"/>
  <c r="BZ71" i="9"/>
  <c r="BZ75" i="9"/>
  <c r="BY78" i="9"/>
  <c r="BW81" i="9"/>
  <c r="AJ94" i="9"/>
  <c r="AI103" i="9"/>
  <c r="AP41" i="9"/>
  <c r="AQ40" i="9"/>
  <c r="BV46" i="9"/>
  <c r="AI99" i="9"/>
  <c r="AI39" i="9"/>
  <c r="BY53" i="9"/>
  <c r="BY54" i="9" s="1"/>
  <c r="AI100" i="9"/>
  <c r="AA63" i="9"/>
  <c r="BV62" i="9"/>
  <c r="BV63" i="9" s="1"/>
  <c r="BW62" i="9"/>
  <c r="AE63" i="9"/>
  <c r="AI62" i="9"/>
  <c r="AA64" i="9"/>
  <c r="AB68" i="9"/>
  <c r="AB67" i="9"/>
  <c r="AF68" i="9"/>
  <c r="AF67" i="9"/>
  <c r="V220" i="9"/>
  <c r="V75" i="9"/>
  <c r="Z220" i="9"/>
  <c r="Z75" i="9"/>
  <c r="Z82" i="9"/>
  <c r="AD220" i="9"/>
  <c r="AD82" i="9"/>
  <c r="AD75" i="9"/>
  <c r="AH220" i="9"/>
  <c r="AH76" i="9"/>
  <c r="AH82" i="9" s="1"/>
  <c r="AH75" i="9"/>
  <c r="AL220" i="9"/>
  <c r="AL73" i="9"/>
  <c r="AL79" i="9"/>
  <c r="AP220" i="9"/>
  <c r="AP78" i="9"/>
  <c r="AP75" i="9"/>
  <c r="AP81" i="9"/>
  <c r="AT220" i="9"/>
  <c r="AT78" i="9"/>
  <c r="AT81" i="9"/>
  <c r="AT75" i="9"/>
  <c r="AX78" i="9"/>
  <c r="AX81" i="9"/>
  <c r="AX75" i="9"/>
  <c r="J31" i="9"/>
  <c r="Z31" i="9"/>
  <c r="AP31" i="9"/>
  <c r="AI38" i="9"/>
  <c r="AH39" i="9"/>
  <c r="AJ43" i="9"/>
  <c r="AO66" i="9"/>
  <c r="AO54" i="9"/>
  <c r="AI51" i="9"/>
  <c r="Z52" i="9"/>
  <c r="AH52" i="9"/>
  <c r="AJ56" i="9"/>
  <c r="X64" i="9"/>
  <c r="AB64" i="9"/>
  <c r="AF64" i="9"/>
  <c r="Y68" i="9"/>
  <c r="AC68" i="9"/>
  <c r="AG68" i="9"/>
  <c r="BC269" i="9"/>
  <c r="BC281" i="9"/>
  <c r="BC74" i="9"/>
  <c r="BC249" i="9"/>
  <c r="BC77" i="9"/>
  <c r="CA70" i="9"/>
  <c r="BT73" i="9"/>
  <c r="BT75" i="9" s="1"/>
  <c r="BY75" i="9"/>
  <c r="CA74" i="9"/>
  <c r="BZ77" i="9"/>
  <c r="AF74" i="9"/>
  <c r="W75" i="9"/>
  <c r="AB75" i="9"/>
  <c r="V78" i="9"/>
  <c r="Z78" i="9"/>
  <c r="Z77" i="9"/>
  <c r="AD78" i="9"/>
  <c r="AD77" i="9"/>
  <c r="AA78" i="9"/>
  <c r="BU81" i="9"/>
  <c r="V103" i="9"/>
  <c r="AD103" i="9"/>
  <c r="G119" i="9"/>
  <c r="G113" i="9"/>
  <c r="BQ110" i="9"/>
  <c r="K119" i="9"/>
  <c r="K113" i="9"/>
  <c r="K112" i="9"/>
  <c r="BR110" i="9"/>
  <c r="BR111" i="9" s="1"/>
  <c r="O119" i="9"/>
  <c r="O113" i="9"/>
  <c r="O112" i="9"/>
  <c r="BS110" i="9"/>
  <c r="BS111" i="9" s="1"/>
  <c r="S119" i="9"/>
  <c r="S113" i="9"/>
  <c r="S112" i="9"/>
  <c r="W139" i="9"/>
  <c r="W119" i="9"/>
  <c r="W116" i="9"/>
  <c r="W134" i="9"/>
  <c r="W129" i="9"/>
  <c r="W113" i="9"/>
  <c r="W112" i="9"/>
  <c r="BU110" i="9"/>
  <c r="AA139" i="9"/>
  <c r="AA119" i="9"/>
  <c r="AA116" i="9"/>
  <c r="AA113" i="9"/>
  <c r="AA112" i="9"/>
  <c r="AA134" i="9"/>
  <c r="AA129" i="9"/>
  <c r="BV110" i="9"/>
  <c r="AE139" i="9"/>
  <c r="AE119" i="9"/>
  <c r="AE134" i="9"/>
  <c r="AE129" i="9"/>
  <c r="AE113" i="9"/>
  <c r="AE112" i="9"/>
  <c r="BW110" i="9"/>
  <c r="AI139" i="9"/>
  <c r="AI119" i="9"/>
  <c r="AI113" i="9"/>
  <c r="AI112" i="9"/>
  <c r="AI134" i="9"/>
  <c r="AI129" i="9"/>
  <c r="AM139" i="9"/>
  <c r="AM119" i="9"/>
  <c r="AM134" i="9"/>
  <c r="AM129" i="9"/>
  <c r="AM113" i="9"/>
  <c r="AM112" i="9"/>
  <c r="BY110" i="9"/>
  <c r="BY129" i="9" s="1"/>
  <c r="AM136" i="9"/>
  <c r="AQ139" i="9"/>
  <c r="AQ119" i="9"/>
  <c r="AQ136" i="9"/>
  <c r="AQ113" i="9"/>
  <c r="AQ112" i="9"/>
  <c r="AQ134" i="9"/>
  <c r="AQ129" i="9"/>
  <c r="BZ110" i="9"/>
  <c r="AU139" i="9"/>
  <c r="AU119" i="9"/>
  <c r="AU113" i="9"/>
  <c r="AU112" i="9"/>
  <c r="AU142" i="9"/>
  <c r="AU145" i="9"/>
  <c r="CA110" i="9"/>
  <c r="AY119" i="9"/>
  <c r="AY139" i="9"/>
  <c r="AY142" i="9"/>
  <c r="AY113" i="9"/>
  <c r="AY112" i="9"/>
  <c r="AY145" i="9"/>
  <c r="BC145" i="9"/>
  <c r="BC142" i="9"/>
  <c r="BC139" i="9"/>
  <c r="BC112" i="9"/>
  <c r="CC110" i="9"/>
  <c r="S111" i="9"/>
  <c r="AI111" i="9"/>
  <c r="AY111" i="9"/>
  <c r="AH174" i="9"/>
  <c r="AH120" i="9"/>
  <c r="AH121" i="9" s="1"/>
  <c r="AH136" i="9"/>
  <c r="AQ72" i="9"/>
  <c r="AY72" i="9"/>
  <c r="BD250" i="9"/>
  <c r="BD102" i="9"/>
  <c r="BD87" i="9"/>
  <c r="BD74" i="9"/>
  <c r="BD249" i="9"/>
  <c r="BD103" i="9"/>
  <c r="BD86" i="9"/>
  <c r="BD80" i="9"/>
  <c r="BD104" i="9"/>
  <c r="BW73" i="9"/>
  <c r="BU73" i="9"/>
  <c r="CB77" i="9"/>
  <c r="W74" i="9"/>
  <c r="AB74" i="9"/>
  <c r="S75" i="9"/>
  <c r="X75" i="9"/>
  <c r="BT76" i="9"/>
  <c r="BT78" i="9" s="1"/>
  <c r="BW76" i="9"/>
  <c r="W78" i="9"/>
  <c r="AB78" i="9"/>
  <c r="BU78" i="9"/>
  <c r="BV81" i="9"/>
  <c r="AE102" i="9"/>
  <c r="AE103" i="9"/>
  <c r="BC103" i="9"/>
  <c r="H119" i="9"/>
  <c r="I112" i="9"/>
  <c r="H113" i="9"/>
  <c r="H112" i="9"/>
  <c r="L119" i="9"/>
  <c r="L111" i="9"/>
  <c r="M112" i="9"/>
  <c r="L113" i="9"/>
  <c r="L112" i="9"/>
  <c r="P119" i="9"/>
  <c r="P111" i="9"/>
  <c r="Q112" i="9"/>
  <c r="P113" i="9"/>
  <c r="P112" i="9"/>
  <c r="T119" i="9"/>
  <c r="T111" i="9"/>
  <c r="U112" i="9"/>
  <c r="T113" i="9"/>
  <c r="T112" i="9"/>
  <c r="X139" i="9"/>
  <c r="X119" i="9"/>
  <c r="X135" i="9" s="1"/>
  <c r="X134" i="9"/>
  <c r="X111" i="9"/>
  <c r="X116" i="9"/>
  <c r="Y112" i="9"/>
  <c r="X129" i="9"/>
  <c r="X113" i="9"/>
  <c r="X112" i="9"/>
  <c r="AB139" i="9"/>
  <c r="AB119" i="9"/>
  <c r="AB135" i="9" s="1"/>
  <c r="AB134" i="9"/>
  <c r="AB111" i="9"/>
  <c r="AB129" i="9"/>
  <c r="AC112" i="9"/>
  <c r="AB116" i="9"/>
  <c r="AB113" i="9"/>
  <c r="AB112" i="9"/>
  <c r="AF139" i="9"/>
  <c r="AF119" i="9"/>
  <c r="AF135" i="9" s="1"/>
  <c r="AF134" i="9"/>
  <c r="AF111" i="9"/>
  <c r="AG112" i="9"/>
  <c r="AF129" i="9"/>
  <c r="AF113" i="9"/>
  <c r="AF112" i="9"/>
  <c r="AJ139" i="9"/>
  <c r="AJ119" i="9"/>
  <c r="AJ135" i="9" s="1"/>
  <c r="AJ134" i="9"/>
  <c r="AJ111" i="9"/>
  <c r="AJ129" i="9"/>
  <c r="AK112" i="9"/>
  <c r="AJ113" i="9"/>
  <c r="AJ112" i="9"/>
  <c r="AN139" i="9"/>
  <c r="AN119" i="9"/>
  <c r="AN136" i="9"/>
  <c r="AN134" i="9"/>
  <c r="AN111" i="9"/>
  <c r="AO112" i="9"/>
  <c r="AN129" i="9"/>
  <c r="AN113" i="9"/>
  <c r="AN112" i="9"/>
  <c r="AR139" i="9"/>
  <c r="AR119" i="9"/>
  <c r="AR136" i="9"/>
  <c r="AR134" i="9"/>
  <c r="AR111" i="9"/>
  <c r="AR129" i="9"/>
  <c r="AS112" i="9"/>
  <c r="AR113" i="9"/>
  <c r="AR112" i="9"/>
  <c r="AV145" i="9"/>
  <c r="AV139" i="9"/>
  <c r="AV142" i="9"/>
  <c r="AV111" i="9"/>
  <c r="AV148" i="9"/>
  <c r="AW112" i="9"/>
  <c r="AV113" i="9"/>
  <c r="AV112" i="9"/>
  <c r="AZ145" i="9"/>
  <c r="AZ139" i="9"/>
  <c r="AZ111" i="9"/>
  <c r="AZ148" i="9"/>
  <c r="BA112" i="9"/>
  <c r="AZ142" i="9"/>
  <c r="AZ113" i="9"/>
  <c r="AZ112" i="9"/>
  <c r="BD145" i="9"/>
  <c r="BD139" i="9"/>
  <c r="BD111" i="9"/>
  <c r="BD142" i="9"/>
  <c r="BE112" i="9"/>
  <c r="BD112" i="9"/>
  <c r="BT110" i="9"/>
  <c r="BT111" i="9" s="1"/>
  <c r="Y136" i="9"/>
  <c r="Y147" i="9"/>
  <c r="Y148" i="9" s="1"/>
  <c r="Y174" i="9"/>
  <c r="AT121" i="9"/>
  <c r="X154" i="9"/>
  <c r="AF154" i="9"/>
  <c r="BE249" i="9"/>
  <c r="BE103" i="9"/>
  <c r="BE86" i="9"/>
  <c r="BE104" i="9"/>
  <c r="BV73" i="9"/>
  <c r="BY81" i="9"/>
  <c r="X74" i="9"/>
  <c r="T75" i="9"/>
  <c r="AB77" i="9"/>
  <c r="X78" i="9"/>
  <c r="BX134" i="9"/>
  <c r="BX111" i="9"/>
  <c r="Z174" i="9"/>
  <c r="Z120" i="9"/>
  <c r="Z121" i="9" s="1"/>
  <c r="Z136" i="9"/>
  <c r="BZ145" i="9"/>
  <c r="BE77" i="9"/>
  <c r="BF79" i="9"/>
  <c r="U102" i="9"/>
  <c r="U75" i="9"/>
  <c r="Y102" i="9"/>
  <c r="Y75" i="9"/>
  <c r="Y74" i="9"/>
  <c r="AC102" i="9"/>
  <c r="AC75" i="9"/>
  <c r="AC74" i="9"/>
  <c r="AG102" i="9"/>
  <c r="AG75" i="9"/>
  <c r="AK74" i="9"/>
  <c r="AG74" i="9"/>
  <c r="BV78" i="9"/>
  <c r="BZ81" i="9"/>
  <c r="BZ80" i="9"/>
  <c r="AJ74" i="9"/>
  <c r="AF75" i="9"/>
  <c r="X77" i="9"/>
  <c r="T78" i="9"/>
  <c r="BE80" i="9"/>
  <c r="AJ96" i="9"/>
  <c r="BZ102" i="9"/>
  <c r="CA102" i="9"/>
  <c r="BY104" i="9"/>
  <c r="CB104" i="9"/>
  <c r="CB120" i="9"/>
  <c r="CB121" i="9" s="1"/>
  <c r="AG136" i="9"/>
  <c r="AG174" i="9"/>
  <c r="CB148" i="9"/>
  <c r="CB250" i="9"/>
  <c r="CC79" i="9"/>
  <c r="AO136" i="9"/>
  <c r="AO134" i="9"/>
  <c r="AS136" i="9"/>
  <c r="AS134" i="9"/>
  <c r="AW142" i="9"/>
  <c r="AW148" i="9"/>
  <c r="AW145" i="9"/>
  <c r="M111" i="9"/>
  <c r="U111" i="9"/>
  <c r="Y111" i="9"/>
  <c r="AC111" i="9"/>
  <c r="AG111" i="9"/>
  <c r="AK111" i="9"/>
  <c r="AO111" i="9"/>
  <c r="AS111" i="9"/>
  <c r="AW111" i="9"/>
  <c r="BA111" i="9"/>
  <c r="BE111" i="9"/>
  <c r="AV115" i="9"/>
  <c r="AV116" i="9" s="1"/>
  <c r="AC119" i="9"/>
  <c r="AC135" i="9" s="1"/>
  <c r="AK119" i="9"/>
  <c r="AK135" i="9" s="1"/>
  <c r="AK147" i="9" s="1"/>
  <c r="AK148" i="9" s="1"/>
  <c r="AS119" i="9"/>
  <c r="AS121" i="9" s="1"/>
  <c r="BU127" i="9"/>
  <c r="BX127" i="9"/>
  <c r="BX129" i="9" s="1"/>
  <c r="AM148" i="9"/>
  <c r="AQ147" i="9"/>
  <c r="BZ127" i="9"/>
  <c r="X128" i="9"/>
  <c r="AF128" i="9"/>
  <c r="AN128" i="9"/>
  <c r="BY136" i="9"/>
  <c r="Z134" i="9"/>
  <c r="AH134" i="9"/>
  <c r="AP134" i="9"/>
  <c r="AT136" i="9"/>
  <c r="CB139" i="9"/>
  <c r="CB140" i="9"/>
  <c r="AC139" i="9"/>
  <c r="AK139" i="9"/>
  <c r="AS139" i="9"/>
  <c r="BA139" i="9"/>
  <c r="BX139" i="9"/>
  <c r="AO142" i="9"/>
  <c r="CB143" i="9"/>
  <c r="BN178" i="9"/>
  <c r="BE145" i="9"/>
  <c r="AS148" i="9"/>
  <c r="AX148" i="9"/>
  <c r="AU148" i="9"/>
  <c r="AQ154" i="9"/>
  <c r="AG180" i="9"/>
  <c r="AG154" i="9"/>
  <c r="BZ166" i="9"/>
  <c r="CC177" i="9"/>
  <c r="CC180" i="9" s="1"/>
  <c r="AX142" i="9"/>
  <c r="AX145" i="9"/>
  <c r="N111" i="9"/>
  <c r="V111" i="9"/>
  <c r="AD111" i="9"/>
  <c r="AL111" i="9"/>
  <c r="AT111" i="9"/>
  <c r="AX111" i="9"/>
  <c r="BF111" i="9"/>
  <c r="AO115" i="9"/>
  <c r="AO116" i="9" s="1"/>
  <c r="AC116" i="9"/>
  <c r="AD119" i="9"/>
  <c r="AD135" i="9" s="1"/>
  <c r="AL119" i="9"/>
  <c r="AL135" i="9" s="1"/>
  <c r="AT119" i="9"/>
  <c r="AB147" i="9"/>
  <c r="AB148" i="9" s="1"/>
  <c r="AF147" i="9"/>
  <c r="AF148" i="9" s="1"/>
  <c r="AR148" i="9"/>
  <c r="BG251" i="9"/>
  <c r="BG176" i="9"/>
  <c r="BH138" i="9"/>
  <c r="BG120" i="9"/>
  <c r="AM142" i="9"/>
  <c r="BY141" i="9"/>
  <c r="AM120" i="9"/>
  <c r="AM121" i="9" s="1"/>
  <c r="BZ141" i="9"/>
  <c r="AQ142" i="9"/>
  <c r="AQ120" i="9"/>
  <c r="AQ121" i="9" s="1"/>
  <c r="BF254" i="9"/>
  <c r="BF177" i="9"/>
  <c r="BF147" i="9"/>
  <c r="BF148" i="9" s="1"/>
  <c r="BF142" i="9"/>
  <c r="CC141" i="9"/>
  <c r="CC143" i="9" s="1"/>
  <c r="AI142" i="9"/>
  <c r="AS142" i="9"/>
  <c r="CA146" i="9"/>
  <c r="CA148" i="9"/>
  <c r="AY148" i="9"/>
  <c r="CC147" i="9"/>
  <c r="CC148" i="9" s="1"/>
  <c r="BC148" i="9"/>
  <c r="W154" i="9"/>
  <c r="BX166" i="9"/>
  <c r="AM180" i="9"/>
  <c r="AM154" i="9"/>
  <c r="AQ180" i="9"/>
  <c r="BZ169" i="9"/>
  <c r="BZ180" i="9" s="1"/>
  <c r="BZ181" i="9" s="1"/>
  <c r="BX167" i="9"/>
  <c r="BX168" i="9"/>
  <c r="AN169" i="9"/>
  <c r="BY169" i="9" s="1"/>
  <c r="BY180" i="9" s="1"/>
  <c r="BY181" i="9" s="1"/>
  <c r="AR180" i="9"/>
  <c r="BC121" i="9"/>
  <c r="BY128" i="9"/>
  <c r="AG147" i="9"/>
  <c r="AG148" i="9" s="1"/>
  <c r="AN121" i="9"/>
  <c r="AR142" i="9"/>
  <c r="AR120" i="9"/>
  <c r="AR121" i="9" s="1"/>
  <c r="BG254" i="9"/>
  <c r="BG177" i="9"/>
  <c r="BH141" i="9"/>
  <c r="BX141" i="9"/>
  <c r="BX142" i="9" s="1"/>
  <c r="AJ142" i="9"/>
  <c r="CB146" i="9"/>
  <c r="AN148" i="9"/>
  <c r="BD148" i="9"/>
  <c r="Y180" i="9"/>
  <c r="Y181" i="9" s="1"/>
  <c r="AU181" i="9"/>
  <c r="AY181" i="9"/>
  <c r="BC181" i="9"/>
  <c r="CC194" i="9"/>
  <c r="AU116" i="9"/>
  <c r="AY116" i="9"/>
  <c r="BC116" i="9"/>
  <c r="AV121" i="9"/>
  <c r="AZ121" i="9"/>
  <c r="BD121" i="9"/>
  <c r="Z147" i="9"/>
  <c r="Z148" i="9" s="1"/>
  <c r="Z129" i="9"/>
  <c r="Z128" i="9"/>
  <c r="AD129" i="9"/>
  <c r="AD128" i="9"/>
  <c r="AH147" i="9"/>
  <c r="AH148" i="9" s="1"/>
  <c r="AH129" i="9"/>
  <c r="AH128" i="9"/>
  <c r="AL147" i="9"/>
  <c r="AL148" i="9" s="1"/>
  <c r="AL129" i="9"/>
  <c r="AL128" i="9"/>
  <c r="AP147" i="9"/>
  <c r="AP148" i="9" s="1"/>
  <c r="AP129" i="9"/>
  <c r="AP128" i="9"/>
  <c r="AT147" i="9"/>
  <c r="AT148" i="9" s="1"/>
  <c r="AT129" i="9"/>
  <c r="AT128" i="9"/>
  <c r="AE128" i="9"/>
  <c r="AM128" i="9"/>
  <c r="AN142" i="9"/>
  <c r="BM178" i="9"/>
  <c r="AO154" i="9"/>
  <c r="AC154" i="9"/>
  <c r="AS180" i="9"/>
  <c r="AS154" i="9"/>
  <c r="AZ181" i="9"/>
  <c r="AC128" i="9"/>
  <c r="AG128" i="9"/>
  <c r="AS128" i="9"/>
  <c r="AG129" i="9"/>
  <c r="AK129" i="9"/>
  <c r="AW181" i="9"/>
  <c r="BA180" i="9"/>
  <c r="BE180" i="9"/>
  <c r="AK186" i="9"/>
  <c r="AO186" i="9"/>
  <c r="AS186" i="9"/>
  <c r="AD238" i="9"/>
  <c r="AD232" i="9"/>
  <c r="AD184" i="9"/>
  <c r="AE186" i="9" s="1"/>
  <c r="AA190" i="9"/>
  <c r="BV189" i="9"/>
  <c r="AE189" i="9"/>
  <c r="AE211" i="9"/>
  <c r="AI189" i="9"/>
  <c r="BX210" i="9"/>
  <c r="AI211" i="9"/>
  <c r="BY210" i="9"/>
  <c r="BY211" i="9" s="1"/>
  <c r="AM189" i="9"/>
  <c r="AM190" i="9" s="1"/>
  <c r="AM211" i="9"/>
  <c r="BZ210" i="9"/>
  <c r="AQ189" i="9"/>
  <c r="AQ190" i="9" s="1"/>
  <c r="AQ211" i="9"/>
  <c r="CA210" i="9"/>
  <c r="AU189" i="9"/>
  <c r="AU190" i="9" s="1"/>
  <c r="AU211" i="9"/>
  <c r="AY189" i="9"/>
  <c r="AY190" i="9" s="1"/>
  <c r="AY211" i="9"/>
  <c r="CB210" i="9"/>
  <c r="BC189" i="9"/>
  <c r="CC210" i="9"/>
  <c r="CD210" i="9"/>
  <c r="BG189" i="9"/>
  <c r="CE210" i="9"/>
  <c r="BK189" i="9"/>
  <c r="G220" i="9"/>
  <c r="K220" i="9"/>
  <c r="O220" i="9"/>
  <c r="S220" i="9"/>
  <c r="W220" i="9"/>
  <c r="AA220" i="9"/>
  <c r="AL142" i="9"/>
  <c r="AP142" i="9"/>
  <c r="AT142" i="9"/>
  <c r="BY144" i="9"/>
  <c r="BZ146" i="9" s="1"/>
  <c r="CD178" i="9"/>
  <c r="BK144" i="9"/>
  <c r="CD144" i="9"/>
  <c r="CD146" i="9" s="1"/>
  <c r="Z180" i="9"/>
  <c r="Z181" i="9" s="1"/>
  <c r="Z154" i="9"/>
  <c r="AD154" i="9"/>
  <c r="AH180" i="9"/>
  <c r="AH154" i="9"/>
  <c r="AL154" i="9"/>
  <c r="AP180" i="9"/>
  <c r="AP154" i="9"/>
  <c r="AT180" i="9"/>
  <c r="AT154" i="9"/>
  <c r="AX181" i="9"/>
  <c r="BF180" i="9"/>
  <c r="CB178" i="9"/>
  <c r="CA177" i="9"/>
  <c r="BD180" i="9"/>
  <c r="W232" i="9"/>
  <c r="W238" i="9"/>
  <c r="W242" i="9" s="1"/>
  <c r="W199" i="9"/>
  <c r="W184" i="9"/>
  <c r="W14" i="9" s="1"/>
  <c r="W18" i="9" s="1"/>
  <c r="AB190" i="9"/>
  <c r="AF211" i="9"/>
  <c r="AF189" i="9"/>
  <c r="AF190" i="9" s="1"/>
  <c r="AJ211" i="9"/>
  <c r="AJ189" i="9"/>
  <c r="AJ190" i="9" s="1"/>
  <c r="AN211" i="9"/>
  <c r="AN189" i="9"/>
  <c r="AN190" i="9" s="1"/>
  <c r="AR211" i="9"/>
  <c r="AR189" i="9"/>
  <c r="AR190" i="9" s="1"/>
  <c r="AV211" i="9"/>
  <c r="AV189" i="9"/>
  <c r="AV190" i="9" s="1"/>
  <c r="M240" i="9"/>
  <c r="AX220" i="9"/>
  <c r="J238" i="9"/>
  <c r="J242" i="9" s="1"/>
  <c r="N238" i="9"/>
  <c r="R238" i="9"/>
  <c r="V238" i="9"/>
  <c r="V232" i="9" s="1"/>
  <c r="AF201" i="9"/>
  <c r="AF185" i="9"/>
  <c r="BX184" i="9"/>
  <c r="BX185" i="9" s="1"/>
  <c r="AJ185" i="9"/>
  <c r="AN185" i="9"/>
  <c r="AR185" i="9"/>
  <c r="AV201" i="9"/>
  <c r="AV185" i="9"/>
  <c r="CB184" i="9"/>
  <c r="AZ185" i="9"/>
  <c r="CA184" i="9"/>
  <c r="AF186" i="9"/>
  <c r="AV186" i="9"/>
  <c r="AJ201" i="9"/>
  <c r="AA238" i="9"/>
  <c r="AA240" i="9" s="1"/>
  <c r="BQ241" i="9"/>
  <c r="BT241" i="9"/>
  <c r="BU241" i="9"/>
  <c r="BL144" i="9"/>
  <c r="CA176" i="9"/>
  <c r="CA180" i="9" s="1"/>
  <c r="CA181" i="9" s="1"/>
  <c r="BY184" i="9"/>
  <c r="AO195" i="9"/>
  <c r="AS195" i="9"/>
  <c r="AW195" i="9"/>
  <c r="W195" i="9"/>
  <c r="J199" i="9"/>
  <c r="N199" i="9"/>
  <c r="R199" i="9"/>
  <c r="V199" i="9"/>
  <c r="AO286" i="9"/>
  <c r="AS286" i="9"/>
  <c r="AS274" i="9"/>
  <c r="AW274" i="9"/>
  <c r="BA274" i="9"/>
  <c r="AN201" i="9"/>
  <c r="AS201" i="9"/>
  <c r="AX201" i="9"/>
  <c r="BF201" i="9"/>
  <c r="BN201" i="9"/>
  <c r="AG211" i="9"/>
  <c r="AK211" i="9"/>
  <c r="AO211" i="9"/>
  <c r="AS211" i="9"/>
  <c r="AW211" i="9"/>
  <c r="H220" i="9"/>
  <c r="L220" i="9"/>
  <c r="P220" i="9"/>
  <c r="T220" i="9"/>
  <c r="X220" i="9"/>
  <c r="AB220" i="9"/>
  <c r="G232" i="9"/>
  <c r="N232" i="9"/>
  <c r="H241" i="9"/>
  <c r="L241" i="9"/>
  <c r="P241" i="9"/>
  <c r="P242" i="9" s="1"/>
  <c r="T241" i="9"/>
  <c r="T242" i="9" s="1"/>
  <c r="X241" i="9"/>
  <c r="AB241" i="9"/>
  <c r="AB242" i="9" s="1"/>
  <c r="H235" i="9"/>
  <c r="P235" i="9"/>
  <c r="X235" i="9"/>
  <c r="BP239" i="9"/>
  <c r="G240" i="9"/>
  <c r="W240" i="9"/>
  <c r="BR239" i="9"/>
  <c r="K241" i="9"/>
  <c r="AA241" i="9"/>
  <c r="AI169" i="9"/>
  <c r="CB176" i="9"/>
  <c r="CB180" i="9" s="1"/>
  <c r="CB181" i="9" s="1"/>
  <c r="CB115" i="9" s="1"/>
  <c r="CB116" i="9" s="1"/>
  <c r="BZ184" i="9"/>
  <c r="AG185" i="9"/>
  <c r="AK185" i="9"/>
  <c r="AO185" i="9"/>
  <c r="AS185" i="9"/>
  <c r="AW185" i="9"/>
  <c r="BA185" i="9"/>
  <c r="X238" i="9"/>
  <c r="X217" i="9" s="1"/>
  <c r="AB232" i="9"/>
  <c r="AB238" i="9"/>
  <c r="X195" i="9"/>
  <c r="AT286" i="9"/>
  <c r="AT274" i="9"/>
  <c r="AX286" i="9"/>
  <c r="AX274" i="9"/>
  <c r="AO201" i="9"/>
  <c r="AT201" i="9"/>
  <c r="AH211" i="9"/>
  <c r="AL211" i="9"/>
  <c r="AP211" i="9"/>
  <c r="AT211" i="9"/>
  <c r="AX211" i="9"/>
  <c r="H238" i="9"/>
  <c r="H217" i="9" s="1"/>
  <c r="L238" i="9"/>
  <c r="L217" i="9" s="1"/>
  <c r="P238" i="9"/>
  <c r="T238" i="9"/>
  <c r="T225" i="9" s="1"/>
  <c r="Z231" i="9"/>
  <c r="Y242" i="9"/>
  <c r="S235" i="9"/>
  <c r="K238" i="9"/>
  <c r="K232" i="9" s="1"/>
  <c r="S238" i="9"/>
  <c r="S225" i="9" s="1"/>
  <c r="P240" i="9"/>
  <c r="T240" i="9"/>
  <c r="AB240" i="9"/>
  <c r="Q240" i="9"/>
  <c r="O241" i="9"/>
  <c r="AX244" i="9"/>
  <c r="Y238" i="9"/>
  <c r="Y199" i="9"/>
  <c r="AC238" i="9"/>
  <c r="AC242" i="9" s="1"/>
  <c r="BV193" i="9"/>
  <c r="BZ194" i="9"/>
  <c r="Y195" i="9"/>
  <c r="AC195" i="9"/>
  <c r="AG195" i="9"/>
  <c r="AQ274" i="9"/>
  <c r="AQ286" i="9"/>
  <c r="BZ255" i="9"/>
  <c r="BZ274" i="9" s="1"/>
  <c r="AU274" i="9"/>
  <c r="AU286" i="9"/>
  <c r="AK201" i="9"/>
  <c r="P217" i="9"/>
  <c r="T217" i="9"/>
  <c r="AB217" i="9"/>
  <c r="K225" i="9"/>
  <c r="W225" i="9"/>
  <c r="AA225" i="9"/>
  <c r="G228" i="9"/>
  <c r="K228" i="9"/>
  <c r="O228" i="9"/>
  <c r="S228" i="9"/>
  <c r="W228" i="9"/>
  <c r="AA228" i="9"/>
  <c r="AX225" i="9"/>
  <c r="AX224" i="9"/>
  <c r="I238" i="9"/>
  <c r="I217" i="9" s="1"/>
  <c r="M238" i="9"/>
  <c r="Q238" i="9"/>
  <c r="U238" i="9"/>
  <c r="U240" i="9" s="1"/>
  <c r="N242" i="9"/>
  <c r="R242" i="9"/>
  <c r="AD242" i="9"/>
  <c r="AB235" i="9"/>
  <c r="Y184" i="9"/>
  <c r="Y14" i="9" s="1"/>
  <c r="Y18" i="9" s="1"/>
  <c r="AC184" i="9"/>
  <c r="AC186" i="9" s="1"/>
  <c r="AG186" i="9"/>
  <c r="AW186" i="9"/>
  <c r="AD195" i="9"/>
  <c r="AN286" i="9"/>
  <c r="AR286" i="9"/>
  <c r="AR274" i="9"/>
  <c r="AV255" i="9"/>
  <c r="CA200" i="9"/>
  <c r="AZ255" i="9"/>
  <c r="CB255" i="9" s="1"/>
  <c r="AZ201" i="9"/>
  <c r="BD255" i="9"/>
  <c r="BD201" i="9"/>
  <c r="BH201" i="9"/>
  <c r="BH255" i="9"/>
  <c r="CD255" i="9" s="1"/>
  <c r="BL255" i="9"/>
  <c r="CE200" i="9"/>
  <c r="BL201" i="9"/>
  <c r="AR201" i="9"/>
  <c r="BY200" i="9"/>
  <c r="BY255" i="9" s="1"/>
  <c r="BY274" i="9" s="1"/>
  <c r="M217" i="9"/>
  <c r="Q217" i="9"/>
  <c r="Y217" i="9"/>
  <c r="BZ216" i="9"/>
  <c r="AY216" i="9"/>
  <c r="AX217" i="9"/>
  <c r="H228" i="9"/>
  <c r="H225" i="9"/>
  <c r="L228" i="9"/>
  <c r="P228" i="9"/>
  <c r="P225" i="9"/>
  <c r="T228" i="9"/>
  <c r="X228" i="9"/>
  <c r="X225" i="9"/>
  <c r="AB228" i="9"/>
  <c r="AB225" i="9"/>
  <c r="BY224" i="9"/>
  <c r="AC232" i="9"/>
  <c r="G235" i="9"/>
  <c r="W235" i="9"/>
  <c r="G238" i="9"/>
  <c r="G242" i="9" s="1"/>
  <c r="O238" i="9"/>
  <c r="O225" i="9" s="1"/>
  <c r="J240" i="9"/>
  <c r="N240" i="9"/>
  <c r="R240" i="9"/>
  <c r="V240" i="9"/>
  <c r="AD240" i="9"/>
  <c r="CC254" i="9"/>
  <c r="CC273" i="9" s="1"/>
  <c r="AY274" i="9"/>
  <c r="AY286" i="9"/>
  <c r="BC274" i="9"/>
  <c r="CE255" i="9"/>
  <c r="AM201" i="9"/>
  <c r="AQ201" i="9"/>
  <c r="AU201" i="9"/>
  <c r="AY201" i="9"/>
  <c r="BC201" i="9"/>
  <c r="BG201" i="9"/>
  <c r="BK201" i="9"/>
  <c r="BZ200" i="9"/>
  <c r="CD200" i="9"/>
  <c r="I235" i="9"/>
  <c r="M235" i="9"/>
  <c r="Q235" i="9"/>
  <c r="U235" i="9"/>
  <c r="Y235" i="9"/>
  <c r="AC235" i="9"/>
  <c r="BY257" i="9"/>
  <c r="BT239" i="9"/>
  <c r="BC270" i="9"/>
  <c r="CC251" i="9"/>
  <c r="BC282" i="9"/>
  <c r="AQ256" i="9"/>
  <c r="AS256" i="9"/>
  <c r="AT287" i="9" s="1"/>
  <c r="BC285" i="9"/>
  <c r="J235" i="9"/>
  <c r="N235" i="9"/>
  <c r="R235" i="9"/>
  <c r="V235" i="9"/>
  <c r="AD235" i="9"/>
  <c r="BQ239" i="9"/>
  <c r="BU239" i="9"/>
  <c r="CA270" i="9"/>
  <c r="BD282" i="9"/>
  <c r="AR270" i="9"/>
  <c r="AR257" i="9"/>
  <c r="AV270" i="9"/>
  <c r="AR256" i="9"/>
  <c r="AR282" i="9"/>
  <c r="AP283" i="9"/>
  <c r="AT271" i="9"/>
  <c r="AP257" i="9"/>
  <c r="CC255" i="9"/>
  <c r="AT275" i="9"/>
  <c r="AX275" i="9"/>
  <c r="CA267" i="9"/>
  <c r="AT279" i="9"/>
  <c r="AS279" i="9"/>
  <c r="AW267" i="9"/>
  <c r="AS267" i="9"/>
  <c r="BZ248" i="9"/>
  <c r="AS257" i="9"/>
  <c r="AT282" i="9"/>
  <c r="AS282" i="9"/>
  <c r="AW270" i="9"/>
  <c r="AS270" i="9"/>
  <c r="AQ283" i="9"/>
  <c r="AU271" i="9"/>
  <c r="AQ271" i="9"/>
  <c r="BZ252" i="9"/>
  <c r="BZ269" i="9"/>
  <c r="CB251" i="9"/>
  <c r="CB270" i="9" s="1"/>
  <c r="BF282" i="9"/>
  <c r="BF270" i="9"/>
  <c r="AR283" i="9"/>
  <c r="BY256" i="9"/>
  <c r="BY275" i="9" s="1"/>
  <c r="AP287" i="9"/>
  <c r="BE285" i="9"/>
  <c r="AY287" i="9"/>
  <c r="AY275" i="9"/>
  <c r="AQ257" i="9"/>
  <c r="BZ268" i="9"/>
  <c r="CA269" i="9"/>
  <c r="AP282" i="9"/>
  <c r="AO282" i="9"/>
  <c r="AU287" i="9"/>
  <c r="AU275" i="9"/>
  <c r="AY273" i="9"/>
  <c r="BC273" i="9"/>
  <c r="AO257" i="9"/>
  <c r="BD270" i="9"/>
  <c r="AV271" i="9"/>
  <c r="AW287" i="9"/>
  <c r="AQ282" i="9"/>
  <c r="AU270" i="9"/>
  <c r="AQ270" i="9"/>
  <c r="BE270" i="9"/>
  <c r="AW271" i="9"/>
  <c r="AS283" i="9"/>
  <c r="BA287" i="9"/>
  <c r="AZ287" i="9"/>
  <c r="AZ275" i="9"/>
  <c r="AS271" i="9"/>
  <c r="G343" i="9"/>
  <c r="K343" i="9"/>
  <c r="O343" i="9"/>
  <c r="S343" i="9"/>
  <c r="W343" i="9"/>
  <c r="AA343" i="9"/>
  <c r="I343" i="9"/>
  <c r="M343" i="9"/>
  <c r="Q343" i="9"/>
  <c r="U343" i="9"/>
  <c r="Y343" i="9"/>
  <c r="AC343" i="9"/>
  <c r="BT53" i="15"/>
  <c r="BT54" i="15" s="1"/>
  <c r="BU54" i="15"/>
  <c r="CA49" i="14"/>
  <c r="BR17" i="15"/>
  <c r="BV17" i="15"/>
  <c r="BZ17" i="15"/>
  <c r="BR28" i="15"/>
  <c r="BS28" i="15"/>
  <c r="BV28" i="15"/>
  <c r="BW28" i="15"/>
  <c r="BZ28" i="15"/>
  <c r="CA28" i="15"/>
  <c r="BR29" i="15"/>
  <c r="BS29" i="15"/>
  <c r="BV29" i="15"/>
  <c r="BW29" i="15"/>
  <c r="BZ29" i="15"/>
  <c r="CA29" i="15"/>
  <c r="BR30" i="15"/>
  <c r="BS30" i="15"/>
  <c r="BS53" i="15" s="1"/>
  <c r="BS54" i="15" s="1"/>
  <c r="BV30" i="15"/>
  <c r="BV53" i="15" s="1"/>
  <c r="BV54" i="15" s="1"/>
  <c r="BW30" i="15"/>
  <c r="BZ30" i="15"/>
  <c r="CA30" i="15"/>
  <c r="BR31" i="15"/>
  <c r="BS31" i="15"/>
  <c r="BV31" i="15"/>
  <c r="BW31" i="15"/>
  <c r="BZ31" i="15"/>
  <c r="CA31" i="15"/>
  <c r="BP53" i="15"/>
  <c r="BP54" i="15" s="1"/>
  <c r="BX54" i="15"/>
  <c r="BR53" i="15"/>
  <c r="BR54" i="15" s="1"/>
  <c r="AE53" i="15"/>
  <c r="BW24" i="15"/>
  <c r="AI54" i="15"/>
  <c r="AM54" i="15"/>
  <c r="AQ53" i="15"/>
  <c r="AQ54" i="15" s="1"/>
  <c r="BZ24" i="15"/>
  <c r="BZ53" i="15" s="1"/>
  <c r="BZ54" i="15" s="1"/>
  <c r="AU53" i="15"/>
  <c r="AU54" i="15" s="1"/>
  <c r="CA24" i="15"/>
  <c r="AY54" i="15"/>
  <c r="BQ54" i="15"/>
  <c r="BY54" i="15"/>
  <c r="BV19" i="15"/>
  <c r="BZ19" i="15"/>
  <c r="BR20" i="15"/>
  <c r="BV20" i="15"/>
  <c r="BZ20" i="15"/>
  <c r="BR21" i="15"/>
  <c r="BV21" i="15"/>
  <c r="BZ21" i="15"/>
  <c r="AJ54" i="15"/>
  <c r="AN54" i="15"/>
  <c r="AR54" i="15"/>
  <c r="AV54" i="15"/>
  <c r="AZ54" i="15"/>
  <c r="BR27" i="15"/>
  <c r="BS27" i="15"/>
  <c r="BV27" i="15"/>
  <c r="BW27" i="15"/>
  <c r="BZ27" i="15"/>
  <c r="CA27" i="15"/>
  <c r="BQ17" i="15"/>
  <c r="BU17" i="15"/>
  <c r="BY17" i="15"/>
  <c r="CB39" i="15"/>
  <c r="AG53" i="15"/>
  <c r="AK53" i="15"/>
  <c r="AK54" i="15" s="1"/>
  <c r="AO53" i="15"/>
  <c r="AO54" i="15" s="1"/>
  <c r="AS53" i="15"/>
  <c r="AS54" i="15" s="1"/>
  <c r="AW53" i="15"/>
  <c r="AW54" i="15" s="1"/>
  <c r="BA53" i="15"/>
  <c r="BA54" i="15" s="1"/>
  <c r="AH53" i="15"/>
  <c r="AL53" i="15"/>
  <c r="AL54" i="15" s="1"/>
  <c r="AP53" i="15"/>
  <c r="AP54" i="15" s="1"/>
  <c r="AT53" i="15"/>
  <c r="AT54" i="15" s="1"/>
  <c r="AX53" i="15"/>
  <c r="AX54" i="15" s="1"/>
  <c r="BZ49" i="15"/>
  <c r="CA49" i="15"/>
  <c r="BP50" i="15"/>
  <c r="BA51" i="15"/>
  <c r="BC17" i="14"/>
  <c r="BD17" i="14" s="1"/>
  <c r="BE17" i="14" s="1"/>
  <c r="BF17" i="14" s="1"/>
  <c r="CB17" i="14"/>
  <c r="CB16" i="14"/>
  <c r="BC16" i="14"/>
  <c r="CB13" i="14"/>
  <c r="BC13" i="14"/>
  <c r="BC18" i="14"/>
  <c r="BD18" i="14" s="1"/>
  <c r="BE18" i="14" s="1"/>
  <c r="BF18" i="14" s="1"/>
  <c r="CB18" i="14"/>
  <c r="CC27" i="14"/>
  <c r="BG27" i="14"/>
  <c r="BY8" i="14"/>
  <c r="BY100" i="13" s="1"/>
  <c r="BZ98" i="13" s="1"/>
  <c r="BY9" i="14"/>
  <c r="BQ10" i="14"/>
  <c r="BU10" i="14"/>
  <c r="BY10" i="14"/>
  <c r="BQ11" i="14"/>
  <c r="BU11" i="14"/>
  <c r="BY11" i="14"/>
  <c r="BQ12" i="14"/>
  <c r="BU12" i="14"/>
  <c r="BY12" i="14"/>
  <c r="BC26" i="14"/>
  <c r="BP22" i="14"/>
  <c r="BX22" i="14"/>
  <c r="BC35" i="14"/>
  <c r="BD35" i="14" s="1"/>
  <c r="BE35" i="14" s="1"/>
  <c r="BF35" i="14" s="1"/>
  <c r="CB35" i="14"/>
  <c r="D39" i="14"/>
  <c r="H39" i="14"/>
  <c r="L39" i="14"/>
  <c r="P39" i="14"/>
  <c r="T39" i="14"/>
  <c r="X39" i="14"/>
  <c r="AB39" i="14"/>
  <c r="AF39" i="14"/>
  <c r="AJ39" i="14"/>
  <c r="AN39" i="14"/>
  <c r="AR39" i="14"/>
  <c r="AV39" i="14"/>
  <c r="AZ39" i="14"/>
  <c r="BZ8" i="14"/>
  <c r="BZ100" i="13" s="1"/>
  <c r="CA98" i="13" s="1"/>
  <c r="BZ9" i="14"/>
  <c r="BR10" i="14"/>
  <c r="BV10" i="14"/>
  <c r="BZ10" i="14"/>
  <c r="BR11" i="14"/>
  <c r="BV11" i="14"/>
  <c r="BZ11" i="14"/>
  <c r="BR12" i="14"/>
  <c r="BV12" i="14"/>
  <c r="BZ12" i="14"/>
  <c r="AG74" i="14"/>
  <c r="AK74" i="14"/>
  <c r="AO74" i="14"/>
  <c r="AS74" i="14"/>
  <c r="AW74" i="14"/>
  <c r="BA74" i="14"/>
  <c r="BR22" i="14"/>
  <c r="BZ22" i="14"/>
  <c r="BC34" i="14"/>
  <c r="CB34" i="14"/>
  <c r="E39" i="14"/>
  <c r="I39" i="14"/>
  <c r="M39" i="14"/>
  <c r="Q39" i="14"/>
  <c r="U39" i="14"/>
  <c r="Y39" i="14"/>
  <c r="AC39" i="14"/>
  <c r="AG39" i="14"/>
  <c r="AK39" i="14"/>
  <c r="AO39" i="14"/>
  <c r="AS39" i="14"/>
  <c r="AW39" i="14"/>
  <c r="BA39" i="14"/>
  <c r="BQ39" i="14"/>
  <c r="BW8" i="14"/>
  <c r="CA8" i="14"/>
  <c r="CA100" i="13" s="1"/>
  <c r="CB98" i="13" s="1"/>
  <c r="BW9" i="14"/>
  <c r="CA9" i="14"/>
  <c r="BS10" i="14"/>
  <c r="BS42" i="14" s="1"/>
  <c r="BW10" i="14"/>
  <c r="BW42" i="14" s="1"/>
  <c r="CA10" i="14"/>
  <c r="CA42" i="14" s="1"/>
  <c r="BS11" i="14"/>
  <c r="BS43" i="14" s="1"/>
  <c r="BW11" i="14"/>
  <c r="BW43" i="14" s="1"/>
  <c r="CA11" i="14"/>
  <c r="CA43" i="14" s="1"/>
  <c r="BS12" i="14"/>
  <c r="BS45" i="14" s="1"/>
  <c r="BW12" i="14"/>
  <c r="BW45" i="14" s="1"/>
  <c r="CA12" i="14"/>
  <c r="CA45" i="14" s="1"/>
  <c r="BC23" i="14"/>
  <c r="BC23" i="15" s="1"/>
  <c r="AH74" i="14"/>
  <c r="BW24" i="14"/>
  <c r="AL74" i="14"/>
  <c r="AP74" i="14"/>
  <c r="BY24" i="14"/>
  <c r="AT74" i="14"/>
  <c r="AX74" i="14"/>
  <c r="CA24" i="14"/>
  <c r="BA60" i="14"/>
  <c r="BA61" i="14" s="1"/>
  <c r="BA63" i="14" s="1"/>
  <c r="BA64" i="14" s="1"/>
  <c r="BC28" i="14"/>
  <c r="BT22" i="14"/>
  <c r="BC31" i="14"/>
  <c r="J39" i="14"/>
  <c r="N39" i="14"/>
  <c r="R39" i="14"/>
  <c r="BU39" i="14"/>
  <c r="AD39" i="14"/>
  <c r="AH39" i="14"/>
  <c r="AP39" i="14"/>
  <c r="BZ39" i="14"/>
  <c r="AX39" i="14"/>
  <c r="BX8" i="14"/>
  <c r="BX9" i="14"/>
  <c r="BP10" i="14"/>
  <c r="BT10" i="14"/>
  <c r="BX10" i="14"/>
  <c r="BP11" i="14"/>
  <c r="BT11" i="14"/>
  <c r="BX11" i="14"/>
  <c r="J44" i="14"/>
  <c r="BQ22" i="14"/>
  <c r="BS22" i="14"/>
  <c r="BS44" i="14" s="1"/>
  <c r="R44" i="14"/>
  <c r="Z44" i="14"/>
  <c r="BU22" i="14"/>
  <c r="BW22" i="14"/>
  <c r="BW44" i="14" s="1"/>
  <c r="AH44" i="14"/>
  <c r="AP44" i="14"/>
  <c r="BY22" i="14"/>
  <c r="CA22" i="14"/>
  <c r="CA44" i="14" s="1"/>
  <c r="AX44" i="14"/>
  <c r="AE74" i="14"/>
  <c r="AI74" i="14"/>
  <c r="AM74" i="14"/>
  <c r="AQ74" i="14"/>
  <c r="AU74" i="14"/>
  <c r="AY74" i="14"/>
  <c r="BV22" i="14"/>
  <c r="C39" i="14"/>
  <c r="G39" i="14"/>
  <c r="K39" i="14"/>
  <c r="O39" i="14"/>
  <c r="S39" i="14"/>
  <c r="W39" i="14"/>
  <c r="AA39" i="14"/>
  <c r="AE39" i="14"/>
  <c r="AI39" i="14"/>
  <c r="AM39" i="14"/>
  <c r="AQ39" i="14"/>
  <c r="AU39" i="14"/>
  <c r="AY39" i="14"/>
  <c r="BI44" i="14"/>
  <c r="AF74" i="14"/>
  <c r="AJ74" i="14"/>
  <c r="AN74" i="14"/>
  <c r="AR74" i="14"/>
  <c r="AV74" i="14"/>
  <c r="AZ74" i="14"/>
  <c r="BY25" i="14"/>
  <c r="BY101" i="13" s="1"/>
  <c r="BZ99" i="13" s="1"/>
  <c r="AF70" i="14"/>
  <c r="AF71" i="14" s="1"/>
  <c r="AF67" i="14"/>
  <c r="AF68" i="14" s="1"/>
  <c r="AJ70" i="14"/>
  <c r="AJ71" i="14" s="1"/>
  <c r="AJ67" i="14"/>
  <c r="AJ68" i="14" s="1"/>
  <c r="AN70" i="14"/>
  <c r="AN71" i="14" s="1"/>
  <c r="AN67" i="14"/>
  <c r="AN68" i="14" s="1"/>
  <c r="AR70" i="14"/>
  <c r="AR71" i="14" s="1"/>
  <c r="AR67" i="14"/>
  <c r="AR68" i="14" s="1"/>
  <c r="AV70" i="14"/>
  <c r="AV71" i="14" s="1"/>
  <c r="AV67" i="14"/>
  <c r="AV68" i="14" s="1"/>
  <c r="AZ70" i="14"/>
  <c r="AZ71" i="14" s="1"/>
  <c r="AZ67" i="14"/>
  <c r="AZ68" i="14" s="1"/>
  <c r="BR38" i="14"/>
  <c r="BR39" i="14" s="1"/>
  <c r="BW38" i="14"/>
  <c r="BW39" i="14" s="1"/>
  <c r="AX60" i="14"/>
  <c r="AX61" i="14" s="1"/>
  <c r="AX63" i="14" s="1"/>
  <c r="AX64" i="14" s="1"/>
  <c r="AG70" i="14"/>
  <c r="AG71" i="14" s="1"/>
  <c r="AG67" i="14"/>
  <c r="AG68" i="14" s="1"/>
  <c r="AK70" i="14"/>
  <c r="AK71" i="14" s="1"/>
  <c r="AK67" i="14"/>
  <c r="AK68" i="14" s="1"/>
  <c r="AO70" i="14"/>
  <c r="AO71" i="14" s="1"/>
  <c r="AO67" i="14"/>
  <c r="AO68" i="14" s="1"/>
  <c r="AS70" i="14"/>
  <c r="AS71" i="14" s="1"/>
  <c r="AS67" i="14"/>
  <c r="AS68" i="14" s="1"/>
  <c r="AW70" i="14"/>
  <c r="AW71" i="14" s="1"/>
  <c r="AW67" i="14"/>
  <c r="AW68" i="14" s="1"/>
  <c r="BA70" i="14"/>
  <c r="BA71" i="14" s="1"/>
  <c r="BA67" i="14"/>
  <c r="BA68" i="14" s="1"/>
  <c r="BS38" i="14"/>
  <c r="BS39" i="14" s="1"/>
  <c r="BY38" i="14"/>
  <c r="BY39" i="14" s="1"/>
  <c r="BW25" i="14"/>
  <c r="AH70" i="14"/>
  <c r="AH71" i="14" s="1"/>
  <c r="AH67" i="14"/>
  <c r="AH68" i="14" s="1"/>
  <c r="AL70" i="14"/>
  <c r="AL71" i="14" s="1"/>
  <c r="AL67" i="14"/>
  <c r="AL68" i="14" s="1"/>
  <c r="BX37" i="14"/>
  <c r="AP70" i="14"/>
  <c r="AP71" i="14" s="1"/>
  <c r="AP67" i="14"/>
  <c r="AP68" i="14" s="1"/>
  <c r="AT70" i="14"/>
  <c r="AT71" i="14" s="1"/>
  <c r="AT67" i="14"/>
  <c r="AT68" i="14" s="1"/>
  <c r="AX70" i="14"/>
  <c r="AX71" i="14" s="1"/>
  <c r="AX67" i="14"/>
  <c r="AX68" i="14" s="1"/>
  <c r="BP39" i="14"/>
  <c r="BT39" i="14"/>
  <c r="BX39" i="14"/>
  <c r="F39" i="14"/>
  <c r="V39" i="14"/>
  <c r="Z39" i="14"/>
  <c r="AL39" i="14"/>
  <c r="AT39" i="14"/>
  <c r="BQ32" i="14"/>
  <c r="BU32" i="14"/>
  <c r="BY32" i="14"/>
  <c r="BZ37" i="14"/>
  <c r="AE70" i="14"/>
  <c r="AE71" i="14" s="1"/>
  <c r="AE67" i="14"/>
  <c r="AE68" i="14" s="1"/>
  <c r="AI70" i="14"/>
  <c r="AI71" i="14" s="1"/>
  <c r="AI67" i="14"/>
  <c r="AI68" i="14" s="1"/>
  <c r="AM70" i="14"/>
  <c r="AM71" i="14" s="1"/>
  <c r="AM67" i="14"/>
  <c r="AM68" i="14" s="1"/>
  <c r="AQ70" i="14"/>
  <c r="AQ71" i="14" s="1"/>
  <c r="AQ67" i="14"/>
  <c r="AQ68" i="14" s="1"/>
  <c r="AU70" i="14"/>
  <c r="AU71" i="14" s="1"/>
  <c r="AU67" i="14"/>
  <c r="AU68" i="14" s="1"/>
  <c r="AY70" i="14"/>
  <c r="AY71" i="14" s="1"/>
  <c r="AY67" i="14"/>
  <c r="AY68" i="14" s="1"/>
  <c r="BR32" i="14"/>
  <c r="BV32" i="14"/>
  <c r="BZ32" i="14"/>
  <c r="BV39" i="14"/>
  <c r="CA39" i="14"/>
  <c r="BP47" i="14"/>
  <c r="BP45" i="14" s="1"/>
  <c r="BQ47" i="14"/>
  <c r="BR47" i="14"/>
  <c r="BT47" i="14"/>
  <c r="BT45" i="14" s="1"/>
  <c r="BU47" i="14"/>
  <c r="BV47" i="14"/>
  <c r="BP48" i="14"/>
  <c r="BQ48" i="14"/>
  <c r="BR48" i="14"/>
  <c r="BT48" i="14"/>
  <c r="BU48" i="14"/>
  <c r="BV48" i="14"/>
  <c r="BX47" i="14"/>
  <c r="BX45" i="14" s="1"/>
  <c r="BY47" i="14"/>
  <c r="BZ47" i="14"/>
  <c r="BX48" i="14"/>
  <c r="BY48" i="14"/>
  <c r="BZ48" i="14"/>
  <c r="AR243" i="9"/>
  <c r="AE15" i="9"/>
  <c r="AI15" i="9"/>
  <c r="AM15" i="9"/>
  <c r="AQ15" i="9"/>
  <c r="AU15" i="9"/>
  <c r="AY15" i="9"/>
  <c r="AF15" i="9"/>
  <c r="AV15" i="9"/>
  <c r="AG15" i="9"/>
  <c r="AS15" i="9"/>
  <c r="AW15" i="9"/>
  <c r="BA15" i="9"/>
  <c r="AJ15" i="9"/>
  <c r="AZ15" i="9"/>
  <c r="AH15" i="9"/>
  <c r="AL15" i="9"/>
  <c r="AP15" i="9"/>
  <c r="AT15" i="9"/>
  <c r="AX15" i="9"/>
  <c r="AN15" i="9"/>
  <c r="BW53" i="15" l="1"/>
  <c r="BW54" i="15" s="1"/>
  <c r="BY13" i="9"/>
  <c r="BU13" i="9"/>
  <c r="BZ49" i="14"/>
  <c r="CA53" i="15"/>
  <c r="CA54" i="15" s="1"/>
  <c r="BX113" i="9"/>
  <c r="BW13" i="9"/>
  <c r="BV13" i="9"/>
  <c r="BR7" i="9"/>
  <c r="CC181" i="9"/>
  <c r="CC139" i="9"/>
  <c r="BE73" i="9"/>
  <c r="BD70" i="9"/>
  <c r="CC185" i="9"/>
  <c r="BC71" i="9"/>
  <c r="BD28" i="14"/>
  <c r="BC45" i="15"/>
  <c r="BD26" i="14"/>
  <c r="BC33" i="15"/>
  <c r="BH27" i="14"/>
  <c r="BG44" i="15"/>
  <c r="BD13" i="14"/>
  <c r="BD14" i="15" s="1"/>
  <c r="BC14" i="15"/>
  <c r="BD16" i="14"/>
  <c r="BD16" i="15" s="1"/>
  <c r="BC16" i="15"/>
  <c r="CC44" i="15"/>
  <c r="CB33" i="14"/>
  <c r="BC33" i="14"/>
  <c r="BB52" i="14"/>
  <c r="BD10" i="15"/>
  <c r="AK15" i="9"/>
  <c r="AO15" i="9"/>
  <c r="BD34" i="14"/>
  <c r="BC41" i="15"/>
  <c r="BV7" i="9"/>
  <c r="AH83" i="9"/>
  <c r="AH105" i="9"/>
  <c r="AW275" i="9"/>
  <c r="L225" i="9"/>
  <c r="M244" i="9"/>
  <c r="M232" i="9"/>
  <c r="M225" i="9"/>
  <c r="Y244" i="9"/>
  <c r="Y225" i="9"/>
  <c r="X240" i="9"/>
  <c r="H240" i="9"/>
  <c r="M242" i="9"/>
  <c r="P244" i="9"/>
  <c r="P232" i="9"/>
  <c r="AB244" i="9"/>
  <c r="BX169" i="9"/>
  <c r="AI154" i="9"/>
  <c r="O240" i="9"/>
  <c r="X242" i="9"/>
  <c r="H242" i="9"/>
  <c r="O232" i="9"/>
  <c r="Y232" i="9"/>
  <c r="N244" i="9"/>
  <c r="N217" i="9"/>
  <c r="N225" i="9"/>
  <c r="Y240" i="9"/>
  <c r="BD181" i="9"/>
  <c r="BD115" i="9"/>
  <c r="BD116" i="9" s="1"/>
  <c r="CA211" i="9"/>
  <c r="BX211" i="9"/>
  <c r="BV190" i="9"/>
  <c r="AD244" i="9"/>
  <c r="AD217" i="9"/>
  <c r="AD225" i="9"/>
  <c r="BV184" i="9"/>
  <c r="BW185" i="9" s="1"/>
  <c r="AR181" i="9"/>
  <c r="AR115" i="9"/>
  <c r="AR116" i="9" s="1"/>
  <c r="AM181" i="9"/>
  <c r="AM115" i="9"/>
  <c r="AM116" i="9" s="1"/>
  <c r="BH251" i="9"/>
  <c r="BI138" i="9"/>
  <c r="BH120" i="9"/>
  <c r="BH176" i="9"/>
  <c r="BH147" i="9"/>
  <c r="BG270" i="9"/>
  <c r="BG282" i="9"/>
  <c r="BZ147" i="9"/>
  <c r="BZ148" i="9" s="1"/>
  <c r="AQ148" i="9"/>
  <c r="AC174" i="9"/>
  <c r="AC180" i="9" s="1"/>
  <c r="AC181" i="9" s="1"/>
  <c r="AC136" i="9"/>
  <c r="AC147" i="9"/>
  <c r="AC148" i="9" s="1"/>
  <c r="AC120" i="9"/>
  <c r="AC121" i="9" s="1"/>
  <c r="CC80" i="9"/>
  <c r="BG79" i="9"/>
  <c r="BF104" i="9"/>
  <c r="CC104" i="9" s="1"/>
  <c r="BF80" i="9"/>
  <c r="BE280" i="9"/>
  <c r="BE268" i="9"/>
  <c r="X120" i="9"/>
  <c r="X121" i="9" s="1"/>
  <c r="X136" i="9"/>
  <c r="X174" i="9"/>
  <c r="X180" i="9" s="1"/>
  <c r="X181" i="9" s="1"/>
  <c r="X147" i="9"/>
  <c r="X148" i="9" s="1"/>
  <c r="BW77" i="9"/>
  <c r="BW78" i="9"/>
  <c r="BU77" i="9"/>
  <c r="BD280" i="9"/>
  <c r="BD268" i="9"/>
  <c r="BW119" i="9"/>
  <c r="AE135" i="9"/>
  <c r="BV119" i="9"/>
  <c r="AA135" i="9"/>
  <c r="W135" i="9"/>
  <c r="BU119" i="9"/>
  <c r="AK43" i="9"/>
  <c r="AJ36" i="9"/>
  <c r="BW63" i="9"/>
  <c r="BX67" i="9"/>
  <c r="BY14" i="9"/>
  <c r="X105" i="9"/>
  <c r="X106" i="9" s="1"/>
  <c r="X83" i="9"/>
  <c r="X70" i="9"/>
  <c r="X32" i="9" s="1"/>
  <c r="X33" i="9" s="1"/>
  <c r="BX31" i="9"/>
  <c r="AI24" i="9"/>
  <c r="AI23" i="9"/>
  <c r="AJ24" i="9"/>
  <c r="AW18" i="9"/>
  <c r="AS18" i="9"/>
  <c r="AO24" i="9"/>
  <c r="AO23" i="9"/>
  <c r="AK24" i="9"/>
  <c r="AK23" i="9"/>
  <c r="AG18" i="9"/>
  <c r="BZ13" i="9"/>
  <c r="BZ271" i="9"/>
  <c r="CA271" i="9"/>
  <c r="CC274" i="9"/>
  <c r="AQ287" i="9"/>
  <c r="AQ275" i="9"/>
  <c r="BZ256" i="9"/>
  <c r="U217" i="9"/>
  <c r="AV286" i="9"/>
  <c r="AV274" i="9"/>
  <c r="V242" i="9"/>
  <c r="AA232" i="9"/>
  <c r="I244" i="9"/>
  <c r="I225" i="9"/>
  <c r="I232" i="9"/>
  <c r="BS241" i="9"/>
  <c r="O242" i="9"/>
  <c r="S244" i="9"/>
  <c r="S217" i="9"/>
  <c r="BT238" i="9"/>
  <c r="I242" i="9"/>
  <c r="L244" i="9"/>
  <c r="L232" i="9"/>
  <c r="BV241" i="9"/>
  <c r="AA242" i="9"/>
  <c r="K240" i="9"/>
  <c r="AW286" i="9"/>
  <c r="BY189" i="9"/>
  <c r="BY190" i="9" s="1"/>
  <c r="BY185" i="9"/>
  <c r="CB194" i="9"/>
  <c r="CB185" i="9"/>
  <c r="J244" i="9"/>
  <c r="J232" i="9"/>
  <c r="J217" i="9"/>
  <c r="J225" i="9"/>
  <c r="W244" i="9"/>
  <c r="W217" i="9"/>
  <c r="AT181" i="9"/>
  <c r="AT115" i="9"/>
  <c r="AT116" i="9" s="1"/>
  <c r="BK178" i="9"/>
  <c r="CE144" i="9"/>
  <c r="CE146" i="9" s="1"/>
  <c r="AI190" i="9"/>
  <c r="BX189" i="9"/>
  <c r="BX190" i="9" s="1"/>
  <c r="BE181" i="9"/>
  <c r="BE115" i="9"/>
  <c r="BE116" i="9" s="1"/>
  <c r="AS181" i="9"/>
  <c r="AS115" i="9"/>
  <c r="AS116" i="9" s="1"/>
  <c r="BZ254" i="9"/>
  <c r="BZ143" i="9"/>
  <c r="BZ142" i="9"/>
  <c r="CA143" i="9"/>
  <c r="AL174" i="9"/>
  <c r="AL180" i="9" s="1"/>
  <c r="AL144" i="9"/>
  <c r="AL120" i="9" s="1"/>
  <c r="AL121" i="9" s="1"/>
  <c r="AL136" i="9"/>
  <c r="CB269" i="9"/>
  <c r="CB87" i="9"/>
  <c r="CB88" i="9" s="1"/>
  <c r="BU75" i="9"/>
  <c r="BU74" i="9"/>
  <c r="BD281" i="9"/>
  <c r="BD269" i="9"/>
  <c r="BZ134" i="9"/>
  <c r="BZ139" i="9"/>
  <c r="BZ136" i="9"/>
  <c r="BZ115" i="9"/>
  <c r="BZ116" i="9" s="1"/>
  <c r="BZ111" i="9"/>
  <c r="BZ14" i="9"/>
  <c r="BZ6" i="9" s="1"/>
  <c r="BZ113" i="9" s="1"/>
  <c r="BX119" i="9"/>
  <c r="BX121" i="9" s="1"/>
  <c r="AI135" i="9"/>
  <c r="BC280" i="9"/>
  <c r="BC268" i="9"/>
  <c r="AL104" i="9"/>
  <c r="AP80" i="9"/>
  <c r="AD83" i="9"/>
  <c r="AD105" i="9"/>
  <c r="AD106" i="9" s="1"/>
  <c r="AD70" i="9"/>
  <c r="AD32" i="9" s="1"/>
  <c r="AD33" i="9" s="1"/>
  <c r="BW67" i="9"/>
  <c r="BU14" i="9"/>
  <c r="BU18" i="9" s="1"/>
  <c r="AL23" i="9"/>
  <c r="AL24" i="9"/>
  <c r="AM80" i="9"/>
  <c r="BX79" i="9"/>
  <c r="AI104" i="9"/>
  <c r="AI87" i="9"/>
  <c r="AI70" i="9"/>
  <c r="AE83" i="9"/>
  <c r="AE105" i="9"/>
  <c r="AE106" i="9" s="1"/>
  <c r="AE70" i="9"/>
  <c r="BV23" i="9"/>
  <c r="BU31" i="9"/>
  <c r="BU7" i="9"/>
  <c r="AR53" i="9"/>
  <c r="AQ66" i="9"/>
  <c r="AQ54" i="9"/>
  <c r="BA18" i="9"/>
  <c r="AK86" i="9"/>
  <c r="AK70" i="9"/>
  <c r="AK77" i="9"/>
  <c r="AO77" i="9"/>
  <c r="BX76" i="9"/>
  <c r="AC14" i="9"/>
  <c r="AC18" i="9" s="1"/>
  <c r="AR287" i="9"/>
  <c r="AV275" i="9"/>
  <c r="AR275" i="9"/>
  <c r="O244" i="9"/>
  <c r="BS238" i="9"/>
  <c r="O217" i="9"/>
  <c r="U244" i="9"/>
  <c r="U232" i="9"/>
  <c r="U225" i="9"/>
  <c r="AC244" i="9"/>
  <c r="AC225" i="9"/>
  <c r="K244" i="9"/>
  <c r="BR238" i="9"/>
  <c r="BR25" i="9" s="1"/>
  <c r="K217" i="9"/>
  <c r="U242" i="9"/>
  <c r="Z199" i="9"/>
  <c r="Z232" i="9"/>
  <c r="Z238" i="9"/>
  <c r="BU238" i="9" s="1"/>
  <c r="Z184" i="9"/>
  <c r="Z14" i="9" s="1"/>
  <c r="Z18" i="9" s="1"/>
  <c r="H244" i="9"/>
  <c r="H232" i="9"/>
  <c r="X244" i="9"/>
  <c r="BZ189" i="9"/>
  <c r="BZ190" i="9" s="1"/>
  <c r="BZ185" i="9"/>
  <c r="BR241" i="9"/>
  <c r="K242" i="9"/>
  <c r="AA244" i="9"/>
  <c r="BV238" i="9"/>
  <c r="AA217" i="9"/>
  <c r="V244" i="9"/>
  <c r="V217" i="9"/>
  <c r="V225" i="9"/>
  <c r="AD186" i="9"/>
  <c r="AH185" i="9"/>
  <c r="BA181" i="9"/>
  <c r="BA115" i="9"/>
  <c r="BA116" i="9" s="1"/>
  <c r="AN180" i="9"/>
  <c r="AN154" i="9"/>
  <c r="AQ181" i="9"/>
  <c r="AQ115" i="9"/>
  <c r="AQ116" i="9" s="1"/>
  <c r="BF273" i="9"/>
  <c r="BF285" i="9"/>
  <c r="AD174" i="9"/>
  <c r="AD180" i="9" s="1"/>
  <c r="AD181" i="9" s="1"/>
  <c r="AD136" i="9"/>
  <c r="AG181" i="9"/>
  <c r="AG115" i="9"/>
  <c r="AG116" i="9" s="1"/>
  <c r="BY147" i="9"/>
  <c r="BY148" i="9" s="1"/>
  <c r="BF249" i="9"/>
  <c r="BG76" i="9"/>
  <c r="BF103" i="9"/>
  <c r="CC103" i="9" s="1"/>
  <c r="BF86" i="9"/>
  <c r="BF77" i="9"/>
  <c r="AJ144" i="9"/>
  <c r="AJ120" i="9" s="1"/>
  <c r="AJ121" i="9" s="1"/>
  <c r="AJ174" i="9"/>
  <c r="AJ180" i="9" s="1"/>
  <c r="AJ136" i="9"/>
  <c r="AJ147" i="9"/>
  <c r="AJ148" i="9" s="1"/>
  <c r="AF120" i="9"/>
  <c r="AF121" i="9" s="1"/>
  <c r="AF136" i="9"/>
  <c r="AF174" i="9"/>
  <c r="AF180" i="9" s="1"/>
  <c r="BW75" i="9"/>
  <c r="BW74" i="9"/>
  <c r="CC115" i="9"/>
  <c r="CC116" i="9" s="1"/>
  <c r="CC111" i="9"/>
  <c r="CC120" i="9"/>
  <c r="CC121" i="9" s="1"/>
  <c r="CA139" i="9"/>
  <c r="CA120" i="9"/>
  <c r="CA121" i="9" s="1"/>
  <c r="CA111" i="9"/>
  <c r="CA115" i="9"/>
  <c r="CA116" i="9" s="1"/>
  <c r="BY134" i="9"/>
  <c r="BY115" i="9"/>
  <c r="BY116" i="9" s="1"/>
  <c r="BY139" i="9"/>
  <c r="BY111" i="9"/>
  <c r="BV116" i="9"/>
  <c r="BV111" i="9"/>
  <c r="BU111" i="9"/>
  <c r="BU116" i="9"/>
  <c r="CB71" i="9"/>
  <c r="CA71" i="9"/>
  <c r="AJ49" i="9"/>
  <c r="AK56" i="9"/>
  <c r="BX73" i="9"/>
  <c r="AL102" i="9"/>
  <c r="BX102" i="9" s="1"/>
  <c r="AL87" i="9"/>
  <c r="AL70" i="9"/>
  <c r="AP74" i="9"/>
  <c r="AL74" i="9"/>
  <c r="AL77" i="9"/>
  <c r="AH77" i="9"/>
  <c r="AH103" i="9"/>
  <c r="AH106" i="9" s="1"/>
  <c r="AH70" i="9"/>
  <c r="AR40" i="9"/>
  <c r="AQ41" i="9"/>
  <c r="AK94" i="9"/>
  <c r="AL94" i="9" s="1"/>
  <c r="AJ103" i="9"/>
  <c r="AF103" i="9"/>
  <c r="AF77" i="9"/>
  <c r="AJ77" i="9"/>
  <c r="AB105" i="9"/>
  <c r="AB106" i="9" s="1"/>
  <c r="AB83" i="9"/>
  <c r="AB70" i="9"/>
  <c r="AB32" i="9" s="1"/>
  <c r="AB33" i="9" s="1"/>
  <c r="BX25" i="9"/>
  <c r="BX14" i="9"/>
  <c r="BX18" i="9" s="1"/>
  <c r="CA78" i="9"/>
  <c r="CA81" i="9"/>
  <c r="CA75" i="9"/>
  <c r="CA14" i="9"/>
  <c r="AK18" i="9"/>
  <c r="AK104" i="9"/>
  <c r="AK87" i="9"/>
  <c r="AO80" i="9"/>
  <c r="AG103" i="9"/>
  <c r="AG77" i="9"/>
  <c r="BS25" i="9"/>
  <c r="BZ267" i="9"/>
  <c r="Z235" i="9"/>
  <c r="AS275" i="9"/>
  <c r="AS287" i="9"/>
  <c r="CC270" i="9"/>
  <c r="G244" i="9"/>
  <c r="BQ238" i="9"/>
  <c r="BQ25" i="9" s="1"/>
  <c r="G217" i="9"/>
  <c r="AC217" i="9"/>
  <c r="AZ286" i="9"/>
  <c r="AZ274" i="9"/>
  <c r="Q244" i="9"/>
  <c r="Q225" i="9"/>
  <c r="Q232" i="9"/>
  <c r="G225" i="9"/>
  <c r="CA255" i="9"/>
  <c r="CA274" i="9" s="1"/>
  <c r="L240" i="9"/>
  <c r="Q242" i="9"/>
  <c r="T232" i="9"/>
  <c r="T244" i="9"/>
  <c r="X232" i="9"/>
  <c r="AC240" i="9"/>
  <c r="S240" i="9"/>
  <c r="L242" i="9"/>
  <c r="S232" i="9"/>
  <c r="BL178" i="9"/>
  <c r="S242" i="9"/>
  <c r="CA194" i="9"/>
  <c r="CA185" i="9"/>
  <c r="CA189" i="9"/>
  <c r="CA190" i="9" s="1"/>
  <c r="R244" i="9"/>
  <c r="R232" i="9"/>
  <c r="R217" i="9"/>
  <c r="R225" i="9"/>
  <c r="AD190" i="9"/>
  <c r="I240" i="9"/>
  <c r="AC190" i="9"/>
  <c r="BF181" i="9"/>
  <c r="BF115" i="9"/>
  <c r="BF116" i="9" s="1"/>
  <c r="AP181" i="9"/>
  <c r="AP115" i="9"/>
  <c r="AP116" i="9" s="1"/>
  <c r="AH181" i="9"/>
  <c r="AH115" i="9"/>
  <c r="AH116" i="9" s="1"/>
  <c r="BY145" i="9"/>
  <c r="BZ211" i="9"/>
  <c r="AE190" i="9"/>
  <c r="BW189" i="9"/>
  <c r="BW190" i="9" s="1"/>
  <c r="AD147" i="9"/>
  <c r="AD148" i="9" s="1"/>
  <c r="BH254" i="9"/>
  <c r="BH177" i="9"/>
  <c r="BI141" i="9"/>
  <c r="BG273" i="9"/>
  <c r="BG285" i="9"/>
  <c r="BY254" i="9"/>
  <c r="BY143" i="9"/>
  <c r="BY142" i="9"/>
  <c r="BG110" i="9"/>
  <c r="BG180" i="9"/>
  <c r="BZ129" i="9"/>
  <c r="BZ128" i="9"/>
  <c r="AK174" i="9"/>
  <c r="AK180" i="9" s="1"/>
  <c r="AK136" i="9"/>
  <c r="AK144" i="9"/>
  <c r="AK120" i="9" s="1"/>
  <c r="AK121" i="9" s="1"/>
  <c r="CB111" i="9"/>
  <c r="AJ105" i="9"/>
  <c r="AK96" i="9"/>
  <c r="AD120" i="9"/>
  <c r="AD121" i="9" s="1"/>
  <c r="BV74" i="9"/>
  <c r="BV75" i="9"/>
  <c r="AB120" i="9"/>
  <c r="AB121" i="9" s="1"/>
  <c r="AB174" i="9"/>
  <c r="AB180" i="9" s="1"/>
  <c r="AB181" i="9" s="1"/>
  <c r="AB136" i="9"/>
  <c r="CC76" i="9"/>
  <c r="BZ119" i="9"/>
  <c r="BZ121" i="9" s="1"/>
  <c r="BY119" i="9"/>
  <c r="BY121" i="9" s="1"/>
  <c r="BW111" i="9"/>
  <c r="AO68" i="9"/>
  <c r="AO67" i="9"/>
  <c r="AP23" i="9"/>
  <c r="AP24" i="9"/>
  <c r="Z83" i="9"/>
  <c r="Z105" i="9"/>
  <c r="Z106" i="9" s="1"/>
  <c r="Z70" i="9"/>
  <c r="Z32" i="9" s="1"/>
  <c r="Z33" i="9" s="1"/>
  <c r="AI106" i="9"/>
  <c r="BY66" i="9"/>
  <c r="BY67" i="9" s="1"/>
  <c r="AN23" i="9"/>
  <c r="AN24" i="9"/>
  <c r="AJ104" i="9"/>
  <c r="AJ87" i="9"/>
  <c r="AN80" i="9"/>
  <c r="AJ70" i="9"/>
  <c r="AF82" i="9"/>
  <c r="AD14" i="9"/>
  <c r="AD18" i="9" s="1"/>
  <c r="BT83" i="9"/>
  <c r="BT81" i="9"/>
  <c r="BT25" i="9"/>
  <c r="BY31" i="9"/>
  <c r="BY23" i="9" s="1"/>
  <c r="AM24" i="9"/>
  <c r="AM23" i="9"/>
  <c r="BW31" i="9"/>
  <c r="BW23" i="9" s="1"/>
  <c r="AF24" i="9"/>
  <c r="BV82" i="9"/>
  <c r="BV83" i="9" s="1"/>
  <c r="AA105" i="9"/>
  <c r="AA106" i="9" s="1"/>
  <c r="AA70" i="9"/>
  <c r="AA83" i="9"/>
  <c r="BU82" i="9"/>
  <c r="BU83" i="9" s="1"/>
  <c r="W83" i="9"/>
  <c r="W105" i="9"/>
  <c r="W106" i="9" s="1"/>
  <c r="W70" i="9"/>
  <c r="AP67" i="9"/>
  <c r="AP68" i="9"/>
  <c r="AO18" i="9"/>
  <c r="BW25" i="9"/>
  <c r="BW14" i="9"/>
  <c r="BW18" i="9" s="1"/>
  <c r="AG82" i="9"/>
  <c r="AG70" i="9" s="1"/>
  <c r="AC105" i="9"/>
  <c r="AC106" i="9" s="1"/>
  <c r="AC83" i="9"/>
  <c r="AC70" i="9"/>
  <c r="AC32" i="9" s="1"/>
  <c r="AC33" i="9" s="1"/>
  <c r="Y105" i="9"/>
  <c r="Y106" i="9" s="1"/>
  <c r="Y83" i="9"/>
  <c r="Y70" i="9"/>
  <c r="Y32" i="9" s="1"/>
  <c r="Y33" i="9" s="1"/>
  <c r="BV14" i="9"/>
  <c r="BD33" i="14"/>
  <c r="BQ48" i="15"/>
  <c r="BQ50" i="15" s="1"/>
  <c r="BP51" i="15"/>
  <c r="BX42" i="14"/>
  <c r="BD31" i="14"/>
  <c r="BB56" i="14"/>
  <c r="CB9" i="14"/>
  <c r="BC9" i="14"/>
  <c r="BZ44" i="14"/>
  <c r="BR45" i="14"/>
  <c r="BZ42" i="14"/>
  <c r="BG35" i="14"/>
  <c r="BH35" i="14" s="1"/>
  <c r="BI35" i="14" s="1"/>
  <c r="BJ35" i="14" s="1"/>
  <c r="CC35" i="14"/>
  <c r="BP44" i="14"/>
  <c r="BU45" i="14"/>
  <c r="BQ43" i="14"/>
  <c r="BV44" i="14"/>
  <c r="BX43" i="14"/>
  <c r="BT42" i="14"/>
  <c r="BT44" i="14"/>
  <c r="BR44" i="14"/>
  <c r="BZ43" i="14"/>
  <c r="BV42" i="14"/>
  <c r="BQ45" i="14"/>
  <c r="BY42" i="14"/>
  <c r="BC32" i="14"/>
  <c r="CB32" i="14"/>
  <c r="BJ44" i="14"/>
  <c r="BT43" i="14"/>
  <c r="BP42" i="14"/>
  <c r="BD23" i="14"/>
  <c r="BD23" i="15" s="1"/>
  <c r="BZ45" i="14"/>
  <c r="BV43" i="14"/>
  <c r="BR42" i="14"/>
  <c r="BY43" i="14"/>
  <c r="BU42" i="14"/>
  <c r="BY44" i="14"/>
  <c r="BU44" i="14"/>
  <c r="BQ44" i="14"/>
  <c r="BP43" i="14"/>
  <c r="BB60" i="14"/>
  <c r="BB61" i="14" s="1"/>
  <c r="BC25" i="14"/>
  <c r="CB25" i="14"/>
  <c r="CB101" i="13" s="1"/>
  <c r="BV45" i="14"/>
  <c r="BR43" i="14"/>
  <c r="BX44" i="14"/>
  <c r="BY45" i="14"/>
  <c r="BU43" i="14"/>
  <c r="BQ42" i="14"/>
  <c r="CC18" i="14"/>
  <c r="BG18" i="14"/>
  <c r="BH18" i="14" s="1"/>
  <c r="BI18" i="14" s="1"/>
  <c r="BJ18" i="14" s="1"/>
  <c r="CC17" i="14"/>
  <c r="BG17" i="14"/>
  <c r="BH17" i="14" s="1"/>
  <c r="BI17" i="14" s="1"/>
  <c r="BJ17" i="14" s="1"/>
  <c r="AZ243" i="9"/>
  <c r="AC333" i="9"/>
  <c r="I333" i="9"/>
  <c r="AF243" i="9"/>
  <c r="AI243" i="9"/>
  <c r="W333" i="9"/>
  <c r="O333" i="9"/>
  <c r="AJ243" i="9"/>
  <c r="BA243" i="9"/>
  <c r="AG243" i="9"/>
  <c r="U333" i="9"/>
  <c r="P333" i="9"/>
  <c r="AU243" i="9"/>
  <c r="AA333" i="9"/>
  <c r="G333" i="9"/>
  <c r="L333" i="9"/>
  <c r="X333" i="9"/>
  <c r="T333" i="9"/>
  <c r="AS243" i="9"/>
  <c r="Y333" i="9"/>
  <c r="M333" i="9"/>
  <c r="AM243" i="9"/>
  <c r="S333" i="9"/>
  <c r="K333" i="9"/>
  <c r="AB333" i="9"/>
  <c r="BC42" i="15"/>
  <c r="H333" i="9"/>
  <c r="AX243" i="9"/>
  <c r="AT243" i="9"/>
  <c r="AL243" i="9"/>
  <c r="AH243" i="9"/>
  <c r="AD333" i="9"/>
  <c r="Z333" i="9"/>
  <c r="V333" i="9"/>
  <c r="R333" i="9"/>
  <c r="N333" i="9"/>
  <c r="J333" i="9"/>
  <c r="AW243" i="9"/>
  <c r="Q333" i="9"/>
  <c r="AV243" i="9"/>
  <c r="AY243" i="9"/>
  <c r="AQ243" i="9"/>
  <c r="AE243" i="9"/>
  <c r="BV18" i="9" l="1"/>
  <c r="BC37" i="15"/>
  <c r="BC101" i="13"/>
  <c r="BD97" i="13" s="1"/>
  <c r="BD71" i="9"/>
  <c r="BD72" i="9"/>
  <c r="BE70" i="9"/>
  <c r="BE102" i="9"/>
  <c r="BF73" i="9"/>
  <c r="BE87" i="9"/>
  <c r="BE250" i="9"/>
  <c r="BE74" i="9"/>
  <c r="BC39" i="15"/>
  <c r="BE13" i="14"/>
  <c r="BE14" i="15"/>
  <c r="BI27" i="14"/>
  <c r="BH44" i="15"/>
  <c r="BE26" i="14"/>
  <c r="BD33" i="15"/>
  <c r="BC27" i="15"/>
  <c r="BE16" i="14"/>
  <c r="BE16" i="15" s="1"/>
  <c r="BE28" i="14"/>
  <c r="BD45" i="15"/>
  <c r="AP243" i="9"/>
  <c r="AN243" i="9"/>
  <c r="R243" i="9"/>
  <c r="T243" i="9"/>
  <c r="Q243" i="9"/>
  <c r="G243" i="9"/>
  <c r="V243" i="9"/>
  <c r="AA243" i="9"/>
  <c r="X243" i="9"/>
  <c r="H243" i="9"/>
  <c r="K243" i="9"/>
  <c r="U243" i="9"/>
  <c r="W243" i="9"/>
  <c r="I243" i="9"/>
  <c r="AB243" i="9"/>
  <c r="P243" i="9"/>
  <c r="Y243" i="9"/>
  <c r="CB42" i="15"/>
  <c r="CB46" i="15"/>
  <c r="AK243" i="9"/>
  <c r="AO243" i="9"/>
  <c r="AC243" i="9"/>
  <c r="O243" i="9"/>
  <c r="J243" i="9"/>
  <c r="L243" i="9"/>
  <c r="S243" i="9"/>
  <c r="AD243" i="9"/>
  <c r="N243" i="9"/>
  <c r="M243" i="9"/>
  <c r="BE34" i="14"/>
  <c r="BD41" i="15"/>
  <c r="BE10" i="15"/>
  <c r="BE33" i="14" s="1"/>
  <c r="AC107" i="9"/>
  <c r="AC27" i="9"/>
  <c r="AC28" i="9" s="1"/>
  <c r="AG32" i="9"/>
  <c r="AG33" i="9" s="1"/>
  <c r="BU343" i="9"/>
  <c r="BU25" i="9"/>
  <c r="AE107" i="9"/>
  <c r="AE27" i="9"/>
  <c r="BG145" i="9"/>
  <c r="BG112" i="9"/>
  <c r="BG111" i="9"/>
  <c r="BG139" i="9"/>
  <c r="BG148" i="9"/>
  <c r="BG142" i="9"/>
  <c r="BI254" i="9"/>
  <c r="BJ141" i="9"/>
  <c r="BI177" i="9"/>
  <c r="CD141" i="9"/>
  <c r="CD143" i="9" s="1"/>
  <c r="AM94" i="9"/>
  <c r="AM103" i="9" s="1"/>
  <c r="BY103" i="9" s="1"/>
  <c r="AL103" i="9"/>
  <c r="BF268" i="9"/>
  <c r="BF280" i="9"/>
  <c r="W107" i="9"/>
  <c r="W27" i="9"/>
  <c r="BV70" i="9"/>
  <c r="AA32" i="9"/>
  <c r="AA33" i="9" s="1"/>
  <c r="AF105" i="9"/>
  <c r="AF83" i="9"/>
  <c r="Z107" i="9"/>
  <c r="Z27" i="9"/>
  <c r="Z28" i="9" s="1"/>
  <c r="AK105" i="9"/>
  <c r="AL96" i="9"/>
  <c r="AF70" i="9"/>
  <c r="AG72" i="9" s="1"/>
  <c r="AH72" i="9"/>
  <c r="AH32" i="9"/>
  <c r="AH33" i="9" s="1"/>
  <c r="BV343" i="9"/>
  <c r="BV25" i="9"/>
  <c r="BX78" i="9"/>
  <c r="BY77" i="9"/>
  <c r="BX77" i="9"/>
  <c r="BW82" i="9"/>
  <c r="BW83" i="9" s="1"/>
  <c r="AD107" i="9"/>
  <c r="AD27" i="9"/>
  <c r="AD28" i="9" s="1"/>
  <c r="CC249" i="9"/>
  <c r="CE178" i="9"/>
  <c r="BX23" i="9"/>
  <c r="BY6" i="9"/>
  <c r="BY18" i="9"/>
  <c r="AJ263" i="9"/>
  <c r="AJ99" i="9"/>
  <c r="AJ85" i="9"/>
  <c r="AJ38" i="9"/>
  <c r="AJ37" i="9"/>
  <c r="AJ39" i="9"/>
  <c r="AA174" i="9"/>
  <c r="AA180" i="9" s="1"/>
  <c r="AA181" i="9" s="1"/>
  <c r="BV135" i="9"/>
  <c r="AA136" i="9"/>
  <c r="AA147" i="9"/>
  <c r="AA120" i="9"/>
  <c r="AA121" i="9" s="1"/>
  <c r="BH110" i="9"/>
  <c r="Y107" i="9"/>
  <c r="Y27" i="9"/>
  <c r="Y28" i="9" s="1"/>
  <c r="AG105" i="9"/>
  <c r="AG106" i="9" s="1"/>
  <c r="AG83" i="9"/>
  <c r="AA107" i="9"/>
  <c r="AA27" i="9"/>
  <c r="AN71" i="9"/>
  <c r="AJ71" i="9"/>
  <c r="AJ72" i="9"/>
  <c r="AI107" i="9"/>
  <c r="AI27" i="9"/>
  <c r="AK181" i="9"/>
  <c r="AK115" i="9"/>
  <c r="AK116" i="9" s="1"/>
  <c r="BG181" i="9"/>
  <c r="BG115" i="9"/>
  <c r="BG116" i="9" s="1"/>
  <c r="BH285" i="9"/>
  <c r="BH273" i="9"/>
  <c r="AR41" i="9"/>
  <c r="AS40" i="9"/>
  <c r="AH107" i="9"/>
  <c r="AH27" i="9"/>
  <c r="BY74" i="9"/>
  <c r="BX74" i="9"/>
  <c r="BX75" i="9"/>
  <c r="BG249" i="9"/>
  <c r="BG77" i="9"/>
  <c r="BG103" i="9"/>
  <c r="BG86" i="9"/>
  <c r="BH76" i="9"/>
  <c r="AN181" i="9"/>
  <c r="AN115" i="9"/>
  <c r="AN116" i="9" s="1"/>
  <c r="Z244" i="9"/>
  <c r="Z243" i="9"/>
  <c r="Z217" i="9"/>
  <c r="Z225" i="9"/>
  <c r="Z240" i="9"/>
  <c r="Z242" i="9"/>
  <c r="AK103" i="9"/>
  <c r="BX103" i="9" s="1"/>
  <c r="AQ68" i="9"/>
  <c r="AQ67" i="9"/>
  <c r="BX104" i="9"/>
  <c r="BZ7" i="9"/>
  <c r="BZ25" i="9"/>
  <c r="AL43" i="9"/>
  <c r="AK36" i="9"/>
  <c r="BX43" i="9"/>
  <c r="BX46" i="9" s="1"/>
  <c r="BI251" i="9"/>
  <c r="BI176" i="9"/>
  <c r="BI147" i="9"/>
  <c r="BJ138" i="9"/>
  <c r="BI120" i="9"/>
  <c r="AL72" i="9"/>
  <c r="AL71" i="9"/>
  <c r="AM72" i="9"/>
  <c r="AP71" i="9"/>
  <c r="BX81" i="9"/>
  <c r="BY80" i="9"/>
  <c r="AE174" i="9"/>
  <c r="AE180" i="9" s="1"/>
  <c r="AE147" i="9"/>
  <c r="AE136" i="9"/>
  <c r="BW135" i="9"/>
  <c r="AE120" i="9"/>
  <c r="AE121" i="9" s="1"/>
  <c r="BG80" i="9"/>
  <c r="BG104" i="9"/>
  <c r="BH79" i="9"/>
  <c r="CC77" i="9"/>
  <c r="BY253" i="9"/>
  <c r="CA6" i="9"/>
  <c r="AL56" i="9"/>
  <c r="AK49" i="9"/>
  <c r="AF181" i="9"/>
  <c r="AF115" i="9"/>
  <c r="AF116" i="9" s="1"/>
  <c r="BU70" i="9"/>
  <c r="W32" i="9"/>
  <c r="W33" i="9" s="1"/>
  <c r="BG121" i="9"/>
  <c r="AB107" i="9"/>
  <c r="AB27" i="9"/>
  <c r="AB28" i="9" s="1"/>
  <c r="AF106" i="9"/>
  <c r="AJ100" i="9"/>
  <c r="AJ62" i="9"/>
  <c r="AJ52" i="9"/>
  <c r="AJ50" i="9"/>
  <c r="AJ32" i="9"/>
  <c r="AJ33" i="9" s="1"/>
  <c r="AJ51" i="9"/>
  <c r="AJ181" i="9"/>
  <c r="AJ115" i="9"/>
  <c r="AJ116" i="9" s="1"/>
  <c r="AK72" i="9"/>
  <c r="AK71" i="9"/>
  <c r="AO71" i="9"/>
  <c r="AR54" i="9"/>
  <c r="AS53" i="9"/>
  <c r="AR66" i="9"/>
  <c r="AE32" i="9"/>
  <c r="AE33" i="9" s="1"/>
  <c r="BX70" i="9"/>
  <c r="BY71" i="9" s="1"/>
  <c r="AI72" i="9"/>
  <c r="AI71" i="9"/>
  <c r="AM71" i="9"/>
  <c r="AI32" i="9"/>
  <c r="AI33" i="9" s="1"/>
  <c r="AI174" i="9"/>
  <c r="BX135" i="9"/>
  <c r="BX136" i="9" s="1"/>
  <c r="AI136" i="9"/>
  <c r="AI144" i="9"/>
  <c r="AI147" i="9"/>
  <c r="AL181" i="9"/>
  <c r="AL115" i="9"/>
  <c r="AL116" i="9" s="1"/>
  <c r="BZ273" i="9"/>
  <c r="CA273" i="9"/>
  <c r="BZ275" i="9"/>
  <c r="CA275" i="9"/>
  <c r="X107" i="9"/>
  <c r="X27" i="9"/>
  <c r="X28" i="9" s="1"/>
  <c r="W174" i="9"/>
  <c r="W180" i="9" s="1"/>
  <c r="W181" i="9" s="1"/>
  <c r="BU135" i="9"/>
  <c r="W136" i="9"/>
  <c r="W120" i="9"/>
  <c r="W121" i="9" s="1"/>
  <c r="W147" i="9"/>
  <c r="BH180" i="9"/>
  <c r="BH282" i="9"/>
  <c r="BH270" i="9"/>
  <c r="CB274" i="9"/>
  <c r="BR48" i="15"/>
  <c r="BR50" i="15" s="1"/>
  <c r="BQ51" i="15"/>
  <c r="BC46" i="15"/>
  <c r="BK18" i="14"/>
  <c r="BL18" i="14" s="1"/>
  <c r="BM18" i="14" s="1"/>
  <c r="BN18" i="14" s="1"/>
  <c r="CE18" i="14" s="1"/>
  <c r="CD18" i="14"/>
  <c r="BC60" i="14"/>
  <c r="BC61" i="14" s="1"/>
  <c r="BD25" i="14"/>
  <c r="CD35" i="14"/>
  <c r="BK35" i="14"/>
  <c r="BL35" i="14" s="1"/>
  <c r="BM35" i="14" s="1"/>
  <c r="BN35" i="14" s="1"/>
  <c r="CE35" i="14" s="1"/>
  <c r="BC56" i="14"/>
  <c r="BD9" i="14"/>
  <c r="BD27" i="15" s="1"/>
  <c r="BK44" i="14"/>
  <c r="BK17" i="14"/>
  <c r="BL17" i="14" s="1"/>
  <c r="BM17" i="14" s="1"/>
  <c r="BN17" i="14" s="1"/>
  <c r="CE17" i="14" s="1"/>
  <c r="CD17" i="14"/>
  <c r="BE23" i="14"/>
  <c r="BE23" i="15" s="1"/>
  <c r="BD32" i="14"/>
  <c r="BD39" i="15" s="1"/>
  <c r="BE31" i="14"/>
  <c r="AR86" i="14"/>
  <c r="BR333" i="9"/>
  <c r="BQ333" i="9"/>
  <c r="BP333" i="9"/>
  <c r="BC52" i="14"/>
  <c r="BS333" i="9"/>
  <c r="BD37" i="15" l="1"/>
  <c r="BD101" i="13"/>
  <c r="BE97" i="13" s="1"/>
  <c r="BE29" i="13" s="1"/>
  <c r="BD29" i="13"/>
  <c r="BH148" i="9"/>
  <c r="BE281" i="9"/>
  <c r="BE269" i="9"/>
  <c r="BE72" i="9"/>
  <c r="BE71" i="9"/>
  <c r="BF102" i="9"/>
  <c r="CC102" i="9" s="1"/>
  <c r="BF250" i="9"/>
  <c r="CC250" i="9" s="1"/>
  <c r="BF87" i="9"/>
  <c r="CC73" i="9"/>
  <c r="CC74" i="9" s="1"/>
  <c r="BG73" i="9"/>
  <c r="BF70" i="9"/>
  <c r="BF74" i="9"/>
  <c r="BF26" i="14"/>
  <c r="BE33" i="15"/>
  <c r="BJ27" i="14"/>
  <c r="BI44" i="15"/>
  <c r="BF13" i="14"/>
  <c r="BF14" i="15" s="1"/>
  <c r="CC14" i="15" s="1"/>
  <c r="BF28" i="14"/>
  <c r="BE45" i="15"/>
  <c r="BF16" i="14"/>
  <c r="BF16" i="15" s="1"/>
  <c r="CC16" i="15" s="1"/>
  <c r="BU333" i="9"/>
  <c r="BT333" i="9"/>
  <c r="BF10" i="15"/>
  <c r="CC10" i="15" s="1"/>
  <c r="BF34" i="14"/>
  <c r="BE41" i="15"/>
  <c r="BV333" i="9"/>
  <c r="BX36" i="9"/>
  <c r="AG107" i="9"/>
  <c r="AG27" i="9"/>
  <c r="CD147" i="9"/>
  <c r="W148" i="9"/>
  <c r="BU147" i="9"/>
  <c r="BW70" i="9"/>
  <c r="AK100" i="9"/>
  <c r="AK62" i="9"/>
  <c r="AK64" i="9" s="1"/>
  <c r="AK52" i="9"/>
  <c r="AK51" i="9"/>
  <c r="AK50" i="9"/>
  <c r="AK32" i="9"/>
  <c r="AK33" i="9" s="1"/>
  <c r="BY262" i="9"/>
  <c r="BY261" i="9"/>
  <c r="BY260" i="9"/>
  <c r="BY85" i="9"/>
  <c r="BI180" i="9"/>
  <c r="AL36" i="9"/>
  <c r="AM43" i="9"/>
  <c r="BH249" i="9"/>
  <c r="BH103" i="9"/>
  <c r="BH86" i="9"/>
  <c r="BH77" i="9"/>
  <c r="BI76" i="9"/>
  <c r="AS41" i="9"/>
  <c r="AT40" i="9"/>
  <c r="AA28" i="9"/>
  <c r="BV27" i="9"/>
  <c r="BV28" i="9" s="1"/>
  <c r="CC268" i="9"/>
  <c r="CC86" i="9"/>
  <c r="AL105" i="9"/>
  <c r="BX105" i="9" s="1"/>
  <c r="AM96" i="9"/>
  <c r="AM105" i="9" s="1"/>
  <c r="BY105" i="9" s="1"/>
  <c r="BJ254" i="9"/>
  <c r="CD254" i="9" s="1"/>
  <c r="CD273" i="9" s="1"/>
  <c r="BJ177" i="9"/>
  <c r="BK141" i="9"/>
  <c r="BX144" i="9"/>
  <c r="AI85" i="9"/>
  <c r="AI120" i="9"/>
  <c r="AI121" i="9" s="1"/>
  <c r="AI263" i="9"/>
  <c r="BH181" i="9"/>
  <c r="BH115" i="9"/>
  <c r="BH116" i="9" s="1"/>
  <c r="AJ64" i="9"/>
  <c r="AI148" i="9"/>
  <c r="BX147" i="9"/>
  <c r="BX148" i="9" s="1"/>
  <c r="BX174" i="9"/>
  <c r="BX180" i="9" s="1"/>
  <c r="BX181" i="9" s="1"/>
  <c r="AI180" i="9"/>
  <c r="AR68" i="9"/>
  <c r="AR67" i="9"/>
  <c r="AF107" i="9"/>
  <c r="AF27" i="9"/>
  <c r="BW27" i="9" s="1"/>
  <c r="BW28" i="9" s="1"/>
  <c r="AL49" i="9"/>
  <c r="AM56" i="9"/>
  <c r="BX56" i="9"/>
  <c r="BI121" i="9"/>
  <c r="BI110" i="9"/>
  <c r="BI282" i="9"/>
  <c r="BI270" i="9"/>
  <c r="BV147" i="9"/>
  <c r="AA148" i="9"/>
  <c r="BY7" i="9"/>
  <c r="BY113" i="9"/>
  <c r="BY25" i="9"/>
  <c r="AE10" i="9"/>
  <c r="AE28" i="9"/>
  <c r="AS66" i="9"/>
  <c r="AS54" i="9"/>
  <c r="AT53" i="9"/>
  <c r="BZ53" i="9"/>
  <c r="BZ54" i="9" s="1"/>
  <c r="CA13" i="9"/>
  <c r="CA18" i="9" s="1"/>
  <c r="CA7" i="9"/>
  <c r="CA113" i="9"/>
  <c r="CA25" i="9"/>
  <c r="BH80" i="9"/>
  <c r="BH104" i="9"/>
  <c r="BI79" i="9"/>
  <c r="BW147" i="9"/>
  <c r="AE148" i="9"/>
  <c r="BJ251" i="9"/>
  <c r="CD251" i="9" s="1"/>
  <c r="CD270" i="9" s="1"/>
  <c r="BJ176" i="9"/>
  <c r="BJ180" i="9" s="1"/>
  <c r="BJ147" i="9"/>
  <c r="BK138" i="9"/>
  <c r="BJ120" i="9"/>
  <c r="BG280" i="9"/>
  <c r="BG268" i="9"/>
  <c r="AH28" i="9"/>
  <c r="AH10" i="9"/>
  <c r="AI28" i="9"/>
  <c r="BH111" i="9"/>
  <c r="BH112" i="9"/>
  <c r="BH145" i="9"/>
  <c r="BH142" i="9"/>
  <c r="BH139" i="9"/>
  <c r="AJ106" i="9"/>
  <c r="BI285" i="9"/>
  <c r="BI273" i="9"/>
  <c r="AE181" i="9"/>
  <c r="AE115" i="9"/>
  <c r="CD138" i="9"/>
  <c r="BI148" i="9"/>
  <c r="AK263" i="9"/>
  <c r="AK99" i="9"/>
  <c r="AK85" i="9"/>
  <c r="AK39" i="9"/>
  <c r="AK37" i="9"/>
  <c r="AK38" i="9"/>
  <c r="BH121" i="9"/>
  <c r="AF72" i="9"/>
  <c r="AF32" i="9"/>
  <c r="AF33" i="9" s="1"/>
  <c r="W28" i="9"/>
  <c r="BU27" i="9"/>
  <c r="BU28" i="9" s="1"/>
  <c r="CD177" i="9"/>
  <c r="BF33" i="14"/>
  <c r="BS48" i="15"/>
  <c r="BS50" i="15" s="1"/>
  <c r="BR51" i="15"/>
  <c r="BE32" i="14"/>
  <c r="BE39" i="15" s="1"/>
  <c r="BD56" i="14"/>
  <c r="BE9" i="14"/>
  <c r="BD60" i="14"/>
  <c r="BD61" i="14" s="1"/>
  <c r="BE25" i="14"/>
  <c r="BF31" i="14"/>
  <c r="BF23" i="14"/>
  <c r="BF23" i="15" s="1"/>
  <c r="CC23" i="15" s="1"/>
  <c r="BL44" i="14"/>
  <c r="BA86" i="14"/>
  <c r="M86" i="14"/>
  <c r="AY86" i="14"/>
  <c r="AZ86" i="14"/>
  <c r="F86" i="14"/>
  <c r="Y86" i="14"/>
  <c r="AT86" i="14"/>
  <c r="E86" i="14"/>
  <c r="G86" i="14"/>
  <c r="BD52" i="14"/>
  <c r="BE42" i="15"/>
  <c r="AW86" i="14"/>
  <c r="AE86" i="14"/>
  <c r="Z86" i="14"/>
  <c r="AA86" i="14"/>
  <c r="AS86" i="14"/>
  <c r="I86" i="14"/>
  <c r="L86" i="14"/>
  <c r="T86" i="14"/>
  <c r="R86" i="14"/>
  <c r="Q86" i="14"/>
  <c r="V86" i="14"/>
  <c r="AC86" i="14"/>
  <c r="H86" i="14"/>
  <c r="J86" i="14"/>
  <c r="O86" i="14"/>
  <c r="P86" i="14"/>
  <c r="AB86" i="14"/>
  <c r="AX86" i="14"/>
  <c r="D86" i="14"/>
  <c r="AQ86" i="14"/>
  <c r="U86" i="14"/>
  <c r="AU86" i="14"/>
  <c r="AV86" i="14"/>
  <c r="AI86" i="14"/>
  <c r="X86" i="14"/>
  <c r="N86" i="14"/>
  <c r="AJ86" i="14"/>
  <c r="AF86" i="14"/>
  <c r="S86" i="14"/>
  <c r="BD42" i="15"/>
  <c r="AH86" i="14"/>
  <c r="AL86" i="14"/>
  <c r="C86" i="14"/>
  <c r="K86" i="14"/>
  <c r="W86" i="14"/>
  <c r="AM86" i="14"/>
  <c r="AG86" i="14"/>
  <c r="AD86" i="14"/>
  <c r="BE37" i="15" l="1"/>
  <c r="BE101" i="13"/>
  <c r="BF97" i="13" s="1"/>
  <c r="BF29" i="13" s="1"/>
  <c r="CC97" i="13"/>
  <c r="BD50" i="13"/>
  <c r="BD70" i="13"/>
  <c r="CC29" i="13"/>
  <c r="BE70" i="13"/>
  <c r="BE74" i="13" s="1"/>
  <c r="BE50" i="13"/>
  <c r="CC269" i="9"/>
  <c r="CC87" i="9"/>
  <c r="CC88" i="9" s="1"/>
  <c r="BG102" i="9"/>
  <c r="BG70" i="9"/>
  <c r="BG87" i="9"/>
  <c r="BG250" i="9"/>
  <c r="BG74" i="9"/>
  <c r="BH73" i="9"/>
  <c r="BF71" i="9"/>
  <c r="BF72" i="9"/>
  <c r="BF269" i="9"/>
  <c r="BF281" i="9"/>
  <c r="CC70" i="9"/>
  <c r="CC71" i="9" s="1"/>
  <c r="CC16" i="14"/>
  <c r="BG16" i="14"/>
  <c r="BF45" i="15"/>
  <c r="CC45" i="15" s="1"/>
  <c r="BG28" i="14"/>
  <c r="CC28" i="14"/>
  <c r="BE27" i="15"/>
  <c r="CC13" i="14"/>
  <c r="BG13" i="14"/>
  <c r="BJ44" i="15"/>
  <c r="CD44" i="15" s="1"/>
  <c r="BK27" i="14"/>
  <c r="CD27" i="14"/>
  <c r="BF33" i="15"/>
  <c r="CC33" i="15" s="1"/>
  <c r="CC26" i="14"/>
  <c r="BG26" i="14"/>
  <c r="AP86" i="14"/>
  <c r="AN86" i="14"/>
  <c r="AO86" i="14"/>
  <c r="BD46" i="15"/>
  <c r="BG10" i="15"/>
  <c r="BG33" i="14" s="1"/>
  <c r="AK86" i="14"/>
  <c r="BE46" i="15"/>
  <c r="BF41" i="15"/>
  <c r="CC41" i="15" s="1"/>
  <c r="BG34" i="14"/>
  <c r="CC34" i="14"/>
  <c r="CD140" i="9"/>
  <c r="AH16" i="9"/>
  <c r="AH17" i="9" s="1"/>
  <c r="AH11" i="9"/>
  <c r="BK251" i="9"/>
  <c r="BK176" i="9"/>
  <c r="BK147" i="9"/>
  <c r="BL138" i="9"/>
  <c r="BK120" i="9"/>
  <c r="AT66" i="9"/>
  <c r="AT54" i="9"/>
  <c r="AU53" i="9"/>
  <c r="AE16" i="9"/>
  <c r="AE17" i="9" s="1"/>
  <c r="AE11" i="9"/>
  <c r="AM49" i="9"/>
  <c r="AN56" i="9"/>
  <c r="BK254" i="9"/>
  <c r="BK177" i="9"/>
  <c r="BL141" i="9"/>
  <c r="AM36" i="9"/>
  <c r="AN43" i="9"/>
  <c r="AG28" i="9"/>
  <c r="AG10" i="9"/>
  <c r="AJ107" i="9"/>
  <c r="AJ27" i="9"/>
  <c r="AK106" i="9"/>
  <c r="AE116" i="9"/>
  <c r="BW115" i="9"/>
  <c r="BW116" i="9" s="1"/>
  <c r="BI112" i="9"/>
  <c r="BI111" i="9"/>
  <c r="BI145" i="9"/>
  <c r="BI142" i="9"/>
  <c r="BI139" i="9"/>
  <c r="AL100" i="9"/>
  <c r="BX100" i="9" s="1"/>
  <c r="AL51" i="9"/>
  <c r="AL50" i="9"/>
  <c r="AL32" i="9"/>
  <c r="AL33" i="9" s="1"/>
  <c r="AL62" i="9"/>
  <c r="AL52" i="9"/>
  <c r="BX49" i="9"/>
  <c r="AL263" i="9"/>
  <c r="AL99" i="9"/>
  <c r="AL85" i="9"/>
  <c r="AL39" i="9"/>
  <c r="AL37" i="9"/>
  <c r="AL38" i="9"/>
  <c r="BJ115" i="9"/>
  <c r="BJ116" i="9" s="1"/>
  <c r="BI104" i="9"/>
  <c r="BJ79" i="9"/>
  <c r="CD79" i="9" s="1"/>
  <c r="BI80" i="9"/>
  <c r="AS68" i="9"/>
  <c r="AS67" i="9"/>
  <c r="BZ66" i="9"/>
  <c r="BZ67" i="9" s="1"/>
  <c r="AF28" i="9"/>
  <c r="AF10" i="9"/>
  <c r="AI181" i="9"/>
  <c r="AI115" i="9"/>
  <c r="BI249" i="9"/>
  <c r="BI103" i="9"/>
  <c r="BI86" i="9"/>
  <c r="BI77" i="9"/>
  <c r="BJ76" i="9"/>
  <c r="CD176" i="9"/>
  <c r="CD180" i="9" s="1"/>
  <c r="BX263" i="9"/>
  <c r="BJ121" i="9"/>
  <c r="BJ110" i="9"/>
  <c r="BJ282" i="9"/>
  <c r="BJ270" i="9"/>
  <c r="BX145" i="9"/>
  <c r="BY146" i="9"/>
  <c r="BJ285" i="9"/>
  <c r="BJ273" i="9"/>
  <c r="AT41" i="9"/>
  <c r="AU40" i="9"/>
  <c r="BZ40" i="9"/>
  <c r="BH280" i="9"/>
  <c r="BH268" i="9"/>
  <c r="BI181" i="9"/>
  <c r="BI115" i="9"/>
  <c r="BI116" i="9" s="1"/>
  <c r="BS51" i="15"/>
  <c r="BT48" i="15"/>
  <c r="BT50" i="15" s="1"/>
  <c r="CC33" i="14"/>
  <c r="BM44" i="14"/>
  <c r="BG31" i="14"/>
  <c r="BE56" i="14"/>
  <c r="BF9" i="14"/>
  <c r="BE60" i="14"/>
  <c r="BE61" i="14" s="1"/>
  <c r="BF25" i="14"/>
  <c r="CC23" i="14"/>
  <c r="BG23" i="14"/>
  <c r="BG23" i="15" s="1"/>
  <c r="BF32" i="14"/>
  <c r="BF39" i="15" s="1"/>
  <c r="BE52" i="14"/>
  <c r="CC99" i="13" l="1"/>
  <c r="CC50" i="13"/>
  <c r="BF50" i="13"/>
  <c r="BF70" i="13"/>
  <c r="BF74" i="13" s="1"/>
  <c r="BF37" i="15"/>
  <c r="CC37" i="15" s="1"/>
  <c r="BF101" i="13"/>
  <c r="BG97" i="13" s="1"/>
  <c r="BD74" i="13"/>
  <c r="BG269" i="9"/>
  <c r="BG281" i="9"/>
  <c r="BH87" i="9"/>
  <c r="BI73" i="9"/>
  <c r="BH70" i="9"/>
  <c r="BH250" i="9"/>
  <c r="BH74" i="9"/>
  <c r="BH102" i="9"/>
  <c r="BG71" i="9"/>
  <c r="BG72" i="9"/>
  <c r="BF27" i="15"/>
  <c r="CC27" i="15" s="1"/>
  <c r="BH26" i="14"/>
  <c r="BG33" i="15"/>
  <c r="BL27" i="14"/>
  <c r="BK44" i="15"/>
  <c r="BH13" i="14"/>
  <c r="BH14" i="15" s="1"/>
  <c r="BG14" i="15"/>
  <c r="BH28" i="14"/>
  <c r="BG45" i="15"/>
  <c r="BH16" i="14"/>
  <c r="BH16" i="15" s="1"/>
  <c r="BG16" i="15"/>
  <c r="BF42" i="15"/>
  <c r="CC42" i="15" s="1"/>
  <c r="BX86" i="14"/>
  <c r="BU86" i="14"/>
  <c r="BS86" i="14"/>
  <c r="BQ86" i="14"/>
  <c r="BY86" i="14"/>
  <c r="BV86" i="14"/>
  <c r="BW86" i="14"/>
  <c r="BT86" i="14"/>
  <c r="BR86" i="14"/>
  <c r="BP86" i="14"/>
  <c r="BZ86" i="14"/>
  <c r="CA86" i="14"/>
  <c r="BH34" i="14"/>
  <c r="BG41" i="15"/>
  <c r="BH10" i="15"/>
  <c r="BH33" i="14" s="1"/>
  <c r="BI280" i="9"/>
  <c r="BI268" i="9"/>
  <c r="AL64" i="9"/>
  <c r="BX62" i="9"/>
  <c r="BX63" i="9" s="1"/>
  <c r="AM263" i="9"/>
  <c r="AM99" i="9"/>
  <c r="AM85" i="9"/>
  <c r="AM39" i="9"/>
  <c r="AM37" i="9"/>
  <c r="AM38" i="9"/>
  <c r="BX253" i="9"/>
  <c r="CD181" i="9"/>
  <c r="BX50" i="9"/>
  <c r="BX32" i="9"/>
  <c r="BX33" i="9" s="1"/>
  <c r="AK107" i="9"/>
  <c r="AK27" i="9"/>
  <c r="BK285" i="9"/>
  <c r="BK273" i="9"/>
  <c r="AT67" i="9"/>
  <c r="AT68" i="9"/>
  <c r="AL106" i="9"/>
  <c r="BX99" i="9"/>
  <c r="AI116" i="9"/>
  <c r="BX115" i="9"/>
  <c r="BX116" i="9" s="1"/>
  <c r="AI10" i="9"/>
  <c r="CD80" i="9"/>
  <c r="AU41" i="9"/>
  <c r="AV40" i="9"/>
  <c r="BJ145" i="9"/>
  <c r="BJ111" i="9"/>
  <c r="BJ112" i="9"/>
  <c r="BJ139" i="9"/>
  <c r="CD110" i="9"/>
  <c r="BJ142" i="9"/>
  <c r="BJ249" i="9"/>
  <c r="CD249" i="9" s="1"/>
  <c r="BK76" i="9"/>
  <c r="BJ77" i="9"/>
  <c r="BJ86" i="9"/>
  <c r="BJ103" i="9"/>
  <c r="CD103" i="9" s="1"/>
  <c r="AF16" i="9"/>
  <c r="AF17" i="9" s="1"/>
  <c r="AF11" i="9"/>
  <c r="BK79" i="9"/>
  <c r="BJ104" i="9"/>
  <c r="CD104" i="9" s="1"/>
  <c r="BJ80" i="9"/>
  <c r="BJ181" i="9"/>
  <c r="BJ148" i="9"/>
  <c r="AO43" i="9"/>
  <c r="AN36" i="9"/>
  <c r="BL254" i="9"/>
  <c r="BL177" i="9"/>
  <c r="BM141" i="9"/>
  <c r="AN49" i="9"/>
  <c r="AO56" i="9"/>
  <c r="BK110" i="9"/>
  <c r="CD76" i="9"/>
  <c r="AG16" i="9"/>
  <c r="AG17" i="9" s="1"/>
  <c r="AG11" i="9"/>
  <c r="BW10" i="9"/>
  <c r="BW11" i="9" s="1"/>
  <c r="AV53" i="9"/>
  <c r="AU66" i="9"/>
  <c r="AU54" i="9"/>
  <c r="BL251" i="9"/>
  <c r="BM138" i="9"/>
  <c r="BL120" i="9"/>
  <c r="BL176" i="9"/>
  <c r="BL180" i="9" s="1"/>
  <c r="BL147" i="9"/>
  <c r="BK180" i="9"/>
  <c r="AJ28" i="9"/>
  <c r="AJ10" i="9"/>
  <c r="AM100" i="9"/>
  <c r="AM50" i="9"/>
  <c r="AM52" i="9"/>
  <c r="AM51" i="9"/>
  <c r="AM62" i="9"/>
  <c r="AM32" i="9"/>
  <c r="AM33" i="9" s="1"/>
  <c r="BK270" i="9"/>
  <c r="BK282" i="9"/>
  <c r="BU48" i="15"/>
  <c r="BU50" i="15" s="1"/>
  <c r="BT51" i="15"/>
  <c r="CC39" i="15"/>
  <c r="BG32" i="14"/>
  <c r="BG39" i="15" s="1"/>
  <c r="CC32" i="14"/>
  <c r="BH31" i="14"/>
  <c r="BH23" i="14"/>
  <c r="BH23" i="15" s="1"/>
  <c r="BN44" i="14"/>
  <c r="BF60" i="14"/>
  <c r="BF61" i="14" s="1"/>
  <c r="CC25" i="14"/>
  <c r="CC101" i="13" s="1"/>
  <c r="BG25" i="14"/>
  <c r="BF56" i="14"/>
  <c r="CC9" i="14"/>
  <c r="BG9" i="14"/>
  <c r="BF52" i="14"/>
  <c r="CC70" i="13" l="1"/>
  <c r="CC74" i="13" s="1"/>
  <c r="BG29" i="13"/>
  <c r="BG37" i="15"/>
  <c r="BG101" i="13"/>
  <c r="BH97" i="13" s="1"/>
  <c r="BH29" i="13" s="1"/>
  <c r="BK148" i="9"/>
  <c r="BI102" i="9"/>
  <c r="BI70" i="9"/>
  <c r="BI87" i="9"/>
  <c r="BJ73" i="9"/>
  <c r="CD73" i="9" s="1"/>
  <c r="CD74" i="9" s="1"/>
  <c r="BI250" i="9"/>
  <c r="BI74" i="9"/>
  <c r="BH269" i="9"/>
  <c r="BH281" i="9"/>
  <c r="BH71" i="9"/>
  <c r="BH72" i="9"/>
  <c r="BI16" i="14"/>
  <c r="BI16" i="15" s="1"/>
  <c r="BI28" i="14"/>
  <c r="BH45" i="15"/>
  <c r="BI13" i="14"/>
  <c r="BI14" i="15" s="1"/>
  <c r="BM27" i="14"/>
  <c r="BL44" i="15"/>
  <c r="BI26" i="14"/>
  <c r="BH33" i="15"/>
  <c r="BG27" i="15"/>
  <c r="BF46" i="15"/>
  <c r="CC46" i="15" s="1"/>
  <c r="BI10" i="15"/>
  <c r="BI33" i="14" s="1"/>
  <c r="BI34" i="14"/>
  <c r="BH41" i="15"/>
  <c r="CD268" i="9"/>
  <c r="CD86" i="9"/>
  <c r="BL121" i="9"/>
  <c r="BL110" i="9"/>
  <c r="AW53" i="9"/>
  <c r="AV66" i="9"/>
  <c r="AV54" i="9"/>
  <c r="CD77" i="9"/>
  <c r="BK121" i="9"/>
  <c r="BM254" i="9"/>
  <c r="BM177" i="9"/>
  <c r="BN141" i="9"/>
  <c r="CE141" i="9" s="1"/>
  <c r="CE143" i="9" s="1"/>
  <c r="AP43" i="9"/>
  <c r="BY43" i="9" s="1"/>
  <c r="AO36" i="9"/>
  <c r="AK28" i="9"/>
  <c r="AK10" i="9"/>
  <c r="AM106" i="9"/>
  <c r="BK181" i="9"/>
  <c r="BK115" i="9"/>
  <c r="BK116" i="9" s="1"/>
  <c r="BM251" i="9"/>
  <c r="BM176" i="9"/>
  <c r="BM180" i="9" s="1"/>
  <c r="BM147" i="9"/>
  <c r="BN138" i="9"/>
  <c r="BM120" i="9"/>
  <c r="AP56" i="9"/>
  <c r="AO49" i="9"/>
  <c r="BY56" i="9"/>
  <c r="BY57" i="9" s="1"/>
  <c r="CD120" i="9"/>
  <c r="CD121" i="9" s="1"/>
  <c r="CD115" i="9"/>
  <c r="CD116" i="9" s="1"/>
  <c r="CD111" i="9"/>
  <c r="CD139" i="9"/>
  <c r="CD148" i="9"/>
  <c r="BX262" i="9"/>
  <c r="BX260" i="9"/>
  <c r="BX254" i="9"/>
  <c r="BY273" i="9" s="1"/>
  <c r="BX261" i="9"/>
  <c r="BX85" i="9"/>
  <c r="BY272" i="9"/>
  <c r="AM253" i="9"/>
  <c r="AJ16" i="9"/>
  <c r="AJ11" i="9"/>
  <c r="BL148" i="9"/>
  <c r="AU68" i="9"/>
  <c r="AU67" i="9"/>
  <c r="AN100" i="9"/>
  <c r="AN62" i="9"/>
  <c r="AN50" i="9"/>
  <c r="AN51" i="9"/>
  <c r="AN32" i="9"/>
  <c r="AN33" i="9" s="1"/>
  <c r="AN52" i="9"/>
  <c r="BL285" i="9"/>
  <c r="BL273" i="9"/>
  <c r="BK249" i="9"/>
  <c r="BK77" i="9"/>
  <c r="BK86" i="9"/>
  <c r="BL76" i="9"/>
  <c r="BK103" i="9"/>
  <c r="AL107" i="9"/>
  <c r="AL27" i="9"/>
  <c r="BX106" i="9"/>
  <c r="AM64" i="9"/>
  <c r="AM63" i="9"/>
  <c r="BL181" i="9"/>
  <c r="BL115" i="9"/>
  <c r="BL116" i="9" s="1"/>
  <c r="BL282" i="9"/>
  <c r="BL270" i="9"/>
  <c r="BK112" i="9"/>
  <c r="BK111" i="9"/>
  <c r="BK145" i="9"/>
  <c r="BK139" i="9"/>
  <c r="BK142" i="9"/>
  <c r="AN263" i="9"/>
  <c r="AN99" i="9"/>
  <c r="AN106" i="9" s="1"/>
  <c r="AN85" i="9"/>
  <c r="AN37" i="9"/>
  <c r="AN39" i="9"/>
  <c r="AN38" i="9"/>
  <c r="BK80" i="9"/>
  <c r="BK104" i="9"/>
  <c r="BL79" i="9"/>
  <c r="BJ280" i="9"/>
  <c r="BJ268" i="9"/>
  <c r="AW40" i="9"/>
  <c r="AV41" i="9"/>
  <c r="AI16" i="9"/>
  <c r="AI11" i="9"/>
  <c r="BV48" i="15"/>
  <c r="BV50" i="15" s="1"/>
  <c r="BU51" i="15"/>
  <c r="BI23" i="14"/>
  <c r="BI23" i="15" s="1"/>
  <c r="BI31" i="14"/>
  <c r="BH32" i="14"/>
  <c r="BH39" i="15" s="1"/>
  <c r="BG56" i="14"/>
  <c r="BH9" i="14"/>
  <c r="BG60" i="14"/>
  <c r="BG61" i="14" s="1"/>
  <c r="BH25" i="14"/>
  <c r="BG52" i="14"/>
  <c r="BH42" i="15"/>
  <c r="BG42" i="15"/>
  <c r="BG46" i="15" l="1"/>
  <c r="BG70" i="13"/>
  <c r="BG74" i="13" s="1"/>
  <c r="BG50" i="13"/>
  <c r="BH37" i="15"/>
  <c r="BH101" i="13"/>
  <c r="BI97" i="13" s="1"/>
  <c r="BI281" i="9"/>
  <c r="BI269" i="9"/>
  <c r="BI72" i="9"/>
  <c r="BI71" i="9"/>
  <c r="BJ70" i="9"/>
  <c r="BJ102" i="9"/>
  <c r="CD102" i="9" s="1"/>
  <c r="BJ250" i="9"/>
  <c r="BJ87" i="9"/>
  <c r="BJ74" i="9"/>
  <c r="BK73" i="9"/>
  <c r="BJ26" i="14"/>
  <c r="BI33" i="15"/>
  <c r="BN27" i="14"/>
  <c r="BM44" i="15"/>
  <c r="BJ13" i="14"/>
  <c r="BJ14" i="15" s="1"/>
  <c r="CD14" i="15" s="1"/>
  <c r="BJ28" i="14"/>
  <c r="BI45" i="15"/>
  <c r="BJ16" i="14"/>
  <c r="BJ16" i="15" s="1"/>
  <c r="CD16" i="15" s="1"/>
  <c r="BH27" i="15"/>
  <c r="BH46" i="15"/>
  <c r="BJ10" i="15"/>
  <c r="CD10" i="15" s="1"/>
  <c r="BJ34" i="14"/>
  <c r="BI41" i="15"/>
  <c r="BY46" i="9"/>
  <c r="BY44" i="9"/>
  <c r="AL28" i="9"/>
  <c r="AL10" i="9"/>
  <c r="BX27" i="9"/>
  <c r="BX28" i="9" s="1"/>
  <c r="AN63" i="9"/>
  <c r="AN64" i="9"/>
  <c r="AQ56" i="9"/>
  <c r="AP49" i="9"/>
  <c r="BM285" i="9"/>
  <c r="BM273" i="9"/>
  <c r="BL111" i="9"/>
  <c r="BL112" i="9"/>
  <c r="BL145" i="9"/>
  <c r="BL142" i="9"/>
  <c r="BL139" i="9"/>
  <c r="BL249" i="9"/>
  <c r="BL103" i="9"/>
  <c r="BL86" i="9"/>
  <c r="BL77" i="9"/>
  <c r="BM76" i="9"/>
  <c r="BK280" i="9"/>
  <c r="BK268" i="9"/>
  <c r="BY276" i="9"/>
  <c r="BX264" i="9"/>
  <c r="AK16" i="9"/>
  <c r="AK11" i="9"/>
  <c r="BN254" i="9"/>
  <c r="BN177" i="9"/>
  <c r="CE177" i="9" s="1"/>
  <c r="AV67" i="9"/>
  <c r="AV68" i="9"/>
  <c r="AW41" i="9"/>
  <c r="AX40" i="9"/>
  <c r="BL80" i="9"/>
  <c r="BL104" i="9"/>
  <c r="BM79" i="9"/>
  <c r="AN107" i="9"/>
  <c r="AN27" i="9"/>
  <c r="AM262" i="9"/>
  <c r="AM264" i="9" s="1"/>
  <c r="AM261" i="9"/>
  <c r="AM260" i="9"/>
  <c r="AM254" i="9"/>
  <c r="BM121" i="9"/>
  <c r="BM110" i="9"/>
  <c r="BM181" i="9"/>
  <c r="BM115" i="9"/>
  <c r="BM116" i="9" s="1"/>
  <c r="AO263" i="9"/>
  <c r="AO99" i="9"/>
  <c r="AO85" i="9"/>
  <c r="AO38" i="9"/>
  <c r="AO39" i="9"/>
  <c r="AO37" i="9"/>
  <c r="AW66" i="9"/>
  <c r="AW54" i="9"/>
  <c r="AX53" i="9"/>
  <c r="CA40" i="9"/>
  <c r="AN253" i="9"/>
  <c r="AO100" i="9"/>
  <c r="AO62" i="9"/>
  <c r="AO50" i="9"/>
  <c r="AO51" i="9"/>
  <c r="AO32" i="9"/>
  <c r="AO33" i="9" s="1"/>
  <c r="AO52" i="9"/>
  <c r="BY49" i="9"/>
  <c r="BN251" i="9"/>
  <c r="BN176" i="9"/>
  <c r="BN180" i="9" s="1"/>
  <c r="BN147" i="9"/>
  <c r="BN120" i="9"/>
  <c r="CE138" i="9"/>
  <c r="BM282" i="9"/>
  <c r="BM270" i="9"/>
  <c r="CE251" i="9"/>
  <c r="CE270" i="9" s="1"/>
  <c r="AM107" i="9"/>
  <c r="AM27" i="9"/>
  <c r="AQ43" i="9"/>
  <c r="AP36" i="9"/>
  <c r="BW48" i="15"/>
  <c r="BW50" i="15" s="1"/>
  <c r="BV51" i="15"/>
  <c r="BH60" i="14"/>
  <c r="BH61" i="14" s="1"/>
  <c r="BI25" i="14"/>
  <c r="BI32" i="14"/>
  <c r="BI39" i="15" s="1"/>
  <c r="BJ31" i="14"/>
  <c r="BJ23" i="14"/>
  <c r="BJ23" i="15" s="1"/>
  <c r="CD23" i="15" s="1"/>
  <c r="BH56" i="14"/>
  <c r="BI9" i="14"/>
  <c r="BH52" i="14"/>
  <c r="BI42" i="15"/>
  <c r="BI29" i="13" l="1"/>
  <c r="BI37" i="15"/>
  <c r="BI101" i="13"/>
  <c r="BJ97" i="13" s="1"/>
  <c r="BJ29" i="13" s="1"/>
  <c r="BJ33" i="14"/>
  <c r="BK102" i="9"/>
  <c r="BK70" i="9"/>
  <c r="BK87" i="9"/>
  <c r="BL73" i="9"/>
  <c r="BK250" i="9"/>
  <c r="BK74" i="9"/>
  <c r="BJ72" i="9"/>
  <c r="BJ71" i="9"/>
  <c r="CD70" i="9"/>
  <c r="CD71" i="9" s="1"/>
  <c r="BJ281" i="9"/>
  <c r="BJ269" i="9"/>
  <c r="CD250" i="9"/>
  <c r="CE44" i="15"/>
  <c r="CD16" i="14"/>
  <c r="BK16" i="14"/>
  <c r="BJ45" i="15"/>
  <c r="CD45" i="15" s="1"/>
  <c r="BK28" i="14"/>
  <c r="CD28" i="14"/>
  <c r="BK13" i="14"/>
  <c r="BK14" i="15" s="1"/>
  <c r="CD13" i="14"/>
  <c r="CE27" i="14"/>
  <c r="BN44" i="15"/>
  <c r="BJ33" i="15"/>
  <c r="CD33" i="15" s="1"/>
  <c r="BK26" i="14"/>
  <c r="CD26" i="14"/>
  <c r="BI27" i="15"/>
  <c r="BK10" i="15"/>
  <c r="BK33" i="14" s="1"/>
  <c r="BJ41" i="15"/>
  <c r="CD41" i="15" s="1"/>
  <c r="CD34" i="14"/>
  <c r="BK34" i="14"/>
  <c r="CE147" i="9"/>
  <c r="AO63" i="9"/>
  <c r="AO64" i="9"/>
  <c r="AN284" i="9"/>
  <c r="AN260" i="9"/>
  <c r="AN254" i="9"/>
  <c r="AN285" i="9" s="1"/>
  <c r="AN262" i="9"/>
  <c r="AN264" i="9" s="1"/>
  <c r="AN261" i="9"/>
  <c r="AR56" i="9"/>
  <c r="AQ49" i="9"/>
  <c r="AL16" i="9"/>
  <c r="AL11" i="9"/>
  <c r="BX10" i="9"/>
  <c r="BX11" i="9" s="1"/>
  <c r="AP263" i="9"/>
  <c r="AP85" i="9"/>
  <c r="AP99" i="9"/>
  <c r="AP39" i="9"/>
  <c r="AP38" i="9"/>
  <c r="AP37" i="9"/>
  <c r="BY36" i="9"/>
  <c r="CE140" i="9"/>
  <c r="BN115" i="9"/>
  <c r="CE176" i="9"/>
  <c r="CE180" i="9" s="1"/>
  <c r="AW68" i="9"/>
  <c r="AW67" i="9"/>
  <c r="AN28" i="9"/>
  <c r="AN10" i="9"/>
  <c r="AR43" i="9"/>
  <c r="AQ36" i="9"/>
  <c r="BN110" i="9"/>
  <c r="BN282" i="9"/>
  <c r="BN270" i="9"/>
  <c r="AO106" i="9"/>
  <c r="BM112" i="9"/>
  <c r="BM111" i="9"/>
  <c r="BM145" i="9"/>
  <c r="BM142" i="9"/>
  <c r="BM139" i="9"/>
  <c r="CE110" i="9"/>
  <c r="BM148" i="9"/>
  <c r="BM249" i="9"/>
  <c r="BM103" i="9"/>
  <c r="BM86" i="9"/>
  <c r="BM77" i="9"/>
  <c r="BN76" i="9"/>
  <c r="CE76" i="9" s="1"/>
  <c r="BY99" i="9"/>
  <c r="AM28" i="9"/>
  <c r="AM10" i="9"/>
  <c r="BY50" i="9"/>
  <c r="BY32" i="9"/>
  <c r="BY33" i="9" s="1"/>
  <c r="AX66" i="9"/>
  <c r="CA66" i="9" s="1"/>
  <c r="CA67" i="9" s="1"/>
  <c r="AX54" i="9"/>
  <c r="AY53" i="9"/>
  <c r="CA53" i="9"/>
  <c r="CA54" i="9" s="1"/>
  <c r="AO253" i="9"/>
  <c r="BM104" i="9"/>
  <c r="BM80" i="9"/>
  <c r="BN79" i="9"/>
  <c r="AX41" i="9"/>
  <c r="AY40" i="9"/>
  <c r="BN273" i="9"/>
  <c r="BN285" i="9"/>
  <c r="CE254" i="9"/>
  <c r="CE273" i="9" s="1"/>
  <c r="BL280" i="9"/>
  <c r="BL268" i="9"/>
  <c r="AP51" i="9"/>
  <c r="AP100" i="9"/>
  <c r="BY100" i="9" s="1"/>
  <c r="AP52" i="9"/>
  <c r="AP32" i="9"/>
  <c r="AP33" i="9" s="1"/>
  <c r="AP50" i="9"/>
  <c r="AP62" i="9"/>
  <c r="BW51" i="15"/>
  <c r="BX48" i="15"/>
  <c r="BX50" i="15" s="1"/>
  <c r="CD33" i="14"/>
  <c r="BI46" i="15"/>
  <c r="BI60" i="14"/>
  <c r="BI61" i="14" s="1"/>
  <c r="BJ25" i="14"/>
  <c r="BI56" i="14"/>
  <c r="BJ9" i="14"/>
  <c r="CD23" i="14"/>
  <c r="BK23" i="14"/>
  <c r="BK23" i="15" s="1"/>
  <c r="BJ32" i="14"/>
  <c r="BJ39" i="15" s="1"/>
  <c r="CD39" i="15" s="1"/>
  <c r="BK31" i="14"/>
  <c r="BI52" i="14"/>
  <c r="CD97" i="13" l="1"/>
  <c r="BJ37" i="15"/>
  <c r="CD37" i="15" s="1"/>
  <c r="BJ101" i="13"/>
  <c r="BK97" i="13" s="1"/>
  <c r="CD29" i="13"/>
  <c r="CD99" i="13" s="1"/>
  <c r="CD269" i="9"/>
  <c r="CD87" i="9"/>
  <c r="CD88" i="9" s="1"/>
  <c r="BL87" i="9"/>
  <c r="BL250" i="9"/>
  <c r="BL74" i="9"/>
  <c r="BL102" i="9"/>
  <c r="BL70" i="9"/>
  <c r="BM73" i="9"/>
  <c r="BK71" i="9"/>
  <c r="BK72" i="9"/>
  <c r="BK269" i="9"/>
  <c r="BK281" i="9"/>
  <c r="BL26" i="14"/>
  <c r="BK33" i="15"/>
  <c r="BL28" i="14"/>
  <c r="BK45" i="15"/>
  <c r="BL16" i="14"/>
  <c r="BL16" i="15" s="1"/>
  <c r="BK16" i="15"/>
  <c r="BL13" i="14"/>
  <c r="BL14" i="15" s="1"/>
  <c r="BJ27" i="15"/>
  <c r="CD27" i="15" s="1"/>
  <c r="BL34" i="14"/>
  <c r="BK41" i="15"/>
  <c r="BL10" i="15"/>
  <c r="BL33" i="14" s="1"/>
  <c r="BJ42" i="15"/>
  <c r="CD42" i="15" s="1"/>
  <c r="CE77" i="9"/>
  <c r="BN104" i="9"/>
  <c r="CE104" i="9" s="1"/>
  <c r="BN80" i="9"/>
  <c r="AO284" i="9"/>
  <c r="AO262" i="9"/>
  <c r="AO264" i="9" s="1"/>
  <c r="AO261" i="9"/>
  <c r="AO254" i="9"/>
  <c r="AO285" i="9" s="1"/>
  <c r="AO260" i="9"/>
  <c r="AZ53" i="9"/>
  <c r="AY66" i="9"/>
  <c r="AY54" i="9"/>
  <c r="CE120" i="9"/>
  <c r="CE121" i="9" s="1"/>
  <c r="CE111" i="9"/>
  <c r="AQ263" i="9"/>
  <c r="AQ99" i="9"/>
  <c r="AQ85" i="9"/>
  <c r="AQ39" i="9"/>
  <c r="AQ38" i="9"/>
  <c r="AQ37" i="9"/>
  <c r="CE181" i="9"/>
  <c r="CE115" i="9" s="1"/>
  <c r="CE116" i="9" s="1"/>
  <c r="AP253" i="9"/>
  <c r="AQ100" i="9"/>
  <c r="AQ52" i="9"/>
  <c r="AQ50" i="9"/>
  <c r="AQ32" i="9"/>
  <c r="AQ62" i="9"/>
  <c r="AQ51" i="9"/>
  <c r="AY41" i="9"/>
  <c r="AZ40" i="9"/>
  <c r="AM16" i="9"/>
  <c r="AM11" i="9"/>
  <c r="AS43" i="9"/>
  <c r="AR36" i="9"/>
  <c r="CE139" i="9"/>
  <c r="AS56" i="9"/>
  <c r="AR49" i="9"/>
  <c r="CE148" i="9"/>
  <c r="AP64" i="9"/>
  <c r="AP63" i="9"/>
  <c r="AX67" i="9"/>
  <c r="AX68" i="9"/>
  <c r="BN249" i="9"/>
  <c r="BN103" i="9"/>
  <c r="CE103" i="9" s="1"/>
  <c r="BN77" i="9"/>
  <c r="BN86" i="9"/>
  <c r="BN111" i="9"/>
  <c r="BN112" i="9"/>
  <c r="BN145" i="9"/>
  <c r="BN139" i="9"/>
  <c r="BN142" i="9"/>
  <c r="BN116" i="9"/>
  <c r="BY263" i="9"/>
  <c r="BY264" i="9" s="1"/>
  <c r="BY37" i="9"/>
  <c r="AP106" i="9"/>
  <c r="BY62" i="9"/>
  <c r="BY63" i="9" s="1"/>
  <c r="BN148" i="9"/>
  <c r="CE79" i="9"/>
  <c r="BM280" i="9"/>
  <c r="BM268" i="9"/>
  <c r="CE249" i="9"/>
  <c r="AO107" i="9"/>
  <c r="AO27" i="9"/>
  <c r="BY106" i="9"/>
  <c r="BY107" i="9" s="1"/>
  <c r="BN121" i="9"/>
  <c r="AN16" i="9"/>
  <c r="AN11" i="9"/>
  <c r="BN181" i="9"/>
  <c r="BY48" i="15"/>
  <c r="BY50" i="15" s="1"/>
  <c r="BX51" i="15"/>
  <c r="CD32" i="14"/>
  <c r="BK32" i="14"/>
  <c r="BK39" i="15" s="1"/>
  <c r="BJ60" i="14"/>
  <c r="BJ61" i="14" s="1"/>
  <c r="CD25" i="14"/>
  <c r="CD101" i="13" s="1"/>
  <c r="BK25" i="14"/>
  <c r="BJ56" i="14"/>
  <c r="BK9" i="14"/>
  <c r="CD9" i="14"/>
  <c r="BL31" i="14"/>
  <c r="BL23" i="14"/>
  <c r="BL23" i="15" s="1"/>
  <c r="BJ52" i="14"/>
  <c r="BK29" i="13" l="1"/>
  <c r="BK37" i="15"/>
  <c r="BK101" i="13"/>
  <c r="BL97" i="13" s="1"/>
  <c r="BL29" i="13" s="1"/>
  <c r="BM87" i="9"/>
  <c r="BN73" i="9"/>
  <c r="BM250" i="9"/>
  <c r="BM74" i="9"/>
  <c r="BM102" i="9"/>
  <c r="BM70" i="9"/>
  <c r="BL281" i="9"/>
  <c r="BL269" i="9"/>
  <c r="BL72" i="9"/>
  <c r="BL71" i="9"/>
  <c r="BM13" i="14"/>
  <c r="BM14" i="15" s="1"/>
  <c r="BK27" i="15"/>
  <c r="BM16" i="14"/>
  <c r="BM16" i="15" s="1"/>
  <c r="BM28" i="14"/>
  <c r="BL45" i="15"/>
  <c r="BM26" i="14"/>
  <c r="BL33" i="15"/>
  <c r="BJ46" i="15"/>
  <c r="CD46" i="15" s="1"/>
  <c r="BM34" i="14"/>
  <c r="BL41" i="15"/>
  <c r="BM10" i="15"/>
  <c r="BM33" i="14" s="1"/>
  <c r="BN10" i="15"/>
  <c r="AQ33" i="9"/>
  <c r="AQ24" i="9"/>
  <c r="AQ23" i="9"/>
  <c r="CE80" i="9"/>
  <c r="AR263" i="9"/>
  <c r="AR99" i="9"/>
  <c r="AR85" i="9"/>
  <c r="AR37" i="9"/>
  <c r="AR39" i="9"/>
  <c r="AR38" i="9"/>
  <c r="AZ41" i="9"/>
  <c r="BA40" i="9"/>
  <c r="AQ253" i="9"/>
  <c r="CE268" i="9"/>
  <c r="CE86" i="9"/>
  <c r="BN268" i="9"/>
  <c r="BN280" i="9"/>
  <c r="AR100" i="9"/>
  <c r="AR62" i="9"/>
  <c r="AR50" i="9"/>
  <c r="AR52" i="9"/>
  <c r="AR51" i="9"/>
  <c r="AR32" i="9"/>
  <c r="AT43" i="9"/>
  <c r="AS36" i="9"/>
  <c r="AZ54" i="9"/>
  <c r="BA53" i="9"/>
  <c r="AZ66" i="9"/>
  <c r="AP107" i="9"/>
  <c r="AP27" i="9"/>
  <c r="AO28" i="9"/>
  <c r="AO10" i="9"/>
  <c r="BY27" i="9"/>
  <c r="AT56" i="9"/>
  <c r="AS49" i="9"/>
  <c r="AQ64" i="9"/>
  <c r="AQ63" i="9"/>
  <c r="AY68" i="9"/>
  <c r="AY67" i="9"/>
  <c r="AP260" i="9"/>
  <c r="AP284" i="9"/>
  <c r="AP262" i="9"/>
  <c r="AP264" i="9" s="1"/>
  <c r="AP254" i="9"/>
  <c r="AP285" i="9" s="1"/>
  <c r="AP261" i="9"/>
  <c r="AQ106" i="9"/>
  <c r="BZ48" i="15"/>
  <c r="BZ50" i="15" s="1"/>
  <c r="BY51" i="15"/>
  <c r="BM31" i="14"/>
  <c r="BL32" i="14"/>
  <c r="BL39" i="15" s="1"/>
  <c r="BK60" i="14"/>
  <c r="BK61" i="14" s="1"/>
  <c r="BL25" i="14"/>
  <c r="BM23" i="14"/>
  <c r="BM23" i="15" s="1"/>
  <c r="BK56" i="14"/>
  <c r="BL9" i="14"/>
  <c r="BK52" i="14"/>
  <c r="BL42" i="15"/>
  <c r="BK42" i="15"/>
  <c r="BK46" i="15" s="1"/>
  <c r="BL37" i="15" l="1"/>
  <c r="BL101" i="13"/>
  <c r="BM97" i="13" s="1"/>
  <c r="BM29" i="13" s="1"/>
  <c r="BM281" i="9"/>
  <c r="BM269" i="9"/>
  <c r="BM71" i="9"/>
  <c r="BM72" i="9"/>
  <c r="BN70" i="9"/>
  <c r="CE70" i="9" s="1"/>
  <c r="CE71" i="9" s="1"/>
  <c r="BN102" i="9"/>
  <c r="BN250" i="9"/>
  <c r="BN87" i="9"/>
  <c r="BN74" i="9"/>
  <c r="CE102" i="9"/>
  <c r="CE73" i="9"/>
  <c r="CE74" i="9" s="1"/>
  <c r="BN26" i="14"/>
  <c r="BM33" i="15"/>
  <c r="BN28" i="14"/>
  <c r="BM45" i="15"/>
  <c r="BN16" i="14"/>
  <c r="CE16" i="14" s="1"/>
  <c r="BN13" i="14"/>
  <c r="CE13" i="14" s="1"/>
  <c r="BL27" i="15"/>
  <c r="BL46" i="15"/>
  <c r="CE10" i="15"/>
  <c r="BN34" i="14"/>
  <c r="BM41" i="15"/>
  <c r="BZ49" i="9"/>
  <c r="BY28" i="9"/>
  <c r="BY10" i="9"/>
  <c r="BY11" i="9" s="1"/>
  <c r="AQ107" i="9"/>
  <c r="AQ27" i="9"/>
  <c r="AO16" i="9"/>
  <c r="AO11" i="9"/>
  <c r="AZ67" i="9"/>
  <c r="AZ68" i="9"/>
  <c r="AU43" i="9"/>
  <c r="AT36" i="9"/>
  <c r="BZ43" i="9"/>
  <c r="AR106" i="9"/>
  <c r="AS263" i="9"/>
  <c r="AS99" i="9"/>
  <c r="AS85" i="9"/>
  <c r="AS38" i="9"/>
  <c r="AS37" i="9"/>
  <c r="AS39" i="9"/>
  <c r="BZ36" i="9"/>
  <c r="AS100" i="9"/>
  <c r="AS62" i="9"/>
  <c r="AS50" i="9"/>
  <c r="AS51" i="9"/>
  <c r="AS52" i="9"/>
  <c r="AS32" i="9"/>
  <c r="BA66" i="9"/>
  <c r="BA54" i="9"/>
  <c r="AR33" i="9"/>
  <c r="AR23" i="9"/>
  <c r="AR24" i="9"/>
  <c r="AR63" i="9"/>
  <c r="AR64" i="9"/>
  <c r="AR253" i="9"/>
  <c r="AU56" i="9"/>
  <c r="AT49" i="9"/>
  <c r="BZ56" i="9"/>
  <c r="BZ57" i="9" s="1"/>
  <c r="AP28" i="9"/>
  <c r="AP10" i="9"/>
  <c r="BA41" i="9"/>
  <c r="CB40" i="9"/>
  <c r="AQ284" i="9"/>
  <c r="AQ272" i="9"/>
  <c r="AQ262" i="9"/>
  <c r="AQ261" i="9"/>
  <c r="AQ260" i="9"/>
  <c r="AQ254" i="9"/>
  <c r="BN33" i="14"/>
  <c r="CA48" i="15"/>
  <c r="CA50" i="15" s="1"/>
  <c r="BZ51" i="15"/>
  <c r="BN31" i="14"/>
  <c r="BN23" i="14"/>
  <c r="BN23" i="15" s="1"/>
  <c r="CE23" i="15" s="1"/>
  <c r="BL56" i="14"/>
  <c r="BM9" i="14"/>
  <c r="BM32" i="14"/>
  <c r="BM39" i="15" s="1"/>
  <c r="BL60" i="14"/>
  <c r="BL61" i="14" s="1"/>
  <c r="BM25" i="14"/>
  <c r="BL52" i="14"/>
  <c r="BM42" i="15"/>
  <c r="BM37" i="15" l="1"/>
  <c r="BM101" i="13"/>
  <c r="BN97" i="13" s="1"/>
  <c r="BN281" i="9"/>
  <c r="CE250" i="9"/>
  <c r="BN269" i="9"/>
  <c r="BN71" i="9"/>
  <c r="BN72" i="9"/>
  <c r="BN14" i="15"/>
  <c r="CE14" i="15" s="1"/>
  <c r="BN16" i="15"/>
  <c r="CE16" i="15" s="1"/>
  <c r="BM27" i="15"/>
  <c r="CE28" i="14"/>
  <c r="BN45" i="15"/>
  <c r="CE45" i="15" s="1"/>
  <c r="CE26" i="14"/>
  <c r="BN33" i="15"/>
  <c r="CE33" i="15" s="1"/>
  <c r="CE34" i="14"/>
  <c r="BN41" i="15"/>
  <c r="CE41" i="15" s="1"/>
  <c r="AP16" i="9"/>
  <c r="AP11" i="9"/>
  <c r="BZ263" i="9"/>
  <c r="BZ37" i="9"/>
  <c r="AQ273" i="9"/>
  <c r="AQ285" i="9"/>
  <c r="AU273" i="9"/>
  <c r="AQ276" i="9"/>
  <c r="AQ264" i="9"/>
  <c r="BA68" i="9"/>
  <c r="BA67" i="9"/>
  <c r="AS106" i="9"/>
  <c r="AT263" i="9"/>
  <c r="AT99" i="9"/>
  <c r="BZ99" i="9" s="1"/>
  <c r="AT85" i="9"/>
  <c r="AT39" i="9"/>
  <c r="AT38" i="9"/>
  <c r="AT37" i="9"/>
  <c r="AV56" i="9"/>
  <c r="AU49" i="9"/>
  <c r="BZ46" i="9"/>
  <c r="BZ44" i="9"/>
  <c r="AS24" i="9"/>
  <c r="AS33" i="9"/>
  <c r="AS23" i="9"/>
  <c r="AS63" i="9"/>
  <c r="AS64" i="9"/>
  <c r="AS253" i="9"/>
  <c r="AV43" i="9"/>
  <c r="AU36" i="9"/>
  <c r="BC40" i="9"/>
  <c r="AT100" i="9"/>
  <c r="BZ100" i="9" s="1"/>
  <c r="AT51" i="9"/>
  <c r="AT52" i="9"/>
  <c r="AT32" i="9"/>
  <c r="AT62" i="9"/>
  <c r="BZ62" i="9" s="1"/>
  <c r="BZ63" i="9" s="1"/>
  <c r="AT50" i="9"/>
  <c r="AR284" i="9"/>
  <c r="AR260" i="9"/>
  <c r="AR254" i="9"/>
  <c r="AR272" i="9"/>
  <c r="AR262" i="9"/>
  <c r="AR261" i="9"/>
  <c r="BC53" i="9"/>
  <c r="CB53" i="9"/>
  <c r="CB54" i="9" s="1"/>
  <c r="AR107" i="9"/>
  <c r="AR27" i="9"/>
  <c r="AQ10" i="9"/>
  <c r="AQ28" i="9"/>
  <c r="BZ50" i="9"/>
  <c r="BZ32" i="9"/>
  <c r="CE33" i="14"/>
  <c r="CA51" i="15"/>
  <c r="CB48" i="15"/>
  <c r="BM46" i="15"/>
  <c r="BM60" i="14"/>
  <c r="BM61" i="14" s="1"/>
  <c r="BN25" i="14"/>
  <c r="BM56" i="14"/>
  <c r="BN9" i="14"/>
  <c r="BN27" i="15" s="1"/>
  <c r="BN32" i="14"/>
  <c r="BN39" i="15" s="1"/>
  <c r="CE39" i="15" s="1"/>
  <c r="CE23" i="14"/>
  <c r="BM52" i="14"/>
  <c r="BN52" i="14"/>
  <c r="BN29" i="13" l="1"/>
  <c r="CE29" i="13" s="1"/>
  <c r="CE99" i="13" s="1"/>
  <c r="CE97" i="13"/>
  <c r="BN37" i="15"/>
  <c r="CE37" i="15" s="1"/>
  <c r="BN101" i="13"/>
  <c r="CE87" i="9"/>
  <c r="CE88" i="9" s="1"/>
  <c r="CE269" i="9"/>
  <c r="CE27" i="15"/>
  <c r="AQ16" i="9"/>
  <c r="AQ11" i="9"/>
  <c r="AR28" i="9"/>
  <c r="AR10" i="9"/>
  <c r="AT33" i="9"/>
  <c r="AT23" i="9"/>
  <c r="AT24" i="9"/>
  <c r="AW43" i="9"/>
  <c r="AV36" i="9"/>
  <c r="AU100" i="9"/>
  <c r="AU52" i="9"/>
  <c r="AU51" i="9"/>
  <c r="AU32" i="9"/>
  <c r="AU50" i="9"/>
  <c r="AU62" i="9"/>
  <c r="AT253" i="9"/>
  <c r="BZ33" i="9"/>
  <c r="BZ23" i="9"/>
  <c r="BD53" i="9"/>
  <c r="BC66" i="9"/>
  <c r="BC54" i="9"/>
  <c r="AR276" i="9"/>
  <c r="AR264" i="9"/>
  <c r="BC41" i="9"/>
  <c r="BD40" i="9"/>
  <c r="AW56" i="9"/>
  <c r="AV49" i="9"/>
  <c r="AS284" i="9"/>
  <c r="AS272" i="9"/>
  <c r="AS262" i="9"/>
  <c r="AS261" i="9"/>
  <c r="AS254" i="9"/>
  <c r="AS260" i="9"/>
  <c r="BZ253" i="9"/>
  <c r="AS107" i="9"/>
  <c r="AS27" i="9"/>
  <c r="AR285" i="9"/>
  <c r="AR273" i="9"/>
  <c r="AT64" i="9"/>
  <c r="AT63" i="9"/>
  <c r="AU263" i="9"/>
  <c r="AU99" i="9"/>
  <c r="AU85" i="9"/>
  <c r="AU39" i="9"/>
  <c r="AU38" i="9"/>
  <c r="AU37" i="9"/>
  <c r="AT106" i="9"/>
  <c r="CB66" i="9"/>
  <c r="CB67" i="9" s="1"/>
  <c r="BZ106" i="9"/>
  <c r="BZ107" i="9" s="1"/>
  <c r="BN56" i="14"/>
  <c r="CE9" i="14"/>
  <c r="CE32" i="14"/>
  <c r="CE25" i="14"/>
  <c r="BN60" i="14"/>
  <c r="BN61" i="14" s="1"/>
  <c r="BN42" i="15" l="1"/>
  <c r="AU253" i="9"/>
  <c r="AV100" i="9"/>
  <c r="AV62" i="9"/>
  <c r="AV50" i="9"/>
  <c r="AV51" i="9"/>
  <c r="AV32" i="9"/>
  <c r="AV52" i="9"/>
  <c r="BE53" i="9"/>
  <c r="BD66" i="9"/>
  <c r="BD54" i="9"/>
  <c r="AU64" i="9"/>
  <c r="AU63" i="9"/>
  <c r="AX43" i="9"/>
  <c r="AW36" i="9"/>
  <c r="AR16" i="9"/>
  <c r="AR11" i="9"/>
  <c r="AS28" i="9"/>
  <c r="AS10" i="9"/>
  <c r="AS285" i="9"/>
  <c r="AS273" i="9"/>
  <c r="AX56" i="9"/>
  <c r="AW49" i="9"/>
  <c r="CA56" i="9"/>
  <c r="CA57" i="9" s="1"/>
  <c r="AU106" i="9"/>
  <c r="BZ272" i="9"/>
  <c r="BZ262" i="9"/>
  <c r="BZ261" i="9"/>
  <c r="BZ85" i="9"/>
  <c r="BZ260" i="9"/>
  <c r="BD41" i="9"/>
  <c r="BE40" i="9"/>
  <c r="AT107" i="9"/>
  <c r="AT27" i="9"/>
  <c r="BC68" i="9"/>
  <c r="BC67" i="9"/>
  <c r="BZ27" i="9"/>
  <c r="AT284" i="9"/>
  <c r="AT272" i="9"/>
  <c r="AT260" i="9"/>
  <c r="AT262" i="9"/>
  <c r="AT261" i="9"/>
  <c r="AT254" i="9"/>
  <c r="AU24" i="9"/>
  <c r="AU23" i="9"/>
  <c r="AS276" i="9"/>
  <c r="AS264" i="9"/>
  <c r="AV263" i="9"/>
  <c r="AV99" i="9"/>
  <c r="AV85" i="9"/>
  <c r="AV37" i="9"/>
  <c r="AV39" i="9"/>
  <c r="AV38" i="9"/>
  <c r="CE42" i="15" l="1"/>
  <c r="BN46" i="15"/>
  <c r="CE46" i="15" s="1"/>
  <c r="AV23" i="9"/>
  <c r="AV24" i="9"/>
  <c r="AV106" i="9"/>
  <c r="AT285" i="9"/>
  <c r="AT273" i="9"/>
  <c r="AU285" i="9"/>
  <c r="BE41" i="9"/>
  <c r="BF40" i="9"/>
  <c r="AU107" i="9"/>
  <c r="AU27" i="9"/>
  <c r="AW100" i="9"/>
  <c r="AW62" i="9"/>
  <c r="AW50" i="9"/>
  <c r="AW51" i="9"/>
  <c r="AW52" i="9"/>
  <c r="AW32" i="9"/>
  <c r="AS16" i="9"/>
  <c r="AS11" i="9"/>
  <c r="AW263" i="9"/>
  <c r="AW99" i="9"/>
  <c r="AW106" i="9" s="1"/>
  <c r="AW85" i="9"/>
  <c r="AW38" i="9"/>
  <c r="AW39" i="9"/>
  <c r="AW37" i="9"/>
  <c r="BE66" i="9"/>
  <c r="BE54" i="9"/>
  <c r="BF53" i="9"/>
  <c r="AU284" i="9"/>
  <c r="AU272" i="9"/>
  <c r="AU262" i="9"/>
  <c r="AU261" i="9"/>
  <c r="AU260" i="9"/>
  <c r="AV253" i="9"/>
  <c r="AY56" i="9"/>
  <c r="AX49" i="9"/>
  <c r="AY43" i="9"/>
  <c r="AX36" i="9"/>
  <c r="CA43" i="9"/>
  <c r="CA44" i="9" s="1"/>
  <c r="AT276" i="9"/>
  <c r="AT264" i="9"/>
  <c r="BZ10" i="9"/>
  <c r="BZ11" i="9" s="1"/>
  <c r="BZ28" i="9"/>
  <c r="AT28" i="9"/>
  <c r="AT10" i="9"/>
  <c r="BZ276" i="9"/>
  <c r="BZ264" i="9"/>
  <c r="CA49" i="9"/>
  <c r="CA50" i="9" s="1"/>
  <c r="AV63" i="9"/>
  <c r="AV64" i="9"/>
  <c r="BD67" i="9"/>
  <c r="BD68" i="9"/>
  <c r="AX263" i="9" l="1"/>
  <c r="AX85" i="9"/>
  <c r="AX99" i="9"/>
  <c r="AX39" i="9"/>
  <c r="AX38" i="9"/>
  <c r="AX37" i="9"/>
  <c r="AT16" i="9"/>
  <c r="AT11" i="9"/>
  <c r="AZ43" i="9"/>
  <c r="AY36" i="9"/>
  <c r="AV284" i="9"/>
  <c r="AV272" i="9"/>
  <c r="AV260" i="9"/>
  <c r="AV254" i="9"/>
  <c r="AV262" i="9"/>
  <c r="AV261" i="9"/>
  <c r="AW107" i="9"/>
  <c r="AW27" i="9"/>
  <c r="AW24" i="9"/>
  <c r="AW23" i="9"/>
  <c r="AW63" i="9"/>
  <c r="AW64" i="9"/>
  <c r="AX51" i="9"/>
  <c r="AX100" i="9"/>
  <c r="CA100" i="9" s="1"/>
  <c r="AX52" i="9"/>
  <c r="AX32" i="9"/>
  <c r="CA32" i="9" s="1"/>
  <c r="CA23" i="9" s="1"/>
  <c r="AX50" i="9"/>
  <c r="AX62" i="9"/>
  <c r="CA62" i="9" s="1"/>
  <c r="CA63" i="9" s="1"/>
  <c r="AU276" i="9"/>
  <c r="AU264" i="9"/>
  <c r="BF66" i="9"/>
  <c r="CC66" i="9" s="1"/>
  <c r="CC67" i="9" s="1"/>
  <c r="BF54" i="9"/>
  <c r="BG53" i="9"/>
  <c r="CC53" i="9"/>
  <c r="CC54" i="9" s="1"/>
  <c r="AW253" i="9"/>
  <c r="BE68" i="9"/>
  <c r="BE67" i="9"/>
  <c r="CA36" i="9"/>
  <c r="AZ56" i="9"/>
  <c r="AY49" i="9"/>
  <c r="AU10" i="9"/>
  <c r="AU28" i="9"/>
  <c r="BF41" i="9"/>
  <c r="BG40" i="9"/>
  <c r="CC40" i="9"/>
  <c r="AV107" i="9"/>
  <c r="AV27" i="9"/>
  <c r="BH40" i="9" l="1"/>
  <c r="BG41" i="9"/>
  <c r="AW284" i="9"/>
  <c r="AW272" i="9"/>
  <c r="AW262" i="9"/>
  <c r="AW261" i="9"/>
  <c r="AW260" i="9"/>
  <c r="AW254" i="9"/>
  <c r="AW28" i="9"/>
  <c r="AW10" i="9"/>
  <c r="AV285" i="9"/>
  <c r="AV273" i="9"/>
  <c r="AX106" i="9"/>
  <c r="CA99" i="9"/>
  <c r="AY100" i="9"/>
  <c r="AY52" i="9"/>
  <c r="AY50" i="9"/>
  <c r="AY62" i="9"/>
  <c r="AY32" i="9"/>
  <c r="AY51" i="9"/>
  <c r="BF67" i="9"/>
  <c r="BF68" i="9"/>
  <c r="AV28" i="9"/>
  <c r="AV10" i="9"/>
  <c r="AX23" i="9"/>
  <c r="AX24" i="9"/>
  <c r="BA43" i="9"/>
  <c r="AZ36" i="9"/>
  <c r="AX253" i="9"/>
  <c r="CA263" i="9"/>
  <c r="CA37" i="9"/>
  <c r="AU16" i="9"/>
  <c r="AU11" i="9"/>
  <c r="BA56" i="9"/>
  <c r="AZ49" i="9"/>
  <c r="BH53" i="9"/>
  <c r="BG66" i="9"/>
  <c r="BG54" i="9"/>
  <c r="AV276" i="9"/>
  <c r="AV264" i="9"/>
  <c r="AX64" i="9"/>
  <c r="AX63" i="9"/>
  <c r="AY263" i="9"/>
  <c r="AY99" i="9"/>
  <c r="AY85" i="9"/>
  <c r="AY39" i="9"/>
  <c r="AY38" i="9"/>
  <c r="AY37" i="9"/>
  <c r="AY106" i="9" l="1"/>
  <c r="BG68" i="9"/>
  <c r="BG67" i="9"/>
  <c r="BA36" i="9"/>
  <c r="AX107" i="9"/>
  <c r="AX27" i="9"/>
  <c r="CA106" i="9"/>
  <c r="CA107" i="9" s="1"/>
  <c r="AY253" i="9"/>
  <c r="AX272" i="9"/>
  <c r="AX260" i="9"/>
  <c r="AX284" i="9"/>
  <c r="AX261" i="9"/>
  <c r="AX254" i="9"/>
  <c r="AX262" i="9"/>
  <c r="AY24" i="9"/>
  <c r="AY23" i="9"/>
  <c r="CA253" i="9"/>
  <c r="AW276" i="9"/>
  <c r="AW264" i="9"/>
  <c r="AV16" i="9"/>
  <c r="AV11" i="9"/>
  <c r="AY64" i="9"/>
  <c r="AY63" i="9"/>
  <c r="AW285" i="9"/>
  <c r="AW273" i="9"/>
  <c r="BH41" i="9"/>
  <c r="BI40" i="9"/>
  <c r="CB56" i="9"/>
  <c r="CB57" i="9" s="1"/>
  <c r="BA49" i="9"/>
  <c r="BH54" i="9"/>
  <c r="BI53" i="9"/>
  <c r="BH66" i="9"/>
  <c r="AZ100" i="9"/>
  <c r="AZ62" i="9"/>
  <c r="AZ50" i="9"/>
  <c r="AZ52" i="9"/>
  <c r="AZ32" i="9"/>
  <c r="AZ51" i="9"/>
  <c r="AZ263" i="9"/>
  <c r="AZ99" i="9"/>
  <c r="AZ106" i="9" s="1"/>
  <c r="AZ85" i="9"/>
  <c r="AZ37" i="9"/>
  <c r="AZ39" i="9"/>
  <c r="AZ38" i="9"/>
  <c r="AW16" i="9"/>
  <c r="AW11" i="9"/>
  <c r="CB43" i="9"/>
  <c r="CB44" i="9" s="1"/>
  <c r="AZ23" i="9" l="1"/>
  <c r="AZ24" i="9"/>
  <c r="BI41" i="9"/>
  <c r="BJ40" i="9"/>
  <c r="CD40" i="9" s="1"/>
  <c r="BA263" i="9"/>
  <c r="BA99" i="9"/>
  <c r="BA85" i="9"/>
  <c r="BA38" i="9"/>
  <c r="BA39" i="9"/>
  <c r="BA37" i="9"/>
  <c r="CB36" i="9"/>
  <c r="AZ107" i="9"/>
  <c r="AZ27" i="9"/>
  <c r="CA272" i="9"/>
  <c r="CA262" i="9"/>
  <c r="CA261" i="9"/>
  <c r="CA85" i="9"/>
  <c r="CA260" i="9"/>
  <c r="AX276" i="9"/>
  <c r="AX264" i="9"/>
  <c r="BC43" i="9"/>
  <c r="AZ63" i="9"/>
  <c r="AZ64" i="9"/>
  <c r="BH67" i="9"/>
  <c r="BH68" i="9"/>
  <c r="AZ253" i="9"/>
  <c r="BI66" i="9"/>
  <c r="BI54" i="9"/>
  <c r="BJ53" i="9"/>
  <c r="BA100" i="9"/>
  <c r="BA62" i="9"/>
  <c r="BA50" i="9"/>
  <c r="BA51" i="9"/>
  <c r="BA52" i="9"/>
  <c r="BA32" i="9"/>
  <c r="AX273" i="9"/>
  <c r="AX285" i="9"/>
  <c r="AY285" i="9"/>
  <c r="AX28" i="9"/>
  <c r="AX10" i="9"/>
  <c r="CA27" i="9"/>
  <c r="AY107" i="9"/>
  <c r="AY27" i="9"/>
  <c r="BC56" i="9"/>
  <c r="AY284" i="9"/>
  <c r="AY272" i="9"/>
  <c r="AY262" i="9"/>
  <c r="AY261" i="9"/>
  <c r="AY260" i="9"/>
  <c r="AZ28" i="9" l="1"/>
  <c r="AZ10" i="9"/>
  <c r="CB49" i="9"/>
  <c r="CB50" i="9" s="1"/>
  <c r="BJ66" i="9"/>
  <c r="BJ54" i="9"/>
  <c r="BK53" i="9"/>
  <c r="CD53" i="9"/>
  <c r="CD54" i="9" s="1"/>
  <c r="AZ284" i="9"/>
  <c r="AZ260" i="9"/>
  <c r="AZ254" i="9"/>
  <c r="AZ272" i="9"/>
  <c r="AZ262" i="9"/>
  <c r="AZ261" i="9"/>
  <c r="AY276" i="9"/>
  <c r="AY264" i="9"/>
  <c r="CA28" i="9"/>
  <c r="CA10" i="9"/>
  <c r="CA11" i="9" s="1"/>
  <c r="BA24" i="9"/>
  <c r="BA23" i="9"/>
  <c r="CB32" i="9"/>
  <c r="CB23" i="9" s="1"/>
  <c r="BA63" i="9"/>
  <c r="BA64" i="9"/>
  <c r="CA276" i="9"/>
  <c r="CA264" i="9"/>
  <c r="CB37" i="9"/>
  <c r="BJ41" i="9"/>
  <c r="BK40" i="9"/>
  <c r="BD43" i="9"/>
  <c r="BC36" i="9"/>
  <c r="BD56" i="9"/>
  <c r="BC49" i="9"/>
  <c r="AY10" i="9"/>
  <c r="AY28" i="9"/>
  <c r="AX16" i="9"/>
  <c r="AX11" i="9"/>
  <c r="CB100" i="9"/>
  <c r="BI68" i="9"/>
  <c r="BI67" i="9"/>
  <c r="BA106" i="9"/>
  <c r="CB62" i="9"/>
  <c r="CB63" i="9" s="1"/>
  <c r="BA253" i="9"/>
  <c r="BA284" i="9" l="1"/>
  <c r="BA272" i="9"/>
  <c r="BA262" i="9"/>
  <c r="BA261" i="9"/>
  <c r="BA260" i="9"/>
  <c r="BA254" i="9"/>
  <c r="CB99" i="9"/>
  <c r="BE56" i="9"/>
  <c r="BD49" i="9"/>
  <c r="AZ285" i="9"/>
  <c r="BD273" i="9"/>
  <c r="AZ273" i="9"/>
  <c r="AY16" i="9"/>
  <c r="AY11" i="9"/>
  <c r="CB263" i="9"/>
  <c r="BL53" i="9"/>
  <c r="BK66" i="9"/>
  <c r="BK54" i="9"/>
  <c r="BC263" i="9"/>
  <c r="BC99" i="9"/>
  <c r="BC85" i="9"/>
  <c r="BC38" i="9"/>
  <c r="BC37" i="9"/>
  <c r="BK41" i="9"/>
  <c r="BL40" i="9"/>
  <c r="AZ276" i="9"/>
  <c r="AZ264" i="9"/>
  <c r="BA107" i="9"/>
  <c r="BA27" i="9"/>
  <c r="CB106" i="9"/>
  <c r="BC100" i="9"/>
  <c r="BC51" i="9"/>
  <c r="BC50" i="9"/>
  <c r="BC62" i="9"/>
  <c r="BC32" i="9"/>
  <c r="BE43" i="9"/>
  <c r="BD36" i="9"/>
  <c r="BJ67" i="9"/>
  <c r="BJ68" i="9"/>
  <c r="CD66" i="9"/>
  <c r="CD67" i="9" s="1"/>
  <c r="AZ16" i="9"/>
  <c r="AZ11" i="9"/>
  <c r="BD263" i="9" l="1"/>
  <c r="BD99" i="9"/>
  <c r="BD85" i="9"/>
  <c r="BD37" i="9"/>
  <c r="BD38" i="9"/>
  <c r="BF43" i="9"/>
  <c r="CC43" i="9" s="1"/>
  <c r="CC44" i="9" s="1"/>
  <c r="BE36" i="9"/>
  <c r="BC106" i="9"/>
  <c r="BK68" i="9"/>
  <c r="BK67" i="9"/>
  <c r="BM40" i="9"/>
  <c r="BL41" i="9"/>
  <c r="BC248" i="9"/>
  <c r="BC253" i="9"/>
  <c r="CB248" i="9"/>
  <c r="BA276" i="9"/>
  <c r="BA264" i="9"/>
  <c r="BC24" i="9"/>
  <c r="BC23" i="9"/>
  <c r="BC22" i="9"/>
  <c r="BA28" i="9"/>
  <c r="BA10" i="9"/>
  <c r="CB27" i="9"/>
  <c r="CB22" i="9"/>
  <c r="BC64" i="9"/>
  <c r="BC63" i="9"/>
  <c r="CB253" i="9"/>
  <c r="BD100" i="9"/>
  <c r="BD62" i="9"/>
  <c r="BD50" i="9"/>
  <c r="BD51" i="9"/>
  <c r="BD32" i="9"/>
  <c r="BA285" i="9"/>
  <c r="BA273" i="9"/>
  <c r="BE273" i="9"/>
  <c r="BM53" i="9"/>
  <c r="BL66" i="9"/>
  <c r="BL54" i="9"/>
  <c r="BF56" i="9"/>
  <c r="BE49" i="9"/>
  <c r="BC14" i="9" l="1"/>
  <c r="CB107" i="9"/>
  <c r="CB28" i="9"/>
  <c r="CB10" i="9"/>
  <c r="CB267" i="9"/>
  <c r="CB260" i="9"/>
  <c r="CB85" i="9"/>
  <c r="BC284" i="9"/>
  <c r="BC272" i="9"/>
  <c r="BC262" i="9"/>
  <c r="BC252" i="9"/>
  <c r="BC256" i="9" s="1"/>
  <c r="BD106" i="9"/>
  <c r="BD63" i="9"/>
  <c r="BD64" i="9"/>
  <c r="BA16" i="9"/>
  <c r="BA11" i="9"/>
  <c r="CB256" i="9"/>
  <c r="CB275" i="9" s="1"/>
  <c r="BC279" i="9"/>
  <c r="BC267" i="9"/>
  <c r="BM41" i="9"/>
  <c r="BN40" i="9"/>
  <c r="BD248" i="9"/>
  <c r="BD253" i="9"/>
  <c r="CB272" i="9"/>
  <c r="CB261" i="9"/>
  <c r="CB262" i="9"/>
  <c r="BC81" i="9"/>
  <c r="BC75" i="9"/>
  <c r="BC78" i="9"/>
  <c r="BC39" i="9"/>
  <c r="BC52" i="9"/>
  <c r="BL67" i="9"/>
  <c r="BL68" i="9"/>
  <c r="BE100" i="9"/>
  <c r="BE62" i="9"/>
  <c r="BE50" i="9"/>
  <c r="BE51" i="9"/>
  <c r="BE32" i="9"/>
  <c r="BM66" i="9"/>
  <c r="BM54" i="9"/>
  <c r="BN53" i="9"/>
  <c r="BD23" i="9"/>
  <c r="BD22" i="9"/>
  <c r="BD24" i="9"/>
  <c r="CB81" i="9"/>
  <c r="CB75" i="9"/>
  <c r="CB14" i="9"/>
  <c r="CB78" i="9"/>
  <c r="CB252" i="9"/>
  <c r="CB271" i="9" s="1"/>
  <c r="BC107" i="9"/>
  <c r="BC27" i="9"/>
  <c r="BE263" i="9"/>
  <c r="BE99" i="9"/>
  <c r="BE85" i="9"/>
  <c r="BE38" i="9"/>
  <c r="BE37" i="9"/>
  <c r="CE53" i="9"/>
  <c r="CE54" i="9" s="1"/>
  <c r="BG56" i="9"/>
  <c r="BF49" i="9"/>
  <c r="CC49" i="9" s="1"/>
  <c r="CC50" i="9" s="1"/>
  <c r="BG43" i="9"/>
  <c r="BF36" i="9"/>
  <c r="CC56" i="9"/>
  <c r="CC57" i="9" s="1"/>
  <c r="BH56" i="9" l="1"/>
  <c r="BG49" i="9"/>
  <c r="BD284" i="9"/>
  <c r="BD272" i="9"/>
  <c r="BD252" i="9"/>
  <c r="BD256" i="9" s="1"/>
  <c r="BD262" i="9"/>
  <c r="BC283" i="9"/>
  <c r="BC271" i="9"/>
  <c r="BH43" i="9"/>
  <c r="BG36" i="9"/>
  <c r="BC28" i="9"/>
  <c r="BC10" i="9"/>
  <c r="BC13" i="13" s="1"/>
  <c r="BE106" i="9"/>
  <c r="CB6" i="9"/>
  <c r="BN66" i="9"/>
  <c r="CE66" i="9" s="1"/>
  <c r="CE67" i="9" s="1"/>
  <c r="BN54" i="9"/>
  <c r="BE63" i="9"/>
  <c r="BE64" i="9"/>
  <c r="BC6" i="9"/>
  <c r="CB276" i="9"/>
  <c r="CB264" i="9"/>
  <c r="BD279" i="9"/>
  <c r="BD267" i="9"/>
  <c r="BC276" i="9"/>
  <c r="BC264" i="9"/>
  <c r="BF263" i="9"/>
  <c r="BF85" i="9"/>
  <c r="BF99" i="9"/>
  <c r="BF38" i="9"/>
  <c r="BF37" i="9"/>
  <c r="CC36" i="9"/>
  <c r="BF51" i="9"/>
  <c r="BF100" i="9"/>
  <c r="CC100" i="9" s="1"/>
  <c r="BF32" i="9"/>
  <c r="BF50" i="9"/>
  <c r="BF62" i="9"/>
  <c r="BE253" i="9"/>
  <c r="BE248" i="9"/>
  <c r="BD78" i="9"/>
  <c r="BD14" i="9"/>
  <c r="BD81" i="9"/>
  <c r="BD75" i="9"/>
  <c r="BD52" i="9"/>
  <c r="BD39" i="9"/>
  <c r="BE24" i="9"/>
  <c r="BE23" i="9"/>
  <c r="BE22" i="9"/>
  <c r="BC287" i="9"/>
  <c r="BC275" i="9"/>
  <c r="BD107" i="9"/>
  <c r="BD27" i="9"/>
  <c r="BM68" i="9"/>
  <c r="BM67" i="9"/>
  <c r="BN41" i="9"/>
  <c r="CE40" i="9"/>
  <c r="BC7" i="13" l="1"/>
  <c r="BC57" i="13"/>
  <c r="BC24" i="13"/>
  <c r="BC14" i="13"/>
  <c r="BC58" i="13" s="1"/>
  <c r="BC11" i="13"/>
  <c r="BF106" i="9"/>
  <c r="BF27" i="9" s="1"/>
  <c r="CB11" i="9"/>
  <c r="BE284" i="9"/>
  <c r="BE272" i="9"/>
  <c r="BE262" i="9"/>
  <c r="BE252" i="9"/>
  <c r="BE256" i="9" s="1"/>
  <c r="BE14" i="9"/>
  <c r="BE78" i="9"/>
  <c r="BE75" i="9"/>
  <c r="BE81" i="9"/>
  <c r="BE39" i="9"/>
  <c r="BE52" i="9"/>
  <c r="BD6" i="9"/>
  <c r="BC8" i="9"/>
  <c r="BC7" i="9"/>
  <c r="BC13" i="9"/>
  <c r="BC18" i="9" s="1"/>
  <c r="BC113" i="9"/>
  <c r="BC25" i="9"/>
  <c r="BI43" i="9"/>
  <c r="BH36" i="9"/>
  <c r="CC263" i="9"/>
  <c r="CC37" i="9"/>
  <c r="BD28" i="9"/>
  <c r="BD10" i="9"/>
  <c r="BD13" i="13" s="1"/>
  <c r="BF64" i="9"/>
  <c r="BF63" i="9"/>
  <c r="CC62" i="9"/>
  <c r="CC63" i="9" s="1"/>
  <c r="BF248" i="9"/>
  <c r="CC248" i="9" s="1"/>
  <c r="BF253" i="9"/>
  <c r="BN67" i="9"/>
  <c r="BN68" i="9"/>
  <c r="BC11" i="9"/>
  <c r="BD276" i="9"/>
  <c r="BD264" i="9"/>
  <c r="BG100" i="9"/>
  <c r="BG50" i="9"/>
  <c r="BG32" i="9"/>
  <c r="BG62" i="9"/>
  <c r="BG51" i="9"/>
  <c r="BE279" i="9"/>
  <c r="BE267" i="9"/>
  <c r="BD287" i="9"/>
  <c r="BD275" i="9"/>
  <c r="CB7" i="9"/>
  <c r="CB13" i="9"/>
  <c r="CB18" i="9" s="1"/>
  <c r="CB113" i="9"/>
  <c r="CB25" i="9"/>
  <c r="CC99" i="9"/>
  <c r="BD271" i="9"/>
  <c r="BD283" i="9"/>
  <c r="BI56" i="9"/>
  <c r="BH49" i="9"/>
  <c r="BF23" i="9"/>
  <c r="BF22" i="9"/>
  <c r="BF24" i="9"/>
  <c r="CC32" i="9"/>
  <c r="CC23" i="9" s="1"/>
  <c r="BE107" i="9"/>
  <c r="BE27" i="9"/>
  <c r="BG263" i="9"/>
  <c r="BG99" i="9"/>
  <c r="BG85" i="9"/>
  <c r="BG38" i="9"/>
  <c r="BG37" i="9"/>
  <c r="CC106" i="9" l="1"/>
  <c r="BD7" i="13"/>
  <c r="BC104" i="13"/>
  <c r="BC9" i="13"/>
  <c r="BC41" i="13"/>
  <c r="BC10" i="13"/>
  <c r="BC18" i="13"/>
  <c r="BC105" i="13"/>
  <c r="BC21" i="13"/>
  <c r="BD24" i="13"/>
  <c r="BD57" i="13"/>
  <c r="BD61" i="13" s="1"/>
  <c r="BD62" i="13" s="1"/>
  <c r="BD11" i="13"/>
  <c r="BD42" i="13" s="1"/>
  <c r="BD14" i="13"/>
  <c r="BD58" i="13" s="1"/>
  <c r="BC30" i="13"/>
  <c r="BC25" i="13"/>
  <c r="BC42" i="13"/>
  <c r="BC43" i="13" s="1"/>
  <c r="BC61" i="13"/>
  <c r="BC62" i="13" s="1"/>
  <c r="CC22" i="9"/>
  <c r="BF107" i="9"/>
  <c r="CC267" i="9"/>
  <c r="BG248" i="9"/>
  <c r="BG253" i="9"/>
  <c r="BF279" i="9"/>
  <c r="BF267" i="9"/>
  <c r="BE6" i="9"/>
  <c r="BE276" i="9"/>
  <c r="BE264" i="9"/>
  <c r="BG106" i="9"/>
  <c r="BF272" i="9"/>
  <c r="BF262" i="9"/>
  <c r="BF284" i="9"/>
  <c r="BF252" i="9"/>
  <c r="BF256" i="9" s="1"/>
  <c r="BH100" i="9"/>
  <c r="BH62" i="9"/>
  <c r="BH50" i="9"/>
  <c r="BH51" i="9"/>
  <c r="BH32" i="9"/>
  <c r="BE275" i="9"/>
  <c r="BE287" i="9"/>
  <c r="BF28" i="9"/>
  <c r="BF10" i="9"/>
  <c r="BF13" i="13" s="1"/>
  <c r="BD11" i="9"/>
  <c r="BH263" i="9"/>
  <c r="BH99" i="9"/>
  <c r="BH85" i="9"/>
  <c r="BH37" i="9"/>
  <c r="BH38" i="9"/>
  <c r="BD13" i="9"/>
  <c r="BD18" i="9" s="1"/>
  <c r="BD8" i="9"/>
  <c r="BD7" i="9"/>
  <c r="BD113" i="9"/>
  <c r="BD25" i="9"/>
  <c r="BG64" i="9"/>
  <c r="BG63" i="9"/>
  <c r="BC1" i="9"/>
  <c r="BG24" i="9"/>
  <c r="BG23" i="9"/>
  <c r="BG22" i="9"/>
  <c r="BJ56" i="9"/>
  <c r="CD56" i="9" s="1"/>
  <c r="CD57" i="9" s="1"/>
  <c r="BI49" i="9"/>
  <c r="BE28" i="9"/>
  <c r="BE10" i="9"/>
  <c r="BE13" i="13" s="1"/>
  <c r="BF14" i="9"/>
  <c r="BF78" i="9"/>
  <c r="BF75" i="9"/>
  <c r="BF81" i="9"/>
  <c r="BF39" i="9"/>
  <c r="BF52" i="9"/>
  <c r="BJ43" i="9"/>
  <c r="CD43" i="9" s="1"/>
  <c r="CD44" i="9" s="1"/>
  <c r="BI36" i="9"/>
  <c r="BC47" i="14"/>
  <c r="CB47" i="14"/>
  <c r="CC253" i="9"/>
  <c r="BE283" i="9"/>
  <c r="BE271" i="9"/>
  <c r="CC27" i="9"/>
  <c r="BF57" i="13" l="1"/>
  <c r="BF61" i="13" s="1"/>
  <c r="BF24" i="13"/>
  <c r="BE7" i="13"/>
  <c r="BE14" i="13" s="1"/>
  <c r="BE58" i="13" s="1"/>
  <c r="BD18" i="13"/>
  <c r="BD9" i="13"/>
  <c r="BD105" i="13"/>
  <c r="BD41" i="13"/>
  <c r="BD104" i="13"/>
  <c r="BD21" i="13"/>
  <c r="BD10" i="13"/>
  <c r="BD43" i="13"/>
  <c r="BD44" i="13" s="1"/>
  <c r="BE57" i="13"/>
  <c r="BE61" i="13" s="1"/>
  <c r="BE24" i="13"/>
  <c r="BE11" i="13"/>
  <c r="CC13" i="13"/>
  <c r="BD30" i="13"/>
  <c r="BD25" i="13"/>
  <c r="BC44" i="13"/>
  <c r="BC49" i="13"/>
  <c r="BC51" i="13" s="1"/>
  <c r="BC31" i="13"/>
  <c r="CC75" i="9"/>
  <c r="CC81" i="9"/>
  <c r="CC107" i="9"/>
  <c r="CC78" i="9"/>
  <c r="CC14" i="9"/>
  <c r="CC6" i="9" s="1"/>
  <c r="CC252" i="9"/>
  <c r="CC271" i="9" s="1"/>
  <c r="CC260" i="9"/>
  <c r="BF287" i="9"/>
  <c r="BF275" i="9"/>
  <c r="CC256" i="9"/>
  <c r="CC275" i="9" s="1"/>
  <c r="CB10" i="14"/>
  <c r="CB42" i="14" s="1"/>
  <c r="BG14" i="9"/>
  <c r="BG81" i="9"/>
  <c r="BG75" i="9"/>
  <c r="BG78" i="9"/>
  <c r="BG39" i="9"/>
  <c r="BG52" i="9"/>
  <c r="BH23" i="9"/>
  <c r="BH22" i="9"/>
  <c r="BH24" i="9"/>
  <c r="BH63" i="9"/>
  <c r="BH64" i="9"/>
  <c r="BF276" i="9"/>
  <c r="BF264" i="9"/>
  <c r="BG284" i="9"/>
  <c r="BG272" i="9"/>
  <c r="BG262" i="9"/>
  <c r="BG252" i="9"/>
  <c r="BG256" i="9" s="1"/>
  <c r="BI263" i="9"/>
  <c r="BI99" i="9"/>
  <c r="BI85" i="9"/>
  <c r="BI38" i="9"/>
  <c r="BI37" i="9"/>
  <c r="BG279" i="9"/>
  <c r="BG267" i="9"/>
  <c r="CC85" i="9"/>
  <c r="CC28" i="9"/>
  <c r="CC10" i="9"/>
  <c r="BC48" i="14"/>
  <c r="BK43" i="9"/>
  <c r="BJ36" i="9"/>
  <c r="BF6" i="9"/>
  <c r="BI100" i="9"/>
  <c r="BI62" i="9"/>
  <c r="BI50" i="9"/>
  <c r="BI51" i="9"/>
  <c r="BI32" i="9"/>
  <c r="BD47" i="14"/>
  <c r="BH106" i="9"/>
  <c r="BF283" i="9"/>
  <c r="BF271" i="9"/>
  <c r="CC272" i="9"/>
  <c r="CC262" i="9"/>
  <c r="CC261" i="9"/>
  <c r="CB12" i="14"/>
  <c r="CB45" i="14" s="1"/>
  <c r="CB20" i="15"/>
  <c r="BC10" i="14"/>
  <c r="BC12" i="14"/>
  <c r="BC20" i="15" s="1"/>
  <c r="BE11" i="9"/>
  <c r="BK56" i="9"/>
  <c r="BJ49" i="9"/>
  <c r="BH248" i="9"/>
  <c r="BH253" i="9"/>
  <c r="BG107" i="9"/>
  <c r="BG27" i="9"/>
  <c r="BE113" i="9"/>
  <c r="BE13" i="9"/>
  <c r="BE18" i="9" s="1"/>
  <c r="BE7" i="9"/>
  <c r="BE8" i="9"/>
  <c r="BE25" i="9"/>
  <c r="CB48" i="14"/>
  <c r="BD49" i="13" l="1"/>
  <c r="BD51" i="13" s="1"/>
  <c r="BD52" i="13" s="1"/>
  <c r="BD53" i="13" s="1"/>
  <c r="BD54" i="13" s="1"/>
  <c r="BE62" i="13"/>
  <c r="BF30" i="13"/>
  <c r="BF7" i="13"/>
  <c r="BF62" i="13" s="1"/>
  <c r="BE18" i="13"/>
  <c r="BE10" i="13"/>
  <c r="BE105" i="13"/>
  <c r="BE41" i="13"/>
  <c r="BE21" i="13"/>
  <c r="BE104" i="13"/>
  <c r="BE9" i="13"/>
  <c r="CC7" i="13"/>
  <c r="BE42" i="13"/>
  <c r="BE43" i="13" s="1"/>
  <c r="CC57" i="13"/>
  <c r="CC61" i="13" s="1"/>
  <c r="CC62" i="13" s="1"/>
  <c r="BE30" i="13"/>
  <c r="BE25" i="13"/>
  <c r="CC24" i="13"/>
  <c r="CC25" i="13" s="1"/>
  <c r="BD31" i="13"/>
  <c r="BD33" i="13" s="1"/>
  <c r="BC33" i="13"/>
  <c r="BC76" i="13" s="1"/>
  <c r="BC52" i="13"/>
  <c r="BC115" i="13" s="1"/>
  <c r="BD1" i="9"/>
  <c r="CC11" i="9"/>
  <c r="BF11" i="9"/>
  <c r="CB8" i="15"/>
  <c r="CB19" i="15"/>
  <c r="CB11" i="14"/>
  <c r="CB43" i="14" s="1"/>
  <c r="BH107" i="9"/>
  <c r="BH27" i="9"/>
  <c r="BI24" i="9"/>
  <c r="BI23" i="9"/>
  <c r="BI22" i="9"/>
  <c r="BJ263" i="9"/>
  <c r="BJ99" i="9"/>
  <c r="CD99" i="9" s="1"/>
  <c r="BJ85" i="9"/>
  <c r="BJ38" i="9"/>
  <c r="BJ37" i="9"/>
  <c r="BE47" i="14"/>
  <c r="BH279" i="9"/>
  <c r="BH267" i="9"/>
  <c r="BL56" i="9"/>
  <c r="BK49" i="9"/>
  <c r="BF113" i="9"/>
  <c r="BF8" i="9"/>
  <c r="BF7" i="9"/>
  <c r="BF13" i="9"/>
  <c r="BF18" i="9" s="1"/>
  <c r="BF25" i="9"/>
  <c r="CD36" i="9"/>
  <c r="BG10" i="9"/>
  <c r="BG13" i="13" s="1"/>
  <c r="BG28" i="9"/>
  <c r="BD12" i="14"/>
  <c r="BD20" i="15" s="1"/>
  <c r="BD10" i="14"/>
  <c r="BD18" i="15" s="1"/>
  <c r="BI106" i="9"/>
  <c r="BG276" i="9"/>
  <c r="BG264" i="9"/>
  <c r="BC18" i="15"/>
  <c r="BC11" i="14"/>
  <c r="BC22" i="14"/>
  <c r="BG287" i="9"/>
  <c r="BG275" i="9"/>
  <c r="CC7" i="9"/>
  <c r="CC13" i="9"/>
  <c r="CC18" i="9" s="1"/>
  <c r="CC113" i="9"/>
  <c r="CC25" i="9"/>
  <c r="BI253" i="9"/>
  <c r="BI248" i="9"/>
  <c r="CB18" i="15"/>
  <c r="CB17" i="15"/>
  <c r="CB22" i="14"/>
  <c r="CB44" i="14" s="1"/>
  <c r="CB22" i="15"/>
  <c r="CB24" i="14"/>
  <c r="BH284" i="9"/>
  <c r="BH252" i="9"/>
  <c r="BH272" i="9"/>
  <c r="BH262" i="9"/>
  <c r="CC276" i="9"/>
  <c r="CC264" i="9"/>
  <c r="BI63" i="9"/>
  <c r="BI64" i="9"/>
  <c r="BJ100" i="9"/>
  <c r="CD100" i="9" s="1"/>
  <c r="BJ51" i="9"/>
  <c r="BJ32" i="9"/>
  <c r="CD32" i="9" s="1"/>
  <c r="CD23" i="9" s="1"/>
  <c r="BJ62" i="9"/>
  <c r="BJ50" i="9"/>
  <c r="CD49" i="9"/>
  <c r="CD50" i="9" s="1"/>
  <c r="BD48" i="14"/>
  <c r="BL43" i="9"/>
  <c r="BK36" i="9"/>
  <c r="BG283" i="9"/>
  <c r="BG271" i="9"/>
  <c r="BH14" i="9"/>
  <c r="BH81" i="9"/>
  <c r="BH78" i="9"/>
  <c r="BH75" i="9"/>
  <c r="BH39" i="9"/>
  <c r="BH52" i="9"/>
  <c r="BG6" i="9"/>
  <c r="BF25" i="13" l="1"/>
  <c r="BG7" i="13"/>
  <c r="BG14" i="13" s="1"/>
  <c r="BG58" i="13" s="1"/>
  <c r="BG57" i="13"/>
  <c r="BG24" i="13"/>
  <c r="BF31" i="13"/>
  <c r="BF33" i="13" s="1"/>
  <c r="CC104" i="13"/>
  <c r="CC41" i="13"/>
  <c r="CC105" i="13"/>
  <c r="CC18" i="13"/>
  <c r="CC9" i="13"/>
  <c r="CC21" i="13"/>
  <c r="BF41" i="13"/>
  <c r="BF105" i="13"/>
  <c r="BF10" i="13"/>
  <c r="BF104" i="13"/>
  <c r="BF11" i="13"/>
  <c r="BF18" i="13"/>
  <c r="BF21" i="13"/>
  <c r="BF9" i="13"/>
  <c r="BF14" i="13"/>
  <c r="BF58" i="13" s="1"/>
  <c r="CC14" i="13"/>
  <c r="CC58" i="13" s="1"/>
  <c r="BE31" i="13"/>
  <c r="CC30" i="13"/>
  <c r="BE49" i="13"/>
  <c r="BE51" i="13" s="1"/>
  <c r="BE44" i="13"/>
  <c r="BD34" i="13"/>
  <c r="BD35" i="13" s="1"/>
  <c r="BD76" i="13"/>
  <c r="BD79" i="13" s="1"/>
  <c r="BD80" i="13" s="1"/>
  <c r="BD81" i="13" s="1"/>
  <c r="BD115" i="13"/>
  <c r="BC34" i="13"/>
  <c r="BC35" i="13" s="1"/>
  <c r="BC53" i="13"/>
  <c r="BC54" i="13" s="1"/>
  <c r="BC79" i="13"/>
  <c r="BC80" i="13" s="1"/>
  <c r="BC81" i="13" s="1"/>
  <c r="BF1" i="9"/>
  <c r="BE1" i="9"/>
  <c r="BB49" i="14"/>
  <c r="BC8" i="15"/>
  <c r="BG8" i="9"/>
  <c r="BG7" i="9"/>
  <c r="BG13" i="9"/>
  <c r="BG18" i="9" s="1"/>
  <c r="BG113" i="9"/>
  <c r="BG25" i="9"/>
  <c r="BH6" i="9"/>
  <c r="BK263" i="9"/>
  <c r="BK99" i="9"/>
  <c r="BK85" i="9"/>
  <c r="BK38" i="9"/>
  <c r="BK37" i="9"/>
  <c r="BH276" i="9"/>
  <c r="BH264" i="9"/>
  <c r="BI284" i="9"/>
  <c r="BI272" i="9"/>
  <c r="BI262" i="9"/>
  <c r="BI252" i="9"/>
  <c r="BI256" i="9" s="1"/>
  <c r="BG11" i="9"/>
  <c r="BF47" i="14"/>
  <c r="BJ248" i="9"/>
  <c r="BJ253" i="9"/>
  <c r="CD253" i="9" s="1"/>
  <c r="BC22" i="15"/>
  <c r="BC24" i="14"/>
  <c r="BI107" i="9"/>
  <c r="BI27" i="9"/>
  <c r="BD22" i="14"/>
  <c r="BD11" i="14"/>
  <c r="BD19" i="15" s="1"/>
  <c r="BJ64" i="9"/>
  <c r="BJ63" i="9"/>
  <c r="BH283" i="9"/>
  <c r="BH271" i="9"/>
  <c r="CD263" i="9"/>
  <c r="CD37" i="9"/>
  <c r="BK100" i="9"/>
  <c r="BK51" i="9"/>
  <c r="BK32" i="9"/>
  <c r="BK50" i="9"/>
  <c r="BK62" i="9"/>
  <c r="BI14" i="9"/>
  <c r="BI81" i="9"/>
  <c r="BI78" i="9"/>
  <c r="BI75" i="9"/>
  <c r="BI52" i="9"/>
  <c r="BI39" i="9"/>
  <c r="BH28" i="9"/>
  <c r="BH10" i="9"/>
  <c r="BH13" i="13" s="1"/>
  <c r="BC19" i="15"/>
  <c r="BC36" i="14"/>
  <c r="CB36" i="14"/>
  <c r="CB86" i="14" s="1"/>
  <c r="BB86" i="14"/>
  <c r="BM43" i="9"/>
  <c r="BL36" i="9"/>
  <c r="BJ23" i="9"/>
  <c r="BJ22" i="9"/>
  <c r="BJ24" i="9"/>
  <c r="CD62" i="9"/>
  <c r="CD63" i="9" s="1"/>
  <c r="BI279" i="9"/>
  <c r="BI267" i="9"/>
  <c r="BM56" i="9"/>
  <c r="BL49" i="9"/>
  <c r="BH256" i="9"/>
  <c r="BE48" i="14"/>
  <c r="BE10" i="14"/>
  <c r="BE12" i="14"/>
  <c r="BE20" i="15" s="1"/>
  <c r="BJ106" i="9"/>
  <c r="CC31" i="13" l="1"/>
  <c r="BF34" i="13"/>
  <c r="BF35" i="13" s="1"/>
  <c r="BF76" i="13"/>
  <c r="BF79" i="13" s="1"/>
  <c r="BF80" i="13" s="1"/>
  <c r="BF81" i="13" s="1"/>
  <c r="BF42" i="13"/>
  <c r="BF43" i="13" s="1"/>
  <c r="CC11" i="13"/>
  <c r="CC42" i="13" s="1"/>
  <c r="CC43" i="13" s="1"/>
  <c r="BG61" i="13"/>
  <c r="BG62" i="13" s="1"/>
  <c r="BG104" i="13"/>
  <c r="BG105" i="13"/>
  <c r="BG9" i="13"/>
  <c r="BG18" i="13"/>
  <c r="BG10" i="13"/>
  <c r="BG41" i="13"/>
  <c r="BG21" i="13"/>
  <c r="BG11" i="13"/>
  <c r="BH57" i="13"/>
  <c r="BH61" i="13" s="1"/>
  <c r="BH24" i="13"/>
  <c r="BH7" i="13"/>
  <c r="BH14" i="13" s="1"/>
  <c r="BH58" i="13" s="1"/>
  <c r="BG30" i="13"/>
  <c r="BG31" i="13" s="1"/>
  <c r="BG33" i="13" s="1"/>
  <c r="BG25" i="13"/>
  <c r="BE33" i="13"/>
  <c r="CC33" i="13" s="1"/>
  <c r="CC34" i="13" s="1"/>
  <c r="CC35" i="13" s="1"/>
  <c r="BE52" i="13"/>
  <c r="BE115" i="13" s="1"/>
  <c r="CC32" i="13"/>
  <c r="BE76" i="13"/>
  <c r="BL100" i="9"/>
  <c r="BL62" i="9"/>
  <c r="BL50" i="9"/>
  <c r="BL51" i="9"/>
  <c r="BL32" i="9"/>
  <c r="BJ14" i="9"/>
  <c r="BJ75" i="9"/>
  <c r="BJ78" i="9"/>
  <c r="BJ81" i="9"/>
  <c r="BJ39" i="9"/>
  <c r="BJ52" i="9"/>
  <c r="BN43" i="9"/>
  <c r="BN36" i="9" s="1"/>
  <c r="BM36" i="9"/>
  <c r="BC86" i="14"/>
  <c r="BC37" i="14"/>
  <c r="BK24" i="9"/>
  <c r="BK23" i="9"/>
  <c r="BK22" i="9"/>
  <c r="BD22" i="15"/>
  <c r="BD24" i="14"/>
  <c r="BJ279" i="9"/>
  <c r="BJ267" i="9"/>
  <c r="CD248" i="9"/>
  <c r="CD262" i="9" s="1"/>
  <c r="CD276" i="9" s="1"/>
  <c r="BE11" i="14"/>
  <c r="BE19" i="15" s="1"/>
  <c r="BE22" i="14"/>
  <c r="BI6" i="9"/>
  <c r="BE18" i="15"/>
  <c r="BK106" i="9"/>
  <c r="BN56" i="9"/>
  <c r="BN49" i="9" s="1"/>
  <c r="BM49" i="9"/>
  <c r="BJ107" i="9"/>
  <c r="BJ27" i="9"/>
  <c r="CD27" i="9" s="1"/>
  <c r="CB37" i="14"/>
  <c r="CB38" i="14"/>
  <c r="BB70" i="14"/>
  <c r="BB71" i="14" s="1"/>
  <c r="BB67" i="14"/>
  <c r="BB68" i="14" s="1"/>
  <c r="BH11" i="9"/>
  <c r="BK64" i="9"/>
  <c r="BK63" i="9"/>
  <c r="BI28" i="9"/>
  <c r="BI10" i="9"/>
  <c r="BI13" i="13" s="1"/>
  <c r="BD8" i="15"/>
  <c r="CD272" i="9"/>
  <c r="BF10" i="14"/>
  <c r="BF12" i="14"/>
  <c r="BF20" i="15" s="1"/>
  <c r="CC20" i="15" s="1"/>
  <c r="CC47" i="14"/>
  <c r="BI283" i="9"/>
  <c r="BI271" i="9"/>
  <c r="BK248" i="9"/>
  <c r="BK253" i="9"/>
  <c r="BH287" i="9"/>
  <c r="BH275" i="9"/>
  <c r="BI275" i="9"/>
  <c r="BI287" i="9"/>
  <c r="BL263" i="9"/>
  <c r="BL99" i="9"/>
  <c r="BL85" i="9"/>
  <c r="BL37" i="9"/>
  <c r="BL38" i="9"/>
  <c r="CD106" i="9"/>
  <c r="BJ284" i="9"/>
  <c r="BJ272" i="9"/>
  <c r="BJ262" i="9"/>
  <c r="BJ252" i="9"/>
  <c r="BJ256" i="9" s="1"/>
  <c r="BF48" i="14"/>
  <c r="BI276" i="9"/>
  <c r="BI264" i="9"/>
  <c r="BH13" i="9"/>
  <c r="BH18" i="9" s="1"/>
  <c r="BH8" i="9"/>
  <c r="BH7" i="9"/>
  <c r="BH113" i="9"/>
  <c r="BH25" i="9"/>
  <c r="BG47" i="14"/>
  <c r="CE43" i="9"/>
  <c r="CE44" i="9" s="1"/>
  <c r="CD22" i="9"/>
  <c r="BE34" i="13" l="1"/>
  <c r="BE35" i="13" s="1"/>
  <c r="BH25" i="13"/>
  <c r="BF49" i="13"/>
  <c r="BF51" i="13" s="1"/>
  <c r="BF44" i="13"/>
  <c r="BG34" i="13"/>
  <c r="BG35" i="13" s="1"/>
  <c r="BG76" i="13"/>
  <c r="BG79" i="13" s="1"/>
  <c r="BG80" i="13" s="1"/>
  <c r="BG81" i="13" s="1"/>
  <c r="BI7" i="13"/>
  <c r="BH104" i="13"/>
  <c r="BH11" i="13"/>
  <c r="BH42" i="13" s="1"/>
  <c r="BH41" i="13"/>
  <c r="BH10" i="13"/>
  <c r="BH105" i="13"/>
  <c r="BH9" i="13"/>
  <c r="BH18" i="13"/>
  <c r="BH21" i="13"/>
  <c r="BH62" i="13"/>
  <c r="BI57" i="13"/>
  <c r="BI24" i="13"/>
  <c r="BI14" i="13"/>
  <c r="BI58" i="13" s="1"/>
  <c r="BG42" i="13"/>
  <c r="BG43" i="13" s="1"/>
  <c r="CC44" i="13"/>
  <c r="CC49" i="13"/>
  <c r="CC51" i="13" s="1"/>
  <c r="CC52" i="13" s="1"/>
  <c r="BE53" i="13"/>
  <c r="BE54" i="13" s="1"/>
  <c r="BE79" i="13"/>
  <c r="BE80" i="13" s="1"/>
  <c r="BE81" i="13" s="1"/>
  <c r="CC81" i="13" s="1"/>
  <c r="CC76" i="13"/>
  <c r="CC79" i="13" s="1"/>
  <c r="CC80" i="13" s="1"/>
  <c r="BG1" i="9"/>
  <c r="CD261" i="9"/>
  <c r="CE36" i="9"/>
  <c r="CE37" i="9" s="1"/>
  <c r="BL106" i="9"/>
  <c r="BL27" i="9" s="1"/>
  <c r="CE49" i="9"/>
  <c r="CE50" i="9" s="1"/>
  <c r="BD36" i="14"/>
  <c r="BD86" i="14" s="1"/>
  <c r="CD28" i="9"/>
  <c r="CD10" i="9"/>
  <c r="BE8" i="15"/>
  <c r="BJ287" i="9"/>
  <c r="BJ275" i="9"/>
  <c r="CD256" i="9"/>
  <c r="CD275" i="9" s="1"/>
  <c r="BF11" i="14"/>
  <c r="BF19" i="15" s="1"/>
  <c r="CC19" i="15" s="1"/>
  <c r="BF22" i="14"/>
  <c r="CD14" i="9"/>
  <c r="CD75" i="9"/>
  <c r="CD81" i="9"/>
  <c r="CD78" i="9"/>
  <c r="BG48" i="14"/>
  <c r="BJ276" i="9"/>
  <c r="BJ264" i="9"/>
  <c r="CC48" i="14"/>
  <c r="CD252" i="9"/>
  <c r="CD271" i="9" s="1"/>
  <c r="CC12" i="14"/>
  <c r="CC45" i="14" s="1"/>
  <c r="CE56" i="9"/>
  <c r="CE57" i="9" s="1"/>
  <c r="BK107" i="9"/>
  <c r="BK27" i="9"/>
  <c r="BE22" i="15"/>
  <c r="BE24" i="14"/>
  <c r="BM263" i="9"/>
  <c r="BM99" i="9"/>
  <c r="BM85" i="9"/>
  <c r="BM38" i="9"/>
  <c r="BM37" i="9"/>
  <c r="BJ6" i="9"/>
  <c r="BL248" i="9"/>
  <c r="BL253" i="9"/>
  <c r="BK284" i="9"/>
  <c r="BK272" i="9"/>
  <c r="BK262" i="9"/>
  <c r="BK252" i="9"/>
  <c r="BK256" i="9" s="1"/>
  <c r="CC10" i="14"/>
  <c r="CC42" i="14" s="1"/>
  <c r="BI11" i="9"/>
  <c r="BM100" i="9"/>
  <c r="BM62" i="9"/>
  <c r="BM50" i="9"/>
  <c r="BM51" i="9"/>
  <c r="BM32" i="9"/>
  <c r="BI13" i="9"/>
  <c r="BI18" i="9" s="1"/>
  <c r="BI8" i="9"/>
  <c r="BI7" i="9"/>
  <c r="BI113" i="9"/>
  <c r="BI25" i="9"/>
  <c r="BK14" i="9"/>
  <c r="BK81" i="9"/>
  <c r="BK75" i="9"/>
  <c r="BK78" i="9"/>
  <c r="BK39" i="9"/>
  <c r="BK52" i="9"/>
  <c r="BC67" i="14"/>
  <c r="BC68" i="14" s="1"/>
  <c r="BC38" i="14"/>
  <c r="BC70" i="14"/>
  <c r="BC71" i="14" s="1"/>
  <c r="BN263" i="9"/>
  <c r="BN85" i="9"/>
  <c r="BN99" i="9"/>
  <c r="CE99" i="9" s="1"/>
  <c r="BN38" i="9"/>
  <c r="BN37" i="9"/>
  <c r="BL63" i="9"/>
  <c r="BL64" i="9"/>
  <c r="BG10" i="14"/>
  <c r="BG12" i="14"/>
  <c r="BK279" i="9"/>
  <c r="BK267" i="9"/>
  <c r="BJ28" i="9"/>
  <c r="BJ10" i="9"/>
  <c r="BJ13" i="13" s="1"/>
  <c r="CD13" i="13" s="1"/>
  <c r="BN51" i="9"/>
  <c r="BN100" i="9"/>
  <c r="BN32" i="9"/>
  <c r="BN50" i="9"/>
  <c r="BN62" i="9"/>
  <c r="BL23" i="9"/>
  <c r="BL22" i="9"/>
  <c r="BL24" i="9"/>
  <c r="BH47" i="14"/>
  <c r="BJ283" i="9"/>
  <c r="BJ271" i="9"/>
  <c r="CD107" i="9"/>
  <c r="CD264" i="9"/>
  <c r="CD267" i="9"/>
  <c r="CD260" i="9"/>
  <c r="CD85" i="9"/>
  <c r="BF18" i="15"/>
  <c r="CC18" i="15" s="1"/>
  <c r="BI25" i="13" l="1"/>
  <c r="CC53" i="13"/>
  <c r="CC54" i="13" s="1"/>
  <c r="CC115" i="13"/>
  <c r="BI104" i="13"/>
  <c r="BI105" i="13"/>
  <c r="BI41" i="13"/>
  <c r="BI18" i="13"/>
  <c r="BI11" i="13"/>
  <c r="BI21" i="13"/>
  <c r="BI10" i="13"/>
  <c r="BI9" i="13"/>
  <c r="BG49" i="13"/>
  <c r="BG51" i="13" s="1"/>
  <c r="BG44" i="13"/>
  <c r="BI61" i="13"/>
  <c r="BI62" i="13" s="1"/>
  <c r="BH43" i="13"/>
  <c r="BJ57" i="13"/>
  <c r="BJ61" i="13" s="1"/>
  <c r="BJ24" i="13"/>
  <c r="BJ7" i="13"/>
  <c r="BJ14" i="13" s="1"/>
  <c r="BJ58" i="13" s="1"/>
  <c r="CD24" i="13"/>
  <c r="BF52" i="13"/>
  <c r="BF115" i="13" s="1"/>
  <c r="BH1" i="9"/>
  <c r="CE263" i="9"/>
  <c r="BE36" i="14"/>
  <c r="BE37" i="14" s="1"/>
  <c r="BD37" i="14"/>
  <c r="BD38" i="14" s="1"/>
  <c r="BF8" i="15"/>
  <c r="CC8" i="15" s="1"/>
  <c r="BN23" i="9"/>
  <c r="BN22" i="9"/>
  <c r="BN24" i="9"/>
  <c r="BJ11" i="9"/>
  <c r="BN106" i="9"/>
  <c r="BI47" i="14"/>
  <c r="CE100" i="9"/>
  <c r="BL284" i="9"/>
  <c r="BL272" i="9"/>
  <c r="BL252" i="9"/>
  <c r="BL256" i="9" s="1"/>
  <c r="BL262" i="9"/>
  <c r="CD6" i="9"/>
  <c r="CC22" i="14"/>
  <c r="CC44" i="14" s="1"/>
  <c r="BF22" i="15"/>
  <c r="CC22" i="15" s="1"/>
  <c r="BF24" i="14"/>
  <c r="CC24" i="14" s="1"/>
  <c r="BL14" i="9"/>
  <c r="BL75" i="9"/>
  <c r="BL78" i="9"/>
  <c r="BL81" i="9"/>
  <c r="BL52" i="9"/>
  <c r="BL39" i="9"/>
  <c r="BK287" i="9"/>
  <c r="BK275" i="9"/>
  <c r="BK283" i="9"/>
  <c r="BK271" i="9"/>
  <c r="BL279" i="9"/>
  <c r="BL267" i="9"/>
  <c r="BM106" i="9"/>
  <c r="CC11" i="14"/>
  <c r="CC43" i="14" s="1"/>
  <c r="BH48" i="14"/>
  <c r="BN64" i="9"/>
  <c r="BN63" i="9"/>
  <c r="BN248" i="9"/>
  <c r="BN253" i="9"/>
  <c r="BM253" i="9"/>
  <c r="BM248" i="9"/>
  <c r="BG20" i="15"/>
  <c r="BL28" i="9"/>
  <c r="BL10" i="9"/>
  <c r="BL13" i="13" s="1"/>
  <c r="BH12" i="14"/>
  <c r="BH10" i="14"/>
  <c r="BK6" i="9"/>
  <c r="BM24" i="9"/>
  <c r="BM23" i="9"/>
  <c r="BM22" i="9"/>
  <c r="CE32" i="9"/>
  <c r="CE23" i="9" s="1"/>
  <c r="BM63" i="9"/>
  <c r="BM64" i="9"/>
  <c r="CE62" i="9"/>
  <c r="CE63" i="9" s="1"/>
  <c r="BG18" i="15"/>
  <c r="BK276" i="9"/>
  <c r="BK264" i="9"/>
  <c r="BJ8" i="9"/>
  <c r="BJ7" i="9"/>
  <c r="BJ13" i="9"/>
  <c r="BJ18" i="9" s="1"/>
  <c r="BJ113" i="9"/>
  <c r="BJ25" i="9"/>
  <c r="BK10" i="9"/>
  <c r="BK13" i="13" s="1"/>
  <c r="BK28" i="9"/>
  <c r="BL107" i="9"/>
  <c r="BG11" i="14"/>
  <c r="BG19" i="15" s="1"/>
  <c r="BG22" i="14"/>
  <c r="CD57" i="13" l="1"/>
  <c r="CD61" i="13" s="1"/>
  <c r="BF53" i="13"/>
  <c r="BF54" i="13" s="1"/>
  <c r="BH49" i="13"/>
  <c r="BH44" i="13"/>
  <c r="BG52" i="13"/>
  <c r="BG115" i="13" s="1"/>
  <c r="BI42" i="13"/>
  <c r="BI43" i="13" s="1"/>
  <c r="BL57" i="13"/>
  <c r="BL61" i="13" s="1"/>
  <c r="BL24" i="13"/>
  <c r="BK57" i="13"/>
  <c r="BK24" i="13"/>
  <c r="BK7" i="13"/>
  <c r="BK14" i="13" s="1"/>
  <c r="BK58" i="13" s="1"/>
  <c r="BJ25" i="13"/>
  <c r="BJ9" i="13"/>
  <c r="BJ21" i="13"/>
  <c r="BJ11" i="13"/>
  <c r="BJ42" i="13" s="1"/>
  <c r="BJ104" i="13"/>
  <c r="BJ10" i="13"/>
  <c r="BJ41" i="13"/>
  <c r="BJ18" i="13"/>
  <c r="BJ105" i="13"/>
  <c r="CD7" i="13"/>
  <c r="CD25" i="13" s="1"/>
  <c r="BJ62" i="13"/>
  <c r="BI1" i="9"/>
  <c r="BD70" i="14"/>
  <c r="BD71" i="14" s="1"/>
  <c r="BF36" i="14"/>
  <c r="CC36" i="14" s="1"/>
  <c r="CC86" i="14" s="1"/>
  <c r="BD67" i="14"/>
  <c r="BD68" i="14" s="1"/>
  <c r="CD11" i="9"/>
  <c r="CE253" i="9"/>
  <c r="CE272" i="9" s="1"/>
  <c r="BE86" i="14"/>
  <c r="BG22" i="15"/>
  <c r="BG24" i="14"/>
  <c r="BM14" i="9"/>
  <c r="BM81" i="9"/>
  <c r="BM78" i="9"/>
  <c r="BM75" i="9"/>
  <c r="BM39" i="9"/>
  <c r="BM52" i="9"/>
  <c r="BK8" i="9"/>
  <c r="BK7" i="9"/>
  <c r="BK13" i="9"/>
  <c r="BK18" i="9" s="1"/>
  <c r="BK113" i="9"/>
  <c r="BK25" i="9"/>
  <c r="BH18" i="15"/>
  <c r="BL287" i="9"/>
  <c r="BL275" i="9"/>
  <c r="BL6" i="9"/>
  <c r="BI48" i="14"/>
  <c r="BK11" i="9"/>
  <c r="BM284" i="9"/>
  <c r="BM272" i="9"/>
  <c r="BM262" i="9"/>
  <c r="BM252" i="9"/>
  <c r="BM256" i="9" s="1"/>
  <c r="BN272" i="9"/>
  <c r="BN284" i="9"/>
  <c r="BN262" i="9"/>
  <c r="BN252" i="9"/>
  <c r="BN256" i="9" s="1"/>
  <c r="CE22" i="9"/>
  <c r="BL276" i="9"/>
  <c r="BL264" i="9"/>
  <c r="BI10" i="14"/>
  <c r="BI18" i="15" s="1"/>
  <c r="BI12" i="14"/>
  <c r="BI20" i="15" s="1"/>
  <c r="BN279" i="9"/>
  <c r="BN267" i="9"/>
  <c r="BH11" i="14"/>
  <c r="BH22" i="14"/>
  <c r="BH20" i="15"/>
  <c r="BL283" i="9"/>
  <c r="BL271" i="9"/>
  <c r="BJ47" i="14"/>
  <c r="BE67" i="14"/>
  <c r="BE68" i="14" s="1"/>
  <c r="BE70" i="14"/>
  <c r="BE71" i="14" s="1"/>
  <c r="BE38" i="14"/>
  <c r="BM279" i="9"/>
  <c r="BM267" i="9"/>
  <c r="CE248" i="9"/>
  <c r="BM107" i="9"/>
  <c r="BM27" i="9"/>
  <c r="CE106" i="9"/>
  <c r="CD13" i="9"/>
  <c r="CD18" i="9" s="1"/>
  <c r="CD7" i="9"/>
  <c r="CD113" i="9"/>
  <c r="CD25" i="9"/>
  <c r="BN107" i="9"/>
  <c r="BN27" i="9"/>
  <c r="BN14" i="9"/>
  <c r="BN81" i="9"/>
  <c r="BN75" i="9"/>
  <c r="BN78" i="9"/>
  <c r="BN39" i="9"/>
  <c r="BN52" i="9"/>
  <c r="CD62" i="13" l="1"/>
  <c r="BI49" i="13"/>
  <c r="BI44" i="13"/>
  <c r="BK61" i="13"/>
  <c r="BK62" i="13" s="1"/>
  <c r="BK25" i="13"/>
  <c r="CD11" i="13"/>
  <c r="CD42" i="13" s="1"/>
  <c r="BJ43" i="13"/>
  <c r="BL7" i="13"/>
  <c r="CD104" i="13"/>
  <c r="CD105" i="13"/>
  <c r="CD41" i="13"/>
  <c r="CD43" i="13" s="1"/>
  <c r="CD9" i="13"/>
  <c r="CD18" i="13"/>
  <c r="CD21" i="13"/>
  <c r="CD14" i="13"/>
  <c r="CD58" i="13" s="1"/>
  <c r="BK21" i="13"/>
  <c r="BK11" i="13"/>
  <c r="BK10" i="13"/>
  <c r="BK105" i="13"/>
  <c r="BK104" i="13"/>
  <c r="BK9" i="13"/>
  <c r="BK41" i="13"/>
  <c r="BK18" i="13"/>
  <c r="BG53" i="13"/>
  <c r="BG54" i="13" s="1"/>
  <c r="BJ1" i="9"/>
  <c r="BG36" i="14"/>
  <c r="BG37" i="14" s="1"/>
  <c r="CE262" i="9"/>
  <c r="CE264" i="9" s="1"/>
  <c r="BF86" i="14"/>
  <c r="BF37" i="14"/>
  <c r="BF38" i="14" s="1"/>
  <c r="CC38" i="14" s="1"/>
  <c r="BL11" i="9"/>
  <c r="CE256" i="9"/>
  <c r="CE275" i="9" s="1"/>
  <c r="CE107" i="9"/>
  <c r="CE276" i="9"/>
  <c r="BJ10" i="14"/>
  <c r="BJ18" i="15" s="1"/>
  <c r="CD18" i="15" s="1"/>
  <c r="BJ12" i="14"/>
  <c r="BJ20" i="15" s="1"/>
  <c r="CD20" i="15" s="1"/>
  <c r="BH22" i="15"/>
  <c r="BH24" i="14"/>
  <c r="BN276" i="9"/>
  <c r="BN264" i="9"/>
  <c r="BM276" i="9"/>
  <c r="BM264" i="9"/>
  <c r="CE261" i="9"/>
  <c r="BM28" i="9"/>
  <c r="BM10" i="9"/>
  <c r="BM13" i="13" s="1"/>
  <c r="CE27" i="9"/>
  <c r="BG8" i="15"/>
  <c r="BJ48" i="14"/>
  <c r="CD48" i="14" s="1"/>
  <c r="BH19" i="15"/>
  <c r="CD47" i="14"/>
  <c r="BL13" i="9"/>
  <c r="BL18" i="9" s="1"/>
  <c r="BL8" i="9"/>
  <c r="BL7" i="9"/>
  <c r="BL113" i="9"/>
  <c r="BL25" i="9"/>
  <c r="BK47" i="14"/>
  <c r="BN6" i="9"/>
  <c r="CE267" i="9"/>
  <c r="CE260" i="9"/>
  <c r="CE85" i="9"/>
  <c r="BN287" i="9"/>
  <c r="BN275" i="9"/>
  <c r="CE14" i="9"/>
  <c r="CE78" i="9"/>
  <c r="CE75" i="9"/>
  <c r="CE81" i="9"/>
  <c r="BM6" i="9"/>
  <c r="BN28" i="9"/>
  <c r="BN10" i="9"/>
  <c r="BN13" i="13" s="1"/>
  <c r="BM275" i="9"/>
  <c r="BM287" i="9"/>
  <c r="BN283" i="9"/>
  <c r="BN271" i="9"/>
  <c r="BM283" i="9"/>
  <c r="BM271" i="9"/>
  <c r="CE252" i="9"/>
  <c r="CE271" i="9" s="1"/>
  <c r="BI11" i="14"/>
  <c r="BI19" i="15" s="1"/>
  <c r="BI22" i="14"/>
  <c r="BN57" i="13" l="1"/>
  <c r="BN61" i="13" s="1"/>
  <c r="BN24" i="13"/>
  <c r="BN7" i="13"/>
  <c r="BN14" i="13" s="1"/>
  <c r="BN58" i="13" s="1"/>
  <c r="BM57" i="13"/>
  <c r="BM24" i="13"/>
  <c r="CE13" i="13"/>
  <c r="BL41" i="13"/>
  <c r="BL10" i="13"/>
  <c r="BL105" i="13"/>
  <c r="BL9" i="13"/>
  <c r="BL104" i="13"/>
  <c r="BL11" i="13"/>
  <c r="BL42" i="13" s="1"/>
  <c r="BL18" i="13"/>
  <c r="BL21" i="13"/>
  <c r="BL14" i="13"/>
  <c r="BL58" i="13" s="1"/>
  <c r="CD49" i="13"/>
  <c r="CD44" i="13"/>
  <c r="BL25" i="13"/>
  <c r="BM7" i="13"/>
  <c r="BK42" i="13"/>
  <c r="BK43" i="13" s="1"/>
  <c r="BJ44" i="13"/>
  <c r="BJ49" i="13"/>
  <c r="BL62" i="13"/>
  <c r="BG86" i="14"/>
  <c r="BK1" i="9"/>
  <c r="CC37" i="14"/>
  <c r="BF70" i="14"/>
  <c r="BF71" i="14" s="1"/>
  <c r="BF67" i="14"/>
  <c r="BF68" i="14" s="1"/>
  <c r="BI22" i="15"/>
  <c r="BI24" i="14"/>
  <c r="BM13" i="9"/>
  <c r="BM18" i="9" s="1"/>
  <c r="BM7" i="9"/>
  <c r="BM8" i="9"/>
  <c r="BM113" i="9"/>
  <c r="BM25" i="9"/>
  <c r="BK48" i="14"/>
  <c r="CE28" i="9"/>
  <c r="CE10" i="9"/>
  <c r="CE6" i="9"/>
  <c r="BK10" i="14"/>
  <c r="BK18" i="15" s="1"/>
  <c r="BK12" i="14"/>
  <c r="BK20" i="15" s="1"/>
  <c r="BM11" i="9"/>
  <c r="BG70" i="14"/>
  <c r="BG71" i="14" s="1"/>
  <c r="BG67" i="14"/>
  <c r="BG68" i="14" s="1"/>
  <c r="BG38" i="14"/>
  <c r="BN11" i="9"/>
  <c r="BL47" i="14"/>
  <c r="BJ11" i="14"/>
  <c r="BJ19" i="15" s="1"/>
  <c r="CD19" i="15" s="1"/>
  <c r="BJ22" i="14"/>
  <c r="CD12" i="14"/>
  <c r="CD45" i="14" s="1"/>
  <c r="BN8" i="9"/>
  <c r="BN7" i="9"/>
  <c r="BN13" i="9"/>
  <c r="BN18" i="9" s="1"/>
  <c r="BN113" i="9"/>
  <c r="BN25" i="9"/>
  <c r="CD10" i="14"/>
  <c r="CD42" i="14" s="1"/>
  <c r="BL1" i="9" l="1"/>
  <c r="BN25" i="13"/>
  <c r="BK49" i="13"/>
  <c r="BK44" i="13"/>
  <c r="BM104" i="13"/>
  <c r="BM18" i="13"/>
  <c r="BM9" i="13"/>
  <c r="BM11" i="13"/>
  <c r="BM42" i="13" s="1"/>
  <c r="BM41" i="13"/>
  <c r="BM43" i="13" s="1"/>
  <c r="BM10" i="13"/>
  <c r="BM21" i="13"/>
  <c r="BM105" i="13"/>
  <c r="CE7" i="13"/>
  <c r="BM25" i="13"/>
  <c r="CE24" i="13"/>
  <c r="BM14" i="13"/>
  <c r="BM58" i="13" s="1"/>
  <c r="BL43" i="13"/>
  <c r="BM61" i="13"/>
  <c r="BM62" i="13" s="1"/>
  <c r="CE57" i="13"/>
  <c r="CE61" i="13" s="1"/>
  <c r="BN10" i="13"/>
  <c r="BN104" i="13"/>
  <c r="BN41" i="13"/>
  <c r="BN11" i="13"/>
  <c r="BN42" i="13" s="1"/>
  <c r="BN9" i="13"/>
  <c r="BN18" i="13"/>
  <c r="BN105" i="13"/>
  <c r="BN21" i="13"/>
  <c r="BN62" i="13"/>
  <c r="CE11" i="9"/>
  <c r="BM47" i="14"/>
  <c r="BN47" i="14"/>
  <c r="BL48" i="14"/>
  <c r="CE13" i="9"/>
  <c r="CE18" i="9" s="1"/>
  <c r="CE7" i="9"/>
  <c r="CE113" i="9"/>
  <c r="CE25" i="9"/>
  <c r="BK11" i="14"/>
  <c r="BK19" i="15" s="1"/>
  <c r="BK22" i="14"/>
  <c r="BJ22" i="15"/>
  <c r="CD22" i="15" s="1"/>
  <c r="CD22" i="14"/>
  <c r="CD44" i="14" s="1"/>
  <c r="BJ24" i="14"/>
  <c r="CD24" i="14" s="1"/>
  <c r="BL12" i="14"/>
  <c r="BL20" i="15" s="1"/>
  <c r="BL10" i="14"/>
  <c r="CD11" i="14"/>
  <c r="CD43" i="14" s="1"/>
  <c r="CE14" i="13" l="1"/>
  <c r="CE58" i="13" s="1"/>
  <c r="CE62" i="13"/>
  <c r="BL44" i="13"/>
  <c r="BL49" i="13"/>
  <c r="CE11" i="13"/>
  <c r="CE42" i="13" s="1"/>
  <c r="CE104" i="13"/>
  <c r="CE18" i="13"/>
  <c r="CE9" i="13"/>
  <c r="CE41" i="13"/>
  <c r="CE43" i="13" s="1"/>
  <c r="CE21" i="13"/>
  <c r="CE105" i="13"/>
  <c r="BM49" i="13"/>
  <c r="BM44" i="13"/>
  <c r="BN43" i="13"/>
  <c r="CE25" i="13"/>
  <c r="BN1" i="9"/>
  <c r="BM1" i="9"/>
  <c r="BK22" i="15"/>
  <c r="BK24" i="14"/>
  <c r="BL11" i="14"/>
  <c r="BL19" i="15" s="1"/>
  <c r="BL22" i="14"/>
  <c r="BM48" i="14"/>
  <c r="CE47" i="14"/>
  <c r="BN10" i="14"/>
  <c r="CE10" i="14" s="1"/>
  <c r="BN12" i="14"/>
  <c r="CE12" i="14" s="1"/>
  <c r="BL18" i="15"/>
  <c r="BN48" i="14"/>
  <c r="BM10" i="14"/>
  <c r="BM12" i="14"/>
  <c r="BM20" i="15" s="1"/>
  <c r="BN44" i="13" l="1"/>
  <c r="BN49" i="13"/>
  <c r="CE44" i="13"/>
  <c r="CE49" i="13"/>
  <c r="BN18" i="15"/>
  <c r="CE45" i="14"/>
  <c r="CE42" i="14"/>
  <c r="BM18" i="15"/>
  <c r="BM11" i="14"/>
  <c r="BM19" i="15" s="1"/>
  <c r="BM22" i="14"/>
  <c r="CE48" i="14"/>
  <c r="BN11" i="14"/>
  <c r="CE11" i="14" s="1"/>
  <c r="BN22" i="14"/>
  <c r="BN20" i="15"/>
  <c r="CE20" i="15" s="1"/>
  <c r="BL22" i="15"/>
  <c r="BL24" i="14"/>
  <c r="CE18" i="15" l="1"/>
  <c r="BN22" i="15"/>
  <c r="CE22" i="14"/>
  <c r="CE44" i="14" s="1"/>
  <c r="BN24" i="14"/>
  <c r="CE24" i="14" s="1"/>
  <c r="BM22" i="15"/>
  <c r="BM24" i="14"/>
  <c r="CE43" i="14"/>
  <c r="BN19" i="15"/>
  <c r="CE19" i="15" s="1"/>
  <c r="CE22" i="15" l="1"/>
  <c r="BC34" i="15" l="1"/>
  <c r="BD34" i="15"/>
  <c r="BE34" i="15" l="1"/>
  <c r="BF34" i="15" l="1"/>
  <c r="CC34" i="15" s="1"/>
  <c r="BC49" i="14"/>
  <c r="CC30" i="15" l="1"/>
  <c r="BD49" i="14"/>
  <c r="BG34" i="15" l="1"/>
  <c r="BE49" i="14"/>
  <c r="BH34" i="15"/>
  <c r="CC49" i="14" l="1"/>
  <c r="BJ34" i="15"/>
  <c r="BI34" i="15"/>
  <c r="CD34" i="15" l="1"/>
  <c r="CD30" i="15"/>
  <c r="BG49" i="14"/>
  <c r="BF49" i="14"/>
  <c r="BH49" i="14" l="1"/>
  <c r="BK34" i="15" l="1"/>
  <c r="BJ49" i="14"/>
  <c r="BL34" i="15"/>
  <c r="BI49" i="14"/>
  <c r="BM34" i="15" l="1"/>
  <c r="BN34" i="15"/>
  <c r="CD49" i="14"/>
  <c r="CE34" i="15" l="1"/>
  <c r="CE30" i="15"/>
  <c r="BK49" i="14"/>
  <c r="BL49" i="14" l="1"/>
  <c r="BN49" i="14" l="1"/>
  <c r="BM49" i="14"/>
  <c r="CE49" i="14" l="1"/>
  <c r="CB49" i="14" l="1"/>
  <c r="CB15" i="14" l="1"/>
  <c r="CB8" i="14" l="1"/>
  <c r="CB100" i="13" s="1"/>
  <c r="CC98" i="13" s="1"/>
  <c r="BB55" i="14"/>
  <c r="BB57" i="14" s="1"/>
  <c r="BB63" i="14" s="1"/>
  <c r="BB64" i="14" s="1"/>
  <c r="BB74" i="14" l="1"/>
  <c r="CB14" i="14"/>
  <c r="CB19" i="14" l="1"/>
  <c r="CB39" i="14" s="1"/>
  <c r="CB30" i="15" l="1"/>
  <c r="CB34" i="15" l="1"/>
  <c r="CB11" i="15" l="1"/>
  <c r="CB24" i="15" l="1"/>
  <c r="BB53" i="15"/>
  <c r="BB54" i="15" s="1"/>
  <c r="BC48" i="15" l="1"/>
  <c r="CB53" i="15"/>
  <c r="CB54" i="15" s="1"/>
  <c r="CB49" i="15"/>
  <c r="CB50" i="15" s="1"/>
  <c r="CC48" i="15" l="1"/>
  <c r="CB51" i="15"/>
  <c r="BC24" i="15" l="1"/>
  <c r="BD24" i="15"/>
  <c r="BE24" i="15" l="1"/>
  <c r="BD49" i="15"/>
  <c r="BD53" i="15"/>
  <c r="BD54" i="15" s="1"/>
  <c r="BC53" i="15"/>
  <c r="BC54" i="15" s="1"/>
  <c r="BC49" i="15"/>
  <c r="BC50" i="15" l="1"/>
  <c r="BC8" i="14"/>
  <c r="BF24" i="15"/>
  <c r="CC11" i="15"/>
  <c r="BE49" i="15"/>
  <c r="BE53" i="15"/>
  <c r="BE54" i="15" s="1"/>
  <c r="BC51" i="15" l="1"/>
  <c r="BD48" i="15"/>
  <c r="BD50" i="15" s="1"/>
  <c r="BF49" i="15"/>
  <c r="BF53" i="15"/>
  <c r="BF54" i="15" s="1"/>
  <c r="CC24" i="15"/>
  <c r="BC55" i="14"/>
  <c r="BC57" i="14" s="1"/>
  <c r="BC63" i="14" s="1"/>
  <c r="BC64" i="14" s="1"/>
  <c r="BC14" i="14"/>
  <c r="BC100" i="13"/>
  <c r="BD96" i="13" s="1"/>
  <c r="BD8" i="14"/>
  <c r="BD14" i="14" l="1"/>
  <c r="BD100" i="13"/>
  <c r="BE96" i="13" s="1"/>
  <c r="BD55" i="14"/>
  <c r="BD57" i="14" s="1"/>
  <c r="BD63" i="14" s="1"/>
  <c r="BD64" i="14" s="1"/>
  <c r="BE8" i="14"/>
  <c r="BC74" i="14"/>
  <c r="CC53" i="15"/>
  <c r="CC54" i="15" s="1"/>
  <c r="CC49" i="15"/>
  <c r="CC50" i="15" s="1"/>
  <c r="BG24" i="15"/>
  <c r="BD51" i="15"/>
  <c r="BE48" i="15"/>
  <c r="BE50" i="15" s="1"/>
  <c r="BG49" i="15" l="1"/>
  <c r="BG53" i="15"/>
  <c r="BG54" i="15" s="1"/>
  <c r="BD74" i="14"/>
  <c r="BE51" i="15"/>
  <c r="BF48" i="15"/>
  <c r="BF50" i="15" s="1"/>
  <c r="CD48" i="15"/>
  <c r="BE100" i="13"/>
  <c r="BF96" i="13" s="1"/>
  <c r="CC96" i="13" s="1"/>
  <c r="BE55" i="14"/>
  <c r="BE57" i="14" s="1"/>
  <c r="BE63" i="14" s="1"/>
  <c r="BE64" i="14" s="1"/>
  <c r="BE14" i="14"/>
  <c r="BF8" i="14"/>
  <c r="CC8" i="14" l="1"/>
  <c r="BF55" i="14"/>
  <c r="BF57" i="14" s="1"/>
  <c r="BF63" i="14" s="1"/>
  <c r="BF64" i="14" s="1"/>
  <c r="BF14" i="14"/>
  <c r="BF100" i="13"/>
  <c r="BG96" i="13" s="1"/>
  <c r="BG8" i="14"/>
  <c r="BF51" i="15"/>
  <c r="BG48" i="15"/>
  <c r="BG50" i="15" s="1"/>
  <c r="BE74" i="14"/>
  <c r="CD11" i="15"/>
  <c r="BG51" i="15" l="1"/>
  <c r="BH48" i="15"/>
  <c r="BG14" i="14"/>
  <c r="BG55" i="14"/>
  <c r="BG57" i="14" s="1"/>
  <c r="BG63" i="14" s="1"/>
  <c r="BG64" i="14" s="1"/>
  <c r="BG100" i="13"/>
  <c r="BH96" i="13" s="1"/>
  <c r="BF74" i="14"/>
  <c r="CC14" i="14"/>
  <c r="CC100" i="13"/>
  <c r="CC51" i="15"/>
  <c r="BG74" i="14" l="1"/>
  <c r="BH70" i="13"/>
  <c r="BH50" i="13"/>
  <c r="BH51" i="13" s="1"/>
  <c r="BH30" i="13"/>
  <c r="BH31" i="13" l="1"/>
  <c r="BH74" i="13"/>
  <c r="BH52" i="13"/>
  <c r="BH53" i="13" s="1"/>
  <c r="BH54" i="13" s="1"/>
  <c r="BH115" i="13" l="1"/>
  <c r="CE11" i="15"/>
  <c r="BH33" i="13"/>
  <c r="BH8" i="15" l="1"/>
  <c r="BH34" i="13"/>
  <c r="BH35" i="13" s="1"/>
  <c r="BH76" i="13"/>
  <c r="BH36" i="14"/>
  <c r="BH86" i="14" l="1"/>
  <c r="BH37" i="14"/>
  <c r="BH79" i="13"/>
  <c r="BH80" i="13" s="1"/>
  <c r="BH81" i="13" s="1"/>
  <c r="BH24" i="15"/>
  <c r="BH38" i="14" l="1"/>
  <c r="BH70" i="14"/>
  <c r="BH71" i="14" s="1"/>
  <c r="BH67" i="14"/>
  <c r="BH68" i="14" s="1"/>
  <c r="BH53" i="15"/>
  <c r="BH54" i="15" s="1"/>
  <c r="BH49" i="15"/>
  <c r="BH8" i="14" l="1"/>
  <c r="BH50" i="15"/>
  <c r="BH55" i="14" l="1"/>
  <c r="BH57" i="14" s="1"/>
  <c r="BH63" i="14" s="1"/>
  <c r="BH64" i="14" s="1"/>
  <c r="BH14" i="14"/>
  <c r="BH100" i="13"/>
  <c r="BI96" i="13" s="1"/>
  <c r="BH51" i="15"/>
  <c r="BI48" i="15"/>
  <c r="BH74" i="14" l="1"/>
  <c r="BI50" i="13" l="1"/>
  <c r="BI51" i="13" s="1"/>
  <c r="BI70" i="13"/>
  <c r="BI30" i="13"/>
  <c r="BI31" i="13" l="1"/>
  <c r="BI52" i="13"/>
  <c r="BI53" i="13" s="1"/>
  <c r="BI54" i="13" s="1"/>
  <c r="BI74" i="13"/>
  <c r="BI115" i="13" l="1"/>
  <c r="BI33" i="13"/>
  <c r="BI76" i="13" l="1"/>
  <c r="BI34" i="13"/>
  <c r="BI35" i="13" s="1"/>
  <c r="BI8" i="15"/>
  <c r="BI36" i="14"/>
  <c r="BI86" i="14" l="1"/>
  <c r="BI37" i="14"/>
  <c r="BI24" i="15"/>
  <c r="BI79" i="13"/>
  <c r="BI80" i="13" s="1"/>
  <c r="BI81" i="13" s="1"/>
  <c r="BI53" i="15" l="1"/>
  <c r="BI54" i="15" s="1"/>
  <c r="BI49" i="15"/>
  <c r="BI70" i="14"/>
  <c r="BI71" i="14" s="1"/>
  <c r="BI67" i="14"/>
  <c r="BI68" i="14" s="1"/>
  <c r="BI38" i="14"/>
  <c r="BI8" i="14" l="1"/>
  <c r="BI50" i="15"/>
  <c r="BI14" i="14" l="1"/>
  <c r="BI55" i="14"/>
  <c r="BI57" i="14" s="1"/>
  <c r="BI63" i="14" s="1"/>
  <c r="BI64" i="14" s="1"/>
  <c r="BI100" i="13"/>
  <c r="BJ96" i="13" s="1"/>
  <c r="BI51" i="15"/>
  <c r="BJ48" i="15"/>
  <c r="CD96" i="13" l="1"/>
  <c r="BI74" i="14"/>
  <c r="BJ50" i="13" l="1"/>
  <c r="BJ51" i="13" s="1"/>
  <c r="BJ30" i="13"/>
  <c r="BJ70" i="13"/>
  <c r="CD28" i="13"/>
  <c r="BJ74" i="13" l="1"/>
  <c r="CD70" i="13"/>
  <c r="CD74" i="13" s="1"/>
  <c r="BJ52" i="13"/>
  <c r="BJ53" i="13" s="1"/>
  <c r="BJ54" i="13" s="1"/>
  <c r="CD98" i="13"/>
  <c r="CD50" i="13"/>
  <c r="CD51" i="13" s="1"/>
  <c r="BJ31" i="13"/>
  <c r="BJ33" i="13"/>
  <c r="CD30" i="13"/>
  <c r="BJ34" i="13" l="1"/>
  <c r="BJ35" i="13" s="1"/>
  <c r="BJ8" i="15"/>
  <c r="BJ76" i="13"/>
  <c r="CD33" i="13"/>
  <c r="CD34" i="13" s="1"/>
  <c r="CD35" i="13" s="1"/>
  <c r="BJ36" i="14"/>
  <c r="BJ115" i="13"/>
  <c r="CD31" i="13"/>
  <c r="BJ86" i="14" l="1"/>
  <c r="CD36" i="14"/>
  <c r="CD86" i="14" s="1"/>
  <c r="BJ37" i="14"/>
  <c r="BJ79" i="13"/>
  <c r="BJ80" i="13" s="1"/>
  <c r="BJ81" i="13" s="1"/>
  <c r="CD81" i="13" s="1"/>
  <c r="CD76" i="13"/>
  <c r="CD79" i="13" s="1"/>
  <c r="CD80" i="13" s="1"/>
  <c r="BJ24" i="15"/>
  <c r="CD8" i="15"/>
  <c r="CD32" i="13"/>
  <c r="CD52" i="13" s="1"/>
  <c r="CD53" i="13" s="1"/>
  <c r="CD54" i="13" s="1"/>
  <c r="CD115" i="13" l="1"/>
  <c r="BJ53" i="15"/>
  <c r="BJ54" i="15" s="1"/>
  <c r="BJ49" i="15"/>
  <c r="CD24" i="15"/>
  <c r="BJ38" i="14"/>
  <c r="CD37" i="14"/>
  <c r="BJ67" i="14"/>
  <c r="BJ68" i="14" s="1"/>
  <c r="BJ70" i="14"/>
  <c r="BJ71" i="14" s="1"/>
  <c r="CD38" i="14" l="1"/>
  <c r="CD49" i="15"/>
  <c r="CD50" i="15" s="1"/>
  <c r="CD53" i="15"/>
  <c r="CD54" i="15" s="1"/>
  <c r="BJ8" i="14"/>
  <c r="BJ50" i="15"/>
  <c r="BJ14" i="14" l="1"/>
  <c r="BJ55" i="14"/>
  <c r="BJ57" i="14" s="1"/>
  <c r="BJ63" i="14" s="1"/>
  <c r="BJ64" i="14" s="1"/>
  <c r="CD8" i="14"/>
  <c r="CD100" i="13" s="1"/>
  <c r="BJ100" i="13"/>
  <c r="BK96" i="13" s="1"/>
  <c r="CE48" i="15"/>
  <c r="BJ51" i="15"/>
  <c r="BK48" i="15"/>
  <c r="CD51" i="15" l="1"/>
  <c r="BK28" i="13"/>
  <c r="BJ74" i="14"/>
  <c r="CD14" i="14"/>
  <c r="BK70" i="13" l="1"/>
  <c r="BK50" i="13"/>
  <c r="BK51" i="13" s="1"/>
  <c r="BK30" i="13"/>
  <c r="BK31" i="13" l="1"/>
  <c r="BK33" i="13"/>
  <c r="BK74" i="13"/>
  <c r="BK52" i="13"/>
  <c r="BK53" i="13" s="1"/>
  <c r="BK54" i="13" s="1"/>
  <c r="BK34" i="13" l="1"/>
  <c r="BK35" i="13" s="1"/>
  <c r="BK8" i="15"/>
  <c r="BK76" i="13"/>
  <c r="BK36" i="14"/>
  <c r="BK115" i="13"/>
  <c r="BK86" i="14" l="1"/>
  <c r="BK37" i="14"/>
  <c r="BK24" i="15"/>
  <c r="BK79" i="13"/>
  <c r="BK80" i="13" s="1"/>
  <c r="BK81" i="13" s="1"/>
  <c r="BK49" i="15" l="1"/>
  <c r="BK53" i="15"/>
  <c r="BK54" i="15" s="1"/>
  <c r="BK67" i="14"/>
  <c r="BK68" i="14" s="1"/>
  <c r="BK38" i="14"/>
  <c r="BK70" i="14"/>
  <c r="BK71" i="14" s="1"/>
  <c r="BK8" i="14" l="1"/>
  <c r="BK50" i="15"/>
  <c r="BK51" i="15" l="1"/>
  <c r="BL48" i="15"/>
  <c r="BK55" i="14"/>
  <c r="BK57" i="14" s="1"/>
  <c r="BK63" i="14" s="1"/>
  <c r="BK64" i="14" s="1"/>
  <c r="BK14" i="14"/>
  <c r="BK100" i="13"/>
  <c r="BL96" i="13" s="1"/>
  <c r="BL28" i="13" l="1"/>
  <c r="BK74" i="14"/>
  <c r="BL70" i="13" l="1"/>
  <c r="BL50" i="13"/>
  <c r="BL51" i="13" s="1"/>
  <c r="BL30" i="13"/>
  <c r="BL31" i="13" l="1"/>
  <c r="BL74" i="13"/>
  <c r="BL52" i="13"/>
  <c r="BL53" i="13" s="1"/>
  <c r="BL54" i="13" s="1"/>
  <c r="BL115" i="13" l="1"/>
  <c r="BL33" i="13"/>
  <c r="BL34" i="13" l="1"/>
  <c r="BL35" i="13" s="1"/>
  <c r="BL76" i="13"/>
  <c r="BL8" i="15"/>
  <c r="BL36" i="14"/>
  <c r="BL86" i="14" l="1"/>
  <c r="BL37" i="14"/>
  <c r="BL24" i="15"/>
  <c r="BL79" i="13"/>
  <c r="BL80" i="13" s="1"/>
  <c r="BL81" i="13" s="1"/>
  <c r="BL53" i="15" l="1"/>
  <c r="BL54" i="15" s="1"/>
  <c r="BL49" i="15"/>
  <c r="BL70" i="14"/>
  <c r="BL71" i="14" s="1"/>
  <c r="BL67" i="14"/>
  <c r="BL68" i="14" s="1"/>
  <c r="BL38" i="14"/>
  <c r="BL8" i="14" l="1"/>
  <c r="BL50" i="15"/>
  <c r="BL14" i="14" l="1"/>
  <c r="BL55" i="14"/>
  <c r="BL57" i="14" s="1"/>
  <c r="BL63" i="14" s="1"/>
  <c r="BL64" i="14" s="1"/>
  <c r="BL100" i="13"/>
  <c r="BM96" i="13" s="1"/>
  <c r="BL51" i="15"/>
  <c r="BM48" i="15"/>
  <c r="BM28" i="13" l="1"/>
  <c r="BL74" i="14"/>
  <c r="BM50" i="13" l="1"/>
  <c r="BM51" i="13" s="1"/>
  <c r="BM30" i="13"/>
  <c r="BM70" i="13"/>
  <c r="BM74" i="13" l="1"/>
  <c r="BM52" i="13"/>
  <c r="BM53" i="13" s="1"/>
  <c r="BM54" i="13" s="1"/>
  <c r="BM31" i="13"/>
  <c r="BM115" i="13" l="1"/>
  <c r="BM33" i="13"/>
  <c r="BM8" i="15" l="1"/>
  <c r="BM34" i="13"/>
  <c r="BM35" i="13" s="1"/>
  <c r="BM76" i="13"/>
  <c r="BM36" i="14"/>
  <c r="BM86" i="14" l="1"/>
  <c r="BM37" i="14"/>
  <c r="BM79" i="13"/>
  <c r="BM80" i="13" s="1"/>
  <c r="BM81" i="13" s="1"/>
  <c r="BM24" i="15"/>
  <c r="BM53" i="15" l="1"/>
  <c r="BM54" i="15" s="1"/>
  <c r="BM49" i="15"/>
  <c r="BM70" i="14"/>
  <c r="BM71" i="14" s="1"/>
  <c r="BM38" i="14"/>
  <c r="BM67" i="14"/>
  <c r="BM68" i="14" s="1"/>
  <c r="BM8" i="14" l="1"/>
  <c r="BM50" i="15"/>
  <c r="BM51" i="15" l="1"/>
  <c r="BN48" i="15"/>
  <c r="BM14" i="14"/>
  <c r="BM55" i="14"/>
  <c r="BM57" i="14" s="1"/>
  <c r="BM63" i="14" s="1"/>
  <c r="BM64" i="14" s="1"/>
  <c r="BM100" i="13"/>
  <c r="BN96" i="13" s="1"/>
  <c r="BM74" i="14" l="1"/>
  <c r="BN28" i="13"/>
  <c r="CE96" i="13"/>
  <c r="BN70" i="13" l="1"/>
  <c r="BN50" i="13"/>
  <c r="BN51" i="13" s="1"/>
  <c r="BN30" i="13"/>
  <c r="CE28" i="13"/>
  <c r="BN31" i="13" l="1"/>
  <c r="CE30" i="13"/>
  <c r="BN74" i="13"/>
  <c r="CE70" i="13"/>
  <c r="CE74" i="13" s="1"/>
  <c r="CE98" i="13"/>
  <c r="CE50" i="13"/>
  <c r="BN52" i="13"/>
  <c r="BN53" i="13" s="1"/>
  <c r="BN54" i="13" s="1"/>
  <c r="CE51" i="13" l="1"/>
  <c r="BN115" i="13"/>
  <c r="CE31" i="13"/>
  <c r="BN33" i="13"/>
  <c r="BN34" i="13" l="1"/>
  <c r="BN35" i="13" s="1"/>
  <c r="BN8" i="15"/>
  <c r="BN76" i="13"/>
  <c r="CE33" i="13"/>
  <c r="CE34" i="13" s="1"/>
  <c r="CE35" i="13" s="1"/>
  <c r="BN36" i="14"/>
  <c r="CE32" i="13"/>
  <c r="CE52" i="13"/>
  <c r="CE53" i="13" l="1"/>
  <c r="CE54" i="13" s="1"/>
  <c r="CE115" i="13"/>
  <c r="CE36" i="14"/>
  <c r="CE86" i="14" s="1"/>
  <c r="BN86" i="14"/>
  <c r="BN37" i="14"/>
  <c r="BN79" i="13"/>
  <c r="BN80" i="13" s="1"/>
  <c r="BN81" i="13" s="1"/>
  <c r="CE81" i="13" s="1"/>
  <c r="CE76" i="13"/>
  <c r="CE79" i="13" s="1"/>
  <c r="CE80" i="13" s="1"/>
  <c r="BN24" i="15"/>
  <c r="CE8" i="15"/>
  <c r="BN53" i="15" l="1"/>
  <c r="BN54" i="15" s="1"/>
  <c r="BN49" i="15"/>
  <c r="CE24" i="15"/>
  <c r="BN67" i="14"/>
  <c r="BN68" i="14" s="1"/>
  <c r="CE37" i="14"/>
  <c r="BN70" i="14"/>
  <c r="BN71" i="14" s="1"/>
  <c r="BN38" i="14"/>
  <c r="CE38" i="14" l="1"/>
  <c r="BN8" i="14"/>
  <c r="BN50" i="15"/>
  <c r="CE53" i="15"/>
  <c r="CE54" i="15" s="1"/>
  <c r="CE49" i="15"/>
  <c r="CE50" i="15" s="1"/>
  <c r="BN51" i="15" l="1"/>
  <c r="BN100" i="13"/>
  <c r="BN14" i="14"/>
  <c r="CE8" i="14"/>
  <c r="CE51" i="15" s="1"/>
  <c r="BN55" i="14"/>
  <c r="BN57" i="14" s="1"/>
  <c r="BN63" i="14" s="1"/>
  <c r="BN64" i="14" s="1"/>
  <c r="CE14" i="14" l="1"/>
  <c r="BN74" i="14"/>
  <c r="BC19" i="14" l="1"/>
  <c r="BC39" i="14" s="1"/>
  <c r="BD19" i="14" l="1"/>
  <c r="BD39" i="14" s="1"/>
  <c r="BE19" i="14" l="1"/>
  <c r="BE39" i="14" s="1"/>
  <c r="CC15" i="14" l="1"/>
  <c r="BF19" i="14"/>
  <c r="BG19" i="14"/>
  <c r="BG39" i="14" s="1"/>
  <c r="BF39" i="14" l="1"/>
  <c r="CC19" i="14"/>
  <c r="CC39" i="14" s="1"/>
  <c r="BH19" i="14"/>
  <c r="BH39" i="14" s="1"/>
  <c r="BI19" i="14" l="1"/>
  <c r="BI39" i="14" s="1"/>
  <c r="BJ19" i="14" l="1"/>
  <c r="CD15" i="14"/>
  <c r="BK19" i="14"/>
  <c r="BK39" i="14" s="1"/>
  <c r="BL19" i="14" l="1"/>
  <c r="BL39" i="14" s="1"/>
  <c r="BJ39" i="14"/>
  <c r="CD19" i="14"/>
  <c r="CD39" i="14" s="1"/>
  <c r="BM19" i="14" l="1"/>
  <c r="BM39" i="14" s="1"/>
  <c r="CE15" i="14" l="1"/>
  <c r="BN19" i="14"/>
  <c r="BN39" i="14" l="1"/>
  <c r="CE19" i="14"/>
  <c r="CE39" i="14" s="1"/>
</calcChain>
</file>

<file path=xl/sharedStrings.xml><?xml version="1.0" encoding="utf-8"?>
<sst xmlns="http://schemas.openxmlformats.org/spreadsheetml/2006/main" count="1599" uniqueCount="863">
  <si>
    <t>($ in millions; FY ends January)</t>
  </si>
  <si>
    <t>Revenue</t>
  </si>
  <si>
    <t>Net income</t>
  </si>
  <si>
    <t>COGS</t>
  </si>
  <si>
    <t>R&amp;D</t>
  </si>
  <si>
    <t>SG&amp;A</t>
  </si>
  <si>
    <t>Balance Sheet</t>
  </si>
  <si>
    <t>Cash and cash equivalents</t>
  </si>
  <si>
    <t>Marketable securities</t>
  </si>
  <si>
    <t>Inventories</t>
  </si>
  <si>
    <t>Prepaid expenses and other</t>
  </si>
  <si>
    <t>Deferred income taxes</t>
  </si>
  <si>
    <t>Total current assets</t>
  </si>
  <si>
    <t>Property and equipment, net</t>
  </si>
  <si>
    <t>Goodwill</t>
  </si>
  <si>
    <t>Intangible assets, net</t>
  </si>
  <si>
    <t>Other assets</t>
  </si>
  <si>
    <t>Total assets</t>
  </si>
  <si>
    <t>Accounts payable</t>
  </si>
  <si>
    <t>Accrued liabilities and other</t>
  </si>
  <si>
    <t>Total current liabilities</t>
  </si>
  <si>
    <t>Long-term debt</t>
  </si>
  <si>
    <t>Other long-term liabilities</t>
  </si>
  <si>
    <t>Capital lease obligations, long-term</t>
  </si>
  <si>
    <t>Additional paid-in capital</t>
  </si>
  <si>
    <t>Accumulated other comprehensive income</t>
  </si>
  <si>
    <t>Retained earnings</t>
  </si>
  <si>
    <t>Total stockholders' equity</t>
  </si>
  <si>
    <t>Total liabilities and stockholders' equity</t>
  </si>
  <si>
    <t>Assets</t>
  </si>
  <si>
    <t>Accounts receivable</t>
  </si>
  <si>
    <t>Liabilities &amp; Stockholders' Equity</t>
  </si>
  <si>
    <t>Commitments and contingencies</t>
  </si>
  <si>
    <t>Preferred stock</t>
  </si>
  <si>
    <t>Common stock</t>
  </si>
  <si>
    <t>Treasury stock</t>
  </si>
  <si>
    <t>Statement of Cash Flows</t>
  </si>
  <si>
    <t>Stockholders' equity</t>
  </si>
  <si>
    <t>Cash flows from operating activities:</t>
  </si>
  <si>
    <t>Stock-based compensation expense</t>
  </si>
  <si>
    <t>Depreciation and amortization</t>
  </si>
  <si>
    <t>Amortization of debt discount</t>
  </si>
  <si>
    <t>Tax benefit from stock-based compensation</t>
  </si>
  <si>
    <t>Other</t>
  </si>
  <si>
    <t>Prepaid expenses and other current assets</t>
  </si>
  <si>
    <t>Deposits and other assets</t>
  </si>
  <si>
    <t>Net cash provided by operating activities</t>
  </si>
  <si>
    <t>Cash flows from investing activities:</t>
  </si>
  <si>
    <t>Purchases of marketable securities</t>
  </si>
  <si>
    <t>Proceeds from sales of marketable securities</t>
  </si>
  <si>
    <t>Net cash used in investing activities</t>
  </si>
  <si>
    <t>Cash flows from financing activities:</t>
  </si>
  <si>
    <t>Purchase of convertible note hedges</t>
  </si>
  <si>
    <t>Dividends paid</t>
  </si>
  <si>
    <t>Payments under capital lease obligations</t>
  </si>
  <si>
    <t>Change in cash and cash equivalents</t>
  </si>
  <si>
    <t>Cash and cash equivalents at end of period</t>
  </si>
  <si>
    <t>Adjustments to CFO:</t>
  </si>
  <si>
    <t>Changes in operating assets and liabilities, net of effects of acquisitions:</t>
  </si>
  <si>
    <t>Accrued liabilities and other long-term liabilities</t>
  </si>
  <si>
    <t>Proceeds from maturities of marketable securities</t>
  </si>
  <si>
    <t>Purchases of property and equipment and intangible assets</t>
  </si>
  <si>
    <t>Proceeds from sale of long-lived assets and investments</t>
  </si>
  <si>
    <t>Acquisition of businesses, net of cash and cash equivalents</t>
  </si>
  <si>
    <t>Proceeds from issuance of convertible notes,net</t>
  </si>
  <si>
    <t>Proceeds from the sale of common stock warrants</t>
  </si>
  <si>
    <t>Proceeds from issuance of common stock under employee stock plans</t>
  </si>
  <si>
    <t>Payments related to repurchases of common stock</t>
  </si>
  <si>
    <t>Net cash (used in) provided by financing activities</t>
  </si>
  <si>
    <t>Cash and cash equivalents at beginning of period</t>
  </si>
  <si>
    <t>Fiscal Year</t>
  </si>
  <si>
    <t>1Q06</t>
  </si>
  <si>
    <t>2Q06</t>
  </si>
  <si>
    <t>3Q06</t>
  </si>
  <si>
    <t>4Q06</t>
  </si>
  <si>
    <t>1Q07</t>
  </si>
  <si>
    <t>2Q07</t>
  </si>
  <si>
    <t>3Q07</t>
  </si>
  <si>
    <t>4Q07</t>
  </si>
  <si>
    <t>1Q08</t>
  </si>
  <si>
    <t>2Q08</t>
  </si>
  <si>
    <t>3Q08</t>
  </si>
  <si>
    <t>4Q08</t>
  </si>
  <si>
    <t>1Q09</t>
  </si>
  <si>
    <t>2Q09</t>
  </si>
  <si>
    <t>3Q09</t>
  </si>
  <si>
    <t>4Q09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</si>
  <si>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</si>
  <si>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</si>
  <si>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</si>
  <si>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</si>
  <si>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</si>
  <si>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</si>
  <si>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</si>
  <si>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</si>
  <si>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</si>
  <si>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</si>
  <si>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</si>
  <si>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</si>
  <si>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</si>
  <si>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</si>
  <si>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</si>
  <si>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</si>
  <si>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</si>
  <si>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</si>
  <si>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</si>
  <si>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</si>
  <si>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</si>
  <si>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</si>
  <si>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</si>
  <si>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</si>
  <si>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Check</t>
  </si>
  <si>
    <t>Gain on sale of long-lived assets and investments</t>
  </si>
  <si>
    <t>Cons Rev</t>
  </si>
  <si>
    <t>Y/Y Change</t>
  </si>
  <si>
    <t>Q/Q Change</t>
  </si>
  <si>
    <t>NVDA-US</t>
  </si>
  <si>
    <t>Gross Profit</t>
  </si>
  <si>
    <t>Gross Margin</t>
  </si>
  <si>
    <t>Reuters Year</t>
  </si>
  <si>
    <t>1FQ2013</t>
  </si>
  <si>
    <t>2FQ2013</t>
  </si>
  <si>
    <t>1FQ2014</t>
  </si>
  <si>
    <t>2FQ2014</t>
  </si>
  <si>
    <t>3FQ2014</t>
  </si>
  <si>
    <t>4FQ2014</t>
  </si>
  <si>
    <t>3FQ2013</t>
  </si>
  <si>
    <t>4FQ2013</t>
  </si>
  <si>
    <t>2FQ2015</t>
  </si>
  <si>
    <t>1FQ2015</t>
  </si>
  <si>
    <t>3FQ2015</t>
  </si>
  <si>
    <t>4FQ2015</t>
  </si>
  <si>
    <t>TF.ES.SALES.Mean</t>
  </si>
  <si>
    <t>Nvidia (NVDA-US)</t>
  </si>
  <si>
    <t>Total Opex</t>
  </si>
  <si>
    <t>Operating Income</t>
  </si>
  <si>
    <t>Other Operating Income</t>
  </si>
  <si>
    <t>Interest Expense</t>
  </si>
  <si>
    <t>Interest Income</t>
  </si>
  <si>
    <t>Income Tax</t>
  </si>
  <si>
    <t>Net Income</t>
  </si>
  <si>
    <t>Share Count</t>
  </si>
  <si>
    <t>Average Basic Shares</t>
  </si>
  <si>
    <t>Average Diluted Shares</t>
  </si>
  <si>
    <t>Profit Before Tax</t>
  </si>
  <si>
    <t>Operating Margin</t>
  </si>
  <si>
    <t>EPS - GAAP</t>
  </si>
  <si>
    <t>Cons EPS</t>
  </si>
  <si>
    <t>TF.ES.EPS.Mean</t>
  </si>
  <si>
    <t>TF.ES.GPM.Mean</t>
  </si>
  <si>
    <t>Cons Gross Margin</t>
  </si>
  <si>
    <t>FY2012</t>
  </si>
  <si>
    <t>FY2013</t>
  </si>
  <si>
    <t>FY2014</t>
  </si>
  <si>
    <t>A/R Turnover Days</t>
  </si>
  <si>
    <t>Inventory Turnover Days</t>
  </si>
  <si>
    <t>A/P Turnover Days</t>
  </si>
  <si>
    <t>Prepaid &amp; Other Current Asset as % of Revenues</t>
  </si>
  <si>
    <t>Working Capital Metrics</t>
  </si>
  <si>
    <t>Day Count</t>
  </si>
  <si>
    <t>GPU</t>
  </si>
  <si>
    <t>Depreciation &amp; amortization expense</t>
  </si>
  <si>
    <t>Tegra Processor</t>
  </si>
  <si>
    <t>All Other (Primarily Licensing Revs. i.e. Intel)</t>
  </si>
  <si>
    <t>Operating income</t>
  </si>
  <si>
    <t>China</t>
  </si>
  <si>
    <t>Taiwan</t>
  </si>
  <si>
    <t>Other Asia Pacific</t>
  </si>
  <si>
    <t>Europe</t>
  </si>
  <si>
    <t>United States</t>
  </si>
  <si>
    <t>Total revenue</t>
  </si>
  <si>
    <t>Other Americas</t>
  </si>
  <si>
    <t>Revenue by Geography ($)</t>
  </si>
  <si>
    <t>% of Total Revs.</t>
  </si>
  <si>
    <t>Revenue by Business Segment (Pre-2013)</t>
  </si>
  <si>
    <t>Revenue by Business Segment (Post-2013)</t>
  </si>
  <si>
    <t>All Others</t>
  </si>
  <si>
    <t>Consolidated</t>
  </si>
  <si>
    <t>Professional Solutions Business (PSB)</t>
  </si>
  <si>
    <t>Consumer Products Business (CPB)</t>
  </si>
  <si>
    <t>Media &amp; Communication Processor (MCP)</t>
  </si>
  <si>
    <t>GAAP to Non-GAAP Reconciliation</t>
  </si>
  <si>
    <t>Calendar Year</t>
  </si>
  <si>
    <t>Amortization of acquisition related intangibles</t>
  </si>
  <si>
    <t>GAAP Operating Expense</t>
  </si>
  <si>
    <t>SBC Included in Opex</t>
  </si>
  <si>
    <t>Non-GAAP Opex</t>
  </si>
  <si>
    <t>Non-GAAP Gross Margin</t>
  </si>
  <si>
    <t>Non-GAAP Interest &amp; Other Income</t>
  </si>
  <si>
    <t>GAAP Net Income</t>
  </si>
  <si>
    <t>GAAP  Gross Profit</t>
  </si>
  <si>
    <t>GAAP Gross Margin</t>
  </si>
  <si>
    <t>Non-GAAP Gross Profit</t>
  </si>
  <si>
    <t>GAAP Other Income &amp; Expense</t>
  </si>
  <si>
    <t>Non-GAAP Net Income</t>
  </si>
  <si>
    <t>Cons Operating Margin</t>
  </si>
  <si>
    <t>TF.ES.OPR.Mean</t>
  </si>
  <si>
    <t>FY2006</t>
  </si>
  <si>
    <t>FY2007</t>
  </si>
  <si>
    <t>FY2008</t>
  </si>
  <si>
    <t>FY2009</t>
  </si>
  <si>
    <t>FY2010</t>
  </si>
  <si>
    <t>FY2011</t>
  </si>
  <si>
    <t>FY2015</t>
  </si>
  <si>
    <t>FY2016</t>
  </si>
  <si>
    <t>FY2017</t>
  </si>
  <si>
    <t>FY2018</t>
  </si>
  <si>
    <t>FY2019</t>
  </si>
  <si>
    <t>FY2020</t>
  </si>
  <si>
    <t>EPS - Non-GAAP</t>
  </si>
  <si>
    <t>Total pre-tax impact of Non-GAAP adjustments</t>
  </si>
  <si>
    <t>Income tax impact of Non-GAAP adjustments</t>
  </si>
  <si>
    <t>COGS - MW</t>
  </si>
  <si>
    <t>Gross Profit - MW</t>
  </si>
  <si>
    <t>Gross Margin - MW</t>
  </si>
  <si>
    <t>Effective tax rate GAAP %</t>
  </si>
  <si>
    <t>Net Income - MW</t>
  </si>
  <si>
    <t>(-) Other one-time items - COGS</t>
  </si>
  <si>
    <t>(-) Other one-time items - R&amp;D</t>
  </si>
  <si>
    <t>(-) Other one-time items - SG&amp;A</t>
  </si>
  <si>
    <t>Other Opex - MW</t>
  </si>
  <si>
    <t>R&amp;D - MW</t>
  </si>
  <si>
    <t>Total Opex - MW</t>
  </si>
  <si>
    <t>SG&amp;A - MW</t>
  </si>
  <si>
    <t>Operating Income - MW</t>
  </si>
  <si>
    <t>Profit Before Tax - MW</t>
  </si>
  <si>
    <t>Income Tax - MW</t>
  </si>
  <si>
    <t>EPS - MW</t>
  </si>
  <si>
    <t>Segment Operating Margin</t>
  </si>
  <si>
    <t>Tegra Revenue</t>
  </si>
  <si>
    <t>Tegra Revenue Forecast</t>
  </si>
  <si>
    <t>Tegra for Smartphones</t>
  </si>
  <si>
    <t>Tegra for Android Tablets</t>
  </si>
  <si>
    <t>Tegra for Windows RT</t>
  </si>
  <si>
    <t>Icera (High Performance Cellular Modems)</t>
  </si>
  <si>
    <t>License / Royalties</t>
  </si>
  <si>
    <t>Autos</t>
  </si>
  <si>
    <t>Tegra Consumer Devices</t>
  </si>
  <si>
    <t>1FQ2011</t>
  </si>
  <si>
    <t>2FQ2011</t>
  </si>
  <si>
    <t>3FQ2011</t>
  </si>
  <si>
    <t>4FQ2011</t>
  </si>
  <si>
    <t>4FQ2012</t>
  </si>
  <si>
    <t>3FQ2012</t>
  </si>
  <si>
    <t>2FQ2012</t>
  </si>
  <si>
    <t>1FQ2012</t>
  </si>
  <si>
    <t>Variance vs. Actual</t>
  </si>
  <si>
    <t>Product Gross Margins</t>
  </si>
  <si>
    <t>Product Gross Profit</t>
  </si>
  <si>
    <t>Tegra Gross Margins</t>
  </si>
  <si>
    <t>Subtotal Gross Profit</t>
  </si>
  <si>
    <t>Subtotal Revenue</t>
  </si>
  <si>
    <t>Others</t>
  </si>
  <si>
    <t>Embedded</t>
  </si>
  <si>
    <t>All Other Revenue</t>
  </si>
  <si>
    <t>All Other Revenue Forecast</t>
  </si>
  <si>
    <t>Intel Licensing</t>
  </si>
  <si>
    <t>All Others Gross Margins</t>
  </si>
  <si>
    <t>GPU Revenue Forecast</t>
  </si>
  <si>
    <t>Desktop Revenue</t>
  </si>
  <si>
    <t>Mobile Revenue</t>
  </si>
  <si>
    <t>Other GPU Revenue</t>
  </si>
  <si>
    <t>Other GPU</t>
  </si>
  <si>
    <t>Mobile</t>
  </si>
  <si>
    <t>Desktop</t>
  </si>
  <si>
    <t>GPU Gross Margins</t>
  </si>
  <si>
    <t>Tesla</t>
  </si>
  <si>
    <t>Quadro</t>
  </si>
  <si>
    <t>Grid</t>
  </si>
  <si>
    <t>Quadro Revenues (MSe)</t>
  </si>
  <si>
    <t>Tesla Revenues (MSe)</t>
  </si>
  <si>
    <t>Quadro GM</t>
  </si>
  <si>
    <t>Tesla GM</t>
  </si>
  <si>
    <t>Interest Rate</t>
  </si>
  <si>
    <t>Cash &amp; Cash Equivalent</t>
  </si>
  <si>
    <t>Long term debt &amp; other long term liabilities</t>
  </si>
  <si>
    <t>Interest Income Rate</t>
  </si>
  <si>
    <t>Interest Expense Rate</t>
  </si>
  <si>
    <t>Average Share Price</t>
  </si>
  <si>
    <t>Share Repurchases (shs)</t>
  </si>
  <si>
    <t>Net Increase in Diluted Shares</t>
  </si>
  <si>
    <t>Basic / Diluted Ratio</t>
  </si>
  <si>
    <t>Gross Profit Margin</t>
  </si>
  <si>
    <t>Income Statement - GAAP</t>
  </si>
  <si>
    <t>1FQ2006</t>
  </si>
  <si>
    <t>2FQ2006</t>
  </si>
  <si>
    <t>3FQ2006</t>
  </si>
  <si>
    <t>4FQ2006</t>
  </si>
  <si>
    <t>1FQ2007</t>
  </si>
  <si>
    <t>2FQ2007</t>
  </si>
  <si>
    <t>3FQ2007</t>
  </si>
  <si>
    <t>4FQ2007</t>
  </si>
  <si>
    <t>1FQ2008</t>
  </si>
  <si>
    <t>2FQ2008</t>
  </si>
  <si>
    <t>3FQ2008</t>
  </si>
  <si>
    <t>4FQ2008</t>
  </si>
  <si>
    <t>1FQ2009</t>
  </si>
  <si>
    <t>2FQ2009</t>
  </si>
  <si>
    <t>3FQ2009</t>
  </si>
  <si>
    <t>4FQ2009</t>
  </si>
  <si>
    <t>1FQ2010</t>
  </si>
  <si>
    <t>2FQ2010</t>
  </si>
  <si>
    <t>3FQ2010</t>
  </si>
  <si>
    <t>4FQ2010</t>
  </si>
  <si>
    <t>Income Statement - ModelWare</t>
  </si>
  <si>
    <t>% of Revenue - GAAP</t>
  </si>
  <si>
    <t>Net Interest Income/Expense</t>
  </si>
  <si>
    <t>Variance vs. Actual (Revenue)</t>
  </si>
  <si>
    <t>GPU Revenue Actual</t>
  </si>
  <si>
    <t>GPU Revenue MSe</t>
  </si>
  <si>
    <t>Total Revenue</t>
  </si>
  <si>
    <t>% of GPU Revs</t>
  </si>
  <si>
    <t>All Other GPU Revenue (Unaccounted in Model)</t>
  </si>
  <si>
    <t>Grid GM</t>
  </si>
  <si>
    <t>All Other GM</t>
  </si>
  <si>
    <t>All Other</t>
  </si>
  <si>
    <t>GPU Product Gross Profit</t>
  </si>
  <si>
    <t>GPU Product Gross Margins</t>
  </si>
  <si>
    <t>Tegra</t>
  </si>
  <si>
    <t>Tegra Revenue Actual</t>
  </si>
  <si>
    <t>Tegra Revenue MSe</t>
  </si>
  <si>
    <t>% of Tegra Revs</t>
  </si>
  <si>
    <t>All Other Revenue Actual</t>
  </si>
  <si>
    <t>All Other Revenue MSe</t>
  </si>
  <si>
    <t>Total Revenue Actual</t>
  </si>
  <si>
    <t>Total Revenue MSe</t>
  </si>
  <si>
    <t>GPU Summary</t>
  </si>
  <si>
    <t>Tegra Processor Summary</t>
  </si>
  <si>
    <t>All Other Summary</t>
  </si>
  <si>
    <t>Segment Reporting</t>
  </si>
  <si>
    <t>Dividend Paid</t>
  </si>
  <si>
    <t>R&amp;D as % of Revenue</t>
  </si>
  <si>
    <t>SG&amp;A as % of Revenue</t>
  </si>
  <si>
    <t>Dividend Per Share</t>
  </si>
  <si>
    <t>Change in Net Working Capital</t>
  </si>
  <si>
    <t>USD</t>
  </si>
  <si>
    <t>NVDA.O</t>
  </si>
  <si>
    <t>NVIDIA Corp.</t>
  </si>
  <si>
    <t>ND</t>
  </si>
  <si>
    <t>Unrecorded goodwill from poolings, write-offs, and cumulative amortization</t>
  </si>
  <si>
    <t>Statutory Tax Rate</t>
  </si>
  <si>
    <t>Gross PP&amp;E</t>
  </si>
  <si>
    <t>Accumulated Depreciation</t>
  </si>
  <si>
    <t>MW Requirements - Do not Delete</t>
  </si>
  <si>
    <t>Period end Shares</t>
  </si>
  <si>
    <t>Change in Share Capital</t>
  </si>
  <si>
    <t>Extraordinary items tax</t>
  </si>
  <si>
    <t>-</t>
  </si>
  <si>
    <t>Currency</t>
  </si>
  <si>
    <t>Current Stock Price</t>
  </si>
  <si>
    <t>Count</t>
  </si>
  <si>
    <t>NVDA.O,mscalc:targetPrice,,,,USD</t>
  </si>
  <si>
    <t>NVDA.O,mscalc:closePriceCurrencyCalc</t>
  </si>
  <si>
    <t>NVDA.O,mscalc:sedolCodeCalc</t>
  </si>
  <si>
    <t>$F$2</t>
  </si>
  <si>
    <t>2379504</t>
  </si>
  <si>
    <t>Other Operating Expenses</t>
  </si>
  <si>
    <t>1FQ2016</t>
  </si>
  <si>
    <t>2FQ2016</t>
  </si>
  <si>
    <t>3FQ2016</t>
  </si>
  <si>
    <t>4FQ2016</t>
  </si>
  <si>
    <t>1Q16</t>
  </si>
  <si>
    <t>2Q16</t>
  </si>
  <si>
    <t>3Q16</t>
  </si>
  <si>
    <t>4Q16</t>
  </si>
  <si>
    <t>Company</t>
  </si>
  <si>
    <t>Change in cash flow due to restatement</t>
  </si>
  <si>
    <t>Balance Sheet Metrics</t>
  </si>
  <si>
    <t>Net Debt Summary</t>
  </si>
  <si>
    <t>Cash</t>
  </si>
  <si>
    <t>Cash &amp; Cash Equivalents</t>
  </si>
  <si>
    <t>Short-term Debt</t>
  </si>
  <si>
    <t>Long-term Debt</t>
  </si>
  <si>
    <t>Total Debt</t>
  </si>
  <si>
    <t>Net Debt (Cash)</t>
  </si>
  <si>
    <t>Net Cash per Share (Positive = Net Cash)</t>
  </si>
  <si>
    <t>Book Value Metrics</t>
  </si>
  <si>
    <t>Book Value</t>
  </si>
  <si>
    <t>Book value per share</t>
  </si>
  <si>
    <t>Tangible book value</t>
  </si>
  <si>
    <t>Tangible book value per share</t>
  </si>
  <si>
    <t>Net working capital</t>
  </si>
  <si>
    <t>Marketable Securities</t>
  </si>
  <si>
    <t xml:space="preserve"> </t>
  </si>
  <si>
    <t>Others Tegra Revs</t>
  </si>
  <si>
    <t>Nvidia Corporation Income Statement</t>
  </si>
  <si>
    <t>Gross Profit Actual</t>
  </si>
  <si>
    <t>Gross Profit MSe</t>
  </si>
  <si>
    <t>Free Cash Flow</t>
  </si>
  <si>
    <t>Post-2015 Analyst Day Market Platforms ($)</t>
  </si>
  <si>
    <t>Auto</t>
  </si>
  <si>
    <t>OEM &amp; IP</t>
  </si>
  <si>
    <t>IP</t>
  </si>
  <si>
    <t>period on period growth</t>
  </si>
  <si>
    <t>Restructuring Charges</t>
  </si>
  <si>
    <t>Other one time items</t>
  </si>
  <si>
    <t>Total</t>
  </si>
  <si>
    <t>OEM GPU</t>
  </si>
  <si>
    <t>x-check total</t>
  </si>
  <si>
    <t>x-check GPU</t>
  </si>
  <si>
    <t>GPU Breakdown</t>
  </si>
  <si>
    <t>Reported Enterprise</t>
  </si>
  <si>
    <t>Reported HPC &amp; Cloud</t>
  </si>
  <si>
    <t>SBC Included in COGS</t>
  </si>
  <si>
    <t>EPS-GAAP excluding INTC royalty @ 30% tax</t>
  </si>
  <si>
    <t>Mercury Desktop Standalone Chip ASP</t>
  </si>
  <si>
    <t>Mercury Mobile Standalone Chip ASP</t>
  </si>
  <si>
    <t>Desktop Units</t>
  </si>
  <si>
    <t>Desktop ASP</t>
  </si>
  <si>
    <t>Mobile Units</t>
  </si>
  <si>
    <t>Mobile ASP</t>
  </si>
  <si>
    <t>Bottom Up Reported Gaming + OEM GPU</t>
  </si>
  <si>
    <t>Y/Y Growth</t>
  </si>
  <si>
    <t>Q/Q Growth</t>
  </si>
  <si>
    <t>Free Cash Flow (w/o SBC)</t>
  </si>
  <si>
    <t>GPU Units</t>
  </si>
  <si>
    <t>Average Diluted Shares - Non GAAP</t>
  </si>
  <si>
    <t>Other Opex</t>
  </si>
  <si>
    <t>1FQ2017</t>
  </si>
  <si>
    <t>2FQ2017</t>
  </si>
  <si>
    <t>3FQ2017</t>
  </si>
  <si>
    <t>4FQ2017</t>
  </si>
  <si>
    <t>2Q17e</t>
  </si>
  <si>
    <t>Nvidia Corporation Balance Sheet</t>
  </si>
  <si>
    <t>Nvidia Corporation Cashflow Statement</t>
  </si>
  <si>
    <t>EPS - Non-GAAP excluding INTC royalty @ 30% tax</t>
  </si>
  <si>
    <t>HPC &amp; Cloud / Datacenter</t>
  </si>
  <si>
    <t>Enterprise / Pro Visualization</t>
  </si>
  <si>
    <t>Issuance of shares under employee stock plan</t>
  </si>
  <si>
    <t>1Q17</t>
  </si>
  <si>
    <t>2Q17</t>
  </si>
  <si>
    <t>3Q17</t>
  </si>
  <si>
    <t>4Q17</t>
  </si>
  <si>
    <t>2018E</t>
  </si>
  <si>
    <t>Tegra (Gaming/Shield)</t>
  </si>
  <si>
    <t>Tegra (Ex-Autos/Gaming)</t>
  </si>
  <si>
    <t>Tegra (ex-Auto/Gaming)</t>
  </si>
  <si>
    <t>MSe Gaming GPU + OEM GPU + Tegra Gaming</t>
  </si>
  <si>
    <t>Gaming % of Total Discrete GPU + Tegra Gaming</t>
  </si>
  <si>
    <t>OEM % of Total Discrete GPU + Tegra Gaming</t>
  </si>
  <si>
    <t>Gaming (Gaming GPU + Tegra Gaming)</t>
  </si>
  <si>
    <t>Gaming GPU + Tegra Gaming + OEM GPU</t>
  </si>
  <si>
    <t>GPU Revenue</t>
  </si>
  <si>
    <t>1Q18</t>
  </si>
  <si>
    <t>1FQ2018</t>
  </si>
  <si>
    <t>2FQ2018</t>
  </si>
  <si>
    <t>3FQ2018</t>
  </si>
  <si>
    <t>4FQ2018</t>
  </si>
  <si>
    <t>Amortization of debt discount &amp; Others</t>
  </si>
  <si>
    <t xml:space="preserve">      y/y change</t>
  </si>
  <si>
    <t>2019E</t>
  </si>
  <si>
    <t>2Q18</t>
  </si>
  <si>
    <t>Tegra (Gaming/Shield/Nintendo)</t>
  </si>
  <si>
    <t>`</t>
  </si>
  <si>
    <t>1FQ2019</t>
  </si>
  <si>
    <t>2FQ2019</t>
  </si>
  <si>
    <t>3FQ2019</t>
  </si>
  <si>
    <t>4FQ2019</t>
  </si>
  <si>
    <t>1FQ2020</t>
  </si>
  <si>
    <t>2FQ2020</t>
  </si>
  <si>
    <t>3FQ2020</t>
  </si>
  <si>
    <t>4FQ2020</t>
  </si>
  <si>
    <t>1Q19e</t>
  </si>
  <si>
    <t>2Q19e</t>
  </si>
  <si>
    <t>3Q19e</t>
  </si>
  <si>
    <t>1Q20e</t>
  </si>
  <si>
    <t>2Q20e</t>
  </si>
  <si>
    <t>3Q20e</t>
  </si>
  <si>
    <t>4Q20e</t>
  </si>
  <si>
    <t>4Q19e</t>
  </si>
  <si>
    <t>3Q18</t>
  </si>
  <si>
    <t>4Q18</t>
  </si>
  <si>
    <t>1FQ2021</t>
  </si>
  <si>
    <t>2FQ2021</t>
  </si>
  <si>
    <t>3FQ2021</t>
  </si>
  <si>
    <t>4FQ2021</t>
  </si>
  <si>
    <t>1Q21e</t>
  </si>
  <si>
    <t>2Q21e</t>
  </si>
  <si>
    <t>3Q21e</t>
  </si>
  <si>
    <t>4Q21e</t>
  </si>
  <si>
    <t>FY2021</t>
  </si>
  <si>
    <t>222</t>
  </si>
  <si>
    <t>4Q18E</t>
  </si>
  <si>
    <t>1Q19E</t>
  </si>
  <si>
    <t>2Q19E</t>
  </si>
  <si>
    <t>3Q19E</t>
  </si>
  <si>
    <t>2020E</t>
  </si>
  <si>
    <t>2021E</t>
  </si>
  <si>
    <t>1Q20E</t>
  </si>
  <si>
    <t>2Q20E</t>
  </si>
  <si>
    <t>3Q20E</t>
  </si>
  <si>
    <t>4Q20E</t>
  </si>
  <si>
    <t>1Q21E</t>
  </si>
  <si>
    <t>2Q21E</t>
  </si>
  <si>
    <t>3Q21E</t>
  </si>
  <si>
    <t>4Q21E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</si>
  <si>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</si>
  <si>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</si>
  <si>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</si>
  <si>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</si>
  <si>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</si>
  <si>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</si>
  <si>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</si>
  <si>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Joseph Moore, Craig Hettenbach</t>
  </si>
  <si>
    <t>Date: 11 Apr 2018</t>
  </si>
  <si>
    <t>Ticker: NVDA.O</t>
  </si>
  <si>
    <t>Stock Rating: Overweight</t>
  </si>
  <si>
    <t>Industry: Semiconductors</t>
  </si>
  <si>
    <t>Industry View: In-Line</t>
  </si>
  <si>
    <t>Price as of 11 Apr 2018: 226.00</t>
  </si>
  <si>
    <t>Target Price: 258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</si>
  <si>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</si>
  <si>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</si>
  <si>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</si>
  <si>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</si>
  <si>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NVIDIA Corp..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</si>
  <si>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</si>
  <si>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</si>
  <si>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</si>
  <si>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</si>
  <si>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</si>
  <si>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</si>
  <si>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</si>
  <si>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</si>
  <si>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</si>
  <si>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</si>
  <si>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</si>
  <si>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</si>
  <si>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</si>
  <si>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</si>
  <si>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</si>
  <si>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</si>
  <si>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</si>
  <si>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</si>
  <si>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</si>
  <si>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</si>
  <si>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</si>
  <si>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</si>
  <si>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</si>
  <si>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</si>
  <si>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</si>
  <si>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</si>
  <si>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</si>
  <si>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</si>
  <si>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</si>
  <si>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</si>
  <si>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</si>
  <si>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</si>
  <si>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</si>
  <si>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</si>
  <si>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</si>
  <si>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</si>
  <si>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</si>
  <si>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</si>
  <si>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</si>
  <si>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</si>
  <si>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</si>
  <si>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</si>
  <si>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</si>
  <si>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</si>
  <si>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</si>
  <si>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</si>
  <si>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</si>
  <si>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</si>
  <si>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</si>
  <si>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</si>
  <si>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</si>
  <si>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</si>
  <si>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</si>
  <si>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</si>
  <si>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</si>
  <si>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</si>
  <si>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</si>
  <si>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</si>
  <si>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</si>
  <si>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</si>
  <si>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</si>
  <si>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</si>
  <si>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</si>
  <si>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</si>
  <si>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</si>
  <si>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</si>
  <si>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</si>
  <si>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</si>
  <si>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</si>
  <si>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</si>
  <si>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</si>
  <si>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</si>
  <si>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</si>
  <si>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</si>
  <si>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</si>
  <si>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</si>
  <si>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</si>
  <si>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</si>
  <si>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</si>
  <si>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</si>
  <si>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</si>
  <si>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</si>
  <si>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</si>
  <si>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</si>
  <si>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</si>
  <si>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</si>
  <si>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</si>
  <si>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</si>
  <si>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</si>
  <si>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</si>
  <si>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</si>
  <si>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</si>
  <si>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</si>
  <si>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</si>
  <si>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</si>
  <si>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</si>
  <si>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</si>
  <si>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</si>
  <si>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</si>
  <si>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</si>
  <si>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</si>
  <si>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</si>
  <si>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</si>
  <si>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</si>
  <si>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</si>
  <si>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</si>
  <si>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</si>
  <si>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</si>
  <si>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</si>
  <si>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</si>
  <si>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</si>
  <si>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</si>
  <si>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</si>
  <si>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</si>
  <si>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</si>
  <si>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</si>
  <si>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</si>
  <si>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</si>
  <si>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</si>
  <si>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</si>
  <si>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</si>
  <si>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</si>
  <si>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</si>
  <si>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</si>
  <si>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</si>
  <si>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</si>
  <si>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</si>
  <si>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</si>
  <si>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</si>
  <si>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</si>
  <si>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</si>
  <si>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</si>
  <si>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</si>
  <si>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</si>
  <si>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</si>
  <si>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</si>
  <si>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</si>
  <si>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</si>
  <si>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</si>
  <si>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</si>
  <si>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</si>
  <si>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</si>
  <si>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</si>
  <si>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</si>
  <si>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</si>
  <si>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</si>
  <si>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</si>
  <si>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</si>
  <si>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</si>
  <si>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</si>
  <si>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</si>
  <si>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</si>
  <si>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</si>
  <si>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</si>
  <si>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</si>
  <si>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</si>
  <si>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</si>
  <si>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</si>
  <si>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</si>
  <si>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</si>
  <si>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</si>
  <si>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</si>
  <si>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</si>
  <si>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</si>
  <si>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</si>
  <si>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</si>
  <si>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</si>
  <si>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</si>
  <si>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</si>
  <si>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</si>
  <si>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</si>
  <si>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</si>
  <si>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</si>
  <si>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</si>
  <si>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</si>
  <si>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</si>
  <si>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NVIDIA Corp..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</si>
  <si>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</si>
  <si>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</si>
  <si>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</si>
  <si>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</si>
  <si>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</si>
  <si>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</si>
  <si>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</si>
  <si>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</si>
  <si>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</si>
  <si>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</si>
  <si>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</si>
  <si>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</si>
  <si>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</si>
  <si>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</si>
  <si>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</si>
  <si>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</si>
  <si>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</si>
  <si>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</si>
  <si>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</si>
  <si>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</si>
  <si>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</si>
  <si>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</si>
  <si>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</si>
  <si>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</si>
  <si>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</si>
  <si>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</si>
  <si>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</si>
  <si>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</si>
  <si>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</si>
  <si>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</si>
  <si>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</si>
  <si>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</si>
  <si>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</si>
  <si>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</si>
  <si>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</si>
  <si>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</si>
  <si>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</si>
  <si>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</si>
  <si>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</si>
  <si>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</si>
  <si>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</si>
  <si>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</si>
  <si>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</si>
  <si>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</si>
  <si>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</si>
  <si>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</si>
  <si>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</si>
  <si>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</si>
  <si>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</si>
  <si>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</si>
  <si>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</si>
  <si>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</si>
  <si>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</si>
  <si>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</si>
  <si>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</si>
  <si>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</si>
  <si>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</si>
  <si>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</si>
  <si>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</si>
  <si>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</si>
  <si>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</si>
  <si>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</si>
  <si>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</si>
  <si>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</si>
  <si>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</si>
  <si>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</si>
  <si>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</si>
  <si>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</si>
  <si>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NVIDIA Corp..</t>
  </si>
  <si>
    <t>Within the last 12 months, Morgan Stanley has provided or is providing investment banking services to,</t>
  </si>
  <si>
    <t>or has an investment banking client relationship with, the following company: NVIDIA Corp..</t>
  </si>
  <si>
    <t>Within the last 12 months, Morgan Stanley has received compensation for products and services other than</t>
  </si>
  <si>
    <t>investment banking services from NVIDIA Corp..</t>
  </si>
  <si>
    <t>In the next 3 months, Morgan Stanley expects to receive or intends to seek compensation for investment</t>
  </si>
  <si>
    <t>banking services from NVIDIA Corp..</t>
  </si>
  <si>
    <t>Within the last 12 months, Morgan Stanley has received compensation for investment banking services from</t>
  </si>
  <si>
    <t>NVIDIA Corp..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</si>
  <si>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</si>
  <si>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</si>
  <si>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</si>
  <si>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</si>
  <si>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</si>
  <si>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</si>
  <si>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</si>
  <si>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</si>
  <si>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</si>
  <si>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</si>
  <si>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</si>
  <si>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</si>
  <si>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</si>
  <si>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</si>
  <si>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</si>
  <si>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</si>
  <si>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</si>
  <si>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</si>
  <si>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</si>
  <si>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</si>
  <si>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</si>
  <si>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</si>
  <si>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</si>
  <si>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</si>
  <si>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</si>
  <si>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</si>
  <si>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</si>
  <si>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</si>
  <si>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</si>
  <si>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</si>
  <si>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</si>
  <si>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</si>
  <si>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</si>
  <si>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</si>
  <si>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</si>
  <si>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</si>
  <si>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</si>
  <si>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</si>
  <si>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</si>
  <si>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</si>
  <si>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</si>
  <si>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</si>
  <si>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</si>
  <si>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</si>
  <si>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</si>
  <si>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</si>
  <si>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</si>
  <si>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</si>
  <si>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</si>
  <si>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</si>
  <si>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</si>
  <si>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</si>
  <si>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</si>
  <si>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</si>
  <si>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</si>
  <si>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</si>
  <si>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</si>
  <si>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</si>
  <si>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</si>
  <si>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</si>
  <si>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</si>
  <si>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</si>
  <si>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</si>
  <si>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</si>
  <si>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</si>
  <si>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</si>
  <si>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</si>
  <si>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</si>
  <si>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</si>
  <si>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</si>
  <si>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</si>
  <si>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</si>
  <si>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</si>
  <si>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</si>
  <si>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</si>
  <si>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</si>
  <si>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sarlinde</t>
  </si>
  <si>
    <t>MSA32FNJ, MSA89GWN</t>
  </si>
  <si>
    <t>67066G104</t>
  </si>
  <si>
    <t>L:\SEMI CAP\Joe Files\Companies\NVDA\Nvidia_WIP_3 no comment.xlsm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</si>
  <si>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</si>
  <si>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</si>
  <si>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</si>
  <si>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</si>
  <si>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</si>
  <si>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</si>
  <si>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17:58]</t>
  </si>
  <si>
    <t>[PSYM NVDA.O(S&amp;P) (None)]</t>
  </si>
  <si>
    <t>[COU 1]</t>
  </si>
  <si>
    <t>[ANA MSA89GWN]</t>
  </si>
  <si>
    <t>[HL NVDA.O Model]</t>
  </si>
  <si>
    <t>[IND SEMICO]</t>
  </si>
  <si>
    <t>[PANA MSA32FNJ]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</si>
</sst>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/yy;@"/>
    <numFmt numFmtId="167" formatCode="0.0%"/>
    <numFmt numFmtId="169" formatCode="0.0"/>
    <numFmt numFmtId="170" formatCode="#,##0.0"/>
    <numFmt numFmtId="171" formatCode="#,##0.0_);\(#,##0.0\)"/>
    <numFmt numFmtId="175" formatCode="_(* #,##0.000_);_(* \(#,##0.000\);_(* &quot;-&quot;??_);_(@_)"/>
    <numFmt numFmtId="176" formatCode="0_)"/>
    <numFmt numFmtId="177" formatCode="_(* #,##0.0_);_(* \(#,##0.0\);_(* &quot;-&quot;??_);_(@_)"/>
    <numFmt numFmtId="178" formatCode="_(* #,##0.0000_);_(* \(#,##0.0000\);_(* &quot;-&quot;??_);_(@_)"/>
    <numFmt numFmtId="179" formatCode="_(* #,##0.00000_);_(* \(#,##0.00000\);_(* &quot;-&quot;??_);_(@_)"/>
    <numFmt numFmtId="180" formatCode="&quot;$&quot;#,##0.00"/>
    <numFmt numFmtId="182" formatCode="&quot;$&quot;#,##0.000"/>
    <numFmt numFmtId="183" formatCode="_(&quot;$&quot;* #,##0.000_);_(&quot;$&quot;* \(#,##0.000\);_(&quot;$&quot;* &quot;-&quot;??_);_(@_)"/>
    <numFmt numFmtId="185" formatCode="0.00_);\(0.00\)"/>
    <numFmt numFmtId="189" formatCode="0.0%_);\(0.0%\);&quot;–&quot;_)"/>
    <numFmt numFmtId="192" formatCode="&quot;$&quot;#,##0.00_);\(&quot;$&quot;#,##0.00\);\–_);&quot;–&quot;_)"/>
    <numFmt numFmtId="194" formatCode="0.00000"/>
    <numFmt numFmtId="195" formatCode="_(&quot;$&quot;* #,##0.0_);_(&quot;$&quot;* \(#,##0.0\);_(&quot;$&quot;* &quot;-&quot;??_);_(@_)"/>
    <numFmt numFmtId="196" formatCode="_(&quot;$&quot;* #,##0_);_(&quot;$&quot;* \(#,##0\);_(&quot;$&quot;* &quot;-&quot;??_);_(@_)"/>
    <numFmt numFmtId="198" formatCode="0%_);\(0%\);&quot;–&quot;_)"/>
    <numFmt numFmtId="200" formatCode="&quot;$&quot;#,##0.0000"/>
    <numFmt numFmtId="202" formatCode="#,##0.0\ ;\(#,##0.0\)"/>
    <numFmt numFmtId="203" formatCode="#,##0,;;;&quot;$K&quot;"/>
    <numFmt numFmtId="204" formatCode="_ * #,##0.00_ ;_ * \-#,##0.00_ ;_ * &quot;-&quot;??_ ;_ @_ "/>
    <numFmt numFmtId="205" formatCode="_-* #,##0_-;\-* #,##0_-;_-* &quot;-&quot;_-;_-@_-"/>
    <numFmt numFmtId="206" formatCode="_-* #,##0.00_-;\-* #,##0.00_-;_-* &quot;-&quot;??_-;_-@_-"/>
    <numFmt numFmtId="207" formatCode="_-&quot;$&quot;* #,##0_-;\-&quot;$&quot;* #,##0_-;_-&quot;$&quot;* &quot;-&quot;_-;_-@_-"/>
    <numFmt numFmtId="208" formatCode="#,##0.0_);\(#,##0.0\);0_._0_)"/>
    <numFmt numFmtId="209" formatCode="0.0_)\%;\(0.0\)\%;0.0_)\%;@_)_%"/>
    <numFmt numFmtId="210" formatCode="#,##0.0_)_%;\(#,##0.0\)_%;0.0_)_%;@_)_%"/>
    <numFmt numFmtId="211" formatCode=";;;"/>
    <numFmt numFmtId="212" formatCode="#,##0.0_);\(#,##0.0\);#,##0.0_);@_)"/>
    <numFmt numFmtId="213" formatCode="dd\-mmm\-yy_)"/>
    <numFmt numFmtId="214" formatCode="&quot;$&quot;_(#,##0.00_);&quot;$&quot;\(#,##0.00\);&quot;$&quot;_(0.00_);@_)"/>
    <numFmt numFmtId="215" formatCode="&quot;$&quot;_(#,##0.00_);&quot;$&quot;\(#,##0.00\)"/>
    <numFmt numFmtId="216" formatCode="&quot;$&quot;#,##0.000_);[Red]\(&quot;$&quot;#,##0.000\)"/>
    <numFmt numFmtId="217" formatCode="&quot;£&quot;_(#,##0.00_);&quot;£&quot;\(#,##0.00\)"/>
    <numFmt numFmtId="218" formatCode="&quot;£&quot;_(#,##0.00_);&quot;£&quot;\(#,##0.00\);&quot;£&quot;_(0.00_);@_)"/>
    <numFmt numFmtId="219" formatCode="#,##0.00_);\(#,##0.00\);0.00_);@_)"/>
    <numFmt numFmtId="220" formatCode="0.0_)"/>
    <numFmt numFmtId="221" formatCode="\€_(#,##0.00_);\€\(#,##0.00\);\€_(0.00_);@_)"/>
    <numFmt numFmtId="222" formatCode="0.00_)"/>
    <numFmt numFmtId="223" formatCode="#,##0_)\x;\(#,##0\)\x;0_)\x;@_)_x"/>
    <numFmt numFmtId="224" formatCode="#,##0.0_)\x;\(#,##0.0\)\x;0.0_)\x;@_)_x"/>
    <numFmt numFmtId="225" formatCode="#,##0.0_)\x;\(#,##0.0\)\x"/>
    <numFmt numFmtId="226" formatCode="&quot;$&quot;#,##0.0000_);[Red]\(&quot;$&quot;#,##0.0000\)"/>
    <numFmt numFmtId="227" formatCode="#,##0_)_x;\(#,##0\)_x;0_)_x;@_)_x"/>
    <numFmt numFmtId="228" formatCode="#,##0.0_)_x;\(#,##0.0\)_x;0.0_)_x;@_)_x"/>
    <numFmt numFmtId="229" formatCode="#,##0.0_)_x;\(#,##0.0\)_x"/>
    <numFmt numFmtId="230" formatCode="&quot;$&quot;#,##0.0_);[Red]\(&quot;$&quot;#,##0.0\)"/>
    <numFmt numFmtId="231" formatCode="0.0_)\%;\(0.0\)\%"/>
    <numFmt numFmtId="232" formatCode="#,##0.000_);\(#,##0.000\)"/>
    <numFmt numFmtId="233" formatCode="#,##0.0_)_%;\(#,##0.0\)_%"/>
    <numFmt numFmtId="234" formatCode="&quot;!&quot;#,##0_);\(&quot;!&quot;#,##0\)"/>
    <numFmt numFmtId="235" formatCode="_(* #,##0_);_(* \(#,##0\);_(* &quot; - &quot;_);_(@_)"/>
    <numFmt numFmtId="236" formatCode="#,##0,\ ;[Red]\(#,##0,\);&quot;&quot;"/>
    <numFmt numFmtId="237" formatCode="#,##0,_$;\-#,##0,_$"/>
    <numFmt numFmtId="238" formatCode="#,##0;\(#,##0\);\-"/>
    <numFmt numFmtId="239" formatCode="&quot;$&quot;#,##0;\-&quot;$&quot;#,##0"/>
    <numFmt numFmtId="240" formatCode="#,##0;\-#,##0;&quot;-&quot;"/>
    <numFmt numFmtId="241" formatCode="0.00000000%"/>
    <numFmt numFmtId="242" formatCode="0.0&quot;  &quot;"/>
    <numFmt numFmtId="243" formatCode="0.000&quot;  &quot;"/>
    <numFmt numFmtId="244" formatCode="0.0000&quot;  &quot;"/>
    <numFmt numFmtId="245" formatCode="0.00000&quot;  &quot;"/>
    <numFmt numFmtId="246" formatCode="0%;\(0%\)"/>
    <numFmt numFmtId="247" formatCode="0.00&quot;  &quot;"/>
    <numFmt numFmtId="248" formatCode="#,##0\ ;[Red]\(#,##0\)"/>
    <numFmt numFmtId="249" formatCode="[$-409]mmmm\ d\,\ yyyy;@"/>
    <numFmt numFmtId="250" formatCode="#,##0.00\ &quot;F&quot;;[Red]\-#,##0.00\ &quot;F&quot;"/>
    <numFmt numFmtId="251" formatCode="&quot;$&quot;#,##0.0_);\(&quot;$&quot;#,##0.0\)"/>
    <numFmt numFmtId="252" formatCode="_-* #,##0.0\ _F_-;\-* #,##0.0\ _F_-;_-* \-?\ _F_-;_-@_-"/>
    <numFmt numFmtId="253" formatCode="&quot;\&quot;#,##0;&quot;\&quot;&quot;\&quot;&quot;\&quot;&quot;\&quot;\-#,##0"/>
    <numFmt numFmtId="254" formatCode="&quot;$&quot;#,##0\ ;\(&quot;$&quot;#,##0\)"/>
    <numFmt numFmtId="255" formatCode="_(* #,##0_);_(* \(#,##0\);_(* &quot;0&quot;??_);_(@_)"/>
    <numFmt numFmtId="256" formatCode="#,##0;\(#,##0\)"/>
    <numFmt numFmtId="257" formatCode="#,##0.00000"/>
    <numFmt numFmtId="258" formatCode="#,##0.0;\(#,##0.0\)"/>
    <numFmt numFmtId="259" formatCode="mmm\-d\-yyyy"/>
    <numFmt numFmtId="260" formatCode="_(* #,##0_);_(* \(#,##0\);_(* &quot;&quot;\ \-\ &quot;&quot;_);_(@_)"/>
    <numFmt numFmtId="261" formatCode="_(* #,##0_);[Red]_(* \(#,##0\);_(* &quot;&quot;\ \-\ &quot;&quot;_);_(@_)"/>
    <numFmt numFmtId="262" formatCode="#,##0,_$;[Red]\-#,##0,_$"/>
    <numFmt numFmtId="263" formatCode="#,##0.00,_$;[Red]\-#,##0.00,_$"/>
    <numFmt numFmtId="264" formatCode="_(* #,###.00_);_(* \(#,###.00\);_(* &quot;-&quot;??_);_(@_)"/>
    <numFmt numFmtId="265" formatCode="_(&quot;$&quot;* \ #,##0.00_);_(&quot;$&quot;* \ \(#,##0.00\);_(&quot;$&quot;* \ &quot;-&quot;??_);_(@_)"/>
    <numFmt numFmtId="266" formatCode="_(&quot;$&quot;* #,##0,_);_(&quot;$&quot;* \(#,##0,\);_(&quot;$&quot;* &quot;-&quot;_);_(@_)"/>
    <numFmt numFmtId="267" formatCode="_([$€]* #,##0.00_);_([$€]* \(#,##0.00\);_([$€]* &quot;-&quot;??_);_(@_)"/>
    <numFmt numFmtId="268" formatCode="_-* #,##0.00\ [$€]_-;\-* #,##0.00\ [$€]_-;_-* &quot;-&quot;??\ [$€]_-;_-@_-"/>
    <numFmt numFmtId="269" formatCode="_-* #,##0.00\ &quot;€&quot;_-;\-* #,##0.00\ &quot;€&quot;_-;_-* &quot;-&quot;??\ &quot;€&quot;_-;_-@_-"/>
    <numFmt numFmtId="270" formatCode="\$#,##0_);[Red]&quot;($&quot;#,##0\)"/>
    <numFmt numFmtId="271" formatCode="#,##0,,,\ ;;;&quot;Gb/s&quot;"/>
    <numFmt numFmtId="272" formatCode="&quot;$&quot;#,##0,_);\(&quot;$&quot;#,##0\)"/>
    <numFmt numFmtId="273" formatCode="0;;"/>
    <numFmt numFmtId="274" formatCode="_-* #,##0.00\ &quot;DM&quot;_-;\-* #,##0.00\ &quot;DM&quot;_-;_-* &quot;-&quot;??\ &quot;DM&quot;_-;_-@_-"/>
    <numFmt numFmtId="275" formatCode="#,##0.0_);[Red]\(#,##0.0\)"/>
    <numFmt numFmtId="276" formatCode="#,##0.000%_);[Red]\(#,##0.000%\)"/>
    <numFmt numFmtId="277" formatCode="mm/dd/yy;;;"/>
    <numFmt numFmtId="278" formatCode="#,##0,;;;&quot;Kb/s&quot;"/>
    <numFmt numFmtId="279" formatCode="#,##0,,;;;&quot;Mb/s&quot;"/>
    <numFmt numFmtId="280" formatCode="_-* #,##0\ _D_M_-;\-* #,##0\ _D_M_-;_-* &quot;-&quot;\ _D_M_-;_-@_-"/>
    <numFmt numFmtId="281" formatCode="_-* #,##0.00\ _D_M_-;\-* #,##0.00\ _D_M_-;_-* &quot;-&quot;??\ _D_M_-;_-@_-"/>
    <numFmt numFmtId="282" formatCode="&quot;$&quot;0.000"/>
    <numFmt numFmtId="283" formatCode="_-* #,##0\ &quot;DM&quot;_-;\-* #,##0\ &quot;DM&quot;_-;_-* &quot;-&quot;\ &quot;DM&quot;_-;_-@_-"/>
    <numFmt numFmtId="284" formatCode="_-&quot;£&quot;* #,##0.00_-;\-&quot;£&quot;* #,##0.00_-;_-&quot;£&quot;* &quot;-&quot;??_-;_-@_-"/>
    <numFmt numFmtId="285" formatCode="0.0;\(0.0\)"/>
    <numFmt numFmtId="286" formatCode="#,##0.0_);[Red]\(#,##0.0\);&quot;N/A &quot;"/>
    <numFmt numFmtId="287" formatCode="###0.0_x;\(###0.0\)_x"/>
    <numFmt numFmtId="288" formatCode="dd/mmm"/>
    <numFmt numFmtId="289" formatCode="\$#,##0_);&quot;($&quot;#,##0\)"/>
    <numFmt numFmtId="290" formatCode="#,##0.0%_);\(#,##0.0&quot;%)&quot;"/>
    <numFmt numFmtId="291" formatCode="#,##0.0,,_);\(#,##0.0,,\);\-_)"/>
    <numFmt numFmtId="292" formatCode="#,##0_);\(#,##0\);\-_)"/>
    <numFmt numFmtId="293" formatCode="_-* #,##0.000000_-;\-* #,##0.000000_-;_-* \-??_-;_-@_-"/>
    <numFmt numFmtId="294" formatCode="#,##0.0,_);\(#,##0.0,\);\-_)"/>
    <numFmt numFmtId="295" formatCode="#,##0.00_);\(#,##0.00\);\-_)"/>
    <numFmt numFmtId="296" formatCode="0.0%&quot;NetPPE/sales&quot;"/>
    <numFmt numFmtId="297" formatCode="#,##0&quot; &quot;\ &quot; &quot;;[Red]\(#,##0\)\ &quot; &quot;;&quot;—&quot;&quot; &quot;&quot; &quot;&quot; &quot;&quot; &quot;"/>
    <numFmt numFmtId="298" formatCode="0.0%&quot;NWI/Sls&quot;"/>
    <numFmt numFmtId="299" formatCode="_(\$* #,##0.00_);_(\$* \(#,##0.00\);_(\$* \-??_);_(@_)"/>
    <numFmt numFmtId="300" formatCode="mmmm\ dd\,\ yyyy"/>
    <numFmt numFmtId="301" formatCode="0.000000000"/>
    <numFmt numFmtId="302" formatCode="_(* #,##0_);_(* \(#,##0\);_(* \-_);_(@_)"/>
    <numFmt numFmtId="303" formatCode="0.000000"/>
    <numFmt numFmtId="304" formatCode="0.0%&quot;Sales&quot;"/>
    <numFmt numFmtId="305" formatCode="0.0%_);\(0.0%\)"/>
    <numFmt numFmtId="306" formatCode="mm/dd/yy"/>
    <numFmt numFmtId="307" formatCode="#,##0.0\ ;[Red]\-#,##0.0\ "/>
    <numFmt numFmtId="308" formatCode="0.0000000000000"/>
    <numFmt numFmtId="309" formatCode="0.0%;[Red]\(0.0%\);&quot; &quot;"/>
    <numFmt numFmtId="310" formatCode="_-* #,##0.000_-;\-* #,##0.000_-;_-* &quot;-&quot;??_-;_-@_-"/>
    <numFmt numFmtId="313" formatCode="&quot;$&quot;#,##0.0;\(&quot;$&quot;#,##0.0\)"/>
    <numFmt numFmtId="314" formatCode="&quot;Ç&quot;\ &quot;´&quot;&quot;´&quot;&quot;´&quot;&quot;´&quot;\ &quot;»&quot;&quot;»&quot;&quot;»&quot;&quot;»&quot;"/>
    <numFmt numFmtId="315" formatCode="\£\ #,##0_);[Red]\(\£\ #,##0\)"/>
    <numFmt numFmtId="316" formatCode="\¥\ #,##0_);[Red]\(\¥\ #,##0\)"/>
    <numFmt numFmtId="317" formatCode="_(* #,##0.0_);_(* \(#,##0.0\);_(* &quot;--- &quot;_)"/>
    <numFmt numFmtId="318" formatCode="General_)"/>
    <numFmt numFmtId="319" formatCode="\•\ \ @"/>
    <numFmt numFmtId="320" formatCode="\ \ _•\–\ \ \ \ @"/>
    <numFmt numFmtId="321" formatCode="#,##0.0;\(###0.0\)"/>
    <numFmt numFmtId="322" formatCode="mmm\-yyyy"/>
    <numFmt numFmtId="323" formatCode="0.00000000000000000%"/>
    <numFmt numFmtId="324" formatCode="0.00\ "/>
    <numFmt numFmtId="326" formatCode="_(* #,##0.0_);_(* \(#,##0.0\);_(* &quot;-&quot;?_);_(@_)"/>
    <numFmt numFmtId="327" formatCode="0.000_)"/>
    <numFmt numFmtId="328" formatCode="0.0%;\(0.0%\)"/>
    <numFmt numFmtId="329" formatCode="0.00\ \ \ \ "/>
    <numFmt numFmtId="330" formatCode="yyyy"/>
    <numFmt numFmtId="331" formatCode="0.00%_);[Red]\(0.00%\)"/>
    <numFmt numFmtId="332" formatCode="0.0%_);[Red]\(0.0%\)"/>
    <numFmt numFmtId="333" formatCode="#,##0.000_);[Red]\(#,##0.000\)"/>
    <numFmt numFmtId="334" formatCode="0.00%;[Red]\(0.00%\)"/>
    <numFmt numFmtId="335" formatCode="&quot;Fr.&quot;#,##0_);[Red]\(&quot;Fr.&quot;#,##0\)"/>
    <numFmt numFmtId="336" formatCode="&quot;£&quot;\ #,##0_);[Red]\(&quot;£&quot;\ #,##0\)"/>
    <numFmt numFmtId="337" formatCode="&quot;\&quot;\ #,##0_);[Red]\(&quot;\&quot;\ #,##0\)"/>
    <numFmt numFmtId="338" formatCode="&quot;•&quot;\ \ @"/>
    <numFmt numFmtId="339" formatCode="#,##0.00000;[Red]\(#,##0.00000\)"/>
    <numFmt numFmtId="340" formatCode="&quot;$&quot;#,##0.00;\(&quot;$&quot;#,##0.00\)"/>
    <numFmt numFmtId="341" formatCode="_ * #,##0_)_£_ ;_ * \(#,##0\)_£_ ;_ * &quot;-&quot;_)_£_ ;_ @_ "/>
    <numFmt numFmtId="342" formatCode="&quot;$&quot;#,##0.0;[Red]\(&quot;$&quot;#,##0.0\)"/>
    <numFmt numFmtId="343" formatCode="\ \ _•&quot;–&quot;\ \ \ \ @"/>
    <numFmt numFmtId="344" formatCode="#,##0.0;[Red]\(#,##0.0\)"/>
    <numFmt numFmtId="345" formatCode="#,##0;[Red]\(#,##0\)"/>
    <numFmt numFmtId="346" formatCode="#,##0.00\x_);[Red]\(#,##0.00\x\)"/>
    <numFmt numFmtId="347" formatCode="0%;[Red]\(0%\)"/>
    <numFmt numFmtId="353" formatCode="mm/dd/yy\ hh:mm"/>
  </numFmts>
  <fonts count="32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b/>
      <sz val="1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i/>
      <sz val="8"/>
      <color indexed="8"/>
      <name val="Arial"/>
      <family val="2"/>
    </font>
    <font>
      <sz val="8"/>
      <color indexed="36"/>
      <name val="Arial"/>
      <family val="2"/>
    </font>
    <font>
      <sz val="8"/>
      <color indexed="17"/>
      <name val="Arial"/>
      <family val="2"/>
    </font>
    <font>
      <i/>
      <sz val="8"/>
      <color indexed="8"/>
      <name val="Arial"/>
      <family val="2"/>
    </font>
    <font>
      <i/>
      <sz val="8"/>
      <color indexed="36"/>
      <name val="Arial"/>
      <family val="2"/>
    </font>
    <font>
      <b/>
      <sz val="8"/>
      <color indexed="17"/>
      <name val="Arial"/>
      <family val="2"/>
    </font>
    <font>
      <sz val="8"/>
      <color indexed="8"/>
      <name val="Arial"/>
      <family val="2"/>
    </font>
    <font>
      <i/>
      <sz val="8"/>
      <color indexed="12"/>
      <name val="Arial"/>
      <family val="2"/>
    </font>
    <font>
      <b/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8"/>
      <color indexed="9"/>
      <name val="Arial"/>
      <family val="2"/>
    </font>
    <font>
      <b/>
      <i/>
      <sz val="8"/>
      <name val="Arial"/>
      <family val="2"/>
    </font>
    <font>
      <b/>
      <i/>
      <sz val="8"/>
      <color indexed="8"/>
      <name val="Arial"/>
      <family val="2"/>
    </font>
    <font>
      <b/>
      <u/>
      <sz val="8"/>
      <name val="Arial"/>
      <family val="2"/>
    </font>
    <font>
      <b/>
      <u/>
      <sz val="8"/>
      <color indexed="8"/>
      <name val="Arial"/>
      <family val="2"/>
    </font>
    <font>
      <sz val="8"/>
      <name val="Tahoma"/>
      <family val="2"/>
    </font>
    <font>
      <sz val="10"/>
      <name val="Arial"/>
      <family val="2"/>
    </font>
    <font>
      <b/>
      <sz val="14"/>
      <color indexed="18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color indexed="10"/>
      <name val="Arial"/>
      <family val="2"/>
    </font>
    <font>
      <b/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0000FF"/>
      <name val="Arial"/>
      <family val="2"/>
    </font>
    <font>
      <sz val="8"/>
      <color rgb="FF000000"/>
      <name val="Arial"/>
      <family val="2"/>
    </font>
    <font>
      <sz val="8"/>
      <color rgb="FF008000"/>
      <name val="Arial"/>
      <family val="2"/>
    </font>
    <font>
      <sz val="8"/>
      <color rgb="FFFF0000"/>
      <name val="Arial"/>
      <family val="2"/>
    </font>
    <font>
      <i/>
      <sz val="8"/>
      <color rgb="FF000000"/>
      <name val="Arial"/>
      <family val="2"/>
    </font>
    <font>
      <b/>
      <sz val="8"/>
      <color rgb="FF0000FF"/>
      <name val="Arial"/>
      <family val="2"/>
    </font>
    <font>
      <i/>
      <sz val="8"/>
      <color rgb="FF0000FF"/>
      <name val="Arial"/>
      <family val="2"/>
    </font>
    <font>
      <b/>
      <sz val="8"/>
      <color rgb="FF000000"/>
      <name val="Arial"/>
      <family val="2"/>
    </font>
    <font>
      <b/>
      <sz val="8"/>
      <color rgb="FF008000"/>
      <name val="Arial"/>
      <family val="2"/>
    </font>
    <font>
      <sz val="8"/>
      <color rgb="FF660066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8"/>
      <color rgb="FFFF0000"/>
      <name val="Arial"/>
      <family val="2"/>
    </font>
    <font>
      <b/>
      <sz val="10"/>
      <color theme="1"/>
      <name val="Arial"/>
      <family val="2"/>
    </font>
    <font>
      <sz val="8"/>
      <name val="Times New Roman"/>
      <family val="1"/>
    </font>
    <font>
      <sz val="10"/>
      <color indexed="8"/>
      <name val="MS Sans Serif"/>
      <family val="2"/>
    </font>
    <font>
      <sz val="9"/>
      <name val="Arial"/>
      <family val="2"/>
    </font>
    <font>
      <sz val="12"/>
      <name val="Helv"/>
      <family val="2"/>
    </font>
    <font>
      <sz val="12"/>
      <name val="Times New Roman"/>
      <family val="1"/>
    </font>
    <font>
      <sz val="12"/>
      <name val="????"/>
      <charset val="136"/>
    </font>
    <font>
      <sz val="10"/>
      <name val="Helvetica-Narrow"/>
      <family val="2"/>
    </font>
    <font>
      <sz val="10"/>
      <name val="Helv"/>
    </font>
    <font>
      <b/>
      <sz val="22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4"/>
      <name val="AngsanaUPC"/>
      <family val="1"/>
    </font>
    <font>
      <sz val="10"/>
      <color indexed="8"/>
      <name val="Times New Roman"/>
      <family val="2"/>
    </font>
    <font>
      <sz val="11"/>
      <color indexed="8"/>
      <name val="宋体"/>
      <charset val="134"/>
    </font>
    <font>
      <sz val="12"/>
      <color indexed="8"/>
      <name val="新細明體"/>
      <family val="1"/>
      <charset val="136"/>
    </font>
    <font>
      <sz val="10"/>
      <color indexed="9"/>
      <name val="Times New Roman"/>
      <family val="2"/>
    </font>
    <font>
      <sz val="11"/>
      <color indexed="9"/>
      <name val="宋体"/>
      <charset val="134"/>
    </font>
    <font>
      <sz val="12"/>
      <color indexed="9"/>
      <name val="新細明體"/>
      <family val="1"/>
      <charset val="136"/>
    </font>
    <font>
      <sz val="10"/>
      <name val="TimesNewRomanPS"/>
    </font>
    <font>
      <sz val="11"/>
      <color indexed="16"/>
      <name val="Calibri"/>
      <family val="2"/>
    </font>
    <font>
      <sz val="10"/>
      <color rgb="FF9C0006"/>
      <name val="Times New Roman"/>
      <family val="2"/>
    </font>
    <font>
      <b/>
      <sz val="14"/>
      <color indexed="9"/>
      <name val="Univers (WN)"/>
      <family val="2"/>
    </font>
    <font>
      <b/>
      <sz val="14"/>
      <name val="Univers (WN)"/>
    </font>
    <font>
      <i/>
      <sz val="14"/>
      <color indexed="8"/>
      <name val="Arial"/>
      <family val="2"/>
    </font>
    <font>
      <b/>
      <i/>
      <u/>
      <sz val="14"/>
      <name val="Arial"/>
      <family val="2"/>
    </font>
    <font>
      <b/>
      <sz val="12"/>
      <color indexed="8"/>
      <name val="Times New Roman"/>
      <family val="1"/>
    </font>
    <font>
      <sz val="10"/>
      <name val="Century Gothic"/>
      <family val="2"/>
    </font>
    <font>
      <i/>
      <sz val="12"/>
      <color indexed="8"/>
      <name val="Arial"/>
      <family val="2"/>
    </font>
    <font>
      <sz val="8"/>
      <name val="Verdana"/>
      <family val="2"/>
    </font>
    <font>
      <b/>
      <sz val="10"/>
      <name val="MS Sans Serif"/>
      <family val="2"/>
    </font>
    <font>
      <u val="singleAccounting"/>
      <sz val="10"/>
      <name val="Arial"/>
      <family val="2"/>
    </font>
    <font>
      <sz val="10"/>
      <name val="Courier"/>
      <family val="3"/>
    </font>
    <font>
      <sz val="11"/>
      <name val="Arial"/>
      <family val="2"/>
    </font>
    <font>
      <b/>
      <sz val="11"/>
      <color indexed="53"/>
      <name val="Calibri"/>
      <family val="2"/>
    </font>
    <font>
      <b/>
      <sz val="10"/>
      <color rgb="FFFA7D00"/>
      <name val="Times New Roman"/>
      <family val="2"/>
    </font>
    <font>
      <sz val="10"/>
      <name val="Times New Roman"/>
      <family val="1"/>
    </font>
    <font>
      <b/>
      <sz val="9"/>
      <color indexed="12"/>
      <name val="Times New Roman"/>
      <family val="1"/>
    </font>
    <font>
      <b/>
      <i/>
      <sz val="10"/>
      <name val="Arial"/>
      <family val="2"/>
    </font>
    <font>
      <b/>
      <sz val="10"/>
      <color indexed="9"/>
      <name val="Times New Roman"/>
      <family val="2"/>
    </font>
    <font>
      <sz val="10"/>
      <color indexed="8"/>
      <name val="ARIAL"/>
      <family val="2"/>
      <charset val="1"/>
    </font>
    <font>
      <b/>
      <u val="singleAccounting"/>
      <sz val="8"/>
      <color indexed="8"/>
      <name val="Arial"/>
      <family val="2"/>
    </font>
    <font>
      <b/>
      <sz val="8"/>
      <color indexed="8"/>
      <name val="Courier New"/>
      <family val="3"/>
    </font>
    <font>
      <sz val="8"/>
      <color indexed="12"/>
      <name val="Helv"/>
    </font>
    <font>
      <sz val="10"/>
      <name val="MS Serif"/>
      <family val="1"/>
    </font>
    <font>
      <sz val="9"/>
      <name val="Helv"/>
    </font>
    <font>
      <sz val="11"/>
      <color indexed="12"/>
      <name val="Book Antiqua"/>
      <family val="1"/>
    </font>
    <font>
      <sz val="11"/>
      <name val="돋움"/>
      <family val="1"/>
      <charset val="136"/>
    </font>
    <font>
      <b/>
      <sz val="9"/>
      <color indexed="9"/>
      <name val="Arial"/>
      <family val="2"/>
    </font>
    <font>
      <sz val="8"/>
      <name val="MS Sans Serif"/>
      <family val="2"/>
    </font>
    <font>
      <sz val="8"/>
      <color indexed="18"/>
      <name val="Comic Sans MS"/>
      <family val="4"/>
    </font>
    <font>
      <b/>
      <sz val="10"/>
      <name val="Tms Rmn"/>
    </font>
    <font>
      <sz val="10"/>
      <name val="Geneva"/>
      <family val="2"/>
    </font>
    <font>
      <sz val="10"/>
      <color indexed="18"/>
      <name val="Arial"/>
      <family val="2"/>
    </font>
    <font>
      <sz val="1.25"/>
      <name val="Arial"/>
      <family val="2"/>
    </font>
    <font>
      <b/>
      <u val="double"/>
      <sz val="9"/>
      <name val="Arial"/>
      <family val="2"/>
    </font>
    <font>
      <u val="doubleAccounting"/>
      <sz val="10"/>
      <name val="Arial"/>
      <family val="2"/>
    </font>
    <font>
      <sz val="10"/>
      <name val="Univers"/>
      <family val="2"/>
    </font>
    <font>
      <sz val="10"/>
      <color indexed="16"/>
      <name val="MS Serif"/>
      <family val="1"/>
    </font>
    <font>
      <b/>
      <u/>
      <sz val="12"/>
      <name val="Arial Narrow"/>
      <family val="2"/>
    </font>
    <font>
      <sz val="10"/>
      <name val="Helvetica 45 Light"/>
    </font>
    <font>
      <i/>
      <sz val="10"/>
      <color rgb="FF7F7F7F"/>
      <name val="Times New Roman"/>
      <family val="2"/>
    </font>
    <font>
      <b/>
      <sz val="7"/>
      <color indexed="12"/>
      <name val="Arial"/>
      <family val="2"/>
    </font>
    <font>
      <sz val="7"/>
      <name val="Palatino"/>
      <family val="1"/>
    </font>
    <font>
      <b/>
      <sz val="8"/>
      <name val="Helv"/>
    </font>
    <font>
      <sz val="9"/>
      <name val="Geneva"/>
      <family val="2"/>
    </font>
    <font>
      <sz val="10"/>
      <color rgb="FF006100"/>
      <name val="Times New Roman"/>
      <family val="2"/>
    </font>
    <font>
      <b/>
      <sz val="10"/>
      <color indexed="58"/>
      <name val="Arial"/>
      <family val="2"/>
    </font>
    <font>
      <sz val="6"/>
      <color indexed="16"/>
      <name val="Palatino"/>
      <family val="1"/>
    </font>
    <font>
      <b/>
      <sz val="8"/>
      <color indexed="8"/>
      <name val="Tahoma"/>
      <family val="2"/>
    </font>
    <font>
      <b/>
      <sz val="8"/>
      <color indexed="9"/>
      <name val="Tahoma"/>
      <family val="2"/>
    </font>
    <font>
      <b/>
      <u/>
      <sz val="8"/>
      <color indexed="8"/>
      <name val="Tahoma"/>
      <family val="2"/>
    </font>
    <font>
      <b/>
      <u/>
      <sz val="18"/>
      <name val="Geneva"/>
      <family val="2"/>
    </font>
    <font>
      <b/>
      <sz val="15"/>
      <color indexed="62"/>
      <name val="Calibri"/>
      <family val="2"/>
    </font>
    <font>
      <b/>
      <sz val="14"/>
      <name val="Univers"/>
      <family val="2"/>
    </font>
    <font>
      <b/>
      <sz val="15"/>
      <color theme="3"/>
      <name val="Times New Roman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3"/>
      <color theme="3"/>
      <name val="Times New Roman"/>
      <family val="2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11"/>
      <color theme="3"/>
      <name val="Times New Roman"/>
      <family val="2"/>
    </font>
    <font>
      <b/>
      <sz val="10"/>
      <name val="Geneva"/>
      <family val="2"/>
    </font>
    <font>
      <b/>
      <sz val="10"/>
      <name val="Univers"/>
      <family val="2"/>
    </font>
    <font>
      <b/>
      <sz val="8"/>
      <name val="MS Sans Serif"/>
      <family val="2"/>
    </font>
    <font>
      <b/>
      <sz val="9"/>
      <name val="Helv"/>
    </font>
    <font>
      <b/>
      <sz val="10.75"/>
      <name val="Arial"/>
      <family val="2"/>
    </font>
    <font>
      <b/>
      <i/>
      <sz val="20"/>
      <name val="Century Gothic"/>
      <family val="2"/>
    </font>
    <font>
      <sz val="9"/>
      <color indexed="17"/>
      <name val="Helv"/>
    </font>
    <font>
      <sz val="10"/>
      <color rgb="FF3F3F76"/>
      <name val="Times New Roman"/>
      <family val="2"/>
    </font>
    <font>
      <b/>
      <u/>
      <sz val="10"/>
      <color indexed="12"/>
      <name val="Times New Roman"/>
      <family val="1"/>
    </font>
    <font>
      <sz val="8"/>
      <color indexed="39"/>
      <name val="Arial"/>
      <family val="2"/>
    </font>
    <font>
      <sz val="8"/>
      <color indexed="12"/>
      <name val="Tahoma"/>
      <family val="2"/>
    </font>
    <font>
      <sz val="1"/>
      <color indexed="9"/>
      <name val="Symbol"/>
      <family val="1"/>
      <charset val="2"/>
    </font>
    <font>
      <sz val="8"/>
      <color indexed="10"/>
      <name val="Helv"/>
    </font>
    <font>
      <b/>
      <i/>
      <sz val="20"/>
      <color indexed="8"/>
      <name val="Arial"/>
      <family val="2"/>
    </font>
    <font>
      <u/>
      <sz val="7.5"/>
      <color indexed="12"/>
      <name val="Arial"/>
      <family val="2"/>
    </font>
    <font>
      <sz val="10"/>
      <color indexed="16"/>
      <name val="MS Sans Serif"/>
      <family val="2"/>
    </font>
    <font>
      <sz val="11"/>
      <color indexed="53"/>
      <name val="Calibri"/>
      <family val="2"/>
    </font>
    <font>
      <sz val="10"/>
      <color rgb="FFFA7D00"/>
      <name val="Times New Roman"/>
      <family val="2"/>
    </font>
    <font>
      <sz val="8"/>
      <name val="Palatino"/>
      <family val="1"/>
    </font>
    <font>
      <b/>
      <u val="singleAccounting"/>
      <sz val="9"/>
      <color indexed="9"/>
      <name val="Arial"/>
      <family val="2"/>
    </font>
    <font>
      <sz val="11"/>
      <color indexed="19"/>
      <name val="Calibri"/>
      <family val="2"/>
    </font>
    <font>
      <sz val="10"/>
      <color rgb="FF9C6500"/>
      <name val="Times New Roman"/>
      <family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sz val="7"/>
      <name val="Small Fonts"/>
      <family val="2"/>
    </font>
    <font>
      <b/>
      <sz val="8"/>
      <color indexed="23"/>
      <name val="Verdana"/>
      <family val="2"/>
    </font>
    <font>
      <sz val="10"/>
      <name val="Tahoma"/>
      <family val="2"/>
    </font>
    <font>
      <sz val="10"/>
      <name val="Arial CE"/>
    </font>
    <font>
      <sz val="10"/>
      <name val="Palatino"/>
      <family val="1"/>
    </font>
    <font>
      <i/>
      <sz val="10"/>
      <name val="Arial"/>
      <family val="2"/>
    </font>
    <font>
      <sz val="7"/>
      <color indexed="12"/>
      <name val="Arial"/>
      <family val="2"/>
    </font>
    <font>
      <i/>
      <sz val="10"/>
      <name val="Helv"/>
    </font>
    <font>
      <sz val="11"/>
      <name val="Times New Roman"/>
      <family val="1"/>
    </font>
    <font>
      <sz val="24"/>
      <name val="MS Sans Serif"/>
      <family val="2"/>
    </font>
    <font>
      <b/>
      <sz val="9"/>
      <color indexed="8"/>
      <name val="Tahoma"/>
      <family val="2"/>
    </font>
    <font>
      <sz val="8"/>
      <color indexed="32"/>
      <name val="Comic Sans MS"/>
      <family val="4"/>
    </font>
    <font>
      <b/>
      <sz val="10"/>
      <color rgb="FF3F3F3F"/>
      <name val="Times New Roman"/>
      <family val="2"/>
    </font>
    <font>
      <sz val="11"/>
      <color indexed="8"/>
      <name val="Times New Roman"/>
      <family val="1"/>
    </font>
    <font>
      <b/>
      <i/>
      <sz val="10"/>
      <color indexed="8"/>
      <name val="Arial"/>
      <family val="2"/>
    </font>
    <font>
      <b/>
      <sz val="11"/>
      <color indexed="16"/>
      <name val="Times New Roman"/>
      <family val="1"/>
    </font>
    <font>
      <b/>
      <sz val="10"/>
      <color indexed="17"/>
      <name val="Arial"/>
      <family val="2"/>
    </font>
    <font>
      <b/>
      <sz val="10"/>
      <color indexed="13"/>
      <name val="Arial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sz val="12"/>
      <color indexed="8"/>
      <name val="Times New Roman"/>
      <family val="1"/>
    </font>
    <font>
      <sz val="8"/>
      <color indexed="18"/>
      <name val="Arial"/>
      <family val="2"/>
    </font>
    <font>
      <b/>
      <u/>
      <sz val="10"/>
      <name val="Arial"/>
      <family val="2"/>
    </font>
    <font>
      <sz val="7"/>
      <color indexed="10"/>
      <name val="MS Sans Serif"/>
      <family val="2"/>
    </font>
    <font>
      <sz val="10"/>
      <name val="Tms Rmn"/>
      <family val="1"/>
    </font>
    <font>
      <sz val="10"/>
      <name val="Tms Rmn"/>
    </font>
    <font>
      <sz val="16"/>
      <color indexed="9"/>
      <name val="Tahoma"/>
      <family val="2"/>
    </font>
    <font>
      <sz val="9"/>
      <color indexed="8"/>
      <name val="Helv"/>
    </font>
    <font>
      <b/>
      <sz val="10"/>
      <name val="Times New Roman"/>
      <family val="1"/>
    </font>
    <font>
      <sz val="9"/>
      <color indexed="20"/>
      <name val="Helv"/>
    </font>
    <font>
      <sz val="8"/>
      <name val="Wingdings"/>
      <charset val="2"/>
    </font>
    <font>
      <sz val="8"/>
      <name val="Helv"/>
      <family val="2"/>
    </font>
    <font>
      <sz val="8"/>
      <name val="Helv"/>
    </font>
    <font>
      <sz val="8"/>
      <name val="COUR"/>
    </font>
    <font>
      <sz val="11"/>
      <color indexed="16"/>
      <name val="Arial"/>
      <family val="2"/>
    </font>
    <font>
      <sz val="9.5"/>
      <color indexed="23"/>
      <name val="Helvetica-Black"/>
    </font>
    <font>
      <b/>
      <sz val="8"/>
      <color indexed="9"/>
      <name val="Verdana"/>
      <family val="2"/>
    </font>
    <font>
      <sz val="10"/>
      <color indexed="8"/>
      <name val="Geneva"/>
      <family val="2"/>
    </font>
    <font>
      <sz val="9"/>
      <color indexed="18"/>
      <name val="Wingdings"/>
      <charset val="2"/>
    </font>
    <font>
      <u/>
      <sz val="9"/>
      <name val="Arial"/>
      <family val="2"/>
    </font>
    <font>
      <sz val="10"/>
      <name val="ACaslon Regular"/>
    </font>
    <font>
      <b/>
      <i/>
      <sz val="14"/>
      <name val="Arial"/>
      <family val="2"/>
    </font>
    <font>
      <vertAlign val="subscript"/>
      <sz val="8"/>
      <color indexed="8"/>
      <name val="Arial"/>
      <family val="2"/>
    </font>
    <font>
      <b/>
      <sz val="8"/>
      <color indexed="8"/>
      <name val="Helv"/>
      <family val="2"/>
    </font>
    <font>
      <b/>
      <sz val="8"/>
      <color indexed="8"/>
      <name val="Helv"/>
    </font>
    <font>
      <vertAlign val="superscript"/>
      <sz val="8"/>
      <color indexed="8"/>
      <name val="Arial"/>
      <family val="2"/>
    </font>
    <font>
      <b/>
      <sz val="9"/>
      <name val="Palatino"/>
      <family val="1"/>
    </font>
    <font>
      <sz val="9"/>
      <color indexed="21"/>
      <name val="Helvetica-Black"/>
    </font>
    <font>
      <b/>
      <sz val="10"/>
      <name val="Palatino"/>
      <family val="1"/>
    </font>
    <font>
      <sz val="7"/>
      <name val="Times New Roman"/>
      <family val="1"/>
    </font>
    <font>
      <b/>
      <sz val="8"/>
      <color indexed="63"/>
      <name val="Verdana"/>
      <family val="2"/>
    </font>
    <font>
      <sz val="12"/>
      <color indexed="8"/>
      <name val="Palatino"/>
      <family val="1"/>
    </font>
    <font>
      <sz val="11"/>
      <color indexed="8"/>
      <name val="Helvetica-Black"/>
    </font>
    <font>
      <sz val="8"/>
      <name val="Tms Rmn"/>
    </font>
    <font>
      <sz val="10"/>
      <name val="Helvetica"/>
      <family val="2"/>
    </font>
    <font>
      <sz val="11"/>
      <name val="‚l‚r ƒSƒVƒbƒN"/>
      <charset val="128"/>
    </font>
    <font>
      <sz val="12"/>
      <name val="¹UAAA¼"/>
      <family val="1"/>
      <charset val="129"/>
    </font>
    <font>
      <sz val="12"/>
      <name val="Arial MT"/>
    </font>
    <font>
      <sz val="12"/>
      <name val="ⓒoUAAA¨u"/>
      <family val="1"/>
      <charset val="129"/>
    </font>
    <font>
      <sz val="9"/>
      <color indexed="12"/>
      <name val="Times New Roman"/>
      <family val="1"/>
    </font>
    <font>
      <sz val="12"/>
      <name val="¹UAAA¼"/>
      <family val="3"/>
      <charset val="129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0"/>
      <color indexed="18"/>
      <name val="Times New Roman"/>
      <family val="1"/>
    </font>
    <font>
      <b/>
      <sz val="8"/>
      <name val="GillSans"/>
    </font>
    <font>
      <i/>
      <sz val="9"/>
      <name val="MS Sans Serif"/>
      <family val="2"/>
    </font>
    <font>
      <b/>
      <sz val="11"/>
      <name val="Times New Roman"/>
      <family val="1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Tahoma"/>
      <family val="2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2"/>
      <name val="바탕체"/>
      <family val="3"/>
      <charset val="129"/>
    </font>
    <font>
      <sz val="12"/>
      <color indexed="8"/>
      <name val="Arial MT"/>
    </font>
    <font>
      <u/>
      <sz val="10"/>
      <color indexed="12"/>
      <name val="Arial"/>
      <family val="2"/>
    </font>
    <font>
      <sz val="11"/>
      <name val="Tms Rmn"/>
      <family val="1"/>
    </font>
    <font>
      <sz val="9"/>
      <name val="GillSans Light"/>
    </font>
    <font>
      <b/>
      <i/>
      <sz val="16"/>
      <name val="Helv"/>
    </font>
    <font>
      <b/>
      <sz val="12"/>
      <name val="Tms Rmn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10"/>
      <name val="Segoe UI"/>
      <family val="2"/>
    </font>
    <font>
      <sz val="7"/>
      <color theme="1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b/>
      <sz val="14"/>
      <name val="Tms Rmn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ＭＳ Ｐゴシック"/>
      <family val="3"/>
      <charset val="128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color indexed="17"/>
      <name val="Times New Roman"/>
      <family val="1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9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  <fill>
      <patternFill patternType="lightGray">
        <fgColor indexed="15"/>
      </patternFill>
    </fill>
    <fill>
      <patternFill patternType="solid">
        <fgColor rgb="FFA5A5A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8"/>
      </patternFill>
    </fill>
    <fill>
      <patternFill patternType="mediumGray"/>
    </fill>
    <fill>
      <patternFill patternType="solid">
        <fgColor rgb="FFFFFF00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9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indexed="64"/>
      </left>
      <right/>
      <top style="thin">
        <color rgb="FF000000"/>
      </top>
      <bottom/>
      <diagonal/>
    </border>
    <border>
      <left/>
      <right style="dotted">
        <color indexed="64"/>
      </right>
      <top style="thin">
        <color rgb="FF000000"/>
      </top>
      <bottom/>
      <diagonal/>
    </border>
    <border>
      <left style="dotted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dotted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hair">
        <color indexed="56"/>
      </left>
      <right style="hair">
        <color indexed="56"/>
      </right>
      <top style="hair">
        <color indexed="56"/>
      </top>
      <bottom style="hair">
        <color indexed="56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32"/>
      </left>
      <right style="hair">
        <color indexed="32"/>
      </right>
      <top style="hair">
        <color indexed="32"/>
      </top>
      <bottom style="hair">
        <color indexed="3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hair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55"/>
      </right>
      <top/>
      <bottom/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8"/>
      </left>
      <right style="thin">
        <color indexed="58"/>
      </right>
      <top style="hair">
        <color indexed="58"/>
      </top>
      <bottom style="hair">
        <color indexed="58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hair">
        <color indexed="62"/>
      </left>
      <right style="hair">
        <color indexed="62"/>
      </right>
      <top style="hair">
        <color indexed="62"/>
      </top>
      <bottom style="hair">
        <color indexed="62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852">
    <xf numFmtId="0" fontId="0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 applyFill="0" applyAlignment="0">
      <protection locked="0"/>
    </xf>
    <xf numFmtId="0" fontId="25" fillId="0" borderId="0"/>
    <xf numFmtId="0" fontId="25" fillId="0" borderId="0"/>
    <xf numFmtId="176" fontId="25" fillId="0" borderId="0"/>
    <xf numFmtId="0" fontId="26" fillId="0" borderId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39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4" fillId="0" borderId="0" applyFont="0" applyFill="0" applyBorder="0" applyAlignment="0" applyProtection="0"/>
    <xf numFmtId="0" fontId="2" fillId="0" borderId="0">
      <alignment vertical="top"/>
    </xf>
    <xf numFmtId="0" fontId="39" fillId="0" borderId="0"/>
    <xf numFmtId="0" fontId="2" fillId="0" borderId="0"/>
    <xf numFmtId="0" fontId="2" fillId="0" borderId="0"/>
    <xf numFmtId="0" fontId="44" fillId="0" borderId="0"/>
    <xf numFmtId="169" fontId="2" fillId="0" borderId="0"/>
    <xf numFmtId="0" fontId="27" fillId="0" borderId="0">
      <alignment vertical="center"/>
    </xf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Font="0" applyBorder="0" applyAlignment="0" applyProtection="0"/>
    <xf numFmtId="171" fontId="28" fillId="0" borderId="0"/>
    <xf numFmtId="0" fontId="28" fillId="0" borderId="0"/>
    <xf numFmtId="0" fontId="28" fillId="0" borderId="9">
      <alignment horizontal="centerContinuous"/>
    </xf>
    <xf numFmtId="0" fontId="29" fillId="0" borderId="9"/>
    <xf numFmtId="0" fontId="2" fillId="0" borderId="0">
      <alignment vertical="top"/>
    </xf>
    <xf numFmtId="0" fontId="2" fillId="0" borderId="0"/>
    <xf numFmtId="9" fontId="5" fillId="0" borderId="0">
      <alignment horizontal="right"/>
    </xf>
    <xf numFmtId="0" fontId="2" fillId="0" borderId="0"/>
    <xf numFmtId="0" fontId="77" fillId="0" borderId="0"/>
    <xf numFmtId="0" fontId="78" fillId="0" borderId="0"/>
    <xf numFmtId="3" fontId="2" fillId="0" borderId="0"/>
    <xf numFmtId="202" fontId="79" fillId="0" borderId="0"/>
    <xf numFmtId="203" fontId="80" fillId="0" borderId="0">
      <alignment horizontal="right"/>
    </xf>
    <xf numFmtId="0" fontId="2" fillId="0" borderId="0"/>
    <xf numFmtId="0" fontId="81" fillId="0" borderId="0"/>
    <xf numFmtId="0" fontId="2" fillId="0" borderId="0">
      <alignment vertical="top"/>
    </xf>
    <xf numFmtId="0" fontId="82" fillId="0" borderId="0"/>
    <xf numFmtId="204" fontId="2" fillId="0" borderId="0" applyFont="0" applyFill="0" applyBorder="0" applyAlignment="0" applyProtection="0"/>
    <xf numFmtId="205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207" fontId="82" fillId="0" borderId="0" applyFont="0" applyFill="0" applyBorder="0" applyAlignment="0" applyProtection="0"/>
    <xf numFmtId="0" fontId="2" fillId="0" borderId="0"/>
    <xf numFmtId="208" fontId="3" fillId="0" borderId="0"/>
    <xf numFmtId="209" fontId="2" fillId="0" borderId="0" applyFont="0" applyFill="0" applyBorder="0" applyAlignment="0" applyProtection="0"/>
    <xf numFmtId="167" fontId="83" fillId="0" borderId="0" applyFont="0" applyFill="0" applyBorder="0" applyAlignment="0" applyProtection="0"/>
    <xf numFmtId="210" fontId="2" fillId="0" borderId="0" applyFont="0" applyFill="0" applyBorder="0" applyAlignment="0" applyProtection="0"/>
    <xf numFmtId="211" fontId="8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1" fillId="0" borderId="0"/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2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13" fontId="83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212" fontId="2" fillId="0" borderId="0" applyFont="0" applyFill="0" applyBorder="0" applyAlignment="0" applyProtection="0"/>
    <xf numFmtId="213" fontId="83" fillId="0" borderId="0" applyFont="0" applyFill="0" applyBorder="0" applyAlignment="0" applyProtection="0"/>
    <xf numFmtId="212" fontId="2" fillId="0" borderId="0" applyFont="0" applyFill="0" applyBorder="0" applyAlignment="0" applyProtection="0"/>
    <xf numFmtId="213" fontId="83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84" fillId="0" borderId="0"/>
    <xf numFmtId="0" fontId="7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14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14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171" fontId="83" fillId="0" borderId="0" applyFont="0" applyFill="0" applyBorder="0" applyAlignment="0" applyProtection="0"/>
    <xf numFmtId="215" fontId="2" fillId="0" borderId="0" applyFont="0" applyFill="0" applyBorder="0" applyAlignment="0" applyProtection="0"/>
    <xf numFmtId="215" fontId="2" fillId="0" borderId="0" applyFont="0" applyFill="0" applyBorder="0" applyAlignment="0" applyProtection="0"/>
    <xf numFmtId="216" fontId="83" fillId="0" borderId="0" applyFont="0" applyFill="0" applyBorder="0" applyAlignment="0" applyProtection="0"/>
    <xf numFmtId="215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171" fontId="83" fillId="0" borderId="0" applyFont="0" applyFill="0" applyBorder="0" applyAlignment="0" applyProtection="0"/>
    <xf numFmtId="214" fontId="2" fillId="0" borderId="0" applyFont="0" applyFill="0" applyBorder="0" applyAlignment="0" applyProtection="0"/>
    <xf numFmtId="171" fontId="83" fillId="0" borderId="0" applyFont="0" applyFill="0" applyBorder="0" applyAlignment="0" applyProtection="0"/>
    <xf numFmtId="214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215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217" fontId="2" fillId="0" borderId="0" applyFont="0" applyFill="0" applyBorder="0" applyAlignment="0" applyProtection="0"/>
    <xf numFmtId="217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215" fontId="2" fillId="0" borderId="0" applyFont="0" applyFill="0" applyBorder="0" applyAlignment="0" applyProtection="0"/>
    <xf numFmtId="216" fontId="83" fillId="0" borderId="0" applyFont="0" applyFill="0" applyBorder="0" applyAlignment="0" applyProtection="0"/>
    <xf numFmtId="215" fontId="2" fillId="0" borderId="0" applyFont="0" applyFill="0" applyBorder="0" applyAlignment="0" applyProtection="0"/>
    <xf numFmtId="216" fontId="83" fillId="0" borderId="0" applyFont="0" applyFill="0" applyBorder="0" applyAlignment="0" applyProtection="0"/>
    <xf numFmtId="215" fontId="2" fillId="0" borderId="0" applyFont="0" applyFill="0" applyBorder="0" applyAlignment="0" applyProtection="0"/>
    <xf numFmtId="218" fontId="2" fillId="0" borderId="0" applyFont="0" applyFill="0" applyBorder="0" applyAlignment="0" applyProtection="0"/>
    <xf numFmtId="219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19" fontId="2" fillId="0" borderId="0" applyFont="0" applyFill="0" applyBorder="0" applyAlignment="0" applyProtection="0"/>
    <xf numFmtId="220" fontId="83" fillId="0" borderId="0" applyFont="0" applyFill="0" applyBorder="0" applyAlignment="0" applyProtection="0"/>
    <xf numFmtId="171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219" fontId="2" fillId="0" borderId="0" applyFont="0" applyFill="0" applyBorder="0" applyAlignment="0" applyProtection="0"/>
    <xf numFmtId="220" fontId="83" fillId="0" borderId="0" applyFont="0" applyFill="0" applyBorder="0" applyAlignment="0" applyProtection="0"/>
    <xf numFmtId="219" fontId="2" fillId="0" borderId="0" applyFont="0" applyFill="0" applyBorder="0" applyAlignment="0" applyProtection="0"/>
    <xf numFmtId="220" fontId="83" fillId="0" borderId="0" applyFont="0" applyFill="0" applyBorder="0" applyAlignment="0" applyProtection="0"/>
    <xf numFmtId="171" fontId="2" fillId="0" borderId="0" applyFont="0" applyFill="0" applyBorder="0" applyAlignment="0" applyProtection="0"/>
    <xf numFmtId="219" fontId="2" fillId="0" borderId="0" applyFont="0" applyFill="0" applyBorder="0" applyAlignment="0" applyProtection="0"/>
    <xf numFmtId="219" fontId="2" fillId="0" borderId="0" applyFont="0" applyFill="0" applyBorder="0" applyAlignment="0" applyProtection="0"/>
    <xf numFmtId="219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0" fontId="7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8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 applyFont="0" applyFill="0" applyBorder="0" applyAlignment="0" applyProtection="0"/>
    <xf numFmtId="222" fontId="8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Border="0"/>
    <xf numFmtId="0" fontId="2" fillId="0" borderId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2" fillId="2" borderId="0" applyNumberFormat="0" applyFont="0" applyAlignment="0" applyProtection="0"/>
    <xf numFmtId="0" fontId="8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3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23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3" fontId="2" fillId="0" borderId="0" applyFont="0" applyFill="0" applyBorder="0" applyAlignment="0" applyProtection="0"/>
    <xf numFmtId="225" fontId="2" fillId="0" borderId="0" applyFont="0" applyFill="0" applyBorder="0" applyAlignment="0" applyProtection="0"/>
    <xf numFmtId="225" fontId="2" fillId="0" borderId="0" applyFont="0" applyFill="0" applyBorder="0" applyAlignment="0" applyProtection="0"/>
    <xf numFmtId="226" fontId="83" fillId="0" borderId="0" applyFont="0" applyFill="0" applyBorder="0" applyAlignment="0" applyProtection="0"/>
    <xf numFmtId="225" fontId="2" fillId="0" borderId="0" applyFont="0" applyFill="0" applyBorder="0" applyAlignment="0" applyProtection="0"/>
    <xf numFmtId="223" fontId="2" fillId="0" borderId="0" applyFont="0" applyFill="0" applyBorder="0" applyAlignment="0" applyProtection="0"/>
    <xf numFmtId="223" fontId="2" fillId="0" borderId="0" applyFont="0" applyFill="0" applyBorder="0" applyAlignment="0" applyProtection="0"/>
    <xf numFmtId="225" fontId="2" fillId="0" borderId="0" applyFont="0" applyFill="0" applyBorder="0" applyAlignment="0" applyProtection="0"/>
    <xf numFmtId="223" fontId="2" fillId="0" borderId="0" applyFont="0" applyFill="0" applyBorder="0" applyAlignment="0" applyProtection="0"/>
    <xf numFmtId="225" fontId="2" fillId="0" borderId="0" applyFont="0" applyFill="0" applyBorder="0" applyAlignment="0" applyProtection="0"/>
    <xf numFmtId="226" fontId="83" fillId="0" borderId="0" applyFont="0" applyFill="0" applyBorder="0" applyAlignment="0" applyProtection="0"/>
    <xf numFmtId="225" fontId="2" fillId="0" borderId="0" applyFont="0" applyFill="0" applyBorder="0" applyAlignment="0" applyProtection="0"/>
    <xf numFmtId="226" fontId="83" fillId="0" borderId="0" applyFont="0" applyFill="0" applyBorder="0" applyAlignment="0" applyProtection="0"/>
    <xf numFmtId="224" fontId="2" fillId="0" borderId="0" applyFont="0" applyFill="0" applyBorder="0" applyAlignment="0" applyProtection="0"/>
    <xf numFmtId="227" fontId="2" fillId="0" borderId="0" applyFont="0" applyFill="0" applyBorder="0" applyProtection="0">
      <alignment horizontal="right"/>
    </xf>
    <xf numFmtId="228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27" fontId="2" fillId="0" borderId="0" applyFont="0" applyFill="0" applyBorder="0" applyProtection="0">
      <alignment horizontal="right"/>
    </xf>
    <xf numFmtId="228" fontId="2" fillId="0" borderId="0" applyFont="0" applyFill="0" applyBorder="0" applyProtection="0">
      <alignment horizontal="right"/>
    </xf>
    <xf numFmtId="169" fontId="83" fillId="0" borderId="0" applyFont="0" applyFill="0" applyBorder="0" applyProtection="0">
      <alignment horizontal="right"/>
    </xf>
    <xf numFmtId="229" fontId="2" fillId="0" borderId="0" applyFont="0" applyFill="0" applyBorder="0" applyAlignment="0" applyProtection="0"/>
    <xf numFmtId="229" fontId="2" fillId="0" borderId="0" applyFont="0" applyFill="0" applyBorder="0" applyAlignment="0" applyProtection="0"/>
    <xf numFmtId="230" fontId="83" fillId="0" borderId="0" applyFont="0" applyFill="0" applyBorder="0" applyAlignment="0" applyProtection="0"/>
    <xf numFmtId="229" fontId="2" fillId="0" borderId="0" applyFont="0" applyFill="0" applyBorder="0" applyAlignment="0" applyProtection="0"/>
    <xf numFmtId="227" fontId="2" fillId="0" borderId="0" applyFont="0" applyFill="0" applyBorder="0" applyProtection="0">
      <alignment horizontal="right"/>
    </xf>
    <xf numFmtId="227" fontId="2" fillId="0" borderId="0" applyFont="0" applyFill="0" applyBorder="0" applyProtection="0">
      <alignment horizontal="right"/>
    </xf>
    <xf numFmtId="169" fontId="83" fillId="0" borderId="0" applyFont="0" applyFill="0" applyBorder="0" applyProtection="0">
      <alignment horizontal="right"/>
    </xf>
    <xf numFmtId="227" fontId="2" fillId="0" borderId="0" applyFont="0" applyFill="0" applyBorder="0" applyProtection="0">
      <alignment horizontal="right"/>
    </xf>
    <xf numFmtId="169" fontId="83" fillId="0" borderId="0" applyFont="0" applyFill="0" applyBorder="0" applyProtection="0">
      <alignment horizontal="right"/>
    </xf>
    <xf numFmtId="229" fontId="2" fillId="0" borderId="0" applyFont="0" applyFill="0" applyBorder="0" applyAlignment="0" applyProtection="0"/>
    <xf numFmtId="229" fontId="2" fillId="0" borderId="0" applyFont="0" applyFill="0" applyBorder="0" applyAlignment="0" applyProtection="0"/>
    <xf numFmtId="230" fontId="83" fillId="0" borderId="0" applyFont="0" applyFill="0" applyBorder="0" applyAlignment="0" applyProtection="0"/>
    <xf numFmtId="229" fontId="2" fillId="0" borderId="0" applyFont="0" applyFill="0" applyBorder="0" applyAlignment="0" applyProtection="0"/>
    <xf numFmtId="230" fontId="83" fillId="0" borderId="0" applyFont="0" applyFill="0" applyBorder="0" applyAlignment="0" applyProtection="0"/>
    <xf numFmtId="228" fontId="2" fillId="0" borderId="0" applyFont="0" applyFill="0" applyBorder="0" applyAlignment="0" applyProtection="0"/>
    <xf numFmtId="224" fontId="2" fillId="0" borderId="0" applyFont="0" applyFill="0" applyBorder="0" applyProtection="0">
      <alignment horizontal="right"/>
    </xf>
    <xf numFmtId="0" fontId="2" fillId="0" borderId="0"/>
    <xf numFmtId="0" fontId="2" fillId="0" borderId="0"/>
    <xf numFmtId="0" fontId="2" fillId="0" borderId="0"/>
    <xf numFmtId="0" fontId="78" fillId="0" borderId="0"/>
    <xf numFmtId="0" fontId="2" fillId="0" borderId="0"/>
    <xf numFmtId="0" fontId="2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231" fontId="2" fillId="0" borderId="0" applyFont="0" applyFill="0" applyBorder="0" applyAlignment="0" applyProtection="0"/>
    <xf numFmtId="209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32" fontId="83" fillId="0" borderId="0" applyFont="0" applyFill="0" applyBorder="0" applyAlignment="0" applyProtection="0"/>
    <xf numFmtId="209" fontId="2" fillId="0" borderId="0" applyFont="0" applyFill="0" applyBorder="0" applyAlignment="0" applyProtection="0"/>
    <xf numFmtId="233" fontId="2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79" fillId="0" borderId="0" applyFont="0" applyFill="0" applyBorder="0" applyAlignment="0" applyProtection="0"/>
    <xf numFmtId="234" fontId="83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7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0" borderId="0" applyNumberFormat="0" applyFill="0" applyBorder="0" applyProtection="0">
      <alignment vertical="top"/>
    </xf>
    <xf numFmtId="0" fontId="40" fillId="0" borderId="0" applyNumberFormat="0" applyFill="0" applyBorder="0" applyProtection="0">
      <alignment vertical="top"/>
    </xf>
    <xf numFmtId="0" fontId="40" fillId="0" borderId="0" applyNumberFormat="0" applyFill="0" applyBorder="0" applyProtection="0">
      <alignment vertical="top"/>
    </xf>
    <xf numFmtId="0" fontId="40" fillId="0" borderId="0" applyNumberFormat="0" applyFill="0" applyBorder="0" applyProtection="0">
      <alignment vertical="top"/>
    </xf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Protection="0">
      <alignment vertical="top"/>
    </xf>
    <xf numFmtId="0" fontId="40" fillId="0" borderId="0" applyNumberFormat="0" applyFill="0" applyBorder="0" applyAlignment="0" applyProtection="0">
      <alignment vertical="top"/>
    </xf>
    <xf numFmtId="0" fontId="40" fillId="0" borderId="0" applyNumberFormat="0" applyFill="0" applyBorder="0" applyProtection="0">
      <alignment vertical="top"/>
    </xf>
    <xf numFmtId="0" fontId="86" fillId="0" borderId="50" applyNumberFormat="0" applyFill="0" applyAlignment="0" applyProtection="0"/>
    <xf numFmtId="0" fontId="86" fillId="0" borderId="31" applyNumberFormat="0" applyFill="0" applyAlignment="0" applyProtection="0"/>
    <xf numFmtId="0" fontId="86" fillId="0" borderId="50" applyNumberFormat="0" applyFill="0" applyAlignment="0" applyProtection="0"/>
    <xf numFmtId="0" fontId="86" fillId="0" borderId="50" applyNumberFormat="0" applyFill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31" applyNumberFormat="0" applyFill="0" applyAlignment="0" applyProtection="0"/>
    <xf numFmtId="0" fontId="87" fillId="0" borderId="51" applyNumberFormat="0" applyFill="0" applyProtection="0">
      <alignment horizontal="center"/>
    </xf>
    <xf numFmtId="0" fontId="87" fillId="0" borderId="51" applyNumberFormat="0" applyFill="0" applyProtection="0">
      <alignment horizontal="center"/>
    </xf>
    <xf numFmtId="0" fontId="87" fillId="0" borderId="51" applyNumberFormat="0" applyFill="0" applyProtection="0">
      <alignment horizontal="center"/>
    </xf>
    <xf numFmtId="0" fontId="87" fillId="0" borderId="51" applyNumberFormat="0" applyFill="0" applyProtection="0">
      <alignment horizontal="center"/>
    </xf>
    <xf numFmtId="0" fontId="87" fillId="0" borderId="51" applyNumberFormat="0" applyFill="0" applyProtection="0">
      <alignment horizontal="center"/>
    </xf>
    <xf numFmtId="0" fontId="87" fillId="0" borderId="51" applyNumberFormat="0" applyFill="0" applyProtection="0">
      <alignment horizontal="center"/>
    </xf>
    <xf numFmtId="0" fontId="2" fillId="0" borderId="9" applyNumberFormat="0" applyFont="0" applyFill="0" applyAlignment="0" applyProtection="0"/>
    <xf numFmtId="0" fontId="87" fillId="0" borderId="0" applyNumberFormat="0" applyFill="0" applyBorder="0" applyProtection="0">
      <alignment horizontal="left"/>
    </xf>
    <xf numFmtId="0" fontId="87" fillId="0" borderId="0" applyNumberFormat="0" applyFill="0" applyBorder="0" applyProtection="0">
      <alignment horizontal="left"/>
    </xf>
    <xf numFmtId="0" fontId="87" fillId="0" borderId="0" applyNumberFormat="0" applyFill="0" applyBorder="0" applyProtection="0">
      <alignment horizontal="left"/>
    </xf>
    <xf numFmtId="0" fontId="87" fillId="0" borderId="0" applyNumberFormat="0" applyFill="0" applyBorder="0" applyProtection="0">
      <alignment horizontal="left"/>
    </xf>
    <xf numFmtId="0" fontId="87" fillId="0" borderId="0" applyNumberFormat="0" applyFill="0" applyBorder="0" applyProtection="0">
      <alignment horizontal="left"/>
    </xf>
    <xf numFmtId="0" fontId="88" fillId="0" borderId="0" applyNumberFormat="0" applyFill="0" applyBorder="0" applyProtection="0">
      <alignment horizontal="centerContinuous"/>
    </xf>
    <xf numFmtId="0" fontId="88" fillId="0" borderId="0" applyNumberFormat="0" applyFill="0" applyProtection="0">
      <alignment horizontal="centerContinuous"/>
    </xf>
    <xf numFmtId="0" fontId="88" fillId="0" borderId="0" applyNumberFormat="0" applyFill="0" applyBorder="0" applyProtection="0">
      <alignment horizontal="centerContinuous"/>
    </xf>
    <xf numFmtId="0" fontId="88" fillId="0" borderId="0" applyNumberFormat="0" applyFill="0" applyBorder="0" applyProtection="0">
      <alignment horizontal="centerContinuous"/>
    </xf>
    <xf numFmtId="0" fontId="88" fillId="0" borderId="0" applyNumberFormat="0" applyFill="0" applyBorder="0" applyProtection="0">
      <alignment horizontal="centerContinuous"/>
    </xf>
    <xf numFmtId="0" fontId="88" fillId="0" borderId="0" applyNumberFormat="0" applyFill="0" applyBorder="0" applyProtection="0">
      <alignment horizontal="centerContinuous"/>
    </xf>
    <xf numFmtId="0" fontId="88" fillId="0" borderId="0" applyNumberFormat="0" applyFill="0" applyProtection="0">
      <alignment horizontal="centerContinuous"/>
    </xf>
    <xf numFmtId="0" fontId="88" fillId="0" borderId="0" applyNumberFormat="0" applyFill="0" applyBorder="0" applyProtection="0">
      <alignment horizontal="centerContinuous"/>
    </xf>
    <xf numFmtId="0" fontId="8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4" fillId="0" borderId="0"/>
    <xf numFmtId="0" fontId="7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9" fillId="0" borderId="0"/>
    <xf numFmtId="0" fontId="81" fillId="0" borderId="0"/>
    <xf numFmtId="235" fontId="86" fillId="0" borderId="0">
      <alignment horizontal="right" vertical="top"/>
    </xf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2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2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90" fillId="2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90" fillId="2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90" fillId="2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90" fillId="2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2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90" fillId="30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90" fillId="30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90" fillId="31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90" fillId="31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4" borderId="0" applyNumberFormat="0" applyBorder="0" applyAlignment="0" applyProtection="0"/>
    <xf numFmtId="0" fontId="91" fillId="22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7" borderId="0" applyNumberFormat="0" applyBorder="0" applyAlignment="0" applyProtection="0">
      <alignment vertical="center"/>
    </xf>
    <xf numFmtId="0" fontId="91" fillId="28" borderId="0" applyNumberFormat="0" applyBorder="0" applyAlignment="0" applyProtection="0">
      <alignment vertical="center"/>
    </xf>
    <xf numFmtId="0" fontId="91" fillId="29" borderId="0" applyNumberFormat="0" applyBorder="0" applyAlignment="0" applyProtection="0">
      <alignment vertical="center"/>
    </xf>
    <xf numFmtId="0" fontId="91" fillId="4" borderId="0" applyNumberFormat="0" applyBorder="0" applyAlignment="0" applyProtection="0">
      <alignment vertical="center"/>
    </xf>
    <xf numFmtId="0" fontId="92" fillId="22" borderId="0" applyNumberFormat="0" applyBorder="0" applyAlignment="0" applyProtection="0">
      <alignment vertical="center"/>
    </xf>
    <xf numFmtId="0" fontId="92" fillId="25" borderId="0" applyNumberFormat="0" applyBorder="0" applyAlignment="0" applyProtection="0">
      <alignment vertical="center"/>
    </xf>
    <xf numFmtId="0" fontId="92" fillId="7" borderId="0" applyNumberFormat="0" applyBorder="0" applyAlignment="0" applyProtection="0">
      <alignment vertical="center"/>
    </xf>
    <xf numFmtId="0" fontId="92" fillId="28" borderId="0" applyNumberFormat="0" applyBorder="0" applyAlignment="0" applyProtection="0">
      <alignment vertical="center"/>
    </xf>
    <xf numFmtId="0" fontId="92" fillId="29" borderId="0" applyNumberFormat="0" applyBorder="0" applyAlignment="0" applyProtection="0">
      <alignment vertical="center"/>
    </xf>
    <xf numFmtId="0" fontId="92" fillId="4" borderId="0" applyNumberFormat="0" applyBorder="0" applyAlignment="0" applyProtection="0">
      <alignment vertical="center"/>
    </xf>
    <xf numFmtId="0" fontId="2" fillId="0" borderId="0"/>
    <xf numFmtId="0" fontId="89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3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3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90" fillId="1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90" fillId="1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90" fillId="3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90" fillId="3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35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90" fillId="36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2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90" fillId="36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2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2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2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2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3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90" fillId="3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3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90" fillId="2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1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90" fillId="2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1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1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1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1" borderId="0" applyNumberFormat="0" applyBorder="0" applyAlignment="0" applyProtection="0"/>
    <xf numFmtId="0" fontId="91" fillId="33" borderId="0" applyNumberFormat="0" applyBorder="0" applyAlignment="0" applyProtection="0">
      <alignment vertical="center"/>
    </xf>
    <xf numFmtId="0" fontId="91" fillId="9" borderId="0" applyNumberFormat="0" applyBorder="0" applyAlignment="0" applyProtection="0">
      <alignment vertical="center"/>
    </xf>
    <xf numFmtId="0" fontId="91" fillId="35" borderId="0" applyNumberFormat="0" applyBorder="0" applyAlignment="0" applyProtection="0">
      <alignment vertical="center"/>
    </xf>
    <xf numFmtId="0" fontId="91" fillId="28" borderId="0" applyNumberFormat="0" applyBorder="0" applyAlignment="0" applyProtection="0">
      <alignment vertical="center"/>
    </xf>
    <xf numFmtId="0" fontId="91" fillId="33" borderId="0" applyNumberFormat="0" applyBorder="0" applyAlignment="0" applyProtection="0">
      <alignment vertical="center"/>
    </xf>
    <xf numFmtId="0" fontId="91" fillId="11" borderId="0" applyNumberFormat="0" applyBorder="0" applyAlignment="0" applyProtection="0">
      <alignment vertical="center"/>
    </xf>
    <xf numFmtId="0" fontId="92" fillId="33" borderId="0" applyNumberFormat="0" applyBorder="0" applyAlignment="0" applyProtection="0">
      <alignment vertical="center"/>
    </xf>
    <xf numFmtId="0" fontId="92" fillId="9" borderId="0" applyNumberFormat="0" applyBorder="0" applyAlignment="0" applyProtection="0">
      <alignment vertical="center"/>
    </xf>
    <xf numFmtId="0" fontId="92" fillId="35" borderId="0" applyNumberFormat="0" applyBorder="0" applyAlignment="0" applyProtection="0">
      <alignment vertical="center"/>
    </xf>
    <xf numFmtId="0" fontId="92" fillId="28" borderId="0" applyNumberFormat="0" applyBorder="0" applyAlignment="0" applyProtection="0">
      <alignment vertical="center"/>
    </xf>
    <xf numFmtId="0" fontId="92" fillId="33" borderId="0" applyNumberFormat="0" applyBorder="0" applyAlignment="0" applyProtection="0">
      <alignment vertical="center"/>
    </xf>
    <xf numFmtId="0" fontId="92" fillId="11" borderId="0" applyNumberFormat="0" applyBorder="0" applyAlignment="0" applyProtection="0">
      <alignment vertical="center"/>
    </xf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93" fillId="38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4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93" fillId="38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4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4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4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4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93" fillId="3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93" fillId="3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93" fillId="40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35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93" fillId="40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35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35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35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35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93" fillId="41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4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93" fillId="41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4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4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4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42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93" fillId="4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93" fillId="4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33" borderId="0" applyNumberFormat="0" applyBorder="0" applyAlignment="0" applyProtection="0"/>
    <xf numFmtId="0" fontId="46" fillId="13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93" fillId="19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10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93" fillId="19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10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10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10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4" borderId="0" applyNumberFormat="0" applyBorder="0" applyAlignment="0" applyProtection="0"/>
    <xf numFmtId="0" fontId="46" fillId="10" borderId="0" applyNumberFormat="0" applyBorder="0" applyAlignment="0" applyProtection="0"/>
    <xf numFmtId="0" fontId="94" fillId="14" borderId="0" applyNumberFormat="0" applyBorder="0" applyAlignment="0" applyProtection="0">
      <alignment vertical="center"/>
    </xf>
    <xf numFmtId="0" fontId="94" fillId="9" borderId="0" applyNumberFormat="0" applyBorder="0" applyAlignment="0" applyProtection="0">
      <alignment vertical="center"/>
    </xf>
    <xf numFmtId="0" fontId="94" fillId="35" borderId="0" applyNumberFormat="0" applyBorder="0" applyAlignment="0" applyProtection="0">
      <alignment vertical="center"/>
    </xf>
    <xf numFmtId="0" fontId="94" fillId="42" borderId="0" applyNumberFormat="0" applyBorder="0" applyAlignment="0" applyProtection="0">
      <alignment vertical="center"/>
    </xf>
    <xf numFmtId="0" fontId="94" fillId="13" borderId="0" applyNumberFormat="0" applyBorder="0" applyAlignment="0" applyProtection="0">
      <alignment vertical="center"/>
    </xf>
    <xf numFmtId="0" fontId="94" fillId="10" borderId="0" applyNumberFormat="0" applyBorder="0" applyAlignment="0" applyProtection="0">
      <alignment vertical="center"/>
    </xf>
    <xf numFmtId="0" fontId="95" fillId="14" borderId="0" applyNumberFormat="0" applyBorder="0" applyAlignment="0" applyProtection="0">
      <alignment vertical="center"/>
    </xf>
    <xf numFmtId="0" fontId="95" fillId="9" borderId="0" applyNumberFormat="0" applyBorder="0" applyAlignment="0" applyProtection="0">
      <alignment vertical="center"/>
    </xf>
    <xf numFmtId="0" fontId="95" fillId="35" borderId="0" applyNumberFormat="0" applyBorder="0" applyAlignment="0" applyProtection="0">
      <alignment vertical="center"/>
    </xf>
    <xf numFmtId="0" fontId="95" fillId="42" borderId="0" applyNumberFormat="0" applyBorder="0" applyAlignment="0" applyProtection="0">
      <alignment vertical="center"/>
    </xf>
    <xf numFmtId="0" fontId="95" fillId="13" borderId="0" applyNumberFormat="0" applyBorder="0" applyAlignment="0" applyProtection="0">
      <alignment vertical="center"/>
    </xf>
    <xf numFmtId="0" fontId="95" fillId="10" borderId="0" applyNumberFormat="0" applyBorder="0" applyAlignment="0" applyProtection="0">
      <alignment vertical="center"/>
    </xf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93" fillId="45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6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93" fillId="45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6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6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6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6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93" fillId="48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9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93" fillId="48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9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9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9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7" borderId="0" applyNumberFormat="0" applyBorder="0" applyAlignment="0" applyProtection="0"/>
    <xf numFmtId="0" fontId="46" fillId="49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93" fillId="50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1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93" fillId="50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1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1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1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1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93" fillId="52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2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93" fillId="52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2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2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2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4" borderId="0" applyNumberFormat="0" applyBorder="0" applyAlignment="0" applyProtection="0"/>
    <xf numFmtId="0" fontId="46" fillId="42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93" fillId="5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93" fillId="5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93" fillId="54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55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93" fillId="54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55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55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55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9" borderId="0" applyNumberFormat="0" applyBorder="0" applyAlignment="0" applyProtection="0"/>
    <xf numFmtId="0" fontId="46" fillId="55" borderId="0" applyNumberFormat="0" applyBorder="0" applyAlignment="0" applyProtection="0"/>
    <xf numFmtId="41" fontId="2" fillId="0" borderId="0"/>
    <xf numFmtId="236" fontId="24" fillId="33" borderId="52">
      <alignment horizontal="center"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237" fontId="38" fillId="3" borderId="53" applyProtection="0">
      <alignment vertical="center"/>
    </xf>
    <xf numFmtId="0" fontId="2" fillId="0" borderId="0">
      <alignment horizontal="center" wrapText="1"/>
      <protection locked="0"/>
    </xf>
    <xf numFmtId="0" fontId="77" fillId="0" borderId="0">
      <alignment horizontal="center" wrapText="1"/>
      <protection locked="0"/>
    </xf>
    <xf numFmtId="0" fontId="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" fontId="2" fillId="56" borderId="0"/>
    <xf numFmtId="0" fontId="96" fillId="0" borderId="54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8" fillId="21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4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8" fillId="21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4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4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4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97" fillId="25" borderId="0" applyNumberFormat="0" applyBorder="0" applyAlignment="0" applyProtection="0"/>
    <xf numFmtId="0" fontId="47" fillId="25" borderId="0" applyNumberFormat="0" applyBorder="0" applyAlignment="0" applyProtection="0"/>
    <xf numFmtId="3" fontId="99" fillId="6" borderId="0">
      <alignment horizontal="center" vertical="justify"/>
    </xf>
    <xf numFmtId="3" fontId="100" fillId="57" borderId="30">
      <alignment horizontal="center"/>
    </xf>
    <xf numFmtId="0" fontId="32" fillId="0" borderId="11" applyNumberFormat="0" applyFont="0" applyAlignment="0" applyProtection="0"/>
    <xf numFmtId="0" fontId="42" fillId="56" borderId="55">
      <alignment horizontal="center" vertical="center"/>
    </xf>
    <xf numFmtId="0" fontId="42" fillId="56" borderId="56">
      <alignment horizontal="center"/>
    </xf>
    <xf numFmtId="238" fontId="101" fillId="12" borderId="57">
      <alignment horizontal="center" vertical="center" wrapText="1"/>
    </xf>
    <xf numFmtId="0" fontId="102" fillId="0" borderId="0">
      <alignment vertical="center"/>
    </xf>
    <xf numFmtId="238" fontId="103" fillId="12" borderId="57">
      <alignment horizontal="left" vertical="center" wrapText="1"/>
    </xf>
    <xf numFmtId="0" fontId="104" fillId="12" borderId="0">
      <alignment horizontal="center"/>
    </xf>
    <xf numFmtId="238" fontId="105" fillId="12" borderId="57">
      <alignment horizontal="center" vertical="center" wrapTex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0" fontId="106" fillId="5" borderId="0">
      <alignment horizontal="left" vertical="center" indent="1"/>
    </xf>
    <xf numFmtId="239" fontId="107" fillId="0" borderId="14" applyAlignment="0" applyProtection="0"/>
    <xf numFmtId="0" fontId="77" fillId="0" borderId="11" applyNumberFormat="0" applyFont="0" applyFill="0" applyAlignment="0" applyProtection="0"/>
    <xf numFmtId="0" fontId="77" fillId="0" borderId="58" applyNumberFormat="0" applyFont="0" applyFill="0" applyAlignment="0" applyProtection="0"/>
    <xf numFmtId="0" fontId="108" fillId="0" borderId="0" applyFont="0" applyFill="0" applyBorder="0" applyAlignment="0" applyProtection="0"/>
    <xf numFmtId="240" fontId="6" fillId="0" borderId="0" applyFill="0" applyBorder="0" applyAlignment="0"/>
    <xf numFmtId="240" fontId="6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0" fontId="2" fillId="0" borderId="0" applyFill="0" applyBorder="0" applyAlignment="0"/>
    <xf numFmtId="243" fontId="31" fillId="0" borderId="0" applyFill="0" applyBorder="0" applyAlignment="0"/>
    <xf numFmtId="180" fontId="2" fillId="0" borderId="0" applyFill="0" applyBorder="0" applyAlignment="0"/>
    <xf numFmtId="244" fontId="31" fillId="0" borderId="0" applyFill="0" applyBorder="0" applyAlignment="0"/>
    <xf numFmtId="232" fontId="109" fillId="0" borderId="0" applyFill="0" applyBorder="0" applyAlignment="0"/>
    <xf numFmtId="245" fontId="31" fillId="0" borderId="0" applyFill="0" applyBorder="0" applyAlignment="0"/>
    <xf numFmtId="246" fontId="2" fillId="0" borderId="0" applyFill="0" applyBorder="0" applyAlignment="0"/>
    <xf numFmtId="247" fontId="31" fillId="0" borderId="0" applyFill="0" applyBorder="0" applyAlignment="0"/>
    <xf numFmtId="0" fontId="2" fillId="0" borderId="0" applyFill="0" applyBorder="0" applyAlignment="0"/>
    <xf numFmtId="248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0" fontId="110" fillId="0" borderId="27" applyNumberFormat="0" applyAlignment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2" fillId="58" borderId="35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48" fillId="12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2" fillId="58" borderId="35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48" fillId="12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48" fillId="12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48" fillId="12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111" fillId="3" borderId="1" applyNumberFormat="0" applyAlignment="0" applyProtection="0"/>
    <xf numFmtId="0" fontId="48" fillId="12" borderId="1" applyNumberFormat="0" applyAlignment="0" applyProtection="0"/>
    <xf numFmtId="0" fontId="113" fillId="0" borderId="0" applyNumberFormat="0" applyFill="0" applyBorder="0" applyAlignment="0"/>
    <xf numFmtId="37" fontId="114" fillId="59" borderId="0" applyNumberFormat="0" applyFont="0" applyBorder="0" applyAlignment="0">
      <alignment horizontal="center"/>
    </xf>
    <xf numFmtId="0" fontId="2" fillId="0" borderId="0"/>
    <xf numFmtId="249" fontId="30" fillId="0" borderId="0" applyFill="0" applyBorder="0" applyProtection="0">
      <alignment horizontal="center" vertical="center"/>
    </xf>
    <xf numFmtId="249" fontId="30" fillId="0" borderId="0" applyFill="0" applyBorder="0" applyProtection="0">
      <alignment horizontal="center" vertical="center"/>
    </xf>
    <xf numFmtId="0" fontId="2" fillId="0" borderId="0">
      <alignment horizontal="centerContinuous"/>
    </xf>
    <xf numFmtId="0" fontId="115" fillId="0" borderId="0" applyNumberFormat="0" applyFill="0" applyBorder="0" applyAlignment="0"/>
    <xf numFmtId="0" fontId="6" fillId="0" borderId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116" fillId="60" borderId="36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116" fillId="60" borderId="36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49" fillId="5" borderId="2" applyNumberFormat="0" applyAlignment="0" applyProtection="0"/>
    <xf numFmtId="0" fontId="117" fillId="0" borderId="0" applyNumberFormat="0" applyFill="0" applyBorder="0" applyAlignment="0" applyProtection="0">
      <alignment vertical="top"/>
    </xf>
    <xf numFmtId="41" fontId="42" fillId="61" borderId="0">
      <alignment horizontal="left"/>
    </xf>
    <xf numFmtId="41" fontId="33" fillId="61" borderId="0">
      <alignment horizontal="right"/>
    </xf>
    <xf numFmtId="41" fontId="12" fillId="3" borderId="0">
      <alignment horizontal="center"/>
    </xf>
    <xf numFmtId="0" fontId="118" fillId="62" borderId="0"/>
    <xf numFmtId="41" fontId="33" fillId="61" borderId="0">
      <alignment horizontal="right"/>
    </xf>
    <xf numFmtId="41" fontId="119" fillId="3" borderId="0">
      <alignment horizontal="left"/>
    </xf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46" fontId="2" fillId="0" borderId="0" applyFont="0" applyFill="0" applyBorder="0" applyAlignment="0" applyProtection="0"/>
    <xf numFmtId="247" fontId="31" fillId="0" borderId="0" applyFont="0" applyFill="0" applyBorder="0" applyAlignment="0" applyProtection="0"/>
    <xf numFmtId="38" fontId="120" fillId="0" borderId="0">
      <alignment horizontal="center"/>
      <protection locked="0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5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5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51" fontId="2" fillId="0" borderId="0" applyFont="0" applyFill="0" applyBorder="0" applyAlignment="0" applyProtection="0"/>
    <xf numFmtId="25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25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251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20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95" fontId="24" fillId="0" borderId="0"/>
    <xf numFmtId="3" fontId="2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2" fillId="0" borderId="0" applyNumberFormat="0" applyAlignment="0">
      <alignment horizontal="left"/>
    </xf>
    <xf numFmtId="0" fontId="121" fillId="0" borderId="0" applyNumberFormat="0" applyAlignment="0">
      <alignment horizontal="left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3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0" fontId="122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252" fontId="81" fillId="12" borderId="0">
      <protection hidden="1"/>
    </xf>
    <xf numFmtId="0" fontId="2" fillId="12" borderId="0">
      <protection hidden="1"/>
    </xf>
    <xf numFmtId="0" fontId="109" fillId="0" borderId="0" applyNumberFormat="0" applyAlignment="0"/>
    <xf numFmtId="6" fontId="25" fillId="0" borderId="0" applyFont="0" applyFill="0" applyBorder="0" applyAlignment="0" applyProtection="0"/>
    <xf numFmtId="241" fontId="2" fillId="0" borderId="0" applyFont="0" applyFill="0" applyBorder="0" applyAlignment="0" applyProtection="0"/>
    <xf numFmtId="242" fontId="31" fillId="0" borderId="0" applyFont="0" applyFill="0" applyBorder="0" applyAlignment="0" applyProtection="0"/>
    <xf numFmtId="230" fontId="3" fillId="0" borderId="0"/>
    <xf numFmtId="8" fontId="123" fillId="0" borderId="59">
      <protection locked="0"/>
    </xf>
    <xf numFmtId="0" fontId="2" fillId="0" borderId="0" applyFont="0" applyFill="0" applyBorder="0" applyAlignment="0" applyProtection="0">
      <alignment horizontal="right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0" fontId="2" fillId="0" borderId="0" applyFont="0" applyFill="0" applyBorder="0" applyAlignment="0" applyProtection="0">
      <alignment horizontal="right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253" fontId="124" fillId="0" borderId="0" applyFont="0" applyFill="0" applyBorder="0" applyAlignment="0" applyProtection="0"/>
    <xf numFmtId="254" fontId="31" fillId="0" borderId="0" applyFont="0" applyFill="0" applyBorder="0" applyAlignment="0" applyProtection="0"/>
    <xf numFmtId="194" fontId="24" fillId="0" borderId="0"/>
    <xf numFmtId="49" fontId="125" fillId="63" borderId="0">
      <alignment vertical="center"/>
    </xf>
    <xf numFmtId="255" fontId="2" fillId="0" borderId="0" applyNumberFormat="0" applyFont="0" applyBorder="0" applyAlignment="0">
      <alignment horizontal="centerContinuous"/>
    </xf>
    <xf numFmtId="3" fontId="126" fillId="0" borderId="0"/>
    <xf numFmtId="0" fontId="24" fillId="0" borderId="0" applyNumberFormat="0" applyFont="0" applyBorder="0" applyAlignment="0"/>
    <xf numFmtId="17" fontId="127" fillId="0" borderId="60">
      <alignment horizontal="center" vertical="center"/>
    </xf>
    <xf numFmtId="0" fontId="2" fillId="0" borderId="0" applyFont="0" applyFill="0" applyBorder="0" applyAlignment="0" applyProtection="0"/>
    <xf numFmtId="256" fontId="2" fillId="0" borderId="61" applyFont="0" applyFill="0" applyAlignment="0" applyProtection="0"/>
    <xf numFmtId="257" fontId="2" fillId="0" borderId="0" applyFont="0" applyFill="0" applyAlignment="0" applyProtection="0"/>
    <xf numFmtId="258" fontId="2" fillId="0" borderId="9"/>
    <xf numFmtId="0" fontId="77" fillId="0" borderId="0" applyFont="0" applyFill="0" applyBorder="0" applyProtection="0">
      <alignment horizontal="right"/>
    </xf>
    <xf numFmtId="0" fontId="2" fillId="0" borderId="0" applyFont="0" applyFill="0" applyBorder="0" applyAlignment="0" applyProtection="0"/>
    <xf numFmtId="16" fontId="6" fillId="0" borderId="0" applyFont="0" applyFill="0" applyBorder="0" applyAlignment="0" applyProtection="0"/>
    <xf numFmtId="15" fontId="6" fillId="0" borderId="0" applyFont="0" applyFill="0" applyBorder="0" applyAlignment="0" applyProtection="0"/>
    <xf numFmtId="17" fontId="6" fillId="0" borderId="0" applyFont="0" applyFill="0" applyBorder="0" applyAlignment="0" applyProtection="0"/>
    <xf numFmtId="14" fontId="6" fillId="0" borderId="0" applyFill="0" applyBorder="0" applyAlignment="0"/>
    <xf numFmtId="0" fontId="77" fillId="0" borderId="0" applyFont="0" applyFill="0" applyBorder="0" applyProtection="0">
      <alignment horizontal="right"/>
    </xf>
    <xf numFmtId="259" fontId="4" fillId="0" borderId="0" applyFill="0" applyBorder="0">
      <alignment horizontal="right"/>
    </xf>
    <xf numFmtId="0" fontId="106" fillId="0" borderId="62">
      <alignment horizontal="center" vertical="center"/>
    </xf>
    <xf numFmtId="0" fontId="106" fillId="0" borderId="62" applyBorder="0">
      <alignment horizontal="center" vertical="center"/>
    </xf>
    <xf numFmtId="0" fontId="128" fillId="0" borderId="0" applyNumberFormat="0" applyFont="0" applyFill="0" applyBorder="0" applyAlignment="0" applyProtection="0">
      <alignment horizontal="left"/>
    </xf>
    <xf numFmtId="0" fontId="2" fillId="0" borderId="0"/>
    <xf numFmtId="0" fontId="122" fillId="0" borderId="0">
      <protection hidden="1"/>
    </xf>
    <xf numFmtId="0" fontId="2" fillId="0" borderId="0">
      <protection hidden="1"/>
    </xf>
    <xf numFmtId="0" fontId="129" fillId="0" borderId="0">
      <protection hidden="1"/>
    </xf>
    <xf numFmtId="260" fontId="3" fillId="64" borderId="0">
      <alignment horizontal="right"/>
    </xf>
    <xf numFmtId="0" fontId="79" fillId="0" borderId="0"/>
    <xf numFmtId="261" fontId="2" fillId="0" borderId="63">
      <alignment vertical="center"/>
    </xf>
    <xf numFmtId="15" fontId="130" fillId="65" borderId="0" applyNumberFormat="0" applyFont="0" applyBorder="0" applyAlignment="0" applyProtection="0"/>
    <xf numFmtId="3" fontId="122" fillId="0" borderId="64"/>
    <xf numFmtId="262" fontId="2" fillId="0" borderId="0" applyFont="0" applyFill="0" applyAlignment="0" applyProtection="0"/>
    <xf numFmtId="263" fontId="2" fillId="0" borderId="0" applyFont="0" applyFill="0" applyAlignment="0" applyProtection="0"/>
    <xf numFmtId="164" fontId="3" fillId="3" borderId="0"/>
    <xf numFmtId="164" fontId="4" fillId="3" borderId="0"/>
    <xf numFmtId="0" fontId="36" fillId="0" borderId="0"/>
    <xf numFmtId="264" fontId="2" fillId="0" borderId="0"/>
    <xf numFmtId="0" fontId="131" fillId="0" borderId="0"/>
    <xf numFmtId="265" fontId="2" fillId="0" borderId="0"/>
    <xf numFmtId="265" fontId="2" fillId="0" borderId="30"/>
    <xf numFmtId="265" fontId="2" fillId="0" borderId="65"/>
    <xf numFmtId="265" fontId="2" fillId="0" borderId="11"/>
    <xf numFmtId="265" fontId="2" fillId="0" borderId="14"/>
    <xf numFmtId="0" fontId="2" fillId="0" borderId="66"/>
    <xf numFmtId="0" fontId="2" fillId="0" borderId="67" applyNumberFormat="0" applyFont="0" applyFill="0" applyAlignment="0" applyProtection="0"/>
    <xf numFmtId="235" fontId="132" fillId="64" borderId="0">
      <alignment horizontal="right"/>
    </xf>
    <xf numFmtId="169" fontId="133" fillId="0" borderId="0" applyFill="0" applyBorder="0" applyAlignment="0" applyProtection="0"/>
    <xf numFmtId="0" fontId="2" fillId="35" borderId="30" applyNumberFormat="0" applyFont="0" applyAlignment="0" applyProtection="0">
      <alignment horizontal="center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0" fontId="134" fillId="2" borderId="0" applyNumberFormat="0">
      <protection locked="0"/>
    </xf>
    <xf numFmtId="266" fontId="2" fillId="0" borderId="0" applyFill="0" applyBorder="0" applyAlignment="0"/>
    <xf numFmtId="247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246" fontId="2" fillId="0" borderId="0" applyFill="0" applyBorder="0" applyAlignment="0"/>
    <xf numFmtId="247" fontId="31" fillId="0" borderId="0" applyFill="0" applyBorder="0" applyAlignment="0"/>
    <xf numFmtId="0" fontId="2" fillId="0" borderId="0" applyFill="0" applyBorder="0" applyAlignment="0"/>
    <xf numFmtId="248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0" fontId="2" fillId="0" borderId="0" applyNumberFormat="0" applyAlignment="0">
      <alignment horizontal="left"/>
    </xf>
    <xf numFmtId="0" fontId="135" fillId="0" borderId="0" applyNumberFormat="0" applyAlignment="0">
      <alignment horizontal="left"/>
    </xf>
    <xf numFmtId="0" fontId="136" fillId="0" borderId="0"/>
    <xf numFmtId="167" fontId="136" fillId="0" borderId="0"/>
    <xf numFmtId="171" fontId="136" fillId="0" borderId="0"/>
    <xf numFmtId="267" fontId="2" fillId="0" borderId="0" applyFont="0" applyFill="0" applyBorder="0" applyAlignment="0" applyProtection="0"/>
    <xf numFmtId="267" fontId="2" fillId="0" borderId="0" applyFont="0" applyFill="0" applyBorder="0" applyAlignment="0" applyProtection="0"/>
    <xf numFmtId="268" fontId="137" fillId="0" borderId="0" applyFont="0" applyFill="0" applyBorder="0" applyAlignment="0" applyProtection="0"/>
    <xf numFmtId="268" fontId="137" fillId="0" borderId="0" applyFont="0" applyFill="0" applyBorder="0" applyAlignment="0" applyProtection="0"/>
    <xf numFmtId="268" fontId="137" fillId="0" borderId="0" applyFont="0" applyFill="0" applyBorder="0" applyAlignment="0" applyProtection="0"/>
    <xf numFmtId="269" fontId="2" fillId="0" borderId="0" applyFont="0" applyFill="0" applyBorder="0" applyAlignment="0" applyProtection="0"/>
    <xf numFmtId="26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2" fillId="0" borderId="0" applyFont="0" applyFill="0" applyAlignment="0" applyProtection="0"/>
    <xf numFmtId="0" fontId="2" fillId="0" borderId="0" applyFont="0" applyFill="0" applyAlignment="0" applyProtection="0"/>
    <xf numFmtId="0" fontId="106" fillId="0" borderId="33"/>
    <xf numFmtId="3" fontId="139" fillId="0" borderId="0" applyNumberFormat="0" applyFont="0" applyFill="0" applyBorder="0" applyAlignment="0" applyProtection="0">
      <alignment horizontal="left"/>
    </xf>
    <xf numFmtId="2" fontId="2" fillId="0" borderId="0" applyFont="0" applyFill="0" applyBorder="0" applyAlignment="0" applyProtection="0"/>
    <xf numFmtId="270" fontId="2" fillId="0" borderId="0" applyFont="0" applyFill="0" applyAlignment="0"/>
    <xf numFmtId="0" fontId="3" fillId="0" borderId="30" applyFont="0" applyFill="0" applyBorder="0" applyAlignment="0" applyProtection="0"/>
    <xf numFmtId="0" fontId="3" fillId="0" borderId="30" applyFont="0" applyFill="0" applyBorder="0" applyAlignment="0" applyProtection="0"/>
    <xf numFmtId="0" fontId="140" fillId="0" borderId="0" applyFill="0" applyBorder="0" applyProtection="0">
      <alignment horizontal="left"/>
    </xf>
    <xf numFmtId="0" fontId="125" fillId="66" borderId="0">
      <alignment horizontal="right" vertical="center"/>
    </xf>
    <xf numFmtId="0" fontId="141" fillId="0" borderId="0"/>
    <xf numFmtId="0" fontId="3" fillId="0" borderId="0">
      <protection hidden="1"/>
    </xf>
    <xf numFmtId="0" fontId="142" fillId="0" borderId="0" applyNumberFormat="0" applyFill="0" applyBorder="0" applyAlignment="0" applyProtection="0"/>
    <xf numFmtId="271" fontId="2" fillId="0" borderId="0" applyAlignment="0">
      <alignment horizontal="right"/>
    </xf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143" fillId="6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143" fillId="6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0" fontId="51" fillId="7" borderId="0" applyNumberFormat="0" applyBorder="0" applyAlignment="0" applyProtection="0"/>
    <xf numFmtId="38" fontId="3" fillId="12" borderId="0" applyNumberFormat="0" applyBorder="0" applyAlignment="0" applyProtection="0"/>
    <xf numFmtId="0" fontId="144" fillId="0" borderId="0">
      <protection hidden="1"/>
    </xf>
    <xf numFmtId="0" fontId="2" fillId="0" borderId="0" applyFont="0" applyFill="0" applyBorder="0" applyAlignment="0" applyProtection="0">
      <alignment horizontal="right"/>
    </xf>
    <xf numFmtId="0" fontId="2" fillId="0" borderId="0" applyNumberFormat="0" applyFill="0" applyBorder="0" applyAlignment="0" applyProtection="0"/>
    <xf numFmtId="0" fontId="145" fillId="0" borderId="0" applyProtection="0">
      <alignment horizontal="right"/>
    </xf>
    <xf numFmtId="237" fontId="146" fillId="0" borderId="68">
      <alignment vertical="center"/>
    </xf>
    <xf numFmtId="237" fontId="147" fillId="6" borderId="69">
      <alignment horizontal="left" vertical="center" indent="1"/>
    </xf>
    <xf numFmtId="0" fontId="32" fillId="0" borderId="34" applyNumberFormat="0" applyAlignment="0" applyProtection="0">
      <alignment horizontal="left" vertical="center"/>
    </xf>
    <xf numFmtId="0" fontId="32" fillId="0" borderId="18">
      <alignment horizontal="left" vertical="center"/>
    </xf>
    <xf numFmtId="0" fontId="146" fillId="0" borderId="70" applyNumberFormat="0" applyFill="0">
      <alignment horizontal="center" vertical="top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8" fillId="3" borderId="71" applyNumberFormat="0">
      <alignment horizontal="left" vertical="center" indent="1"/>
    </xf>
    <xf numFmtId="0" fontId="149" fillId="2" borderId="0" applyNumberFormat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2" fillId="0" borderId="37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52" fillId="0" borderId="3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52" fillId="0" borderId="3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52" fillId="0" borderId="3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50" fillId="0" borderId="72" applyNumberFormat="0" applyFill="0" applyAlignment="0" applyProtection="0"/>
    <xf numFmtId="0" fontId="52" fillId="0" borderId="3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0" fillId="0" borderId="72" applyNumberFormat="0" applyFill="0" applyAlignment="0" applyProtection="0"/>
    <xf numFmtId="0" fontId="151" fillId="0" borderId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5" fillId="0" borderId="38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53" fillId="0" borderId="4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53" fillId="0" borderId="4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53" fillId="0" borderId="4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3" fillId="0" borderId="73" applyNumberFormat="0" applyFill="0" applyAlignment="0" applyProtection="0"/>
    <xf numFmtId="0" fontId="53" fillId="0" borderId="4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3" fillId="0" borderId="73" applyNumberFormat="0" applyFill="0" applyAlignment="0" applyProtection="0"/>
    <xf numFmtId="0" fontId="154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8" fillId="0" borderId="39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54" fillId="0" borderId="5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54" fillId="0" borderId="5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54" fillId="0" borderId="5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74" applyNumberFormat="0" applyFill="0" applyAlignment="0" applyProtection="0"/>
    <xf numFmtId="0" fontId="54" fillId="0" borderId="5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6" fillId="0" borderId="74" applyNumberFormat="0" applyFill="0" applyAlignment="0" applyProtection="0"/>
    <xf numFmtId="0" fontId="157" fillId="0" borderId="0" applyProtection="0">
      <alignment horizontal="left"/>
    </xf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8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56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9" fillId="0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49" fillId="2" borderId="0" applyNumberFormat="0" applyAlignment="0" applyProtection="0"/>
    <xf numFmtId="0" fontId="160" fillId="0" borderId="0" applyNumberFormat="0">
      <protection locked="0"/>
    </xf>
    <xf numFmtId="171" fontId="3" fillId="0" borderId="33">
      <alignment horizontal="right" vertical="center"/>
    </xf>
    <xf numFmtId="272" fontId="24" fillId="0" borderId="0">
      <protection locked="0"/>
    </xf>
    <xf numFmtId="273" fontId="32" fillId="0" borderId="0"/>
    <xf numFmtId="272" fontId="24" fillId="0" borderId="0">
      <protection locked="0"/>
    </xf>
    <xf numFmtId="0" fontId="24" fillId="0" borderId="0"/>
    <xf numFmtId="0" fontId="2" fillId="0" borderId="11">
      <alignment horizontal="center"/>
    </xf>
    <xf numFmtId="0" fontId="161" fillId="0" borderId="11">
      <alignment horizontal="center"/>
    </xf>
    <xf numFmtId="0" fontId="2" fillId="0" borderId="0">
      <alignment horizontal="center"/>
    </xf>
    <xf numFmtId="0" fontId="161" fillId="0" borderId="0">
      <alignment horizontal="center"/>
    </xf>
    <xf numFmtId="0" fontId="162" fillId="0" borderId="0">
      <alignment vertical="center"/>
    </xf>
    <xf numFmtId="0" fontId="162" fillId="0" borderId="0"/>
    <xf numFmtId="0" fontId="122" fillId="0" borderId="0"/>
    <xf numFmtId="3" fontId="41" fillId="0" borderId="0">
      <protection hidden="1"/>
    </xf>
    <xf numFmtId="0" fontId="163" fillId="0" borderId="75" applyNumberFormat="0" applyFill="0" applyAlignment="0" applyProtection="0"/>
    <xf numFmtId="0" fontId="106" fillId="2" borderId="76">
      <alignment horizontal="left" vertical="center" wrapText="1"/>
    </xf>
    <xf numFmtId="0" fontId="15" fillId="0" borderId="77" applyNumberFormat="0" applyAlignment="0"/>
    <xf numFmtId="0" fontId="164" fillId="0" borderId="0"/>
    <xf numFmtId="9" fontId="165" fillId="0" borderId="54"/>
    <xf numFmtId="0" fontId="165" fillId="0" borderId="54"/>
    <xf numFmtId="10" fontId="165" fillId="0" borderId="54"/>
    <xf numFmtId="0" fontId="165" fillId="0" borderId="54"/>
    <xf numFmtId="4" fontId="165" fillId="0" borderId="54"/>
    <xf numFmtId="10" fontId="3" fillId="8" borderId="30" applyNumberFormat="0" applyBorder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66" fillId="4" borderId="35" applyNumberFormat="0" applyAlignment="0" applyProtection="0"/>
    <xf numFmtId="0" fontId="166" fillId="4" borderId="35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113" fillId="0" borderId="0" applyAlignment="0">
      <protection locked="0"/>
    </xf>
    <xf numFmtId="274" fontId="3" fillId="68" borderId="0"/>
    <xf numFmtId="14" fontId="167" fillId="0" borderId="0">
      <alignment horizontal="center"/>
      <protection locked="0"/>
    </xf>
    <xf numFmtId="8" fontId="3" fillId="0" borderId="0"/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2" fillId="2" borderId="0">
      <protection locked="0"/>
    </xf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2" fillId="2" borderId="0"/>
    <xf numFmtId="275" fontId="3" fillId="0" borderId="0"/>
    <xf numFmtId="276" fontId="3" fillId="0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/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>
      <protection locked="0"/>
    </xf>
    <xf numFmtId="3" fontId="122" fillId="2" borderId="0"/>
    <xf numFmtId="275" fontId="168" fillId="8" borderId="0" applyNumberFormat="0" applyBorder="0" applyAlignment="0">
      <protection locked="0"/>
    </xf>
    <xf numFmtId="277" fontId="5" fillId="8" borderId="78">
      <alignment horizontal="center"/>
      <protection locked="0"/>
    </xf>
    <xf numFmtId="37" fontId="5" fillId="8" borderId="78">
      <alignment horizontal="right"/>
      <protection locked="0"/>
    </xf>
    <xf numFmtId="9" fontId="169" fillId="8" borderId="78">
      <alignment horizontal="right"/>
      <protection locked="0"/>
    </xf>
    <xf numFmtId="37" fontId="38" fillId="0" borderId="78">
      <alignment horizontal="right"/>
    </xf>
    <xf numFmtId="167" fontId="3" fillId="0" borderId="78">
      <alignment horizontal="right"/>
    </xf>
    <xf numFmtId="0" fontId="170" fillId="0" borderId="0"/>
    <xf numFmtId="278" fontId="2" fillId="0" borderId="0">
      <alignment horizontal="right"/>
    </xf>
    <xf numFmtId="1" fontId="171" fillId="1" borderId="65">
      <protection locked="0"/>
    </xf>
    <xf numFmtId="275" fontId="172" fillId="0" borderId="0" applyNumberFormat="0" applyFill="0" applyBorder="0" applyAlignment="0" applyProtection="0"/>
    <xf numFmtId="0" fontId="173" fillId="0" borderId="0" applyNumberFormat="0" applyFill="0" applyBorder="0" applyAlignment="0" applyProtection="0">
      <alignment vertical="top"/>
      <protection locked="0"/>
    </xf>
    <xf numFmtId="41" fontId="42" fillId="61" borderId="0">
      <alignment horizontal="left"/>
    </xf>
    <xf numFmtId="41" fontId="14" fillId="3" borderId="0">
      <alignment horizontal="left"/>
    </xf>
    <xf numFmtId="266" fontId="2" fillId="0" borderId="0" applyFill="0" applyBorder="0" applyAlignment="0"/>
    <xf numFmtId="247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246" fontId="2" fillId="0" borderId="0" applyFill="0" applyBorder="0" applyAlignment="0"/>
    <xf numFmtId="247" fontId="31" fillId="0" borderId="0" applyFill="0" applyBorder="0" applyAlignment="0"/>
    <xf numFmtId="0" fontId="2" fillId="0" borderId="0" applyFill="0" applyBorder="0" applyAlignment="0"/>
    <xf numFmtId="248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37" fontId="174" fillId="0" borderId="0" applyNumberFormat="0" applyFill="0" applyBorder="0" applyAlignment="0" applyProtection="0">
      <alignment horizontal="right"/>
    </xf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6" fillId="0" borderId="40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56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56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56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56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175" fillId="0" borderId="6" applyNumberFormat="0" applyFill="0" applyAlignment="0" applyProtection="0"/>
    <xf numFmtId="0" fontId="56" fillId="0" borderId="6" applyNumberFormat="0" applyFill="0" applyAlignment="0" applyProtection="0"/>
    <xf numFmtId="274" fontId="3" fillId="61" borderId="0"/>
    <xf numFmtId="0" fontId="125" fillId="6" borderId="0">
      <alignment horizontal="right" vertical="center"/>
    </xf>
    <xf numFmtId="279" fontId="2" fillId="0" borderId="0" applyAlignment="0">
      <alignment horizontal="right"/>
    </xf>
    <xf numFmtId="280" fontId="2" fillId="0" borderId="0" applyFont="0" applyFill="0" applyBorder="0" applyAlignment="0" applyProtection="0"/>
    <xf numFmtId="281" fontId="2" fillId="0" borderId="0" applyFont="0" applyFill="0" applyBorder="0" applyAlignment="0" applyProtection="0"/>
    <xf numFmtId="169" fontId="3" fillId="0" borderId="0" applyFont="0" applyFill="0" applyBorder="0" applyAlignment="0" applyProtection="0"/>
    <xf numFmtId="282" fontId="3" fillId="0" borderId="0" applyFont="0" applyFill="0" applyBorder="0" applyAlignment="0" applyProtection="0"/>
    <xf numFmtId="17" fontId="2" fillId="0" borderId="0" applyFont="0" applyFill="0" applyBorder="0" applyAlignment="0" applyProtection="0"/>
    <xf numFmtId="283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5" fontId="3" fillId="0" borderId="0" applyFont="0" applyFill="0" applyBorder="0" applyAlignment="0" applyProtection="0"/>
    <xf numFmtId="275" fontId="3" fillId="0" borderId="0" applyFont="0" applyFill="0" applyBorder="0" applyAlignment="0" applyProtection="0"/>
    <xf numFmtId="0" fontId="2" fillId="0" borderId="0"/>
    <xf numFmtId="0" fontId="25" fillId="0" borderId="28" applyNumberFormat="0">
      <alignment horizontal="left"/>
    </xf>
    <xf numFmtId="0" fontId="177" fillId="0" borderId="0" applyFont="0" applyFill="0" applyBorder="0" applyProtection="0">
      <alignment horizontal="right"/>
    </xf>
    <xf numFmtId="49" fontId="178" fillId="63" borderId="0">
      <alignment horizontal="centerContinuous" vertical="center"/>
    </xf>
    <xf numFmtId="286" fontId="3" fillId="12" borderId="0" applyFont="0" applyBorder="0" applyAlignment="0" applyProtection="0">
      <alignment horizontal="right"/>
      <protection hidden="1"/>
    </xf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80" fillId="69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57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80" fillId="69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57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57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57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179" fillId="2" borderId="0" applyNumberFormat="0" applyBorder="0" applyAlignment="0" applyProtection="0"/>
    <xf numFmtId="0" fontId="57" fillId="2" borderId="0" applyNumberFormat="0" applyBorder="0" applyAlignment="0" applyProtection="0"/>
    <xf numFmtId="0" fontId="42" fillId="56" borderId="55">
      <alignment horizontal="center" wrapText="1"/>
    </xf>
    <xf numFmtId="0" fontId="113" fillId="0" borderId="0"/>
    <xf numFmtId="0" fontId="181" fillId="46" borderId="0"/>
    <xf numFmtId="0" fontId="42" fillId="70" borderId="0"/>
    <xf numFmtId="0" fontId="42" fillId="70" borderId="0"/>
    <xf numFmtId="0" fontId="182" fillId="0" borderId="0"/>
    <xf numFmtId="37" fontId="183" fillId="0" borderId="0"/>
    <xf numFmtId="287" fontId="2" fillId="0" borderId="0"/>
    <xf numFmtId="0" fontId="184" fillId="12" borderId="0">
      <alignment horizontal="left" indent="1"/>
    </xf>
    <xf numFmtId="0" fontId="78" fillId="0" borderId="0"/>
    <xf numFmtId="288" fontId="113" fillId="0" borderId="0"/>
    <xf numFmtId="14" fontId="1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38" fontId="3" fillId="0" borderId="30" applyFont="0" applyFill="0" applyBorder="0" applyAlignment="0" applyProtection="0"/>
    <xf numFmtId="289" fontId="2" fillId="0" borderId="0" applyFont="0" applyFill="0" applyAlignment="0"/>
    <xf numFmtId="263" fontId="2" fillId="0" borderId="0" applyFont="0" applyFill="0" applyAlignment="0"/>
    <xf numFmtId="290" fontId="2" fillId="0" borderId="0" applyFont="0" applyFill="0" applyAlignment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2" fillId="0" borderId="0"/>
    <xf numFmtId="4" fontId="38" fillId="3" borderId="31">
      <alignment horizontal="left" vertical="center" indent="2"/>
    </xf>
    <xf numFmtId="0" fontId="2" fillId="0" borderId="0"/>
    <xf numFmtId="4" fontId="38" fillId="3" borderId="31">
      <alignment horizontal="left" vertical="center" indent="2"/>
    </xf>
    <xf numFmtId="0" fontId="2" fillId="0" borderId="0"/>
    <xf numFmtId="4" fontId="38" fillId="3" borderId="31">
      <alignment horizontal="left" vertical="center" indent="2"/>
    </xf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2" fillId="0" borderId="0"/>
    <xf numFmtId="0" fontId="2" fillId="0" borderId="0"/>
    <xf numFmtId="249" fontId="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1" fillId="0" borderId="0"/>
    <xf numFmtId="0" fontId="1" fillId="0" borderId="0"/>
    <xf numFmtId="4" fontId="38" fillId="3" borderId="31">
      <alignment horizontal="left" vertical="center" indent="2"/>
    </xf>
    <xf numFmtId="0" fontId="1" fillId="0" borderId="0"/>
    <xf numFmtId="0" fontId="1" fillId="0" borderId="0"/>
    <xf numFmtId="4" fontId="38" fillId="3" borderId="31">
      <alignment horizontal="left" vertical="center" indent="2"/>
    </xf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1" fillId="0" borderId="0"/>
    <xf numFmtId="0" fontId="1" fillId="0" borderId="0"/>
    <xf numFmtId="4" fontId="38" fillId="3" borderId="31">
      <alignment horizontal="left" vertical="center" indent="2"/>
    </xf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2" fillId="0" borderId="0"/>
    <xf numFmtId="249" fontId="6" fillId="0" borderId="0"/>
    <xf numFmtId="0" fontId="2" fillId="0" borderId="0"/>
    <xf numFmtId="0" fontId="2" fillId="0" borderId="0"/>
    <xf numFmtId="0" fontId="2" fillId="0" borderId="0"/>
    <xf numFmtId="4" fontId="38" fillId="3" borderId="31">
      <alignment horizontal="left" vertical="center" indent="2"/>
    </xf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9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49" fontId="2" fillId="0" borderId="0"/>
    <xf numFmtId="0" fontId="2" fillId="0" borderId="0"/>
    <xf numFmtId="249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5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2" fillId="0" borderId="0">
      <alignment vertical="center"/>
    </xf>
    <xf numFmtId="0" fontId="2" fillId="0" borderId="0"/>
    <xf numFmtId="0" fontId="1" fillId="0" borderId="0"/>
    <xf numFmtId="0" fontId="1" fillId="0" borderId="0"/>
    <xf numFmtId="0" fontId="2" fillId="0" borderId="0" applyNumberFormat="0" applyFill="0" applyAlignment="0" applyProtection="0"/>
    <xf numFmtId="291" fontId="6" fillId="0" borderId="0" applyFont="0" applyFill="0" applyBorder="0" applyAlignment="0" applyProtection="0"/>
    <xf numFmtId="292" fontId="6" fillId="0" borderId="0" applyFont="0" applyFill="0" applyBorder="0" applyAlignment="0" applyProtection="0"/>
    <xf numFmtId="293" fontId="2" fillId="0" borderId="0" applyFont="0" applyFill="0" applyAlignment="0" applyProtection="0"/>
    <xf numFmtId="294" fontId="6" fillId="0" borderId="0" applyFont="0" applyFill="0" applyBorder="0" applyAlignment="0" applyProtection="0"/>
    <xf numFmtId="295" fontId="6" fillId="0" borderId="0" applyFont="0" applyFill="0" applyBorder="0" applyAlignment="0" applyProtection="0"/>
    <xf numFmtId="0" fontId="186" fillId="0" borderId="0"/>
    <xf numFmtId="0" fontId="24" fillId="12" borderId="18" applyNumberFormat="0" applyFont="0" applyFill="0">
      <alignment horizontal="center"/>
    </xf>
    <xf numFmtId="14" fontId="2" fillId="0" borderId="0">
      <alignment horizontal="center"/>
    </xf>
    <xf numFmtId="0" fontId="187" fillId="0" borderId="0"/>
    <xf numFmtId="0" fontId="188" fillId="0" borderId="0"/>
    <xf numFmtId="0" fontId="2" fillId="0" borderId="0">
      <alignment horizontal="left"/>
      <protection locked="0"/>
    </xf>
    <xf numFmtId="0" fontId="2" fillId="0" borderId="15">
      <protection locked="0"/>
    </xf>
    <xf numFmtId="0" fontId="2" fillId="0" borderId="14">
      <protection locked="0"/>
    </xf>
    <xf numFmtId="0" fontId="2" fillId="0" borderId="10">
      <protection locked="0"/>
    </xf>
    <xf numFmtId="0" fontId="2" fillId="0" borderId="33"/>
    <xf numFmtId="37" fontId="189" fillId="0" borderId="0" applyNumberFormat="0" applyFont="0" applyFill="0" applyBorder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90" fillId="8" borderId="41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90" fillId="8" borderId="41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1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1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2" fillId="8" borderId="7" applyNumberFormat="0" applyFont="0" applyAlignment="0" applyProtection="0"/>
    <xf numFmtId="0" fontId="190" fillId="0" borderId="23"/>
    <xf numFmtId="296" fontId="3" fillId="0" borderId="0" applyFont="0" applyFill="0" applyBorder="0" applyAlignment="0" applyProtection="0"/>
    <xf numFmtId="37" fontId="2" fillId="0" borderId="0"/>
    <xf numFmtId="297" fontId="191" fillId="0" borderId="0" applyFill="0" applyBorder="0" applyAlignment="0" applyProtection="0"/>
    <xf numFmtId="0" fontId="2" fillId="0" borderId="0"/>
    <xf numFmtId="0" fontId="2" fillId="0" borderId="0"/>
    <xf numFmtId="37" fontId="2" fillId="0" borderId="14"/>
    <xf numFmtId="0" fontId="192" fillId="0" borderId="0"/>
    <xf numFmtId="298" fontId="3" fillId="0" borderId="0" applyFont="0" applyFill="0" applyBorder="0" applyAlignment="0" applyProtection="0"/>
    <xf numFmtId="0" fontId="193" fillId="12" borderId="7">
      <alignment vertical="center"/>
    </xf>
    <xf numFmtId="20" fontId="194" fillId="0" borderId="79">
      <alignment horizontal="center" vertical="top" wrapText="1"/>
      <protection locked="0"/>
    </xf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195" fillId="58" borderId="42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12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195" fillId="58" borderId="42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12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12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12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3" borderId="8" applyNumberFormat="0" applyAlignment="0" applyProtection="0"/>
    <xf numFmtId="0" fontId="58" fillId="12" borderId="8" applyNumberFormat="0" applyAlignment="0" applyProtection="0"/>
    <xf numFmtId="40" fontId="196" fillId="3" borderId="0">
      <alignment horizontal="right"/>
    </xf>
    <xf numFmtId="0" fontId="197" fillId="15" borderId="0">
      <alignment horizontal="center"/>
    </xf>
    <xf numFmtId="0" fontId="198" fillId="3" borderId="32"/>
    <xf numFmtId="0" fontId="199" fillId="3" borderId="0" applyBorder="0">
      <alignment horizontal="centerContinuous"/>
    </xf>
    <xf numFmtId="0" fontId="200" fillId="71" borderId="0" applyBorder="0">
      <alignment horizontal="centerContinuous"/>
    </xf>
    <xf numFmtId="3" fontId="24" fillId="28" borderId="30" applyNumberFormat="0" applyAlignment="0">
      <alignment horizontal="center"/>
      <protection locked="0"/>
    </xf>
    <xf numFmtId="0" fontId="201" fillId="0" borderId="0" applyFill="0" applyBorder="0" applyProtection="0">
      <alignment horizontal="left"/>
    </xf>
    <xf numFmtId="0" fontId="202" fillId="0" borderId="0" applyFill="0" applyBorder="0" applyProtection="0">
      <alignment horizontal="left"/>
    </xf>
    <xf numFmtId="1" fontId="203" fillId="0" borderId="0" applyProtection="0">
      <alignment horizontal="right" vertical="center"/>
    </xf>
    <xf numFmtId="0" fontId="204" fillId="3" borderId="0"/>
    <xf numFmtId="0" fontId="2" fillId="0" borderId="0" applyFont="0" applyFill="0" applyAlignment="0" applyProtection="0"/>
    <xf numFmtId="0" fontId="2" fillId="0" borderId="0" applyFont="0" applyFill="0" applyAlignment="0" applyProtection="0"/>
    <xf numFmtId="14" fontId="77" fillId="0" borderId="0">
      <alignment horizontal="center" wrapText="1"/>
      <protection locked="0"/>
    </xf>
    <xf numFmtId="232" fontId="109" fillId="0" borderId="0" applyFont="0" applyFill="0" applyBorder="0" applyAlignment="0" applyProtection="0"/>
    <xf numFmtId="299" fontId="2" fillId="0" borderId="0" applyFont="0" applyFill="0" applyAlignment="0"/>
    <xf numFmtId="300" fontId="2" fillId="0" borderId="0" applyFont="0" applyFill="0" applyBorder="0" applyAlignment="0" applyProtection="0"/>
    <xf numFmtId="301" fontId="31" fillId="0" borderId="0" applyFont="0" applyFill="0" applyBorder="0" applyAlignment="0" applyProtection="0"/>
    <xf numFmtId="302" fontId="2" fillId="0" borderId="0" applyFont="0" applyFill="0" applyAlignment="0"/>
    <xf numFmtId="10" fontId="2" fillId="0" borderId="0" applyFont="0" applyFill="0" applyBorder="0" applyAlignment="0" applyProtection="0"/>
    <xf numFmtId="3" fontId="122" fillId="0" borderId="0"/>
    <xf numFmtId="303" fontId="81" fillId="0" borderId="0">
      <protection hidden="1"/>
    </xf>
    <xf numFmtId="3" fontId="12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7" fillId="0" borderId="0" applyFont="0" applyFill="0" applyBorder="0" applyProtection="0">
      <alignment horizontal="right"/>
    </xf>
    <xf numFmtId="9" fontId="2" fillId="0" borderId="0"/>
    <xf numFmtId="10" fontId="2" fillId="0" borderId="0"/>
    <xf numFmtId="10" fontId="3" fillId="0" borderId="0"/>
    <xf numFmtId="0" fontId="205" fillId="2" borderId="62">
      <alignment horizontal="center" vertical="center"/>
    </xf>
    <xf numFmtId="304" fontId="3" fillId="0" borderId="0" applyFont="0" applyFill="0" applyBorder="0" applyAlignment="0" applyProtection="0"/>
    <xf numFmtId="0" fontId="2" fillId="0" borderId="0">
      <protection locked="0"/>
    </xf>
    <xf numFmtId="0" fontId="206" fillId="0" borderId="0">
      <protection locked="0"/>
    </xf>
    <xf numFmtId="0" fontId="2" fillId="0" borderId="0">
      <protection locked="0"/>
    </xf>
    <xf numFmtId="0" fontId="24" fillId="0" borderId="0">
      <protection locked="0"/>
    </xf>
    <xf numFmtId="0" fontId="2" fillId="0" borderId="0"/>
    <xf numFmtId="305" fontId="2" fillId="0" borderId="0" applyFont="0" applyFill="0" applyBorder="0" applyAlignment="0" applyProtection="0"/>
    <xf numFmtId="266" fontId="2" fillId="0" borderId="0" applyFill="0" applyBorder="0" applyAlignment="0"/>
    <xf numFmtId="247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246" fontId="2" fillId="0" borderId="0" applyFill="0" applyBorder="0" applyAlignment="0"/>
    <xf numFmtId="247" fontId="31" fillId="0" borderId="0" applyFill="0" applyBorder="0" applyAlignment="0"/>
    <xf numFmtId="0" fontId="2" fillId="0" borderId="0" applyFill="0" applyBorder="0" applyAlignment="0"/>
    <xf numFmtId="248" fontId="31" fillId="0" borderId="0" applyFill="0" applyBorder="0" applyAlignment="0"/>
    <xf numFmtId="241" fontId="2" fillId="0" borderId="0" applyFill="0" applyBorder="0" applyAlignment="0"/>
    <xf numFmtId="242" fontId="31" fillId="0" borderId="0" applyFill="0" applyBorder="0" applyAlignment="0"/>
    <xf numFmtId="0" fontId="207" fillId="0" borderId="0" applyNumberFormat="0" applyFill="0" applyBorder="0" applyAlignment="0" applyProtection="0"/>
    <xf numFmtId="5" fontId="208" fillId="0" borderId="0"/>
    <xf numFmtId="239" fontId="209" fillId="0" borderId="0"/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0" fontId="210" fillId="5" borderId="0">
      <alignment horizontal="left" indent="1"/>
    </xf>
    <xf numFmtId="9" fontId="211" fillId="0" borderId="64"/>
    <xf numFmtId="9" fontId="211" fillId="0" borderId="64"/>
    <xf numFmtId="3" fontId="134" fillId="0" borderId="0">
      <protection locked="0"/>
    </xf>
    <xf numFmtId="0" fontId="25" fillId="0" borderId="0" applyNumberFormat="0" applyFont="0" applyFill="0" applyBorder="0" applyAlignment="0" applyProtection="0">
      <alignment horizontal="left"/>
    </xf>
    <xf numFmtId="15" fontId="25" fillId="0" borderId="0" applyFont="0" applyFill="0" applyBorder="0" applyAlignment="0" applyProtection="0"/>
    <xf numFmtId="4" fontId="25" fillId="0" borderId="0" applyFont="0" applyFill="0" applyBorder="0" applyAlignment="0" applyProtection="0"/>
    <xf numFmtId="0" fontId="107" fillId="0" borderId="11">
      <alignment horizontal="center"/>
    </xf>
    <xf numFmtId="3" fontId="25" fillId="0" borderId="0" applyFont="0" applyFill="0" applyBorder="0" applyAlignment="0" applyProtection="0"/>
    <xf numFmtId="0" fontId="25" fillId="72" borderId="0" applyNumberFormat="0" applyFont="0" applyBorder="0" applyAlignment="0" applyProtection="0"/>
    <xf numFmtId="275" fontId="59" fillId="0" borderId="0" applyNumberFormat="0" applyFill="0" applyBorder="0" applyAlignment="0" applyProtection="0">
      <alignment horizontal="left"/>
    </xf>
    <xf numFmtId="0" fontId="212" fillId="0" borderId="16" applyNumberFormat="0" applyFill="0" applyBorder="0" applyAlignment="0" applyProtection="0">
      <alignment horizontal="center"/>
    </xf>
    <xf numFmtId="3" fontId="213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0" fontId="211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4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13" fillId="12" borderId="0"/>
    <xf numFmtId="3" fontId="2" fillId="12" borderId="0"/>
    <xf numFmtId="0" fontId="214" fillId="73" borderId="0" applyNumberFormat="0" applyFont="0" applyBorder="0" applyAlignment="0">
      <alignment horizontal="center"/>
    </xf>
    <xf numFmtId="41" fontId="14" fillId="2" borderId="0">
      <alignment horizontal="center"/>
    </xf>
    <xf numFmtId="49" fontId="60" fillId="3" borderId="0">
      <alignment horizontal="center"/>
    </xf>
    <xf numFmtId="306" fontId="215" fillId="0" borderId="0" applyNumberFormat="0" applyFill="0" applyBorder="0" applyAlignment="0" applyProtection="0">
      <alignment horizontal="left"/>
    </xf>
    <xf numFmtId="306" fontId="216" fillId="0" borderId="0" applyNumberFormat="0" applyFill="0" applyBorder="0" applyAlignment="0" applyProtection="0">
      <alignment horizontal="left"/>
    </xf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0" fontId="217" fillId="3" borderId="0" applyFont="0" applyFill="0" applyAlignment="0"/>
    <xf numFmtId="37" fontId="24" fillId="5" borderId="0" applyBorder="0" applyAlignment="0" applyProtection="0"/>
    <xf numFmtId="37" fontId="3" fillId="0" borderId="0" applyNumberFormat="0" applyFont="0" applyFill="0" applyBorder="0" applyAlignment="0" applyProtection="0"/>
    <xf numFmtId="37" fontId="3" fillId="0" borderId="0" applyNumberFormat="0" applyFont="0" applyFill="0" applyBorder="0" applyAlignment="0" applyProtection="0"/>
    <xf numFmtId="37" fontId="3" fillId="0" borderId="0" applyNumberFormat="0" applyFont="0" applyFill="0" applyBorder="0" applyAlignment="0" applyProtection="0"/>
    <xf numFmtId="41" fontId="33" fillId="61" borderId="0">
      <alignment horizontal="center"/>
    </xf>
    <xf numFmtId="41" fontId="33" fillId="61" borderId="0">
      <alignment horizontal="centerContinuous"/>
    </xf>
    <xf numFmtId="41" fontId="11" fillId="3" borderId="0">
      <alignment horizontal="left"/>
    </xf>
    <xf numFmtId="49" fontId="11" fillId="3" borderId="0">
      <alignment horizontal="center"/>
    </xf>
    <xf numFmtId="41" fontId="42" fillId="61" borderId="0">
      <alignment horizontal="left"/>
    </xf>
    <xf numFmtId="49" fontId="11" fillId="3" borderId="0">
      <alignment horizontal="left"/>
    </xf>
    <xf numFmtId="41" fontId="42" fillId="61" borderId="0">
      <alignment horizontal="centerContinuous"/>
    </xf>
    <xf numFmtId="41" fontId="42" fillId="61" borderId="0">
      <alignment horizontal="right"/>
    </xf>
    <xf numFmtId="49" fontId="14" fillId="3" borderId="0">
      <alignment horizontal="left"/>
    </xf>
    <xf numFmtId="239" fontId="2" fillId="0" borderId="0"/>
    <xf numFmtId="41" fontId="33" fillId="61" borderId="0">
      <alignment horizontal="right"/>
    </xf>
    <xf numFmtId="0" fontId="117" fillId="0" borderId="0" applyNumberFormat="0" applyFill="0" applyBorder="0" applyAlignment="0" applyProtection="0">
      <alignment vertical="top"/>
    </xf>
    <xf numFmtId="0" fontId="218" fillId="12" borderId="27" applyNumberFormat="0" applyAlignment="0">
      <protection locked="0"/>
    </xf>
    <xf numFmtId="0" fontId="219" fillId="0" borderId="80">
      <alignment vertical="center"/>
    </xf>
    <xf numFmtId="41" fontId="11" fillId="4" borderId="0">
      <alignment horizontal="center"/>
    </xf>
    <xf numFmtId="41" fontId="5" fillId="4" borderId="0">
      <alignment horizontal="center"/>
    </xf>
    <xf numFmtId="0" fontId="220" fillId="74" borderId="0"/>
    <xf numFmtId="0" fontId="221" fillId="57" borderId="0" applyNumberFormat="0" applyBorder="0" applyAlignment="0" applyProtection="0"/>
    <xf numFmtId="0" fontId="113" fillId="70" borderId="0" applyNumberFormat="0" applyFont="0" applyBorder="0" applyAlignment="0" applyProtection="0"/>
    <xf numFmtId="0" fontId="214" fillId="1" borderId="18" applyNumberFormat="0" applyFont="0" applyAlignment="0">
      <alignment horizontal="center"/>
    </xf>
    <xf numFmtId="1" fontId="2" fillId="0" borderId="0"/>
    <xf numFmtId="0" fontId="222" fillId="0" borderId="81">
      <alignment horizontal="center" vertical="center"/>
    </xf>
    <xf numFmtId="235" fontId="223" fillId="64" borderId="0">
      <alignment horizontal="right"/>
    </xf>
    <xf numFmtId="169" fontId="108" fillId="0" borderId="0" applyFill="0" applyBorder="0" applyAlignment="0" applyProtection="0"/>
    <xf numFmtId="0" fontId="125" fillId="63" borderId="0">
      <alignment horizontal="right" vertical="center"/>
    </xf>
    <xf numFmtId="0" fontId="126" fillId="0" borderId="0" applyNumberFormat="0" applyFill="0" applyBorder="0" applyAlignment="0">
      <alignment horizontal="center"/>
    </xf>
    <xf numFmtId="0" fontId="224" fillId="0" borderId="0"/>
    <xf numFmtId="170" fontId="191" fillId="0" borderId="0"/>
    <xf numFmtId="0" fontId="225" fillId="0" borderId="26" applyProtection="0">
      <alignment horizontal="centerContinuous"/>
    </xf>
    <xf numFmtId="0" fontId="2" fillId="0" borderId="0"/>
    <xf numFmtId="0" fontId="2" fillId="0" borderId="0"/>
    <xf numFmtId="0" fontId="2" fillId="0" borderId="0">
      <alignment horizontal="left" wrapText="1"/>
    </xf>
    <xf numFmtId="37" fontId="3" fillId="0" borderId="82" applyBorder="0"/>
    <xf numFmtId="0" fontId="2" fillId="0" borderId="0">
      <alignment horizontal="left" wrapText="1"/>
    </xf>
    <xf numFmtId="37" fontId="3" fillId="0" borderId="82" applyBorder="0"/>
    <xf numFmtId="37" fontId="4" fillId="0" borderId="82" applyBorder="0"/>
    <xf numFmtId="37" fontId="2" fillId="0" borderId="82" applyBorder="0"/>
    <xf numFmtId="37" fontId="115" fillId="0" borderId="82" applyBorder="0"/>
    <xf numFmtId="37" fontId="45" fillId="15" borderId="83" applyBorder="0">
      <alignment vertical="center"/>
    </xf>
    <xf numFmtId="0" fontId="226" fillId="0" borderId="0"/>
    <xf numFmtId="0" fontId="24" fillId="0" borderId="0"/>
    <xf numFmtId="40" fontId="227" fillId="0" borderId="0" applyBorder="0">
      <alignment horizontal="right"/>
    </xf>
    <xf numFmtId="40" fontId="228" fillId="0" borderId="0" applyBorder="0">
      <alignment horizontal="right"/>
    </xf>
    <xf numFmtId="0" fontId="24" fillId="0" borderId="0" applyNumberFormat="0" applyFont="0"/>
    <xf numFmtId="0" fontId="162" fillId="0" borderId="0"/>
    <xf numFmtId="0" fontId="229" fillId="0" borderId="0"/>
    <xf numFmtId="0" fontId="30" fillId="0" borderId="0" applyFill="0" applyBorder="0" applyProtection="0">
      <alignment horizontal="center" vertical="center"/>
    </xf>
    <xf numFmtId="0" fontId="230" fillId="0" borderId="0" applyBorder="0" applyProtection="0">
      <alignment vertical="center"/>
    </xf>
    <xf numFmtId="0" fontId="2" fillId="0" borderId="33" applyBorder="0" applyProtection="0">
      <alignment horizontal="right" vertical="center"/>
    </xf>
    <xf numFmtId="0" fontId="231" fillId="75" borderId="0" applyBorder="0" applyProtection="0">
      <alignment horizontal="centerContinuous" vertical="center"/>
    </xf>
    <xf numFmtId="0" fontId="231" fillId="6" borderId="33" applyBorder="0" applyProtection="0">
      <alignment horizontal="centerContinuous" vertical="center"/>
    </xf>
    <xf numFmtId="0" fontId="232" fillId="0" borderId="0"/>
    <xf numFmtId="0" fontId="30" fillId="0" borderId="0" applyFill="0" applyBorder="0" applyProtection="0"/>
    <xf numFmtId="0" fontId="187" fillId="0" borderId="0"/>
    <xf numFmtId="0" fontId="24" fillId="0" borderId="0" applyFill="0" applyBorder="0" applyProtection="0">
      <alignment horizontal="left"/>
    </xf>
    <xf numFmtId="0" fontId="233" fillId="0" borderId="0" applyFill="0" applyBorder="0" applyProtection="0">
      <alignment horizontal="left" vertical="top"/>
    </xf>
    <xf numFmtId="0" fontId="212" fillId="0" borderId="0">
      <alignment horizontal="centerContinuous"/>
    </xf>
    <xf numFmtId="2" fontId="122" fillId="0" borderId="0"/>
    <xf numFmtId="0" fontId="2" fillId="0" borderId="0" applyNumberFormat="0" applyFont="0" applyAlignment="0" applyProtection="0"/>
    <xf numFmtId="0" fontId="2" fillId="0" borderId="0"/>
    <xf numFmtId="307" fontId="2" fillId="0" borderId="30" applyFont="0" applyFill="0" applyBorder="0" applyAlignment="0" applyProtection="0">
      <protection locked="0" hidden="1"/>
    </xf>
    <xf numFmtId="0" fontId="106" fillId="0" borderId="76">
      <alignment horizontal="left" vertical="top" wrapText="1"/>
    </xf>
    <xf numFmtId="0" fontId="234" fillId="5" borderId="0">
      <alignment horizontal="left" vertical="center" indent="1"/>
    </xf>
    <xf numFmtId="0" fontId="235" fillId="0" borderId="0"/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4" fillId="5" borderId="0">
      <alignment horizontal="left" vertical="center" indent="1"/>
    </xf>
    <xf numFmtId="0" fontId="236" fillId="0" borderId="0"/>
    <xf numFmtId="49" fontId="6" fillId="0" borderId="0" applyFill="0" applyBorder="0" applyAlignment="0"/>
    <xf numFmtId="266" fontId="25" fillId="0" borderId="0" applyFill="0" applyBorder="0" applyAlignment="0"/>
    <xf numFmtId="308" fontId="31" fillId="0" borderId="0" applyFill="0" applyBorder="0" applyAlignment="0"/>
    <xf numFmtId="309" fontId="2" fillId="0" borderId="0" applyFill="0" applyBorder="0" applyAlignment="0"/>
    <xf numFmtId="310" fontId="31" fillId="0" borderId="0" applyFill="0" applyBorder="0" applyAlignment="0"/>
    <xf numFmtId="0" fontId="4" fillId="64" borderId="0"/>
    <xf numFmtId="0" fontId="3" fillId="64" borderId="0">
      <alignment horizontal="left"/>
    </xf>
    <xf numFmtId="0" fontId="3" fillId="64" borderId="0">
      <alignment horizontal="left" indent="1"/>
    </xf>
    <xf numFmtId="0" fontId="3" fillId="64" borderId="0">
      <alignment horizontal="left" vertical="center" indent="2"/>
    </xf>
    <xf numFmtId="0" fontId="79" fillId="0" borderId="0">
      <alignment horizontal="centerContinuous" wrapText="1"/>
    </xf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ont="0" applyFill="0" applyBorder="0" applyAlignment="0" applyProtection="0"/>
    <xf numFmtId="313" fontId="237" fillId="0" borderId="0">
      <alignment horizontal="right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18" applyNumberFormat="0" applyBorder="0" applyAlignment="0">
      <alignment horizontal="left"/>
    </xf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314" fontId="238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44" fontId="113" fillId="0" borderId="0" applyFont="0" applyFill="0" applyBorder="0" applyAlignment="0" applyProtection="0"/>
    <xf numFmtId="42" fontId="113" fillId="0" borderId="0" applyFont="0" applyFill="0" applyBorder="0" applyAlignment="0" applyProtection="0"/>
    <xf numFmtId="315" fontId="81" fillId="0" borderId="0" applyFont="0" applyFill="0" applyBorder="0" applyAlignment="0" applyProtection="0"/>
    <xf numFmtId="316" fontId="8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Alignment="0" applyProtection="0"/>
    <xf numFmtId="0" fontId="239" fillId="0" borderId="0"/>
    <xf numFmtId="0" fontId="25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0" fontId="25" fillId="0" borderId="0"/>
    <xf numFmtId="0" fontId="25" fillId="0" borderId="0"/>
    <xf numFmtId="2" fontId="25" fillId="0" borderId="0"/>
    <xf numFmtId="1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76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0" fontId="240" fillId="0" borderId="0" applyFont="0" applyFill="0" applyBorder="0" applyAlignment="0" applyProtection="0"/>
    <xf numFmtId="37" fontId="241" fillId="0" borderId="0">
      <alignment horizontal="center"/>
    </xf>
    <xf numFmtId="0" fontId="242" fillId="0" borderId="0" applyFont="0" applyFill="0" applyBorder="0" applyAlignment="0" applyProtection="0"/>
    <xf numFmtId="0" fontId="242" fillId="0" borderId="0" applyFont="0" applyFill="0" applyBorder="0" applyAlignment="0" applyProtection="0"/>
    <xf numFmtId="317" fontId="243" fillId="0" borderId="0" applyFont="0" applyFill="0" applyBorder="0" applyAlignment="0" applyProtection="0"/>
    <xf numFmtId="0" fontId="24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44" fillId="0" borderId="0" applyFont="0" applyFill="0" applyBorder="0" applyAlignment="0" applyProtection="0"/>
    <xf numFmtId="0" fontId="24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44" fillId="0" borderId="0" applyFont="0" applyFill="0" applyBorder="0" applyAlignment="0" applyProtection="0"/>
    <xf numFmtId="0" fontId="242" fillId="0" borderId="0" applyFont="0" applyFill="0" applyBorder="0" applyAlignment="0" applyProtection="0"/>
    <xf numFmtId="0" fontId="242" fillId="0" borderId="0" applyFont="0" applyFill="0" applyBorder="0" applyAlignment="0" applyProtection="0"/>
    <xf numFmtId="318" fontId="245" fillId="0" borderId="0">
      <alignment horizontal="left"/>
    </xf>
    <xf numFmtId="0" fontId="24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4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" fontId="246" fillId="77" borderId="25" applyNumberFormat="0" applyBorder="0" applyAlignment="0">
      <alignment horizontal="center" vertical="top" wrapText="1"/>
      <protection hidden="1"/>
    </xf>
    <xf numFmtId="0" fontId="247" fillId="0" borderId="0" applyNumberFormat="0" applyFill="0" applyBorder="0" applyAlignment="0" applyProtection="0"/>
    <xf numFmtId="0" fontId="248" fillId="0" borderId="33" applyNumberFormat="0" applyFill="0" applyAlignment="0" applyProtection="0"/>
    <xf numFmtId="319" fontId="8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49" fillId="0" borderId="0"/>
    <xf numFmtId="0" fontId="250" fillId="0" borderId="0"/>
    <xf numFmtId="0" fontId="249" fillId="0" borderId="0"/>
    <xf numFmtId="0" fontId="249" fillId="0" borderId="0"/>
    <xf numFmtId="0" fontId="251" fillId="0" borderId="0"/>
    <xf numFmtId="0" fontId="244" fillId="0" borderId="0"/>
    <xf numFmtId="0" fontId="251" fillId="0" borderId="0"/>
    <xf numFmtId="0" fontId="244" fillId="0" borderId="0"/>
    <xf numFmtId="0" fontId="251" fillId="0" borderId="0"/>
    <xf numFmtId="0" fontId="244" fillId="0" borderId="0"/>
    <xf numFmtId="0" fontId="2" fillId="0" borderId="0"/>
    <xf numFmtId="0" fontId="3" fillId="0" borderId="0"/>
    <xf numFmtId="0" fontId="237" fillId="0" borderId="0">
      <alignment horizontal="right"/>
    </xf>
    <xf numFmtId="1" fontId="252" fillId="0" borderId="0"/>
    <xf numFmtId="0" fontId="253" fillId="0" borderId="33" applyNumberFormat="0" applyFill="0" applyProtection="0">
      <alignment horizontal="left" vertical="center"/>
    </xf>
    <xf numFmtId="169" fontId="4" fillId="0" borderId="0" applyBorder="0">
      <alignment horizontal="right"/>
    </xf>
    <xf numFmtId="169" fontId="4" fillId="0" borderId="11" applyAlignment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54" fillId="0" borderId="0"/>
    <xf numFmtId="0" fontId="255" fillId="0" borderId="0" applyFill="0" applyBorder="0">
      <alignment horizontal="left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20" fontId="81" fillId="0" borderId="0" applyFont="0" applyFill="0" applyBorder="0" applyAlignment="0" applyProtection="0"/>
    <xf numFmtId="0" fontId="77" fillId="0" borderId="0"/>
    <xf numFmtId="321" fontId="237" fillId="0" borderId="0">
      <alignment horizontal="right"/>
    </xf>
    <xf numFmtId="5" fontId="6" fillId="0" borderId="0" applyFont="0" applyFill="0" applyBorder="0" applyAlignment="0" applyProtection="0">
      <protection locked="0"/>
    </xf>
    <xf numFmtId="0" fontId="256" fillId="0" borderId="0"/>
    <xf numFmtId="1" fontId="257" fillId="78" borderId="24" applyNumberFormat="0" applyBorder="0" applyAlignment="0">
      <alignment horizontal="centerContinuous" vertical="center"/>
      <protection locked="0"/>
    </xf>
    <xf numFmtId="0" fontId="258" fillId="79" borderId="0"/>
    <xf numFmtId="49" fontId="3" fillId="0" borderId="0" applyFill="0" applyBorder="0"/>
    <xf numFmtId="49" fontId="2" fillId="0" borderId="0"/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49" fontId="2" fillId="0" borderId="0" applyFill="0" applyBorder="0">
      <alignment horizontal="right" vertical="center"/>
    </xf>
    <xf numFmtId="0" fontId="259" fillId="0" borderId="0"/>
    <xf numFmtId="38" fontId="3" fillId="12" borderId="0" applyNumberFormat="0" applyBorder="0" applyAlignment="0" applyProtection="0"/>
    <xf numFmtId="167" fontId="2" fillId="7" borderId="30" applyNumberFormat="0" applyFont="0" applyBorder="0" applyAlignment="0" applyProtection="0"/>
    <xf numFmtId="171" fontId="260" fillId="7" borderId="0" applyNumberFormat="0" applyFont="0" applyAlignment="0"/>
    <xf numFmtId="0" fontId="185" fillId="0" borderId="0">
      <alignment wrapText="1"/>
    </xf>
    <xf numFmtId="10" fontId="3" fillId="8" borderId="30" applyNumberFormat="0" applyBorder="0" applyAlignment="0" applyProtection="0"/>
    <xf numFmtId="0" fontId="261" fillId="0" borderId="0" applyNumberFormat="0" applyFill="0" applyBorder="0" applyAlignment="0">
      <protection locked="0"/>
    </xf>
    <xf numFmtId="0" fontId="237" fillId="0" borderId="0"/>
    <xf numFmtId="0" fontId="262" fillId="0" borderId="0" applyNumberFormat="0" applyFill="0" applyBorder="0" applyProtection="0">
      <alignment horizontal="left" vertical="center"/>
    </xf>
    <xf numFmtId="0" fontId="258" fillId="0" borderId="0"/>
    <xf numFmtId="0" fontId="263" fillId="0" borderId="0"/>
    <xf numFmtId="0" fontId="264" fillId="0" borderId="0"/>
    <xf numFmtId="322" fontId="3" fillId="8" borderId="0">
      <alignment horizontal="center"/>
    </xf>
    <xf numFmtId="322" fontId="3" fillId="8" borderId="0">
      <alignment horizontal="center"/>
    </xf>
    <xf numFmtId="43" fontId="113" fillId="0" borderId="0" applyFont="0" applyFill="0" applyBorder="0" applyAlignment="0" applyProtection="0"/>
    <xf numFmtId="41" fontId="113" fillId="0" borderId="0" applyFont="0" applyFill="0" applyBorder="0" applyAlignment="0" applyProtection="0"/>
    <xf numFmtId="0" fontId="265" fillId="0" borderId="0">
      <alignment horizontal="left"/>
    </xf>
    <xf numFmtId="0" fontId="264" fillId="0" borderId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" fontId="266" fillId="12" borderId="0">
      <alignment horizontal="center"/>
    </xf>
    <xf numFmtId="323" fontId="3" fillId="0" borderId="0"/>
    <xf numFmtId="0" fontId="267" fillId="0" borderId="0"/>
    <xf numFmtId="0" fontId="262" fillId="0" borderId="0" applyNumberFormat="0" applyFill="0" applyBorder="0" applyProtection="0">
      <alignment horizontal="right"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9">
      <alignment horizontal="centerContinuous"/>
    </xf>
    <xf numFmtId="0" fontId="28" fillId="0" borderId="9">
      <alignment horizontal="centerContinuous"/>
    </xf>
    <xf numFmtId="0" fontId="28" fillId="0" borderId="9">
      <alignment horizontal="centerContinuous"/>
    </xf>
    <xf numFmtId="0" fontId="28" fillId="0" borderId="9">
      <alignment horizontal="centerContinuous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68" fillId="0" borderId="18" applyNumberFormat="0" applyFill="0" applyProtection="0">
      <alignment horizontal="left" vertical="center"/>
    </xf>
    <xf numFmtId="0" fontId="26" fillId="0" borderId="0">
      <alignment vertical="center"/>
    </xf>
    <xf numFmtId="0" fontId="269" fillId="80" borderId="0" applyNumberFormat="0" applyBorder="0" applyProtection="0">
      <alignment horizontal="left" vertical="center"/>
    </xf>
    <xf numFmtId="0" fontId="270" fillId="1" borderId="0" applyNumberFormat="0" applyBorder="0" applyProtection="0">
      <alignment horizontal="left" vertical="center"/>
    </xf>
    <xf numFmtId="169" fontId="30" fillId="0" borderId="0"/>
    <xf numFmtId="196" fontId="271" fillId="0" borderId="14" applyNumberFormat="0" applyFont="0" applyFill="0" applyAlignment="0" applyProtection="0"/>
    <xf numFmtId="169" fontId="4" fillId="0" borderId="17"/>
    <xf numFmtId="258" fontId="272" fillId="0" borderId="0">
      <alignment horizontal="right"/>
    </xf>
    <xf numFmtId="324" fontId="266" fillId="12" borderId="25" applyBorder="0">
      <alignment horizontal="right" vertical="center"/>
      <protection locked="0"/>
    </xf>
    <xf numFmtId="0" fontId="273" fillId="0" borderId="0" applyNumberFormat="0"/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1" fontId="2" fillId="0" borderId="0">
      <alignment horizontal="center"/>
    </xf>
    <xf numFmtId="0" fontId="274" fillId="0" borderId="0" applyFont="0" applyFill="0" applyBorder="0" applyAlignment="0" applyProtection="0"/>
    <xf numFmtId="0" fontId="274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ont="0" applyFill="0" applyBorder="0" applyAlignment="0" applyProtection="0"/>
    <xf numFmtId="0" fontId="1" fillId="82" borderId="0" applyNumberFormat="0" applyBorder="0" applyAlignment="0" applyProtection="0"/>
    <xf numFmtId="0" fontId="1" fillId="83" borderId="0" applyNumberFormat="0" applyBorder="0" applyAlignment="0" applyProtection="0"/>
    <xf numFmtId="0" fontId="1" fillId="84" borderId="0" applyNumberFormat="0" applyBorder="0" applyAlignment="0" applyProtection="0"/>
    <xf numFmtId="0" fontId="1" fillId="82" borderId="0" applyNumberFormat="0" applyBorder="0" applyAlignment="0" applyProtection="0"/>
    <xf numFmtId="0" fontId="1" fillId="85" borderId="0" applyNumberFormat="0" applyBorder="0" applyAlignment="0" applyProtection="0"/>
    <xf numFmtId="0" fontId="1" fillId="84" borderId="0" applyNumberFormat="0" applyBorder="0" applyAlignment="0" applyProtection="0"/>
    <xf numFmtId="0" fontId="1" fillId="86" borderId="0" applyNumberFormat="0" applyBorder="0" applyAlignment="0" applyProtection="0"/>
    <xf numFmtId="0" fontId="1" fillId="83" borderId="0" applyNumberFormat="0" applyBorder="0" applyAlignment="0" applyProtection="0"/>
    <xf numFmtId="0" fontId="1" fillId="84" borderId="0" applyNumberFormat="0" applyBorder="0" applyAlignment="0" applyProtection="0"/>
    <xf numFmtId="0" fontId="1" fillId="86" borderId="0" applyNumberFormat="0" applyBorder="0" applyAlignment="0" applyProtection="0"/>
    <xf numFmtId="0" fontId="1" fillId="87" borderId="0" applyNumberFormat="0" applyBorder="0" applyAlignment="0" applyProtection="0"/>
    <xf numFmtId="0" fontId="1" fillId="84" borderId="0" applyNumberFormat="0" applyBorder="0" applyAlignment="0" applyProtection="0"/>
    <xf numFmtId="0" fontId="46" fillId="88" borderId="0" applyNumberFormat="0" applyBorder="0" applyAlignment="0" applyProtection="0"/>
    <xf numFmtId="0" fontId="46" fillId="83" borderId="0" applyNumberFormat="0" applyBorder="0" applyAlignment="0" applyProtection="0"/>
    <xf numFmtId="0" fontId="46" fillId="89" borderId="0" applyNumberFormat="0" applyBorder="0" applyAlignment="0" applyProtection="0"/>
    <xf numFmtId="0" fontId="46" fillId="86" borderId="0" applyNumberFormat="0" applyBorder="0" applyAlignment="0" applyProtection="0"/>
    <xf numFmtId="0" fontId="46" fillId="88" borderId="0" applyNumberFormat="0" applyBorder="0" applyAlignment="0" applyProtection="0"/>
    <xf numFmtId="0" fontId="46" fillId="84" borderId="0" applyNumberFormat="0" applyBorder="0" applyAlignment="0" applyProtection="0"/>
    <xf numFmtId="0" fontId="46" fillId="88" borderId="0" applyNumberFormat="0" applyBorder="0" applyAlignment="0" applyProtection="0"/>
    <xf numFmtId="0" fontId="46" fillId="83" borderId="0" applyNumberFormat="0" applyBorder="0" applyAlignment="0" applyProtection="0"/>
    <xf numFmtId="0" fontId="46" fillId="89" borderId="0" applyNumberFormat="0" applyBorder="0" applyAlignment="0" applyProtection="0"/>
    <xf numFmtId="0" fontId="46" fillId="90" borderId="0" applyNumberFormat="0" applyBorder="0" applyAlignment="0" applyProtection="0"/>
    <xf numFmtId="0" fontId="46" fillId="88" borderId="0" applyNumberFormat="0" applyBorder="0" applyAlignment="0" applyProtection="0"/>
    <xf numFmtId="0" fontId="46" fillId="83" borderId="0" applyNumberFormat="0" applyBorder="0" applyAlignment="0" applyProtection="0"/>
    <xf numFmtId="0" fontId="47" fillId="91" borderId="0" applyNumberFormat="0" applyBorder="0" applyAlignment="0" applyProtection="0"/>
    <xf numFmtId="0" fontId="48" fillId="92" borderId="1" applyNumberFormat="0" applyAlignment="0" applyProtection="0"/>
    <xf numFmtId="0" fontId="49" fillId="93" borderId="2" applyNumberFormat="0" applyAlignment="0" applyProtection="0"/>
    <xf numFmtId="43" fontId="2" fillId="0" borderId="0" applyFont="0" applyFill="0" applyBorder="0" applyAlignment="0" applyProtection="0"/>
    <xf numFmtId="327" fontId="277" fillId="0" borderId="0"/>
    <xf numFmtId="327" fontId="277" fillId="0" borderId="0"/>
    <xf numFmtId="327" fontId="277" fillId="0" borderId="0"/>
    <xf numFmtId="327" fontId="277" fillId="0" borderId="0"/>
    <xf numFmtId="327" fontId="277" fillId="0" borderId="0"/>
    <xf numFmtId="327" fontId="277" fillId="0" borderId="0"/>
    <xf numFmtId="327" fontId="277" fillId="0" borderId="0"/>
    <xf numFmtId="327" fontId="277" fillId="0" borderId="0"/>
    <xf numFmtId="44" fontId="2" fillId="0" borderId="0" applyFont="0" applyFill="0" applyBorder="0" applyAlignment="0" applyProtection="0"/>
    <xf numFmtId="14" fontId="24" fillId="0" borderId="18" applyFont="0">
      <alignment horizontal="right"/>
    </xf>
    <xf numFmtId="0" fontId="113" fillId="0" borderId="0"/>
    <xf numFmtId="0" fontId="237" fillId="0" borderId="0"/>
    <xf numFmtId="0" fontId="237" fillId="0" borderId="0"/>
    <xf numFmtId="0" fontId="278" fillId="0" borderId="0" applyNumberFormat="0" applyFill="0" applyBorder="0" applyProtection="0">
      <alignment horizontal="left" vertical="center"/>
    </xf>
    <xf numFmtId="9" fontId="2" fillId="0" borderId="0" applyFont="0" applyFill="0" applyBorder="0" applyAlignment="0" applyProtection="0"/>
    <xf numFmtId="0" fontId="51" fillId="94" borderId="0" applyNumberFormat="0" applyBorder="0" applyAlignment="0" applyProtection="0"/>
    <xf numFmtId="0" fontId="150" fillId="0" borderId="88" applyNumberFormat="0" applyFill="0" applyAlignment="0" applyProtection="0"/>
    <xf numFmtId="0" fontId="153" fillId="0" borderId="4" applyNumberFormat="0" applyFill="0" applyAlignment="0" applyProtection="0"/>
    <xf numFmtId="0" fontId="156" fillId="0" borderId="89" applyNumberFormat="0" applyFill="0" applyAlignment="0" applyProtection="0"/>
    <xf numFmtId="0" fontId="276" fillId="0" borderId="0" applyNumberFormat="0" applyFill="0" applyBorder="0" applyAlignment="0" applyProtection="0">
      <alignment vertical="top"/>
      <protection locked="0"/>
    </xf>
    <xf numFmtId="0" fontId="55" fillId="84" borderId="1" applyNumberFormat="0" applyAlignment="0" applyProtection="0"/>
    <xf numFmtId="0" fontId="57" fillId="84" borderId="0" applyNumberFormat="0" applyBorder="0" applyAlignment="0" applyProtection="0"/>
    <xf numFmtId="222" fontId="279" fillId="0" borderId="0"/>
    <xf numFmtId="0" fontId="280" fillId="0" borderId="0"/>
    <xf numFmtId="0" fontId="2" fillId="84" borderId="7" applyNumberFormat="0" applyFont="0" applyAlignment="0" applyProtection="0"/>
    <xf numFmtId="326" fontId="5" fillId="0" borderId="0" applyFont="0" applyFill="0" applyBorder="0" applyProtection="0">
      <alignment horizontal="right"/>
    </xf>
    <xf numFmtId="0" fontId="58" fillId="92" borderId="8" applyNumberFormat="0" applyAlignment="0" applyProtection="0"/>
    <xf numFmtId="9" fontId="2" fillId="0" borderId="0" applyFont="0" applyFill="0" applyBorder="0" applyAlignment="0" applyProtection="0"/>
    <xf numFmtId="0" fontId="2" fillId="0" borderId="0"/>
    <xf numFmtId="0" fontId="31" fillId="0" borderId="0"/>
    <xf numFmtId="0" fontId="31" fillId="0" borderId="0"/>
    <xf numFmtId="5" fontId="291" fillId="0" borderId="0" applyFont="0" applyFill="0" applyBorder="0" applyAlignment="0" applyProtection="0"/>
    <xf numFmtId="0" fontId="281" fillId="0" borderId="0" applyNumberFormat="0" applyFill="0" applyBorder="0" applyAlignment="0" applyProtection="0"/>
    <xf numFmtId="0" fontId="43" fillId="0" borderId="90" applyNumberFormat="0" applyFill="0" applyAlignment="0" applyProtection="0"/>
    <xf numFmtId="0" fontId="282" fillId="0" borderId="0" applyNumberFormat="0" applyFill="0" applyBorder="0" applyAlignment="0" applyProtection="0"/>
    <xf numFmtId="0" fontId="2" fillId="0" borderId="0"/>
    <xf numFmtId="0" fontId="2" fillId="0" borderId="0" applyFill="0" applyAlignment="0">
      <protection locked="0"/>
    </xf>
    <xf numFmtId="44" fontId="2" fillId="0" borderId="0" applyFont="0" applyFill="0" applyBorder="0" applyAlignment="0" applyProtection="0"/>
    <xf numFmtId="167" fontId="2" fillId="7" borderId="30" applyNumberFormat="0" applyFont="0" applyBorder="0" applyAlignment="0" applyProtection="0"/>
    <xf numFmtId="0" fontId="2" fillId="0" borderId="0"/>
    <xf numFmtId="0" fontId="2" fillId="0" borderId="0"/>
    <xf numFmtId="0" fontId="2" fillId="2" borderId="0" applyNumberFormat="0" applyFont="0" applyBorder="0" applyAlignment="0" applyProtection="0"/>
    <xf numFmtId="0" fontId="2" fillId="0" borderId="0"/>
    <xf numFmtId="0" fontId="31" fillId="0" borderId="0"/>
    <xf numFmtId="0" fontId="31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42" fontId="2" fillId="0" borderId="0" applyFont="0" applyFill="0" applyBorder="0" applyAlignment="0" applyProtection="0"/>
    <xf numFmtId="0" fontId="82" fillId="0" borderId="0"/>
    <xf numFmtId="0" fontId="2" fillId="0" borderId="0">
      <alignment vertical="top"/>
    </xf>
    <xf numFmtId="0" fontId="81" fillId="0" borderId="0"/>
    <xf numFmtId="202" fontId="79" fillId="0" borderId="0"/>
    <xf numFmtId="0" fontId="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2" fillId="0" borderId="0"/>
    <xf numFmtId="0" fontId="2" fillId="0" borderId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1" fillId="0" borderId="0"/>
    <xf numFmtId="0" fontId="2" fillId="0" borderId="0" applyNumberFormat="0" applyFont="0" applyFill="0" applyBorder="0" applyAlignment="0" applyProtection="0"/>
    <xf numFmtId="0" fontId="3" fillId="0" borderId="0"/>
    <xf numFmtId="3" fontId="79" fillId="0" borderId="0"/>
    <xf numFmtId="0" fontId="285" fillId="0" borderId="0"/>
    <xf numFmtId="0" fontId="2" fillId="0" borderId="0"/>
    <xf numFmtId="0" fontId="2" fillId="0" borderId="0"/>
    <xf numFmtId="212" fontId="2" fillId="0" borderId="0" applyFont="0" applyFill="0" applyBorder="0" applyAlignment="0" applyProtection="0"/>
    <xf numFmtId="21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38" fillId="0" borderId="0"/>
    <xf numFmtId="0" fontId="2" fillId="0" borderId="0" applyFont="0" applyFill="0" applyBorder="0" applyAlignment="0" applyProtection="0"/>
    <xf numFmtId="228" fontId="2" fillId="0" borderId="0" applyFont="0" applyFill="0" applyBorder="0" applyAlignment="0" applyProtection="0"/>
    <xf numFmtId="209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43" fontId="3" fillId="0" borderId="0" applyFont="0" applyFill="0" applyBorder="0" applyAlignment="0" applyProtection="0"/>
    <xf numFmtId="0" fontId="2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8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2" fillId="0" borderId="0" applyFont="0" applyFill="0" applyBorder="0" applyAlignment="0" applyProtection="0"/>
    <xf numFmtId="44" fontId="3" fillId="0" borderId="0" applyFont="0" applyFill="0" applyBorder="0" applyAlignment="0" applyProtection="0"/>
    <xf numFmtId="328" fontId="2" fillId="12" borderId="32">
      <alignment horizontal="right"/>
    </xf>
    <xf numFmtId="9" fontId="3" fillId="0" borderId="0" applyFont="0" applyFill="0" applyBorder="0" applyAlignment="0" applyProtection="0"/>
    <xf numFmtId="230" fontId="2" fillId="12" borderId="32">
      <alignment horizontal="right"/>
    </xf>
    <xf numFmtId="0" fontId="283" fillId="0" borderId="0" applyNumberFormat="0" applyFill="0" applyBorder="0" applyAlignment="0" applyProtection="0">
      <alignment vertical="top"/>
      <protection locked="0"/>
    </xf>
    <xf numFmtId="305" fontId="2" fillId="0" borderId="0">
      <alignment horizontal="right"/>
    </xf>
    <xf numFmtId="0" fontId="1" fillId="0" borderId="0"/>
    <xf numFmtId="0" fontId="1" fillId="0" borderId="0"/>
    <xf numFmtId="0" fontId="3" fillId="0" borderId="0" applyNumberFormat="0" applyFont="0" applyFill="0" applyBorder="0" applyAlignment="0" applyProtection="0"/>
    <xf numFmtId="0" fontId="61" fillId="0" borderId="0"/>
    <xf numFmtId="0" fontId="1" fillId="0" borderId="0"/>
    <xf numFmtId="0" fontId="1" fillId="0" borderId="0"/>
    <xf numFmtId="0" fontId="1" fillId="0" borderId="0"/>
    <xf numFmtId="0" fontId="286" fillId="0" borderId="0"/>
    <xf numFmtId="0" fontId="62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329" fontId="285" fillId="12" borderId="0"/>
    <xf numFmtId="0" fontId="28" fillId="0" borderId="0"/>
    <xf numFmtId="0" fontId="28" fillId="0" borderId="9">
      <alignment horizontal="centerContinuous"/>
    </xf>
    <xf numFmtId="0" fontId="2" fillId="0" borderId="0">
      <alignment vertical="top"/>
    </xf>
    <xf numFmtId="0" fontId="2" fillId="0" borderId="0">
      <alignment vertical="top"/>
    </xf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3" fillId="0" borderId="0"/>
    <xf numFmtId="0" fontId="2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3" fontId="79" fillId="0" borderId="0"/>
    <xf numFmtId="0" fontId="1" fillId="82" borderId="0" applyNumberFormat="0" applyBorder="0" applyAlignment="0" applyProtection="0"/>
    <xf numFmtId="0" fontId="1" fillId="83" borderId="0" applyNumberFormat="0" applyBorder="0" applyAlignment="0" applyProtection="0"/>
    <xf numFmtId="0" fontId="1" fillId="84" borderId="0" applyNumberFormat="0" applyBorder="0" applyAlignment="0" applyProtection="0"/>
    <xf numFmtId="0" fontId="1" fillId="82" borderId="0" applyNumberFormat="0" applyBorder="0" applyAlignment="0" applyProtection="0"/>
    <xf numFmtId="0" fontId="1" fillId="85" borderId="0" applyNumberFormat="0" applyBorder="0" applyAlignment="0" applyProtection="0"/>
    <xf numFmtId="0" fontId="1" fillId="84" borderId="0" applyNumberFormat="0" applyBorder="0" applyAlignment="0" applyProtection="0"/>
    <xf numFmtId="0" fontId="1" fillId="86" borderId="0" applyNumberFormat="0" applyBorder="0" applyAlignment="0" applyProtection="0"/>
    <xf numFmtId="0" fontId="1" fillId="83" borderId="0" applyNumberFormat="0" applyBorder="0" applyAlignment="0" applyProtection="0"/>
    <xf numFmtId="0" fontId="1" fillId="84" borderId="0" applyNumberFormat="0" applyBorder="0" applyAlignment="0" applyProtection="0"/>
    <xf numFmtId="0" fontId="1" fillId="86" borderId="0" applyNumberFormat="0" applyBorder="0" applyAlignment="0" applyProtection="0"/>
    <xf numFmtId="0" fontId="1" fillId="87" borderId="0" applyNumberFormat="0" applyBorder="0" applyAlignment="0" applyProtection="0"/>
    <xf numFmtId="0" fontId="1" fillId="84" borderId="0" applyNumberFormat="0" applyBorder="0" applyAlignment="0" applyProtection="0"/>
    <xf numFmtId="0" fontId="46" fillId="88" borderId="0" applyNumberFormat="0" applyBorder="0" applyAlignment="0" applyProtection="0"/>
    <xf numFmtId="0" fontId="46" fillId="83" borderId="0" applyNumberFormat="0" applyBorder="0" applyAlignment="0" applyProtection="0"/>
    <xf numFmtId="0" fontId="46" fillId="89" borderId="0" applyNumberFormat="0" applyBorder="0" applyAlignment="0" applyProtection="0"/>
    <xf numFmtId="0" fontId="46" fillId="86" borderId="0" applyNumberFormat="0" applyBorder="0" applyAlignment="0" applyProtection="0"/>
    <xf numFmtId="0" fontId="46" fillId="88" borderId="0" applyNumberFormat="0" applyBorder="0" applyAlignment="0" applyProtection="0"/>
    <xf numFmtId="0" fontId="46" fillId="84" borderId="0" applyNumberFormat="0" applyBorder="0" applyAlignment="0" applyProtection="0"/>
    <xf numFmtId="0" fontId="46" fillId="88" borderId="0" applyNumberFormat="0" applyBorder="0" applyAlignment="0" applyProtection="0"/>
    <xf numFmtId="0" fontId="46" fillId="83" borderId="0" applyNumberFormat="0" applyBorder="0" applyAlignment="0" applyProtection="0"/>
    <xf numFmtId="0" fontId="46" fillId="89" borderId="0" applyNumberFormat="0" applyBorder="0" applyAlignment="0" applyProtection="0"/>
    <xf numFmtId="0" fontId="46" fillId="90" borderId="0" applyNumberFormat="0" applyBorder="0" applyAlignment="0" applyProtection="0"/>
    <xf numFmtId="0" fontId="46" fillId="88" borderId="0" applyNumberFormat="0" applyBorder="0" applyAlignment="0" applyProtection="0"/>
    <xf numFmtId="0" fontId="46" fillId="83" borderId="0" applyNumberFormat="0" applyBorder="0" applyAlignment="0" applyProtection="0"/>
    <xf numFmtId="0" fontId="2" fillId="0" borderId="0"/>
    <xf numFmtId="0" fontId="47" fillId="91" borderId="0" applyNumberFormat="0" applyBorder="0" applyAlignment="0" applyProtection="0"/>
    <xf numFmtId="0" fontId="48" fillId="92" borderId="1" applyNumberFormat="0" applyAlignment="0" applyProtection="0"/>
    <xf numFmtId="0" fontId="49" fillId="93" borderId="2" applyNumberFormat="0" applyAlignment="0" applyProtection="0"/>
    <xf numFmtId="0" fontId="2" fillId="0" borderId="0">
      <alignment horizontal="center" wrapText="1"/>
      <protection hidden="1"/>
    </xf>
    <xf numFmtId="0" fontId="109" fillId="0" borderId="0">
      <alignment vertical="center"/>
    </xf>
    <xf numFmtId="0" fontId="51" fillId="94" borderId="0" applyNumberFormat="0" applyBorder="0" applyAlignment="0" applyProtection="0"/>
    <xf numFmtId="0" fontId="150" fillId="0" borderId="88" applyNumberFormat="0" applyFill="0" applyAlignment="0" applyProtection="0"/>
    <xf numFmtId="0" fontId="153" fillId="0" borderId="4" applyNumberFormat="0" applyFill="0" applyAlignment="0" applyProtection="0"/>
    <xf numFmtId="0" fontId="156" fillId="0" borderId="89" applyNumberFormat="0" applyFill="0" applyAlignment="0" applyProtection="0"/>
    <xf numFmtId="0" fontId="55" fillId="84" borderId="1" applyNumberFormat="0" applyAlignment="0" applyProtection="0"/>
    <xf numFmtId="0" fontId="55" fillId="84" borderId="1" applyNumberFormat="0" applyAlignment="0" applyProtection="0"/>
    <xf numFmtId="185" fontId="2" fillId="0" borderId="0" applyFill="0" applyBorder="0">
      <alignment horizontal="right"/>
      <protection locked="0"/>
    </xf>
    <xf numFmtId="0" fontId="55" fillId="84" borderId="1" applyNumberFormat="0" applyAlignment="0" applyProtection="0"/>
    <xf numFmtId="0" fontId="57" fillId="84" borderId="0" applyNumberFormat="0" applyBorder="0" applyAlignment="0" applyProtection="0"/>
    <xf numFmtId="0" fontId="2" fillId="84" borderId="7" applyNumberFormat="0" applyFont="0" applyAlignment="0" applyProtection="0"/>
    <xf numFmtId="0" fontId="58" fillId="92" borderId="8" applyNumberFormat="0" applyAlignment="0" applyProtection="0"/>
    <xf numFmtId="9" fontId="2" fillId="0" borderId="0" applyFont="0" applyFill="0" applyBorder="0" applyAlignment="0" applyProtection="0"/>
    <xf numFmtId="0" fontId="281" fillId="0" borderId="0" applyNumberFormat="0" applyFill="0" applyBorder="0" applyAlignment="0" applyProtection="0"/>
    <xf numFmtId="0" fontId="43" fillId="0" borderId="90" applyNumberFormat="0" applyFill="0" applyAlignment="0" applyProtection="0"/>
    <xf numFmtId="0" fontId="282" fillId="0" borderId="0" applyNumberFormat="0" applyFill="0" applyBorder="0" applyAlignment="0" applyProtection="0"/>
    <xf numFmtId="0" fontId="55" fillId="84" borderId="1" applyNumberFormat="0" applyAlignment="0" applyProtection="0"/>
    <xf numFmtId="0" fontId="2" fillId="0" borderId="0" applyNumberFormat="0" applyFont="0" applyFill="0" applyBorder="0" applyAlignment="0" applyProtection="0"/>
    <xf numFmtId="0" fontId="113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5" fontId="291" fillId="0" borderId="0" applyFont="0" applyFill="0" applyBorder="0" applyAlignment="0" applyProtection="0"/>
    <xf numFmtId="8" fontId="291" fillId="0" borderId="0" applyFont="0" applyFill="0" applyBorder="0" applyAlignment="0" applyProtection="0"/>
    <xf numFmtId="331" fontId="292" fillId="0" borderId="0"/>
    <xf numFmtId="334" fontId="290" fillId="0" borderId="0"/>
    <xf numFmtId="10" fontId="291" fillId="0" borderId="0" applyFont="0" applyFill="0" applyBorder="0" applyAlignment="0" applyProtection="0"/>
    <xf numFmtId="42" fontId="2" fillId="0" borderId="0" applyFont="0" applyFill="0" applyBorder="0" applyAlignment="0" applyProtection="0"/>
    <xf numFmtId="335" fontId="293" fillId="0" borderId="0" applyFont="0" applyFill="0" applyBorder="0" applyAlignment="0" applyProtection="0"/>
    <xf numFmtId="40" fontId="294" fillId="0" borderId="0" applyFont="0" applyFill="0" applyBorder="0" applyAlignment="0" applyProtection="0"/>
    <xf numFmtId="0" fontId="295" fillId="0" borderId="0" applyNumberFormat="0" applyFill="0" applyBorder="0" applyAlignment="0" applyProtection="0">
      <alignment vertical="top"/>
      <protection locked="0"/>
    </xf>
    <xf numFmtId="38" fontId="294" fillId="0" borderId="0" applyFont="0" applyFill="0" applyBorder="0" applyAlignment="0" applyProtection="0"/>
    <xf numFmtId="0" fontId="2" fillId="0" borderId="0">
      <alignment vertical="top"/>
    </xf>
    <xf numFmtId="0" fontId="2" fillId="0" borderId="0">
      <alignment vertical="top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3" fontId="79" fillId="0" borderId="0"/>
    <xf numFmtId="0" fontId="2" fillId="0" borderId="0" applyFill="0" applyAlignment="0">
      <protection locked="0"/>
    </xf>
    <xf numFmtId="0" fontId="296" fillId="0" borderId="91" applyBorder="0"/>
    <xf numFmtId="336" fontId="81" fillId="0" borderId="0" applyFont="0" applyFill="0" applyBorder="0" applyAlignment="0" applyProtection="0"/>
    <xf numFmtId="337" fontId="81" fillId="0" borderId="0" applyFont="0" applyFill="0" applyBorder="0" applyAlignment="0" applyProtection="0"/>
    <xf numFmtId="0" fontId="2" fillId="0" borderId="0"/>
    <xf numFmtId="0" fontId="25" fillId="0" borderId="0"/>
    <xf numFmtId="2" fontId="25" fillId="0" borderId="0"/>
    <xf numFmtId="0" fontId="25" fillId="0" borderId="0"/>
    <xf numFmtId="0" fontId="25" fillId="0" borderId="0"/>
    <xf numFmtId="0" fontId="25" fillId="0" borderId="0"/>
    <xf numFmtId="37" fontId="297" fillId="0" borderId="0">
      <alignment horizontal="center"/>
    </xf>
    <xf numFmtId="331" fontId="290" fillId="0" borderId="0"/>
    <xf numFmtId="275" fontId="77" fillId="0" borderId="0" applyFont="0" applyFill="0" applyBorder="0" applyAlignment="0" applyProtection="0"/>
    <xf numFmtId="37" fontId="237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9" fillId="0" borderId="0" applyNumberFormat="0" applyFill="0" applyBorder="0" applyAlignment="0" applyProtection="0"/>
    <xf numFmtId="0" fontId="291" fillId="0" borderId="33" applyNumberFormat="0" applyFont="0" applyFill="0" applyAlignment="0" applyProtection="0"/>
    <xf numFmtId="0" fontId="291" fillId="0" borderId="25" applyNumberFormat="0" applyFont="0" applyFill="0" applyAlignment="0" applyProtection="0"/>
    <xf numFmtId="0" fontId="291" fillId="0" borderId="32" applyNumberFormat="0" applyFont="0" applyFill="0" applyAlignment="0" applyProtection="0"/>
    <xf numFmtId="0" fontId="291" fillId="0" borderId="14" applyNumberFormat="0" applyFont="0" applyFill="0" applyAlignment="0" applyProtection="0"/>
    <xf numFmtId="37" fontId="300" fillId="0" borderId="0" applyNumberFormat="0" applyFill="0" applyBorder="0" applyAlignment="0" applyProtection="0">
      <alignment horizontal="center"/>
    </xf>
    <xf numFmtId="338" fontId="81" fillId="0" borderId="0" applyFont="0" applyFill="0" applyBorder="0" applyAlignment="0" applyProtection="0"/>
    <xf numFmtId="0" fontId="26" fillId="0" borderId="0"/>
    <xf numFmtId="0" fontId="26" fillId="0" borderId="0"/>
    <xf numFmtId="339" fontId="293" fillId="0" borderId="0" applyFill="0" applyBorder="0" applyAlignment="0"/>
    <xf numFmtId="275" fontId="288" fillId="0" borderId="0" applyFont="0" applyFill="0" applyBorder="0" applyAlignment="0" applyProtection="0"/>
    <xf numFmtId="0" fontId="301" fillId="0" borderId="0">
      <alignment horizontal="right"/>
    </xf>
    <xf numFmtId="340" fontId="301" fillId="0" borderId="0"/>
    <xf numFmtId="0" fontId="55" fillId="84" borderId="1" applyNumberFormat="0" applyAlignment="0" applyProtection="0"/>
    <xf numFmtId="341" fontId="2" fillId="0" borderId="0"/>
    <xf numFmtId="341" fontId="2" fillId="0" borderId="0"/>
    <xf numFmtId="341" fontId="2" fillId="0" borderId="0"/>
    <xf numFmtId="341" fontId="2" fillId="0" borderId="0"/>
    <xf numFmtId="341" fontId="2" fillId="0" borderId="0"/>
    <xf numFmtId="341" fontId="2" fillId="0" borderId="0"/>
    <xf numFmtId="341" fontId="2" fillId="0" borderId="0"/>
    <xf numFmtId="258" fontId="289" fillId="0" borderId="0" applyFont="0"/>
    <xf numFmtId="171" fontId="248" fillId="0" borderId="0" applyFont="0" applyFill="0" applyBorder="0" applyAlignment="0">
      <alignment horizontal="center" wrapText="1"/>
    </xf>
    <xf numFmtId="38" fontId="27" fillId="0" borderId="0"/>
    <xf numFmtId="3" fontId="302" fillId="0" borderId="0"/>
    <xf numFmtId="170" fontId="302" fillId="0" borderId="0"/>
    <xf numFmtId="2" fontId="302" fillId="0" borderId="0"/>
    <xf numFmtId="318" fontId="255" fillId="0" borderId="0" applyFill="0" applyBorder="0">
      <alignment horizontal="left"/>
    </xf>
    <xf numFmtId="342" fontId="77" fillId="0" borderId="0"/>
    <xf numFmtId="251" fontId="248" fillId="0" borderId="0" applyFont="0" applyFill="0" applyBorder="0" applyAlignment="0">
      <alignment horizontal="center" wrapText="1"/>
    </xf>
    <xf numFmtId="8" fontId="77" fillId="0" borderId="0" applyFont="0" applyFill="0" applyBorder="0" applyAlignment="0" applyProtection="0">
      <alignment horizontal="left"/>
    </xf>
    <xf numFmtId="230" fontId="303" fillId="0" borderId="0" applyFont="0" applyFill="0" applyBorder="0" applyAlignment="0" applyProtection="0"/>
    <xf numFmtId="343" fontId="81" fillId="0" borderId="0" applyFont="0" applyFill="0" applyBorder="0" applyAlignment="0" applyProtection="0"/>
    <xf numFmtId="14" fontId="288" fillId="0" borderId="0" applyFont="0" applyFill="0" applyBorder="0" applyAlignment="0" applyProtection="0">
      <alignment horizontal="center"/>
    </xf>
    <xf numFmtId="330" fontId="288" fillId="0" borderId="0" applyFont="0" applyFill="0" applyBorder="0" applyAlignment="0" applyProtection="0">
      <alignment horizontal="center"/>
    </xf>
    <xf numFmtId="342" fontId="301" fillId="0" borderId="0"/>
    <xf numFmtId="6" fontId="77" fillId="0" borderId="0" applyFont="0" applyFill="0" applyBorder="0" applyAlignment="0" applyProtection="0"/>
    <xf numFmtId="0" fontId="304" fillId="0" borderId="0"/>
    <xf numFmtId="0" fontId="305" fillId="79" borderId="0"/>
    <xf numFmtId="344" fontId="301" fillId="0" borderId="0"/>
    <xf numFmtId="0" fontId="259" fillId="0" borderId="0"/>
    <xf numFmtId="334" fontId="292" fillId="0" borderId="0"/>
    <xf numFmtId="331" fontId="292" fillId="0" borderId="0" applyFill="0" applyBorder="0" applyAlignment="0" applyProtection="0"/>
    <xf numFmtId="0" fontId="306" fillId="0" borderId="0" applyNumberFormat="0" applyFill="0" applyBorder="0" applyAlignment="0" applyProtection="0"/>
    <xf numFmtId="0" fontId="307" fillId="0" borderId="34" applyNumberFormat="0" applyAlignment="0" applyProtection="0">
      <alignment horizontal="left" vertical="center"/>
    </xf>
    <xf numFmtId="0" fontId="307" fillId="0" borderId="18">
      <alignment horizontal="left" vertical="center"/>
    </xf>
    <xf numFmtId="0" fontId="308" fillId="0" borderId="0">
      <protection locked="0"/>
    </xf>
    <xf numFmtId="0" fontId="308" fillId="0" borderId="0">
      <protection locked="0"/>
    </xf>
    <xf numFmtId="0" fontId="309" fillId="0" borderId="0">
      <alignment wrapText="1"/>
    </xf>
    <xf numFmtId="0" fontId="15" fillId="0" borderId="75" applyNumberFormat="0" applyFill="0" applyAlignment="0" applyProtection="0"/>
    <xf numFmtId="38" fontId="77" fillId="0" borderId="0"/>
    <xf numFmtId="275" fontId="77" fillId="0" borderId="0" applyFont="0" applyFill="0" applyBorder="0" applyAlignment="0" applyProtection="0"/>
    <xf numFmtId="345" fontId="301" fillId="0" borderId="0"/>
    <xf numFmtId="38" fontId="29" fillId="0" borderId="0" applyNumberFormat="0" applyBorder="0" applyProtection="0">
      <alignment horizontal="left"/>
    </xf>
    <xf numFmtId="38" fontId="310" fillId="0" borderId="0"/>
    <xf numFmtId="38" fontId="311" fillId="0" borderId="0"/>
    <xf numFmtId="38" fontId="312" fillId="0" borderId="0"/>
    <xf numFmtId="38" fontId="313" fillId="0" borderId="0"/>
    <xf numFmtId="0" fontId="191" fillId="0" borderId="0"/>
    <xf numFmtId="0" fontId="191" fillId="0" borderId="0"/>
    <xf numFmtId="0" fontId="2" fillId="0" borderId="0"/>
    <xf numFmtId="331" fontId="290" fillId="0" borderId="0" applyFill="0" applyBorder="0" applyAlignment="0" applyProtection="0"/>
    <xf numFmtId="0" fontId="305" fillId="0" borderId="0"/>
    <xf numFmtId="0" fontId="314" fillId="0" borderId="0"/>
    <xf numFmtId="0" fontId="315" fillId="0" borderId="0"/>
    <xf numFmtId="37" fontId="280" fillId="0" borderId="0" applyNumberFormat="0" applyFill="0" applyBorder="0" applyAlignment="0" applyProtection="0">
      <alignment horizontal="center"/>
    </xf>
    <xf numFmtId="37" fontId="280" fillId="0" borderId="0" applyNumberFormat="0" applyFill="0" applyBorder="0" applyAlignment="0" applyProtection="0">
      <alignment horizontal="center"/>
    </xf>
    <xf numFmtId="14" fontId="291" fillId="0" borderId="0" applyFont="0" applyFill="0" applyBorder="0" applyAlignment="0" applyProtection="0"/>
    <xf numFmtId="346" fontId="77" fillId="0" borderId="0" applyFont="0" applyFill="0" applyBorder="0" applyAlignment="0" applyProtection="0"/>
    <xf numFmtId="0" fontId="81" fillId="0" borderId="0"/>
    <xf numFmtId="0" fontId="316" fillId="0" borderId="0"/>
    <xf numFmtId="318" fontId="29" fillId="0" borderId="0" applyBorder="0">
      <alignment horizontal="left"/>
    </xf>
    <xf numFmtId="275" fontId="77" fillId="0" borderId="0" applyFont="0" applyFill="0" applyBorder="0" applyAlignment="0" applyProtection="0"/>
    <xf numFmtId="334" fontId="290" fillId="0" borderId="0"/>
    <xf numFmtId="0" fontId="315" fillId="0" borderId="0"/>
    <xf numFmtId="167" fontId="77" fillId="0" borderId="0"/>
    <xf numFmtId="167" fontId="289" fillId="0" borderId="0"/>
    <xf numFmtId="347" fontId="77" fillId="0" borderId="0" applyFont="0" applyBorder="0"/>
    <xf numFmtId="167" fontId="303" fillId="0" borderId="0" applyFont="0" applyFill="0" applyBorder="0" applyAlignment="0" applyProtection="0"/>
    <xf numFmtId="10" fontId="303" fillId="0" borderId="0" applyFont="0" applyFill="0" applyBorder="0" applyAlignment="0" applyProtection="0"/>
    <xf numFmtId="9" fontId="2" fillId="0" borderId="0"/>
    <xf numFmtId="167" fontId="317" fillId="0" borderId="0" applyFill="0" applyBorder="0" applyAlignment="0" applyProtection="0"/>
    <xf numFmtId="332" fontId="77" fillId="0" borderId="0" applyFont="0" applyFill="0" applyBorder="0" applyAlignment="0" applyProtection="0"/>
    <xf numFmtId="333" fontId="77" fillId="0" borderId="0" applyFont="0" applyFill="0" applyBorder="0" applyAlignment="0" applyProtection="0"/>
    <xf numFmtId="38" fontId="77" fillId="0" borderId="0" applyFont="0" applyFill="0" applyBorder="0" applyAlignment="0" applyProtection="0"/>
    <xf numFmtId="3" fontId="77" fillId="0" borderId="0"/>
    <xf numFmtId="0" fontId="267" fillId="0" borderId="0"/>
    <xf numFmtId="196" fontId="318" fillId="0" borderId="0" applyNumberFormat="0" applyFill="0" applyBorder="0" applyAlignment="0" applyProtection="0">
      <alignment horizontal="left"/>
    </xf>
    <xf numFmtId="0" fontId="28" fillId="0" borderId="0"/>
    <xf numFmtId="0" fontId="28" fillId="0" borderId="0"/>
    <xf numFmtId="0" fontId="28" fillId="0" borderId="9">
      <alignment horizontal="centerContinuous"/>
    </xf>
    <xf numFmtId="0" fontId="28" fillId="0" borderId="9">
      <alignment horizontal="centerContinuous"/>
    </xf>
    <xf numFmtId="0" fontId="319" fillId="95" borderId="0" applyNumberFormat="0" applyFont="0" applyBorder="0" applyAlignment="0" applyProtection="0"/>
    <xf numFmtId="275" fontId="77" fillId="0" borderId="0" applyFont="0" applyFill="0" applyBorder="0" applyAlignment="0" applyProtection="0"/>
    <xf numFmtId="0" fontId="3" fillId="33" borderId="30" applyNumberFormat="0" applyProtection="0">
      <alignment horizontal="center" wrapText="1"/>
    </xf>
    <xf numFmtId="0" fontId="3" fillId="0" borderId="0" applyNumberFormat="0" applyFill="0" applyBorder="0" applyProtection="0">
      <alignment vertical="center"/>
    </xf>
    <xf numFmtId="0" fontId="4" fillId="0" borderId="0" applyNumberFormat="0" applyFill="0" applyBorder="0" applyProtection="0">
      <alignment vertical="center"/>
    </xf>
    <xf numFmtId="0" fontId="6" fillId="0" borderId="0" applyNumberFormat="0" applyBorder="0" applyAlignment="0"/>
    <xf numFmtId="0" fontId="14" fillId="0" borderId="0" applyNumberFormat="0" applyBorder="0" applyAlignment="0"/>
    <xf numFmtId="216" fontId="233" fillId="0" borderId="0" applyFill="0" applyBorder="0" applyAlignment="0" applyProtection="0"/>
    <xf numFmtId="331" fontId="320" fillId="0" borderId="0" applyFill="0" applyBorder="0" applyAlignment="0" applyProtection="0"/>
    <xf numFmtId="0" fontId="268" fillId="0" borderId="0" applyNumberFormat="0" applyFill="0" applyBorder="0" applyProtection="0">
      <alignment horizontal="left" vertical="center"/>
    </xf>
    <xf numFmtId="275" fontId="77" fillId="0" borderId="0" applyFill="0" applyBorder="0" applyAlignment="0" applyProtection="0">
      <protection locked="0"/>
    </xf>
    <xf numFmtId="275" fontId="233" fillId="0" borderId="0" applyFill="0" applyBorder="0" applyAlignment="0" applyProtection="0"/>
    <xf numFmtId="3" fontId="30" fillId="0" borderId="0" applyNumberFormat="0"/>
    <xf numFmtId="0" fontId="30" fillId="0" borderId="0" applyFill="0" applyBorder="0" applyProtection="0">
      <alignment horizontal="left"/>
    </xf>
    <xf numFmtId="0" fontId="3" fillId="0" borderId="25" applyFill="0" applyBorder="0" applyProtection="0">
      <alignment horizontal="left" vertical="top"/>
    </xf>
    <xf numFmtId="38" fontId="302" fillId="0" borderId="0" applyNumberFormat="0" applyBorder="0">
      <alignment horizontal="left"/>
    </xf>
    <xf numFmtId="0" fontId="291" fillId="0" borderId="0" applyNumberFormat="0" applyFont="0" applyFill="0" applyBorder="0" applyProtection="0">
      <alignment horizontal="left" vertical="top" wrapText="1"/>
    </xf>
    <xf numFmtId="275" fontId="321" fillId="0" borderId="0" applyNumberFormat="0" applyFill="0" applyBorder="0" applyAlignment="0" applyProtection="0"/>
    <xf numFmtId="37" fontId="303" fillId="0" borderId="0" applyNumberFormat="0" applyFill="0" applyBorder="0" applyAlignment="0" applyProtection="0">
      <alignment horizontal="center"/>
    </xf>
    <xf numFmtId="37" fontId="303" fillId="0" borderId="0" applyNumberFormat="0" applyFill="0" applyBorder="0" applyAlignment="0" applyProtection="0">
      <alignment horizontal="center"/>
    </xf>
    <xf numFmtId="1" fontId="77" fillId="0" borderId="33" applyNumberFormat="0">
      <alignment horizontal="right"/>
    </xf>
    <xf numFmtId="37" fontId="3" fillId="2" borderId="0" applyNumberFormat="0" applyBorder="0" applyAlignment="0" applyProtection="0"/>
    <xf numFmtId="37" fontId="3" fillId="0" borderId="0"/>
    <xf numFmtId="3" fontId="5" fillId="0" borderId="75" applyProtection="0"/>
    <xf numFmtId="6" fontId="322" fillId="0" borderId="86" applyNumberFormat="0" applyFill="0" applyBorder="0" applyAlignment="0" applyProtection="0">
      <alignment horizontal="right"/>
    </xf>
    <xf numFmtId="0" fontId="323" fillId="0" borderId="0" applyNumberFormat="0"/>
    <xf numFmtId="1" fontId="319" fillId="0" borderId="33">
      <alignment horizontal="center"/>
    </xf>
    <xf numFmtId="0" fontId="3" fillId="3" borderId="30" applyNumberFormat="0" applyProtection="0">
      <alignment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Fill="0" applyAlignment="0">
      <protection locked="0"/>
    </xf>
    <xf numFmtId="0" fontId="2" fillId="0" borderId="0" applyNumberForma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6" fillId="0" borderId="0"/>
    <xf numFmtId="0" fontId="55" fillId="84" borderId="1" applyNumberFormat="0" applyAlignment="0" applyProtection="0"/>
    <xf numFmtId="0" fontId="27" fillId="0" borderId="0"/>
    <xf numFmtId="1" fontId="77" fillId="0" borderId="0" applyFont="0" applyFill="0" applyBorder="0" applyAlignment="0" applyProtection="0"/>
    <xf numFmtId="40" fontId="284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324" fillId="0" borderId="0"/>
    <xf numFmtId="0" fontId="293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5" fillId="84" borderId="1" applyNumberFormat="0" applyAlignment="0" applyProtection="0"/>
    <xf numFmtId="0" fontId="55" fillId="84" borderId="1" applyNumberFormat="0" applyAlignment="0" applyProtection="0"/>
    <xf numFmtId="9" fontId="73" fillId="0" borderId="0" applyFont="0" applyFill="0" applyBorder="0" applyAlignment="0" applyProtection="0"/>
    <xf numFmtId="0" fontId="55" fillId="84" borderId="1" applyNumberFormat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0" fontId="55" fillId="84" borderId="1" applyNumberFormat="0" applyAlignment="0" applyProtection="0"/>
    <xf numFmtId="0" fontId="55" fillId="84" borderId="1" applyNumberFormat="0" applyAlignment="0" applyProtection="0"/>
    <xf numFmtId="0" fontId="55" fillId="84" borderId="1" applyNumberFormat="0" applyAlignment="0" applyProtection="0"/>
    <xf numFmtId="0" fontId="55" fillId="84" borderId="1" applyNumberFormat="0" applyAlignment="0" applyProtection="0"/>
    <xf numFmtId="0" fontId="55" fillId="84" borderId="1" applyNumberFormat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73" fillId="0" borderId="0"/>
    <xf numFmtId="0" fontId="61" fillId="0" borderId="0"/>
    <xf numFmtId="0" fontId="61" fillId="0" borderId="0"/>
    <xf numFmtId="0" fontId="2" fillId="0" borderId="0" applyNumberFormat="0" applyFont="0" applyFill="0" applyBorder="0" applyAlignment="0" applyProtection="0"/>
    <xf numFmtId="0" fontId="198" fillId="3" borderId="93"/>
    <xf numFmtId="0" fontId="2" fillId="0" borderId="0" applyNumberFormat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4" fontId="24" fillId="0" borderId="18" applyFont="0">
      <alignment horizontal="right"/>
    </xf>
    <xf numFmtId="0" fontId="237" fillId="0" borderId="0"/>
    <xf numFmtId="0" fontId="237" fillId="0" borderId="0"/>
    <xf numFmtId="0" fontId="55" fillId="84" borderId="1" applyNumberFormat="0" applyAlignment="0" applyProtection="0"/>
    <xf numFmtId="0" fontId="237" fillId="0" borderId="0"/>
    <xf numFmtId="326" fontId="5" fillId="0" borderId="0" applyFont="0" applyFill="0" applyBorder="0" applyProtection="0">
      <alignment horizontal="right"/>
    </xf>
    <xf numFmtId="9" fontId="2" fillId="0" borderId="0" applyFont="0" applyFill="0" applyBorder="0" applyAlignment="0" applyProtection="0"/>
    <xf numFmtId="5" fontId="291" fillId="0" borderId="0" applyFont="0" applyFill="0" applyBorder="0" applyAlignment="0" applyProtection="0"/>
    <xf numFmtId="0" fontId="306" fillId="0" borderId="0" applyNumberFormat="0" applyFill="0" applyBorder="0" applyAlignment="0" applyProtection="0"/>
    <xf numFmtId="0" fontId="1" fillId="22" borderId="0" applyNumberFormat="0" applyBorder="0" applyAlignment="0" applyProtection="0"/>
    <xf numFmtId="0" fontId="1" fillId="8" borderId="0" applyNumberFormat="0" applyBorder="0" applyAlignment="0" applyProtection="0"/>
    <xf numFmtId="43" fontId="2" fillId="0" borderId="0" applyFont="0" applyFill="0" applyBorder="0" applyAlignment="0" applyProtection="0"/>
    <xf numFmtId="0" fontId="237" fillId="0" borderId="0"/>
    <xf numFmtId="0" fontId="237" fillId="0" borderId="0"/>
    <xf numFmtId="0" fontId="1" fillId="8" borderId="0" applyNumberFormat="0" applyBorder="0" applyAlignment="0" applyProtection="0"/>
    <xf numFmtId="14" fontId="24" fillId="0" borderId="18" applyFont="0">
      <alignment horizontal="right"/>
    </xf>
    <xf numFmtId="0" fontId="1" fillId="22" borderId="0" applyNumberFormat="0" applyBorder="0" applyAlignment="0" applyProtection="0"/>
    <xf numFmtId="42" fontId="2" fillId="0" borderId="0" applyFont="0" applyFill="0" applyBorder="0" applyAlignment="0" applyProtection="0"/>
    <xf numFmtId="0" fontId="1" fillId="29" borderId="0" applyNumberFormat="0" applyBorder="0" applyAlignment="0" applyProtection="0"/>
    <xf numFmtId="0" fontId="1" fillId="8" borderId="0" applyNumberFormat="0" applyBorder="0" applyAlignment="0" applyProtection="0"/>
    <xf numFmtId="0" fontId="55" fillId="84" borderId="1" applyNumberFormat="0" applyAlignment="0" applyProtection="0"/>
    <xf numFmtId="0" fontId="1" fillId="22" borderId="0" applyNumberFormat="0" applyBorder="0" applyAlignment="0" applyProtection="0"/>
    <xf numFmtId="0" fontId="1" fillId="12" borderId="0" applyNumberFormat="0" applyBorder="0" applyAlignment="0" applyProtection="0"/>
    <xf numFmtId="42" fontId="2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12" borderId="0" applyNumberFormat="0" applyBorder="0" applyAlignment="0" applyProtection="0"/>
    <xf numFmtId="0" fontId="1" fillId="22" borderId="0" applyNumberFormat="0" applyBorder="0" applyAlignment="0" applyProtection="0"/>
    <xf numFmtId="0" fontId="1" fillId="4" borderId="0" applyNumberFormat="0" applyBorder="0" applyAlignment="0" applyProtection="0"/>
    <xf numFmtId="0" fontId="46" fillId="33" borderId="0" applyNumberFormat="0" applyBorder="0" applyAlignment="0" applyProtection="0"/>
    <xf numFmtId="0" fontId="46" fillId="9" borderId="0" applyNumberFormat="0" applyBorder="0" applyAlignment="0" applyProtection="0"/>
    <xf numFmtId="0" fontId="46" fillId="12" borderId="0" applyNumberFormat="0" applyBorder="0" applyAlignment="0" applyProtection="0"/>
    <xf numFmtId="0" fontId="46" fillId="12" borderId="0" applyNumberFormat="0" applyBorder="0" applyAlignment="0" applyProtection="0"/>
    <xf numFmtId="0" fontId="46" fillId="33" borderId="0" applyNumberFormat="0" applyBorder="0" applyAlignment="0" applyProtection="0"/>
    <xf numFmtId="0" fontId="46" fillId="4" borderId="0" applyNumberFormat="0" applyBorder="0" applyAlignment="0" applyProtection="0"/>
    <xf numFmtId="0" fontId="46" fillId="44" borderId="0" applyNumberFormat="0" applyBorder="0" applyAlignment="0" applyProtection="0"/>
    <xf numFmtId="0" fontId="46" fillId="47" borderId="0" applyNumberFormat="0" applyBorder="0" applyAlignment="0" applyProtection="0"/>
    <xf numFmtId="0" fontId="46" fillId="5" borderId="0" applyNumberFormat="0" applyBorder="0" applyAlignment="0" applyProtection="0"/>
    <xf numFmtId="0" fontId="46" fillId="44" borderId="0" applyNumberFormat="0" applyBorder="0" applyAlignment="0" applyProtection="0"/>
    <xf numFmtId="0" fontId="46" fillId="13" borderId="0" applyNumberFormat="0" applyBorder="0" applyAlignment="0" applyProtection="0"/>
    <xf numFmtId="0" fontId="46" fillId="9" borderId="0" applyNumberFormat="0" applyBorder="0" applyAlignment="0" applyProtection="0"/>
    <xf numFmtId="0" fontId="97" fillId="25" borderId="0" applyNumberFormat="0" applyBorder="0" applyAlignment="0" applyProtection="0"/>
    <xf numFmtId="240" fontId="6" fillId="0" borderId="0" applyFill="0" applyBorder="0" applyAlignment="0"/>
    <xf numFmtId="0" fontId="111" fillId="3" borderId="1" applyNumberFormat="0" applyAlignment="0" applyProtection="0"/>
    <xf numFmtId="0" fontId="115" fillId="0" borderId="0" applyNumberFormat="0" applyFill="0" applyBorder="0" applyAlignment="0"/>
    <xf numFmtId="0" fontId="49" fillId="5" borderId="2" applyNumberFormat="0" applyAlignment="0" applyProtection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250" fontId="31" fillId="0" borderId="0"/>
    <xf numFmtId="38" fontId="120" fillId="0" borderId="0">
      <alignment horizontal="center"/>
      <protection locked="0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NumberFormat="0" applyAlignment="0">
      <alignment horizontal="left"/>
    </xf>
    <xf numFmtId="230" fontId="3" fillId="0" borderId="0"/>
    <xf numFmtId="8" fontId="123" fillId="0" borderId="59">
      <protection locked="0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Fill="0" applyBorder="0" applyAlignment="0" applyProtection="0"/>
    <xf numFmtId="259" fontId="4" fillId="0" borderId="0" applyFill="0" applyBorder="0">
      <alignment horizontal="right"/>
    </xf>
    <xf numFmtId="264" fontId="2" fillId="0" borderId="0"/>
    <xf numFmtId="42" fontId="2" fillId="0" borderId="0" applyFont="0" applyFill="0" applyBorder="0" applyAlignment="0" applyProtection="0"/>
    <xf numFmtId="0" fontId="2" fillId="0" borderId="0" applyNumberFormat="0" applyAlignment="0">
      <alignment horizontal="left"/>
    </xf>
    <xf numFmtId="2" fontId="2" fillId="0" borderId="0" applyFont="0" applyFill="0" applyBorder="0" applyAlignment="0" applyProtection="0"/>
    <xf numFmtId="0" fontId="3" fillId="0" borderId="30" applyFont="0" applyFill="0" applyBorder="0" applyAlignment="0" applyProtection="0"/>
    <xf numFmtId="0" fontId="140" fillId="0" borderId="0" applyFill="0" applyBorder="0" applyProtection="0">
      <alignment horizontal="left"/>
    </xf>
    <xf numFmtId="0" fontId="237" fillId="0" borderId="0"/>
    <xf numFmtId="14" fontId="24" fillId="0" borderId="18" applyFont="0">
      <alignment horizontal="right"/>
    </xf>
    <xf numFmtId="0" fontId="51" fillId="7" borderId="0" applyNumberFormat="0" applyBorder="0" applyAlignment="0" applyProtection="0"/>
    <xf numFmtId="0" fontId="2" fillId="0" borderId="0" applyNumberFormat="0" applyFill="0" applyBorder="0" applyAlignment="0" applyProtection="0"/>
    <xf numFmtId="0" fontId="150" fillId="0" borderId="72" applyNumberFormat="0" applyFill="0" applyAlignment="0" applyProtection="0"/>
    <xf numFmtId="0" fontId="153" fillId="0" borderId="73" applyNumberFormat="0" applyFill="0" applyAlignment="0" applyProtection="0"/>
    <xf numFmtId="14" fontId="24" fillId="0" borderId="18" applyFont="0">
      <alignment horizontal="right"/>
    </xf>
    <xf numFmtId="0" fontId="156" fillId="0" borderId="74" applyNumberFormat="0" applyFill="0" applyAlignment="0" applyProtection="0"/>
    <xf numFmtId="0" fontId="237" fillId="0" borderId="0"/>
    <xf numFmtId="0" fontId="23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37" fillId="0" borderId="0"/>
    <xf numFmtId="42" fontId="2" fillId="0" borderId="0" applyFont="0" applyFill="0" applyBorder="0" applyAlignment="0" applyProtection="0"/>
    <xf numFmtId="5" fontId="291" fillId="0" borderId="0" applyFont="0" applyFill="0" applyBorder="0" applyAlignment="0" applyProtection="0"/>
    <xf numFmtId="272" fontId="24" fillId="0" borderId="0">
      <protection locked="0"/>
    </xf>
    <xf numFmtId="272" fontId="24" fillId="0" borderId="0">
      <protection locked="0"/>
    </xf>
    <xf numFmtId="0" fontId="163" fillId="0" borderId="75" applyNumberFormat="0" applyFill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0" fontId="55" fillId="4" borderId="1" applyNumberFormat="0" applyAlignment="0" applyProtection="0"/>
    <xf numFmtId="326" fontId="5" fillId="0" borderId="0" applyFont="0" applyFill="0" applyBorder="0" applyProtection="0">
      <alignment horizontal="right"/>
    </xf>
    <xf numFmtId="0" fontId="175" fillId="0" borderId="6" applyNumberFormat="0" applyFill="0" applyAlignment="0" applyProtection="0"/>
    <xf numFmtId="43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5" fontId="291" fillId="0" borderId="0" applyFont="0" applyFill="0" applyBorder="0" applyAlignment="0" applyProtection="0"/>
    <xf numFmtId="0" fontId="177" fillId="0" borderId="0" applyFont="0" applyFill="0" applyBorder="0" applyProtection="0">
      <alignment horizontal="right"/>
    </xf>
    <xf numFmtId="0" fontId="179" fillId="2" borderId="0" applyNumberFormat="0" applyBorder="0" applyAlignment="0" applyProtection="0"/>
    <xf numFmtId="0" fontId="2" fillId="0" borderId="0" applyNumberFormat="0" applyFont="0" applyFill="0" applyBorder="0" applyAlignment="0" applyProtection="0"/>
    <xf numFmtId="288" fontId="113" fillId="0" borderId="0"/>
    <xf numFmtId="14" fontId="113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249" fontId="6" fillId="0" borderId="0"/>
    <xf numFmtId="14" fontId="24" fillId="0" borderId="18" applyFont="0">
      <alignment horizontal="right"/>
    </xf>
    <xf numFmtId="0" fontId="237" fillId="0" borderId="0"/>
    <xf numFmtId="0" fontId="2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0" fillId="0" borderId="0"/>
    <xf numFmtId="0" fontId="2" fillId="0" borderId="0"/>
    <xf numFmtId="0" fontId="2" fillId="0" borderId="0"/>
    <xf numFmtId="0" fontId="2" fillId="0" borderId="0"/>
    <xf numFmtId="249" fontId="2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2" fillId="0" borderId="0" applyNumberFormat="0" applyFill="0" applyAlignment="0" applyProtection="0"/>
    <xf numFmtId="326" fontId="5" fillId="0" borderId="0" applyFont="0" applyFill="0" applyBorder="0" applyProtection="0">
      <alignment horizontal="right"/>
    </xf>
    <xf numFmtId="0" fontId="188" fillId="0" borderId="0"/>
    <xf numFmtId="0" fontId="55" fillId="84" borderId="1" applyNumberFormat="0" applyAlignment="0" applyProtection="0"/>
    <xf numFmtId="0" fontId="55" fillId="84" borderId="1" applyNumberFormat="0" applyAlignment="0" applyProtection="0"/>
    <xf numFmtId="0" fontId="1" fillId="8" borderId="7" applyNumberFormat="0" applyFont="0" applyAlignment="0" applyProtection="0"/>
    <xf numFmtId="0" fontId="237" fillId="0" borderId="0"/>
    <xf numFmtId="0" fontId="237" fillId="0" borderId="0"/>
    <xf numFmtId="14" fontId="24" fillId="0" borderId="18" applyFont="0">
      <alignment horizontal="right"/>
    </xf>
    <xf numFmtId="43" fontId="2" fillId="0" borderId="0" applyFont="0" applyFill="0" applyBorder="0" applyAlignment="0" applyProtection="0"/>
    <xf numFmtId="37" fontId="2" fillId="0" borderId="0"/>
    <xf numFmtId="43" fontId="2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58" fillId="3" borderId="8" applyNumberFormat="0" applyAlignment="0" applyProtection="0"/>
    <xf numFmtId="5" fontId="29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0" fontId="3" fillId="0" borderId="0"/>
    <xf numFmtId="5" fontId="291" fillId="0" borderId="0" applyFont="0" applyFill="0" applyBorder="0" applyAlignment="0" applyProtection="0"/>
    <xf numFmtId="306" fontId="215" fillId="0" borderId="0" applyNumberFormat="0" applyFill="0" applyBorder="0" applyAlignment="0" applyProtection="0">
      <alignment horizontal="left"/>
    </xf>
    <xf numFmtId="5" fontId="291" fillId="0" borderId="0" applyFont="0" applyFill="0" applyBorder="0" applyAlignment="0" applyProtection="0"/>
    <xf numFmtId="0" fontId="306" fillId="0" borderId="0" applyNumberFormat="0" applyFill="0" applyBorder="0" applyAlignment="0" applyProtection="0"/>
    <xf numFmtId="0" fontId="113" fillId="70" borderId="0" applyNumberFormat="0" applyFont="0" applyBorder="0" applyAlignment="0" applyProtection="0"/>
    <xf numFmtId="0" fontId="291" fillId="0" borderId="93" applyNumberFormat="0" applyFont="0" applyFill="0" applyAlignment="0" applyProtection="0"/>
    <xf numFmtId="0" fontId="2" fillId="0" borderId="0">
      <alignment horizontal="left" wrapText="1"/>
    </xf>
    <xf numFmtId="37" fontId="4" fillId="0" borderId="82" applyBorder="0"/>
    <xf numFmtId="37" fontId="115" fillId="0" borderId="82" applyBorder="0"/>
    <xf numFmtId="37" fontId="45" fillId="15" borderId="83" applyBorder="0">
      <alignment vertical="center"/>
    </xf>
    <xf numFmtId="0" fontId="24" fillId="0" borderId="0" applyFill="0" applyBorder="0" applyProtection="0">
      <alignment horizontal="left"/>
    </xf>
    <xf numFmtId="0" fontId="233" fillId="0" borderId="0" applyFill="0" applyBorder="0" applyProtection="0">
      <alignment horizontal="left" vertical="top"/>
    </xf>
    <xf numFmtId="0" fontId="79" fillId="0" borderId="0">
      <alignment horizontal="centerContinuous" wrapText="1"/>
    </xf>
    <xf numFmtId="0" fontId="61" fillId="0" borderId="0"/>
    <xf numFmtId="0" fontId="61" fillId="0" borderId="0"/>
    <xf numFmtId="230" fontId="2" fillId="12" borderId="93">
      <alignment horizontal="right"/>
    </xf>
    <xf numFmtId="328" fontId="2" fillId="12" borderId="93">
      <alignment horizontal="right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1" fillId="0" borderId="0"/>
    <xf numFmtId="0" fontId="61" fillId="0" borderId="0"/>
    <xf numFmtId="0" fontId="61" fillId="0" borderId="0"/>
    <xf numFmtId="0" fontId="61" fillId="0" borderId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26" fontId="5" fillId="0" borderId="0" applyFont="0" applyFill="0" applyBorder="0" applyProtection="0">
      <alignment horizontal="right"/>
    </xf>
    <xf numFmtId="14" fontId="24" fillId="0" borderId="18" applyFont="0">
      <alignment horizontal="right"/>
    </xf>
    <xf numFmtId="0" fontId="61" fillId="0" borderId="0"/>
    <xf numFmtId="0" fontId="55" fillId="84" borderId="1" applyNumberFormat="0" applyAlignment="0" applyProtection="0"/>
    <xf numFmtId="0" fontId="237" fillId="0" borderId="0"/>
    <xf numFmtId="0" fontId="237" fillId="0" borderId="0"/>
    <xf numFmtId="14" fontId="24" fillId="0" borderId="18" applyFont="0">
      <alignment horizontal="right"/>
    </xf>
    <xf numFmtId="44" fontId="2" fillId="0" borderId="0" applyFont="0" applyFill="0" applyBorder="0" applyAlignment="0" applyProtection="0"/>
    <xf numFmtId="0" fontId="61" fillId="0" borderId="0"/>
    <xf numFmtId="0" fontId="2" fillId="0" borderId="0" applyNumberFormat="0" applyFont="0" applyFill="0" applyBorder="0" applyAlignment="0" applyProtection="0"/>
    <xf numFmtId="5" fontId="291" fillId="0" borderId="0" applyFont="0" applyFill="0" applyBorder="0" applyAlignment="0" applyProtection="0"/>
    <xf numFmtId="314" fontId="238" fillId="0" borderId="0"/>
    <xf numFmtId="42" fontId="2" fillId="0" borderId="0" applyFont="0" applyFill="0" applyBorder="0" applyAlignment="0" applyProtection="0"/>
    <xf numFmtId="1" fontId="246" fillId="77" borderId="92" applyNumberFormat="0" applyBorder="0" applyAlignment="0">
      <alignment horizontal="center" vertical="top" wrapText="1"/>
      <protection hidden="1"/>
    </xf>
    <xf numFmtId="0" fontId="55" fillId="84" borderId="1" applyNumberFormat="0" applyAlignment="0" applyProtection="0"/>
    <xf numFmtId="202" fontId="79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top"/>
    </xf>
    <xf numFmtId="44" fontId="1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324" fontId="266" fillId="12" borderId="92" applyBorder="0">
      <alignment horizontal="right" vertical="center"/>
      <protection locked="0"/>
    </xf>
    <xf numFmtId="0" fontId="61" fillId="0" borderId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64" fontId="2" fillId="0" borderId="0"/>
    <xf numFmtId="2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61" fillId="0" borderId="0"/>
    <xf numFmtId="0" fontId="2" fillId="0" borderId="0" applyNumberFormat="0" applyFont="0" applyFill="0" applyBorder="0" applyAlignment="0" applyProtection="0"/>
    <xf numFmtId="0" fontId="237" fillId="0" borderId="0"/>
    <xf numFmtId="0" fontId="2" fillId="0" borderId="0" applyNumberFormat="0" applyFont="0" applyFill="0" applyBorder="0" applyAlignment="0" applyProtection="0"/>
    <xf numFmtId="9" fontId="2" fillId="0" borderId="0" applyFont="0" applyFill="0" applyBorder="0" applyAlignment="0" applyProtection="0"/>
    <xf numFmtId="326" fontId="5" fillId="0" borderId="0" applyFont="0" applyFill="0" applyBorder="0" applyProtection="0">
      <alignment horizontal="right"/>
    </xf>
    <xf numFmtId="0" fontId="55" fillId="84" borderId="1" applyNumberFormat="0" applyAlignment="0" applyProtection="0"/>
    <xf numFmtId="0" fontId="237" fillId="0" borderId="0"/>
    <xf numFmtId="0" fontId="237" fillId="0" borderId="0"/>
    <xf numFmtId="14" fontId="24" fillId="0" borderId="18" applyFont="0">
      <alignment horizontal="right"/>
    </xf>
    <xf numFmtId="43" fontId="2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44" fontId="2" fillId="0" borderId="0" applyFont="0" applyFill="0" applyBorder="0" applyAlignment="0" applyProtection="0"/>
    <xf numFmtId="0" fontId="306" fillId="0" borderId="0" applyNumberFormat="0" applyFill="0" applyBorder="0" applyAlignment="0" applyProtection="0"/>
    <xf numFmtId="5" fontId="29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0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30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324" fontId="266" fillId="12" borderId="25" applyBorder="0">
      <alignment horizontal="right" vertical="center"/>
      <protection locked="0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" fontId="246" fillId="77" borderId="25" applyNumberFormat="0" applyBorder="0" applyAlignment="0">
      <alignment horizontal="center" vertical="top" wrapText="1"/>
      <protection hidden="1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1" fillId="0" borderId="92" applyNumberFormat="0" applyFont="0" applyFill="0" applyAlignment="0" applyProtection="0"/>
    <xf numFmtId="0" fontId="3" fillId="0" borderId="92" applyFill="0" applyBorder="0" applyProtection="0">
      <alignment horizontal="left" vertical="top"/>
    </xf>
    <xf numFmtId="43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4" fontId="24" fillId="0" borderId="18" applyFont="0">
      <alignment horizontal="right"/>
    </xf>
    <xf numFmtId="0" fontId="237" fillId="0" borderId="0"/>
    <xf numFmtId="0" fontId="237" fillId="0" borderId="0"/>
    <xf numFmtId="0" fontId="55" fillId="84" borderId="1" applyNumberFormat="0" applyAlignment="0" applyProtection="0"/>
    <xf numFmtId="9" fontId="2" fillId="0" borderId="0" applyFont="0" applyFill="0" applyBorder="0" applyAlignment="0" applyProtection="0"/>
    <xf numFmtId="5" fontId="291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5" fontId="29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5" fillId="84" borderId="1" applyNumberFormat="0" applyAlignment="0" applyProtection="0"/>
    <xf numFmtId="0" fontId="237" fillId="0" borderId="0"/>
    <xf numFmtId="0" fontId="237" fillId="0" borderId="0"/>
    <xf numFmtId="14" fontId="24" fillId="0" borderId="18" applyFont="0">
      <alignment horizontal="right"/>
    </xf>
    <xf numFmtId="0" fontId="2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0" fontId="61" fillId="0" borderId="0"/>
    <xf numFmtId="0" fontId="61" fillId="0" borderId="0"/>
    <xf numFmtId="0" fontId="259" fillId="0" borderId="0"/>
    <xf numFmtId="0" fontId="267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324" fontId="266" fillId="12" borderId="92" applyBorder="0">
      <alignment horizontal="right" vertical="center"/>
      <protection locked="0"/>
    </xf>
    <xf numFmtId="1" fontId="246" fillId="77" borderId="92" applyNumberFormat="0" applyBorder="0" applyAlignment="0">
      <alignment horizontal="center" vertical="top" wrapText="1"/>
      <protection hidden="1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9" fillId="0" borderId="0"/>
  </cellStyleXfs>
  <cellXfs count="1037">
    <xf numFmtId="0" fontId="0" fillId="0" borderId="0" xfId="0"/>
    <xf numFmtId="1" fontId="62" fillId="16" borderId="0" xfId="0" applyNumberFormat="1" applyFont="1" applyFill="1" applyBorder="1"/>
    <xf numFmtId="1" fontId="62" fillId="16" borderId="12" xfId="0" applyNumberFormat="1" applyFont="1" applyFill="1" applyBorder="1"/>
    <xf numFmtId="1" fontId="62" fillId="16" borderId="13" xfId="0" applyNumberFormat="1" applyFont="1" applyFill="1" applyBorder="1"/>
    <xf numFmtId="164" fontId="9" fillId="3" borderId="0" xfId="8" applyNumberFormat="1" applyFont="1" applyFill="1" applyBorder="1"/>
    <xf numFmtId="0" fontId="11" fillId="3" borderId="0" xfId="0" applyFont="1" applyFill="1" applyBorder="1"/>
    <xf numFmtId="0" fontId="7" fillId="3" borderId="0" xfId="1" applyFont="1" applyFill="1" applyBorder="1"/>
    <xf numFmtId="0" fontId="12" fillId="3" borderId="0" xfId="0" applyFont="1" applyFill="1" applyBorder="1" applyAlignment="1">
      <alignment horizontal="center"/>
    </xf>
    <xf numFmtId="0" fontId="3" fillId="3" borderId="0" xfId="17" applyFont="1" applyFill="1" applyBorder="1">
      <alignment vertical="top"/>
    </xf>
    <xf numFmtId="0" fontId="12" fillId="3" borderId="0" xfId="0" applyFont="1" applyFill="1" applyBorder="1"/>
    <xf numFmtId="0" fontId="3" fillId="3" borderId="0" xfId="17" applyFont="1" applyFill="1" applyBorder="1" applyAlignment="1">
      <alignment horizontal="left" vertical="top" indent="2"/>
    </xf>
    <xf numFmtId="0" fontId="4" fillId="3" borderId="0" xfId="17" applyFont="1" applyFill="1" applyBorder="1">
      <alignment vertical="top"/>
    </xf>
    <xf numFmtId="0" fontId="13" fillId="3" borderId="0" xfId="0" applyFont="1" applyFill="1" applyBorder="1"/>
    <xf numFmtId="165" fontId="12" fillId="3" borderId="0" xfId="0" applyNumberFormat="1" applyFont="1" applyFill="1" applyBorder="1" applyAlignment="1">
      <alignment horizontal="center"/>
    </xf>
    <xf numFmtId="164" fontId="11" fillId="3" borderId="0" xfId="0" applyNumberFormat="1" applyFont="1" applyFill="1" applyBorder="1"/>
    <xf numFmtId="0" fontId="11" fillId="3" borderId="12" xfId="0" applyFont="1" applyFill="1" applyBorder="1"/>
    <xf numFmtId="0" fontId="11" fillId="3" borderId="13" xfId="0" applyFont="1" applyFill="1" applyBorder="1"/>
    <xf numFmtId="165" fontId="12" fillId="3" borderId="12" xfId="0" applyNumberFormat="1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164" fontId="9" fillId="3" borderId="12" xfId="8" applyNumberFormat="1" applyFont="1" applyFill="1" applyBorder="1"/>
    <xf numFmtId="164" fontId="9" fillId="3" borderId="13" xfId="8" applyNumberFormat="1" applyFont="1" applyFill="1" applyBorder="1"/>
    <xf numFmtId="164" fontId="11" fillId="3" borderId="12" xfId="0" applyNumberFormat="1" applyFont="1" applyFill="1" applyBorder="1"/>
    <xf numFmtId="164" fontId="11" fillId="3" borderId="13" xfId="0" applyNumberFormat="1" applyFont="1" applyFill="1" applyBorder="1"/>
    <xf numFmtId="43" fontId="11" fillId="3" borderId="0" xfId="0" applyNumberFormat="1" applyFont="1" applyFill="1" applyBorder="1"/>
    <xf numFmtId="164" fontId="18" fillId="3" borderId="0" xfId="8" applyNumberFormat="1" applyFont="1" applyFill="1" applyBorder="1" applyAlignment="1">
      <alignment horizontal="center"/>
    </xf>
    <xf numFmtId="164" fontId="17" fillId="3" borderId="0" xfId="8" applyNumberFormat="1" applyFont="1" applyFill="1" applyBorder="1" applyAlignment="1">
      <alignment horizontal="center"/>
    </xf>
    <xf numFmtId="164" fontId="12" fillId="3" borderId="0" xfId="8" applyNumberFormat="1" applyFont="1" applyFill="1" applyBorder="1" applyAlignment="1">
      <alignment horizontal="center"/>
    </xf>
    <xf numFmtId="164" fontId="11" fillId="3" borderId="0" xfId="8" applyNumberFormat="1" applyFont="1" applyFill="1" applyBorder="1"/>
    <xf numFmtId="164" fontId="18" fillId="3" borderId="0" xfId="8" applyNumberFormat="1" applyFont="1" applyFill="1" applyBorder="1"/>
    <xf numFmtId="167" fontId="16" fillId="3" borderId="0" xfId="24" applyNumberFormat="1" applyFont="1" applyFill="1" applyBorder="1" applyAlignment="1">
      <alignment horizontal="right"/>
    </xf>
    <xf numFmtId="164" fontId="18" fillId="3" borderId="12" xfId="8" applyNumberFormat="1" applyFont="1" applyFill="1" applyBorder="1"/>
    <xf numFmtId="164" fontId="18" fillId="3" borderId="13" xfId="8" applyNumberFormat="1" applyFont="1" applyFill="1" applyBorder="1"/>
    <xf numFmtId="167" fontId="16" fillId="3" borderId="12" xfId="0" applyNumberFormat="1" applyFont="1" applyFill="1" applyBorder="1"/>
    <xf numFmtId="167" fontId="16" fillId="3" borderId="0" xfId="0" applyNumberFormat="1" applyFont="1" applyFill="1" applyBorder="1"/>
    <xf numFmtId="167" fontId="16" fillId="3" borderId="13" xfId="0" applyNumberFormat="1" applyFont="1" applyFill="1" applyBorder="1"/>
    <xf numFmtId="167" fontId="20" fillId="3" borderId="12" xfId="24" applyNumberFormat="1" applyFont="1" applyFill="1" applyBorder="1" applyAlignment="1">
      <alignment horizontal="right"/>
    </xf>
    <xf numFmtId="167" fontId="20" fillId="3" borderId="0" xfId="24" applyNumberFormat="1" applyFont="1" applyFill="1" applyBorder="1" applyAlignment="1">
      <alignment horizontal="right"/>
    </xf>
    <xf numFmtId="167" fontId="20" fillId="3" borderId="13" xfId="24" applyNumberFormat="1" applyFont="1" applyFill="1" applyBorder="1" applyAlignment="1">
      <alignment horizontal="right"/>
    </xf>
    <xf numFmtId="167" fontId="19" fillId="3" borderId="12" xfId="24" applyNumberFormat="1" applyFont="1" applyFill="1" applyBorder="1" applyAlignment="1">
      <alignment horizontal="right"/>
    </xf>
    <xf numFmtId="167" fontId="19" fillId="3" borderId="0" xfId="24" applyNumberFormat="1" applyFont="1" applyFill="1" applyBorder="1" applyAlignment="1">
      <alignment horizontal="right"/>
    </xf>
    <xf numFmtId="167" fontId="19" fillId="3" borderId="13" xfId="24" applyNumberFormat="1" applyFont="1" applyFill="1" applyBorder="1" applyAlignment="1">
      <alignment horizontal="right"/>
    </xf>
    <xf numFmtId="164" fontId="11" fillId="3" borderId="12" xfId="8" applyNumberFormat="1" applyFont="1" applyFill="1" applyBorder="1"/>
    <xf numFmtId="164" fontId="11" fillId="3" borderId="13" xfId="8" applyNumberFormat="1" applyFont="1" applyFill="1" applyBorder="1"/>
    <xf numFmtId="164" fontId="21" fillId="3" borderId="0" xfId="8" applyNumberFormat="1" applyFont="1" applyFill="1" applyBorder="1"/>
    <xf numFmtId="43" fontId="11" fillId="3" borderId="0" xfId="8" applyFont="1" applyFill="1" applyBorder="1"/>
    <xf numFmtId="164" fontId="12" fillId="3" borderId="0" xfId="8" applyNumberFormat="1" applyFont="1" applyFill="1" applyBorder="1"/>
    <xf numFmtId="164" fontId="11" fillId="3" borderId="0" xfId="8" applyNumberFormat="1" applyFont="1" applyFill="1" applyBorder="1" applyAlignment="1">
      <alignment horizontal="right"/>
    </xf>
    <xf numFmtId="167" fontId="16" fillId="3" borderId="0" xfId="8" applyNumberFormat="1" applyFont="1" applyFill="1" applyBorder="1"/>
    <xf numFmtId="164" fontId="12" fillId="3" borderId="0" xfId="8" applyNumberFormat="1" applyFont="1" applyFill="1" applyBorder="1" applyAlignment="1">
      <alignment horizontal="right"/>
    </xf>
    <xf numFmtId="164" fontId="9" fillId="3" borderId="0" xfId="8" applyNumberFormat="1" applyFont="1" applyFill="1" applyBorder="1" applyAlignment="1">
      <alignment horizontal="right"/>
    </xf>
    <xf numFmtId="164" fontId="22" fillId="3" borderId="0" xfId="8" applyNumberFormat="1" applyFont="1" applyFill="1" applyBorder="1"/>
    <xf numFmtId="164" fontId="3" fillId="3" borderId="0" xfId="8" applyNumberFormat="1" applyFont="1" applyFill="1" applyBorder="1"/>
    <xf numFmtId="167" fontId="16" fillId="3" borderId="0" xfId="24" applyNumberFormat="1" applyFont="1" applyFill="1" applyBorder="1"/>
    <xf numFmtId="164" fontId="4" fillId="3" borderId="14" xfId="8" applyNumberFormat="1" applyFont="1" applyFill="1" applyBorder="1"/>
    <xf numFmtId="167" fontId="19" fillId="3" borderId="0" xfId="8" applyNumberFormat="1" applyFont="1" applyFill="1" applyBorder="1"/>
    <xf numFmtId="167" fontId="7" fillId="3" borderId="0" xfId="24" applyNumberFormat="1" applyFont="1" applyFill="1" applyBorder="1"/>
    <xf numFmtId="0" fontId="3" fillId="3" borderId="0" xfId="0" applyFont="1" applyFill="1" applyBorder="1"/>
    <xf numFmtId="164" fontId="3" fillId="3" borderId="0" xfId="8" applyNumberFormat="1" applyFont="1" applyFill="1" applyBorder="1" applyAlignment="1">
      <alignment vertical="top"/>
    </xf>
    <xf numFmtId="164" fontId="22" fillId="3" borderId="0" xfId="8" applyNumberFormat="1" applyFont="1" applyFill="1" applyBorder="1" applyAlignment="1">
      <alignment horizontal="right"/>
    </xf>
    <xf numFmtId="167" fontId="7" fillId="3" borderId="0" xfId="24" applyNumberFormat="1" applyFont="1" applyFill="1" applyBorder="1" applyAlignment="1">
      <alignment horizontal="right"/>
    </xf>
    <xf numFmtId="164" fontId="3" fillId="3" borderId="0" xfId="8" applyNumberFormat="1" applyFont="1" applyFill="1" applyBorder="1" applyAlignment="1">
      <alignment horizontal="right"/>
    </xf>
    <xf numFmtId="177" fontId="63" fillId="16" borderId="0" xfId="9" applyNumberFormat="1" applyFont="1" applyFill="1" applyBorder="1"/>
    <xf numFmtId="177" fontId="11" fillId="3" borderId="0" xfId="0" applyNumberFormat="1" applyFont="1" applyFill="1" applyBorder="1"/>
    <xf numFmtId="0" fontId="64" fillId="3" borderId="0" xfId="0" applyFont="1" applyFill="1" applyBorder="1"/>
    <xf numFmtId="164" fontId="63" fillId="3" borderId="0" xfId="8" applyNumberFormat="1" applyFont="1" applyFill="1" applyBorder="1"/>
    <xf numFmtId="164" fontId="65" fillId="3" borderId="0" xfId="8" applyNumberFormat="1" applyFont="1" applyFill="1" applyBorder="1"/>
    <xf numFmtId="164" fontId="66" fillId="3" borderId="0" xfId="8" applyNumberFormat="1" applyFont="1" applyFill="1" applyBorder="1"/>
    <xf numFmtId="0" fontId="4" fillId="7" borderId="0" xfId="1" applyFont="1" applyFill="1" applyBorder="1"/>
    <xf numFmtId="164" fontId="4" fillId="3" borderId="0" xfId="8" applyNumberFormat="1" applyFont="1" applyFill="1" applyBorder="1"/>
    <xf numFmtId="43" fontId="66" fillId="3" borderId="0" xfId="8" applyNumberFormat="1" applyFont="1" applyFill="1" applyBorder="1"/>
    <xf numFmtId="167" fontId="67" fillId="3" borderId="0" xfId="8" applyNumberFormat="1" applyFont="1" applyFill="1" applyBorder="1"/>
    <xf numFmtId="164" fontId="64" fillId="3" borderId="0" xfId="8" applyNumberFormat="1" applyFont="1" applyFill="1" applyBorder="1"/>
    <xf numFmtId="9" fontId="16" fillId="3" borderId="0" xfId="0" applyNumberFormat="1" applyFont="1" applyFill="1" applyBorder="1"/>
    <xf numFmtId="164" fontId="68" fillId="3" borderId="0" xfId="8" applyNumberFormat="1" applyFont="1" applyFill="1" applyBorder="1"/>
    <xf numFmtId="9" fontId="69" fillId="3" borderId="0" xfId="24" applyFont="1" applyFill="1" applyBorder="1"/>
    <xf numFmtId="9" fontId="16" fillId="3" borderId="0" xfId="8" applyNumberFormat="1" applyFont="1" applyFill="1" applyBorder="1"/>
    <xf numFmtId="164" fontId="64" fillId="3" borderId="0" xfId="8" applyNumberFormat="1" applyFont="1" applyFill="1" applyBorder="1" applyAlignment="1">
      <alignment vertical="top"/>
    </xf>
    <xf numFmtId="0" fontId="11" fillId="3" borderId="0" xfId="0" applyFont="1" applyFill="1" applyBorder="1" applyAlignment="1">
      <alignment horizontal="right"/>
    </xf>
    <xf numFmtId="0" fontId="7" fillId="3" borderId="0" xfId="1" applyFont="1" applyFill="1" applyBorder="1" applyAlignment="1">
      <alignment wrapText="1"/>
    </xf>
    <xf numFmtId="0" fontId="11" fillId="3" borderId="0" xfId="0" applyFont="1" applyFill="1" applyBorder="1" applyAlignment="1">
      <alignment wrapText="1"/>
    </xf>
    <xf numFmtId="0" fontId="11" fillId="3" borderId="0" xfId="0" applyNumberFormat="1" applyFont="1" applyFill="1" applyBorder="1"/>
    <xf numFmtId="0" fontId="3" fillId="16" borderId="0" xfId="17" applyFont="1" applyFill="1" applyBorder="1">
      <alignment vertical="top"/>
    </xf>
    <xf numFmtId="0" fontId="11" fillId="16" borderId="0" xfId="0" applyFont="1" applyFill="1" applyBorder="1"/>
    <xf numFmtId="0" fontId="12" fillId="16" borderId="0" xfId="0" applyFont="1" applyFill="1" applyBorder="1"/>
    <xf numFmtId="165" fontId="12" fillId="16" borderId="0" xfId="0" applyNumberFormat="1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/>
    </xf>
    <xf numFmtId="164" fontId="11" fillId="16" borderId="0" xfId="8" applyNumberFormat="1" applyFont="1" applyFill="1" applyBorder="1"/>
    <xf numFmtId="164" fontId="12" fillId="16" borderId="0" xfId="8" applyNumberFormat="1" applyFont="1" applyFill="1" applyBorder="1"/>
    <xf numFmtId="164" fontId="11" fillId="16" borderId="0" xfId="0" applyNumberFormat="1" applyFont="1" applyFill="1" applyBorder="1"/>
    <xf numFmtId="0" fontId="16" fillId="3" borderId="0" xfId="0" applyFont="1" applyFill="1" applyBorder="1" applyAlignment="1">
      <alignment horizontal="left" indent="2"/>
    </xf>
    <xf numFmtId="180" fontId="11" fillId="3" borderId="0" xfId="11" applyNumberFormat="1" applyFont="1" applyFill="1" applyBorder="1" applyAlignment="1">
      <alignment horizontal="right"/>
    </xf>
    <xf numFmtId="164" fontId="70" fillId="3" borderId="0" xfId="8" applyNumberFormat="1" applyFont="1" applyFill="1" applyBorder="1"/>
    <xf numFmtId="175" fontId="18" fillId="3" borderId="0" xfId="8" applyNumberFormat="1" applyFont="1" applyFill="1" applyBorder="1"/>
    <xf numFmtId="1" fontId="11" fillId="3" borderId="0" xfId="0" applyNumberFormat="1" applyFont="1" applyFill="1" applyBorder="1"/>
    <xf numFmtId="164" fontId="65" fillId="16" borderId="0" xfId="8" applyNumberFormat="1" applyFont="1" applyFill="1" applyBorder="1"/>
    <xf numFmtId="164" fontId="64" fillId="16" borderId="0" xfId="8" applyNumberFormat="1" applyFont="1" applyFill="1" applyBorder="1"/>
    <xf numFmtId="164" fontId="65" fillId="3" borderId="0" xfId="8" applyNumberFormat="1" applyFont="1" applyFill="1" applyBorder="1" applyAlignment="1">
      <alignment horizontal="right"/>
    </xf>
    <xf numFmtId="9" fontId="11" fillId="3" borderId="0" xfId="0" applyNumberFormat="1" applyFont="1" applyFill="1" applyBorder="1"/>
    <xf numFmtId="167" fontId="11" fillId="3" borderId="0" xfId="0" applyNumberFormat="1" applyFont="1" applyFill="1" applyBorder="1"/>
    <xf numFmtId="43" fontId="11" fillId="3" borderId="0" xfId="8" applyNumberFormat="1" applyFont="1" applyFill="1" applyBorder="1"/>
    <xf numFmtId="164" fontId="12" fillId="16" borderId="0" xfId="0" applyNumberFormat="1" applyFont="1" applyFill="1" applyBorder="1"/>
    <xf numFmtId="43" fontId="64" fillId="3" borderId="0" xfId="8" applyFont="1" applyFill="1" applyBorder="1"/>
    <xf numFmtId="164" fontId="4" fillId="3" borderId="0" xfId="8" applyNumberFormat="1" applyFont="1" applyFill="1" applyBorder="1" applyAlignment="1">
      <alignment vertical="top"/>
    </xf>
    <xf numFmtId="164" fontId="4" fillId="3" borderId="14" xfId="8" applyNumberFormat="1" applyFont="1" applyFill="1" applyBorder="1" applyAlignment="1">
      <alignment vertical="top"/>
    </xf>
    <xf numFmtId="164" fontId="4" fillId="3" borderId="18" xfId="8" applyNumberFormat="1" applyFont="1" applyFill="1" applyBorder="1" applyAlignment="1">
      <alignment vertical="top"/>
    </xf>
    <xf numFmtId="0" fontId="12" fillId="3" borderId="0" xfId="0" applyNumberFormat="1" applyFont="1" applyFill="1" applyBorder="1" applyAlignment="1">
      <alignment horizontal="center"/>
    </xf>
    <xf numFmtId="0" fontId="62" fillId="16" borderId="0" xfId="0" applyFont="1" applyFill="1" applyBorder="1"/>
    <xf numFmtId="0" fontId="16" fillId="3" borderId="0" xfId="0" applyFont="1" applyFill="1" applyBorder="1"/>
    <xf numFmtId="0" fontId="11" fillId="17" borderId="0" xfId="0" applyFont="1" applyFill="1" applyBorder="1"/>
    <xf numFmtId="0" fontId="12" fillId="17" borderId="0" xfId="0" applyNumberFormat="1" applyFont="1" applyFill="1" applyBorder="1" applyAlignment="1">
      <alignment horizontal="center"/>
    </xf>
    <xf numFmtId="165" fontId="12" fillId="17" borderId="0" xfId="0" applyNumberFormat="1" applyFont="1" applyFill="1" applyBorder="1" applyAlignment="1">
      <alignment horizontal="center"/>
    </xf>
    <xf numFmtId="0" fontId="12" fillId="17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left" indent="2"/>
    </xf>
    <xf numFmtId="164" fontId="62" fillId="16" borderId="0" xfId="0" applyNumberFormat="1" applyFont="1" applyFill="1" applyBorder="1"/>
    <xf numFmtId="0" fontId="11" fillId="3" borderId="0" xfId="0" applyFont="1" applyFill="1" applyBorder="1" applyAlignment="1">
      <alignment horizontal="left"/>
    </xf>
    <xf numFmtId="0" fontId="11" fillId="3" borderId="0" xfId="0" applyFont="1" applyFill="1" applyBorder="1" applyAlignment="1">
      <alignment horizontal="justify"/>
    </xf>
    <xf numFmtId="167" fontId="62" fillId="16" borderId="0" xfId="0" applyNumberFormat="1" applyFont="1" applyFill="1" applyBorder="1"/>
    <xf numFmtId="167" fontId="69" fillId="17" borderId="0" xfId="24" applyNumberFormat="1" applyFont="1" applyFill="1" applyBorder="1" applyAlignment="1">
      <alignment horizontal="right"/>
    </xf>
    <xf numFmtId="180" fontId="17" fillId="3" borderId="0" xfId="11" applyNumberFormat="1" applyFont="1" applyFill="1" applyBorder="1" applyAlignment="1">
      <alignment horizontal="right"/>
    </xf>
    <xf numFmtId="164" fontId="63" fillId="17" borderId="0" xfId="8" applyNumberFormat="1" applyFont="1" applyFill="1" applyBorder="1"/>
    <xf numFmtId="7" fontId="63" fillId="17" borderId="0" xfId="8" applyNumberFormat="1" applyFont="1" applyFill="1" applyBorder="1"/>
    <xf numFmtId="164" fontId="69" fillId="17" borderId="0" xfId="8" applyNumberFormat="1" applyFont="1" applyFill="1" applyBorder="1"/>
    <xf numFmtId="0" fontId="11" fillId="16" borderId="0" xfId="0" applyFont="1" applyFill="1" applyBorder="1" applyAlignment="1">
      <alignment horizontal="left" indent="2"/>
    </xf>
    <xf numFmtId="0" fontId="12" fillId="16" borderId="0" xfId="0" applyNumberFormat="1" applyFont="1" applyFill="1" applyBorder="1" applyAlignment="1">
      <alignment horizontal="center"/>
    </xf>
    <xf numFmtId="0" fontId="16" fillId="16" borderId="0" xfId="0" applyFont="1" applyFill="1" applyBorder="1"/>
    <xf numFmtId="167" fontId="16" fillId="16" borderId="0" xfId="0" applyNumberFormat="1" applyFont="1" applyFill="1" applyBorder="1"/>
    <xf numFmtId="164" fontId="12" fillId="16" borderId="0" xfId="8" applyNumberFormat="1" applyFont="1" applyFill="1" applyBorder="1" applyAlignment="1">
      <alignment horizontal="center"/>
    </xf>
    <xf numFmtId="167" fontId="16" fillId="16" borderId="0" xfId="24" applyNumberFormat="1" applyFont="1" applyFill="1" applyBorder="1" applyAlignment="1">
      <alignment horizontal="right"/>
    </xf>
    <xf numFmtId="167" fontId="20" fillId="16" borderId="0" xfId="24" applyNumberFormat="1" applyFont="1" applyFill="1" applyBorder="1" applyAlignment="1">
      <alignment horizontal="right"/>
    </xf>
    <xf numFmtId="164" fontId="18" fillId="16" borderId="0" xfId="8" applyNumberFormat="1" applyFont="1" applyFill="1" applyBorder="1"/>
    <xf numFmtId="167" fontId="19" fillId="16" borderId="0" xfId="24" applyNumberFormat="1" applyFont="1" applyFill="1" applyBorder="1" applyAlignment="1">
      <alignment horizontal="right"/>
    </xf>
    <xf numFmtId="180" fontId="11" fillId="16" borderId="0" xfId="0" applyNumberFormat="1" applyFont="1" applyFill="1" applyBorder="1" applyAlignment="1">
      <alignment horizontal="right"/>
    </xf>
    <xf numFmtId="180" fontId="17" fillId="16" borderId="0" xfId="11" applyNumberFormat="1" applyFont="1" applyFill="1" applyBorder="1" applyAlignment="1">
      <alignment horizontal="right"/>
    </xf>
    <xf numFmtId="164" fontId="22" fillId="16" borderId="0" xfId="8" applyNumberFormat="1" applyFont="1" applyFill="1" applyBorder="1"/>
    <xf numFmtId="164" fontId="4" fillId="16" borderId="0" xfId="8" applyNumberFormat="1" applyFont="1" applyFill="1" applyBorder="1" applyAlignment="1">
      <alignment horizontal="right"/>
    </xf>
    <xf numFmtId="167" fontId="7" fillId="16" borderId="0" xfId="24" applyNumberFormat="1" applyFont="1" applyFill="1" applyBorder="1" applyAlignment="1">
      <alignment horizontal="right"/>
    </xf>
    <xf numFmtId="164" fontId="3" fillId="16" borderId="0" xfId="8" applyNumberFormat="1" applyFont="1" applyFill="1" applyBorder="1" applyAlignment="1">
      <alignment horizontal="right"/>
    </xf>
    <xf numFmtId="180" fontId="11" fillId="16" borderId="0" xfId="11" applyNumberFormat="1" applyFont="1" applyFill="1" applyBorder="1" applyAlignment="1">
      <alignment horizontal="right"/>
    </xf>
    <xf numFmtId="44" fontId="11" fillId="3" borderId="0" xfId="11" applyFont="1" applyFill="1" applyBorder="1"/>
    <xf numFmtId="0" fontId="73" fillId="16" borderId="0" xfId="0" applyFont="1" applyFill="1" applyBorder="1"/>
    <xf numFmtId="0" fontId="9" fillId="8" borderId="0" xfId="0" applyFont="1" applyFill="1" applyBorder="1" applyAlignment="1">
      <alignment horizontal="center" vertical="center"/>
    </xf>
    <xf numFmtId="164" fontId="21" fillId="16" borderId="0" xfId="8" applyNumberFormat="1" applyFont="1" applyFill="1" applyBorder="1"/>
    <xf numFmtId="0" fontId="4" fillId="3" borderId="0" xfId="0" applyNumberFormat="1" applyFont="1" applyFill="1" applyBorder="1" applyAlignment="1">
      <alignment horizontal="center"/>
    </xf>
    <xf numFmtId="165" fontId="4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0" xfId="0" applyFont="1" applyFill="1" applyBorder="1"/>
    <xf numFmtId="0" fontId="2" fillId="16" borderId="0" xfId="0" applyFont="1" applyFill="1" applyBorder="1"/>
    <xf numFmtId="167" fontId="69" fillId="17" borderId="0" xfId="24" applyNumberFormat="1" applyFont="1" applyFill="1" applyBorder="1"/>
    <xf numFmtId="164" fontId="3" fillId="16" borderId="0" xfId="8" applyNumberFormat="1" applyFont="1" applyFill="1" applyBorder="1"/>
    <xf numFmtId="175" fontId="12" fillId="3" borderId="0" xfId="8" applyNumberFormat="1" applyFont="1" applyFill="1" applyBorder="1" applyAlignment="1">
      <alignment horizontal="right"/>
    </xf>
    <xf numFmtId="0" fontId="16" fillId="3" borderId="0" xfId="0" applyFont="1" applyFill="1" applyBorder="1" applyAlignment="1">
      <alignment horizontal="left" indent="4"/>
    </xf>
    <xf numFmtId="164" fontId="10" fillId="3" borderId="0" xfId="8" applyNumberFormat="1" applyFont="1" applyFill="1" applyBorder="1"/>
    <xf numFmtId="164" fontId="10" fillId="3" borderId="0" xfId="8" applyNumberFormat="1" applyFont="1" applyFill="1" applyBorder="1" applyAlignment="1">
      <alignment horizontal="right"/>
    </xf>
    <xf numFmtId="9" fontId="35" fillId="3" borderId="0" xfId="0" applyNumberFormat="1" applyFont="1" applyFill="1" applyBorder="1"/>
    <xf numFmtId="167" fontId="12" fillId="3" borderId="0" xfId="0" applyNumberFormat="1" applyFont="1" applyFill="1" applyBorder="1"/>
    <xf numFmtId="9" fontId="69" fillId="17" borderId="0" xfId="8" applyNumberFormat="1" applyFont="1" applyFill="1" applyBorder="1"/>
    <xf numFmtId="167" fontId="69" fillId="17" borderId="0" xfId="8" applyNumberFormat="1" applyFont="1" applyFill="1" applyBorder="1"/>
    <xf numFmtId="0" fontId="7" fillId="3" borderId="0" xfId="24" applyNumberFormat="1" applyFont="1" applyFill="1" applyBorder="1"/>
    <xf numFmtId="177" fontId="4" fillId="16" borderId="0" xfId="9" applyNumberFormat="1" applyFont="1" applyFill="1" applyBorder="1"/>
    <xf numFmtId="164" fontId="4" fillId="16" borderId="0" xfId="9" applyNumberFormat="1" applyFont="1" applyFill="1" applyBorder="1"/>
    <xf numFmtId="0" fontId="3" fillId="3" borderId="0" xfId="1" applyFont="1" applyFill="1" applyBorder="1" applyAlignment="1">
      <alignment wrapText="1"/>
    </xf>
    <xf numFmtId="164" fontId="65" fillId="3" borderId="0" xfId="8" applyNumberFormat="1" applyFont="1" applyFill="1" applyBorder="1" applyAlignment="1">
      <alignment wrapText="1"/>
    </xf>
    <xf numFmtId="43" fontId="3" fillId="3" borderId="0" xfId="8" applyFont="1" applyFill="1" applyBorder="1" applyAlignment="1">
      <alignment vertical="top"/>
    </xf>
    <xf numFmtId="167" fontId="69" fillId="16" borderId="0" xfId="24" applyNumberFormat="1" applyFont="1" applyFill="1" applyBorder="1" applyAlignment="1">
      <alignment horizontal="right"/>
    </xf>
    <xf numFmtId="164" fontId="11" fillId="16" borderId="0" xfId="8" applyNumberFormat="1" applyFont="1" applyFill="1" applyBorder="1" applyAlignment="1">
      <alignment horizontal="right"/>
    </xf>
    <xf numFmtId="167" fontId="7" fillId="16" borderId="0" xfId="9" applyNumberFormat="1" applyFont="1" applyFill="1" applyBorder="1"/>
    <xf numFmtId="164" fontId="4" fillId="16" borderId="0" xfId="8" applyNumberFormat="1" applyFont="1" applyFill="1" applyBorder="1"/>
    <xf numFmtId="164" fontId="11" fillId="3" borderId="0" xfId="0" applyNumberFormat="1" applyFont="1" applyFill="1" applyBorder="1" applyAlignment="1">
      <alignment wrapText="1"/>
    </xf>
    <xf numFmtId="164" fontId="64" fillId="3" borderId="0" xfId="8" applyNumberFormat="1" applyFont="1" applyFill="1" applyBorder="1" applyAlignment="1">
      <alignment wrapText="1"/>
    </xf>
    <xf numFmtId="167" fontId="64" fillId="3" borderId="0" xfId="8" applyNumberFormat="1" applyFont="1" applyFill="1" applyBorder="1" applyAlignment="1">
      <alignment wrapText="1"/>
    </xf>
    <xf numFmtId="164" fontId="11" fillId="3" borderId="0" xfId="8" applyNumberFormat="1" applyFont="1" applyFill="1" applyBorder="1" applyAlignment="1">
      <alignment wrapText="1"/>
    </xf>
    <xf numFmtId="167" fontId="67" fillId="3" borderId="0" xfId="8" applyNumberFormat="1" applyFont="1" applyFill="1" applyBorder="1" applyAlignment="1">
      <alignment wrapText="1"/>
    </xf>
    <xf numFmtId="164" fontId="64" fillId="16" borderId="0" xfId="8" applyNumberFormat="1" applyFont="1" applyFill="1" applyBorder="1" applyAlignment="1">
      <alignment vertical="top"/>
    </xf>
    <xf numFmtId="164" fontId="9" fillId="16" borderId="0" xfId="8" applyNumberFormat="1" applyFont="1" applyFill="1" applyBorder="1"/>
    <xf numFmtId="164" fontId="3" fillId="16" borderId="0" xfId="8" applyNumberFormat="1" applyFont="1" applyFill="1" applyBorder="1" applyAlignment="1">
      <alignment vertical="top"/>
    </xf>
    <xf numFmtId="167" fontId="19" fillId="16" borderId="0" xfId="8" applyNumberFormat="1" applyFont="1" applyFill="1" applyBorder="1"/>
    <xf numFmtId="43" fontId="11" fillId="16" borderId="0" xfId="8" applyFont="1" applyFill="1" applyBorder="1"/>
    <xf numFmtId="167" fontId="16" fillId="16" borderId="0" xfId="8" applyNumberFormat="1" applyFont="1" applyFill="1" applyBorder="1"/>
    <xf numFmtId="167" fontId="16" fillId="16" borderId="0" xfId="8" applyNumberFormat="1" applyFont="1" applyFill="1" applyBorder="1" applyAlignment="1">
      <alignment horizontal="right"/>
    </xf>
    <xf numFmtId="167" fontId="16" fillId="16" borderId="0" xfId="24" applyNumberFormat="1" applyFont="1" applyFill="1" applyBorder="1"/>
    <xf numFmtId="164" fontId="12" fillId="16" borderId="0" xfId="8" applyNumberFormat="1" applyFont="1" applyFill="1" applyBorder="1" applyAlignment="1">
      <alignment horizontal="right"/>
    </xf>
    <xf numFmtId="164" fontId="66" fillId="16" borderId="0" xfId="8" applyNumberFormat="1" applyFont="1" applyFill="1" applyBorder="1"/>
    <xf numFmtId="164" fontId="64" fillId="16" borderId="0" xfId="0" applyNumberFormat="1" applyFont="1" applyFill="1" applyBorder="1"/>
    <xf numFmtId="167" fontId="63" fillId="17" borderId="0" xfId="24" applyNumberFormat="1" applyFont="1" applyFill="1" applyBorder="1"/>
    <xf numFmtId="43" fontId="11" fillId="16" borderId="0" xfId="0" applyNumberFormat="1" applyFont="1" applyFill="1" applyBorder="1"/>
    <xf numFmtId="0" fontId="11" fillId="16" borderId="0" xfId="0" applyFont="1" applyFill="1" applyBorder="1" applyAlignment="1">
      <alignment wrapText="1"/>
    </xf>
    <xf numFmtId="164" fontId="68" fillId="16" borderId="0" xfId="8" applyNumberFormat="1" applyFont="1" applyFill="1" applyBorder="1"/>
    <xf numFmtId="0" fontId="16" fillId="16" borderId="0" xfId="0" applyFont="1" applyFill="1" applyBorder="1" applyAlignment="1">
      <alignment horizontal="left" indent="2"/>
    </xf>
    <xf numFmtId="167" fontId="69" fillId="16" borderId="0" xfId="8" applyNumberFormat="1" applyFont="1" applyFill="1" applyBorder="1"/>
    <xf numFmtId="167" fontId="67" fillId="16" borderId="0" xfId="8" applyNumberFormat="1" applyFont="1" applyFill="1" applyBorder="1"/>
    <xf numFmtId="0" fontId="16" fillId="16" borderId="0" xfId="0" applyFont="1" applyFill="1" applyBorder="1" applyAlignment="1">
      <alignment horizontal="left" indent="4"/>
    </xf>
    <xf numFmtId="164" fontId="71" fillId="3" borderId="0" xfId="8" applyNumberFormat="1" applyFont="1" applyFill="1" applyBorder="1"/>
    <xf numFmtId="43" fontId="73" fillId="16" borderId="0" xfId="0" applyNumberFormat="1" applyFont="1" applyFill="1" applyBorder="1"/>
    <xf numFmtId="0" fontId="18" fillId="16" borderId="0" xfId="0" applyFont="1" applyFill="1" applyBorder="1"/>
    <xf numFmtId="0" fontId="21" fillId="16" borderId="0" xfId="0" applyFont="1" applyFill="1" applyBorder="1"/>
    <xf numFmtId="164" fontId="64" fillId="3" borderId="0" xfId="8" applyNumberFormat="1" applyFont="1" applyFill="1" applyBorder="1" applyAlignment="1">
      <alignment horizontal="right"/>
    </xf>
    <xf numFmtId="0" fontId="12" fillId="17" borderId="13" xfId="0" applyNumberFormat="1" applyFont="1" applyFill="1" applyBorder="1" applyAlignment="1">
      <alignment horizontal="center"/>
    </xf>
    <xf numFmtId="177" fontId="11" fillId="3" borderId="13" xfId="0" applyNumberFormat="1" applyFont="1" applyFill="1" applyBorder="1"/>
    <xf numFmtId="0" fontId="11" fillId="16" borderId="0" xfId="0" applyNumberFormat="1" applyFont="1" applyFill="1" applyBorder="1"/>
    <xf numFmtId="0" fontId="12" fillId="3" borderId="12" xfId="0" applyNumberFormat="1" applyFont="1" applyFill="1" applyBorder="1" applyAlignment="1">
      <alignment horizontal="center"/>
    </xf>
    <xf numFmtId="0" fontId="12" fillId="3" borderId="13" xfId="0" applyNumberFormat="1" applyFont="1" applyFill="1" applyBorder="1" applyAlignment="1">
      <alignment horizontal="center"/>
    </xf>
    <xf numFmtId="0" fontId="62" fillId="16" borderId="12" xfId="0" applyFont="1" applyFill="1" applyBorder="1"/>
    <xf numFmtId="0" fontId="62" fillId="16" borderId="13" xfId="0" applyFont="1" applyFill="1" applyBorder="1"/>
    <xf numFmtId="164" fontId="17" fillId="3" borderId="12" xfId="8" applyNumberFormat="1" applyFont="1" applyFill="1" applyBorder="1" applyAlignment="1">
      <alignment horizontal="center"/>
    </xf>
    <xf numFmtId="164" fontId="17" fillId="3" borderId="13" xfId="8" applyNumberFormat="1" applyFont="1" applyFill="1" applyBorder="1" applyAlignment="1">
      <alignment horizontal="center"/>
    </xf>
    <xf numFmtId="164" fontId="12" fillId="3" borderId="12" xfId="8" applyNumberFormat="1" applyFont="1" applyFill="1" applyBorder="1"/>
    <xf numFmtId="164" fontId="12" fillId="3" borderId="13" xfId="8" applyNumberFormat="1" applyFont="1" applyFill="1" applyBorder="1"/>
    <xf numFmtId="164" fontId="18" fillId="3" borderId="12" xfId="8" applyNumberFormat="1" applyFont="1" applyFill="1" applyBorder="1" applyAlignment="1">
      <alignment horizontal="center"/>
    </xf>
    <xf numFmtId="164" fontId="18" fillId="3" borderId="13" xfId="8" applyNumberFormat="1" applyFont="1" applyFill="1" applyBorder="1" applyAlignment="1">
      <alignment horizontal="center"/>
    </xf>
    <xf numFmtId="164" fontId="65" fillId="3" borderId="12" xfId="8" applyNumberFormat="1" applyFont="1" applyFill="1" applyBorder="1" applyAlignment="1">
      <alignment horizontal="right"/>
    </xf>
    <xf numFmtId="164" fontId="65" fillId="3" borderId="13" xfId="8" applyNumberFormat="1" applyFont="1" applyFill="1" applyBorder="1" applyAlignment="1">
      <alignment horizontal="right"/>
    </xf>
    <xf numFmtId="164" fontId="12" fillId="3" borderId="12" xfId="8" applyNumberFormat="1" applyFont="1" applyFill="1" applyBorder="1" applyAlignment="1">
      <alignment horizontal="center"/>
    </xf>
    <xf numFmtId="164" fontId="12" fillId="3" borderId="13" xfId="8" applyNumberFormat="1" applyFont="1" applyFill="1" applyBorder="1" applyAlignment="1">
      <alignment horizontal="center"/>
    </xf>
    <xf numFmtId="167" fontId="16" fillId="3" borderId="12" xfId="24" applyNumberFormat="1" applyFont="1" applyFill="1" applyBorder="1" applyAlignment="1">
      <alignment horizontal="right"/>
    </xf>
    <xf numFmtId="167" fontId="16" fillId="3" borderId="13" xfId="24" applyNumberFormat="1" applyFont="1" applyFill="1" applyBorder="1" applyAlignment="1">
      <alignment horizontal="right"/>
    </xf>
    <xf numFmtId="180" fontId="11" fillId="3" borderId="12" xfId="11" applyNumberFormat="1" applyFont="1" applyFill="1" applyBorder="1" applyAlignment="1">
      <alignment horizontal="right"/>
    </xf>
    <xf numFmtId="180" fontId="11" fillId="3" borderId="13" xfId="11" applyNumberFormat="1" applyFont="1" applyFill="1" applyBorder="1" applyAlignment="1">
      <alignment horizontal="right"/>
    </xf>
    <xf numFmtId="180" fontId="17" fillId="3" borderId="12" xfId="11" applyNumberFormat="1" applyFont="1" applyFill="1" applyBorder="1" applyAlignment="1">
      <alignment horizontal="right"/>
    </xf>
    <xf numFmtId="180" fontId="17" fillId="3" borderId="13" xfId="11" applyNumberFormat="1" applyFont="1" applyFill="1" applyBorder="1" applyAlignment="1">
      <alignment horizontal="right"/>
    </xf>
    <xf numFmtId="164" fontId="62" fillId="16" borderId="12" xfId="0" applyNumberFormat="1" applyFont="1" applyFill="1" applyBorder="1"/>
    <xf numFmtId="164" fontId="62" fillId="16" borderId="13" xfId="0" applyNumberFormat="1" applyFont="1" applyFill="1" applyBorder="1"/>
    <xf numFmtId="164" fontId="22" fillId="3" borderId="12" xfId="8" applyNumberFormat="1" applyFont="1" applyFill="1" applyBorder="1"/>
    <xf numFmtId="164" fontId="22" fillId="3" borderId="13" xfId="8" applyNumberFormat="1" applyFont="1" applyFill="1" applyBorder="1"/>
    <xf numFmtId="167" fontId="7" fillId="3" borderId="12" xfId="24" applyNumberFormat="1" applyFont="1" applyFill="1" applyBorder="1" applyAlignment="1">
      <alignment horizontal="right"/>
    </xf>
    <xf numFmtId="167" fontId="7" fillId="3" borderId="13" xfId="24" applyNumberFormat="1" applyFont="1" applyFill="1" applyBorder="1" applyAlignment="1">
      <alignment horizontal="right"/>
    </xf>
    <xf numFmtId="164" fontId="3" fillId="3" borderId="12" xfId="8" applyNumberFormat="1" applyFont="1" applyFill="1" applyBorder="1" applyAlignment="1">
      <alignment horizontal="right"/>
    </xf>
    <xf numFmtId="164" fontId="3" fillId="3" borderId="13" xfId="8" applyNumberFormat="1" applyFont="1" applyFill="1" applyBorder="1" applyAlignment="1">
      <alignment horizontal="right"/>
    </xf>
    <xf numFmtId="164" fontId="22" fillId="3" borderId="12" xfId="8" applyNumberFormat="1" applyFont="1" applyFill="1" applyBorder="1" applyAlignment="1">
      <alignment horizontal="right"/>
    </xf>
    <xf numFmtId="164" fontId="22" fillId="3" borderId="13" xfId="8" applyNumberFormat="1" applyFont="1" applyFill="1" applyBorder="1" applyAlignment="1">
      <alignment horizontal="right"/>
    </xf>
    <xf numFmtId="167" fontId="16" fillId="3" borderId="12" xfId="24" applyNumberFormat="1" applyFont="1" applyFill="1" applyBorder="1"/>
    <xf numFmtId="167" fontId="16" fillId="3" borderId="13" xfId="24" applyNumberFormat="1" applyFont="1" applyFill="1" applyBorder="1"/>
    <xf numFmtId="44" fontId="11" fillId="3" borderId="12" xfId="11" applyFont="1" applyFill="1" applyBorder="1"/>
    <xf numFmtId="44" fontId="11" fillId="3" borderId="13" xfId="11" applyFont="1" applyFill="1" applyBorder="1"/>
    <xf numFmtId="164" fontId="65" fillId="3" borderId="12" xfId="8" applyNumberFormat="1" applyFont="1" applyFill="1" applyBorder="1"/>
    <xf numFmtId="164" fontId="65" fillId="3" borderId="13" xfId="8" applyNumberFormat="1" applyFont="1" applyFill="1" applyBorder="1"/>
    <xf numFmtId="164" fontId="64" fillId="3" borderId="12" xfId="8" applyNumberFormat="1" applyFont="1" applyFill="1" applyBorder="1"/>
    <xf numFmtId="164" fontId="64" fillId="3" borderId="13" xfId="8" applyNumberFormat="1" applyFont="1" applyFill="1" applyBorder="1"/>
    <xf numFmtId="180" fontId="72" fillId="3" borderId="12" xfId="8" applyNumberFormat="1" applyFont="1" applyFill="1" applyBorder="1" applyAlignment="1">
      <alignment horizontal="right"/>
    </xf>
    <xf numFmtId="167" fontId="62" fillId="16" borderId="12" xfId="0" applyNumberFormat="1" applyFont="1" applyFill="1" applyBorder="1"/>
    <xf numFmtId="167" fontId="62" fillId="16" borderId="13" xfId="0" applyNumberFormat="1" applyFont="1" applyFill="1" applyBorder="1"/>
    <xf numFmtId="0" fontId="11" fillId="17" borderId="13" xfId="0" applyFont="1" applyFill="1" applyBorder="1"/>
    <xf numFmtId="165" fontId="12" fillId="17" borderId="13" xfId="0" applyNumberFormat="1" applyFont="1" applyFill="1" applyBorder="1" applyAlignment="1">
      <alignment horizontal="center"/>
    </xf>
    <xf numFmtId="0" fontId="12" fillId="17" borderId="13" xfId="0" applyFont="1" applyFill="1" applyBorder="1" applyAlignment="1">
      <alignment horizontal="center"/>
    </xf>
    <xf numFmtId="164" fontId="71" fillId="3" borderId="13" xfId="8" applyNumberFormat="1" applyFont="1" applyFill="1" applyBorder="1"/>
    <xf numFmtId="164" fontId="63" fillId="17" borderId="13" xfId="8" applyNumberFormat="1" applyFont="1" applyFill="1" applyBorder="1"/>
    <xf numFmtId="7" fontId="63" fillId="17" borderId="13" xfId="8" applyNumberFormat="1" applyFont="1" applyFill="1" applyBorder="1"/>
    <xf numFmtId="167" fontId="69" fillId="17" borderId="13" xfId="24" applyNumberFormat="1" applyFont="1" applyFill="1" applyBorder="1" applyAlignment="1">
      <alignment horizontal="right"/>
    </xf>
    <xf numFmtId="0" fontId="12" fillId="3" borderId="14" xfId="0" applyFont="1" applyFill="1" applyBorder="1"/>
    <xf numFmtId="164" fontId="12" fillId="3" borderId="19" xfId="8" applyNumberFormat="1" applyFont="1" applyFill="1" applyBorder="1"/>
    <xf numFmtId="164" fontId="12" fillId="3" borderId="14" xfId="8" applyNumberFormat="1" applyFont="1" applyFill="1" applyBorder="1"/>
    <xf numFmtId="164" fontId="12" fillId="3" borderId="20" xfId="8" applyNumberFormat="1" applyFont="1" applyFill="1" applyBorder="1"/>
    <xf numFmtId="164" fontId="71" fillId="3" borderId="20" xfId="8" applyNumberFormat="1" applyFont="1" applyFill="1" applyBorder="1"/>
    <xf numFmtId="0" fontId="11" fillId="3" borderId="14" xfId="0" applyFont="1" applyFill="1" applyBorder="1"/>
    <xf numFmtId="164" fontId="4" fillId="3" borderId="19" xfId="8" applyNumberFormat="1" applyFont="1" applyFill="1" applyBorder="1" applyAlignment="1">
      <alignment horizontal="right"/>
    </xf>
    <xf numFmtId="164" fontId="4" fillId="3" borderId="14" xfId="8" applyNumberFormat="1" applyFont="1" applyFill="1" applyBorder="1" applyAlignment="1">
      <alignment horizontal="right"/>
    </xf>
    <xf numFmtId="164" fontId="4" fillId="3" borderId="20" xfId="8" applyNumberFormat="1" applyFont="1" applyFill="1" applyBorder="1" applyAlignment="1">
      <alignment horizontal="right"/>
    </xf>
    <xf numFmtId="0" fontId="12" fillId="3" borderId="14" xfId="0" applyFont="1" applyFill="1" applyBorder="1" applyAlignment="1">
      <alignment horizontal="justify"/>
    </xf>
    <xf numFmtId="164" fontId="12" fillId="3" borderId="19" xfId="0" applyNumberFormat="1" applyFont="1" applyFill="1" applyBorder="1"/>
    <xf numFmtId="164" fontId="12" fillId="3" borderId="14" xfId="0" applyNumberFormat="1" applyFont="1" applyFill="1" applyBorder="1"/>
    <xf numFmtId="164" fontId="12" fillId="3" borderId="20" xfId="0" applyNumberFormat="1" applyFont="1" applyFill="1" applyBorder="1"/>
    <xf numFmtId="10" fontId="16" fillId="3" borderId="0" xfId="24" applyNumberFormat="1" applyFont="1" applyFill="1" applyBorder="1"/>
    <xf numFmtId="10" fontId="16" fillId="3" borderId="13" xfId="24" applyNumberFormat="1" applyFont="1" applyFill="1" applyBorder="1"/>
    <xf numFmtId="10" fontId="16" fillId="3" borderId="12" xfId="24" applyNumberFormat="1" applyFont="1" applyFill="1" applyBorder="1"/>
    <xf numFmtId="9" fontId="16" fillId="3" borderId="12" xfId="24" applyFont="1" applyFill="1" applyBorder="1"/>
    <xf numFmtId="9" fontId="16" fillId="3" borderId="0" xfId="24" applyFont="1" applyFill="1" applyBorder="1"/>
    <xf numFmtId="9" fontId="16" fillId="3" borderId="13" xfId="24" applyFont="1" applyFill="1" applyBorder="1"/>
    <xf numFmtId="0" fontId="12" fillId="3" borderId="12" xfId="0" applyFont="1" applyFill="1" applyBorder="1"/>
    <xf numFmtId="0" fontId="12" fillId="3" borderId="13" xfId="0" applyFont="1" applyFill="1" applyBorder="1"/>
    <xf numFmtId="164" fontId="21" fillId="3" borderId="12" xfId="8" applyNumberFormat="1" applyFont="1" applyFill="1" applyBorder="1"/>
    <xf numFmtId="164" fontId="21" fillId="3" borderId="13" xfId="8" applyNumberFormat="1" applyFont="1" applyFill="1" applyBorder="1"/>
    <xf numFmtId="0" fontId="73" fillId="16" borderId="12" xfId="0" applyFont="1" applyFill="1" applyBorder="1"/>
    <xf numFmtId="0" fontId="73" fillId="16" borderId="13" xfId="0" applyFont="1" applyFill="1" applyBorder="1"/>
    <xf numFmtId="164" fontId="70" fillId="3" borderId="13" xfId="8" applyNumberFormat="1" applyFont="1" applyFill="1" applyBorder="1"/>
    <xf numFmtId="43" fontId="73" fillId="16" borderId="13" xfId="0" applyNumberFormat="1" applyFont="1" applyFill="1" applyBorder="1"/>
    <xf numFmtId="0" fontId="4" fillId="3" borderId="14" xfId="17" applyFont="1" applyFill="1" applyBorder="1">
      <alignment vertical="top"/>
    </xf>
    <xf numFmtId="164" fontId="21" fillId="3" borderId="19" xfId="8" applyNumberFormat="1" applyFont="1" applyFill="1" applyBorder="1"/>
    <xf numFmtId="164" fontId="21" fillId="3" borderId="14" xfId="8" applyNumberFormat="1" applyFont="1" applyFill="1" applyBorder="1"/>
    <xf numFmtId="164" fontId="21" fillId="3" borderId="20" xfId="8" applyNumberFormat="1" applyFont="1" applyFill="1" applyBorder="1"/>
    <xf numFmtId="164" fontId="70" fillId="3" borderId="14" xfId="8" applyNumberFormat="1" applyFont="1" applyFill="1" applyBorder="1"/>
    <xf numFmtId="164" fontId="70" fillId="3" borderId="20" xfId="8" applyNumberFormat="1" applyFont="1" applyFill="1" applyBorder="1"/>
    <xf numFmtId="164" fontId="3" fillId="3" borderId="13" xfId="8" applyNumberFormat="1" applyFont="1" applyFill="1" applyBorder="1"/>
    <xf numFmtId="164" fontId="4" fillId="3" borderId="20" xfId="8" applyNumberFormat="1" applyFont="1" applyFill="1" applyBorder="1"/>
    <xf numFmtId="0" fontId="11" fillId="3" borderId="12" xfId="0" applyFont="1" applyFill="1" applyBorder="1" applyAlignment="1">
      <alignment wrapText="1"/>
    </xf>
    <xf numFmtId="0" fontId="11" fillId="3" borderId="13" xfId="0" applyFont="1" applyFill="1" applyBorder="1" applyAlignment="1">
      <alignment wrapText="1"/>
    </xf>
    <xf numFmtId="164" fontId="65" fillId="3" borderId="12" xfId="8" applyNumberFormat="1" applyFont="1" applyFill="1" applyBorder="1" applyAlignment="1">
      <alignment wrapText="1"/>
    </xf>
    <xf numFmtId="164" fontId="65" fillId="3" borderId="13" xfId="8" applyNumberFormat="1" applyFont="1" applyFill="1" applyBorder="1" applyAlignment="1">
      <alignment wrapText="1"/>
    </xf>
    <xf numFmtId="164" fontId="64" fillId="3" borderId="12" xfId="8" applyNumberFormat="1" applyFont="1" applyFill="1" applyBorder="1" applyAlignment="1">
      <alignment wrapText="1"/>
    </xf>
    <xf numFmtId="164" fontId="64" fillId="3" borderId="13" xfId="8" applyNumberFormat="1" applyFont="1" applyFill="1" applyBorder="1" applyAlignment="1">
      <alignment wrapText="1"/>
    </xf>
    <xf numFmtId="167" fontId="67" fillId="3" borderId="12" xfId="8" applyNumberFormat="1" applyFont="1" applyFill="1" applyBorder="1" applyAlignment="1">
      <alignment wrapText="1"/>
    </xf>
    <xf numFmtId="167" fontId="67" fillId="3" borderId="13" xfId="8" applyNumberFormat="1" applyFont="1" applyFill="1" applyBorder="1" applyAlignment="1">
      <alignment wrapText="1"/>
    </xf>
    <xf numFmtId="167" fontId="7" fillId="3" borderId="12" xfId="24" applyNumberFormat="1" applyFont="1" applyFill="1" applyBorder="1"/>
    <xf numFmtId="167" fontId="7" fillId="3" borderId="13" xfId="24" applyNumberFormat="1" applyFont="1" applyFill="1" applyBorder="1"/>
    <xf numFmtId="164" fontId="3" fillId="3" borderId="12" xfId="8" applyNumberFormat="1" applyFont="1" applyFill="1" applyBorder="1"/>
    <xf numFmtId="167" fontId="67" fillId="3" borderId="12" xfId="8" applyNumberFormat="1" applyFont="1" applyFill="1" applyBorder="1"/>
    <xf numFmtId="167" fontId="67" fillId="3" borderId="13" xfId="8" applyNumberFormat="1" applyFont="1" applyFill="1" applyBorder="1"/>
    <xf numFmtId="164" fontId="66" fillId="3" borderId="12" xfId="8" applyNumberFormat="1" applyFont="1" applyFill="1" applyBorder="1"/>
    <xf numFmtId="164" fontId="66" fillId="3" borderId="13" xfId="8" applyNumberFormat="1" applyFont="1" applyFill="1" applyBorder="1"/>
    <xf numFmtId="43" fontId="66" fillId="3" borderId="12" xfId="8" applyNumberFormat="1" applyFont="1" applyFill="1" applyBorder="1"/>
    <xf numFmtId="43" fontId="66" fillId="3" borderId="13" xfId="8" applyNumberFormat="1" applyFont="1" applyFill="1" applyBorder="1"/>
    <xf numFmtId="0" fontId="7" fillId="3" borderId="13" xfId="24" applyNumberFormat="1" applyFont="1" applyFill="1" applyBorder="1"/>
    <xf numFmtId="177" fontId="63" fillId="16" borderId="12" xfId="9" applyNumberFormat="1" applyFont="1" applyFill="1" applyBorder="1"/>
    <xf numFmtId="177" fontId="63" fillId="16" borderId="13" xfId="9" applyNumberFormat="1" applyFont="1" applyFill="1" applyBorder="1"/>
    <xf numFmtId="177" fontId="4" fillId="16" borderId="12" xfId="9" applyNumberFormat="1" applyFont="1" applyFill="1" applyBorder="1"/>
    <xf numFmtId="177" fontId="4" fillId="16" borderId="13" xfId="9" applyNumberFormat="1" applyFont="1" applyFill="1" applyBorder="1"/>
    <xf numFmtId="177" fontId="11" fillId="3" borderId="12" xfId="0" applyNumberFormat="1" applyFont="1" applyFill="1" applyBorder="1"/>
    <xf numFmtId="164" fontId="63" fillId="3" borderId="12" xfId="8" applyNumberFormat="1" applyFont="1" applyFill="1" applyBorder="1"/>
    <xf numFmtId="164" fontId="63" fillId="3" borderId="13" xfId="8" applyNumberFormat="1" applyFont="1" applyFill="1" applyBorder="1"/>
    <xf numFmtId="164" fontId="12" fillId="3" borderId="12" xfId="8" applyNumberFormat="1" applyFont="1" applyFill="1" applyBorder="1" applyAlignment="1">
      <alignment horizontal="right"/>
    </xf>
    <xf numFmtId="164" fontId="12" fillId="3" borderId="13" xfId="8" applyNumberFormat="1" applyFont="1" applyFill="1" applyBorder="1" applyAlignment="1">
      <alignment horizontal="right"/>
    </xf>
    <xf numFmtId="9" fontId="69" fillId="3" borderId="12" xfId="24" applyFont="1" applyFill="1" applyBorder="1"/>
    <xf numFmtId="9" fontId="69" fillId="3" borderId="13" xfId="24" applyFont="1" applyFill="1" applyBorder="1"/>
    <xf numFmtId="178" fontId="64" fillId="3" borderId="13" xfId="8" applyNumberFormat="1" applyFont="1" applyFill="1" applyBorder="1"/>
    <xf numFmtId="0" fontId="11" fillId="3" borderId="12" xfId="0" applyFont="1" applyFill="1" applyBorder="1" applyAlignment="1">
      <alignment horizontal="right"/>
    </xf>
    <xf numFmtId="0" fontId="11" fillId="3" borderId="13" xfId="0" applyFont="1" applyFill="1" applyBorder="1" applyAlignment="1">
      <alignment horizontal="right"/>
    </xf>
    <xf numFmtId="164" fontId="68" fillId="3" borderId="12" xfId="8" applyNumberFormat="1" applyFont="1" applyFill="1" applyBorder="1"/>
    <xf numFmtId="164" fontId="68" fillId="3" borderId="13" xfId="8" applyNumberFormat="1" applyFont="1" applyFill="1" applyBorder="1"/>
    <xf numFmtId="9" fontId="16" fillId="3" borderId="12" xfId="0" applyNumberFormat="1" applyFont="1" applyFill="1" applyBorder="1"/>
    <xf numFmtId="9" fontId="16" fillId="3" borderId="13" xfId="0" applyNumberFormat="1" applyFont="1" applyFill="1" applyBorder="1"/>
    <xf numFmtId="9" fontId="35" fillId="3" borderId="12" xfId="0" applyNumberFormat="1" applyFont="1" applyFill="1" applyBorder="1"/>
    <xf numFmtId="9" fontId="35" fillId="3" borderId="13" xfId="0" applyNumberFormat="1" applyFont="1" applyFill="1" applyBorder="1"/>
    <xf numFmtId="167" fontId="64" fillId="3" borderId="12" xfId="8" applyNumberFormat="1" applyFont="1" applyFill="1" applyBorder="1" applyAlignment="1">
      <alignment wrapText="1"/>
    </xf>
    <xf numFmtId="167" fontId="64" fillId="3" borderId="13" xfId="8" applyNumberFormat="1" applyFont="1" applyFill="1" applyBorder="1" applyAlignment="1">
      <alignment wrapText="1"/>
    </xf>
    <xf numFmtId="1" fontId="11" fillId="3" borderId="12" xfId="0" applyNumberFormat="1" applyFont="1" applyFill="1" applyBorder="1"/>
    <xf numFmtId="1" fontId="11" fillId="3" borderId="13" xfId="0" applyNumberFormat="1" applyFont="1" applyFill="1" applyBorder="1"/>
    <xf numFmtId="167" fontId="16" fillId="3" borderId="12" xfId="8" applyNumberFormat="1" applyFont="1" applyFill="1" applyBorder="1"/>
    <xf numFmtId="167" fontId="16" fillId="3" borderId="13" xfId="8" applyNumberFormat="1" applyFont="1" applyFill="1" applyBorder="1"/>
    <xf numFmtId="164" fontId="11" fillId="3" borderId="12" xfId="0" applyNumberFormat="1" applyFont="1" applyFill="1" applyBorder="1" applyAlignment="1">
      <alignment wrapText="1"/>
    </xf>
    <xf numFmtId="164" fontId="11" fillId="3" borderId="13" xfId="0" applyNumberFormat="1" applyFont="1" applyFill="1" applyBorder="1" applyAlignment="1">
      <alignment wrapText="1"/>
    </xf>
    <xf numFmtId="9" fontId="69" fillId="17" borderId="13" xfId="8" applyNumberFormat="1" applyFont="1" applyFill="1" applyBorder="1"/>
    <xf numFmtId="164" fontId="70" fillId="3" borderId="12" xfId="8" applyNumberFormat="1" applyFont="1" applyFill="1" applyBorder="1"/>
    <xf numFmtId="167" fontId="69" fillId="17" borderId="13" xfId="8" applyNumberFormat="1" applyFont="1" applyFill="1" applyBorder="1"/>
    <xf numFmtId="164" fontId="69" fillId="17" borderId="13" xfId="8" applyNumberFormat="1" applyFont="1" applyFill="1" applyBorder="1"/>
    <xf numFmtId="164" fontId="4" fillId="16" borderId="12" xfId="9" applyNumberFormat="1" applyFont="1" applyFill="1" applyBorder="1"/>
    <xf numFmtId="164" fontId="4" fillId="16" borderId="13" xfId="9" applyNumberFormat="1" applyFont="1" applyFill="1" applyBorder="1"/>
    <xf numFmtId="167" fontId="7" fillId="16" borderId="12" xfId="9" applyNumberFormat="1" applyFont="1" applyFill="1" applyBorder="1"/>
    <xf numFmtId="167" fontId="7" fillId="16" borderId="13" xfId="9" applyNumberFormat="1" applyFont="1" applyFill="1" applyBorder="1"/>
    <xf numFmtId="164" fontId="4" fillId="16" borderId="12" xfId="8" applyNumberFormat="1" applyFont="1" applyFill="1" applyBorder="1"/>
    <xf numFmtId="164" fontId="4" fillId="16" borderId="13" xfId="8" applyNumberFormat="1" applyFont="1" applyFill="1" applyBorder="1"/>
    <xf numFmtId="43" fontId="11" fillId="3" borderId="13" xfId="0" applyNumberFormat="1" applyFont="1" applyFill="1" applyBorder="1"/>
    <xf numFmtId="175" fontId="9" fillId="3" borderId="12" xfId="8" applyNumberFormat="1" applyFont="1" applyFill="1" applyBorder="1"/>
    <xf numFmtId="178" fontId="12" fillId="3" borderId="13" xfId="8" applyNumberFormat="1" applyFont="1" applyFill="1" applyBorder="1" applyAlignment="1">
      <alignment horizontal="right"/>
    </xf>
    <xf numFmtId="164" fontId="11" fillId="3" borderId="12" xfId="8" applyNumberFormat="1" applyFont="1" applyFill="1" applyBorder="1" applyAlignment="1">
      <alignment horizontal="right"/>
    </xf>
    <xf numFmtId="164" fontId="11" fillId="3" borderId="13" xfId="8" applyNumberFormat="1" applyFont="1" applyFill="1" applyBorder="1" applyAlignment="1">
      <alignment horizontal="right"/>
    </xf>
    <xf numFmtId="9" fontId="16" fillId="3" borderId="12" xfId="8" applyNumberFormat="1" applyFont="1" applyFill="1" applyBorder="1"/>
    <xf numFmtId="9" fontId="16" fillId="3" borderId="13" xfId="8" applyNumberFormat="1" applyFont="1" applyFill="1" applyBorder="1"/>
    <xf numFmtId="0" fontId="12" fillId="18" borderId="14" xfId="0" applyFont="1" applyFill="1" applyBorder="1"/>
    <xf numFmtId="0" fontId="12" fillId="18" borderId="19" xfId="0" applyFont="1" applyFill="1" applyBorder="1"/>
    <xf numFmtId="0" fontId="12" fillId="18" borderId="20" xfId="0" applyFont="1" applyFill="1" applyBorder="1"/>
    <xf numFmtId="164" fontId="12" fillId="18" borderId="14" xfId="0" applyNumberFormat="1" applyFont="1" applyFill="1" applyBorder="1"/>
    <xf numFmtId="164" fontId="12" fillId="18" borderId="19" xfId="0" applyNumberFormat="1" applyFont="1" applyFill="1" applyBorder="1"/>
    <xf numFmtId="164" fontId="12" fillId="18" borderId="20" xfId="0" applyNumberFormat="1" applyFont="1" applyFill="1" applyBorder="1"/>
    <xf numFmtId="179" fontId="12" fillId="18" borderId="19" xfId="0" applyNumberFormat="1" applyFont="1" applyFill="1" applyBorder="1"/>
    <xf numFmtId="164" fontId="12" fillId="18" borderId="20" xfId="8" applyNumberFormat="1" applyFont="1" applyFill="1" applyBorder="1"/>
    <xf numFmtId="164" fontId="12" fillId="18" borderId="19" xfId="8" applyNumberFormat="1" applyFont="1" applyFill="1" applyBorder="1"/>
    <xf numFmtId="164" fontId="12" fillId="18" borderId="14" xfId="8" applyNumberFormat="1" applyFont="1" applyFill="1" applyBorder="1"/>
    <xf numFmtId="0" fontId="4" fillId="19" borderId="0" xfId="17" applyFont="1" applyFill="1" applyBorder="1">
      <alignment vertical="top"/>
    </xf>
    <xf numFmtId="0" fontId="11" fillId="19" borderId="12" xfId="0" applyFont="1" applyFill="1" applyBorder="1"/>
    <xf numFmtId="0" fontId="11" fillId="19" borderId="0" xfId="0" applyFont="1" applyFill="1" applyBorder="1"/>
    <xf numFmtId="0" fontId="11" fillId="19" borderId="13" xfId="0" applyFont="1" applyFill="1" applyBorder="1"/>
    <xf numFmtId="0" fontId="11" fillId="16" borderId="12" xfId="0" applyFont="1" applyFill="1" applyBorder="1"/>
    <xf numFmtId="0" fontId="11" fillId="16" borderId="13" xfId="0" applyFont="1" applyFill="1" applyBorder="1"/>
    <xf numFmtId="164" fontId="9" fillId="16" borderId="12" xfId="8" applyNumberFormat="1" applyFont="1" applyFill="1" applyBorder="1"/>
    <xf numFmtId="164" fontId="9" fillId="16" borderId="13" xfId="8" applyNumberFormat="1" applyFont="1" applyFill="1" applyBorder="1"/>
    <xf numFmtId="164" fontId="11" fillId="16" borderId="12" xfId="8" applyNumberFormat="1" applyFont="1" applyFill="1" applyBorder="1"/>
    <xf numFmtId="164" fontId="11" fillId="16" borderId="13" xfId="8" applyNumberFormat="1" applyFont="1" applyFill="1" applyBorder="1"/>
    <xf numFmtId="167" fontId="16" fillId="16" borderId="12" xfId="0" applyNumberFormat="1" applyFont="1" applyFill="1" applyBorder="1"/>
    <xf numFmtId="167" fontId="16" fillId="16" borderId="13" xfId="0" applyNumberFormat="1" applyFont="1" applyFill="1" applyBorder="1"/>
    <xf numFmtId="167" fontId="69" fillId="16" borderId="0" xfId="0" applyNumberFormat="1" applyFont="1" applyFill="1" applyBorder="1"/>
    <xf numFmtId="167" fontId="7" fillId="16" borderId="12" xfId="24" applyNumberFormat="1" applyFont="1" applyFill="1" applyBorder="1"/>
    <xf numFmtId="167" fontId="7" fillId="16" borderId="0" xfId="24" applyNumberFormat="1" applyFont="1" applyFill="1" applyBorder="1"/>
    <xf numFmtId="167" fontId="7" fillId="16" borderId="13" xfId="24" applyNumberFormat="1" applyFont="1" applyFill="1" applyBorder="1"/>
    <xf numFmtId="0" fontId="3" fillId="16" borderId="0" xfId="1" applyFont="1" applyFill="1" applyBorder="1" applyAlignment="1">
      <alignment wrapText="1"/>
    </xf>
    <xf numFmtId="164" fontId="3" fillId="16" borderId="12" xfId="8" applyNumberFormat="1" applyFont="1" applyFill="1" applyBorder="1"/>
    <xf numFmtId="164" fontId="3" fillId="16" borderId="13" xfId="8" applyNumberFormat="1" applyFont="1" applyFill="1" applyBorder="1"/>
    <xf numFmtId="0" fontId="36" fillId="16" borderId="0" xfId="17" applyFont="1" applyFill="1" applyBorder="1">
      <alignment vertical="top"/>
    </xf>
    <xf numFmtId="0" fontId="37" fillId="16" borderId="0" xfId="0" applyFont="1" applyFill="1" applyBorder="1"/>
    <xf numFmtId="0" fontId="37" fillId="3" borderId="0" xfId="0" applyFont="1" applyFill="1" applyBorder="1" applyAlignment="1">
      <alignment horizontal="left"/>
    </xf>
    <xf numFmtId="0" fontId="11" fillId="16" borderId="0" xfId="0" applyFont="1" applyFill="1" applyBorder="1" applyAlignment="1">
      <alignment horizontal="justify"/>
    </xf>
    <xf numFmtId="167" fontId="63" fillId="16" borderId="12" xfId="24" applyNumberFormat="1" applyFont="1" applyFill="1" applyBorder="1"/>
    <xf numFmtId="167" fontId="63" fillId="16" borderId="0" xfId="24" applyNumberFormat="1" applyFont="1" applyFill="1" applyBorder="1"/>
    <xf numFmtId="167" fontId="63" fillId="16" borderId="13" xfId="24" applyNumberFormat="1" applyFont="1" applyFill="1" applyBorder="1"/>
    <xf numFmtId="167" fontId="69" fillId="16" borderId="12" xfId="8" applyNumberFormat="1" applyFont="1" applyFill="1" applyBorder="1"/>
    <xf numFmtId="167" fontId="69" fillId="16" borderId="13" xfId="8" applyNumberFormat="1" applyFont="1" applyFill="1" applyBorder="1"/>
    <xf numFmtId="167" fontId="3" fillId="16" borderId="12" xfId="0" applyNumberFormat="1" applyFont="1" applyFill="1" applyBorder="1"/>
    <xf numFmtId="167" fontId="3" fillId="16" borderId="0" xfId="0" applyNumberFormat="1" applyFont="1" applyFill="1" applyBorder="1"/>
    <xf numFmtId="167" fontId="3" fillId="16" borderId="13" xfId="0" applyNumberFormat="1" applyFont="1" applyFill="1" applyBorder="1"/>
    <xf numFmtId="167" fontId="7" fillId="16" borderId="12" xfId="8" applyNumberFormat="1" applyFont="1" applyFill="1" applyBorder="1"/>
    <xf numFmtId="167" fontId="7" fillId="16" borderId="0" xfId="8" applyNumberFormat="1" applyFont="1" applyFill="1" applyBorder="1"/>
    <xf numFmtId="167" fontId="7" fillId="16" borderId="13" xfId="8" applyNumberFormat="1" applyFont="1" applyFill="1" applyBorder="1"/>
    <xf numFmtId="164" fontId="34" fillId="3" borderId="19" xfId="8" applyNumberFormat="1" applyFont="1" applyFill="1" applyBorder="1"/>
    <xf numFmtId="164" fontId="34" fillId="3" borderId="14" xfId="8" applyNumberFormat="1" applyFont="1" applyFill="1" applyBorder="1"/>
    <xf numFmtId="164" fontId="34" fillId="3" borderId="20" xfId="8" applyNumberFormat="1" applyFont="1" applyFill="1" applyBorder="1"/>
    <xf numFmtId="164" fontId="4" fillId="3" borderId="19" xfId="8" applyNumberFormat="1" applyFont="1" applyFill="1" applyBorder="1"/>
    <xf numFmtId="0" fontId="12" fillId="3" borderId="18" xfId="0" applyFont="1" applyFill="1" applyBorder="1"/>
    <xf numFmtId="177" fontId="4" fillId="16" borderId="21" xfId="9" applyNumberFormat="1" applyFont="1" applyFill="1" applyBorder="1"/>
    <xf numFmtId="177" fontId="4" fillId="16" borderId="18" xfId="9" applyNumberFormat="1" applyFont="1" applyFill="1" applyBorder="1"/>
    <xf numFmtId="177" fontId="4" fillId="16" borderId="22" xfId="9" applyNumberFormat="1" applyFont="1" applyFill="1" applyBorder="1"/>
    <xf numFmtId="164" fontId="4" fillId="16" borderId="18" xfId="8" applyNumberFormat="1" applyFont="1" applyFill="1" applyBorder="1"/>
    <xf numFmtId="164" fontId="4" fillId="16" borderId="21" xfId="8" applyNumberFormat="1" applyFont="1" applyFill="1" applyBorder="1"/>
    <xf numFmtId="164" fontId="4" fillId="16" borderId="22" xfId="8" applyNumberFormat="1" applyFont="1" applyFill="1" applyBorder="1"/>
    <xf numFmtId="177" fontId="4" fillId="16" borderId="19" xfId="9" applyNumberFormat="1" applyFont="1" applyFill="1" applyBorder="1"/>
    <xf numFmtId="177" fontId="4" fillId="16" borderId="14" xfId="9" applyNumberFormat="1" applyFont="1" applyFill="1" applyBorder="1"/>
    <xf numFmtId="177" fontId="4" fillId="16" borderId="20" xfId="9" applyNumberFormat="1" applyFont="1" applyFill="1" applyBorder="1"/>
    <xf numFmtId="164" fontId="4" fillId="16" borderId="14" xfId="8" applyNumberFormat="1" applyFont="1" applyFill="1" applyBorder="1"/>
    <xf numFmtId="164" fontId="4" fillId="16" borderId="19" xfId="8" applyNumberFormat="1" applyFont="1" applyFill="1" applyBorder="1"/>
    <xf numFmtId="164" fontId="4" fillId="16" borderId="20" xfId="8" applyNumberFormat="1" applyFont="1" applyFill="1" applyBorder="1"/>
    <xf numFmtId="177" fontId="12" fillId="3" borderId="19" xfId="0" applyNumberFormat="1" applyFont="1" applyFill="1" applyBorder="1"/>
    <xf numFmtId="177" fontId="12" fillId="3" borderId="14" xfId="0" applyNumberFormat="1" applyFont="1" applyFill="1" applyBorder="1"/>
    <xf numFmtId="177" fontId="12" fillId="3" borderId="20" xfId="0" applyNumberFormat="1" applyFont="1" applyFill="1" applyBorder="1"/>
    <xf numFmtId="0" fontId="12" fillId="16" borderId="14" xfId="0" applyFont="1" applyFill="1" applyBorder="1"/>
    <xf numFmtId="164" fontId="4" fillId="16" borderId="19" xfId="9" applyNumberFormat="1" applyFont="1" applyFill="1" applyBorder="1"/>
    <xf numFmtId="164" fontId="4" fillId="16" borderId="14" xfId="9" applyNumberFormat="1" applyFont="1" applyFill="1" applyBorder="1"/>
    <xf numFmtId="164" fontId="4" fillId="16" borderId="20" xfId="9" applyNumberFormat="1" applyFont="1" applyFill="1" applyBorder="1"/>
    <xf numFmtId="0" fontId="12" fillId="19" borderId="0" xfId="0" applyFont="1" applyFill="1" applyBorder="1"/>
    <xf numFmtId="167" fontId="16" fillId="19" borderId="12" xfId="0" applyNumberFormat="1" applyFont="1" applyFill="1" applyBorder="1"/>
    <xf numFmtId="167" fontId="16" fillId="19" borderId="0" xfId="0" applyNumberFormat="1" applyFont="1" applyFill="1" applyBorder="1"/>
    <xf numFmtId="167" fontId="16" fillId="19" borderId="13" xfId="0" applyNumberFormat="1" applyFont="1" applyFill="1" applyBorder="1"/>
    <xf numFmtId="164" fontId="63" fillId="19" borderId="12" xfId="8" applyNumberFormat="1" applyFont="1" applyFill="1" applyBorder="1"/>
    <xf numFmtId="164" fontId="63" fillId="19" borderId="0" xfId="8" applyNumberFormat="1" applyFont="1" applyFill="1" applyBorder="1"/>
    <xf numFmtId="164" fontId="63" fillId="19" borderId="13" xfId="8" applyNumberFormat="1" applyFont="1" applyFill="1" applyBorder="1"/>
    <xf numFmtId="164" fontId="12" fillId="19" borderId="12" xfId="8" applyNumberFormat="1" applyFont="1" applyFill="1" applyBorder="1"/>
    <xf numFmtId="164" fontId="12" fillId="19" borderId="0" xfId="8" applyNumberFormat="1" applyFont="1" applyFill="1" applyBorder="1"/>
    <xf numFmtId="164" fontId="12" fillId="19" borderId="13" xfId="8" applyNumberFormat="1" applyFont="1" applyFill="1" applyBorder="1"/>
    <xf numFmtId="164" fontId="12" fillId="19" borderId="0" xfId="8" applyNumberFormat="1" applyFont="1" applyFill="1" applyBorder="1" applyAlignment="1">
      <alignment horizontal="right"/>
    </xf>
    <xf numFmtId="164" fontId="62" fillId="16" borderId="0" xfId="8" applyNumberFormat="1" applyFont="1" applyFill="1" applyBorder="1"/>
    <xf numFmtId="177" fontId="64" fillId="3" borderId="0" xfId="8" applyNumberFormat="1" applyFont="1" applyFill="1" applyBorder="1"/>
    <xf numFmtId="177" fontId="64" fillId="3" borderId="13" xfId="8" applyNumberFormat="1" applyFont="1" applyFill="1" applyBorder="1"/>
    <xf numFmtId="164" fontId="64" fillId="3" borderId="13" xfId="8" applyNumberFormat="1" applyFont="1" applyFill="1" applyBorder="1" applyAlignment="1">
      <alignment horizontal="right"/>
    </xf>
    <xf numFmtId="182" fontId="11" fillId="3" borderId="0" xfId="11" applyNumberFormat="1" applyFont="1" applyFill="1" applyBorder="1" applyAlignment="1">
      <alignment horizontal="right"/>
    </xf>
    <xf numFmtId="182" fontId="11" fillId="3" borderId="13" xfId="11" applyNumberFormat="1" applyFont="1" applyFill="1" applyBorder="1" applyAlignment="1">
      <alignment horizontal="right"/>
    </xf>
    <xf numFmtId="182" fontId="11" fillId="16" borderId="0" xfId="0" applyNumberFormat="1" applyFont="1" applyFill="1" applyBorder="1" applyAlignment="1">
      <alignment horizontal="right"/>
    </xf>
    <xf numFmtId="182" fontId="63" fillId="17" borderId="0" xfId="24" applyNumberFormat="1" applyFont="1" applyFill="1" applyBorder="1"/>
    <xf numFmtId="164" fontId="63" fillId="17" borderId="29" xfId="8" applyNumberFormat="1" applyFont="1" applyFill="1" applyBorder="1"/>
    <xf numFmtId="9" fontId="67" fillId="16" borderId="0" xfId="8" applyNumberFormat="1" applyFont="1" applyFill="1" applyBorder="1"/>
    <xf numFmtId="9" fontId="67" fillId="16" borderId="12" xfId="8" applyNumberFormat="1" applyFont="1" applyFill="1" applyBorder="1"/>
    <xf numFmtId="9" fontId="67" fillId="16" borderId="13" xfId="8" applyNumberFormat="1" applyFont="1" applyFill="1" applyBorder="1"/>
    <xf numFmtId="177" fontId="66" fillId="3" borderId="0" xfId="8" applyNumberFormat="1" applyFont="1" applyFill="1" applyBorder="1"/>
    <xf numFmtId="177" fontId="66" fillId="3" borderId="12" xfId="8" applyNumberFormat="1" applyFont="1" applyFill="1" applyBorder="1"/>
    <xf numFmtId="177" fontId="66" fillId="3" borderId="13" xfId="8" applyNumberFormat="1" applyFont="1" applyFill="1" applyBorder="1"/>
    <xf numFmtId="43" fontId="64" fillId="16" borderId="0" xfId="8" applyNumberFormat="1" applyFont="1" applyFill="1" applyBorder="1"/>
    <xf numFmtId="43" fontId="64" fillId="16" borderId="12" xfId="8" applyNumberFormat="1" applyFont="1" applyFill="1" applyBorder="1"/>
    <xf numFmtId="43" fontId="64" fillId="16" borderId="13" xfId="8" applyNumberFormat="1" applyFont="1" applyFill="1" applyBorder="1"/>
    <xf numFmtId="164" fontId="18" fillId="16" borderId="0" xfId="0" applyNumberFormat="1" applyFont="1" applyFill="1" applyBorder="1"/>
    <xf numFmtId="0" fontId="3" fillId="16" borderId="0" xfId="0" applyFont="1" applyFill="1" applyBorder="1"/>
    <xf numFmtId="164" fontId="62" fillId="16" borderId="12" xfId="8" applyNumberFormat="1" applyFont="1" applyFill="1" applyBorder="1"/>
    <xf numFmtId="164" fontId="62" fillId="16" borderId="13" xfId="8" applyNumberFormat="1" applyFont="1" applyFill="1" applyBorder="1"/>
    <xf numFmtId="43" fontId="22" fillId="3" borderId="0" xfId="8" applyNumberFormat="1" applyFont="1" applyFill="1" applyBorder="1" applyAlignment="1">
      <alignment horizontal="right"/>
    </xf>
    <xf numFmtId="9" fontId="62" fillId="16" borderId="12" xfId="24" applyFont="1" applyFill="1" applyBorder="1"/>
    <xf numFmtId="9" fontId="62" fillId="16" borderId="0" xfId="24" applyFont="1" applyFill="1" applyBorder="1"/>
    <xf numFmtId="9" fontId="62" fillId="16" borderId="13" xfId="24" applyFont="1" applyFill="1" applyBorder="1"/>
    <xf numFmtId="0" fontId="74" fillId="16" borderId="0" xfId="0" applyFont="1" applyFill="1" applyBorder="1"/>
    <xf numFmtId="43" fontId="22" fillId="3" borderId="0" xfId="8" applyFont="1" applyFill="1" applyBorder="1" applyAlignment="1">
      <alignment horizontal="right"/>
    </xf>
    <xf numFmtId="164" fontId="18" fillId="16" borderId="12" xfId="8" applyNumberFormat="1" applyFont="1" applyFill="1" applyBorder="1"/>
    <xf numFmtId="164" fontId="18" fillId="16" borderId="13" xfId="8" applyNumberFormat="1" applyFont="1" applyFill="1" applyBorder="1"/>
    <xf numFmtId="164" fontId="65" fillId="16" borderId="13" xfId="8" applyNumberFormat="1" applyFont="1" applyFill="1" applyBorder="1"/>
    <xf numFmtId="164" fontId="65" fillId="16" borderId="12" xfId="8" applyNumberFormat="1" applyFont="1" applyFill="1" applyBorder="1"/>
    <xf numFmtId="164" fontId="69" fillId="16" borderId="0" xfId="8" applyNumberFormat="1" applyFont="1" applyFill="1" applyBorder="1"/>
    <xf numFmtId="164" fontId="63" fillId="16" borderId="0" xfId="8" applyNumberFormat="1" applyFont="1" applyFill="1" applyBorder="1"/>
    <xf numFmtId="164" fontId="69" fillId="16" borderId="12" xfId="8" applyNumberFormat="1" applyFont="1" applyFill="1" applyBorder="1"/>
    <xf numFmtId="164" fontId="69" fillId="16" borderId="13" xfId="8" applyNumberFormat="1" applyFont="1" applyFill="1" applyBorder="1"/>
    <xf numFmtId="164" fontId="63" fillId="16" borderId="12" xfId="8" applyNumberFormat="1" applyFont="1" applyFill="1" applyBorder="1"/>
    <xf numFmtId="167" fontId="63" fillId="16" borderId="12" xfId="0" applyNumberFormat="1" applyFont="1" applyFill="1" applyBorder="1"/>
    <xf numFmtId="167" fontId="63" fillId="16" borderId="0" xfId="0" applyNumberFormat="1" applyFont="1" applyFill="1" applyBorder="1"/>
    <xf numFmtId="167" fontId="63" fillId="16" borderId="13" xfId="0" applyNumberFormat="1" applyFont="1" applyFill="1" applyBorder="1"/>
    <xf numFmtId="167" fontId="12" fillId="16" borderId="19" xfId="0" applyNumberFormat="1" applyFont="1" applyFill="1" applyBorder="1"/>
    <xf numFmtId="167" fontId="12" fillId="16" borderId="14" xfId="0" applyNumberFormat="1" applyFont="1" applyFill="1" applyBorder="1"/>
    <xf numFmtId="167" fontId="12" fillId="16" borderId="20" xfId="0" applyNumberFormat="1" applyFont="1" applyFill="1" applyBorder="1"/>
    <xf numFmtId="0" fontId="7" fillId="16" borderId="13" xfId="24" applyNumberFormat="1" applyFont="1" applyFill="1" applyBorder="1"/>
    <xf numFmtId="0" fontId="7" fillId="16" borderId="0" xfId="24" applyNumberFormat="1" applyFont="1" applyFill="1" applyBorder="1"/>
    <xf numFmtId="9" fontId="69" fillId="16" borderId="12" xfId="8" applyNumberFormat="1" applyFont="1" applyFill="1" applyBorder="1"/>
    <xf numFmtId="9" fontId="69" fillId="16" borderId="0" xfId="8" applyNumberFormat="1" applyFont="1" applyFill="1" applyBorder="1"/>
    <xf numFmtId="9" fontId="69" fillId="16" borderId="13" xfId="8" applyNumberFormat="1" applyFont="1" applyFill="1" applyBorder="1"/>
    <xf numFmtId="43" fontId="66" fillId="16" borderId="0" xfId="8" applyNumberFormat="1" applyFont="1" applyFill="1" applyBorder="1"/>
    <xf numFmtId="43" fontId="66" fillId="16" borderId="12" xfId="8" applyNumberFormat="1" applyFont="1" applyFill="1" applyBorder="1"/>
    <xf numFmtId="43" fontId="66" fillId="16" borderId="13" xfId="8" applyNumberFormat="1" applyFont="1" applyFill="1" applyBorder="1"/>
    <xf numFmtId="167" fontId="67" fillId="16" borderId="12" xfId="8" applyNumberFormat="1" applyFont="1" applyFill="1" applyBorder="1"/>
    <xf numFmtId="167" fontId="67" fillId="16" borderId="13" xfId="8" applyNumberFormat="1" applyFont="1" applyFill="1" applyBorder="1"/>
    <xf numFmtId="167" fontId="16" fillId="16" borderId="12" xfId="24" applyNumberFormat="1" applyFont="1" applyFill="1" applyBorder="1"/>
    <xf numFmtId="167" fontId="16" fillId="16" borderId="13" xfId="24" applyNumberFormat="1" applyFont="1" applyFill="1" applyBorder="1"/>
    <xf numFmtId="164" fontId="11" fillId="16" borderId="12" xfId="0" applyNumberFormat="1" applyFont="1" applyFill="1" applyBorder="1"/>
    <xf numFmtId="164" fontId="11" fillId="16" borderId="13" xfId="0" applyNumberFormat="1" applyFont="1" applyFill="1" applyBorder="1"/>
    <xf numFmtId="164" fontId="70" fillId="16" borderId="0" xfId="8" applyNumberFormat="1" applyFont="1" applyFill="1" applyBorder="1"/>
    <xf numFmtId="164" fontId="70" fillId="16" borderId="12" xfId="8" applyNumberFormat="1" applyFont="1" applyFill="1" applyBorder="1"/>
    <xf numFmtId="164" fontId="70" fillId="16" borderId="13" xfId="8" applyNumberFormat="1" applyFont="1" applyFill="1" applyBorder="1"/>
    <xf numFmtId="167" fontId="16" fillId="16" borderId="12" xfId="8" applyNumberFormat="1" applyFont="1" applyFill="1" applyBorder="1"/>
    <xf numFmtId="167" fontId="16" fillId="16" borderId="13" xfId="8" applyNumberFormat="1" applyFont="1" applyFill="1" applyBorder="1"/>
    <xf numFmtId="0" fontId="12" fillId="16" borderId="0" xfId="0" applyFont="1" applyFill="1" applyBorder="1" applyAlignment="1">
      <alignment horizontal="justify"/>
    </xf>
    <xf numFmtId="164" fontId="12" fillId="16" borderId="12" xfId="8" applyNumberFormat="1" applyFont="1" applyFill="1" applyBorder="1"/>
    <xf numFmtId="164" fontId="12" fillId="16" borderId="13" xfId="8" applyNumberFormat="1" applyFont="1" applyFill="1" applyBorder="1"/>
    <xf numFmtId="164" fontId="68" fillId="16" borderId="12" xfId="8" applyNumberFormat="1" applyFont="1" applyFill="1" applyBorder="1"/>
    <xf numFmtId="164" fontId="68" fillId="16" borderId="13" xfId="8" applyNumberFormat="1" applyFont="1" applyFill="1" applyBorder="1"/>
    <xf numFmtId="164" fontId="66" fillId="16" borderId="12" xfId="8" applyNumberFormat="1" applyFont="1" applyFill="1" applyBorder="1"/>
    <xf numFmtId="164" fontId="66" fillId="16" borderId="13" xfId="8" applyNumberFormat="1" applyFont="1" applyFill="1" applyBorder="1"/>
    <xf numFmtId="177" fontId="66" fillId="16" borderId="0" xfId="8" applyNumberFormat="1" applyFont="1" applyFill="1" applyBorder="1"/>
    <xf numFmtId="177" fontId="66" fillId="16" borderId="12" xfId="8" applyNumberFormat="1" applyFont="1" applyFill="1" applyBorder="1"/>
    <xf numFmtId="177" fontId="66" fillId="16" borderId="13" xfId="8" applyNumberFormat="1" applyFont="1" applyFill="1" applyBorder="1"/>
    <xf numFmtId="0" fontId="37" fillId="16" borderId="0" xfId="0" applyFont="1" applyFill="1" applyBorder="1" applyAlignment="1">
      <alignment horizontal="justify"/>
    </xf>
    <xf numFmtId="182" fontId="63" fillId="16" borderId="0" xfId="24" applyNumberFormat="1" applyFont="1" applyFill="1" applyBorder="1"/>
    <xf numFmtId="182" fontId="11" fillId="16" borderId="0" xfId="11" applyNumberFormat="1" applyFont="1" applyFill="1" applyBorder="1" applyAlignment="1">
      <alignment horizontal="right"/>
    </xf>
    <xf numFmtId="164" fontId="64" fillId="3" borderId="0" xfId="0" applyNumberFormat="1" applyFont="1" applyFill="1" applyBorder="1"/>
    <xf numFmtId="164" fontId="64" fillId="3" borderId="12" xfId="0" applyNumberFormat="1" applyFont="1" applyFill="1" applyBorder="1"/>
    <xf numFmtId="164" fontId="64" fillId="3" borderId="13" xfId="0" applyNumberFormat="1" applyFont="1" applyFill="1" applyBorder="1"/>
    <xf numFmtId="177" fontId="64" fillId="16" borderId="0" xfId="8" applyNumberFormat="1" applyFont="1" applyFill="1" applyBorder="1"/>
    <xf numFmtId="43" fontId="11" fillId="3" borderId="0" xfId="8" applyFont="1" applyFill="1" applyBorder="1" applyAlignment="1">
      <alignment horizontal="left"/>
    </xf>
    <xf numFmtId="43" fontId="22" fillId="3" borderId="12" xfId="8" applyFont="1" applyFill="1" applyBorder="1" applyAlignment="1">
      <alignment horizontal="right"/>
    </xf>
    <xf numFmtId="43" fontId="22" fillId="3" borderId="13" xfId="8" applyFont="1" applyFill="1" applyBorder="1" applyAlignment="1">
      <alignment horizontal="right"/>
    </xf>
    <xf numFmtId="165" fontId="12" fillId="16" borderId="12" xfId="0" applyNumberFormat="1" applyFont="1" applyFill="1" applyBorder="1" applyAlignment="1">
      <alignment horizontal="center"/>
    </xf>
    <xf numFmtId="164" fontId="64" fillId="16" borderId="13" xfId="8" applyNumberFormat="1" applyFont="1" applyFill="1" applyBorder="1"/>
    <xf numFmtId="0" fontId="64" fillId="16" borderId="0" xfId="0" applyFont="1" applyFill="1" applyBorder="1"/>
    <xf numFmtId="0" fontId="66" fillId="3" borderId="0" xfId="0" applyFont="1" applyFill="1" applyBorder="1"/>
    <xf numFmtId="164" fontId="66" fillId="3" borderId="12" xfId="0" applyNumberFormat="1" applyFont="1" applyFill="1" applyBorder="1"/>
    <xf numFmtId="164" fontId="66" fillId="3" borderId="0" xfId="0" applyNumberFormat="1" applyFont="1" applyFill="1" applyBorder="1"/>
    <xf numFmtId="164" fontId="66" fillId="3" borderId="13" xfId="0" applyNumberFormat="1" applyFont="1" applyFill="1" applyBorder="1"/>
    <xf numFmtId="0" fontId="66" fillId="3" borderId="0" xfId="17" applyFont="1" applyFill="1" applyBorder="1">
      <alignment vertical="top"/>
    </xf>
    <xf numFmtId="0" fontId="66" fillId="16" borderId="0" xfId="0" applyFont="1" applyFill="1" applyBorder="1"/>
    <xf numFmtId="164" fontId="63" fillId="17" borderId="0" xfId="8" applyNumberFormat="1" applyFont="1" applyFill="1" applyBorder="1" applyAlignment="1">
      <alignment horizontal="center"/>
    </xf>
    <xf numFmtId="177" fontId="66" fillId="3" borderId="0" xfId="0" applyNumberFormat="1" applyFont="1" applyFill="1" applyBorder="1"/>
    <xf numFmtId="0" fontId="75" fillId="3" borderId="0" xfId="0" applyFont="1" applyFill="1" applyBorder="1"/>
    <xf numFmtId="164" fontId="75" fillId="3" borderId="12" xfId="8" applyNumberFormat="1" applyFont="1" applyFill="1" applyBorder="1" applyAlignment="1">
      <alignment horizontal="right"/>
    </xf>
    <xf numFmtId="164" fontId="75" fillId="3" borderId="0" xfId="8" applyNumberFormat="1" applyFont="1" applyFill="1" applyBorder="1" applyAlignment="1">
      <alignment horizontal="right"/>
    </xf>
    <xf numFmtId="164" fontId="75" fillId="3" borderId="13" xfId="8" applyNumberFormat="1" applyFont="1" applyFill="1" applyBorder="1" applyAlignment="1">
      <alignment horizontal="right"/>
    </xf>
    <xf numFmtId="164" fontId="75" fillId="16" borderId="0" xfId="8" applyNumberFormat="1" applyFont="1" applyFill="1" applyBorder="1"/>
    <xf numFmtId="164" fontId="75" fillId="16" borderId="0" xfId="8" applyNumberFormat="1" applyFont="1" applyFill="1" applyBorder="1" applyAlignment="1">
      <alignment horizontal="right"/>
    </xf>
    <xf numFmtId="43" fontId="66" fillId="3" borderId="0" xfId="8" applyFont="1" applyFill="1" applyBorder="1"/>
    <xf numFmtId="164" fontId="11" fillId="3" borderId="44" xfId="8" applyNumberFormat="1" applyFont="1" applyFill="1" applyBorder="1"/>
    <xf numFmtId="0" fontId="62" fillId="19" borderId="12" xfId="0" applyFont="1" applyFill="1" applyBorder="1"/>
    <xf numFmtId="0" fontId="62" fillId="19" borderId="0" xfId="0" applyFont="1" applyFill="1" applyBorder="1"/>
    <xf numFmtId="0" fontId="62" fillId="19" borderId="13" xfId="0" applyFont="1" applyFill="1" applyBorder="1"/>
    <xf numFmtId="164" fontId="22" fillId="19" borderId="12" xfId="8" applyNumberFormat="1" applyFont="1" applyFill="1" applyBorder="1" applyAlignment="1">
      <alignment horizontal="right"/>
    </xf>
    <xf numFmtId="164" fontId="22" fillId="19" borderId="0" xfId="8" applyNumberFormat="1" applyFont="1" applyFill="1" applyBorder="1" applyAlignment="1">
      <alignment horizontal="right"/>
    </xf>
    <xf numFmtId="164" fontId="22" fillId="19" borderId="13" xfId="8" applyNumberFormat="1" applyFont="1" applyFill="1" applyBorder="1" applyAlignment="1">
      <alignment horizontal="right"/>
    </xf>
    <xf numFmtId="0" fontId="3" fillId="19" borderId="0" xfId="0" applyFont="1" applyFill="1" applyBorder="1"/>
    <xf numFmtId="0" fontId="12" fillId="19" borderId="0" xfId="0" applyFont="1" applyFill="1" applyBorder="1" applyAlignment="1">
      <alignment horizontal="center"/>
    </xf>
    <xf numFmtId="0" fontId="12" fillId="3" borderId="45" xfId="0" applyFont="1" applyFill="1" applyBorder="1"/>
    <xf numFmtId="177" fontId="3" fillId="3" borderId="0" xfId="8" applyNumberFormat="1" applyFont="1" applyFill="1" applyBorder="1" applyAlignment="1">
      <alignment vertical="top"/>
    </xf>
    <xf numFmtId="180" fontId="63" fillId="3" borderId="0" xfId="8" applyNumberFormat="1" applyFont="1" applyFill="1" applyBorder="1" applyAlignment="1">
      <alignment horizontal="right"/>
    </xf>
    <xf numFmtId="192" fontId="64" fillId="3" borderId="13" xfId="8" applyNumberFormat="1" applyFont="1" applyFill="1" applyBorder="1"/>
    <xf numFmtId="192" fontId="64" fillId="3" borderId="0" xfId="8" applyNumberFormat="1" applyFont="1" applyFill="1" applyBorder="1"/>
    <xf numFmtId="0" fontId="76" fillId="16" borderId="0" xfId="0" applyFont="1" applyFill="1" applyBorder="1"/>
    <xf numFmtId="0" fontId="12" fillId="3" borderId="43" xfId="0" applyFont="1" applyFill="1" applyBorder="1"/>
    <xf numFmtId="0" fontId="76" fillId="16" borderId="46" xfId="0" applyFont="1" applyFill="1" applyBorder="1"/>
    <xf numFmtId="0" fontId="76" fillId="16" borderId="43" xfId="0" applyFont="1" applyFill="1" applyBorder="1"/>
    <xf numFmtId="0" fontId="76" fillId="16" borderId="47" xfId="0" applyFont="1" applyFill="1" applyBorder="1"/>
    <xf numFmtId="164" fontId="70" fillId="3" borderId="47" xfId="8" applyNumberFormat="1" applyFont="1" applyFill="1" applyBorder="1"/>
    <xf numFmtId="164" fontId="70" fillId="3" borderId="43" xfId="8" applyNumberFormat="1" applyFont="1" applyFill="1" applyBorder="1"/>
    <xf numFmtId="164" fontId="70" fillId="3" borderId="46" xfId="8" applyNumberFormat="1" applyFont="1" applyFill="1" applyBorder="1"/>
    <xf numFmtId="192" fontId="64" fillId="3" borderId="12" xfId="8" applyNumberFormat="1" applyFont="1" applyFill="1" applyBorder="1"/>
    <xf numFmtId="0" fontId="12" fillId="16" borderId="0" xfId="0" applyFont="1" applyFill="1" applyBorder="1" applyAlignment="1">
      <alignment horizontal="center" wrapText="1"/>
    </xf>
    <xf numFmtId="0" fontId="75" fillId="16" borderId="0" xfId="0" applyFont="1" applyFill="1" applyBorder="1" applyAlignment="1">
      <alignment horizontal="center"/>
    </xf>
    <xf numFmtId="167" fontId="11" fillId="16" borderId="0" xfId="0" applyNumberFormat="1" applyFont="1" applyFill="1" applyBorder="1"/>
    <xf numFmtId="165" fontId="12" fillId="19" borderId="0" xfId="0" applyNumberFormat="1" applyFont="1" applyFill="1" applyBorder="1" applyAlignment="1">
      <alignment horizontal="center"/>
    </xf>
    <xf numFmtId="165" fontId="12" fillId="19" borderId="12" xfId="0" applyNumberFormat="1" applyFont="1" applyFill="1" applyBorder="1" applyAlignment="1">
      <alignment horizontal="center"/>
    </xf>
    <xf numFmtId="165" fontId="12" fillId="19" borderId="1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indent="2"/>
    </xf>
    <xf numFmtId="0" fontId="11" fillId="0" borderId="0" xfId="0" applyFont="1" applyFill="1" applyBorder="1"/>
    <xf numFmtId="0" fontId="62" fillId="0" borderId="0" xfId="0" applyFont="1" applyFill="1" applyBorder="1"/>
    <xf numFmtId="164" fontId="3" fillId="0" borderId="0" xfId="8" applyNumberFormat="1" applyFont="1" applyFill="1" applyBorder="1" applyAlignment="1">
      <alignment vertical="top"/>
    </xf>
    <xf numFmtId="164" fontId="12" fillId="16" borderId="14" xfId="8" applyNumberFormat="1" applyFont="1" applyFill="1" applyBorder="1"/>
    <xf numFmtId="177" fontId="64" fillId="16" borderId="13" xfId="8" applyNumberFormat="1" applyFont="1" applyFill="1" applyBorder="1"/>
    <xf numFmtId="167" fontId="69" fillId="16" borderId="13" xfId="0" applyNumberFormat="1" applyFont="1" applyFill="1" applyBorder="1"/>
    <xf numFmtId="164" fontId="63" fillId="16" borderId="13" xfId="8" applyNumberFormat="1" applyFont="1" applyFill="1" applyBorder="1"/>
    <xf numFmtId="175" fontId="12" fillId="18" borderId="20" xfId="8" applyNumberFormat="1" applyFont="1" applyFill="1" applyBorder="1"/>
    <xf numFmtId="189" fontId="35" fillId="3" borderId="13" xfId="8" applyNumberFormat="1" applyFont="1" applyFill="1" applyBorder="1" applyAlignment="1">
      <alignment horizontal="right"/>
    </xf>
    <xf numFmtId="164" fontId="16" fillId="3" borderId="0" xfId="8" applyNumberFormat="1" applyFont="1" applyFill="1" applyBorder="1"/>
    <xf numFmtId="43" fontId="22" fillId="0" borderId="0" xfId="8" applyFont="1" applyFill="1" applyBorder="1" applyAlignment="1">
      <alignment horizontal="right"/>
    </xf>
    <xf numFmtId="164" fontId="62" fillId="0" borderId="0" xfId="8" applyNumberFormat="1" applyFont="1" applyFill="1" applyBorder="1"/>
    <xf numFmtId="43" fontId="12" fillId="18" borderId="20" xfId="8" applyFont="1" applyFill="1" applyBorder="1"/>
    <xf numFmtId="180" fontId="63" fillId="3" borderId="13" xfId="8" applyNumberFormat="1" applyFont="1" applyFill="1" applyBorder="1" applyAlignment="1">
      <alignment horizontal="right"/>
    </xf>
    <xf numFmtId="182" fontId="11" fillId="3" borderId="12" xfId="11" applyNumberFormat="1" applyFont="1" applyFill="1" applyBorder="1" applyAlignment="1">
      <alignment horizontal="right"/>
    </xf>
    <xf numFmtId="189" fontId="16" fillId="3" borderId="0" xfId="8" applyNumberFormat="1" applyFont="1" applyFill="1" applyBorder="1" applyAlignment="1">
      <alignment horizontal="right"/>
    </xf>
    <xf numFmtId="0" fontId="12" fillId="19" borderId="12" xfId="0" applyFont="1" applyFill="1" applyBorder="1" applyAlignment="1">
      <alignment horizontal="center"/>
    </xf>
    <xf numFmtId="0" fontId="12" fillId="19" borderId="13" xfId="0" applyFont="1" applyFill="1" applyBorder="1" applyAlignment="1">
      <alignment horizontal="center"/>
    </xf>
    <xf numFmtId="164" fontId="63" fillId="16" borderId="0" xfId="8" applyNumberFormat="1" applyFont="1" applyFill="1" applyBorder="1" applyAlignment="1">
      <alignment horizontal="right"/>
    </xf>
    <xf numFmtId="164" fontId="63" fillId="16" borderId="12" xfId="8" applyNumberFormat="1" applyFont="1" applyFill="1" applyBorder="1" applyAlignment="1">
      <alignment horizontal="right"/>
    </xf>
    <xf numFmtId="164" fontId="63" fillId="16" borderId="13" xfId="8" applyNumberFormat="1" applyFont="1" applyFill="1" applyBorder="1" applyAlignment="1">
      <alignment horizontal="right"/>
    </xf>
    <xf numFmtId="189" fontId="67" fillId="3" borderId="0" xfId="8" applyNumberFormat="1" applyFont="1" applyFill="1" applyBorder="1"/>
    <xf numFmtId="189" fontId="67" fillId="3" borderId="12" xfId="8" applyNumberFormat="1" applyFont="1" applyFill="1" applyBorder="1"/>
    <xf numFmtId="189" fontId="67" fillId="3" borderId="13" xfId="8" applyNumberFormat="1" applyFont="1" applyFill="1" applyBorder="1"/>
    <xf numFmtId="189" fontId="16" fillId="16" borderId="0" xfId="0" applyNumberFormat="1" applyFont="1" applyFill="1" applyBorder="1"/>
    <xf numFmtId="43" fontId="11" fillId="3" borderId="0" xfId="8" applyNumberFormat="1" applyFont="1" applyFill="1" applyBorder="1" applyAlignment="1">
      <alignment horizontal="right"/>
    </xf>
    <xf numFmtId="164" fontId="64" fillId="16" borderId="0" xfId="8" applyNumberFormat="1" applyFont="1" applyFill="1" applyBorder="1" applyAlignment="1">
      <alignment horizontal="right"/>
    </xf>
    <xf numFmtId="164" fontId="64" fillId="16" borderId="12" xfId="8" applyNumberFormat="1" applyFont="1" applyFill="1" applyBorder="1" applyAlignment="1">
      <alignment horizontal="right"/>
    </xf>
    <xf numFmtId="164" fontId="64" fillId="16" borderId="13" xfId="8" applyNumberFormat="1" applyFont="1" applyFill="1" applyBorder="1" applyAlignment="1">
      <alignment horizontal="right"/>
    </xf>
    <xf numFmtId="189" fontId="16" fillId="3" borderId="12" xfId="8" applyNumberFormat="1" applyFont="1" applyFill="1" applyBorder="1" applyAlignment="1">
      <alignment horizontal="right"/>
    </xf>
    <xf numFmtId="189" fontId="16" fillId="3" borderId="13" xfId="8" applyNumberFormat="1" applyFont="1" applyFill="1" applyBorder="1" applyAlignment="1">
      <alignment horizontal="right"/>
    </xf>
    <xf numFmtId="189" fontId="16" fillId="16" borderId="0" xfId="8" applyNumberFormat="1" applyFont="1" applyFill="1" applyBorder="1"/>
    <xf numFmtId="164" fontId="7" fillId="16" borderId="12" xfId="8" applyNumberFormat="1" applyFont="1" applyFill="1" applyBorder="1"/>
    <xf numFmtId="164" fontId="7" fillId="16" borderId="0" xfId="8" applyNumberFormat="1" applyFont="1" applyFill="1" applyBorder="1"/>
    <xf numFmtId="9" fontId="16" fillId="3" borderId="0" xfId="24" applyNumberFormat="1" applyFont="1" applyFill="1" applyBorder="1"/>
    <xf numFmtId="164" fontId="16" fillId="3" borderId="0" xfId="0" applyNumberFormat="1" applyFont="1" applyFill="1" applyBorder="1"/>
    <xf numFmtId="43" fontId="11" fillId="16" borderId="12" xfId="8" applyFont="1" applyFill="1" applyBorder="1"/>
    <xf numFmtId="43" fontId="11" fillId="16" borderId="13" xfId="8" applyFont="1" applyFill="1" applyBorder="1"/>
    <xf numFmtId="43" fontId="16" fillId="16" borderId="0" xfId="8" applyFont="1" applyFill="1" applyBorder="1"/>
    <xf numFmtId="43" fontId="16" fillId="16" borderId="12" xfId="8" applyFont="1" applyFill="1" applyBorder="1"/>
    <xf numFmtId="177" fontId="64" fillId="16" borderId="12" xfId="8" applyNumberFormat="1" applyFont="1" applyFill="1" applyBorder="1"/>
    <xf numFmtId="189" fontId="69" fillId="16" borderId="0" xfId="8" applyNumberFormat="1" applyFont="1" applyFill="1" applyBorder="1"/>
    <xf numFmtId="189" fontId="69" fillId="16" borderId="13" xfId="8" applyNumberFormat="1" applyFont="1" applyFill="1" applyBorder="1"/>
    <xf numFmtId="189" fontId="69" fillId="17" borderId="0" xfId="8" applyNumberFormat="1" applyFont="1" applyFill="1" applyBorder="1"/>
    <xf numFmtId="189" fontId="69" fillId="17" borderId="13" xfId="8" applyNumberFormat="1" applyFont="1" applyFill="1" applyBorder="1"/>
    <xf numFmtId="164" fontId="16" fillId="16" borderId="0" xfId="8" applyNumberFormat="1" applyFont="1" applyFill="1" applyBorder="1"/>
    <xf numFmtId="164" fontId="16" fillId="16" borderId="13" xfId="8" applyNumberFormat="1" applyFont="1" applyFill="1" applyBorder="1"/>
    <xf numFmtId="164" fontId="16" fillId="16" borderId="12" xfId="8" applyNumberFormat="1" applyFont="1" applyFill="1" applyBorder="1"/>
    <xf numFmtId="175" fontId="12" fillId="18" borderId="14" xfId="8" applyNumberFormat="1" applyFont="1" applyFill="1" applyBorder="1"/>
    <xf numFmtId="177" fontId="11" fillId="3" borderId="12" xfId="8" applyNumberFormat="1" applyFont="1" applyFill="1" applyBorder="1" applyAlignment="1">
      <alignment wrapText="1"/>
    </xf>
    <xf numFmtId="177" fontId="11" fillId="3" borderId="0" xfId="8" applyNumberFormat="1" applyFont="1" applyFill="1" applyBorder="1" applyAlignment="1">
      <alignment wrapText="1"/>
    </xf>
    <xf numFmtId="177" fontId="11" fillId="3" borderId="13" xfId="8" applyNumberFormat="1" applyFont="1" applyFill="1" applyBorder="1" applyAlignment="1">
      <alignment wrapText="1"/>
    </xf>
    <xf numFmtId="164" fontId="7" fillId="3" borderId="13" xfId="8" applyNumberFormat="1" applyFont="1" applyFill="1" applyBorder="1"/>
    <xf numFmtId="189" fontId="69" fillId="3" borderId="0" xfId="8" applyNumberFormat="1" applyFont="1" applyFill="1" applyBorder="1" applyAlignment="1">
      <alignment horizontal="right"/>
    </xf>
    <xf numFmtId="189" fontId="69" fillId="3" borderId="13" xfId="8" applyNumberFormat="1" applyFont="1" applyFill="1" applyBorder="1" applyAlignment="1">
      <alignment horizontal="right"/>
    </xf>
    <xf numFmtId="189" fontId="16" fillId="3" borderId="12" xfId="0" applyNumberFormat="1" applyFont="1" applyFill="1" applyBorder="1"/>
    <xf numFmtId="164" fontId="12" fillId="3" borderId="48" xfId="8" applyNumberFormat="1" applyFont="1" applyFill="1" applyBorder="1" applyAlignment="1">
      <alignment horizontal="right"/>
    </xf>
    <xf numFmtId="164" fontId="12" fillId="3" borderId="45" xfId="8" applyNumberFormat="1" applyFont="1" applyFill="1" applyBorder="1" applyAlignment="1">
      <alignment horizontal="right"/>
    </xf>
    <xf numFmtId="164" fontId="12" fillId="3" borderId="49" xfId="8" applyNumberFormat="1" applyFont="1" applyFill="1" applyBorder="1" applyAlignment="1">
      <alignment horizontal="right"/>
    </xf>
    <xf numFmtId="175" fontId="12" fillId="3" borderId="45" xfId="8" applyNumberFormat="1" applyFont="1" applyFill="1" applyBorder="1" applyAlignment="1">
      <alignment horizontal="right"/>
    </xf>
    <xf numFmtId="164" fontId="12" fillId="16" borderId="45" xfId="8" applyNumberFormat="1" applyFont="1" applyFill="1" applyBorder="1"/>
    <xf numFmtId="164" fontId="12" fillId="3" borderId="45" xfId="8" applyNumberFormat="1" applyFont="1" applyFill="1" applyBorder="1"/>
    <xf numFmtId="167" fontId="35" fillId="3" borderId="48" xfId="0" applyNumberFormat="1" applyFont="1" applyFill="1" applyBorder="1"/>
    <xf numFmtId="189" fontId="35" fillId="3" borderId="45" xfId="8" applyNumberFormat="1" applyFont="1" applyFill="1" applyBorder="1" applyAlignment="1">
      <alignment horizontal="right"/>
    </xf>
    <xf numFmtId="189" fontId="35" fillId="3" borderId="49" xfId="8" applyNumberFormat="1" applyFont="1" applyFill="1" applyBorder="1" applyAlignment="1">
      <alignment horizontal="right"/>
    </xf>
    <xf numFmtId="167" fontId="35" fillId="3" borderId="45" xfId="0" applyNumberFormat="1" applyFont="1" applyFill="1" applyBorder="1"/>
    <xf numFmtId="189" fontId="35" fillId="16" borderId="0" xfId="8" applyNumberFormat="1" applyFont="1" applyFill="1" applyBorder="1"/>
    <xf numFmtId="189" fontId="16" fillId="3" borderId="0" xfId="0" applyNumberFormat="1" applyFont="1" applyFill="1" applyBorder="1"/>
    <xf numFmtId="189" fontId="16" fillId="3" borderId="13" xfId="0" applyNumberFormat="1" applyFont="1" applyFill="1" applyBorder="1"/>
    <xf numFmtId="189" fontId="16" fillId="16" borderId="0" xfId="24" applyNumberFormat="1" applyFont="1" applyFill="1" applyBorder="1"/>
    <xf numFmtId="189" fontId="23" fillId="16" borderId="13" xfId="8" applyNumberFormat="1" applyFont="1" applyFill="1" applyBorder="1"/>
    <xf numFmtId="164" fontId="12" fillId="3" borderId="0" xfId="0" applyNumberFormat="1" applyFont="1" applyFill="1" applyBorder="1"/>
    <xf numFmtId="177" fontId="16" fillId="16" borderId="12" xfId="8" applyNumberFormat="1" applyFont="1" applyFill="1" applyBorder="1"/>
    <xf numFmtId="177" fontId="16" fillId="16" borderId="0" xfId="8" applyNumberFormat="1" applyFont="1" applyFill="1" applyBorder="1"/>
    <xf numFmtId="177" fontId="16" fillId="16" borderId="13" xfId="8" applyNumberFormat="1" applyFont="1" applyFill="1" applyBorder="1"/>
    <xf numFmtId="177" fontId="67" fillId="3" borderId="0" xfId="8" applyNumberFormat="1" applyFont="1" applyFill="1" applyBorder="1"/>
    <xf numFmtId="177" fontId="67" fillId="3" borderId="13" xfId="8" applyNumberFormat="1" applyFont="1" applyFill="1" applyBorder="1"/>
    <xf numFmtId="189" fontId="16" fillId="16" borderId="12" xfId="24" applyNumberFormat="1" applyFont="1" applyFill="1" applyBorder="1"/>
    <xf numFmtId="189" fontId="16" fillId="16" borderId="13" xfId="24" applyNumberFormat="1" applyFont="1" applyFill="1" applyBorder="1"/>
    <xf numFmtId="189" fontId="16" fillId="16" borderId="12" xfId="0" applyNumberFormat="1" applyFont="1" applyFill="1" applyBorder="1"/>
    <xf numFmtId="189" fontId="16" fillId="16" borderId="13" xfId="0" applyNumberFormat="1" applyFont="1" applyFill="1" applyBorder="1"/>
    <xf numFmtId="200" fontId="11" fillId="3" borderId="0" xfId="11" applyNumberFormat="1" applyFont="1" applyFill="1" applyBorder="1" applyAlignment="1">
      <alignment horizontal="right"/>
    </xf>
    <xf numFmtId="189" fontId="67" fillId="3" borderId="0" xfId="8" applyNumberFormat="1" applyFont="1" applyFill="1" applyBorder="1" applyAlignment="1">
      <alignment horizontal="right"/>
    </xf>
    <xf numFmtId="177" fontId="67" fillId="16" borderId="0" xfId="8" applyNumberFormat="1" applyFont="1" applyFill="1" applyBorder="1"/>
    <xf numFmtId="189" fontId="67" fillId="16" borderId="0" xfId="8" applyNumberFormat="1" applyFont="1" applyFill="1" applyBorder="1"/>
    <xf numFmtId="164" fontId="16" fillId="3" borderId="13" xfId="8" applyNumberFormat="1" applyFont="1" applyFill="1" applyBorder="1"/>
    <xf numFmtId="164" fontId="11" fillId="3" borderId="14" xfId="8" applyNumberFormat="1" applyFont="1" applyFill="1" applyBorder="1"/>
    <xf numFmtId="43" fontId="12" fillId="3" borderId="0" xfId="8" applyFont="1" applyFill="1" applyBorder="1"/>
    <xf numFmtId="164" fontId="64" fillId="16" borderId="0" xfId="8" applyNumberFormat="1" applyFont="1" applyFill="1" applyBorder="1" applyAlignment="1">
      <alignment horizontal="center"/>
    </xf>
    <xf numFmtId="43" fontId="12" fillId="18" borderId="19" xfId="8" applyFont="1" applyFill="1" applyBorder="1"/>
    <xf numFmtId="43" fontId="12" fillId="18" borderId="14" xfId="8" applyFont="1" applyFill="1" applyBorder="1"/>
    <xf numFmtId="180" fontId="63" fillId="3" borderId="12" xfId="8" applyNumberFormat="1" applyFont="1" applyFill="1" applyBorder="1" applyAlignment="1">
      <alignment horizontal="right"/>
    </xf>
    <xf numFmtId="180" fontId="11" fillId="3" borderId="0" xfId="8" applyNumberFormat="1" applyFont="1" applyFill="1" applyBorder="1" applyAlignment="1">
      <alignment horizontal="right"/>
    </xf>
    <xf numFmtId="189" fontId="16" fillId="3" borderId="0" xfId="8" applyNumberFormat="1" applyFont="1" applyFill="1" applyBorder="1"/>
    <xf numFmtId="175" fontId="11" fillId="3" borderId="0" xfId="8" applyNumberFormat="1" applyFont="1" applyFill="1" applyBorder="1" applyAlignment="1">
      <alignment horizontal="right"/>
    </xf>
    <xf numFmtId="175" fontId="11" fillId="3" borderId="13" xfId="8" applyNumberFormat="1" applyFont="1" applyFill="1" applyBorder="1" applyAlignment="1">
      <alignment horizontal="right"/>
    </xf>
    <xf numFmtId="175" fontId="11" fillId="3" borderId="12" xfId="8" applyNumberFormat="1" applyFont="1" applyFill="1" applyBorder="1" applyAlignment="1">
      <alignment horizontal="right"/>
    </xf>
    <xf numFmtId="198" fontId="16" fillId="16" borderId="12" xfId="8" applyNumberFormat="1" applyFont="1" applyFill="1" applyBorder="1"/>
    <xf numFmtId="198" fontId="16" fillId="16" borderId="0" xfId="8" applyNumberFormat="1" applyFont="1" applyFill="1" applyBorder="1"/>
    <xf numFmtId="177" fontId="11" fillId="16" borderId="12" xfId="8" applyNumberFormat="1" applyFont="1" applyFill="1" applyBorder="1"/>
    <xf numFmtId="177" fontId="11" fillId="16" borderId="0" xfId="8" applyNumberFormat="1" applyFont="1" applyFill="1" applyBorder="1"/>
    <xf numFmtId="177" fontId="11" fillId="16" borderId="13" xfId="8" applyNumberFormat="1" applyFont="1" applyFill="1" applyBorder="1"/>
    <xf numFmtId="43" fontId="11" fillId="3" borderId="13" xfId="8" applyFont="1" applyFill="1" applyBorder="1"/>
    <xf numFmtId="198" fontId="16" fillId="16" borderId="0" xfId="0" applyNumberFormat="1" applyFont="1" applyFill="1" applyBorder="1"/>
    <xf numFmtId="189" fontId="67" fillId="3" borderId="13" xfId="8" applyNumberFormat="1" applyFont="1" applyFill="1" applyBorder="1" applyAlignment="1">
      <alignment horizontal="right"/>
    </xf>
    <xf numFmtId="43" fontId="11" fillId="3" borderId="0" xfId="8" applyFont="1" applyFill="1" applyBorder="1" applyAlignment="1">
      <alignment horizontal="right"/>
    </xf>
    <xf numFmtId="43" fontId="11" fillId="3" borderId="12" xfId="8" applyNumberFormat="1" applyFont="1" applyFill="1" applyBorder="1" applyAlignment="1">
      <alignment wrapText="1"/>
    </xf>
    <xf numFmtId="43" fontId="11" fillId="3" borderId="0" xfId="8" applyNumberFormat="1" applyFont="1" applyFill="1" applyBorder="1" applyAlignment="1">
      <alignment wrapText="1"/>
    </xf>
    <xf numFmtId="43" fontId="11" fillId="3" borderId="13" xfId="8" applyNumberFormat="1" applyFont="1" applyFill="1" applyBorder="1" applyAlignment="1">
      <alignment wrapText="1"/>
    </xf>
    <xf numFmtId="177" fontId="11" fillId="3" borderId="0" xfId="8" applyNumberFormat="1" applyFont="1" applyFill="1" applyBorder="1" applyAlignment="1">
      <alignment horizontal="right"/>
    </xf>
    <xf numFmtId="177" fontId="11" fillId="3" borderId="13" xfId="8" applyNumberFormat="1" applyFont="1" applyFill="1" applyBorder="1" applyAlignment="1">
      <alignment horizontal="right"/>
    </xf>
    <xf numFmtId="177" fontId="11" fillId="3" borderId="12" xfId="8" applyNumberFormat="1" applyFont="1" applyFill="1" applyBorder="1" applyAlignment="1">
      <alignment horizontal="right"/>
    </xf>
    <xf numFmtId="43" fontId="12" fillId="18" borderId="14" xfId="8" applyNumberFormat="1" applyFont="1" applyFill="1" applyBorder="1"/>
    <xf numFmtId="189" fontId="16" fillId="19" borderId="0" xfId="8" applyNumberFormat="1" applyFont="1" applyFill="1" applyBorder="1" applyAlignment="1">
      <alignment horizontal="right"/>
    </xf>
    <xf numFmtId="189" fontId="16" fillId="19" borderId="13" xfId="8" applyNumberFormat="1" applyFont="1" applyFill="1" applyBorder="1" applyAlignment="1">
      <alignment horizontal="right"/>
    </xf>
    <xf numFmtId="164" fontId="12" fillId="3" borderId="43" xfId="8" applyNumberFormat="1" applyFont="1" applyFill="1" applyBorder="1"/>
    <xf numFmtId="189" fontId="16" fillId="19" borderId="12" xfId="8" applyNumberFormat="1" applyFont="1" applyFill="1" applyBorder="1" applyAlignment="1">
      <alignment horizontal="right"/>
    </xf>
    <xf numFmtId="164" fontId="63" fillId="17" borderId="13" xfId="0" applyNumberFormat="1" applyFont="1" applyFill="1" applyBorder="1"/>
    <xf numFmtId="189" fontId="23" fillId="3" borderId="13" xfId="8" applyNumberFormat="1" applyFont="1" applyFill="1" applyBorder="1"/>
    <xf numFmtId="43" fontId="16" fillId="3" borderId="0" xfId="8" applyFont="1" applyFill="1" applyBorder="1"/>
    <xf numFmtId="182" fontId="63" fillId="17" borderId="13" xfId="24" applyNumberFormat="1" applyFont="1" applyFill="1" applyBorder="1"/>
    <xf numFmtId="9" fontId="69" fillId="17" borderId="0" xfId="24" applyNumberFormat="1" applyFont="1" applyFill="1" applyBorder="1"/>
    <xf numFmtId="9" fontId="69" fillId="17" borderId="13" xfId="24" applyNumberFormat="1" applyFont="1" applyFill="1" applyBorder="1"/>
    <xf numFmtId="189" fontId="35" fillId="3" borderId="12" xfId="8" applyNumberFormat="1" applyFont="1" applyFill="1" applyBorder="1" applyAlignment="1">
      <alignment horizontal="right"/>
    </xf>
    <xf numFmtId="43" fontId="7" fillId="3" borderId="0" xfId="8" applyFont="1" applyFill="1" applyBorder="1"/>
    <xf numFmtId="164" fontId="7" fillId="3" borderId="12" xfId="8" applyNumberFormat="1" applyFont="1" applyFill="1" applyBorder="1"/>
    <xf numFmtId="164" fontId="7" fillId="3" borderId="0" xfId="8" applyNumberFormat="1" applyFont="1" applyFill="1" applyBorder="1"/>
    <xf numFmtId="43" fontId="11" fillId="3" borderId="0" xfId="8" applyFont="1" applyFill="1" applyBorder="1" applyAlignment="1">
      <alignment wrapText="1"/>
    </xf>
    <xf numFmtId="43" fontId="11" fillId="3" borderId="12" xfId="8" applyFont="1" applyFill="1" applyBorder="1" applyAlignment="1">
      <alignment wrapText="1"/>
    </xf>
    <xf numFmtId="43" fontId="11" fillId="3" borderId="13" xfId="8" applyFont="1" applyFill="1" applyBorder="1" applyAlignment="1">
      <alignment wrapText="1"/>
    </xf>
    <xf numFmtId="164" fontId="69" fillId="76" borderId="0" xfId="8" applyNumberFormat="1" applyFont="1" applyFill="1" applyBorder="1"/>
    <xf numFmtId="164" fontId="69" fillId="76" borderId="13" xfId="8" applyNumberFormat="1" applyFont="1" applyFill="1" applyBorder="1"/>
    <xf numFmtId="164" fontId="4" fillId="76" borderId="0" xfId="9" applyNumberFormat="1" applyFont="1" applyFill="1" applyBorder="1"/>
    <xf numFmtId="164" fontId="4" fillId="76" borderId="13" xfId="9" applyNumberFormat="1" applyFont="1" applyFill="1" applyBorder="1"/>
    <xf numFmtId="167" fontId="7" fillId="76" borderId="0" xfId="9" applyNumberFormat="1" applyFont="1" applyFill="1" applyBorder="1"/>
    <xf numFmtId="167" fontId="7" fillId="76" borderId="13" xfId="9" applyNumberFormat="1" applyFont="1" applyFill="1" applyBorder="1"/>
    <xf numFmtId="0" fontId="11" fillId="76" borderId="0" xfId="0" applyFont="1" applyFill="1" applyBorder="1"/>
    <xf numFmtId="0" fontId="11" fillId="76" borderId="13" xfId="0" applyFont="1" applyFill="1" applyBorder="1"/>
    <xf numFmtId="167" fontId="12" fillId="76" borderId="14" xfId="0" applyNumberFormat="1" applyFont="1" applyFill="1" applyBorder="1"/>
    <xf numFmtId="167" fontId="12" fillId="76" borderId="20" xfId="0" applyNumberFormat="1" applyFont="1" applyFill="1" applyBorder="1"/>
    <xf numFmtId="43" fontId="12" fillId="3" borderId="0" xfId="8" applyNumberFormat="1" applyFont="1" applyFill="1" applyBorder="1" applyAlignment="1">
      <alignment horizontal="right"/>
    </xf>
    <xf numFmtId="189" fontId="16" fillId="3" borderId="12" xfId="8" applyNumberFormat="1" applyFont="1" applyFill="1" applyBorder="1"/>
    <xf numFmtId="189" fontId="16" fillId="17" borderId="0" xfId="8" applyNumberFormat="1" applyFont="1" applyFill="1" applyBorder="1"/>
    <xf numFmtId="164" fontId="3" fillId="76" borderId="12" xfId="8" applyNumberFormat="1" applyFont="1" applyFill="1" applyBorder="1"/>
    <xf numFmtId="164" fontId="3" fillId="76" borderId="0" xfId="8" applyNumberFormat="1" applyFont="1" applyFill="1" applyBorder="1"/>
    <xf numFmtId="164" fontId="3" fillId="76" borderId="13" xfId="8" applyNumberFormat="1" applyFont="1" applyFill="1" applyBorder="1"/>
    <xf numFmtId="164" fontId="63" fillId="76" borderId="0" xfId="8" applyNumberFormat="1" applyFont="1" applyFill="1" applyBorder="1"/>
    <xf numFmtId="164" fontId="63" fillId="76" borderId="13" xfId="8" applyNumberFormat="1" applyFont="1" applyFill="1" applyBorder="1"/>
    <xf numFmtId="167" fontId="16" fillId="76" borderId="0" xfId="8" applyNumberFormat="1" applyFont="1" applyFill="1" applyBorder="1"/>
    <xf numFmtId="189" fontId="69" fillId="76" borderId="13" xfId="8" applyNumberFormat="1" applyFont="1" applyFill="1" applyBorder="1"/>
    <xf numFmtId="167" fontId="16" fillId="76" borderId="13" xfId="8" applyNumberFormat="1" applyFont="1" applyFill="1" applyBorder="1"/>
    <xf numFmtId="167" fontId="16" fillId="76" borderId="12" xfId="8" applyNumberFormat="1" applyFont="1" applyFill="1" applyBorder="1"/>
    <xf numFmtId="43" fontId="11" fillId="76" borderId="0" xfId="8" applyFont="1" applyFill="1" applyBorder="1"/>
    <xf numFmtId="43" fontId="7" fillId="16" borderId="0" xfId="8" applyFont="1" applyFill="1" applyBorder="1"/>
    <xf numFmtId="43" fontId="7" fillId="16" borderId="13" xfId="8" applyFont="1" applyFill="1" applyBorder="1"/>
    <xf numFmtId="43" fontId="7" fillId="16" borderId="12" xfId="8" applyFont="1" applyFill="1" applyBorder="1"/>
    <xf numFmtId="43" fontId="11" fillId="16" borderId="0" xfId="8" applyNumberFormat="1" applyFont="1" applyFill="1" applyBorder="1"/>
    <xf numFmtId="43" fontId="11" fillId="16" borderId="13" xfId="8" applyNumberFormat="1" applyFont="1" applyFill="1" applyBorder="1"/>
    <xf numFmtId="164" fontId="63" fillId="17" borderId="0" xfId="0" applyNumberFormat="1" applyFont="1" applyFill="1" applyBorder="1"/>
    <xf numFmtId="164" fontId="12" fillId="18" borderId="0" xfId="8" applyNumberFormat="1" applyFont="1" applyFill="1" applyBorder="1"/>
    <xf numFmtId="164" fontId="12" fillId="18" borderId="0" xfId="0" applyNumberFormat="1" applyFont="1" applyFill="1" applyBorder="1"/>
    <xf numFmtId="167" fontId="12" fillId="76" borderId="0" xfId="0" applyNumberFormat="1" applyFont="1" applyFill="1" applyBorder="1"/>
    <xf numFmtId="164" fontId="11" fillId="3" borderId="87" xfId="0" applyNumberFormat="1" applyFont="1" applyFill="1" applyBorder="1"/>
    <xf numFmtId="164" fontId="11" fillId="3" borderId="33" xfId="0" applyNumberFormat="1" applyFont="1" applyFill="1" applyBorder="1"/>
    <xf numFmtId="164" fontId="69" fillId="76" borderId="33" xfId="8" applyNumberFormat="1" applyFont="1" applyFill="1" applyBorder="1"/>
    <xf numFmtId="0" fontId="11" fillId="3" borderId="33" xfId="0" applyFont="1" applyFill="1" applyBorder="1"/>
    <xf numFmtId="164" fontId="12" fillId="3" borderId="33" xfId="8" applyNumberFormat="1" applyFont="1" applyFill="1" applyBorder="1"/>
    <xf numFmtId="164" fontId="11" fillId="3" borderId="29" xfId="0" applyNumberFormat="1" applyFont="1" applyFill="1" applyBorder="1"/>
    <xf numFmtId="164" fontId="12" fillId="18" borderId="13" xfId="8" applyNumberFormat="1" applyFont="1" applyFill="1" applyBorder="1"/>
    <xf numFmtId="164" fontId="12" fillId="18" borderId="13" xfId="0" applyNumberFormat="1" applyFont="1" applyFill="1" applyBorder="1"/>
    <xf numFmtId="164" fontId="69" fillId="76" borderId="29" xfId="8" applyNumberFormat="1" applyFont="1" applyFill="1" applyBorder="1"/>
    <xf numFmtId="167" fontId="12" fillId="76" borderId="13" xfId="0" applyNumberFormat="1" applyFont="1" applyFill="1" applyBorder="1"/>
    <xf numFmtId="0" fontId="11" fillId="3" borderId="29" xfId="0" applyFont="1" applyFill="1" applyBorder="1"/>
    <xf numFmtId="164" fontId="12" fillId="3" borderId="29" xfId="8" applyNumberFormat="1" applyFont="1" applyFill="1" applyBorder="1"/>
    <xf numFmtId="43" fontId="11" fillId="3" borderId="0" xfId="10" applyFont="1" applyFill="1" applyBorder="1"/>
    <xf numFmtId="43" fontId="21" fillId="3" borderId="20" xfId="8" applyNumberFormat="1" applyFont="1" applyFill="1" applyBorder="1"/>
    <xf numFmtId="43" fontId="18" fillId="3" borderId="13" xfId="8" applyNumberFormat="1" applyFont="1" applyFill="1" applyBorder="1"/>
    <xf numFmtId="43" fontId="18" fillId="81" borderId="13" xfId="8" applyNumberFormat="1" applyFont="1" applyFill="1" applyBorder="1"/>
    <xf numFmtId="175" fontId="18" fillId="81" borderId="13" xfId="8" applyNumberFormat="1" applyFont="1" applyFill="1" applyBorder="1"/>
    <xf numFmtId="175" fontId="21" fillId="81" borderId="13" xfId="8" applyNumberFormat="1" applyFont="1" applyFill="1" applyBorder="1"/>
    <xf numFmtId="43" fontId="18" fillId="81" borderId="13" xfId="8" applyFont="1" applyFill="1" applyBorder="1"/>
    <xf numFmtId="164" fontId="18" fillId="81" borderId="13" xfId="8" applyNumberFormat="1" applyFont="1" applyFill="1" applyBorder="1"/>
    <xf numFmtId="180" fontId="11" fillId="16" borderId="0" xfId="8" applyNumberFormat="1" applyFont="1" applyFill="1" applyBorder="1"/>
    <xf numFmtId="177" fontId="11" fillId="3" borderId="0" xfId="10" applyNumberFormat="1" applyFont="1" applyFill="1" applyBorder="1" applyAlignment="1">
      <alignment wrapText="1"/>
    </xf>
    <xf numFmtId="164" fontId="11" fillId="16" borderId="0" xfId="10" applyNumberFormat="1" applyFont="1" applyFill="1" applyBorder="1"/>
    <xf numFmtId="164" fontId="11" fillId="3" borderId="0" xfId="10" applyNumberFormat="1" applyFont="1" applyFill="1" applyBorder="1"/>
    <xf numFmtId="167" fontId="67" fillId="3" borderId="0" xfId="10" applyNumberFormat="1" applyFont="1" applyFill="1" applyBorder="1"/>
    <xf numFmtId="177" fontId="64" fillId="3" borderId="0" xfId="10" applyNumberFormat="1" applyFont="1" applyFill="1" applyBorder="1"/>
    <xf numFmtId="167" fontId="16" fillId="16" borderId="0" xfId="3774" applyNumberFormat="1" applyFont="1" applyFill="1" applyBorder="1"/>
    <xf numFmtId="167" fontId="16" fillId="76" borderId="0" xfId="10" applyNumberFormat="1" applyFont="1" applyFill="1" applyBorder="1"/>
    <xf numFmtId="167" fontId="16" fillId="3" borderId="0" xfId="10" applyNumberFormat="1" applyFont="1" applyFill="1" applyBorder="1"/>
    <xf numFmtId="43" fontId="7" fillId="3" borderId="0" xfId="10" applyFont="1" applyFill="1" applyBorder="1"/>
    <xf numFmtId="164" fontId="4" fillId="16" borderId="0" xfId="10" applyNumberFormat="1" applyFont="1" applyFill="1" applyBorder="1"/>
    <xf numFmtId="167" fontId="7" fillId="16" borderId="0" xfId="10" applyNumberFormat="1" applyFont="1" applyFill="1" applyBorder="1"/>
    <xf numFmtId="167" fontId="7" fillId="3" borderId="0" xfId="3774" applyNumberFormat="1" applyFont="1" applyFill="1" applyBorder="1"/>
    <xf numFmtId="164" fontId="7" fillId="3" borderId="0" xfId="10" applyNumberFormat="1" applyFont="1" applyFill="1" applyBorder="1"/>
    <xf numFmtId="164" fontId="69" fillId="76" borderId="0" xfId="10" applyNumberFormat="1" applyFont="1" applyFill="1" applyBorder="1"/>
    <xf numFmtId="164" fontId="69" fillId="16" borderId="0" xfId="10" applyNumberFormat="1" applyFont="1" applyFill="1" applyBorder="1"/>
    <xf numFmtId="164" fontId="5" fillId="3" borderId="0" xfId="10" applyNumberFormat="1" applyFont="1" applyFill="1" applyBorder="1"/>
    <xf numFmtId="164" fontId="75" fillId="3" borderId="0" xfId="10" applyNumberFormat="1" applyFont="1" applyFill="1" applyBorder="1" applyAlignment="1">
      <alignment horizontal="right"/>
    </xf>
    <xf numFmtId="164" fontId="12" fillId="3" borderId="0" xfId="10" applyNumberFormat="1" applyFont="1" applyFill="1" applyBorder="1" applyAlignment="1">
      <alignment horizontal="right"/>
    </xf>
    <xf numFmtId="164" fontId="63" fillId="16" borderId="0" xfId="10" applyNumberFormat="1" applyFont="1" applyFill="1" applyBorder="1"/>
    <xf numFmtId="164" fontId="11" fillId="3" borderId="0" xfId="10" applyNumberFormat="1" applyFont="1" applyFill="1" applyBorder="1" applyAlignment="1">
      <alignment horizontal="right"/>
    </xf>
    <xf numFmtId="167" fontId="11" fillId="3" borderId="0" xfId="24" applyNumberFormat="1" applyFont="1" applyFill="1" applyBorder="1"/>
    <xf numFmtId="164" fontId="64" fillId="3" borderId="13" xfId="10" applyNumberFormat="1" applyFont="1" applyFill="1" applyBorder="1"/>
    <xf numFmtId="164" fontId="11" fillId="3" borderId="13" xfId="10" applyNumberFormat="1" applyFont="1" applyFill="1" applyBorder="1"/>
    <xf numFmtId="164" fontId="11" fillId="3" borderId="13" xfId="10" applyNumberFormat="1" applyFont="1" applyFill="1" applyBorder="1" applyAlignment="1">
      <alignment horizontal="right"/>
    </xf>
    <xf numFmtId="167" fontId="16" fillId="3" borderId="13" xfId="3774" applyNumberFormat="1" applyFont="1" applyFill="1" applyBorder="1"/>
    <xf numFmtId="164" fontId="65" fillId="3" borderId="13" xfId="10" applyNumberFormat="1" applyFont="1" applyFill="1" applyBorder="1" applyAlignment="1">
      <alignment wrapText="1"/>
    </xf>
    <xf numFmtId="167" fontId="64" fillId="3" borderId="13" xfId="10" applyNumberFormat="1" applyFont="1" applyFill="1" applyBorder="1" applyAlignment="1">
      <alignment wrapText="1"/>
    </xf>
    <xf numFmtId="164" fontId="64" fillId="3" borderId="13" xfId="10" applyNumberFormat="1" applyFont="1" applyFill="1" applyBorder="1" applyAlignment="1">
      <alignment wrapText="1"/>
    </xf>
    <xf numFmtId="167" fontId="67" fillId="3" borderId="13" xfId="10" applyNumberFormat="1" applyFont="1" applyFill="1" applyBorder="1" applyAlignment="1">
      <alignment wrapText="1"/>
    </xf>
    <xf numFmtId="43" fontId="11" fillId="3" borderId="13" xfId="10" applyNumberFormat="1" applyFont="1" applyFill="1" applyBorder="1" applyAlignment="1">
      <alignment wrapText="1"/>
    </xf>
    <xf numFmtId="175" fontId="12" fillId="18" borderId="20" xfId="10" applyNumberFormat="1" applyFont="1" applyFill="1" applyBorder="1"/>
    <xf numFmtId="177" fontId="11" fillId="3" borderId="13" xfId="10" applyNumberFormat="1" applyFont="1" applyFill="1" applyBorder="1" applyAlignment="1">
      <alignment wrapText="1"/>
    </xf>
    <xf numFmtId="43" fontId="11" fillId="16" borderId="13" xfId="10" applyNumberFormat="1" applyFont="1" applyFill="1" applyBorder="1"/>
    <xf numFmtId="164" fontId="11" fillId="16" borderId="13" xfId="10" applyNumberFormat="1" applyFont="1" applyFill="1" applyBorder="1"/>
    <xf numFmtId="167" fontId="7" fillId="16" borderId="13" xfId="3774" applyNumberFormat="1" applyFont="1" applyFill="1" applyBorder="1"/>
    <xf numFmtId="164" fontId="3" fillId="16" borderId="13" xfId="10" applyNumberFormat="1" applyFont="1" applyFill="1" applyBorder="1"/>
    <xf numFmtId="189" fontId="23" fillId="16" borderId="13" xfId="10" applyNumberFormat="1" applyFont="1" applyFill="1" applyBorder="1"/>
    <xf numFmtId="195" fontId="16" fillId="3" borderId="13" xfId="2534" applyNumberFormat="1" applyFont="1" applyFill="1" applyBorder="1"/>
    <xf numFmtId="164" fontId="70" fillId="16" borderId="13" xfId="10" applyNumberFormat="1" applyFont="1" applyFill="1" applyBorder="1"/>
    <xf numFmtId="167" fontId="67" fillId="16" borderId="13" xfId="10" applyNumberFormat="1" applyFont="1" applyFill="1" applyBorder="1"/>
    <xf numFmtId="167" fontId="16" fillId="16" borderId="13" xfId="3774" applyNumberFormat="1" applyFont="1" applyFill="1" applyBorder="1"/>
    <xf numFmtId="177" fontId="64" fillId="3" borderId="13" xfId="10" applyNumberFormat="1" applyFont="1" applyFill="1" applyBorder="1"/>
    <xf numFmtId="167" fontId="67" fillId="3" borderId="13" xfId="10" applyNumberFormat="1" applyFont="1" applyFill="1" applyBorder="1"/>
    <xf numFmtId="164" fontId="12" fillId="3" borderId="13" xfId="10" applyNumberFormat="1" applyFont="1" applyFill="1" applyBorder="1"/>
    <xf numFmtId="189" fontId="67" fillId="3" borderId="13" xfId="10" applyNumberFormat="1" applyFont="1" applyFill="1" applyBorder="1"/>
    <xf numFmtId="177" fontId="67" fillId="3" borderId="13" xfId="10" applyNumberFormat="1" applyFont="1" applyFill="1" applyBorder="1"/>
    <xf numFmtId="43" fontId="11" fillId="3" borderId="13" xfId="10" applyFont="1" applyFill="1" applyBorder="1"/>
    <xf numFmtId="164" fontId="70" fillId="3" borderId="13" xfId="10" applyNumberFormat="1" applyFont="1" applyFill="1" applyBorder="1"/>
    <xf numFmtId="167" fontId="16" fillId="76" borderId="13" xfId="10" applyNumberFormat="1" applyFont="1" applyFill="1" applyBorder="1"/>
    <xf numFmtId="167" fontId="16" fillId="3" borderId="13" xfId="10" applyNumberFormat="1" applyFont="1" applyFill="1" applyBorder="1"/>
    <xf numFmtId="164" fontId="16" fillId="3" borderId="13" xfId="10" applyNumberFormat="1" applyFont="1" applyFill="1" applyBorder="1"/>
    <xf numFmtId="43" fontId="7" fillId="3" borderId="13" xfId="10" applyFont="1" applyFill="1" applyBorder="1"/>
    <xf numFmtId="164" fontId="4" fillId="16" borderId="13" xfId="10" applyNumberFormat="1" applyFont="1" applyFill="1" applyBorder="1"/>
    <xf numFmtId="167" fontId="7" fillId="16" borderId="13" xfId="10" applyNumberFormat="1" applyFont="1" applyFill="1" applyBorder="1"/>
    <xf numFmtId="164" fontId="3" fillId="3" borderId="13" xfId="10" applyNumberFormat="1" applyFont="1" applyFill="1" applyBorder="1"/>
    <xf numFmtId="164" fontId="4" fillId="3" borderId="20" xfId="10" applyNumberFormat="1" applyFont="1" applyFill="1" applyBorder="1"/>
    <xf numFmtId="167" fontId="7" fillId="3" borderId="13" xfId="3774" applyNumberFormat="1" applyFont="1" applyFill="1" applyBorder="1"/>
    <xf numFmtId="164" fontId="7" fillId="3" borderId="13" xfId="10" applyNumberFormat="1" applyFont="1" applyFill="1" applyBorder="1"/>
    <xf numFmtId="164" fontId="69" fillId="76" borderId="13" xfId="10" applyNumberFormat="1" applyFont="1" applyFill="1" applyBorder="1"/>
    <xf numFmtId="164" fontId="69" fillId="16" borderId="13" xfId="10" applyNumberFormat="1" applyFont="1" applyFill="1" applyBorder="1"/>
    <xf numFmtId="164" fontId="4" fillId="16" borderId="20" xfId="10" applyNumberFormat="1" applyFont="1" applyFill="1" applyBorder="1"/>
    <xf numFmtId="164" fontId="63" fillId="3" borderId="13" xfId="10" applyNumberFormat="1" applyFont="1" applyFill="1" applyBorder="1"/>
    <xf numFmtId="164" fontId="5" fillId="3" borderId="13" xfId="10" applyNumberFormat="1" applyFont="1" applyFill="1" applyBorder="1"/>
    <xf numFmtId="189" fontId="23" fillId="3" borderId="13" xfId="10" applyNumberFormat="1" applyFont="1" applyFill="1" applyBorder="1"/>
    <xf numFmtId="164" fontId="12" fillId="3" borderId="13" xfId="10" applyNumberFormat="1" applyFont="1" applyFill="1" applyBorder="1" applyAlignment="1">
      <alignment horizontal="right"/>
    </xf>
    <xf numFmtId="164" fontId="63" fillId="16" borderId="13" xfId="10" applyNumberFormat="1" applyFont="1" applyFill="1" applyBorder="1"/>
    <xf numFmtId="164" fontId="64" fillId="16" borderId="13" xfId="10" applyNumberFormat="1" applyFont="1" applyFill="1" applyBorder="1" applyAlignment="1">
      <alignment horizontal="right"/>
    </xf>
    <xf numFmtId="164" fontId="12" fillId="3" borderId="49" xfId="10" applyNumberFormat="1" applyFont="1" applyFill="1" applyBorder="1" applyAlignment="1">
      <alignment horizontal="right"/>
    </xf>
    <xf numFmtId="189" fontId="67" fillId="3" borderId="13" xfId="10" applyNumberFormat="1" applyFont="1" applyFill="1" applyBorder="1" applyAlignment="1">
      <alignment horizontal="right"/>
    </xf>
    <xf numFmtId="177" fontId="11" fillId="3" borderId="13" xfId="10" applyNumberFormat="1" applyFont="1" applyFill="1" applyBorder="1" applyAlignment="1">
      <alignment horizontal="right"/>
    </xf>
    <xf numFmtId="189" fontId="35" fillId="3" borderId="49" xfId="10" applyNumberFormat="1" applyFont="1" applyFill="1" applyBorder="1" applyAlignment="1">
      <alignment horizontal="right"/>
    </xf>
    <xf numFmtId="189" fontId="16" fillId="3" borderId="13" xfId="10" applyNumberFormat="1" applyFont="1" applyFill="1" applyBorder="1" applyAlignment="1">
      <alignment horizontal="right"/>
    </xf>
    <xf numFmtId="164" fontId="12" fillId="19" borderId="13" xfId="10" applyNumberFormat="1" applyFont="1" applyFill="1" applyBorder="1"/>
    <xf numFmtId="9" fontId="11" fillId="17" borderId="0" xfId="24" applyFont="1" applyFill="1" applyBorder="1"/>
    <xf numFmtId="9" fontId="69" fillId="16" borderId="13" xfId="10" applyNumberFormat="1" applyFont="1" applyFill="1" applyBorder="1"/>
    <xf numFmtId="9" fontId="69" fillId="16" borderId="0" xfId="10" applyNumberFormat="1" applyFont="1" applyFill="1" applyBorder="1"/>
    <xf numFmtId="177" fontId="64" fillId="16" borderId="13" xfId="10" applyNumberFormat="1" applyFont="1" applyFill="1" applyBorder="1"/>
    <xf numFmtId="167" fontId="69" fillId="17" borderId="0" xfId="0" applyNumberFormat="1" applyFont="1" applyFill="1" applyBorder="1"/>
    <xf numFmtId="167" fontId="69" fillId="17" borderId="13" xfId="0" applyNumberFormat="1" applyFont="1" applyFill="1" applyBorder="1"/>
    <xf numFmtId="167" fontId="16" fillId="3" borderId="0" xfId="0" applyNumberFormat="1" applyFont="1" applyFill="1" applyBorder="1"/>
    <xf numFmtId="167" fontId="7" fillId="3" borderId="0" xfId="3774" applyNumberFormat="1" applyFont="1" applyFill="1" applyBorder="1"/>
    <xf numFmtId="49" fontId="0" fillId="0" borderId="0" xfId="0" applyNumberFormat="1"/>
    <xf numFmtId="0" fontId="11" fillId="16" borderId="0" xfId="0" applyFont="1" applyFill="1" applyBorder="1"/>
    <xf numFmtId="167" fontId="7" fillId="16" borderId="0" xfId="9" applyNumberFormat="1" applyFont="1" applyFill="1" applyBorder="1"/>
    <xf numFmtId="167" fontId="7" fillId="16" borderId="13" xfId="9" applyNumberFormat="1" applyFont="1" applyFill="1" applyBorder="1"/>
    <xf numFmtId="0" fontId="11" fillId="16" borderId="13" xfId="0" applyFont="1" applyFill="1" applyBorder="1"/>
    <xf numFmtId="167" fontId="69" fillId="16" borderId="0" xfId="0" applyNumberFormat="1" applyFont="1" applyFill="1" applyBorder="1"/>
    <xf numFmtId="164" fontId="69" fillId="16" borderId="0" xfId="10" applyNumberFormat="1" applyFont="1" applyFill="1" applyBorder="1"/>
    <xf numFmtId="9" fontId="12" fillId="16" borderId="0" xfId="24" applyFont="1" applyFill="1" applyBorder="1"/>
    <xf numFmtId="164" fontId="75" fillId="3" borderId="13" xfId="10" applyNumberFormat="1" applyFont="1" applyFill="1" applyBorder="1" applyAlignment="1">
      <alignment horizontal="right"/>
    </xf>
    <xf numFmtId="167" fontId="69" fillId="16" borderId="0" xfId="0" applyNumberFormat="1" applyFont="1" applyFill="1" applyBorder="1"/>
    <xf numFmtId="167" fontId="69" fillId="16" borderId="13" xfId="0" applyNumberFormat="1" applyFont="1" applyFill="1" applyBorder="1"/>
    <xf numFmtId="189" fontId="69" fillId="16" borderId="0" xfId="5824" applyNumberFormat="1" applyFont="1" applyFill="1" applyBorder="1"/>
    <xf numFmtId="189" fontId="69" fillId="16" borderId="13" xfId="10" applyNumberFormat="1" applyFont="1" applyFill="1" applyBorder="1"/>
    <xf numFmtId="189" fontId="69" fillId="16" borderId="0" xfId="10" applyNumberFormat="1" applyFont="1" applyFill="1" applyBorder="1"/>
    <xf numFmtId="167" fontId="69" fillId="16" borderId="0" xfId="0" applyNumberFormat="1" applyFont="1" applyFill="1" applyBorder="1"/>
    <xf numFmtId="167" fontId="69" fillId="16" borderId="13" xfId="0" applyNumberFormat="1" applyFont="1" applyFill="1" applyBorder="1"/>
    <xf numFmtId="167" fontId="69" fillId="16" borderId="0" xfId="0" applyNumberFormat="1" applyFont="1" applyFill="1" applyBorder="1"/>
    <xf numFmtId="167" fontId="69" fillId="16" borderId="13" xfId="0" applyNumberFormat="1" applyFont="1" applyFill="1" applyBorder="1"/>
    <xf numFmtId="164" fontId="63" fillId="16" borderId="0" xfId="5821" applyNumberFormat="1" applyFont="1" applyFill="1" applyBorder="1"/>
    <xf numFmtId="164" fontId="63" fillId="16" borderId="0" xfId="10" applyNumberFormat="1" applyFont="1" applyFill="1" applyBorder="1"/>
    <xf numFmtId="164" fontId="63" fillId="16" borderId="13" xfId="5389" applyNumberFormat="1" applyFont="1" applyFill="1" applyBorder="1"/>
    <xf numFmtId="164" fontId="63" fillId="16" borderId="0" xfId="5800" applyNumberFormat="1" applyFont="1" applyFill="1" applyBorder="1"/>
    <xf numFmtId="164" fontId="63" fillId="16" borderId="0" xfId="10" applyNumberFormat="1" applyFont="1" applyFill="1" applyBorder="1"/>
    <xf numFmtId="164" fontId="63" fillId="16" borderId="13" xfId="10" applyNumberFormat="1" applyFont="1" applyFill="1" applyBorder="1"/>
    <xf numFmtId="164" fontId="63" fillId="16" borderId="0" xfId="5825" applyNumberFormat="1" applyFont="1" applyFill="1" applyBorder="1"/>
    <xf numFmtId="164" fontId="63" fillId="16" borderId="0" xfId="10" applyNumberFormat="1" applyFont="1" applyFill="1" applyBorder="1"/>
    <xf numFmtId="164" fontId="63" fillId="16" borderId="13" xfId="5365" applyNumberFormat="1" applyFont="1" applyFill="1" applyBorder="1"/>
    <xf numFmtId="164" fontId="11" fillId="3" borderId="0" xfId="0" applyNumberFormat="1" applyFont="1" applyFill="1" applyBorder="1"/>
    <xf numFmtId="167" fontId="69" fillId="16" borderId="0" xfId="5804" applyNumberFormat="1" applyFont="1" applyFill="1" applyBorder="1"/>
    <xf numFmtId="167" fontId="63" fillId="16" borderId="0" xfId="5813" applyNumberFormat="1" applyFont="1" applyFill="1" applyBorder="1"/>
    <xf numFmtId="167" fontId="69" fillId="16" borderId="0" xfId="10" applyNumberFormat="1" applyFont="1" applyFill="1" applyBorder="1"/>
    <xf numFmtId="167" fontId="63" fillId="16" borderId="0" xfId="3774" applyNumberFormat="1" applyFont="1" applyFill="1" applyBorder="1"/>
    <xf numFmtId="164" fontId="69" fillId="16" borderId="0" xfId="5814" applyNumberFormat="1" applyFont="1" applyFill="1" applyBorder="1"/>
    <xf numFmtId="164" fontId="69" fillId="16" borderId="0" xfId="10" applyNumberFormat="1" applyFont="1" applyFill="1" applyBorder="1"/>
    <xf numFmtId="164" fontId="69" fillId="16" borderId="13" xfId="5379" applyNumberFormat="1" applyFont="1" applyFill="1" applyBorder="1"/>
    <xf numFmtId="164" fontId="69" fillId="16" borderId="0" xfId="5806" applyNumberFormat="1" applyFont="1" applyFill="1" applyBorder="1"/>
    <xf numFmtId="164" fontId="69" fillId="16" borderId="0" xfId="10" applyNumberFormat="1" applyFont="1" applyFill="1" applyBorder="1"/>
    <xf numFmtId="164" fontId="69" fillId="16" borderId="13" xfId="10" applyNumberFormat="1" applyFont="1" applyFill="1" applyBorder="1"/>
    <xf numFmtId="167" fontId="7" fillId="16" borderId="0" xfId="9" applyNumberFormat="1" applyFont="1" applyFill="1" applyBorder="1"/>
    <xf numFmtId="164" fontId="12" fillId="18" borderId="14" xfId="0" applyNumberFormat="1" applyFont="1" applyFill="1" applyBorder="1"/>
    <xf numFmtId="164" fontId="69" fillId="16" borderId="0" xfId="5812" applyNumberFormat="1" applyFont="1" applyFill="1" applyBorder="1"/>
    <xf numFmtId="164" fontId="69" fillId="16" borderId="0" xfId="10" applyNumberFormat="1" applyFont="1" applyFill="1" applyBorder="1"/>
    <xf numFmtId="164" fontId="69" fillId="16" borderId="13" xfId="10" applyNumberFormat="1" applyFont="1" applyFill="1" applyBorder="1"/>
    <xf numFmtId="167" fontId="69" fillId="16" borderId="0" xfId="5808" applyNumberFormat="1" applyFont="1" applyFill="1" applyBorder="1"/>
    <xf numFmtId="167" fontId="69" fillId="16" borderId="0" xfId="10" applyNumberFormat="1" applyFont="1" applyFill="1" applyBorder="1"/>
    <xf numFmtId="167" fontId="69" fillId="16" borderId="13" xfId="10" applyNumberFormat="1" applyFont="1" applyFill="1" applyBorder="1"/>
    <xf numFmtId="164" fontId="12" fillId="16" borderId="14" xfId="0" applyNumberFormat="1" applyFont="1" applyFill="1" applyBorder="1"/>
    <xf numFmtId="164" fontId="22" fillId="16" borderId="0" xfId="8" applyNumberFormat="1" applyFont="1" applyFill="1" applyBorder="1" applyAlignment="1">
      <alignment horizontal="right"/>
    </xf>
    <xf numFmtId="180" fontId="11" fillId="16" borderId="12" xfId="11" applyNumberFormat="1" applyFont="1" applyFill="1" applyBorder="1" applyAlignment="1">
      <alignment horizontal="right"/>
    </xf>
    <xf numFmtId="164" fontId="12" fillId="16" borderId="19" xfId="8" applyNumberFormat="1" applyFont="1" applyFill="1" applyBorder="1"/>
    <xf numFmtId="167" fontId="19" fillId="16" borderId="12" xfId="24" applyNumberFormat="1" applyFont="1" applyFill="1" applyBorder="1" applyAlignment="1">
      <alignment horizontal="right"/>
    </xf>
    <xf numFmtId="180" fontId="17" fillId="16" borderId="12" xfId="11" applyNumberFormat="1" applyFont="1" applyFill="1" applyBorder="1" applyAlignment="1">
      <alignment horizontal="right"/>
    </xf>
    <xf numFmtId="182" fontId="11" fillId="16" borderId="12" xfId="11" applyNumberFormat="1" applyFont="1" applyFill="1" applyBorder="1" applyAlignment="1">
      <alignment horizontal="right"/>
    </xf>
    <xf numFmtId="167" fontId="20" fillId="16" borderId="12" xfId="24" applyNumberFormat="1" applyFont="1" applyFill="1" applyBorder="1" applyAlignment="1">
      <alignment horizontal="right"/>
    </xf>
    <xf numFmtId="164" fontId="18" fillId="16" borderId="12" xfId="8" applyNumberFormat="1" applyFont="1" applyFill="1" applyBorder="1" applyAlignment="1">
      <alignment horizontal="center"/>
    </xf>
    <xf numFmtId="164" fontId="65" fillId="16" borderId="12" xfId="8" applyNumberFormat="1" applyFont="1" applyFill="1" applyBorder="1" applyAlignment="1">
      <alignment horizontal="right"/>
    </xf>
    <xf numFmtId="164" fontId="12" fillId="16" borderId="12" xfId="8" applyNumberFormat="1" applyFont="1" applyFill="1" applyBorder="1" applyAlignment="1">
      <alignment horizontal="center"/>
    </xf>
    <xf numFmtId="167" fontId="16" fillId="16" borderId="12" xfId="24" applyNumberFormat="1" applyFont="1" applyFill="1" applyBorder="1" applyAlignment="1">
      <alignment horizontal="right"/>
    </xf>
    <xf numFmtId="196" fontId="16" fillId="16" borderId="0" xfId="11" applyNumberFormat="1" applyFont="1" applyFill="1" applyBorder="1"/>
    <xf numFmtId="164" fontId="16" fillId="3" borderId="0" xfId="10" applyNumberFormat="1" applyFont="1" applyFill="1" applyBorder="1"/>
    <xf numFmtId="189" fontId="16" fillId="16" borderId="0" xfId="10" applyNumberFormat="1" applyFont="1" applyFill="1" applyBorder="1"/>
    <xf numFmtId="164" fontId="12" fillId="18" borderId="0" xfId="10" applyNumberFormat="1" applyFont="1" applyFill="1" applyBorder="1"/>
    <xf numFmtId="195" fontId="16" fillId="3" borderId="0" xfId="2534" applyNumberFormat="1" applyFont="1" applyFill="1" applyBorder="1"/>
    <xf numFmtId="164" fontId="12" fillId="3" borderId="0" xfId="10" applyNumberFormat="1" applyFont="1" applyFill="1" applyBorder="1"/>
    <xf numFmtId="167" fontId="67" fillId="16" borderId="0" xfId="10" applyNumberFormat="1" applyFont="1" applyFill="1" applyBorder="1"/>
    <xf numFmtId="177" fontId="64" fillId="16" borderId="12" xfId="10" applyNumberFormat="1" applyFont="1" applyFill="1" applyBorder="1"/>
    <xf numFmtId="177" fontId="66" fillId="3" borderId="0" xfId="10" applyNumberFormat="1" applyFont="1" applyFill="1" applyBorder="1"/>
    <xf numFmtId="177" fontId="64" fillId="16" borderId="0" xfId="10" applyNumberFormat="1" applyFont="1" applyFill="1" applyBorder="1"/>
    <xf numFmtId="189" fontId="67" fillId="3" borderId="0" xfId="10" applyNumberFormat="1" applyFont="1" applyFill="1" applyBorder="1"/>
    <xf numFmtId="9" fontId="69" fillId="16" borderId="0" xfId="3774" applyFont="1" applyFill="1" applyBorder="1"/>
    <xf numFmtId="164" fontId="69" fillId="76" borderId="87" xfId="10" applyNumberFormat="1" applyFont="1" applyFill="1" applyBorder="1"/>
    <xf numFmtId="164" fontId="63" fillId="3" borderId="0" xfId="10" applyNumberFormat="1" applyFont="1" applyFill="1" applyBorder="1"/>
    <xf numFmtId="164" fontId="12" fillId="19" borderId="0" xfId="10" applyNumberFormat="1" applyFont="1" applyFill="1" applyBorder="1"/>
    <xf numFmtId="175" fontId="12" fillId="3" borderId="0" xfId="0" applyNumberFormat="1" applyFont="1" applyFill="1" applyBorder="1"/>
    <xf numFmtId="164" fontId="18" fillId="16" borderId="33" xfId="8" applyNumberFormat="1" applyFont="1" applyFill="1" applyBorder="1"/>
    <xf numFmtId="167" fontId="11" fillId="3" borderId="0" xfId="24" applyNumberFormat="1" applyFont="1" applyFill="1" applyBorder="1" applyAlignment="1">
      <alignment horizontal="left"/>
    </xf>
    <xf numFmtId="43" fontId="12" fillId="3" borderId="0" xfId="10" applyNumberFormat="1" applyFont="1" applyFill="1" applyBorder="1" applyAlignment="1">
      <alignment horizontal="right"/>
    </xf>
    <xf numFmtId="167" fontId="16" fillId="3" borderId="0" xfId="3774" applyNumberFormat="1" applyFont="1" applyFill="1" applyBorder="1"/>
    <xf numFmtId="164" fontId="65" fillId="3" borderId="0" xfId="10" applyNumberFormat="1" applyFont="1" applyFill="1" applyBorder="1" applyAlignment="1">
      <alignment wrapText="1"/>
    </xf>
    <xf numFmtId="167" fontId="64" fillId="3" borderId="0" xfId="10" applyNumberFormat="1" applyFont="1" applyFill="1" applyBorder="1" applyAlignment="1">
      <alignment wrapText="1"/>
    </xf>
    <xf numFmtId="164" fontId="64" fillId="3" borderId="0" xfId="10" applyNumberFormat="1" applyFont="1" applyFill="1" applyBorder="1" applyAlignment="1">
      <alignment wrapText="1"/>
    </xf>
    <xf numFmtId="167" fontId="67" fillId="3" borderId="0" xfId="10" applyNumberFormat="1" applyFont="1" applyFill="1" applyBorder="1" applyAlignment="1">
      <alignment wrapText="1"/>
    </xf>
    <xf numFmtId="164" fontId="12" fillId="18" borderId="14" xfId="10" applyNumberFormat="1" applyFont="1" applyFill="1" applyBorder="1"/>
    <xf numFmtId="164" fontId="16" fillId="16" borderId="0" xfId="10" applyNumberFormat="1" applyFont="1" applyFill="1" applyBorder="1"/>
    <xf numFmtId="167" fontId="7" fillId="16" borderId="0" xfId="3774" applyNumberFormat="1" applyFont="1" applyFill="1" applyBorder="1"/>
    <xf numFmtId="164" fontId="3" fillId="16" borderId="0" xfId="10" applyNumberFormat="1" applyFont="1" applyFill="1" applyBorder="1"/>
    <xf numFmtId="164" fontId="64" fillId="3" borderId="0" xfId="10" applyNumberFormat="1" applyFont="1" applyFill="1" applyBorder="1"/>
    <xf numFmtId="177" fontId="67" fillId="3" borderId="0" xfId="10" applyNumberFormat="1" applyFont="1" applyFill="1" applyBorder="1"/>
    <xf numFmtId="164" fontId="70" fillId="3" borderId="0" xfId="10" applyNumberFormat="1" applyFont="1" applyFill="1" applyBorder="1"/>
    <xf numFmtId="43" fontId="11" fillId="76" borderId="0" xfId="10" applyFont="1" applyFill="1" applyBorder="1"/>
    <xf numFmtId="164" fontId="3" fillId="3" borderId="0" xfId="10" applyNumberFormat="1" applyFont="1" applyFill="1" applyBorder="1"/>
    <xf numFmtId="164" fontId="4" fillId="3" borderId="14" xfId="10" applyNumberFormat="1" applyFont="1" applyFill="1" applyBorder="1"/>
    <xf numFmtId="189" fontId="16" fillId="3" borderId="0" xfId="10" applyNumberFormat="1" applyFont="1" applyFill="1" applyBorder="1"/>
    <xf numFmtId="164" fontId="4" fillId="16" borderId="18" xfId="10" applyNumberFormat="1" applyFont="1" applyFill="1" applyBorder="1"/>
    <xf numFmtId="164" fontId="4" fillId="16" borderId="14" xfId="10" applyNumberFormat="1" applyFont="1" applyFill="1" applyBorder="1"/>
    <xf numFmtId="164" fontId="64" fillId="16" borderId="0" xfId="10" applyNumberFormat="1" applyFont="1" applyFill="1" applyBorder="1" applyAlignment="1">
      <alignment horizontal="right"/>
    </xf>
    <xf numFmtId="164" fontId="12" fillId="3" borderId="45" xfId="10" applyNumberFormat="1" applyFont="1" applyFill="1" applyBorder="1" applyAlignment="1">
      <alignment horizontal="right"/>
    </xf>
    <xf numFmtId="189" fontId="67" fillId="3" borderId="0" xfId="10" applyNumberFormat="1" applyFont="1" applyFill="1" applyBorder="1" applyAlignment="1">
      <alignment horizontal="right"/>
    </xf>
    <xf numFmtId="177" fontId="11" fillId="3" borderId="0" xfId="10" applyNumberFormat="1" applyFont="1" applyFill="1" applyBorder="1" applyAlignment="1">
      <alignment horizontal="right"/>
    </xf>
    <xf numFmtId="189" fontId="35" fillId="3" borderId="45" xfId="10" applyNumberFormat="1" applyFont="1" applyFill="1" applyBorder="1" applyAlignment="1">
      <alignment horizontal="right"/>
    </xf>
    <xf numFmtId="189" fontId="16" fillId="3" borderId="0" xfId="10" applyNumberFormat="1" applyFont="1" applyFill="1" applyBorder="1" applyAlignment="1">
      <alignment horizontal="right"/>
    </xf>
    <xf numFmtId="9" fontId="16" fillId="16" borderId="12" xfId="24" applyNumberFormat="1" applyFont="1" applyFill="1" applyBorder="1" applyAlignment="1">
      <alignment horizontal="right"/>
    </xf>
    <xf numFmtId="9" fontId="16" fillId="16" borderId="0" xfId="24" applyNumberFormat="1" applyFont="1" applyFill="1" applyBorder="1" applyAlignment="1">
      <alignment horizontal="right"/>
    </xf>
    <xf numFmtId="9" fontId="16" fillId="16" borderId="13" xfId="24" applyNumberFormat="1" applyFont="1" applyFill="1" applyBorder="1" applyAlignment="1">
      <alignment horizontal="right"/>
    </xf>
    <xf numFmtId="9" fontId="16" fillId="3" borderId="0" xfId="0" applyNumberFormat="1" applyFont="1" applyFill="1" applyBorder="1" applyAlignment="1">
      <alignment horizontal="right"/>
    </xf>
    <xf numFmtId="0" fontId="11" fillId="3" borderId="0" xfId="0" applyFont="1" applyFill="1" applyBorder="1"/>
    <xf numFmtId="164" fontId="11" fillId="3" borderId="0" xfId="0" applyNumberFormat="1" applyFont="1" applyFill="1" applyBorder="1"/>
    <xf numFmtId="0" fontId="11" fillId="3" borderId="0" xfId="0" applyFont="1" applyFill="1" applyBorder="1" applyAlignment="1">
      <alignment wrapText="1"/>
    </xf>
    <xf numFmtId="0" fontId="12" fillId="17" borderId="12" xfId="0" applyNumberFormat="1" applyFont="1" applyFill="1" applyBorder="1" applyAlignment="1">
      <alignment horizontal="center"/>
    </xf>
    <xf numFmtId="165" fontId="12" fillId="17" borderId="12" xfId="0" applyNumberFormat="1" applyFont="1" applyFill="1" applyBorder="1" applyAlignment="1">
      <alignment horizontal="center"/>
    </xf>
    <xf numFmtId="196" fontId="16" fillId="17" borderId="0" xfId="11" applyNumberFormat="1" applyFont="1" applyFill="1" applyBorder="1"/>
    <xf numFmtId="0" fontId="11" fillId="17" borderId="12" xfId="0" applyFont="1" applyFill="1" applyBorder="1"/>
    <xf numFmtId="0" fontId="12" fillId="17" borderId="12" xfId="0" applyFont="1" applyFill="1" applyBorder="1" applyAlignment="1">
      <alignment horizontal="center"/>
    </xf>
    <xf numFmtId="9" fontId="69" fillId="17" borderId="0" xfId="10" applyNumberFormat="1" applyFont="1" applyFill="1" applyBorder="1"/>
    <xf numFmtId="164" fontId="69" fillId="17" borderId="0" xfId="10" applyNumberFormat="1" applyFont="1" applyFill="1" applyBorder="1"/>
    <xf numFmtId="164" fontId="69" fillId="17" borderId="0" xfId="5814" applyNumberFormat="1" applyFont="1" applyFill="1" applyBorder="1"/>
    <xf numFmtId="164" fontId="69" fillId="17" borderId="0" xfId="5806" applyNumberFormat="1" applyFont="1" applyFill="1" applyBorder="1"/>
    <xf numFmtId="164" fontId="69" fillId="17" borderId="0" xfId="5812" applyNumberFormat="1" applyFont="1" applyFill="1" applyBorder="1"/>
    <xf numFmtId="167" fontId="69" fillId="17" borderId="0" xfId="5804" applyNumberFormat="1" applyFont="1" applyFill="1" applyBorder="1"/>
    <xf numFmtId="164" fontId="63" fillId="17" borderId="0" xfId="5821" applyNumberFormat="1" applyFont="1" applyFill="1" applyBorder="1"/>
    <xf numFmtId="164" fontId="63" fillId="17" borderId="0" xfId="5800" applyNumberFormat="1" applyFont="1" applyFill="1" applyBorder="1"/>
    <xf numFmtId="164" fontId="63" fillId="17" borderId="0" xfId="5825" applyNumberFormat="1" applyFont="1" applyFill="1" applyBorder="1"/>
    <xf numFmtId="167" fontId="69" fillId="17" borderId="0" xfId="10" applyNumberFormat="1" applyFont="1" applyFill="1" applyBorder="1"/>
    <xf numFmtId="189" fontId="69" fillId="17" borderId="0" xfId="5824" applyNumberFormat="1" applyFont="1" applyFill="1" applyBorder="1"/>
    <xf numFmtId="164" fontId="63" fillId="17" borderId="13" xfId="5389" applyNumberFormat="1" applyFont="1" applyFill="1" applyBorder="1"/>
    <xf numFmtId="9" fontId="7" fillId="16" borderId="0" xfId="24" applyFont="1" applyFill="1" applyBorder="1" applyAlignment="1">
      <alignment horizontal="right"/>
    </xf>
    <xf numFmtId="164" fontId="3" fillId="3" borderId="12" xfId="8" applyNumberFormat="1" applyFont="1" applyFill="1" applyBorder="1" applyAlignment="1">
      <alignment wrapText="1"/>
    </xf>
    <xf numFmtId="164" fontId="3" fillId="3" borderId="0" xfId="10" applyNumberFormat="1" applyFont="1" applyFill="1" applyBorder="1" applyAlignment="1">
      <alignment wrapText="1"/>
    </xf>
    <xf numFmtId="164" fontId="3" fillId="3" borderId="0" xfId="0" applyNumberFormat="1" applyFont="1" applyFill="1" applyBorder="1" applyAlignment="1">
      <alignment wrapText="1"/>
    </xf>
    <xf numFmtId="164" fontId="3" fillId="3" borderId="13" xfId="0" applyNumberFormat="1" applyFont="1" applyFill="1" applyBorder="1" applyAlignment="1">
      <alignment wrapText="1"/>
    </xf>
    <xf numFmtId="164" fontId="3" fillId="16" borderId="12" xfId="8" applyNumberFormat="1" applyFont="1" applyFill="1" applyBorder="1" applyAlignment="1">
      <alignment horizontal="right"/>
    </xf>
    <xf numFmtId="164" fontId="3" fillId="16" borderId="0" xfId="10" applyNumberFormat="1" applyFont="1" applyFill="1" applyBorder="1" applyAlignment="1">
      <alignment horizontal="right"/>
    </xf>
    <xf numFmtId="164" fontId="3" fillId="16" borderId="13" xfId="8" applyNumberFormat="1" applyFont="1" applyFill="1" applyBorder="1" applyAlignment="1">
      <alignment horizontal="right"/>
    </xf>
    <xf numFmtId="164" fontId="3" fillId="3" borderId="0" xfId="10" applyNumberFormat="1" applyFont="1" applyFill="1" applyBorder="1" applyAlignment="1">
      <alignment horizontal="right"/>
    </xf>
    <xf numFmtId="164" fontId="65" fillId="17" borderId="12" xfId="8" applyNumberFormat="1" applyFont="1" applyFill="1" applyBorder="1" applyAlignment="1">
      <alignment horizontal="right"/>
    </xf>
    <xf numFmtId="164" fontId="65" fillId="17" borderId="0" xfId="8" applyNumberFormat="1" applyFont="1" applyFill="1" applyBorder="1" applyAlignment="1">
      <alignment horizontal="right"/>
    </xf>
    <xf numFmtId="164" fontId="18" fillId="17" borderId="0" xfId="8" applyNumberFormat="1" applyFont="1" applyFill="1" applyBorder="1"/>
    <xf numFmtId="164" fontId="65" fillId="17" borderId="0" xfId="8" applyNumberFormat="1" applyFont="1" applyFill="1" applyBorder="1"/>
    <xf numFmtId="180" fontId="63" fillId="17" borderId="0" xfId="8" applyNumberFormat="1" applyFont="1" applyFill="1" applyBorder="1" applyAlignment="1">
      <alignment horizontal="right"/>
    </xf>
    <xf numFmtId="164" fontId="63" fillId="17" borderId="12" xfId="8" applyNumberFormat="1" applyFont="1" applyFill="1" applyBorder="1" applyAlignment="1">
      <alignment horizontal="center"/>
    </xf>
    <xf numFmtId="182" fontId="63" fillId="17" borderId="12" xfId="11" applyNumberFormat="1" applyFont="1" applyFill="1" applyBorder="1" applyAlignment="1">
      <alignment horizontal="right"/>
    </xf>
    <xf numFmtId="182" fontId="63" fillId="17" borderId="0" xfId="11" applyNumberFormat="1" applyFont="1" applyFill="1" applyBorder="1" applyAlignment="1">
      <alignment horizontal="right"/>
    </xf>
    <xf numFmtId="9" fontId="69" fillId="17" borderId="0" xfId="24" applyFont="1" applyFill="1" applyBorder="1"/>
    <xf numFmtId="164" fontId="4" fillId="3" borderId="12" xfId="8" applyNumberFormat="1" applyFont="1" applyFill="1" applyBorder="1"/>
    <xf numFmtId="164" fontId="63" fillId="17" borderId="12" xfId="8" applyNumberFormat="1" applyFont="1" applyFill="1" applyBorder="1"/>
    <xf numFmtId="167" fontId="69" fillId="17" borderId="12" xfId="0" applyNumberFormat="1" applyFont="1" applyFill="1" applyBorder="1"/>
    <xf numFmtId="164" fontId="71" fillId="3" borderId="14" xfId="8" applyNumberFormat="1" applyFont="1" applyFill="1" applyBorder="1"/>
    <xf numFmtId="0" fontId="65" fillId="16" borderId="0" xfId="0" applyFont="1" applyFill="1" applyBorder="1"/>
    <xf numFmtId="164" fontId="18" fillId="96" borderId="0" xfId="8" applyNumberFormat="1" applyFont="1" applyFill="1" applyBorder="1"/>
    <xf numFmtId="164" fontId="71" fillId="96" borderId="14" xfId="8" applyNumberFormat="1" applyFont="1" applyFill="1" applyBorder="1"/>
    <xf numFmtId="164" fontId="65" fillId="96" borderId="0" xfId="8" applyNumberFormat="1" applyFont="1" applyFill="1" applyBorder="1"/>
    <xf numFmtId="0" fontId="11" fillId="96" borderId="0" xfId="0" applyFont="1" applyFill="1" applyBorder="1"/>
    <xf numFmtId="164" fontId="11" fillId="96" borderId="0" xfId="8" applyNumberFormat="1" applyFont="1" applyFill="1" applyBorder="1"/>
    <xf numFmtId="0" fontId="2" fillId="0" borderId="0" xfId="3445"/>
    <xf numFmtId="196" fontId="16" fillId="17" borderId="13" xfId="11" applyNumberFormat="1" applyFont="1" applyFill="1" applyBorder="1"/>
    <xf numFmtId="196" fontId="11" fillId="17" borderId="0" xfId="11" applyNumberFormat="1" applyFont="1" applyFill="1" applyBorder="1"/>
    <xf numFmtId="196" fontId="16" fillId="3" borderId="0" xfId="11" applyNumberFormat="1" applyFont="1" applyFill="1" applyBorder="1"/>
    <xf numFmtId="44" fontId="7" fillId="16" borderId="13" xfId="11" applyFont="1" applyFill="1" applyBorder="1"/>
    <xf numFmtId="196" fontId="11" fillId="3" borderId="12" xfId="11" applyNumberFormat="1" applyFont="1" applyFill="1" applyBorder="1"/>
    <xf numFmtId="0" fontId="11" fillId="3" borderId="0" xfId="0" applyFont="1" applyFill="1" applyBorder="1"/>
    <xf numFmtId="164" fontId="11" fillId="3" borderId="0" xfId="0" applyNumberFormat="1" applyFont="1" applyFill="1" applyBorder="1"/>
    <xf numFmtId="167" fontId="69" fillId="17" borderId="0" xfId="0" applyNumberFormat="1" applyFont="1" applyFill="1" applyBorder="1"/>
    <xf numFmtId="164" fontId="11" fillId="3" borderId="0" xfId="0" applyNumberFormat="1" applyFont="1" applyFill="1" applyBorder="1" applyAlignment="1">
      <alignment wrapText="1"/>
    </xf>
    <xf numFmtId="167" fontId="69" fillId="17" borderId="13" xfId="0" applyNumberFormat="1" applyFont="1" applyFill="1" applyBorder="1"/>
    <xf numFmtId="164" fontId="65" fillId="3" borderId="12" xfId="5839" applyNumberFormat="1" applyFont="1" applyFill="1" applyBorder="1" applyAlignment="1">
      <alignment wrapText="1"/>
    </xf>
    <xf numFmtId="164" fontId="11" fillId="3" borderId="13" xfId="0" applyNumberFormat="1" applyFont="1" applyFill="1" applyBorder="1" applyAlignment="1">
      <alignment wrapText="1"/>
    </xf>
    <xf numFmtId="164" fontId="65" fillId="3" borderId="0" xfId="10" applyNumberFormat="1" applyFont="1" applyFill="1" applyBorder="1" applyAlignment="1">
      <alignment wrapText="1"/>
    </xf>
    <xf numFmtId="167" fontId="63" fillId="17" borderId="87" xfId="24" applyNumberFormat="1" applyFont="1" applyFill="1" applyBorder="1"/>
    <xf numFmtId="164" fontId="18" fillId="3" borderId="29" xfId="8" applyNumberFormat="1" applyFont="1" applyFill="1" applyBorder="1"/>
    <xf numFmtId="196" fontId="11" fillId="3" borderId="0" xfId="11" applyNumberFormat="1" applyFont="1" applyFill="1" applyBorder="1"/>
    <xf numFmtId="183" fontId="11" fillId="3" borderId="0" xfId="11" applyNumberFormat="1" applyFont="1" applyFill="1" applyBorder="1"/>
    <xf numFmtId="164" fontId="3" fillId="3" borderId="0" xfId="5842" applyNumberFormat="1" applyFont="1" applyFill="1" applyBorder="1" applyAlignment="1">
      <alignment vertical="top"/>
    </xf>
    <xf numFmtId="180" fontId="11" fillId="3" borderId="0" xfId="5845" applyNumberFormat="1" applyFont="1" applyFill="1" applyBorder="1" applyAlignment="1">
      <alignment horizontal="right"/>
    </xf>
    <xf numFmtId="167" fontId="69" fillId="17" borderId="0" xfId="0" applyNumberFormat="1" applyFont="1" applyFill="1" applyBorder="1"/>
    <xf numFmtId="43" fontId="11" fillId="16" borderId="0" xfId="0" applyNumberFormat="1" applyFont="1" applyFill="1" applyBorder="1"/>
    <xf numFmtId="0" fontId="62" fillId="19" borderId="12" xfId="0" applyFont="1" applyFill="1" applyBorder="1"/>
    <xf numFmtId="0" fontId="62" fillId="19" borderId="0" xfId="0" applyFont="1" applyFill="1" applyBorder="1"/>
    <xf numFmtId="0" fontId="62" fillId="19" borderId="13" xfId="0" applyFont="1" applyFill="1" applyBorder="1"/>
    <xf numFmtId="164" fontId="12" fillId="16" borderId="20" xfId="0" applyNumberFormat="1" applyFont="1" applyFill="1" applyBorder="1"/>
    <xf numFmtId="164" fontId="22" fillId="16" borderId="13" xfId="8" applyNumberFormat="1" applyFont="1" applyFill="1" applyBorder="1" applyAlignment="1">
      <alignment horizontal="right"/>
    </xf>
    <xf numFmtId="164" fontId="12" fillId="16" borderId="20" xfId="8" applyNumberFormat="1" applyFont="1" applyFill="1" applyBorder="1"/>
    <xf numFmtId="180" fontId="11" fillId="16" borderId="13" xfId="11" applyNumberFormat="1" applyFont="1" applyFill="1" applyBorder="1" applyAlignment="1">
      <alignment horizontal="right"/>
    </xf>
    <xf numFmtId="180" fontId="17" fillId="16" borderId="13" xfId="11" applyNumberFormat="1" applyFont="1" applyFill="1" applyBorder="1" applyAlignment="1">
      <alignment horizontal="right"/>
    </xf>
    <xf numFmtId="182" fontId="11" fillId="16" borderId="13" xfId="11" applyNumberFormat="1" applyFont="1" applyFill="1" applyBorder="1" applyAlignment="1">
      <alignment horizontal="right"/>
    </xf>
    <xf numFmtId="177" fontId="66" fillId="3" borderId="12" xfId="0" applyNumberFormat="1" applyFont="1" applyFill="1" applyBorder="1"/>
    <xf numFmtId="180" fontId="11" fillId="16" borderId="12" xfId="2534" applyNumberFormat="1" applyFont="1" applyFill="1" applyBorder="1" applyAlignment="1">
      <alignment horizontal="right"/>
    </xf>
    <xf numFmtId="180" fontId="11" fillId="3" borderId="0" xfId="2534" applyNumberFormat="1" applyFont="1" applyFill="1" applyBorder="1" applyAlignment="1">
      <alignment horizontal="right"/>
    </xf>
    <xf numFmtId="180" fontId="11" fillId="3" borderId="13" xfId="2534" applyNumberFormat="1" applyFont="1" applyFill="1" applyBorder="1" applyAlignment="1">
      <alignment horizontal="right"/>
    </xf>
    <xf numFmtId="167" fontId="63" fillId="17" borderId="87" xfId="3774" applyNumberFormat="1" applyFont="1" applyFill="1" applyBorder="1"/>
    <xf numFmtId="167" fontId="63" fillId="17" borderId="0" xfId="3774" applyNumberFormat="1" applyFont="1" applyFill="1" applyBorder="1"/>
    <xf numFmtId="167" fontId="69" fillId="17" borderId="0" xfId="3774" applyNumberFormat="1" applyFont="1" applyFill="1" applyBorder="1"/>
    <xf numFmtId="0" fontId="2" fillId="97" borderId="0" xfId="5851" applyFont="1" applyFill="1" applyAlignment="1">
      <alignment vertical="top"/>
    </xf>
    <xf numFmtId="0" fontId="2" fillId="97" borderId="0" xfId="3445" applyFill="1" applyAlignment="1">
      <alignment vertical="top"/>
    </xf>
    <xf numFmtId="0" fontId="2" fillId="97" borderId="0" xfId="3445" applyFill="1"/>
    <xf numFmtId="0" fontId="110" fillId="97" borderId="0" xfId="5851" applyFont="1" applyFill="1" applyAlignment="1">
      <alignment horizontal="left" vertical="top"/>
    </xf>
    <xf numFmtId="0" fontId="2" fillId="97" borderId="0" xfId="3445" applyFont="1" applyFill="1" applyAlignment="1">
      <alignment vertical="top"/>
    </xf>
    <xf numFmtId="0" fontId="188" fillId="97" borderId="0" xfId="5851" applyFont="1" applyFill="1" applyAlignment="1">
      <alignment vertical="top"/>
    </xf>
    <xf numFmtId="0" fontId="0" fillId="97" borderId="0" xfId="0" applyFill="1" applyAlignment="1">
      <alignment vertical="top"/>
    </xf>
    <xf numFmtId="0" fontId="325" fillId="97" borderId="0" xfId="0" applyFont="1" applyFill="1" applyAlignment="1">
      <alignment vertical="top"/>
    </xf>
    <xf numFmtId="0" fontId="326" fillId="97" borderId="0" xfId="0" applyFont="1" applyFill="1" applyAlignment="1">
      <alignment vertical="top"/>
    </xf>
    <xf numFmtId="0" fontId="326" fillId="97" borderId="0" xfId="0" applyFont="1" applyFill="1" applyAlignment="1">
      <alignment vertical="top"/>
    </xf>
    <xf numFmtId="0" fontId="325" fillId="97" borderId="0" xfId="0" applyFont="1" applyFill="1" applyAlignment="1">
      <alignment vertical="top"/>
    </xf>
    <xf numFmtId="0" fontId="0" fillId="97" borderId="0" xfId="0" applyFill="1" applyAlignment="1">
      <alignment vertical="top"/>
    </xf>
    <xf numFmtId="0" fontId="0" fillId="97" borderId="44" xfId="0" applyFill="1" applyBorder="1" applyAlignment="1">
      <alignment vertical="top"/>
    </xf>
    <xf numFmtId="0" fontId="325" fillId="97" borderId="94" xfId="0" applyFont="1" applyFill="1" applyBorder="1" applyAlignment="1">
      <alignment vertical="top"/>
    </xf>
    <xf numFmtId="0" fontId="325" fillId="97" borderId="85" xfId="0" applyFont="1" applyFill="1" applyBorder="1" applyAlignment="1">
      <alignment vertical="top"/>
    </xf>
    <xf numFmtId="0" fontId="325" fillId="97" borderId="84" xfId="0" applyFont="1" applyFill="1" applyBorder="1" applyAlignment="1">
      <alignment vertical="top"/>
    </xf>
    <xf numFmtId="0" fontId="325" fillId="97" borderId="45" xfId="0" applyFont="1" applyFill="1" applyBorder="1" applyAlignment="1">
      <alignment vertical="top"/>
    </xf>
    <xf numFmtId="9" fontId="325" fillId="97" borderId="94" xfId="0" applyNumberFormat="1" applyFont="1" applyFill="1" applyBorder="1" applyAlignment="1">
      <alignment vertical="top"/>
    </xf>
    <xf numFmtId="3" fontId="325" fillId="97" borderId="94" xfId="0" applyNumberFormat="1" applyFont="1" applyFill="1" applyBorder="1" applyAlignment="1">
      <alignment vertical="top"/>
    </xf>
    <xf numFmtId="0" fontId="0" fillId="97" borderId="43" xfId="0" applyFill="1" applyBorder="1" applyAlignment="1">
      <alignment vertical="top"/>
    </xf>
    <xf numFmtId="2" fontId="2" fillId="0" borderId="0" xfId="3445" applyNumberFormat="1" applyAlignment="1">
      <alignment horizontal="left"/>
    </xf>
    <xf numFmtId="0" fontId="2" fillId="0" borderId="0" xfId="3445" applyNumberFormat="1" applyAlignment="1">
      <alignment horizontal="left"/>
    </xf>
    <xf numFmtId="1" fontId="2" fillId="0" borderId="0" xfId="3445" applyNumberFormat="1" applyAlignment="1">
      <alignment horizontal="left"/>
    </xf>
    <xf numFmtId="0" fontId="2" fillId="0" borderId="0" xfId="3445" applyFont="1"/>
    <xf numFmtId="353" fontId="2" fillId="0" borderId="0" xfId="3445" applyNumberFormat="1" applyAlignment="1">
      <alignment horizontal="left"/>
    </xf>
    <xf numFmtId="49" fontId="2" fillId="0" borderId="0" xfId="3445" applyNumberFormat="1"/>
  </cellXfs>
  <cellStyles count="5852">
    <cellStyle name="_x0004_" xfId="32"/>
    <cellStyle name="-" xfId="33"/>
    <cellStyle name=" 1" xfId="34"/>
    <cellStyle name=" 1 2" xfId="4752"/>
    <cellStyle name=" 1 3" xfId="4764"/>
    <cellStyle name=" Writer Import]_x000d__x000a_Display Dialog=No_x000d__x000a__x000d__x000a_[Horizontal Arrange]_x000d__x000a_Dimensions Interlocking=Yes_x000d__x000a_Sum Hierarchy=Yes_x000d__x000a_Generate" xfId="35"/>
    <cellStyle name="_x000a_386grabber=M" xfId="1"/>
    <cellStyle name="_x000a_386grabber=M 2" xfId="4380"/>
    <cellStyle name="_x000a_386grabber=M 2 2" xfId="4884"/>
    <cellStyle name="_x000a_386grabber=M 3" xfId="4378"/>
    <cellStyle name="_x000d__x000a_JournalTemplate=C:\COMFO\CTALK\JOURSTD.TPL_x000d__x000a_LbStateAddress=3 3 0 251 1 89 2 311_x000d__x000a_LbStateJou" xfId="36"/>
    <cellStyle name="# ###" xfId="37"/>
    <cellStyle name="$" xfId="38"/>
    <cellStyle name="$ &amp; ¢" xfId="4887"/>
    <cellStyle name="$ 1 decimal" xfId="4381"/>
    <cellStyle name="$ 10" xfId="5270"/>
    <cellStyle name="$ 11" xfId="5256"/>
    <cellStyle name="$ 12" xfId="5337"/>
    <cellStyle name="$ 13" xfId="5268"/>
    <cellStyle name="$ 14" xfId="5403"/>
    <cellStyle name="$ 15" xfId="5407"/>
    <cellStyle name="$ 2" xfId="4751"/>
    <cellStyle name="$ 3" xfId="5309"/>
    <cellStyle name="$ 4" xfId="4886"/>
    <cellStyle name="$ 5" xfId="4731"/>
    <cellStyle name="$ 6" xfId="5304"/>
    <cellStyle name="$ 7" xfId="5207"/>
    <cellStyle name="$ 8" xfId="5104"/>
    <cellStyle name="$ 9" xfId="5186"/>
    <cellStyle name="$_AA - BenefitsBonus " xfId="4765"/>
    <cellStyle name="$K" xfId="39"/>
    <cellStyle name="%" xfId="40"/>
    <cellStyle name="% 2" xfId="41"/>
    <cellStyle name="% 2 2" xfId="4750"/>
    <cellStyle name="% 2 3" xfId="4766"/>
    <cellStyle name="% 3" xfId="4382"/>
    <cellStyle name="% 3 2" xfId="4383"/>
    <cellStyle name="% 4" xfId="4384"/>
    <cellStyle name="% 4 2" xfId="4385"/>
    <cellStyle name="% 5" xfId="4386"/>
    <cellStyle name="% 5 2" xfId="4387"/>
    <cellStyle name="% 6" xfId="4388"/>
    <cellStyle name="% Growth" xfId="4888"/>
    <cellStyle name="% of Revenues" xfId="4889"/>
    <cellStyle name="%.00" xfId="4890"/>
    <cellStyle name="******************************************" xfId="42"/>
    <cellStyle name="****************************************** 2" xfId="4883"/>
    <cellStyle name="****************************************** 3" xfId="4885"/>
    <cellStyle name="****************************************** 4" xfId="4749"/>
    <cellStyle name="****************************************** 5" xfId="4834"/>
    <cellStyle name="??" xfId="43"/>
    <cellStyle name="?? [0.00]_HELPDESK" xfId="4892"/>
    <cellStyle name="?? [0]_??" xfId="44"/>
    <cellStyle name="?? 10" xfId="5291"/>
    <cellStyle name="?? 11" xfId="5114"/>
    <cellStyle name="?? 12" xfId="5120"/>
    <cellStyle name="?? 13" xfId="5167"/>
    <cellStyle name="?? 14" xfId="5404"/>
    <cellStyle name="?? 15" xfId="5406"/>
    <cellStyle name="?? 2" xfId="4748"/>
    <cellStyle name="?? 3" xfId="4755"/>
    <cellStyle name="?? 4" xfId="4891"/>
    <cellStyle name="?? 5" xfId="5314"/>
    <cellStyle name="?? 6" xfId="4747"/>
    <cellStyle name="?? 7" xfId="5205"/>
    <cellStyle name="?? 8" xfId="5306"/>
    <cellStyle name="?? 9" xfId="5185"/>
    <cellStyle name="???? [0.00]_HELPDESK" xfId="4893"/>
    <cellStyle name="?????_VERA" xfId="4894"/>
    <cellStyle name="????_HELPDESK" xfId="4895"/>
    <cellStyle name="???[0]_~ME0858" xfId="45"/>
    <cellStyle name="???_~ME0858" xfId="46"/>
    <cellStyle name="??[0]_laroux" xfId="47"/>
    <cellStyle name="??_?.????" xfId="48"/>
    <cellStyle name="?@疾_2332JT3_2313COP2 " xfId="4389"/>
    <cellStyle name="?Q\?1@" xfId="4390"/>
    <cellStyle name="?Q\?1@ 2" xfId="4735"/>
    <cellStyle name="\" xfId="49"/>
    <cellStyle name="_%(SignOnly)" xfId="50"/>
    <cellStyle name="_%(SignOnly)_BLS2q_salesforce" xfId="51"/>
    <cellStyle name="_%(SignSpaceOnly)" xfId="52"/>
    <cellStyle name="_%(SignSpaceOnly)_BLS2q_salesforce" xfId="53"/>
    <cellStyle name="_600-7R093-0000-C00 RevH Costed BOM 20060928" xfId="54"/>
    <cellStyle name="_600-7R162-0000-A00 Costed BOM 20070212" xfId="55"/>
    <cellStyle name="_960-10093-1900-001 EVGA RevC" xfId="56"/>
    <cellStyle name="_960-10093-1900-001 EVGA RevC20061024" xfId="57"/>
    <cellStyle name="_AA - BenefitsBonus " xfId="4767"/>
    <cellStyle name="_AC_InterContinental" xfId="4835"/>
    <cellStyle name="_Airquote - DELL chasis (FP)" xfId="58"/>
    <cellStyle name="_Airquote - DELL chasis (FP)_Lenovo PACK  Packing Proposal" xfId="59"/>
    <cellStyle name="_Airquote - DELL chasis (FP)_Lenovo Park Format_July 07 05" xfId="60"/>
    <cellStyle name="_Airquote - DELL chasis (FP)_Lenovo Park Format_July 07 05V2" xfId="61"/>
    <cellStyle name="_Alienware CBOM_PPV by SCM Update 070314" xfId="62"/>
    <cellStyle name="_Alienware SDSS#1175 CBOM - 1214" xfId="63"/>
    <cellStyle name="_Balance Sheet July 9 IFRS Sept 18" xfId="64"/>
    <cellStyle name="_Balvenie Package shipment info.2" xfId="65"/>
    <cellStyle name="_Balvenie Package shipment info.2_Lenovo PACK  Packing Proposal" xfId="66"/>
    <cellStyle name="_Balvenie Package shipment info.2_Lenovo Park Format_July 07 05" xfId="67"/>
    <cellStyle name="_Balvenie Package shipment info.2_Lenovo Park Format_July 07 05V2" xfId="68"/>
    <cellStyle name="_BOM update - Supplier List (Purchase) 111102" xfId="69"/>
    <cellStyle name="_BOM update - Supplier List (Purchase) 111102_Lenovo PACK  Packing Proposal" xfId="70"/>
    <cellStyle name="_BOM update - Supplier List (Purchase) 111102_Lenovo Park Format_July 07 05" xfId="71"/>
    <cellStyle name="_BOM update - Supplier List (Purchase) 111102_Lenovo Park Format_July 07 05V2" xfId="72"/>
    <cellStyle name="_bom updated on 2002-11-10" xfId="73"/>
    <cellStyle name="_bom updated on 2002-11-10_Lenovo PACK  Packing Proposal" xfId="74"/>
    <cellStyle name="_bom updated on 2002-11-10_Lenovo Park Format_July 07 05" xfId="75"/>
    <cellStyle name="_bom updated on 2002-11-10_Lenovo Park Format_July 07 05V2" xfId="76"/>
    <cellStyle name="_bom updated on 2002-11-10-1" xfId="77"/>
    <cellStyle name="_bom updated on 2002-11-10-1_Lenovo PACK  Packing Proposal" xfId="78"/>
    <cellStyle name="_bom updated on 2002-11-10-1_Lenovo Park Format_July 07 05" xfId="79"/>
    <cellStyle name="_bom updated on 2002-11-10-1_Lenovo Park Format_July 07 05V2" xfId="80"/>
    <cellStyle name="_Budgetary Quote for VOIP Telephones" xfId="81"/>
    <cellStyle name="_Budgetary Quote for VOIP Telephones_Lenovo PACK  Packing Proposal" xfId="82"/>
    <cellStyle name="_Budgetary Quote for VOIP Telephones_Lenovo Park Format_July 07 05" xfId="83"/>
    <cellStyle name="_Budgetary Quote for VOIP Telephones_Lenovo Park Format_July 07 05V2" xfId="84"/>
    <cellStyle name="_By Technology, Market Share_Copy of Model2018_AAC_(WIP) " xfId="4391"/>
    <cellStyle name="_CFA10" xfId="5036"/>
    <cellStyle name="_CFA4" xfId="5037"/>
    <cellStyle name="_Chartered_Copy of Model2018_AAC_(WIP) " xfId="4392"/>
    <cellStyle name="_Chartered_Ichia Model2402_Modelware_Copy of Model2018_AAC_(WIP) " xfId="4393"/>
    <cellStyle name="_Chartered_Model_2402(New)_Modelware_Copy of Model2018_AAC_(WIP) " xfId="4394"/>
    <cellStyle name="_Chartered_Model_3311(New)_Copy of Model2018_AAC_(WIP) " xfId="4395"/>
    <cellStyle name="_Comma" xfId="85"/>
    <cellStyle name="_Comma_03 Contribution Analysis" xfId="86"/>
    <cellStyle name="_Comma_AA - BenefitsBonus " xfId="4768"/>
    <cellStyle name="_Comma_BLS2q_salesforce" xfId="87"/>
    <cellStyle name="_Comma_Contribution of assets into USAi_02" xfId="88"/>
    <cellStyle name="_Comma_credit - newco_6_18" xfId="89"/>
    <cellStyle name="_Comma_CSC Cable makers 060502" xfId="90"/>
    <cellStyle name="_Comma_Final Pages 8-20" xfId="91"/>
    <cellStyle name="_Comma_Final Pages 8-20_BLS2q_salesforce" xfId="92"/>
    <cellStyle name="_Comma_further analysis on comparables" xfId="93"/>
    <cellStyle name="_Comma_further analysis on comparables_BLS2q_salesforce" xfId="94"/>
    <cellStyle name="_Comma_NBC-5 yearDCF-Final from Vivendi modified" xfId="95"/>
    <cellStyle name="_Comma_Training Model Shell" xfId="96"/>
    <cellStyle name="_Comma_Update 08-27-01-3" xfId="97"/>
    <cellStyle name="_Copy of Exhibit A QUOTE FORMAT_Rev1-0525_Jason-1 (Cost)" xfId="98"/>
    <cellStyle name="_Copy of Model2018_AAC_(WIP) " xfId="4396"/>
    <cellStyle name="_cost analysis" xfId="99"/>
    <cellStyle name="_Cost analysis template" xfId="100"/>
    <cellStyle name="_Cost analysis template_Lenovo PACK  Packing Proposal" xfId="101"/>
    <cellStyle name="_Cost analysis template_Lenovo Park Format_July 07 05" xfId="102"/>
    <cellStyle name="_Cost analysis template_Lenovo Park Format_July 07 05V2" xfId="103"/>
    <cellStyle name="_Cost Analysis Template-1" xfId="104"/>
    <cellStyle name="_Cost Analysis Template-1_Lenovo PACK  Packing Proposal" xfId="105"/>
    <cellStyle name="_Cost Analysis Template-1_Lenovo Park Format_July 07 05" xfId="106"/>
    <cellStyle name="_Cost Analysis Template-1_Lenovo Park Format_July 07 05V2" xfId="107"/>
    <cellStyle name="_Cost BOM" xfId="108"/>
    <cellStyle name="_Currency" xfId="109"/>
    <cellStyle name="_Currency_03 Contribution Analysis" xfId="110"/>
    <cellStyle name="_Currency_08 FB &amp; Milan IS" xfId="111"/>
    <cellStyle name="_Currency_AA - BenefitsBonus " xfId="4769"/>
    <cellStyle name="_Currency_Basic LBO v06" xfId="112"/>
    <cellStyle name="_Currency_BLS2q_salesforce" xfId="113"/>
    <cellStyle name="_Currency_Contribution of assets into USAi_02" xfId="114"/>
    <cellStyle name="_Currency_credit - newco_6_18" xfId="115"/>
    <cellStyle name="_Currency_credit - newco_6_18_BLS2q_salesforce" xfId="116"/>
    <cellStyle name="_Currency_CSC Cable makers 060502" xfId="117"/>
    <cellStyle name="_Currency_Final Pages 8-20" xfId="118"/>
    <cellStyle name="_Currency_Final Pages 8-20_BLS2q_salesforce" xfId="119"/>
    <cellStyle name="_Currency_further analysis on comparables" xfId="120"/>
    <cellStyle name="_Currency_further analysis on comparables_BLS2q_salesforce" xfId="121"/>
    <cellStyle name="_Currency_merger_plans (Jason Cho) - solution" xfId="122"/>
    <cellStyle name="_Currency_MVL 2005-2007 IS v04" xfId="123"/>
    <cellStyle name="_Currency_NBC-5 yearDCF-Final from Vivendi modified" xfId="124"/>
    <cellStyle name="_Currency_Oakley Model v13" xfId="125"/>
    <cellStyle name="_Currency_Pirelli Valo" xfId="126"/>
    <cellStyle name="_Currency_Preliminary Model 30 06 00" xfId="127"/>
    <cellStyle name="_Currency_TK - Training Model" xfId="128"/>
    <cellStyle name="_Currency_Training Model Shell" xfId="129"/>
    <cellStyle name="_Currency_Training Model Shell_BLS2q_salesforce" xfId="130"/>
    <cellStyle name="_Currency_Update 08-27-01-3" xfId="131"/>
    <cellStyle name="_Currency_Update 08-27-01-3_BLS2q_salesforce" xfId="132"/>
    <cellStyle name="_Currency_Vison Ease v09" xfId="133"/>
    <cellStyle name="_Currency_Warrants Valuation Model" xfId="134"/>
    <cellStyle name="_CurrencySpace" xfId="135"/>
    <cellStyle name="_CurrencySpace_03 Contribution Analysis" xfId="136"/>
    <cellStyle name="_CurrencySpace_08 FB &amp; Milan IS" xfId="137"/>
    <cellStyle name="_CurrencySpace_AA - BenefitsBonus " xfId="4770"/>
    <cellStyle name="_CurrencySpace_BLS2q_salesforce" xfId="138"/>
    <cellStyle name="_CurrencySpace_Contribution of assets into USAi_02" xfId="139"/>
    <cellStyle name="_CurrencySpace_credit - newco_6_18" xfId="140"/>
    <cellStyle name="_CurrencySpace_CSC Cable makers 060502" xfId="141"/>
    <cellStyle name="_CurrencySpace_Final Pages 8-20" xfId="142"/>
    <cellStyle name="_CurrencySpace_Final Pages 8-20_BLS2q_salesforce" xfId="143"/>
    <cellStyle name="_CurrencySpace_further analysis on comparables" xfId="144"/>
    <cellStyle name="_CurrencySpace_further analysis on comparables_BLS2q_salesforce" xfId="145"/>
    <cellStyle name="_CurrencySpace_NBC-5 yearDCF-Final from Vivendi modified" xfId="146"/>
    <cellStyle name="_CurrencySpace_NEP Model v20" xfId="147"/>
    <cellStyle name="_CurrencySpace_Oakley Model v13" xfId="148"/>
    <cellStyle name="_CurrencySpace_TK - Training Model" xfId="149"/>
    <cellStyle name="_CurrencySpace_Training Model Shell" xfId="150"/>
    <cellStyle name="_CurrencySpace_Update 08-27-01-3" xfId="151"/>
    <cellStyle name="_CurrencySpace_Vison Ease v09" xfId="152"/>
    <cellStyle name="_DA" xfId="4896"/>
    <cellStyle name="_DDU AFR (DM-Miami,USA) --Douglas 070315" xfId="153"/>
    <cellStyle name="_DDU SHA by LCL ocean&amp;air -- Tina Zang061227FYI" xfId="154"/>
    <cellStyle name="_DELL Field Returns Inventory 01Mar04'2" xfId="155"/>
    <cellStyle name="_DELL Field Returns Inventory 01Mar04'2_Lenovo PACK  Packing Proposal" xfId="156"/>
    <cellStyle name="_DELL Field Returns Inventory 01Mar04'2_Lenovo Park Format_July 07 05" xfId="157"/>
    <cellStyle name="_DELL Field Returns Inventory 01Mar04'2_Lenovo Park Format_July 07 05V2" xfId="158"/>
    <cellStyle name="_Dell Fields Return Cost Estimaton - 20040308" xfId="159"/>
    <cellStyle name="_Dell Fields Return Cost Estimaton - 20040308_Lenovo PACK  Packing Proposal" xfId="160"/>
    <cellStyle name="_Dell Fields Return Cost Estimaton - 20040308_Lenovo Park Format_July 07 05" xfId="161"/>
    <cellStyle name="_Dell Fields Return Cost Estimaton - 20040308_Lenovo Park Format_July 07 05V2" xfId="162"/>
    <cellStyle name="_Dell Kookaburra L10 Costing_Rev01 (Nov 23,2007)" xfId="163"/>
    <cellStyle name="_Dell MB APCC EMF Bax (Nov 25)" xfId="164"/>
    <cellStyle name="_Dell MB APCC EMF Bax (Nov 25)_Lenovo PACK  Packing Proposal" xfId="165"/>
    <cellStyle name="_Dell MB APCC EMF Bax (Nov 25)_Lenovo Park Format_July 07 05" xfId="166"/>
    <cellStyle name="_Dell MB APCC EMF Bax (Nov 25)_Lenovo Park Format_July 07 05V2" xfId="167"/>
    <cellStyle name="_Dell MB to AMF Frt Pricing - 20040309" xfId="168"/>
    <cellStyle name="_Dell MB to AMF Frt Pricing - 20040309_Lenovo PACK  Packing Proposal" xfId="169"/>
    <cellStyle name="_Dell MB to AMF Frt Pricing - 20040309_Lenovo Park Format_July 07 05" xfId="170"/>
    <cellStyle name="_Dell MB to AMF Frt Pricing - 20040309_Lenovo Park Format_July 07 05V2" xfId="171"/>
    <cellStyle name="_Dell MB to AMF Pricing - 20040308" xfId="172"/>
    <cellStyle name="_Dell MB to AMF Pricing - 20040308_Lenovo PACK  Packing Proposal" xfId="173"/>
    <cellStyle name="_Dell MB to AMF Pricing - 20040308_Lenovo Park Format_July 07 05" xfId="174"/>
    <cellStyle name="_Dell MB to AMF Pricing - 20040308_Lenovo Park Format_July 07 05V2" xfId="175"/>
    <cellStyle name="_Dell Sneetch EE BOM COST0406-from GP-summary-revised" xfId="176"/>
    <cellStyle name="_DPA" xfId="4897"/>
    <cellStyle name="_EMC Koto DDP Durham - 20040707" xfId="177"/>
    <cellStyle name="_EMC Koto DDP Durham - 20040707_Lenovo PACK  Packing Proposal" xfId="178"/>
    <cellStyle name="_EMC Koto DDP Durham - 20040707_Lenovo Park Format_July 07 05" xfId="179"/>
    <cellStyle name="_EMC Koto DDP Durham - 20040707_Lenovo Park Format_July 07 05V2" xfId="180"/>
    <cellStyle name="_EPS" xfId="4898"/>
    <cellStyle name="_EPS1" xfId="4899"/>
    <cellStyle name="_Euro" xfId="181"/>
    <cellStyle name="_Euro_BLS2q_salesforce" xfId="182"/>
    <cellStyle name="_freight  hub cost-7-281" xfId="183"/>
    <cellStyle name="_freight  hub cost-7-281_Lenovo PACK  Packing Proposal" xfId="184"/>
    <cellStyle name="_freight  hub cost-7-281_Lenovo Park Format_July 07 05" xfId="185"/>
    <cellStyle name="_freight  hub cost-7-281_Lenovo Park Format_July 07 05V2" xfId="186"/>
    <cellStyle name="_freight cost-7-12" xfId="187"/>
    <cellStyle name="_freight cost-7-12_Lenovo PACK  Packing Proposal" xfId="188"/>
    <cellStyle name="_freight cost-7-12_Lenovo Park Format_July 07 05" xfId="189"/>
    <cellStyle name="_freight cost-7-12_Lenovo Park Format_July 07 05V2" xfId="190"/>
    <cellStyle name="_GH4 360 Cost BOM-Apr-23-2008" xfId="191"/>
    <cellStyle name="_GMT_070822" xfId="4379"/>
    <cellStyle name="_Google Inc_Draft_112907_OPT for MSFT" xfId="4836"/>
    <cellStyle name="—_GS_Cash " xfId="4397"/>
    <cellStyle name="—_GS_Cash  2" xfId="5305"/>
    <cellStyle name="—_GS_Cash  3" xfId="4771"/>
    <cellStyle name="_HDD Quote Doumen Summary v2_0703013-billy add packing size" xfId="192"/>
    <cellStyle name="_Heading" xfId="193"/>
    <cellStyle name="_Heading_01 VU Liquidity 171202" xfId="194"/>
    <cellStyle name="_Heading_18 Management Projections" xfId="195"/>
    <cellStyle name="_Heading_20080616_Ownership Structure Walk-Up" xfId="196"/>
    <cellStyle name="_Heading_210302 VU Liquidity new figures" xfId="197"/>
    <cellStyle name="_Heading_prestemp" xfId="198"/>
    <cellStyle name="_Heading_Tribune Consolidated Model v578" xfId="199"/>
    <cellStyle name="_Headline" xfId="200"/>
    <cellStyle name="_Highlight" xfId="201"/>
    <cellStyle name="_Highlight 10" xfId="202"/>
    <cellStyle name="_Highlight 11" xfId="203"/>
    <cellStyle name="_Highlight 12" xfId="204"/>
    <cellStyle name="_Highlight 2" xfId="205"/>
    <cellStyle name="_Highlight 3" xfId="206"/>
    <cellStyle name="_Highlight 4" xfId="207"/>
    <cellStyle name="_Highlight 5" xfId="208"/>
    <cellStyle name="_Highlight 6" xfId="209"/>
    <cellStyle name="_Highlight 7" xfId="210"/>
    <cellStyle name="_Highlight 8" xfId="211"/>
    <cellStyle name="_Highlight 9" xfId="212"/>
    <cellStyle name="_HJF-6C0066" xfId="213"/>
    <cellStyle name="_HP bPC OFR (050912)" xfId="214"/>
    <cellStyle name="_Hub and Truck and  Ocean rate to Shanghai (Dazhong hub) 060920 revised- to Steven" xfId="215"/>
    <cellStyle name="_IBM ex DM (ORF_TFR)040719" xfId="216"/>
    <cellStyle name="_IBM ex DM (ORF_TFR)040719_Lenovo PACK  Packing Proposal" xfId="217"/>
    <cellStyle name="_IBM ex DM (ORF_TFR)040719_Lenovo Park Format_July 07 05" xfId="218"/>
    <cellStyle name="_IBM ex DM (ORF_TFR)040719_Lenovo Park Format_July 07 05V2" xfId="219"/>
    <cellStyle name="_IBM ex DM (ORF_TFR)040818" xfId="220"/>
    <cellStyle name="_IBM ex DM (ORF_TFR)040818_Lenovo PACK  Packing Proposal" xfId="221"/>
    <cellStyle name="_IBM ex DM (ORF_TFR)040818_Lenovo Park Format_July 07 05" xfId="222"/>
    <cellStyle name="_IBM ex DM (ORF_TFR)040818_Lenovo Park Format_July 07 05V2" xfId="223"/>
    <cellStyle name="_IBM Ocean Freight quoting - 20040714" xfId="224"/>
    <cellStyle name="_IBM Ocean Freight quoting - 20040714_Lenovo PACK  Packing Proposal" xfId="225"/>
    <cellStyle name="_IBM Ocean Freight quoting - 20040714_Lenovo Park Format_July 07 05" xfId="226"/>
    <cellStyle name="_IBM Ocean Freight quoting - 20040714_Lenovo Park Format_July 07 05V2" xfId="227"/>
    <cellStyle name="_IBM Ocean Freight quoting - 20040719" xfId="228"/>
    <cellStyle name="_IBM Ocean Freight quoting - 20040719_Lenovo PACK  Packing Proposal" xfId="229"/>
    <cellStyle name="_IBM Ocean Freight quoting - 20040719_Lenovo Park Format_July 07 05" xfId="230"/>
    <cellStyle name="_IBM Ocean Freight quoting - 20040719_Lenovo Park Format_July 07 05V2" xfId="231"/>
    <cellStyle name="_IBM Ocean Freight quoting - 20040728-40'HC" xfId="232"/>
    <cellStyle name="_IBM Ocean Freight quoting - 20040728-40'HC_Lenovo PACK  Packing Proposal" xfId="233"/>
    <cellStyle name="_IBM Ocean Freight quoting - 20040728-40'HC_Lenovo Park Format_July 07 05" xfId="234"/>
    <cellStyle name="_IBM Ocean Freight quoting - 20040728-40'HC_Lenovo Park Format_July 07 05V2" xfId="235"/>
    <cellStyle name="_Ichia Model2402_Modelware_Copy of Model2018_AAC_(WIP) " xfId="4398"/>
    <cellStyle name="_IE Model -- Connector Male WS (3.25.2008)" xfId="236"/>
    <cellStyle name="_IE Model -- -Control-V1 WS(5.8.2008)" xfId="237"/>
    <cellStyle name="_IE Model - Dell Sneeth MB 550K for 8Q (2508 components)" xfId="238"/>
    <cellStyle name="_IE Model -- D-Pad PCBA (3.25.2008)" xfId="239"/>
    <cellStyle name="_IE Model -- GH4 BoxBuild (Mar.25.2008)" xfId="240"/>
    <cellStyle name="_IE Model -- MB PCBA (3.25.2008)" xfId="241"/>
    <cellStyle name="_IE Model -- MB SMT(5.8.2008)" xfId="242"/>
    <cellStyle name="_IE Model -- MB WS (3.25.2008)" xfId="243"/>
    <cellStyle name="_IE Model -- MB WS(5.8.2008)" xfId="244"/>
    <cellStyle name="_IE Model -- Neck Connector Female WS (3.25.2008)" xfId="245"/>
    <cellStyle name="_IE Model -- PMD WS (3.25.2008)" xfId="246"/>
    <cellStyle name="_IE Model -- RJ-11 WS (3.25.2008)" xfId="247"/>
    <cellStyle name="_IE Model -- Slider PCBA (3.25.2008)" xfId="248"/>
    <cellStyle name="_IE Model -- Strum WS (3.25.2008)" xfId="249"/>
    <cellStyle name="_IE Model -- Synth PCBA(5.8.2008)" xfId="250"/>
    <cellStyle name="_IE Model -- Synth WS(5.8.2008)" xfId="251"/>
    <cellStyle name="_IE Model --Alienware 051101" xfId="252"/>
    <cellStyle name="_IE Model --Alienware 051102" xfId="253"/>
    <cellStyle name="_IE Model --Alienware 051103" xfId="254"/>
    <cellStyle name="_IE Model --Alienware 051104" xfId="255"/>
    <cellStyle name="_IE Model --AMD UVC project" xfId="256"/>
    <cellStyle name="_IE Model --Backplane 012907-001(Aug.21.07)" xfId="257"/>
    <cellStyle name="_IE Model --BB(5.8.2008)" xfId="258"/>
    <cellStyle name="_IE Model --Beibei SAS Backplane (July.25.07)" xfId="259"/>
    <cellStyle name="_IE Model --Control-V1 SMT(5.8.2008)" xfId="260"/>
    <cellStyle name="_IE Model --Cymbal WS(5.8.2008)" xfId="261"/>
    <cellStyle name="_IE Model --Dell heiden Mar. 1(150K per month)" xfId="262"/>
    <cellStyle name="_IE Model --Dell heiden(150K)" xfId="263"/>
    <cellStyle name="_IE Model --Dell Klammer motherboard (Jul 10, 07) Doug Edit" xfId="264"/>
    <cellStyle name="_IE Model --Dell Klammer motherboard (Jul 17, 07) Doug Edit" xfId="265"/>
    <cellStyle name="_IE Model --Dell Klammer motherboard(Apr.23,07)" xfId="266"/>
    <cellStyle name="_IE Model --Dell Kookaburra Backplane RevA (Nov 22, 2007)" xfId="267"/>
    <cellStyle name="_IE Model --Dell Kookaburra MB PCBA RevA (Nov 22,2007)" xfId="268"/>
    <cellStyle name="_IE Model --Dell Kookaburra Riser card RevA (Nov 22, 2007)" xfId="269"/>
    <cellStyle name="_IE Model --Dell Kookaburra SI RevA (Nov 22,2007)" xfId="270"/>
    <cellStyle name="_IE Model --Fan interface PCA  012513-501(Aug.22.07)" xfId="271"/>
    <cellStyle name="_IE Model --HP 7Seg (Apr.27,07)_Updated 070507" xfId="272"/>
    <cellStyle name="_IE Model --HP MB Performance(Aug.06.07)" xfId="273"/>
    <cellStyle name="_IE Model --HP MB Value(Aug.06.07)" xfId="274"/>
    <cellStyle name="_IE Model --HP ML150-G4" xfId="275"/>
    <cellStyle name="_IE Model --HP River Gunnison (Jun 21 07)" xfId="276"/>
    <cellStyle name="_IE Model --HP River MB Low (May.28.07)" xfId="277"/>
    <cellStyle name="_IE Model --HP River MB Mid-range (May.29.07)" xfId="278"/>
    <cellStyle name="_IE Model --IBM Backplane RevA (Nov 26, 2007)" xfId="279"/>
    <cellStyle name="_IE Model --IBM BeiBei MB PCBA RevA (Nov 26,2007)" xfId="280"/>
    <cellStyle name="_IE Model --IO Board 012404-501(Aug.21.07)" xfId="281"/>
    <cellStyle name="_IE Model --IO(Apr.27,07)_Updated 070507" xfId="282"/>
    <cellStyle name="_IE Model --Lenovo Beibei Plan A(July.25.07)" xfId="283"/>
    <cellStyle name="_IE Model --Lenovo Beibei Plan B(July.25.07)" xfId="284"/>
    <cellStyle name="_IE Model --Levono Jingjing(July.25.07)" xfId="285"/>
    <cellStyle name="_IE Model --Midi WS(5.8.2008)" xfId="286"/>
    <cellStyle name="_IE Model --Midplane012903-001(Aug.21.07)" xfId="287"/>
    <cellStyle name="_IE Model --NVD C55" xfId="288"/>
    <cellStyle name="_IE Model --NVD p162" xfId="289"/>
    <cellStyle name="_IE Model --NVD P280 (4)" xfId="290"/>
    <cellStyle name="_IE Model --NVD P492(20K per Month)" xfId="291"/>
    <cellStyle name="_IE Model --PMD WS(5.8.2008)" xfId="292"/>
    <cellStyle name="_IE Model --Power UID PCA1  012438-502(Aug.21.07)" xfId="293"/>
    <cellStyle name="_IE Model --Power UID PCA2  012438-501(Aug.22.07)" xfId="294"/>
    <cellStyle name="_IE Model --RFQ-P355" xfId="295"/>
    <cellStyle name="_IE Model --RFQ-P355 (3)" xfId="296"/>
    <cellStyle name="_IE Model --Wacom BB Rev A" xfId="297"/>
    <cellStyle name="_IE Model --Wacom Inverter Board Rev A" xfId="298"/>
    <cellStyle name="_IE Model --Wacom Main PCBA Rev A" xfId="299"/>
    <cellStyle name="_IE Model --Wacom OSD SW board Rev A" xfId="300"/>
    <cellStyle name="_IE Model --Wacom Power SW board Rev A" xfId="301"/>
    <cellStyle name="_IE Model --Wacom Sensor control Board Rev A" xfId="302"/>
    <cellStyle name="_IE Model --Wacom USB Connector Board Rev A" xfId="303"/>
    <cellStyle name="_IV6" xfId="5038"/>
    <cellStyle name="_JapaneseCatalog" xfId="4900"/>
    <cellStyle name="_Katana Freight count" xfId="304"/>
    <cellStyle name="_Katana Freight count_Lenovo PACK  Packing Proposal" xfId="305"/>
    <cellStyle name="_Katana Freight count_Lenovo Park Format_July 07 05" xfId="306"/>
    <cellStyle name="_Katana Freight count_Lenovo Park Format_July 07 05V2" xfId="307"/>
    <cellStyle name="_KN-Flex Quotes Database 030306" xfId="308"/>
    <cellStyle name="_Lenovo PACK  Packing Proposal" xfId="309"/>
    <cellStyle name="_Lenovo Park Format_July 07 05" xfId="310"/>
    <cellStyle name="_Lenovo Park Format_July 07 05V2" xfId="311"/>
    <cellStyle name="_Logistic Cost analysis (DM-SHA for Quanta) -- Stig 061018" xfId="312"/>
    <cellStyle name="_Logistic Cost analysis (FOB HK) -- Hill 061023" xfId="313"/>
    <cellStyle name="_Logistic Cost analysis (FOB HK) -- Hill 061023 (3)" xfId="314"/>
    <cellStyle name="_Logistic cost analysis 1221_DM" xfId="315"/>
    <cellStyle name="_Logistic Cost analysis template - updated" xfId="316"/>
    <cellStyle name="_Metrics1" xfId="5039"/>
    <cellStyle name="_Metrics11" xfId="5040"/>
    <cellStyle name="_Metrics13" xfId="5041"/>
    <cellStyle name="_Metrics3" xfId="5042"/>
    <cellStyle name="_Metrics5" xfId="5043"/>
    <cellStyle name="_Metrics7" xfId="5044"/>
    <cellStyle name="_Metrics9" xfId="5045"/>
    <cellStyle name="_Model_2402(New)_Modelware_Copy of Model2018_AAC_(WIP) " xfId="4399"/>
    <cellStyle name="_Model_3311(New)_Copy of Model2018_AAC_(WIP) " xfId="4400"/>
    <cellStyle name="_Motherboard Pricing 20030722" xfId="317"/>
    <cellStyle name="_Motherboard Pricing 20030722_Lenovo PACK  Packing Proposal" xfId="318"/>
    <cellStyle name="_Motherboard Pricing 20030722_Lenovo Park Format_July 07 05" xfId="319"/>
    <cellStyle name="_Motherboard Pricing 20030722_Lenovo Park Format_July 07 05V2" xfId="320"/>
    <cellStyle name="_MOTO SLIC300MP FOB HK Transport Pricing Targe Vol (R2)" xfId="321"/>
    <cellStyle name="_MOTO SLIC300MP FOB HK Transport Pricing Targe Vol (R2)_Lenovo PACK  Packing Proposal" xfId="322"/>
    <cellStyle name="_MOTO SLIC300MP FOB HK Transport Pricing Targe Vol (R2)_Lenovo Park Format_July 07 05" xfId="323"/>
    <cellStyle name="_MOTO SLIC300MP FOB HK Transport Pricing Targe Vol (R2)_Lenovo Park Format_July 07 05V2" xfId="324"/>
    <cellStyle name="_MOTO SLIC300MP FOB HK Transport Pricing Targe Vol (R2)_Salcomp FCA HK Transport Pricing Dec11" xfId="325"/>
    <cellStyle name="_MOTO SLIC300MP FOB HK Transport Pricing Targe Vol (R2)_Salcomp FCA HK Transport Pricing Dec11_Lenovo PACK  Packing Proposal" xfId="326"/>
    <cellStyle name="_MOTO SLIC300MP FOB HK Transport Pricing Targe Vol (R2)_Salcomp FCA HK Transport Pricing Dec11_Lenovo Park Format_July 07 05" xfId="327"/>
    <cellStyle name="_MOTO SLIC300MP FOB HK Transport Pricing Targe Vol (R2)_Salcomp FCA HK Transport Pricing Dec11_Lenovo Park Format_July 07 05V2" xfId="328"/>
    <cellStyle name="_MOTO SLIC300MP FOB HK Transport Pricing(Target Volume)" xfId="329"/>
    <cellStyle name="_MOTO SLIC300MP FOB HK Transport Pricing(Target Volume)_Lenovo PACK  Packing Proposal" xfId="330"/>
    <cellStyle name="_MOTO SLIC300MP FOB HK Transport Pricing(Target Volume)_Lenovo Park Format_July 07 05" xfId="331"/>
    <cellStyle name="_MOTO SLIC300MP FOB HK Transport Pricing(Target Volume)_Lenovo Park Format_July 07 05V2" xfId="332"/>
    <cellStyle name="_MOTO SLIC300MP FOB HK Transport Pricing(Target Volume)_Salcomp FCA HK Transport Pricing Dec11" xfId="333"/>
    <cellStyle name="_MOTO SLIC300MP FOB HK Transport Pricing(Target Volume)_Salcomp FCA HK Transport Pricing Dec11_Lenovo PACK  Packing Proposal" xfId="334"/>
    <cellStyle name="_MOTO SLIC300MP FOB HK Transport Pricing(Target Volume)_Salcomp FCA HK Transport Pricing Dec11_Lenovo Park Format_July 07 05" xfId="335"/>
    <cellStyle name="_MOTO SLIC300MP FOB HK Transport Pricing(Target Volume)_Salcomp FCA HK Transport Pricing Dec11_Lenovo Park Format_July 07 05V2" xfId="336"/>
    <cellStyle name="_Mozart BOM-Cost_06Apr05" xfId="337"/>
    <cellStyle name="_Mozart BOM-Cost_06Apr05_Lenovo PARK BOM Zero cost 705_05V2" xfId="338"/>
    <cellStyle name="_Mozart BOM-Cost_06Apr05_Lenovo PARK BOM Zero cost 705_05V2_Lenovo Park Format_July 07 05" xfId="339"/>
    <cellStyle name="_Mozart BOM-Cost_06Apr05_Lenovo PARK BOM Zero cost 705_05V2_Lenovo Park Format_July 07 05V2" xfId="340"/>
    <cellStyle name="_Mozart BOM-Cost_06Apr05_Lenovo Park Format (proposed Evans)" xfId="341"/>
    <cellStyle name="_Mozart BOM-Cost_06Apr05_Lenovo Park Format (proposed Evans)_Lenovo Park Format_July 07 05" xfId="342"/>
    <cellStyle name="_Mozart BOM-Cost_06Apr05_Lenovo Park Format (proposed Evans)_Lenovo Park Format_July 07 05V2" xfId="343"/>
    <cellStyle name="_Mozart BOM-Cost_06Apr05_Lenovo Park Format_July 07 05" xfId="344"/>
    <cellStyle name="_Mozart BOM-Cost_06Apr05_Lenovo Park Format_July 07 05V2" xfId="345"/>
    <cellStyle name="_Multiple" xfId="346"/>
    <cellStyle name="_Multiple_02 Pfd Valuation" xfId="347"/>
    <cellStyle name="_Multiple_03 Contribution Analysis" xfId="348"/>
    <cellStyle name="_Multiple_20080605_182 NewCo Agreement Model_v36" xfId="349"/>
    <cellStyle name="_Multiple_20080616_Ownership Structure Walk-Up" xfId="350"/>
    <cellStyle name="_Multiple_AA - BenefitsBonus " xfId="4772"/>
    <cellStyle name="_Multiple_Basic LBO v06" xfId="351"/>
    <cellStyle name="_Multiple_Contribution of assets into USAi_02" xfId="352"/>
    <cellStyle name="_Multiple_credit - newco_6_18" xfId="353"/>
    <cellStyle name="_Multiple_credit - newco_6_18_BLS2q_salesforce" xfId="354"/>
    <cellStyle name="_Multiple_CSC Cable makers 060502" xfId="355"/>
    <cellStyle name="_Multiple_Final Pages 8-20" xfId="356"/>
    <cellStyle name="_Multiple_further analysis on comparables" xfId="357"/>
    <cellStyle name="_Multiple_NBC-5 yearDCF-Final from Vivendi modified" xfId="358"/>
    <cellStyle name="_Multiple_Oakley Model v13" xfId="359"/>
    <cellStyle name="_Multiple_Training Model Shell" xfId="360"/>
    <cellStyle name="_Multiple_Training Model Shell_BLS2q_salesforce" xfId="361"/>
    <cellStyle name="_Multiple_Update 08-27-01-3" xfId="362"/>
    <cellStyle name="_Multiple_Update 08-27-01-3_BLS2q_salesforce" xfId="363"/>
    <cellStyle name="_Multiple_USA Ownership" xfId="364"/>
    <cellStyle name="_MultipleSpace" xfId="365"/>
    <cellStyle name="_MultipleSpace_02 Pfd Valuation" xfId="366"/>
    <cellStyle name="_MultipleSpace_03 Contribution Analysis" xfId="367"/>
    <cellStyle name="_MultipleSpace_20080605_182 NewCo Agreement Model_v36" xfId="368"/>
    <cellStyle name="_MultipleSpace_20080616_Ownership Structure Walk-Up" xfId="369"/>
    <cellStyle name="_MultipleSpace_AA - BenefitsBonus " xfId="4773"/>
    <cellStyle name="_MultipleSpace_BLS2q_salesforce" xfId="370"/>
    <cellStyle name="_MultipleSpace_Contribution of assets into USAi_02" xfId="371"/>
    <cellStyle name="_MultipleSpace_credit - newco_6_18" xfId="372"/>
    <cellStyle name="_MultipleSpace_credit - newco_6_18_BLS2q_salesforce" xfId="373"/>
    <cellStyle name="_MultipleSpace_CSC Cable makers 060502" xfId="374"/>
    <cellStyle name="_MultipleSpace_EBITDA Multiple_3" xfId="375"/>
    <cellStyle name="_MultipleSpace_Final Pages 8-20" xfId="376"/>
    <cellStyle name="_MultipleSpace_Final Pages 8-20_BLS2q_salesforce" xfId="377"/>
    <cellStyle name="_MultipleSpace_further analysis on comparables" xfId="378"/>
    <cellStyle name="_MultipleSpace_further analysis on comparables_BLS2q_salesforce" xfId="379"/>
    <cellStyle name="_MultipleSpace_NBC-5 yearDCF-Final from Vivendi modified" xfId="380"/>
    <cellStyle name="_MultipleSpace_Training Model Shell" xfId="381"/>
    <cellStyle name="_MultipleSpace_Training Model Shell_BLS2q_salesforce" xfId="382"/>
    <cellStyle name="_MultipleSpace_Update 08-27-01-3" xfId="383"/>
    <cellStyle name="_MultipleSpace_Update 08-27-01-3_BLS2q_salesforce" xfId="384"/>
    <cellStyle name="_MultipleSpace_USA Ownership" xfId="385"/>
    <cellStyle name="_MultipleSpace_VU Valuation-top down approach 02" xfId="386"/>
    <cellStyle name="_MW_CFA" xfId="5046"/>
    <cellStyle name="_MWAnalytics" xfId="4901"/>
    <cellStyle name="_Ocean Freight Request - HKG to Touyuan" xfId="387"/>
    <cellStyle name="_Ocean Freight RFQ - New Format" xfId="388"/>
    <cellStyle name="_Ocean Freight RFQ - New Lane Pair EX DGN 20050419" xfId="389"/>
    <cellStyle name="_ONL Considerations PR CY09 AOP 01-21-09 FINAL" xfId="390"/>
    <cellStyle name="_P456 COST BOM_Sep29th" xfId="391"/>
    <cellStyle name="_P50455 Costed BOM 20050922" xfId="392"/>
    <cellStyle name="_PACKAGE COST Lenovo Speyburn IV " xfId="393"/>
    <cellStyle name="_PACKAGE COST-Andes Lenovo 17L" xfId="394"/>
    <cellStyle name="_PACKAGE COST-HP Malibu DL580 G5" xfId="395"/>
    <cellStyle name="_PACKAGE COST-Lenovo 13LS" xfId="396"/>
    <cellStyle name="_PACKAGE COST-Lenovo 25LM" xfId="397"/>
    <cellStyle name="_PACKAGE COST-Martel- W-Handle" xfId="398"/>
    <cellStyle name="_PACKAGE COST-Martel- WO_Handle" xfId="399"/>
    <cellStyle name="_PACKAGE-ASSY COST Apollo" xfId="400"/>
    <cellStyle name="_PACKAGE-ASSY COST-Lenova Bluesky (2)" xfId="401"/>
    <cellStyle name="_Percent" xfId="402"/>
    <cellStyle name="_Percent_02 Pfd Valuation" xfId="403"/>
    <cellStyle name="_Percent_20080616_Ownership Structure Walk-Up" xfId="404"/>
    <cellStyle name="_Percent_AA - BenefitsBonus " xfId="4774"/>
    <cellStyle name="_Percent_BLS2q_salesforce" xfId="405"/>
    <cellStyle name="_Percent_USA Ownership" xfId="406"/>
    <cellStyle name="_PercentSpace" xfId="407"/>
    <cellStyle name="_PercentSpace_02 Pfd Valuation" xfId="408"/>
    <cellStyle name="_PercentSpace_20080616_Ownership Structure Walk-Up" xfId="409"/>
    <cellStyle name="_PercentSpace_AA - BenefitsBonus " xfId="4775"/>
    <cellStyle name="_PercentSpace_BLS2q_salesforce" xfId="410"/>
    <cellStyle name="_PercentSpace_USA Ownership" xfId="411"/>
    <cellStyle name="_PL VG au 9 juillet 2008" xfId="412"/>
    <cellStyle name="_PM93 Quote Summary Update 061024" xfId="413"/>
    <cellStyle name="_PPA 9Cegetel 30 juin (040808)" xfId="414"/>
    <cellStyle name="_Presentation ATVI" xfId="415"/>
    <cellStyle name="_quotation(IBM) to david new" xfId="416"/>
    <cellStyle name="_quotation(IBM) to david new_Lenovo PACK  Packing Proposal" xfId="417"/>
    <cellStyle name="_quotation(IBM) to david new_Lenovo Park Format_July 07 05" xfId="418"/>
    <cellStyle name="_quotation(IBM) to david new_Lenovo Park Format_July 07 05V2" xfId="419"/>
    <cellStyle name="_RFQ required by Makkah 1101 (3)" xfId="420"/>
    <cellStyle name="_ROE2" xfId="5047"/>
    <cellStyle name="_ROE4" xfId="5048"/>
    <cellStyle name="_ROE8" xfId="5049"/>
    <cellStyle name="_RollDG Template 605" xfId="421"/>
    <cellStyle name="_RollDM Alienware PCBA only business_ELC DIP Cards 070314" xfId="422"/>
    <cellStyle name="_RollDM Dell MB Heiden $70 BOM_Revised with Roberto 070318_$4TC Goal Seek" xfId="423"/>
    <cellStyle name="_RollDM Dell Sneeth MB_Rev01 070405" xfId="424"/>
    <cellStyle name="_RollDM HP MSA50 PCBA Cost Model_Quote 500K Monthly Rev01 (Aug 29, 2007)" xfId="425"/>
    <cellStyle name="_RollDM HP Rivers MB Gunnison_9K-13K monthly 070622" xfId="426"/>
    <cellStyle name="_RollDM L10 Cost Model_Template 070712 Rev 1.2" xfId="427"/>
    <cellStyle name="_RollDM Nvidia Add-in Card-50329" xfId="428"/>
    <cellStyle name="_RollDM Nvidia Add-in Card-50330 rev b" xfId="429"/>
    <cellStyle name="_RollDM Nvidia P381" xfId="430"/>
    <cellStyle name="_RollDM Nvidia P492 Rev 1" xfId="431"/>
    <cellStyle name="_RollDM nVidia PM132 060929" xfId="432"/>
    <cellStyle name="_RollDM Nvidia PM93 960" xfId="433"/>
    <cellStyle name="_RollDM Nvidia PM93 960 EVGA ON OFF 061024 Revised 1.2" xfId="434"/>
    <cellStyle name="_RollDM PCBA Cost Model_Template 070802 Rev C_Single High Volume Model" xfId="435"/>
    <cellStyle name="_RollDM Template 605" xfId="436"/>
    <cellStyle name="_RRS1" xfId="4401"/>
    <cellStyle name="_RRS1 2" xfId="4402"/>
    <cellStyle name="_RRS1 3" xfId="4403"/>
    <cellStyle name="_RRS1 3 2" xfId="4404"/>
    <cellStyle name="_RRS1 4" xfId="4405"/>
    <cellStyle name="_RRS1 4 2" xfId="4406"/>
    <cellStyle name="_RRS1 5" xfId="4407"/>
    <cellStyle name="_RRS1 5 2" xfId="4408"/>
    <cellStyle name="_RRS1 6" xfId="4409"/>
    <cellStyle name="_RRS15" xfId="4776"/>
    <cellStyle name="_RRS20" xfId="4777"/>
    <cellStyle name="_RRS3" xfId="4410"/>
    <cellStyle name="_RRS3 2" xfId="4411"/>
    <cellStyle name="_RRS3 3" xfId="4412"/>
    <cellStyle name="_RRS3 3 2" xfId="4413"/>
    <cellStyle name="_RRS3 4" xfId="4414"/>
    <cellStyle name="_RRS3 4 2" xfId="4415"/>
    <cellStyle name="_RRS3 5" xfId="4416"/>
    <cellStyle name="_RRS3 5 2" xfId="4417"/>
    <cellStyle name="_RRS3 6" xfId="4418"/>
    <cellStyle name="_RRS4" xfId="4419"/>
    <cellStyle name="_RRS4 2" xfId="4420"/>
    <cellStyle name="_RRS4 3" xfId="4421"/>
    <cellStyle name="_RRS4 3 2" xfId="4422"/>
    <cellStyle name="_RRS4 4" xfId="4423"/>
    <cellStyle name="_RRS4 4 2" xfId="4424"/>
    <cellStyle name="_RRS4 5" xfId="4425"/>
    <cellStyle name="_RRS4 5 2" xfId="4426"/>
    <cellStyle name="_RRS4 6" xfId="4427"/>
    <cellStyle name="_RRS6" xfId="4778"/>
    <cellStyle name="_Salcomp FCA HK Transport Pricing Dec11" xfId="437"/>
    <cellStyle name="_Salcomp FCA HK Transport Pricing Dec11_Lenovo PACK  Packing Proposal" xfId="438"/>
    <cellStyle name="_Salcomp FCA HK Transport Pricing Dec11_Lenovo Park Format_July 07 05" xfId="439"/>
    <cellStyle name="_Salcomp FCA HK Transport Pricing Dec11_Lenovo Park Format_July 07 05V2" xfId="440"/>
    <cellStyle name="_Sheet2" xfId="441"/>
    <cellStyle name="_Sheet2_Kuehne+Nagel Ocean Freight Rate Table 2005" xfId="442"/>
    <cellStyle name="_Sheet2_Kuehne+Nagel Ocean Freight Rate Table1" xfId="443"/>
    <cellStyle name="_SubHeading" xfId="444"/>
    <cellStyle name="_SubHeading_01 VU Liquidity 171202" xfId="445"/>
    <cellStyle name="_SubHeading_20080616_Ownership Structure Walk-Up" xfId="446"/>
    <cellStyle name="_SubHeading_210302 VU Liquidity new figures" xfId="447"/>
    <cellStyle name="_SubHeading_Contribution of assets into USAi_02" xfId="448"/>
    <cellStyle name="_SubHeading_NBC-5 yearDCF-Final from Vivendi modified" xfId="449"/>
    <cellStyle name="_SubHeading_prestemp" xfId="450"/>
    <cellStyle name="_SubHeading_prestemp_USAi Warrants Valuation 1" xfId="451"/>
    <cellStyle name="_SubHeading_Tribune Consolidated Model v578" xfId="452"/>
    <cellStyle name="_SUMMARY " xfId="2"/>
    <cellStyle name="_SUMMARY  2" xfId="4428"/>
    <cellStyle name="_SUMMARY  3" xfId="4429"/>
    <cellStyle name="_SUMMARY  3 2" xfId="4430"/>
    <cellStyle name="_SUMMARY  4" xfId="4431"/>
    <cellStyle name="_SUMMARY  4 2" xfId="4432"/>
    <cellStyle name="_SUMMARY  5" xfId="4433"/>
    <cellStyle name="_SUMMARY  5 2" xfId="4434"/>
    <cellStyle name="_SUMMARY  6" xfId="4435"/>
    <cellStyle name="_SY Earnings(Labor cost)" xfId="5050"/>
    <cellStyle name="_Table" xfId="453"/>
    <cellStyle name="_Table_02 Pfd Valuation" xfId="454"/>
    <cellStyle name="_Table_03 Contribution Analysis" xfId="455"/>
    <cellStyle name="_Table_20080616_Ownership Structure Walk-Up" xfId="456"/>
    <cellStyle name="_Table_Contribution of assets into USAi_02" xfId="457"/>
    <cellStyle name="_Table_NBC-5 yearDCF-Final from Vivendi modified" xfId="458"/>
    <cellStyle name="_Table_USA Ownership" xfId="459"/>
    <cellStyle name="_TableHead" xfId="460"/>
    <cellStyle name="_TableHead_03 Contribution Analysis" xfId="461"/>
    <cellStyle name="_TableHead_20080616_Ownership Structure Walk-Up" xfId="462"/>
    <cellStyle name="_TableHead_Basic LBO v06" xfId="463"/>
    <cellStyle name="_TableHead_Black Scholes Model" xfId="464"/>
    <cellStyle name="_TableHeading" xfId="465"/>
    <cellStyle name="_TableRowBorder" xfId="466"/>
    <cellStyle name="_TableRowHead" xfId="467"/>
    <cellStyle name="_TableRowHead_03 Contribution Analysis" xfId="468"/>
    <cellStyle name="_TableRowHead_20080616_Ownership Structure Walk-Up" xfId="469"/>
    <cellStyle name="_TableRowHead_Basic LBO v06" xfId="470"/>
    <cellStyle name="_TableRowHeading" xfId="471"/>
    <cellStyle name="_TableSuperHead" xfId="472"/>
    <cellStyle name="_TableSuperHead_02 Pfd Valuation" xfId="473"/>
    <cellStyle name="_TableSuperHead_03 Contribution Analysis" xfId="474"/>
    <cellStyle name="_TableSuperHead_20080616_Ownership Structure Walk-Up" xfId="475"/>
    <cellStyle name="_TableSuperHead_As the Market has Lower Implied Growth Expectations v2" xfId="476"/>
    <cellStyle name="_TableSuperHead_Basic LBO v06" xfId="477"/>
    <cellStyle name="_TableSuperHead_USA Ownership" xfId="478"/>
    <cellStyle name="_TableSuperHeading" xfId="479"/>
    <cellStyle name="_TableText" xfId="480"/>
    <cellStyle name="_Transportation Charges from DM to Huizhou" xfId="481"/>
    <cellStyle name="_Transportation Charges from DM to Huizhou_Lenovo PACK  Packing Proposal" xfId="482"/>
    <cellStyle name="_Transportation Charges from DM to Huizhou_Lenovo Park Format_July 07 05" xfId="483"/>
    <cellStyle name="_Transportation Charges from DM to Huizhou_Lenovo Park Format_July 07 05V2" xfId="484"/>
    <cellStyle name="_Trt-KX864-CDC-DM-HK-Futian" xfId="485"/>
    <cellStyle name="_Trt-KX864-CDC-DM-HK-Futian_Lenovo PACK  Packing Proposal" xfId="486"/>
    <cellStyle name="_Trt-KX864-CDC-DM-HK-Futian_Lenovo Park Format_July 07 05" xfId="487"/>
    <cellStyle name="_Trt-KX864-CDC-DM-HK-Futian_Lenovo Park Format_July 07 05V2" xfId="488"/>
    <cellStyle name="_US GAAP_Copy of Model2018_AAC_(WIP) " xfId="4436"/>
    <cellStyle name="_WaterfrontRequote0525_DN_(JS)" xfId="489"/>
    <cellStyle name="_Wireline Tel Forecast " xfId="3"/>
    <cellStyle name="_Wireline Tel Forecast  2" xfId="4736"/>
    <cellStyle name="_XBOX 360 Drum BOM" xfId="490"/>
    <cellStyle name="_XBOX MB repair &amp; refurbish freight cost" xfId="491"/>
    <cellStyle name="_XBOX MB repair &amp; refurbish freight cost_Lenovo PACK  Packing Proposal" xfId="492"/>
    <cellStyle name="_XBOX MB repair &amp; refurbish freight cost_Lenovo Park Format_July 07 05" xfId="493"/>
    <cellStyle name="_XBOX MB repair &amp; refurbish freight cost_Lenovo Park Format_July 07 05V2" xfId="494"/>
    <cellStyle name="_XBOX MB RR Transport Cost - Air  Express 040506R1" xfId="495"/>
    <cellStyle name="_XBOX MB RR Transport Cost - Air  Express 040506R1_Lenovo PACK  Packing Proposal" xfId="496"/>
    <cellStyle name="_XBOX MB RR Transport Cost - Air  Express 040506R1_Lenovo Park Format_July 07 05" xfId="497"/>
    <cellStyle name="_XBOX MB RR Transport Cost - Air  Express 040506R1_Lenovo Park Format_July 07 05V2" xfId="498"/>
    <cellStyle name="_XBOX MB RR Transport Cost - Air &amp; Express 040506R1" xfId="499"/>
    <cellStyle name="_XBOX MB RR Transport Cost - Air &amp; Express 040506R1_Lenovo PACK  Packing Proposal" xfId="500"/>
    <cellStyle name="_XBOX MB RR Transport Cost - Air &amp; Express 040506R1_Lenovo Park Format_July 07 05" xfId="501"/>
    <cellStyle name="_XBOX MB RR Transport Cost - Air &amp; Express 040506R1_Lenovo Park Format_July 07 05V2" xfId="502"/>
    <cellStyle name="_XBOX Total BI Q1'08 0310" xfId="503"/>
    <cellStyle name="’Ê‰Ý [0.00]_GE 3 MINIMUM" xfId="4437"/>
    <cellStyle name="’Ê‰Ý_GE 3 MINIMUM" xfId="4438"/>
    <cellStyle name="“ú–{Œê" xfId="4902"/>
    <cellStyle name="£ BP" xfId="4439"/>
    <cellStyle name="£ BP 2" xfId="4903"/>
    <cellStyle name="¤@¯ë_pldt" xfId="504"/>
    <cellStyle name="¥ JY" xfId="4440"/>
    <cellStyle name="¥ JY 2" xfId="4904"/>
    <cellStyle name="=C:\WINNT35\SYSTEM32\COMMAND.COM" xfId="4441"/>
    <cellStyle name="=C:\WINNT35\SYSTEM32\COMMAND.COM 2" xfId="4442"/>
    <cellStyle name="=C:\WINNT35\SYSTEM32\COMMAND.COM 3" xfId="4443"/>
    <cellStyle name="=C:\WINNT35\SYSTEM32\COMMAND.COM 3 2" xfId="4444"/>
    <cellStyle name="=C:\WINNT35\SYSTEM32\COMMAND.COM 4" xfId="4445"/>
    <cellStyle name="=C:\WINNT35\SYSTEM32\COMMAND.COM 4 2" xfId="4446"/>
    <cellStyle name="=C:\WINNT35\SYSTEM32\COMMAND.COM 5" xfId="4447"/>
    <cellStyle name="=C:\WINNT35\SYSTEM32\COMMAND.COM 5 2" xfId="4448"/>
    <cellStyle name="=C:\WINNT35\SYSTEM32\COMMAND.COM 6" xfId="4449"/>
    <cellStyle name="§Q\?1@" xfId="4450"/>
    <cellStyle name="•W€_Comparables" xfId="4451"/>
    <cellStyle name="•W_EditLog" xfId="4905"/>
    <cellStyle name="0" xfId="4452"/>
    <cellStyle name="0%" xfId="4453"/>
    <cellStyle name="0% 2" xfId="4454"/>
    <cellStyle name="0% 3" xfId="4455"/>
    <cellStyle name="0% 3 2" xfId="4456"/>
    <cellStyle name="0% 4" xfId="4457"/>
    <cellStyle name="0% 4 2" xfId="4458"/>
    <cellStyle name="0% 5" xfId="4459"/>
    <cellStyle name="0% 5 2" xfId="4460"/>
    <cellStyle name="0% 6" xfId="4461"/>
    <cellStyle name="0,0_x000d__x000a_NA_x000d__x000a_" xfId="505"/>
    <cellStyle name="0.0" xfId="4462"/>
    <cellStyle name="0.0%" xfId="4463"/>
    <cellStyle name="0.0_40050504 (pension)" xfId="4906"/>
    <cellStyle name="0.00" xfId="4464"/>
    <cellStyle name="0.00%" xfId="4465"/>
    <cellStyle name="0.00_40050504 (pension)" xfId="4907"/>
    <cellStyle name="0_40050504 (pension)" xfId="4908"/>
    <cellStyle name="0_Capex &amp; Depreciation " xfId="4"/>
    <cellStyle name="0_Capex &amp; Depreciation _RRST1" xfId="4779"/>
    <cellStyle name="0_Capex &amp; Depreciation _RRST20" xfId="4466"/>
    <cellStyle name="0_Capex &amp; Depreciation _RRST20 2" xfId="4467"/>
    <cellStyle name="0_Capex &amp; Depreciation _RRST25" xfId="4468"/>
    <cellStyle name="0_Capex &amp; Depreciation _RRST25 2" xfId="4469"/>
    <cellStyle name="0_ConsensusPanel_v20080325 (2)" xfId="5051"/>
    <cellStyle name="0_Copy of Model2018_AAC_(WIP) " xfId="4470"/>
    <cellStyle name="0_geconsensusv1" xfId="5052"/>
    <cellStyle name="0_Handset component data_Copy of Model2018_AAC_(WIP) " xfId="4471"/>
    <cellStyle name="0_IV2" xfId="5053"/>
    <cellStyle name="0_IV6" xfId="5054"/>
    <cellStyle name="0_Japan Pension Module Sumitomo Chemical" xfId="4909"/>
    <cellStyle name="0_JapaneseCatalog" xfId="4910"/>
    <cellStyle name="0_ROE2" xfId="5055"/>
    <cellStyle name="0_ROE4" xfId="5056"/>
    <cellStyle name="0_SmartChart_B1035" xfId="4780"/>
    <cellStyle name="0_SmartChart_B1200" xfId="4781"/>
    <cellStyle name="0_SmartChart_C1035" xfId="4782"/>
    <cellStyle name="0_SmartChart_O1200" xfId="4783"/>
    <cellStyle name="0_Valuing BP " xfId="5"/>
    <cellStyle name="0_Valuing BP _RRST1" xfId="4784"/>
    <cellStyle name="0_Valuing BP _RRST20" xfId="4472"/>
    <cellStyle name="0_Valuing BP _RRST20 2" xfId="4473"/>
    <cellStyle name="0_Valuing BP _RRST25" xfId="4474"/>
    <cellStyle name="0_Valuing BP _RRST25 2" xfId="4475"/>
    <cellStyle name="0_Vendor revenues_Copy of Model2018_AAC_(WIP) " xfId="4476"/>
    <cellStyle name="0_Wireline Tel Forecast " xfId="6"/>
    <cellStyle name="0_Yardstick2012" xfId="5057"/>
    <cellStyle name="0dp" xfId="506"/>
    <cellStyle name="1,comma" xfId="4477"/>
    <cellStyle name="1,comma 2" xfId="4478"/>
    <cellStyle name="1,comma 3" xfId="4479"/>
    <cellStyle name="1,comma 3 2" xfId="4480"/>
    <cellStyle name="1,comma 4" xfId="4481"/>
    <cellStyle name="1,comma 4 2" xfId="4482"/>
    <cellStyle name="1,comma 5" xfId="4483"/>
    <cellStyle name="1,comma 5 2" xfId="4484"/>
    <cellStyle name="1,comma 6" xfId="4485"/>
    <cellStyle name="¹eºÐA²_AIAIC°AuCoE² " xfId="4486"/>
    <cellStyle name="20% - Accent1 10" xfId="507"/>
    <cellStyle name="20% - Accent1 10 2" xfId="508"/>
    <cellStyle name="20% - Accent1 10 3" xfId="509"/>
    <cellStyle name="20% - Accent1 11" xfId="510"/>
    <cellStyle name="20% - Accent1 11 2" xfId="511"/>
    <cellStyle name="20% - Accent1 11 3" xfId="512"/>
    <cellStyle name="20% - Accent1 12" xfId="513"/>
    <cellStyle name="20% - Accent1 12 2" xfId="514"/>
    <cellStyle name="20% - Accent1 12 3" xfId="515"/>
    <cellStyle name="20% - Accent1 13" xfId="516"/>
    <cellStyle name="20% - Accent1 13 2" xfId="517"/>
    <cellStyle name="20% - Accent1 13 3" xfId="518"/>
    <cellStyle name="20% - Accent1 14" xfId="519"/>
    <cellStyle name="20% - Accent1 14 2" xfId="520"/>
    <cellStyle name="20% - Accent1 14 3" xfId="521"/>
    <cellStyle name="20% - Accent1 15" xfId="522"/>
    <cellStyle name="20% - Accent1 15 2" xfId="523"/>
    <cellStyle name="20% - Accent1 15 3" xfId="524"/>
    <cellStyle name="20% - Accent1 16" xfId="525"/>
    <cellStyle name="20% - Accent1 17" xfId="526"/>
    <cellStyle name="20% - Accent1 18" xfId="527"/>
    <cellStyle name="20% - Accent1 19" xfId="528"/>
    <cellStyle name="20% - Accent1 2" xfId="529"/>
    <cellStyle name="20% - Accent1 2 10" xfId="530"/>
    <cellStyle name="20% - Accent1 2 11" xfId="531"/>
    <cellStyle name="20% - Accent1 2 12" xfId="532"/>
    <cellStyle name="20% - Accent1 2 13" xfId="533"/>
    <cellStyle name="20% - Accent1 2 14" xfId="534"/>
    <cellStyle name="20% - Accent1 2 15" xfId="535"/>
    <cellStyle name="20% - Accent1 2 16" xfId="5106"/>
    <cellStyle name="20% - Accent1 2 17" xfId="4837"/>
    <cellStyle name="20% - Accent1 2 2" xfId="536"/>
    <cellStyle name="20% - Accent1 2 3" xfId="537"/>
    <cellStyle name="20% - Accent1 2 4" xfId="538"/>
    <cellStyle name="20% - Accent1 2 5" xfId="539"/>
    <cellStyle name="20% - Accent1 2 6" xfId="540"/>
    <cellStyle name="20% - Accent1 2 7" xfId="541"/>
    <cellStyle name="20% - Accent1 2 8" xfId="542"/>
    <cellStyle name="20% - Accent1 2 9" xfId="543"/>
    <cellStyle name="20% - Accent1 2_Display" xfId="544"/>
    <cellStyle name="20% - Accent1 20" xfId="545"/>
    <cellStyle name="20% - Accent1 21" xfId="4672"/>
    <cellStyle name="20% - Accent1 3" xfId="546"/>
    <cellStyle name="20% - Accent1 3 2" xfId="547"/>
    <cellStyle name="20% - Accent1 3 3" xfId="548"/>
    <cellStyle name="20% - Accent1 3 4" xfId="549"/>
    <cellStyle name="20% - Accent1 3 5" xfId="550"/>
    <cellStyle name="20% - Accent1 3 6" xfId="551"/>
    <cellStyle name="20% - Accent1 3 7" xfId="552"/>
    <cellStyle name="20% - Accent1 3 8" xfId="553"/>
    <cellStyle name="20% - Accent1 3_Display" xfId="554"/>
    <cellStyle name="20% - Accent1 4" xfId="555"/>
    <cellStyle name="20% - Accent1 4 2" xfId="556"/>
    <cellStyle name="20% - Accent1 4_Display" xfId="557"/>
    <cellStyle name="20% - Accent1 5" xfId="558"/>
    <cellStyle name="20% - Accent1 5 2" xfId="559"/>
    <cellStyle name="20% - Accent1 5_Display" xfId="560"/>
    <cellStyle name="20% - Accent1 6" xfId="561"/>
    <cellStyle name="20% - Accent1 6 2" xfId="562"/>
    <cellStyle name="20% - Accent1 6_Display" xfId="563"/>
    <cellStyle name="20% - Accent1 7" xfId="564"/>
    <cellStyle name="20% - Accent1 8" xfId="565"/>
    <cellStyle name="20% - Accent1 9" xfId="566"/>
    <cellStyle name="20% - Accent1 9 2" xfId="567"/>
    <cellStyle name="20% - Accent1 9 3" xfId="568"/>
    <cellStyle name="20% - Accent1 9 4" xfId="569"/>
    <cellStyle name="20% - Accent2 10" xfId="570"/>
    <cellStyle name="20% - Accent2 10 2" xfId="571"/>
    <cellStyle name="20% - Accent2 10 3" xfId="572"/>
    <cellStyle name="20% - Accent2 11" xfId="573"/>
    <cellStyle name="20% - Accent2 11 2" xfId="574"/>
    <cellStyle name="20% - Accent2 11 3" xfId="575"/>
    <cellStyle name="20% - Accent2 12" xfId="576"/>
    <cellStyle name="20% - Accent2 12 2" xfId="577"/>
    <cellStyle name="20% - Accent2 12 3" xfId="578"/>
    <cellStyle name="20% - Accent2 13" xfId="579"/>
    <cellStyle name="20% - Accent2 13 2" xfId="580"/>
    <cellStyle name="20% - Accent2 13 3" xfId="581"/>
    <cellStyle name="20% - Accent2 14" xfId="582"/>
    <cellStyle name="20% - Accent2 14 2" xfId="583"/>
    <cellStyle name="20% - Accent2 14 3" xfId="584"/>
    <cellStyle name="20% - Accent2 15" xfId="585"/>
    <cellStyle name="20% - Accent2 15 2" xfId="586"/>
    <cellStyle name="20% - Accent2 15 3" xfId="587"/>
    <cellStyle name="20% - Accent2 16" xfId="588"/>
    <cellStyle name="20% - Accent2 17" xfId="589"/>
    <cellStyle name="20% - Accent2 18" xfId="590"/>
    <cellStyle name="20% - Accent2 19" xfId="591"/>
    <cellStyle name="20% - Accent2 2" xfId="592"/>
    <cellStyle name="20% - Accent2 2 10" xfId="593"/>
    <cellStyle name="20% - Accent2 2 11" xfId="594"/>
    <cellStyle name="20% - Accent2 2 12" xfId="595"/>
    <cellStyle name="20% - Accent2 2 13" xfId="596"/>
    <cellStyle name="20% - Accent2 2 14" xfId="597"/>
    <cellStyle name="20% - Accent2 2 15" xfId="598"/>
    <cellStyle name="20% - Accent2 2 16" xfId="5107"/>
    <cellStyle name="20% - Accent2 2 17" xfId="4838"/>
    <cellStyle name="20% - Accent2 2 2" xfId="599"/>
    <cellStyle name="20% - Accent2 2 3" xfId="600"/>
    <cellStyle name="20% - Accent2 2 4" xfId="601"/>
    <cellStyle name="20% - Accent2 2 5" xfId="602"/>
    <cellStyle name="20% - Accent2 2 6" xfId="603"/>
    <cellStyle name="20% - Accent2 2 7" xfId="604"/>
    <cellStyle name="20% - Accent2 2 8" xfId="605"/>
    <cellStyle name="20% - Accent2 2 9" xfId="606"/>
    <cellStyle name="20% - Accent2 2_Display" xfId="607"/>
    <cellStyle name="20% - Accent2 20" xfId="608"/>
    <cellStyle name="20% - Accent2 21" xfId="4673"/>
    <cellStyle name="20% - Accent2 3" xfId="609"/>
    <cellStyle name="20% - Accent2 3 2" xfId="610"/>
    <cellStyle name="20% - Accent2 3 3" xfId="611"/>
    <cellStyle name="20% - Accent2 3 4" xfId="612"/>
    <cellStyle name="20% - Accent2 3 5" xfId="613"/>
    <cellStyle name="20% - Accent2 3 5 2" xfId="614"/>
    <cellStyle name="20% - Accent2 3 6" xfId="615"/>
    <cellStyle name="20% - Accent2 3 7" xfId="616"/>
    <cellStyle name="20% - Accent2 3 8" xfId="617"/>
    <cellStyle name="20% - Accent2 3 9" xfId="618"/>
    <cellStyle name="20% - Accent2 3_Display" xfId="619"/>
    <cellStyle name="20% - Accent2 4" xfId="620"/>
    <cellStyle name="20% - Accent2 4 2" xfId="621"/>
    <cellStyle name="20% - Accent2 4_Display" xfId="622"/>
    <cellStyle name="20% - Accent2 5" xfId="623"/>
    <cellStyle name="20% - Accent2 5 2" xfId="624"/>
    <cellStyle name="20% - Accent2 5_Display" xfId="625"/>
    <cellStyle name="20% - Accent2 6" xfId="626"/>
    <cellStyle name="20% - Accent2 6 2" xfId="627"/>
    <cellStyle name="20% - Accent2 6_Display" xfId="628"/>
    <cellStyle name="20% - Accent2 7" xfId="629"/>
    <cellStyle name="20% - Accent2 8" xfId="630"/>
    <cellStyle name="20% - Accent2 9" xfId="631"/>
    <cellStyle name="20% - Accent2 9 2" xfId="632"/>
    <cellStyle name="20% - Accent2 9 2 2" xfId="633"/>
    <cellStyle name="20% - Accent2 9 3" xfId="634"/>
    <cellStyle name="20% - Accent2 9 4" xfId="635"/>
    <cellStyle name="20% - Accent2 9 5" xfId="636"/>
    <cellStyle name="20% - Accent3 10" xfId="637"/>
    <cellStyle name="20% - Accent3 10 2" xfId="638"/>
    <cellStyle name="20% - Accent3 10 3" xfId="639"/>
    <cellStyle name="20% - Accent3 11" xfId="640"/>
    <cellStyle name="20% - Accent3 11 2" xfId="641"/>
    <cellStyle name="20% - Accent3 11 3" xfId="642"/>
    <cellStyle name="20% - Accent3 12" xfId="643"/>
    <cellStyle name="20% - Accent3 12 2" xfId="644"/>
    <cellStyle name="20% - Accent3 12 3" xfId="645"/>
    <cellStyle name="20% - Accent3 13" xfId="646"/>
    <cellStyle name="20% - Accent3 13 2" xfId="647"/>
    <cellStyle name="20% - Accent3 13 3" xfId="648"/>
    <cellStyle name="20% - Accent3 14" xfId="649"/>
    <cellStyle name="20% - Accent3 14 2" xfId="650"/>
    <cellStyle name="20% - Accent3 14 3" xfId="651"/>
    <cellStyle name="20% - Accent3 15" xfId="652"/>
    <cellStyle name="20% - Accent3 15 2" xfId="653"/>
    <cellStyle name="20% - Accent3 15 3" xfId="654"/>
    <cellStyle name="20% - Accent3 16" xfId="655"/>
    <cellStyle name="20% - Accent3 17" xfId="656"/>
    <cellStyle name="20% - Accent3 18" xfId="657"/>
    <cellStyle name="20% - Accent3 19" xfId="658"/>
    <cellStyle name="20% - Accent3 2" xfId="659"/>
    <cellStyle name="20% - Accent3 2 10" xfId="660"/>
    <cellStyle name="20% - Accent3 2 11" xfId="661"/>
    <cellStyle name="20% - Accent3 2 12" xfId="662"/>
    <cellStyle name="20% - Accent3 2 13" xfId="663"/>
    <cellStyle name="20% - Accent3 2 14" xfId="664"/>
    <cellStyle name="20% - Accent3 2 15" xfId="665"/>
    <cellStyle name="20% - Accent3 2 16" xfId="5111"/>
    <cellStyle name="20% - Accent3 2 17" xfId="4839"/>
    <cellStyle name="20% - Accent3 2 2" xfId="666"/>
    <cellStyle name="20% - Accent3 2 3" xfId="667"/>
    <cellStyle name="20% - Accent3 2 4" xfId="668"/>
    <cellStyle name="20% - Accent3 2 5" xfId="669"/>
    <cellStyle name="20% - Accent3 2 6" xfId="670"/>
    <cellStyle name="20% - Accent3 2 7" xfId="671"/>
    <cellStyle name="20% - Accent3 2 8" xfId="672"/>
    <cellStyle name="20% - Accent3 2 9" xfId="673"/>
    <cellStyle name="20% - Accent3 2_Display" xfId="674"/>
    <cellStyle name="20% - Accent3 20" xfId="675"/>
    <cellStyle name="20% - Accent3 21" xfId="4674"/>
    <cellStyle name="20% - Accent3 3" xfId="676"/>
    <cellStyle name="20% - Accent3 3 2" xfId="677"/>
    <cellStyle name="20% - Accent3 3 3" xfId="678"/>
    <cellStyle name="20% - Accent3 3 4" xfId="679"/>
    <cellStyle name="20% - Accent3 3 5" xfId="680"/>
    <cellStyle name="20% - Accent3 3 5 2" xfId="681"/>
    <cellStyle name="20% - Accent3 3 6" xfId="682"/>
    <cellStyle name="20% - Accent3 3 7" xfId="683"/>
    <cellStyle name="20% - Accent3 3 8" xfId="684"/>
    <cellStyle name="20% - Accent3 3 9" xfId="685"/>
    <cellStyle name="20% - Accent3 3_Display" xfId="686"/>
    <cellStyle name="20% - Accent3 4" xfId="687"/>
    <cellStyle name="20% - Accent3 4 2" xfId="688"/>
    <cellStyle name="20% - Accent3 4_Display" xfId="689"/>
    <cellStyle name="20% - Accent3 5" xfId="690"/>
    <cellStyle name="20% - Accent3 5 2" xfId="691"/>
    <cellStyle name="20% - Accent3 5_Display" xfId="692"/>
    <cellStyle name="20% - Accent3 6" xfId="693"/>
    <cellStyle name="20% - Accent3 6 2" xfId="694"/>
    <cellStyle name="20% - Accent3 6_Display" xfId="695"/>
    <cellStyle name="20% - Accent3 7" xfId="696"/>
    <cellStyle name="20% - Accent3 8" xfId="697"/>
    <cellStyle name="20% - Accent3 9" xfId="698"/>
    <cellStyle name="20% - Accent3 9 2" xfId="699"/>
    <cellStyle name="20% - Accent3 9 2 2" xfId="700"/>
    <cellStyle name="20% - Accent3 9 3" xfId="701"/>
    <cellStyle name="20% - Accent3 9 4" xfId="702"/>
    <cellStyle name="20% - Accent3 9 5" xfId="703"/>
    <cellStyle name="20% - Accent4 10" xfId="704"/>
    <cellStyle name="20% - Accent4 10 2" xfId="705"/>
    <cellStyle name="20% - Accent4 10 3" xfId="706"/>
    <cellStyle name="20% - Accent4 11" xfId="707"/>
    <cellStyle name="20% - Accent4 11 2" xfId="708"/>
    <cellStyle name="20% - Accent4 11 3" xfId="709"/>
    <cellStyle name="20% - Accent4 12" xfId="710"/>
    <cellStyle name="20% - Accent4 12 2" xfId="711"/>
    <cellStyle name="20% - Accent4 12 3" xfId="712"/>
    <cellStyle name="20% - Accent4 13" xfId="713"/>
    <cellStyle name="20% - Accent4 13 2" xfId="714"/>
    <cellStyle name="20% - Accent4 13 3" xfId="715"/>
    <cellStyle name="20% - Accent4 14" xfId="716"/>
    <cellStyle name="20% - Accent4 14 2" xfId="717"/>
    <cellStyle name="20% - Accent4 14 3" xfId="718"/>
    <cellStyle name="20% - Accent4 15" xfId="719"/>
    <cellStyle name="20% - Accent4 15 2" xfId="720"/>
    <cellStyle name="20% - Accent4 15 3" xfId="721"/>
    <cellStyle name="20% - Accent4 16" xfId="722"/>
    <cellStyle name="20% - Accent4 17" xfId="723"/>
    <cellStyle name="20% - Accent4 18" xfId="724"/>
    <cellStyle name="20% - Accent4 19" xfId="725"/>
    <cellStyle name="20% - Accent4 2" xfId="726"/>
    <cellStyle name="20% - Accent4 2 10" xfId="727"/>
    <cellStyle name="20% - Accent4 2 11" xfId="728"/>
    <cellStyle name="20% - Accent4 2 12" xfId="729"/>
    <cellStyle name="20% - Accent4 2 13" xfId="730"/>
    <cellStyle name="20% - Accent4 2 14" xfId="731"/>
    <cellStyle name="20% - Accent4 2 15" xfId="732"/>
    <cellStyle name="20% - Accent4 2 16" xfId="5113"/>
    <cellStyle name="20% - Accent4 2 17" xfId="4840"/>
    <cellStyle name="20% - Accent4 2 2" xfId="733"/>
    <cellStyle name="20% - Accent4 2 3" xfId="734"/>
    <cellStyle name="20% - Accent4 2 4" xfId="735"/>
    <cellStyle name="20% - Accent4 2 5" xfId="736"/>
    <cellStyle name="20% - Accent4 2 6" xfId="737"/>
    <cellStyle name="20% - Accent4 2 7" xfId="738"/>
    <cellStyle name="20% - Accent4 2 8" xfId="739"/>
    <cellStyle name="20% - Accent4 2 9" xfId="740"/>
    <cellStyle name="20% - Accent4 2_Display" xfId="741"/>
    <cellStyle name="20% - Accent4 20" xfId="742"/>
    <cellStyle name="20% - Accent4 21" xfId="4675"/>
    <cellStyle name="20% - Accent4 3" xfId="743"/>
    <cellStyle name="20% - Accent4 3 2" xfId="744"/>
    <cellStyle name="20% - Accent4 3 3" xfId="745"/>
    <cellStyle name="20% - Accent4 3 4" xfId="746"/>
    <cellStyle name="20% - Accent4 3 5" xfId="747"/>
    <cellStyle name="20% - Accent4 3 5 2" xfId="748"/>
    <cellStyle name="20% - Accent4 3 6" xfId="749"/>
    <cellStyle name="20% - Accent4 3 7" xfId="750"/>
    <cellStyle name="20% - Accent4 3 8" xfId="751"/>
    <cellStyle name="20% - Accent4 3 9" xfId="752"/>
    <cellStyle name="20% - Accent4 3_Display" xfId="753"/>
    <cellStyle name="20% - Accent4 4" xfId="754"/>
    <cellStyle name="20% - Accent4 4 2" xfId="755"/>
    <cellStyle name="20% - Accent4 4_Display" xfId="756"/>
    <cellStyle name="20% - Accent4 5" xfId="757"/>
    <cellStyle name="20% - Accent4 5 2" xfId="758"/>
    <cellStyle name="20% - Accent4 5_Display" xfId="759"/>
    <cellStyle name="20% - Accent4 6" xfId="760"/>
    <cellStyle name="20% - Accent4 6 2" xfId="761"/>
    <cellStyle name="20% - Accent4 6_Display" xfId="762"/>
    <cellStyle name="20% - Accent4 7" xfId="763"/>
    <cellStyle name="20% - Accent4 8" xfId="764"/>
    <cellStyle name="20% - Accent4 9" xfId="765"/>
    <cellStyle name="20% - Accent4 9 2" xfId="766"/>
    <cellStyle name="20% - Accent4 9 2 2" xfId="767"/>
    <cellStyle name="20% - Accent4 9 3" xfId="768"/>
    <cellStyle name="20% - Accent4 9 4" xfId="769"/>
    <cellStyle name="20% - Accent4 9 5" xfId="770"/>
    <cellStyle name="20% - Accent5 10" xfId="771"/>
    <cellStyle name="20% - Accent5 10 2" xfId="772"/>
    <cellStyle name="20% - Accent5 10 3" xfId="773"/>
    <cellStyle name="20% - Accent5 11" xfId="774"/>
    <cellStyle name="20% - Accent5 11 2" xfId="775"/>
    <cellStyle name="20% - Accent5 11 3" xfId="776"/>
    <cellStyle name="20% - Accent5 12" xfId="777"/>
    <cellStyle name="20% - Accent5 12 2" xfId="778"/>
    <cellStyle name="20% - Accent5 12 3" xfId="779"/>
    <cellStyle name="20% - Accent5 13" xfId="780"/>
    <cellStyle name="20% - Accent5 13 2" xfId="781"/>
    <cellStyle name="20% - Accent5 13 3" xfId="782"/>
    <cellStyle name="20% - Accent5 14" xfId="783"/>
    <cellStyle name="20% - Accent5 14 2" xfId="784"/>
    <cellStyle name="20% - Accent5 14 3" xfId="785"/>
    <cellStyle name="20% - Accent5 15" xfId="786"/>
    <cellStyle name="20% - Accent5 15 2" xfId="787"/>
    <cellStyle name="20% - Accent5 15 3" xfId="788"/>
    <cellStyle name="20% - Accent5 16" xfId="789"/>
    <cellStyle name="20% - Accent5 17" xfId="790"/>
    <cellStyle name="20% - Accent5 18" xfId="791"/>
    <cellStyle name="20% - Accent5 19" xfId="792"/>
    <cellStyle name="20% - Accent5 2" xfId="793"/>
    <cellStyle name="20% - Accent5 2 10" xfId="794"/>
    <cellStyle name="20% - Accent5 2 11" xfId="795"/>
    <cellStyle name="20% - Accent5 2 12" xfId="796"/>
    <cellStyle name="20% - Accent5 2 13" xfId="797"/>
    <cellStyle name="20% - Accent5 2 14" xfId="798"/>
    <cellStyle name="20% - Accent5 2 15" xfId="799"/>
    <cellStyle name="20% - Accent5 2 16" xfId="5115"/>
    <cellStyle name="20% - Accent5 2 17" xfId="4841"/>
    <cellStyle name="20% - Accent5 2 2" xfId="800"/>
    <cellStyle name="20% - Accent5 2 3" xfId="801"/>
    <cellStyle name="20% - Accent5 2 4" xfId="802"/>
    <cellStyle name="20% - Accent5 2 5" xfId="803"/>
    <cellStyle name="20% - Accent5 2 6" xfId="804"/>
    <cellStyle name="20% - Accent5 2 7" xfId="805"/>
    <cellStyle name="20% - Accent5 2 8" xfId="806"/>
    <cellStyle name="20% - Accent5 2 9" xfId="807"/>
    <cellStyle name="20% - Accent5 2_Display" xfId="808"/>
    <cellStyle name="20% - Accent5 20" xfId="809"/>
    <cellStyle name="20% - Accent5 21" xfId="4676"/>
    <cellStyle name="20% - Accent5 3" xfId="810"/>
    <cellStyle name="20% - Accent5 3 2" xfId="811"/>
    <cellStyle name="20% - Accent5 3 3" xfId="812"/>
    <cellStyle name="20% - Accent5 3 4" xfId="813"/>
    <cellStyle name="20% - Accent5 3 5" xfId="814"/>
    <cellStyle name="20% - Accent5 3 6" xfId="815"/>
    <cellStyle name="20% - Accent5 3 7" xfId="816"/>
    <cellStyle name="20% - Accent5 3 8" xfId="817"/>
    <cellStyle name="20% - Accent5 3_Display" xfId="818"/>
    <cellStyle name="20% - Accent5 4" xfId="819"/>
    <cellStyle name="20% - Accent5 4 2" xfId="820"/>
    <cellStyle name="20% - Accent5 4_Display" xfId="821"/>
    <cellStyle name="20% - Accent5 5" xfId="822"/>
    <cellStyle name="20% - Accent5 5 2" xfId="823"/>
    <cellStyle name="20% - Accent5 5_Display" xfId="824"/>
    <cellStyle name="20% - Accent5 6" xfId="825"/>
    <cellStyle name="20% - Accent5 6 2" xfId="826"/>
    <cellStyle name="20% - Accent5 6_Display" xfId="827"/>
    <cellStyle name="20% - Accent5 7" xfId="828"/>
    <cellStyle name="20% - Accent5 8" xfId="829"/>
    <cellStyle name="20% - Accent5 9" xfId="830"/>
    <cellStyle name="20% - Accent5 9 2" xfId="831"/>
    <cellStyle name="20% - Accent5 9 3" xfId="832"/>
    <cellStyle name="20% - Accent5 9 4" xfId="833"/>
    <cellStyle name="20% - Accent6 10" xfId="834"/>
    <cellStyle name="20% - Accent6 10 2" xfId="835"/>
    <cellStyle name="20% - Accent6 10 3" xfId="836"/>
    <cellStyle name="20% - Accent6 11" xfId="837"/>
    <cellStyle name="20% - Accent6 11 2" xfId="838"/>
    <cellStyle name="20% - Accent6 11 3" xfId="839"/>
    <cellStyle name="20% - Accent6 12" xfId="840"/>
    <cellStyle name="20% - Accent6 12 2" xfId="841"/>
    <cellStyle name="20% - Accent6 12 3" xfId="842"/>
    <cellStyle name="20% - Accent6 13" xfId="843"/>
    <cellStyle name="20% - Accent6 13 2" xfId="844"/>
    <cellStyle name="20% - Accent6 13 3" xfId="845"/>
    <cellStyle name="20% - Accent6 14" xfId="846"/>
    <cellStyle name="20% - Accent6 14 2" xfId="847"/>
    <cellStyle name="20% - Accent6 14 3" xfId="848"/>
    <cellStyle name="20% - Accent6 15" xfId="849"/>
    <cellStyle name="20% - Accent6 15 2" xfId="850"/>
    <cellStyle name="20% - Accent6 15 3" xfId="851"/>
    <cellStyle name="20% - Accent6 16" xfId="852"/>
    <cellStyle name="20% - Accent6 17" xfId="853"/>
    <cellStyle name="20% - Accent6 18" xfId="854"/>
    <cellStyle name="20% - Accent6 19" xfId="855"/>
    <cellStyle name="20% - Accent6 2" xfId="856"/>
    <cellStyle name="20% - Accent6 2 10" xfId="857"/>
    <cellStyle name="20% - Accent6 2 11" xfId="858"/>
    <cellStyle name="20% - Accent6 2 12" xfId="859"/>
    <cellStyle name="20% - Accent6 2 13" xfId="860"/>
    <cellStyle name="20% - Accent6 2 14" xfId="861"/>
    <cellStyle name="20% - Accent6 2 15" xfId="862"/>
    <cellStyle name="20% - Accent6 2 16" xfId="5116"/>
    <cellStyle name="20% - Accent6 2 17" xfId="4842"/>
    <cellStyle name="20% - Accent6 2 2" xfId="863"/>
    <cellStyle name="20% - Accent6 2 3" xfId="864"/>
    <cellStyle name="20% - Accent6 2 4" xfId="865"/>
    <cellStyle name="20% - Accent6 2 5" xfId="866"/>
    <cellStyle name="20% - Accent6 2 6" xfId="867"/>
    <cellStyle name="20% - Accent6 2 7" xfId="868"/>
    <cellStyle name="20% - Accent6 2 8" xfId="869"/>
    <cellStyle name="20% - Accent6 2 9" xfId="870"/>
    <cellStyle name="20% - Accent6 2_Display" xfId="871"/>
    <cellStyle name="20% - Accent6 20" xfId="872"/>
    <cellStyle name="20% - Accent6 21" xfId="4677"/>
    <cellStyle name="20% - Accent6 3" xfId="873"/>
    <cellStyle name="20% - Accent6 3 2" xfId="874"/>
    <cellStyle name="20% - Accent6 3 3" xfId="875"/>
    <cellStyle name="20% - Accent6 3 4" xfId="876"/>
    <cellStyle name="20% - Accent6 3 5" xfId="877"/>
    <cellStyle name="20% - Accent6 3 5 2" xfId="878"/>
    <cellStyle name="20% - Accent6 3 6" xfId="879"/>
    <cellStyle name="20% - Accent6 3 7" xfId="880"/>
    <cellStyle name="20% - Accent6 3 8" xfId="881"/>
    <cellStyle name="20% - Accent6 3 9" xfId="882"/>
    <cellStyle name="20% - Accent6 3_Display" xfId="883"/>
    <cellStyle name="20% - Accent6 4" xfId="884"/>
    <cellStyle name="20% - Accent6 4 2" xfId="885"/>
    <cellStyle name="20% - Accent6 4_Display" xfId="886"/>
    <cellStyle name="20% - Accent6 5" xfId="887"/>
    <cellStyle name="20% - Accent6 5 2" xfId="888"/>
    <cellStyle name="20% - Accent6 5_Display" xfId="889"/>
    <cellStyle name="20% - Accent6 6" xfId="890"/>
    <cellStyle name="20% - Accent6 6 2" xfId="891"/>
    <cellStyle name="20% - Accent6 6_Display" xfId="892"/>
    <cellStyle name="20% - Accent6 7" xfId="893"/>
    <cellStyle name="20% - Accent6 8" xfId="894"/>
    <cellStyle name="20% - Accent6 9" xfId="895"/>
    <cellStyle name="20% - Accent6 9 2" xfId="896"/>
    <cellStyle name="20% - Accent6 9 2 2" xfId="897"/>
    <cellStyle name="20% - Accent6 9 3" xfId="898"/>
    <cellStyle name="20% - Accent6 9 4" xfId="899"/>
    <cellStyle name="20% - Accent6 9 5" xfId="900"/>
    <cellStyle name="20% - 强调文字颜色 1" xfId="901"/>
    <cellStyle name="20% - 强调文字颜色 2" xfId="902"/>
    <cellStyle name="20% - 强调文字颜色 3" xfId="903"/>
    <cellStyle name="20% - 强调文字颜色 4" xfId="904"/>
    <cellStyle name="20% - 强调文字颜色 5" xfId="905"/>
    <cellStyle name="20% - 强调文字颜色 6" xfId="906"/>
    <cellStyle name="20% - 輔色1" xfId="907"/>
    <cellStyle name="20% - 輔色2" xfId="908"/>
    <cellStyle name="20% - 輔色3" xfId="909"/>
    <cellStyle name="20% - 輔色4" xfId="910"/>
    <cellStyle name="20% - 輔色5" xfId="911"/>
    <cellStyle name="20% - 輔色6" xfId="912"/>
    <cellStyle name="3232" xfId="913"/>
    <cellStyle name="³f¹ô[0]_pldt" xfId="914"/>
    <cellStyle name="³f¹ô_pldt" xfId="915"/>
    <cellStyle name="40% - Accent1 10" xfId="916"/>
    <cellStyle name="40% - Accent1 10 2" xfId="917"/>
    <cellStyle name="40% - Accent1 10 3" xfId="918"/>
    <cellStyle name="40% - Accent1 11" xfId="919"/>
    <cellStyle name="40% - Accent1 11 2" xfId="920"/>
    <cellStyle name="40% - Accent1 11 3" xfId="921"/>
    <cellStyle name="40% - Accent1 12" xfId="922"/>
    <cellStyle name="40% - Accent1 12 2" xfId="923"/>
    <cellStyle name="40% - Accent1 12 3" xfId="924"/>
    <cellStyle name="40% - Accent1 13" xfId="925"/>
    <cellStyle name="40% - Accent1 13 2" xfId="926"/>
    <cellStyle name="40% - Accent1 13 3" xfId="927"/>
    <cellStyle name="40% - Accent1 14" xfId="928"/>
    <cellStyle name="40% - Accent1 14 2" xfId="929"/>
    <cellStyle name="40% - Accent1 14 3" xfId="930"/>
    <cellStyle name="40% - Accent1 15" xfId="931"/>
    <cellStyle name="40% - Accent1 15 2" xfId="932"/>
    <cellStyle name="40% - Accent1 15 3" xfId="933"/>
    <cellStyle name="40% - Accent1 16" xfId="934"/>
    <cellStyle name="40% - Accent1 17" xfId="935"/>
    <cellStyle name="40% - Accent1 18" xfId="936"/>
    <cellStyle name="40% - Accent1 19" xfId="937"/>
    <cellStyle name="40% - Accent1 2" xfId="938"/>
    <cellStyle name="40% - Accent1 2 10" xfId="939"/>
    <cellStyle name="40% - Accent1 2 11" xfId="940"/>
    <cellStyle name="40% - Accent1 2 12" xfId="941"/>
    <cellStyle name="40% - Accent1 2 13" xfId="942"/>
    <cellStyle name="40% - Accent1 2 14" xfId="943"/>
    <cellStyle name="40% - Accent1 2 15" xfId="944"/>
    <cellStyle name="40% - Accent1 2 16" xfId="5118"/>
    <cellStyle name="40% - Accent1 2 17" xfId="4843"/>
    <cellStyle name="40% - Accent1 2 2" xfId="945"/>
    <cellStyle name="40% - Accent1 2 3" xfId="946"/>
    <cellStyle name="40% - Accent1 2 4" xfId="947"/>
    <cellStyle name="40% - Accent1 2 5" xfId="948"/>
    <cellStyle name="40% - Accent1 2 6" xfId="949"/>
    <cellStyle name="40% - Accent1 2 7" xfId="950"/>
    <cellStyle name="40% - Accent1 2 8" xfId="951"/>
    <cellStyle name="40% - Accent1 2 9" xfId="952"/>
    <cellStyle name="40% - Accent1 2_Display" xfId="953"/>
    <cellStyle name="40% - Accent1 20" xfId="954"/>
    <cellStyle name="40% - Accent1 21" xfId="4678"/>
    <cellStyle name="40% - Accent1 3" xfId="955"/>
    <cellStyle name="40% - Accent1 3 2" xfId="956"/>
    <cellStyle name="40% - Accent1 3 3" xfId="957"/>
    <cellStyle name="40% - Accent1 3 4" xfId="958"/>
    <cellStyle name="40% - Accent1 3 5" xfId="959"/>
    <cellStyle name="40% - Accent1 3 5 2" xfId="960"/>
    <cellStyle name="40% - Accent1 3 6" xfId="961"/>
    <cellStyle name="40% - Accent1 3 7" xfId="962"/>
    <cellStyle name="40% - Accent1 3 8" xfId="963"/>
    <cellStyle name="40% - Accent1 3 9" xfId="964"/>
    <cellStyle name="40% - Accent1 3_Display" xfId="965"/>
    <cellStyle name="40% - Accent1 4" xfId="966"/>
    <cellStyle name="40% - Accent1 4 2" xfId="967"/>
    <cellStyle name="40% - Accent1 4_Display" xfId="968"/>
    <cellStyle name="40% - Accent1 5" xfId="969"/>
    <cellStyle name="40% - Accent1 5 2" xfId="970"/>
    <cellStyle name="40% - Accent1 5_Display" xfId="971"/>
    <cellStyle name="40% - Accent1 6" xfId="972"/>
    <cellStyle name="40% - Accent1 6 2" xfId="973"/>
    <cellStyle name="40% - Accent1 6_Display" xfId="974"/>
    <cellStyle name="40% - Accent1 7" xfId="975"/>
    <cellStyle name="40% - Accent1 8" xfId="976"/>
    <cellStyle name="40% - Accent1 9" xfId="977"/>
    <cellStyle name="40% - Accent1 9 2" xfId="978"/>
    <cellStyle name="40% - Accent1 9 2 2" xfId="979"/>
    <cellStyle name="40% - Accent1 9 3" xfId="980"/>
    <cellStyle name="40% - Accent1 9 4" xfId="981"/>
    <cellStyle name="40% - Accent1 9 5" xfId="982"/>
    <cellStyle name="40% - Accent2 10" xfId="983"/>
    <cellStyle name="40% - Accent2 10 2" xfId="984"/>
    <cellStyle name="40% - Accent2 10 3" xfId="985"/>
    <cellStyle name="40% - Accent2 11" xfId="986"/>
    <cellStyle name="40% - Accent2 11 2" xfId="987"/>
    <cellStyle name="40% - Accent2 11 3" xfId="988"/>
    <cellStyle name="40% - Accent2 12" xfId="989"/>
    <cellStyle name="40% - Accent2 12 2" xfId="990"/>
    <cellStyle name="40% - Accent2 12 3" xfId="991"/>
    <cellStyle name="40% - Accent2 13" xfId="992"/>
    <cellStyle name="40% - Accent2 13 2" xfId="993"/>
    <cellStyle name="40% - Accent2 13 3" xfId="994"/>
    <cellStyle name="40% - Accent2 14" xfId="995"/>
    <cellStyle name="40% - Accent2 14 2" xfId="996"/>
    <cellStyle name="40% - Accent2 14 3" xfId="997"/>
    <cellStyle name="40% - Accent2 15" xfId="998"/>
    <cellStyle name="40% - Accent2 15 2" xfId="999"/>
    <cellStyle name="40% - Accent2 15 3" xfId="1000"/>
    <cellStyle name="40% - Accent2 16" xfId="1001"/>
    <cellStyle name="40% - Accent2 17" xfId="1002"/>
    <cellStyle name="40% - Accent2 18" xfId="1003"/>
    <cellStyle name="40% - Accent2 19" xfId="1004"/>
    <cellStyle name="40% - Accent2 2" xfId="1005"/>
    <cellStyle name="40% - Accent2 2 10" xfId="1006"/>
    <cellStyle name="40% - Accent2 2 11" xfId="1007"/>
    <cellStyle name="40% - Accent2 2 12" xfId="1008"/>
    <cellStyle name="40% - Accent2 2 13" xfId="1009"/>
    <cellStyle name="40% - Accent2 2 14" xfId="1010"/>
    <cellStyle name="40% - Accent2 2 15" xfId="1011"/>
    <cellStyle name="40% - Accent2 2 16" xfId="5119"/>
    <cellStyle name="40% - Accent2 2 17" xfId="4844"/>
    <cellStyle name="40% - Accent2 2 2" xfId="1012"/>
    <cellStyle name="40% - Accent2 2 3" xfId="1013"/>
    <cellStyle name="40% - Accent2 2 4" xfId="1014"/>
    <cellStyle name="40% - Accent2 2 5" xfId="1015"/>
    <cellStyle name="40% - Accent2 2 6" xfId="1016"/>
    <cellStyle name="40% - Accent2 2 7" xfId="1017"/>
    <cellStyle name="40% - Accent2 2 8" xfId="1018"/>
    <cellStyle name="40% - Accent2 2 9" xfId="1019"/>
    <cellStyle name="40% - Accent2 2_Display" xfId="1020"/>
    <cellStyle name="40% - Accent2 20" xfId="1021"/>
    <cellStyle name="40% - Accent2 21" xfId="4679"/>
    <cellStyle name="40% - Accent2 3" xfId="1022"/>
    <cellStyle name="40% - Accent2 3 2" xfId="1023"/>
    <cellStyle name="40% - Accent2 3 3" xfId="1024"/>
    <cellStyle name="40% - Accent2 3 4" xfId="1025"/>
    <cellStyle name="40% - Accent2 3 5" xfId="1026"/>
    <cellStyle name="40% - Accent2 3 5 2" xfId="1027"/>
    <cellStyle name="40% - Accent2 3 6" xfId="1028"/>
    <cellStyle name="40% - Accent2 3 7" xfId="1029"/>
    <cellStyle name="40% - Accent2 3 8" xfId="1030"/>
    <cellStyle name="40% - Accent2 3 9" xfId="1031"/>
    <cellStyle name="40% - Accent2 3_Display" xfId="1032"/>
    <cellStyle name="40% - Accent2 4" xfId="1033"/>
    <cellStyle name="40% - Accent2 4 2" xfId="1034"/>
    <cellStyle name="40% - Accent2 4_Display" xfId="1035"/>
    <cellStyle name="40% - Accent2 5" xfId="1036"/>
    <cellStyle name="40% - Accent2 5 2" xfId="1037"/>
    <cellStyle name="40% - Accent2 5_Display" xfId="1038"/>
    <cellStyle name="40% - Accent2 6" xfId="1039"/>
    <cellStyle name="40% - Accent2 6 2" xfId="1040"/>
    <cellStyle name="40% - Accent2 6_Display" xfId="1041"/>
    <cellStyle name="40% - Accent2 7" xfId="1042"/>
    <cellStyle name="40% - Accent2 8" xfId="1043"/>
    <cellStyle name="40% - Accent2 9" xfId="1044"/>
    <cellStyle name="40% - Accent2 9 2" xfId="1045"/>
    <cellStyle name="40% - Accent2 9 2 2" xfId="1046"/>
    <cellStyle name="40% - Accent2 9 3" xfId="1047"/>
    <cellStyle name="40% - Accent2 9 4" xfId="1048"/>
    <cellStyle name="40% - Accent2 9 5" xfId="1049"/>
    <cellStyle name="40% - Accent3 10" xfId="1050"/>
    <cellStyle name="40% - Accent3 10 2" xfId="1051"/>
    <cellStyle name="40% - Accent3 10 3" xfId="1052"/>
    <cellStyle name="40% - Accent3 11" xfId="1053"/>
    <cellStyle name="40% - Accent3 11 2" xfId="1054"/>
    <cellStyle name="40% - Accent3 11 3" xfId="1055"/>
    <cellStyle name="40% - Accent3 12" xfId="1056"/>
    <cellStyle name="40% - Accent3 12 2" xfId="1057"/>
    <cellStyle name="40% - Accent3 12 3" xfId="1058"/>
    <cellStyle name="40% - Accent3 13" xfId="1059"/>
    <cellStyle name="40% - Accent3 13 2" xfId="1060"/>
    <cellStyle name="40% - Accent3 13 3" xfId="1061"/>
    <cellStyle name="40% - Accent3 14" xfId="1062"/>
    <cellStyle name="40% - Accent3 14 2" xfId="1063"/>
    <cellStyle name="40% - Accent3 14 3" xfId="1064"/>
    <cellStyle name="40% - Accent3 15" xfId="1065"/>
    <cellStyle name="40% - Accent3 15 2" xfId="1066"/>
    <cellStyle name="40% - Accent3 15 3" xfId="1067"/>
    <cellStyle name="40% - Accent3 16" xfId="1068"/>
    <cellStyle name="40% - Accent3 17" xfId="1069"/>
    <cellStyle name="40% - Accent3 18" xfId="1070"/>
    <cellStyle name="40% - Accent3 19" xfId="1071"/>
    <cellStyle name="40% - Accent3 2" xfId="1072"/>
    <cellStyle name="40% - Accent3 2 10" xfId="1073"/>
    <cellStyle name="40% - Accent3 2 11" xfId="1074"/>
    <cellStyle name="40% - Accent3 2 12" xfId="1075"/>
    <cellStyle name="40% - Accent3 2 13" xfId="1076"/>
    <cellStyle name="40% - Accent3 2 14" xfId="1077"/>
    <cellStyle name="40% - Accent3 2 15" xfId="1078"/>
    <cellStyle name="40% - Accent3 2 16" xfId="5121"/>
    <cellStyle name="40% - Accent3 2 17" xfId="4845"/>
    <cellStyle name="40% - Accent3 2 2" xfId="1079"/>
    <cellStyle name="40% - Accent3 2 3" xfId="1080"/>
    <cellStyle name="40% - Accent3 2 4" xfId="1081"/>
    <cellStyle name="40% - Accent3 2 5" xfId="1082"/>
    <cellStyle name="40% - Accent3 2 6" xfId="1083"/>
    <cellStyle name="40% - Accent3 2 7" xfId="1084"/>
    <cellStyle name="40% - Accent3 2 8" xfId="1085"/>
    <cellStyle name="40% - Accent3 2 9" xfId="1086"/>
    <cellStyle name="40% - Accent3 2_Display" xfId="1087"/>
    <cellStyle name="40% - Accent3 20" xfId="1088"/>
    <cellStyle name="40% - Accent3 21" xfId="4680"/>
    <cellStyle name="40% - Accent3 3" xfId="1089"/>
    <cellStyle name="40% - Accent3 3 2" xfId="1090"/>
    <cellStyle name="40% - Accent3 3 3" xfId="1091"/>
    <cellStyle name="40% - Accent3 3 4" xfId="1092"/>
    <cellStyle name="40% - Accent3 3 5" xfId="1093"/>
    <cellStyle name="40% - Accent3 3 5 2" xfId="1094"/>
    <cellStyle name="40% - Accent3 3 6" xfId="1095"/>
    <cellStyle name="40% - Accent3 3 7" xfId="1096"/>
    <cellStyle name="40% - Accent3 3 8" xfId="1097"/>
    <cellStyle name="40% - Accent3 3 9" xfId="1098"/>
    <cellStyle name="40% - Accent3 3_Display" xfId="1099"/>
    <cellStyle name="40% - Accent3 4" xfId="1100"/>
    <cellStyle name="40% - Accent3 4 2" xfId="1101"/>
    <cellStyle name="40% - Accent3 4_Display" xfId="1102"/>
    <cellStyle name="40% - Accent3 5" xfId="1103"/>
    <cellStyle name="40% - Accent3 5 2" xfId="1104"/>
    <cellStyle name="40% - Accent3 5_Display" xfId="1105"/>
    <cellStyle name="40% - Accent3 6" xfId="1106"/>
    <cellStyle name="40% - Accent3 6 2" xfId="1107"/>
    <cellStyle name="40% - Accent3 6_Display" xfId="1108"/>
    <cellStyle name="40% - Accent3 7" xfId="1109"/>
    <cellStyle name="40% - Accent3 8" xfId="1110"/>
    <cellStyle name="40% - Accent3 9" xfId="1111"/>
    <cellStyle name="40% - Accent3 9 2" xfId="1112"/>
    <cellStyle name="40% - Accent3 9 2 2" xfId="1113"/>
    <cellStyle name="40% - Accent3 9 3" xfId="1114"/>
    <cellStyle name="40% - Accent3 9 4" xfId="1115"/>
    <cellStyle name="40% - Accent3 9 5" xfId="1116"/>
    <cellStyle name="40% - Accent4 10" xfId="1117"/>
    <cellStyle name="40% - Accent4 10 2" xfId="1118"/>
    <cellStyle name="40% - Accent4 10 3" xfId="1119"/>
    <cellStyle name="40% - Accent4 11" xfId="1120"/>
    <cellStyle name="40% - Accent4 11 2" xfId="1121"/>
    <cellStyle name="40% - Accent4 11 3" xfId="1122"/>
    <cellStyle name="40% - Accent4 12" xfId="1123"/>
    <cellStyle name="40% - Accent4 12 2" xfId="1124"/>
    <cellStyle name="40% - Accent4 12 3" xfId="1125"/>
    <cellStyle name="40% - Accent4 13" xfId="1126"/>
    <cellStyle name="40% - Accent4 13 2" xfId="1127"/>
    <cellStyle name="40% - Accent4 13 3" xfId="1128"/>
    <cellStyle name="40% - Accent4 14" xfId="1129"/>
    <cellStyle name="40% - Accent4 14 2" xfId="1130"/>
    <cellStyle name="40% - Accent4 14 3" xfId="1131"/>
    <cellStyle name="40% - Accent4 15" xfId="1132"/>
    <cellStyle name="40% - Accent4 15 2" xfId="1133"/>
    <cellStyle name="40% - Accent4 15 3" xfId="1134"/>
    <cellStyle name="40% - Accent4 16" xfId="1135"/>
    <cellStyle name="40% - Accent4 17" xfId="1136"/>
    <cellStyle name="40% - Accent4 18" xfId="1137"/>
    <cellStyle name="40% - Accent4 19" xfId="1138"/>
    <cellStyle name="40% - Accent4 2" xfId="1139"/>
    <cellStyle name="40% - Accent4 2 10" xfId="1140"/>
    <cellStyle name="40% - Accent4 2 11" xfId="1141"/>
    <cellStyle name="40% - Accent4 2 12" xfId="1142"/>
    <cellStyle name="40% - Accent4 2 13" xfId="1143"/>
    <cellStyle name="40% - Accent4 2 14" xfId="1144"/>
    <cellStyle name="40% - Accent4 2 15" xfId="1145"/>
    <cellStyle name="40% - Accent4 2 16" xfId="5122"/>
    <cellStyle name="40% - Accent4 2 17" xfId="4846"/>
    <cellStyle name="40% - Accent4 2 2" xfId="1146"/>
    <cellStyle name="40% - Accent4 2 3" xfId="1147"/>
    <cellStyle name="40% - Accent4 2 4" xfId="1148"/>
    <cellStyle name="40% - Accent4 2 5" xfId="1149"/>
    <cellStyle name="40% - Accent4 2 6" xfId="1150"/>
    <cellStyle name="40% - Accent4 2 7" xfId="1151"/>
    <cellStyle name="40% - Accent4 2 8" xfId="1152"/>
    <cellStyle name="40% - Accent4 2 9" xfId="1153"/>
    <cellStyle name="40% - Accent4 2_Display" xfId="1154"/>
    <cellStyle name="40% - Accent4 20" xfId="1155"/>
    <cellStyle name="40% - Accent4 21" xfId="4681"/>
    <cellStyle name="40% - Accent4 3" xfId="1156"/>
    <cellStyle name="40% - Accent4 3 2" xfId="1157"/>
    <cellStyle name="40% - Accent4 3 3" xfId="1158"/>
    <cellStyle name="40% - Accent4 3 4" xfId="1159"/>
    <cellStyle name="40% - Accent4 3 5" xfId="1160"/>
    <cellStyle name="40% - Accent4 3 5 2" xfId="1161"/>
    <cellStyle name="40% - Accent4 3 6" xfId="1162"/>
    <cellStyle name="40% - Accent4 3 7" xfId="1163"/>
    <cellStyle name="40% - Accent4 3 8" xfId="1164"/>
    <cellStyle name="40% - Accent4 3 9" xfId="1165"/>
    <cellStyle name="40% - Accent4 3_Display" xfId="1166"/>
    <cellStyle name="40% - Accent4 4" xfId="1167"/>
    <cellStyle name="40% - Accent4 4 2" xfId="1168"/>
    <cellStyle name="40% - Accent4 4_Display" xfId="1169"/>
    <cellStyle name="40% - Accent4 5" xfId="1170"/>
    <cellStyle name="40% - Accent4 5 2" xfId="1171"/>
    <cellStyle name="40% - Accent4 5_Display" xfId="1172"/>
    <cellStyle name="40% - Accent4 6" xfId="1173"/>
    <cellStyle name="40% - Accent4 6 2" xfId="1174"/>
    <cellStyle name="40% - Accent4 6_Display" xfId="1175"/>
    <cellStyle name="40% - Accent4 7" xfId="1176"/>
    <cellStyle name="40% - Accent4 8" xfId="1177"/>
    <cellStyle name="40% - Accent4 9" xfId="1178"/>
    <cellStyle name="40% - Accent4 9 2" xfId="1179"/>
    <cellStyle name="40% - Accent4 9 2 2" xfId="1180"/>
    <cellStyle name="40% - Accent4 9 3" xfId="1181"/>
    <cellStyle name="40% - Accent4 9 4" xfId="1182"/>
    <cellStyle name="40% - Accent4 9 5" xfId="1183"/>
    <cellStyle name="40% - Accent5 10" xfId="1184"/>
    <cellStyle name="40% - Accent5 10 2" xfId="1185"/>
    <cellStyle name="40% - Accent5 10 3" xfId="1186"/>
    <cellStyle name="40% - Accent5 11" xfId="1187"/>
    <cellStyle name="40% - Accent5 11 2" xfId="1188"/>
    <cellStyle name="40% - Accent5 11 3" xfId="1189"/>
    <cellStyle name="40% - Accent5 12" xfId="1190"/>
    <cellStyle name="40% - Accent5 12 2" xfId="1191"/>
    <cellStyle name="40% - Accent5 12 3" xfId="1192"/>
    <cellStyle name="40% - Accent5 13" xfId="1193"/>
    <cellStyle name="40% - Accent5 13 2" xfId="1194"/>
    <cellStyle name="40% - Accent5 13 3" xfId="1195"/>
    <cellStyle name="40% - Accent5 14" xfId="1196"/>
    <cellStyle name="40% - Accent5 14 2" xfId="1197"/>
    <cellStyle name="40% - Accent5 14 3" xfId="1198"/>
    <cellStyle name="40% - Accent5 15" xfId="1199"/>
    <cellStyle name="40% - Accent5 15 2" xfId="1200"/>
    <cellStyle name="40% - Accent5 15 3" xfId="1201"/>
    <cellStyle name="40% - Accent5 16" xfId="1202"/>
    <cellStyle name="40% - Accent5 17" xfId="1203"/>
    <cellStyle name="40% - Accent5 18" xfId="1204"/>
    <cellStyle name="40% - Accent5 19" xfId="1205"/>
    <cellStyle name="40% - Accent5 2" xfId="1206"/>
    <cellStyle name="40% - Accent5 2 10" xfId="1207"/>
    <cellStyle name="40% - Accent5 2 11" xfId="1208"/>
    <cellStyle name="40% - Accent5 2 12" xfId="1209"/>
    <cellStyle name="40% - Accent5 2 13" xfId="1210"/>
    <cellStyle name="40% - Accent5 2 14" xfId="1211"/>
    <cellStyle name="40% - Accent5 2 15" xfId="1212"/>
    <cellStyle name="40% - Accent5 2 16" xfId="5123"/>
    <cellStyle name="40% - Accent5 2 17" xfId="4847"/>
    <cellStyle name="40% - Accent5 2 2" xfId="1213"/>
    <cellStyle name="40% - Accent5 2 3" xfId="1214"/>
    <cellStyle name="40% - Accent5 2 4" xfId="1215"/>
    <cellStyle name="40% - Accent5 2 5" xfId="1216"/>
    <cellStyle name="40% - Accent5 2 6" xfId="1217"/>
    <cellStyle name="40% - Accent5 2 7" xfId="1218"/>
    <cellStyle name="40% - Accent5 2 8" xfId="1219"/>
    <cellStyle name="40% - Accent5 2 9" xfId="1220"/>
    <cellStyle name="40% - Accent5 2_Display" xfId="1221"/>
    <cellStyle name="40% - Accent5 20" xfId="1222"/>
    <cellStyle name="40% - Accent5 21" xfId="4682"/>
    <cellStyle name="40% - Accent5 3" xfId="1223"/>
    <cellStyle name="40% - Accent5 3 2" xfId="1224"/>
    <cellStyle name="40% - Accent5 3 3" xfId="1225"/>
    <cellStyle name="40% - Accent5 3 4" xfId="1226"/>
    <cellStyle name="40% - Accent5 3 5" xfId="1227"/>
    <cellStyle name="40% - Accent5 3 5 2" xfId="1228"/>
    <cellStyle name="40% - Accent5 3 6" xfId="1229"/>
    <cellStyle name="40% - Accent5 3 7" xfId="1230"/>
    <cellStyle name="40% - Accent5 3 8" xfId="1231"/>
    <cellStyle name="40% - Accent5 3 9" xfId="1232"/>
    <cellStyle name="40% - Accent5 3_Display" xfId="1233"/>
    <cellStyle name="40% - Accent5 4" xfId="1234"/>
    <cellStyle name="40% - Accent5 4 2" xfId="1235"/>
    <cellStyle name="40% - Accent5 4_Display" xfId="1236"/>
    <cellStyle name="40% - Accent5 5" xfId="1237"/>
    <cellStyle name="40% - Accent5 5 2" xfId="1238"/>
    <cellStyle name="40% - Accent5 5_Display" xfId="1239"/>
    <cellStyle name="40% - Accent5 6" xfId="1240"/>
    <cellStyle name="40% - Accent5 6 2" xfId="1241"/>
    <cellStyle name="40% - Accent5 6_Display" xfId="1242"/>
    <cellStyle name="40% - Accent5 7" xfId="1243"/>
    <cellStyle name="40% - Accent5 8" xfId="1244"/>
    <cellStyle name="40% - Accent5 9" xfId="1245"/>
    <cellStyle name="40% - Accent5 9 2" xfId="1246"/>
    <cellStyle name="40% - Accent5 9 2 2" xfId="1247"/>
    <cellStyle name="40% - Accent5 9 3" xfId="1248"/>
    <cellStyle name="40% - Accent5 9 4" xfId="1249"/>
    <cellStyle name="40% - Accent5 9 5" xfId="1250"/>
    <cellStyle name="40% - Accent6 10" xfId="1251"/>
    <cellStyle name="40% - Accent6 10 2" xfId="1252"/>
    <cellStyle name="40% - Accent6 10 3" xfId="1253"/>
    <cellStyle name="40% - Accent6 11" xfId="1254"/>
    <cellStyle name="40% - Accent6 11 2" xfId="1255"/>
    <cellStyle name="40% - Accent6 11 3" xfId="1256"/>
    <cellStyle name="40% - Accent6 12" xfId="1257"/>
    <cellStyle name="40% - Accent6 12 2" xfId="1258"/>
    <cellStyle name="40% - Accent6 12 3" xfId="1259"/>
    <cellStyle name="40% - Accent6 13" xfId="1260"/>
    <cellStyle name="40% - Accent6 13 2" xfId="1261"/>
    <cellStyle name="40% - Accent6 13 3" xfId="1262"/>
    <cellStyle name="40% - Accent6 14" xfId="1263"/>
    <cellStyle name="40% - Accent6 14 2" xfId="1264"/>
    <cellStyle name="40% - Accent6 14 3" xfId="1265"/>
    <cellStyle name="40% - Accent6 15" xfId="1266"/>
    <cellStyle name="40% - Accent6 15 2" xfId="1267"/>
    <cellStyle name="40% - Accent6 15 3" xfId="1268"/>
    <cellStyle name="40% - Accent6 16" xfId="1269"/>
    <cellStyle name="40% - Accent6 17" xfId="1270"/>
    <cellStyle name="40% - Accent6 18" xfId="1271"/>
    <cellStyle name="40% - Accent6 19" xfId="1272"/>
    <cellStyle name="40% - Accent6 2" xfId="1273"/>
    <cellStyle name="40% - Accent6 2 10" xfId="1274"/>
    <cellStyle name="40% - Accent6 2 11" xfId="1275"/>
    <cellStyle name="40% - Accent6 2 12" xfId="1276"/>
    <cellStyle name="40% - Accent6 2 13" xfId="1277"/>
    <cellStyle name="40% - Accent6 2 14" xfId="1278"/>
    <cellStyle name="40% - Accent6 2 15" xfId="1279"/>
    <cellStyle name="40% - Accent6 2 16" xfId="5124"/>
    <cellStyle name="40% - Accent6 2 17" xfId="4848"/>
    <cellStyle name="40% - Accent6 2 2" xfId="1280"/>
    <cellStyle name="40% - Accent6 2 3" xfId="1281"/>
    <cellStyle name="40% - Accent6 2 4" xfId="1282"/>
    <cellStyle name="40% - Accent6 2 5" xfId="1283"/>
    <cellStyle name="40% - Accent6 2 6" xfId="1284"/>
    <cellStyle name="40% - Accent6 2 7" xfId="1285"/>
    <cellStyle name="40% - Accent6 2 8" xfId="1286"/>
    <cellStyle name="40% - Accent6 2 9" xfId="1287"/>
    <cellStyle name="40% - Accent6 2_Display" xfId="1288"/>
    <cellStyle name="40% - Accent6 20" xfId="1289"/>
    <cellStyle name="40% - Accent6 21" xfId="4683"/>
    <cellStyle name="40% - Accent6 3" xfId="1290"/>
    <cellStyle name="40% - Accent6 3 2" xfId="1291"/>
    <cellStyle name="40% - Accent6 3 3" xfId="1292"/>
    <cellStyle name="40% - Accent6 3 4" xfId="1293"/>
    <cellStyle name="40% - Accent6 3 5" xfId="1294"/>
    <cellStyle name="40% - Accent6 3 5 2" xfId="1295"/>
    <cellStyle name="40% - Accent6 3 6" xfId="1296"/>
    <cellStyle name="40% - Accent6 3 7" xfId="1297"/>
    <cellStyle name="40% - Accent6 3 8" xfId="1298"/>
    <cellStyle name="40% - Accent6 3 9" xfId="1299"/>
    <cellStyle name="40% - Accent6 3_Display" xfId="1300"/>
    <cellStyle name="40% - Accent6 4" xfId="1301"/>
    <cellStyle name="40% - Accent6 4 2" xfId="1302"/>
    <cellStyle name="40% - Accent6 4_Display" xfId="1303"/>
    <cellStyle name="40% - Accent6 5" xfId="1304"/>
    <cellStyle name="40% - Accent6 5 2" xfId="1305"/>
    <cellStyle name="40% - Accent6 5_Display" xfId="1306"/>
    <cellStyle name="40% - Accent6 6" xfId="1307"/>
    <cellStyle name="40% - Accent6 6 2" xfId="1308"/>
    <cellStyle name="40% - Accent6 6_Display" xfId="1309"/>
    <cellStyle name="40% - Accent6 7" xfId="1310"/>
    <cellStyle name="40% - Accent6 8" xfId="1311"/>
    <cellStyle name="40% - Accent6 9" xfId="1312"/>
    <cellStyle name="40% - Accent6 9 2" xfId="1313"/>
    <cellStyle name="40% - Accent6 9 2 2" xfId="1314"/>
    <cellStyle name="40% - Accent6 9 3" xfId="1315"/>
    <cellStyle name="40% - Accent6 9 4" xfId="1316"/>
    <cellStyle name="40% - Accent6 9 5" xfId="1317"/>
    <cellStyle name="40% - 强调文字颜色 1" xfId="1318"/>
    <cellStyle name="40% - 强调文字颜色 2" xfId="1319"/>
    <cellStyle name="40% - 强调文字颜色 3" xfId="1320"/>
    <cellStyle name="40% - 强调文字颜色 4" xfId="1321"/>
    <cellStyle name="40% - 强调文字颜色 5" xfId="1322"/>
    <cellStyle name="40% - 强调文字颜色 6" xfId="1323"/>
    <cellStyle name="40% - 輔色1" xfId="1324"/>
    <cellStyle name="40% - 輔色2" xfId="1325"/>
    <cellStyle name="40% - 輔色3" xfId="1326"/>
    <cellStyle name="40% - 輔色4" xfId="1327"/>
    <cellStyle name="40% - 輔色5" xfId="1328"/>
    <cellStyle name="40% - 輔色6" xfId="1329"/>
    <cellStyle name="60% - Accent1 10" xfId="1330"/>
    <cellStyle name="60% - Accent1 10 2" xfId="1331"/>
    <cellStyle name="60% - Accent1 10 3" xfId="1332"/>
    <cellStyle name="60% - Accent1 11" xfId="1333"/>
    <cellStyle name="60% - Accent1 11 2" xfId="1334"/>
    <cellStyle name="60% - Accent1 11 3" xfId="1335"/>
    <cellStyle name="60% - Accent1 12" xfId="1336"/>
    <cellStyle name="60% - Accent1 12 2" xfId="1337"/>
    <cellStyle name="60% - Accent1 12 3" xfId="1338"/>
    <cellStyle name="60% - Accent1 13" xfId="1339"/>
    <cellStyle name="60% - Accent1 13 2" xfId="1340"/>
    <cellStyle name="60% - Accent1 13 3" xfId="1341"/>
    <cellStyle name="60% - Accent1 14" xfId="1342"/>
    <cellStyle name="60% - Accent1 14 2" xfId="1343"/>
    <cellStyle name="60% - Accent1 14 3" xfId="1344"/>
    <cellStyle name="60% - Accent1 15" xfId="1345"/>
    <cellStyle name="60% - Accent1 15 2" xfId="1346"/>
    <cellStyle name="60% - Accent1 15 3" xfId="1347"/>
    <cellStyle name="60% - Accent1 16" xfId="1348"/>
    <cellStyle name="60% - Accent1 17" xfId="1349"/>
    <cellStyle name="60% - Accent1 18" xfId="1350"/>
    <cellStyle name="60% - Accent1 19" xfId="1351"/>
    <cellStyle name="60% - Accent1 2" xfId="1352"/>
    <cellStyle name="60% - Accent1 2 10" xfId="1353"/>
    <cellStyle name="60% - Accent1 2 11" xfId="1354"/>
    <cellStyle name="60% - Accent1 2 12" xfId="1355"/>
    <cellStyle name="60% - Accent1 2 13" xfId="1356"/>
    <cellStyle name="60% - Accent1 2 14" xfId="1357"/>
    <cellStyle name="60% - Accent1 2 15" xfId="1358"/>
    <cellStyle name="60% - Accent1 2 16" xfId="5125"/>
    <cellStyle name="60% - Accent1 2 17" xfId="4849"/>
    <cellStyle name="60% - Accent1 2 2" xfId="1359"/>
    <cellStyle name="60% - Accent1 2 3" xfId="1360"/>
    <cellStyle name="60% - Accent1 2 4" xfId="1361"/>
    <cellStyle name="60% - Accent1 2 5" xfId="1362"/>
    <cellStyle name="60% - Accent1 2 6" xfId="1363"/>
    <cellStyle name="60% - Accent1 2 7" xfId="1364"/>
    <cellStyle name="60% - Accent1 2 8" xfId="1365"/>
    <cellStyle name="60% - Accent1 2 9" xfId="1366"/>
    <cellStyle name="60% - Accent1 20" xfId="1367"/>
    <cellStyle name="60% - Accent1 21" xfId="4684"/>
    <cellStyle name="60% - Accent1 3" xfId="1368"/>
    <cellStyle name="60% - Accent1 3 2" xfId="1369"/>
    <cellStyle name="60% - Accent1 3 3" xfId="1370"/>
    <cellStyle name="60% - Accent1 3 4" xfId="1371"/>
    <cellStyle name="60% - Accent1 3 5" xfId="1372"/>
    <cellStyle name="60% - Accent1 3 5 2" xfId="1373"/>
    <cellStyle name="60% - Accent1 3 6" xfId="1374"/>
    <cellStyle name="60% - Accent1 3 7" xfId="1375"/>
    <cellStyle name="60% - Accent1 3 8" xfId="1376"/>
    <cellStyle name="60% - Accent1 3 9" xfId="1377"/>
    <cellStyle name="60% - Accent1 4" xfId="1378"/>
    <cellStyle name="60% - Accent1 4 2" xfId="1379"/>
    <cellStyle name="60% - Accent1 5" xfId="1380"/>
    <cellStyle name="60% - Accent1 5 2" xfId="1381"/>
    <cellStyle name="60% - Accent1 6" xfId="1382"/>
    <cellStyle name="60% - Accent1 6 2" xfId="1383"/>
    <cellStyle name="60% - Accent1 7" xfId="1384"/>
    <cellStyle name="60% - Accent1 8" xfId="1385"/>
    <cellStyle name="60% - Accent1 9" xfId="1386"/>
    <cellStyle name="60% - Accent1 9 2" xfId="1387"/>
    <cellStyle name="60% - Accent1 9 2 2" xfId="1388"/>
    <cellStyle name="60% - Accent1 9 3" xfId="1389"/>
    <cellStyle name="60% - Accent1 9 4" xfId="1390"/>
    <cellStyle name="60% - Accent1 9 5" xfId="1391"/>
    <cellStyle name="60% - Accent2 10" xfId="1392"/>
    <cellStyle name="60% - Accent2 10 2" xfId="1393"/>
    <cellStyle name="60% - Accent2 10 3" xfId="1394"/>
    <cellStyle name="60% - Accent2 11" xfId="1395"/>
    <cellStyle name="60% - Accent2 11 2" xfId="1396"/>
    <cellStyle name="60% - Accent2 11 3" xfId="1397"/>
    <cellStyle name="60% - Accent2 12" xfId="1398"/>
    <cellStyle name="60% - Accent2 12 2" xfId="1399"/>
    <cellStyle name="60% - Accent2 12 3" xfId="1400"/>
    <cellStyle name="60% - Accent2 13" xfId="1401"/>
    <cellStyle name="60% - Accent2 13 2" xfId="1402"/>
    <cellStyle name="60% - Accent2 13 3" xfId="1403"/>
    <cellStyle name="60% - Accent2 14" xfId="1404"/>
    <cellStyle name="60% - Accent2 14 2" xfId="1405"/>
    <cellStyle name="60% - Accent2 14 3" xfId="1406"/>
    <cellStyle name="60% - Accent2 15" xfId="1407"/>
    <cellStyle name="60% - Accent2 15 2" xfId="1408"/>
    <cellStyle name="60% - Accent2 15 3" xfId="1409"/>
    <cellStyle name="60% - Accent2 16" xfId="1410"/>
    <cellStyle name="60% - Accent2 17" xfId="1411"/>
    <cellStyle name="60% - Accent2 18" xfId="1412"/>
    <cellStyle name="60% - Accent2 19" xfId="1413"/>
    <cellStyle name="60% - Accent2 2" xfId="1414"/>
    <cellStyle name="60% - Accent2 2 10" xfId="1415"/>
    <cellStyle name="60% - Accent2 2 11" xfId="1416"/>
    <cellStyle name="60% - Accent2 2 12" xfId="1417"/>
    <cellStyle name="60% - Accent2 2 13" xfId="1418"/>
    <cellStyle name="60% - Accent2 2 14" xfId="1419"/>
    <cellStyle name="60% - Accent2 2 15" xfId="1420"/>
    <cellStyle name="60% - Accent2 2 16" xfId="5126"/>
    <cellStyle name="60% - Accent2 2 17" xfId="4850"/>
    <cellStyle name="60% - Accent2 2 2" xfId="1421"/>
    <cellStyle name="60% - Accent2 2 3" xfId="1422"/>
    <cellStyle name="60% - Accent2 2 4" xfId="1423"/>
    <cellStyle name="60% - Accent2 2 5" xfId="1424"/>
    <cellStyle name="60% - Accent2 2 6" xfId="1425"/>
    <cellStyle name="60% - Accent2 2 7" xfId="1426"/>
    <cellStyle name="60% - Accent2 2 8" xfId="1427"/>
    <cellStyle name="60% - Accent2 2 9" xfId="1428"/>
    <cellStyle name="60% - Accent2 20" xfId="1429"/>
    <cellStyle name="60% - Accent2 21" xfId="4685"/>
    <cellStyle name="60% - Accent2 3" xfId="1430"/>
    <cellStyle name="60% - Accent2 3 2" xfId="1431"/>
    <cellStyle name="60% - Accent2 3 3" xfId="1432"/>
    <cellStyle name="60% - Accent2 3 4" xfId="1433"/>
    <cellStyle name="60% - Accent2 3 5" xfId="1434"/>
    <cellStyle name="60% - Accent2 3 6" xfId="1435"/>
    <cellStyle name="60% - Accent2 3 7" xfId="1436"/>
    <cellStyle name="60% - Accent2 3 8" xfId="1437"/>
    <cellStyle name="60% - Accent2 4" xfId="1438"/>
    <cellStyle name="60% - Accent2 4 2" xfId="1439"/>
    <cellStyle name="60% - Accent2 5" xfId="1440"/>
    <cellStyle name="60% - Accent2 5 2" xfId="1441"/>
    <cellStyle name="60% - Accent2 6" xfId="1442"/>
    <cellStyle name="60% - Accent2 6 2" xfId="1443"/>
    <cellStyle name="60% - Accent2 7" xfId="1444"/>
    <cellStyle name="60% - Accent2 8" xfId="1445"/>
    <cellStyle name="60% - Accent2 9" xfId="1446"/>
    <cellStyle name="60% - Accent2 9 2" xfId="1447"/>
    <cellStyle name="60% - Accent2 9 3" xfId="1448"/>
    <cellStyle name="60% - Accent2 9 4" xfId="1449"/>
    <cellStyle name="60% - Accent3 10" xfId="1450"/>
    <cellStyle name="60% - Accent3 10 2" xfId="1451"/>
    <cellStyle name="60% - Accent3 10 3" xfId="1452"/>
    <cellStyle name="60% - Accent3 11" xfId="1453"/>
    <cellStyle name="60% - Accent3 11 2" xfId="1454"/>
    <cellStyle name="60% - Accent3 11 3" xfId="1455"/>
    <cellStyle name="60% - Accent3 12" xfId="1456"/>
    <cellStyle name="60% - Accent3 12 2" xfId="1457"/>
    <cellStyle name="60% - Accent3 12 3" xfId="1458"/>
    <cellStyle name="60% - Accent3 13" xfId="1459"/>
    <cellStyle name="60% - Accent3 13 2" xfId="1460"/>
    <cellStyle name="60% - Accent3 13 3" xfId="1461"/>
    <cellStyle name="60% - Accent3 14" xfId="1462"/>
    <cellStyle name="60% - Accent3 14 2" xfId="1463"/>
    <cellStyle name="60% - Accent3 14 3" xfId="1464"/>
    <cellStyle name="60% - Accent3 15" xfId="1465"/>
    <cellStyle name="60% - Accent3 15 2" xfId="1466"/>
    <cellStyle name="60% - Accent3 15 3" xfId="1467"/>
    <cellStyle name="60% - Accent3 16" xfId="1468"/>
    <cellStyle name="60% - Accent3 17" xfId="1469"/>
    <cellStyle name="60% - Accent3 18" xfId="1470"/>
    <cellStyle name="60% - Accent3 19" xfId="1471"/>
    <cellStyle name="60% - Accent3 2" xfId="1472"/>
    <cellStyle name="60% - Accent3 2 10" xfId="1473"/>
    <cellStyle name="60% - Accent3 2 11" xfId="1474"/>
    <cellStyle name="60% - Accent3 2 12" xfId="1475"/>
    <cellStyle name="60% - Accent3 2 13" xfId="1476"/>
    <cellStyle name="60% - Accent3 2 14" xfId="1477"/>
    <cellStyle name="60% - Accent3 2 15" xfId="1478"/>
    <cellStyle name="60% - Accent3 2 16" xfId="5127"/>
    <cellStyle name="60% - Accent3 2 17" xfId="4851"/>
    <cellStyle name="60% - Accent3 2 2" xfId="1479"/>
    <cellStyle name="60% - Accent3 2 3" xfId="1480"/>
    <cellStyle name="60% - Accent3 2 4" xfId="1481"/>
    <cellStyle name="60% - Accent3 2 5" xfId="1482"/>
    <cellStyle name="60% - Accent3 2 6" xfId="1483"/>
    <cellStyle name="60% - Accent3 2 7" xfId="1484"/>
    <cellStyle name="60% - Accent3 2 8" xfId="1485"/>
    <cellStyle name="60% - Accent3 2 9" xfId="1486"/>
    <cellStyle name="60% - Accent3 20" xfId="1487"/>
    <cellStyle name="60% - Accent3 21" xfId="4686"/>
    <cellStyle name="60% - Accent3 3" xfId="1488"/>
    <cellStyle name="60% - Accent3 3 2" xfId="1489"/>
    <cellStyle name="60% - Accent3 3 3" xfId="1490"/>
    <cellStyle name="60% - Accent3 3 4" xfId="1491"/>
    <cellStyle name="60% - Accent3 3 5" xfId="1492"/>
    <cellStyle name="60% - Accent3 3 5 2" xfId="1493"/>
    <cellStyle name="60% - Accent3 3 6" xfId="1494"/>
    <cellStyle name="60% - Accent3 3 7" xfId="1495"/>
    <cellStyle name="60% - Accent3 3 8" xfId="1496"/>
    <cellStyle name="60% - Accent3 3 9" xfId="1497"/>
    <cellStyle name="60% - Accent3 4" xfId="1498"/>
    <cellStyle name="60% - Accent3 4 2" xfId="1499"/>
    <cellStyle name="60% - Accent3 5" xfId="1500"/>
    <cellStyle name="60% - Accent3 5 2" xfId="1501"/>
    <cellStyle name="60% - Accent3 6" xfId="1502"/>
    <cellStyle name="60% - Accent3 6 2" xfId="1503"/>
    <cellStyle name="60% - Accent3 7" xfId="1504"/>
    <cellStyle name="60% - Accent3 8" xfId="1505"/>
    <cellStyle name="60% - Accent3 9" xfId="1506"/>
    <cellStyle name="60% - Accent3 9 2" xfId="1507"/>
    <cellStyle name="60% - Accent3 9 2 2" xfId="1508"/>
    <cellStyle name="60% - Accent3 9 3" xfId="1509"/>
    <cellStyle name="60% - Accent3 9 4" xfId="1510"/>
    <cellStyle name="60% - Accent3 9 5" xfId="1511"/>
    <cellStyle name="60% - Accent4 10" xfId="1512"/>
    <cellStyle name="60% - Accent4 10 2" xfId="1513"/>
    <cellStyle name="60% - Accent4 10 3" xfId="1514"/>
    <cellStyle name="60% - Accent4 11" xfId="1515"/>
    <cellStyle name="60% - Accent4 11 2" xfId="1516"/>
    <cellStyle name="60% - Accent4 11 3" xfId="1517"/>
    <cellStyle name="60% - Accent4 12" xfId="1518"/>
    <cellStyle name="60% - Accent4 12 2" xfId="1519"/>
    <cellStyle name="60% - Accent4 12 3" xfId="1520"/>
    <cellStyle name="60% - Accent4 13" xfId="1521"/>
    <cellStyle name="60% - Accent4 13 2" xfId="1522"/>
    <cellStyle name="60% - Accent4 13 3" xfId="1523"/>
    <cellStyle name="60% - Accent4 14" xfId="1524"/>
    <cellStyle name="60% - Accent4 14 2" xfId="1525"/>
    <cellStyle name="60% - Accent4 14 3" xfId="1526"/>
    <cellStyle name="60% - Accent4 15" xfId="1527"/>
    <cellStyle name="60% - Accent4 15 2" xfId="1528"/>
    <cellStyle name="60% - Accent4 15 3" xfId="1529"/>
    <cellStyle name="60% - Accent4 16" xfId="1530"/>
    <cellStyle name="60% - Accent4 17" xfId="1531"/>
    <cellStyle name="60% - Accent4 18" xfId="1532"/>
    <cellStyle name="60% - Accent4 19" xfId="1533"/>
    <cellStyle name="60% - Accent4 2" xfId="1534"/>
    <cellStyle name="60% - Accent4 2 10" xfId="1535"/>
    <cellStyle name="60% - Accent4 2 11" xfId="1536"/>
    <cellStyle name="60% - Accent4 2 12" xfId="1537"/>
    <cellStyle name="60% - Accent4 2 13" xfId="1538"/>
    <cellStyle name="60% - Accent4 2 14" xfId="1539"/>
    <cellStyle name="60% - Accent4 2 15" xfId="1540"/>
    <cellStyle name="60% - Accent4 2 16" xfId="5128"/>
    <cellStyle name="60% - Accent4 2 17" xfId="4852"/>
    <cellStyle name="60% - Accent4 2 2" xfId="1541"/>
    <cellStyle name="60% - Accent4 2 3" xfId="1542"/>
    <cellStyle name="60% - Accent4 2 4" xfId="1543"/>
    <cellStyle name="60% - Accent4 2 5" xfId="1544"/>
    <cellStyle name="60% - Accent4 2 6" xfId="1545"/>
    <cellStyle name="60% - Accent4 2 7" xfId="1546"/>
    <cellStyle name="60% - Accent4 2 8" xfId="1547"/>
    <cellStyle name="60% - Accent4 2 9" xfId="1548"/>
    <cellStyle name="60% - Accent4 20" xfId="1549"/>
    <cellStyle name="60% - Accent4 21" xfId="4687"/>
    <cellStyle name="60% - Accent4 3" xfId="1550"/>
    <cellStyle name="60% - Accent4 3 2" xfId="1551"/>
    <cellStyle name="60% - Accent4 3 3" xfId="1552"/>
    <cellStyle name="60% - Accent4 3 4" xfId="1553"/>
    <cellStyle name="60% - Accent4 3 5" xfId="1554"/>
    <cellStyle name="60% - Accent4 3 5 2" xfId="1555"/>
    <cellStyle name="60% - Accent4 3 6" xfId="1556"/>
    <cellStyle name="60% - Accent4 3 7" xfId="1557"/>
    <cellStyle name="60% - Accent4 3 8" xfId="1558"/>
    <cellStyle name="60% - Accent4 3 9" xfId="1559"/>
    <cellStyle name="60% - Accent4 4" xfId="1560"/>
    <cellStyle name="60% - Accent4 4 2" xfId="1561"/>
    <cellStyle name="60% - Accent4 5" xfId="1562"/>
    <cellStyle name="60% - Accent4 5 2" xfId="1563"/>
    <cellStyle name="60% - Accent4 6" xfId="1564"/>
    <cellStyle name="60% - Accent4 6 2" xfId="1565"/>
    <cellStyle name="60% - Accent4 7" xfId="1566"/>
    <cellStyle name="60% - Accent4 8" xfId="1567"/>
    <cellStyle name="60% - Accent4 9" xfId="1568"/>
    <cellStyle name="60% - Accent4 9 2" xfId="1569"/>
    <cellStyle name="60% - Accent4 9 2 2" xfId="1570"/>
    <cellStyle name="60% - Accent4 9 3" xfId="1571"/>
    <cellStyle name="60% - Accent4 9 4" xfId="1572"/>
    <cellStyle name="60% - Accent4 9 5" xfId="1573"/>
    <cellStyle name="60% - Accent5 10" xfId="1574"/>
    <cellStyle name="60% - Accent5 10 2" xfId="1575"/>
    <cellStyle name="60% - Accent5 10 3" xfId="1576"/>
    <cellStyle name="60% - Accent5 11" xfId="1577"/>
    <cellStyle name="60% - Accent5 11 2" xfId="1578"/>
    <cellStyle name="60% - Accent5 11 3" xfId="1579"/>
    <cellStyle name="60% - Accent5 12" xfId="1580"/>
    <cellStyle name="60% - Accent5 12 2" xfId="1581"/>
    <cellStyle name="60% - Accent5 12 3" xfId="1582"/>
    <cellStyle name="60% - Accent5 13" xfId="1583"/>
    <cellStyle name="60% - Accent5 13 2" xfId="1584"/>
    <cellStyle name="60% - Accent5 13 3" xfId="1585"/>
    <cellStyle name="60% - Accent5 14" xfId="1586"/>
    <cellStyle name="60% - Accent5 14 2" xfId="1587"/>
    <cellStyle name="60% - Accent5 14 3" xfId="1588"/>
    <cellStyle name="60% - Accent5 15" xfId="1589"/>
    <cellStyle name="60% - Accent5 15 2" xfId="1590"/>
    <cellStyle name="60% - Accent5 15 3" xfId="1591"/>
    <cellStyle name="60% - Accent5 16" xfId="1592"/>
    <cellStyle name="60% - Accent5 17" xfId="1593"/>
    <cellStyle name="60% - Accent5 18" xfId="1594"/>
    <cellStyle name="60% - Accent5 19" xfId="1595"/>
    <cellStyle name="60% - Accent5 2" xfId="1596"/>
    <cellStyle name="60% - Accent5 2 10" xfId="1597"/>
    <cellStyle name="60% - Accent5 2 11" xfId="1598"/>
    <cellStyle name="60% - Accent5 2 12" xfId="1599"/>
    <cellStyle name="60% - Accent5 2 13" xfId="1600"/>
    <cellStyle name="60% - Accent5 2 14" xfId="1601"/>
    <cellStyle name="60% - Accent5 2 15" xfId="1602"/>
    <cellStyle name="60% - Accent5 2 16" xfId="5129"/>
    <cellStyle name="60% - Accent5 2 17" xfId="4853"/>
    <cellStyle name="60% - Accent5 2 2" xfId="1603"/>
    <cellStyle name="60% - Accent5 2 3" xfId="1604"/>
    <cellStyle name="60% - Accent5 2 4" xfId="1605"/>
    <cellStyle name="60% - Accent5 2 5" xfId="1606"/>
    <cellStyle name="60% - Accent5 2 6" xfId="1607"/>
    <cellStyle name="60% - Accent5 2 7" xfId="1608"/>
    <cellStyle name="60% - Accent5 2 8" xfId="1609"/>
    <cellStyle name="60% - Accent5 2 9" xfId="1610"/>
    <cellStyle name="60% - Accent5 20" xfId="1611"/>
    <cellStyle name="60% - Accent5 21" xfId="4688"/>
    <cellStyle name="60% - Accent5 3" xfId="1612"/>
    <cellStyle name="60% - Accent5 3 2" xfId="1613"/>
    <cellStyle name="60% - Accent5 3 3" xfId="1614"/>
    <cellStyle name="60% - Accent5 3 4" xfId="1615"/>
    <cellStyle name="60% - Accent5 3 5" xfId="1616"/>
    <cellStyle name="60% - Accent5 3 5 2" xfId="1617"/>
    <cellStyle name="60% - Accent5 3 6" xfId="1618"/>
    <cellStyle name="60% - Accent5 3 7" xfId="1619"/>
    <cellStyle name="60% - Accent5 3 8" xfId="1620"/>
    <cellStyle name="60% - Accent5 3 9" xfId="1621"/>
    <cellStyle name="60% - Accent5 4" xfId="1622"/>
    <cellStyle name="60% - Accent5 4 2" xfId="1623"/>
    <cellStyle name="60% - Accent5 5" xfId="1624"/>
    <cellStyle name="60% - Accent5 5 2" xfId="1625"/>
    <cellStyle name="60% - Accent5 6" xfId="1626"/>
    <cellStyle name="60% - Accent5 6 2" xfId="1627"/>
    <cellStyle name="60% - Accent5 7" xfId="1628"/>
    <cellStyle name="60% - Accent5 8" xfId="1629"/>
    <cellStyle name="60% - Accent5 9" xfId="1630"/>
    <cellStyle name="60% - Accent5 9 2" xfId="1631"/>
    <cellStyle name="60% - Accent5 9 2 2" xfId="1632"/>
    <cellStyle name="60% - Accent5 9 3" xfId="1633"/>
    <cellStyle name="60% - Accent5 9 4" xfId="1634"/>
    <cellStyle name="60% - Accent5 9 5" xfId="1635"/>
    <cellStyle name="60% - Accent6 10" xfId="1636"/>
    <cellStyle name="60% - Accent6 10 2" xfId="1637"/>
    <cellStyle name="60% - Accent6 10 3" xfId="1638"/>
    <cellStyle name="60% - Accent6 11" xfId="1639"/>
    <cellStyle name="60% - Accent6 11 2" xfId="1640"/>
    <cellStyle name="60% - Accent6 11 3" xfId="1641"/>
    <cellStyle name="60% - Accent6 12" xfId="1642"/>
    <cellStyle name="60% - Accent6 12 2" xfId="1643"/>
    <cellStyle name="60% - Accent6 12 3" xfId="1644"/>
    <cellStyle name="60% - Accent6 13" xfId="1645"/>
    <cellStyle name="60% - Accent6 13 2" xfId="1646"/>
    <cellStyle name="60% - Accent6 13 3" xfId="1647"/>
    <cellStyle name="60% - Accent6 14" xfId="1648"/>
    <cellStyle name="60% - Accent6 14 2" xfId="1649"/>
    <cellStyle name="60% - Accent6 14 3" xfId="1650"/>
    <cellStyle name="60% - Accent6 15" xfId="1651"/>
    <cellStyle name="60% - Accent6 15 2" xfId="1652"/>
    <cellStyle name="60% - Accent6 15 3" xfId="1653"/>
    <cellStyle name="60% - Accent6 16" xfId="1654"/>
    <cellStyle name="60% - Accent6 17" xfId="1655"/>
    <cellStyle name="60% - Accent6 18" xfId="1656"/>
    <cellStyle name="60% - Accent6 19" xfId="1657"/>
    <cellStyle name="60% - Accent6 2" xfId="1658"/>
    <cellStyle name="60% - Accent6 2 10" xfId="1659"/>
    <cellStyle name="60% - Accent6 2 11" xfId="1660"/>
    <cellStyle name="60% - Accent6 2 12" xfId="1661"/>
    <cellStyle name="60% - Accent6 2 13" xfId="1662"/>
    <cellStyle name="60% - Accent6 2 14" xfId="1663"/>
    <cellStyle name="60% - Accent6 2 15" xfId="1664"/>
    <cellStyle name="60% - Accent6 2 16" xfId="5130"/>
    <cellStyle name="60% - Accent6 2 17" xfId="4854"/>
    <cellStyle name="60% - Accent6 2 2" xfId="1665"/>
    <cellStyle name="60% - Accent6 2 3" xfId="1666"/>
    <cellStyle name="60% - Accent6 2 4" xfId="1667"/>
    <cellStyle name="60% - Accent6 2 5" xfId="1668"/>
    <cellStyle name="60% - Accent6 2 6" xfId="1669"/>
    <cellStyle name="60% - Accent6 2 7" xfId="1670"/>
    <cellStyle name="60% - Accent6 2 8" xfId="1671"/>
    <cellStyle name="60% - Accent6 2 9" xfId="1672"/>
    <cellStyle name="60% - Accent6 20" xfId="1673"/>
    <cellStyle name="60% - Accent6 21" xfId="4689"/>
    <cellStyle name="60% - Accent6 3" xfId="1674"/>
    <cellStyle name="60% - Accent6 3 2" xfId="1675"/>
    <cellStyle name="60% - Accent6 3 3" xfId="1676"/>
    <cellStyle name="60% - Accent6 3 4" xfId="1677"/>
    <cellStyle name="60% - Accent6 3 5" xfId="1678"/>
    <cellStyle name="60% - Accent6 3 5 2" xfId="1679"/>
    <cellStyle name="60% - Accent6 3 6" xfId="1680"/>
    <cellStyle name="60% - Accent6 3 7" xfId="1681"/>
    <cellStyle name="60% - Accent6 3 8" xfId="1682"/>
    <cellStyle name="60% - Accent6 3 9" xfId="1683"/>
    <cellStyle name="60% - Accent6 4" xfId="1684"/>
    <cellStyle name="60% - Accent6 4 2" xfId="1685"/>
    <cellStyle name="60% - Accent6 5" xfId="1686"/>
    <cellStyle name="60% - Accent6 5 2" xfId="1687"/>
    <cellStyle name="60% - Accent6 6" xfId="1688"/>
    <cellStyle name="60% - Accent6 6 2" xfId="1689"/>
    <cellStyle name="60% - Accent6 7" xfId="1690"/>
    <cellStyle name="60% - Accent6 8" xfId="1691"/>
    <cellStyle name="60% - Accent6 9" xfId="1692"/>
    <cellStyle name="60% - Accent6 9 2" xfId="1693"/>
    <cellStyle name="60% - Accent6 9 2 2" xfId="1694"/>
    <cellStyle name="60% - Accent6 9 3" xfId="1695"/>
    <cellStyle name="60% - Accent6 9 4" xfId="1696"/>
    <cellStyle name="60% - Accent6 9 5" xfId="1697"/>
    <cellStyle name="60% - 强调文字颜色 1" xfId="1698"/>
    <cellStyle name="60% - 强调文字颜色 2" xfId="1699"/>
    <cellStyle name="60% - 强调文字颜色 3" xfId="1700"/>
    <cellStyle name="60% - 强调文字颜色 4" xfId="1701"/>
    <cellStyle name="60% - 强调文字颜色 5" xfId="1702"/>
    <cellStyle name="60% - 强调文字颜色 6" xfId="1703"/>
    <cellStyle name="60% - 輔色1" xfId="1704"/>
    <cellStyle name="60% - 輔色2" xfId="1705"/>
    <cellStyle name="60% - 輔色3" xfId="1706"/>
    <cellStyle name="60% - 輔色4" xfId="1707"/>
    <cellStyle name="60% - 輔色5" xfId="1708"/>
    <cellStyle name="60% - 輔色6" xfId="1709"/>
    <cellStyle name="752131" xfId="4487"/>
    <cellStyle name="752131 2" xfId="4911"/>
    <cellStyle name="A¨­￠￢￠O [0]_¨oCAuCoEⓒ÷ " xfId="4488"/>
    <cellStyle name="A¨­￠￢￠O_¨oCAuCoEⓒ÷ " xfId="4489"/>
    <cellStyle name="Accent1 10" xfId="1710"/>
    <cellStyle name="Accent1 10 2" xfId="1711"/>
    <cellStyle name="Accent1 10 3" xfId="1712"/>
    <cellStyle name="Accent1 11" xfId="1713"/>
    <cellStyle name="Accent1 11 2" xfId="1714"/>
    <cellStyle name="Accent1 11 3" xfId="1715"/>
    <cellStyle name="Accent1 12" xfId="1716"/>
    <cellStyle name="Accent1 12 2" xfId="1717"/>
    <cellStyle name="Accent1 12 3" xfId="1718"/>
    <cellStyle name="Accent1 13" xfId="1719"/>
    <cellStyle name="Accent1 13 2" xfId="1720"/>
    <cellStyle name="Accent1 13 3" xfId="1721"/>
    <cellStyle name="Accent1 14" xfId="1722"/>
    <cellStyle name="Accent1 14 2" xfId="1723"/>
    <cellStyle name="Accent1 14 3" xfId="1724"/>
    <cellStyle name="Accent1 15" xfId="1725"/>
    <cellStyle name="Accent1 15 2" xfId="1726"/>
    <cellStyle name="Accent1 15 3" xfId="1727"/>
    <cellStyle name="Accent1 16" xfId="1728"/>
    <cellStyle name="Accent1 17" xfId="1729"/>
    <cellStyle name="Accent1 18" xfId="1730"/>
    <cellStyle name="Accent1 19" xfId="1731"/>
    <cellStyle name="Accent1 2" xfId="1732"/>
    <cellStyle name="Accent1 2 10" xfId="1733"/>
    <cellStyle name="Accent1 2 11" xfId="1734"/>
    <cellStyle name="Accent1 2 12" xfId="1735"/>
    <cellStyle name="Accent1 2 13" xfId="1736"/>
    <cellStyle name="Accent1 2 14" xfId="1737"/>
    <cellStyle name="Accent1 2 15" xfId="1738"/>
    <cellStyle name="Accent1 2 16" xfId="5131"/>
    <cellStyle name="Accent1 2 17" xfId="4855"/>
    <cellStyle name="Accent1 2 2" xfId="1739"/>
    <cellStyle name="Accent1 2 3" xfId="1740"/>
    <cellStyle name="Accent1 2 4" xfId="1741"/>
    <cellStyle name="Accent1 2 5" xfId="1742"/>
    <cellStyle name="Accent1 2 6" xfId="1743"/>
    <cellStyle name="Accent1 2 7" xfId="1744"/>
    <cellStyle name="Accent1 2 8" xfId="1745"/>
    <cellStyle name="Accent1 2 9" xfId="1746"/>
    <cellStyle name="Accent1 20" xfId="1747"/>
    <cellStyle name="Accent1 21" xfId="4690"/>
    <cellStyle name="Accent1 3" xfId="1748"/>
    <cellStyle name="Accent1 3 2" xfId="1749"/>
    <cellStyle name="Accent1 3 3" xfId="1750"/>
    <cellStyle name="Accent1 3 4" xfId="1751"/>
    <cellStyle name="Accent1 3 5" xfId="1752"/>
    <cellStyle name="Accent1 3 5 2" xfId="1753"/>
    <cellStyle name="Accent1 3 6" xfId="1754"/>
    <cellStyle name="Accent1 3 7" xfId="1755"/>
    <cellStyle name="Accent1 3 8" xfId="1756"/>
    <cellStyle name="Accent1 3 9" xfId="1757"/>
    <cellStyle name="Accent1 4" xfId="1758"/>
    <cellStyle name="Accent1 4 2" xfId="1759"/>
    <cellStyle name="Accent1 5" xfId="1760"/>
    <cellStyle name="Accent1 5 2" xfId="1761"/>
    <cellStyle name="Accent1 6" xfId="1762"/>
    <cellStyle name="Accent1 6 2" xfId="1763"/>
    <cellStyle name="Accent1 7" xfId="1764"/>
    <cellStyle name="Accent1 8" xfId="1765"/>
    <cellStyle name="Accent1 9" xfId="1766"/>
    <cellStyle name="Accent1 9 2" xfId="1767"/>
    <cellStyle name="Accent1 9 2 2" xfId="1768"/>
    <cellStyle name="Accent1 9 3" xfId="1769"/>
    <cellStyle name="Accent1 9 4" xfId="1770"/>
    <cellStyle name="Accent1 9 5" xfId="1771"/>
    <cellStyle name="Accent2 10" xfId="1772"/>
    <cellStyle name="Accent2 10 2" xfId="1773"/>
    <cellStyle name="Accent2 10 3" xfId="1774"/>
    <cellStyle name="Accent2 11" xfId="1775"/>
    <cellStyle name="Accent2 11 2" xfId="1776"/>
    <cellStyle name="Accent2 11 3" xfId="1777"/>
    <cellStyle name="Accent2 12" xfId="1778"/>
    <cellStyle name="Accent2 12 2" xfId="1779"/>
    <cellStyle name="Accent2 12 3" xfId="1780"/>
    <cellStyle name="Accent2 13" xfId="1781"/>
    <cellStyle name="Accent2 13 2" xfId="1782"/>
    <cellStyle name="Accent2 13 3" xfId="1783"/>
    <cellStyle name="Accent2 14" xfId="1784"/>
    <cellStyle name="Accent2 14 2" xfId="1785"/>
    <cellStyle name="Accent2 14 3" xfId="1786"/>
    <cellStyle name="Accent2 15" xfId="1787"/>
    <cellStyle name="Accent2 15 2" xfId="1788"/>
    <cellStyle name="Accent2 15 3" xfId="1789"/>
    <cellStyle name="Accent2 16" xfId="1790"/>
    <cellStyle name="Accent2 17" xfId="1791"/>
    <cellStyle name="Accent2 18" xfId="1792"/>
    <cellStyle name="Accent2 19" xfId="1793"/>
    <cellStyle name="Accent2 2" xfId="1794"/>
    <cellStyle name="Accent2 2 10" xfId="1795"/>
    <cellStyle name="Accent2 2 11" xfId="1796"/>
    <cellStyle name="Accent2 2 12" xfId="1797"/>
    <cellStyle name="Accent2 2 13" xfId="1798"/>
    <cellStyle name="Accent2 2 14" xfId="1799"/>
    <cellStyle name="Accent2 2 15" xfId="1800"/>
    <cellStyle name="Accent2 2 16" xfId="5132"/>
    <cellStyle name="Accent2 2 17" xfId="4856"/>
    <cellStyle name="Accent2 2 2" xfId="1801"/>
    <cellStyle name="Accent2 2 3" xfId="1802"/>
    <cellStyle name="Accent2 2 4" xfId="1803"/>
    <cellStyle name="Accent2 2 5" xfId="1804"/>
    <cellStyle name="Accent2 2 6" xfId="1805"/>
    <cellStyle name="Accent2 2 7" xfId="1806"/>
    <cellStyle name="Accent2 2 8" xfId="1807"/>
    <cellStyle name="Accent2 2 9" xfId="1808"/>
    <cellStyle name="Accent2 20" xfId="1809"/>
    <cellStyle name="Accent2 21" xfId="4691"/>
    <cellStyle name="Accent2 3" xfId="1810"/>
    <cellStyle name="Accent2 3 2" xfId="1811"/>
    <cellStyle name="Accent2 3 3" xfId="1812"/>
    <cellStyle name="Accent2 3 4" xfId="1813"/>
    <cellStyle name="Accent2 3 5" xfId="1814"/>
    <cellStyle name="Accent2 3 5 2" xfId="1815"/>
    <cellStyle name="Accent2 3 6" xfId="1816"/>
    <cellStyle name="Accent2 3 7" xfId="1817"/>
    <cellStyle name="Accent2 3 8" xfId="1818"/>
    <cellStyle name="Accent2 3 9" xfId="1819"/>
    <cellStyle name="Accent2 4" xfId="1820"/>
    <cellStyle name="Accent2 4 2" xfId="1821"/>
    <cellStyle name="Accent2 5" xfId="1822"/>
    <cellStyle name="Accent2 5 2" xfId="1823"/>
    <cellStyle name="Accent2 6" xfId="1824"/>
    <cellStyle name="Accent2 6 2" xfId="1825"/>
    <cellStyle name="Accent2 7" xfId="1826"/>
    <cellStyle name="Accent2 8" xfId="1827"/>
    <cellStyle name="Accent2 9" xfId="1828"/>
    <cellStyle name="Accent2 9 2" xfId="1829"/>
    <cellStyle name="Accent2 9 2 2" xfId="1830"/>
    <cellStyle name="Accent2 9 3" xfId="1831"/>
    <cellStyle name="Accent2 9 4" xfId="1832"/>
    <cellStyle name="Accent2 9 5" xfId="1833"/>
    <cellStyle name="Accent3 10" xfId="1834"/>
    <cellStyle name="Accent3 10 2" xfId="1835"/>
    <cellStyle name="Accent3 10 3" xfId="1836"/>
    <cellStyle name="Accent3 11" xfId="1837"/>
    <cellStyle name="Accent3 11 2" xfId="1838"/>
    <cellStyle name="Accent3 11 3" xfId="1839"/>
    <cellStyle name="Accent3 12" xfId="1840"/>
    <cellStyle name="Accent3 12 2" xfId="1841"/>
    <cellStyle name="Accent3 12 3" xfId="1842"/>
    <cellStyle name="Accent3 13" xfId="1843"/>
    <cellStyle name="Accent3 13 2" xfId="1844"/>
    <cellStyle name="Accent3 13 3" xfId="1845"/>
    <cellStyle name="Accent3 14" xfId="1846"/>
    <cellStyle name="Accent3 14 2" xfId="1847"/>
    <cellStyle name="Accent3 14 3" xfId="1848"/>
    <cellStyle name="Accent3 15" xfId="1849"/>
    <cellStyle name="Accent3 15 2" xfId="1850"/>
    <cellStyle name="Accent3 15 3" xfId="1851"/>
    <cellStyle name="Accent3 16" xfId="1852"/>
    <cellStyle name="Accent3 17" xfId="1853"/>
    <cellStyle name="Accent3 18" xfId="1854"/>
    <cellStyle name="Accent3 19" xfId="1855"/>
    <cellStyle name="Accent3 2" xfId="1856"/>
    <cellStyle name="Accent3 2 10" xfId="1857"/>
    <cellStyle name="Accent3 2 11" xfId="1858"/>
    <cellStyle name="Accent3 2 12" xfId="1859"/>
    <cellStyle name="Accent3 2 13" xfId="1860"/>
    <cellStyle name="Accent3 2 14" xfId="1861"/>
    <cellStyle name="Accent3 2 15" xfId="1862"/>
    <cellStyle name="Accent3 2 16" xfId="5133"/>
    <cellStyle name="Accent3 2 17" xfId="4857"/>
    <cellStyle name="Accent3 2 2" xfId="1863"/>
    <cellStyle name="Accent3 2 3" xfId="1864"/>
    <cellStyle name="Accent3 2 4" xfId="1865"/>
    <cellStyle name="Accent3 2 5" xfId="1866"/>
    <cellStyle name="Accent3 2 6" xfId="1867"/>
    <cellStyle name="Accent3 2 7" xfId="1868"/>
    <cellStyle name="Accent3 2 8" xfId="1869"/>
    <cellStyle name="Accent3 2 9" xfId="1870"/>
    <cellStyle name="Accent3 20" xfId="1871"/>
    <cellStyle name="Accent3 21" xfId="4692"/>
    <cellStyle name="Accent3 3" xfId="1872"/>
    <cellStyle name="Accent3 3 2" xfId="1873"/>
    <cellStyle name="Accent3 3 3" xfId="1874"/>
    <cellStyle name="Accent3 3 4" xfId="1875"/>
    <cellStyle name="Accent3 3 5" xfId="1876"/>
    <cellStyle name="Accent3 3 5 2" xfId="1877"/>
    <cellStyle name="Accent3 3 6" xfId="1878"/>
    <cellStyle name="Accent3 3 7" xfId="1879"/>
    <cellStyle name="Accent3 3 8" xfId="1880"/>
    <cellStyle name="Accent3 3 9" xfId="1881"/>
    <cellStyle name="Accent3 4" xfId="1882"/>
    <cellStyle name="Accent3 4 2" xfId="1883"/>
    <cellStyle name="Accent3 5" xfId="1884"/>
    <cellStyle name="Accent3 5 2" xfId="1885"/>
    <cellStyle name="Accent3 6" xfId="1886"/>
    <cellStyle name="Accent3 6 2" xfId="1887"/>
    <cellStyle name="Accent3 7" xfId="1888"/>
    <cellStyle name="Accent3 8" xfId="1889"/>
    <cellStyle name="Accent3 9" xfId="1890"/>
    <cellStyle name="Accent3 9 2" xfId="1891"/>
    <cellStyle name="Accent3 9 2 2" xfId="1892"/>
    <cellStyle name="Accent3 9 3" xfId="1893"/>
    <cellStyle name="Accent3 9 4" xfId="1894"/>
    <cellStyle name="Accent3 9 5" xfId="1895"/>
    <cellStyle name="Accent4 10" xfId="1896"/>
    <cellStyle name="Accent4 10 2" xfId="1897"/>
    <cellStyle name="Accent4 10 3" xfId="1898"/>
    <cellStyle name="Accent4 11" xfId="1899"/>
    <cellStyle name="Accent4 11 2" xfId="1900"/>
    <cellStyle name="Accent4 11 3" xfId="1901"/>
    <cellStyle name="Accent4 12" xfId="1902"/>
    <cellStyle name="Accent4 12 2" xfId="1903"/>
    <cellStyle name="Accent4 12 3" xfId="1904"/>
    <cellStyle name="Accent4 13" xfId="1905"/>
    <cellStyle name="Accent4 13 2" xfId="1906"/>
    <cellStyle name="Accent4 13 3" xfId="1907"/>
    <cellStyle name="Accent4 14" xfId="1908"/>
    <cellStyle name="Accent4 14 2" xfId="1909"/>
    <cellStyle name="Accent4 14 3" xfId="1910"/>
    <cellStyle name="Accent4 15" xfId="1911"/>
    <cellStyle name="Accent4 15 2" xfId="1912"/>
    <cellStyle name="Accent4 15 3" xfId="1913"/>
    <cellStyle name="Accent4 16" xfId="1914"/>
    <cellStyle name="Accent4 17" xfId="1915"/>
    <cellStyle name="Accent4 18" xfId="1916"/>
    <cellStyle name="Accent4 19" xfId="1917"/>
    <cellStyle name="Accent4 2" xfId="1918"/>
    <cellStyle name="Accent4 2 10" xfId="1919"/>
    <cellStyle name="Accent4 2 11" xfId="1920"/>
    <cellStyle name="Accent4 2 12" xfId="1921"/>
    <cellStyle name="Accent4 2 13" xfId="1922"/>
    <cellStyle name="Accent4 2 14" xfId="1923"/>
    <cellStyle name="Accent4 2 15" xfId="1924"/>
    <cellStyle name="Accent4 2 16" xfId="5134"/>
    <cellStyle name="Accent4 2 17" xfId="4858"/>
    <cellStyle name="Accent4 2 2" xfId="1925"/>
    <cellStyle name="Accent4 2 3" xfId="1926"/>
    <cellStyle name="Accent4 2 4" xfId="1927"/>
    <cellStyle name="Accent4 2 5" xfId="1928"/>
    <cellStyle name="Accent4 2 6" xfId="1929"/>
    <cellStyle name="Accent4 2 7" xfId="1930"/>
    <cellStyle name="Accent4 2 8" xfId="1931"/>
    <cellStyle name="Accent4 2 9" xfId="1932"/>
    <cellStyle name="Accent4 20" xfId="1933"/>
    <cellStyle name="Accent4 21" xfId="4693"/>
    <cellStyle name="Accent4 3" xfId="1934"/>
    <cellStyle name="Accent4 3 2" xfId="1935"/>
    <cellStyle name="Accent4 3 3" xfId="1936"/>
    <cellStyle name="Accent4 3 4" xfId="1937"/>
    <cellStyle name="Accent4 3 5" xfId="1938"/>
    <cellStyle name="Accent4 3 5 2" xfId="1939"/>
    <cellStyle name="Accent4 3 6" xfId="1940"/>
    <cellStyle name="Accent4 3 7" xfId="1941"/>
    <cellStyle name="Accent4 3 8" xfId="1942"/>
    <cellStyle name="Accent4 3 9" xfId="1943"/>
    <cellStyle name="Accent4 4" xfId="1944"/>
    <cellStyle name="Accent4 4 2" xfId="1945"/>
    <cellStyle name="Accent4 5" xfId="1946"/>
    <cellStyle name="Accent4 5 2" xfId="1947"/>
    <cellStyle name="Accent4 6" xfId="1948"/>
    <cellStyle name="Accent4 6 2" xfId="1949"/>
    <cellStyle name="Accent4 7" xfId="1950"/>
    <cellStyle name="Accent4 8" xfId="1951"/>
    <cellStyle name="Accent4 9" xfId="1952"/>
    <cellStyle name="Accent4 9 2" xfId="1953"/>
    <cellStyle name="Accent4 9 2 2" xfId="1954"/>
    <cellStyle name="Accent4 9 3" xfId="1955"/>
    <cellStyle name="Accent4 9 4" xfId="1956"/>
    <cellStyle name="Accent4 9 5" xfId="1957"/>
    <cellStyle name="Accent5 10" xfId="1958"/>
    <cellStyle name="Accent5 10 2" xfId="1959"/>
    <cellStyle name="Accent5 10 3" xfId="1960"/>
    <cellStyle name="Accent5 11" xfId="1961"/>
    <cellStyle name="Accent5 11 2" xfId="1962"/>
    <cellStyle name="Accent5 11 3" xfId="1963"/>
    <cellStyle name="Accent5 12" xfId="1964"/>
    <cellStyle name="Accent5 12 2" xfId="1965"/>
    <cellStyle name="Accent5 12 3" xfId="1966"/>
    <cellStyle name="Accent5 13" xfId="1967"/>
    <cellStyle name="Accent5 13 2" xfId="1968"/>
    <cellStyle name="Accent5 13 3" xfId="1969"/>
    <cellStyle name="Accent5 14" xfId="1970"/>
    <cellStyle name="Accent5 14 2" xfId="1971"/>
    <cellStyle name="Accent5 14 3" xfId="1972"/>
    <cellStyle name="Accent5 15" xfId="1973"/>
    <cellStyle name="Accent5 15 2" xfId="1974"/>
    <cellStyle name="Accent5 15 3" xfId="1975"/>
    <cellStyle name="Accent5 16" xfId="1976"/>
    <cellStyle name="Accent5 17" xfId="1977"/>
    <cellStyle name="Accent5 18" xfId="1978"/>
    <cellStyle name="Accent5 19" xfId="1979"/>
    <cellStyle name="Accent5 2" xfId="1980"/>
    <cellStyle name="Accent5 2 10" xfId="1981"/>
    <cellStyle name="Accent5 2 11" xfId="1982"/>
    <cellStyle name="Accent5 2 12" xfId="1983"/>
    <cellStyle name="Accent5 2 13" xfId="1984"/>
    <cellStyle name="Accent5 2 14" xfId="1985"/>
    <cellStyle name="Accent5 2 15" xfId="1986"/>
    <cellStyle name="Accent5 2 16" xfId="5135"/>
    <cellStyle name="Accent5 2 17" xfId="4859"/>
    <cellStyle name="Accent5 2 2" xfId="1987"/>
    <cellStyle name="Accent5 2 3" xfId="1988"/>
    <cellStyle name="Accent5 2 4" xfId="1989"/>
    <cellStyle name="Accent5 2 5" xfId="1990"/>
    <cellStyle name="Accent5 2 6" xfId="1991"/>
    <cellStyle name="Accent5 2 7" xfId="1992"/>
    <cellStyle name="Accent5 2 8" xfId="1993"/>
    <cellStyle name="Accent5 2 9" xfId="1994"/>
    <cellStyle name="Accent5 20" xfId="1995"/>
    <cellStyle name="Accent5 21" xfId="4694"/>
    <cellStyle name="Accent5 3" xfId="1996"/>
    <cellStyle name="Accent5 3 2" xfId="1997"/>
    <cellStyle name="Accent5 3 3" xfId="1998"/>
    <cellStyle name="Accent5 3 4" xfId="1999"/>
    <cellStyle name="Accent5 3 5" xfId="2000"/>
    <cellStyle name="Accent5 3 6" xfId="2001"/>
    <cellStyle name="Accent5 3 7" xfId="2002"/>
    <cellStyle name="Accent5 3 8" xfId="2003"/>
    <cellStyle name="Accent5 4" xfId="2004"/>
    <cellStyle name="Accent5 4 2" xfId="2005"/>
    <cellStyle name="Accent5 5" xfId="2006"/>
    <cellStyle name="Accent5 5 2" xfId="2007"/>
    <cellStyle name="Accent5 6" xfId="2008"/>
    <cellStyle name="Accent5 6 2" xfId="2009"/>
    <cellStyle name="Accent5 7" xfId="2010"/>
    <cellStyle name="Accent5 8" xfId="2011"/>
    <cellStyle name="Accent5 9" xfId="2012"/>
    <cellStyle name="Accent5 9 2" xfId="2013"/>
    <cellStyle name="Accent5 9 3" xfId="2014"/>
    <cellStyle name="Accent5 9 4" xfId="2015"/>
    <cellStyle name="Accent6 10" xfId="2016"/>
    <cellStyle name="Accent6 10 2" xfId="2017"/>
    <cellStyle name="Accent6 10 3" xfId="2018"/>
    <cellStyle name="Accent6 11" xfId="2019"/>
    <cellStyle name="Accent6 11 2" xfId="2020"/>
    <cellStyle name="Accent6 11 3" xfId="2021"/>
    <cellStyle name="Accent6 12" xfId="2022"/>
    <cellStyle name="Accent6 12 2" xfId="2023"/>
    <cellStyle name="Accent6 12 3" xfId="2024"/>
    <cellStyle name="Accent6 13" xfId="2025"/>
    <cellStyle name="Accent6 13 2" xfId="2026"/>
    <cellStyle name="Accent6 13 3" xfId="2027"/>
    <cellStyle name="Accent6 14" xfId="2028"/>
    <cellStyle name="Accent6 14 2" xfId="2029"/>
    <cellStyle name="Accent6 14 3" xfId="2030"/>
    <cellStyle name="Accent6 15" xfId="2031"/>
    <cellStyle name="Accent6 15 2" xfId="2032"/>
    <cellStyle name="Accent6 15 3" xfId="2033"/>
    <cellStyle name="Accent6 16" xfId="2034"/>
    <cellStyle name="Accent6 17" xfId="2035"/>
    <cellStyle name="Accent6 18" xfId="2036"/>
    <cellStyle name="Accent6 19" xfId="2037"/>
    <cellStyle name="Accent6 2" xfId="2038"/>
    <cellStyle name="Accent6 2 10" xfId="2039"/>
    <cellStyle name="Accent6 2 11" xfId="2040"/>
    <cellStyle name="Accent6 2 12" xfId="2041"/>
    <cellStyle name="Accent6 2 13" xfId="2042"/>
    <cellStyle name="Accent6 2 14" xfId="2043"/>
    <cellStyle name="Accent6 2 15" xfId="2044"/>
    <cellStyle name="Accent6 2 16" xfId="5136"/>
    <cellStyle name="Accent6 2 17" xfId="4860"/>
    <cellStyle name="Accent6 2 2" xfId="2045"/>
    <cellStyle name="Accent6 2 3" xfId="2046"/>
    <cellStyle name="Accent6 2 4" xfId="2047"/>
    <cellStyle name="Accent6 2 5" xfId="2048"/>
    <cellStyle name="Accent6 2 6" xfId="2049"/>
    <cellStyle name="Accent6 2 7" xfId="2050"/>
    <cellStyle name="Accent6 2 8" xfId="2051"/>
    <cellStyle name="Accent6 2 9" xfId="2052"/>
    <cellStyle name="Accent6 20" xfId="2053"/>
    <cellStyle name="Accent6 21" xfId="4695"/>
    <cellStyle name="Accent6 3" xfId="2054"/>
    <cellStyle name="Accent6 3 2" xfId="2055"/>
    <cellStyle name="Accent6 3 3" xfId="2056"/>
    <cellStyle name="Accent6 3 4" xfId="2057"/>
    <cellStyle name="Accent6 3 5" xfId="2058"/>
    <cellStyle name="Accent6 3 5 2" xfId="2059"/>
    <cellStyle name="Accent6 3 6" xfId="2060"/>
    <cellStyle name="Accent6 3 7" xfId="2061"/>
    <cellStyle name="Accent6 3 8" xfId="2062"/>
    <cellStyle name="Accent6 3 9" xfId="2063"/>
    <cellStyle name="Accent6 4" xfId="2064"/>
    <cellStyle name="Accent6 4 2" xfId="2065"/>
    <cellStyle name="Accent6 5" xfId="2066"/>
    <cellStyle name="Accent6 5 2" xfId="2067"/>
    <cellStyle name="Accent6 6" xfId="2068"/>
    <cellStyle name="Accent6 6 2" xfId="2069"/>
    <cellStyle name="Accent6 7" xfId="2070"/>
    <cellStyle name="Accent6 8" xfId="2071"/>
    <cellStyle name="Accent6 9" xfId="2072"/>
    <cellStyle name="Accent6 9 2" xfId="2073"/>
    <cellStyle name="Accent6 9 2 2" xfId="2074"/>
    <cellStyle name="Accent6 9 3" xfId="2075"/>
    <cellStyle name="Accent6 9 4" xfId="2076"/>
    <cellStyle name="Accent6 9 5" xfId="2077"/>
    <cellStyle name="Accounting" xfId="2078"/>
    <cellStyle name="Acctg" xfId="4490"/>
    <cellStyle name="Actual Date" xfId="2079"/>
    <cellStyle name="AeE­ [0]_¼oAa½CAu " xfId="4491"/>
    <cellStyle name="ÅëÈ­ [0]_cover " xfId="4492"/>
    <cellStyle name="AeE­ [0]_INQUIRY ¿μ¾÷AßAø " xfId="4493"/>
    <cellStyle name="AeE­_¼oAa½CAu " xfId="4494"/>
    <cellStyle name="ÅëÈ­_cover " xfId="4495"/>
    <cellStyle name="AeE­_INQUIRY ¿μ¾÷AßAø " xfId="4496"/>
    <cellStyle name="AeE¡ⓒ [0]_¨oCAuCoEⓒ÷ " xfId="4497"/>
    <cellStyle name="AeE¡ⓒ_¨oCAuCoEⓒ÷ " xfId="4498"/>
    <cellStyle name="AFE" xfId="4861"/>
    <cellStyle name="ales" xfId="4499"/>
    <cellStyle name="amount" xfId="2080"/>
    <cellStyle name="amount 10" xfId="2081"/>
    <cellStyle name="amount 11" xfId="2082"/>
    <cellStyle name="amount 12" xfId="2083"/>
    <cellStyle name="amount 2" xfId="2084"/>
    <cellStyle name="amount 3" xfId="2085"/>
    <cellStyle name="amount 4" xfId="2086"/>
    <cellStyle name="amount 5" xfId="2087"/>
    <cellStyle name="amount 6" xfId="2088"/>
    <cellStyle name="amount 7" xfId="2089"/>
    <cellStyle name="amount 8" xfId="2090"/>
    <cellStyle name="amount 9" xfId="2091"/>
    <cellStyle name="args.style" xfId="2092"/>
    <cellStyle name="args.style 2" xfId="2093"/>
    <cellStyle name="Arial 10" xfId="2094"/>
    <cellStyle name="Arial 12" xfId="2095"/>
    <cellStyle name="AÞ¸¶ [0]_¼oAa½CAu " xfId="4500"/>
    <cellStyle name="ÄÞ¸¶ [0]_cover " xfId="4501"/>
    <cellStyle name="AÞ¸¶ [0]_INQUIRY ¿μ¾÷AßAø " xfId="4502"/>
    <cellStyle name="AÞ¸¶_¼oAa½CAu " xfId="4503"/>
    <cellStyle name="ÄÞ¸¶_cover " xfId="4504"/>
    <cellStyle name="AÞ¸¶_INQUIRY ¿μ¾÷AßAø " xfId="4505"/>
    <cellStyle name="AxeHor" xfId="2096"/>
    <cellStyle name="azert - Style1" xfId="2097"/>
    <cellStyle name="Bad 10" xfId="2098"/>
    <cellStyle name="Bad 10 2" xfId="2099"/>
    <cellStyle name="Bad 10 3" xfId="2100"/>
    <cellStyle name="Bad 11" xfId="2101"/>
    <cellStyle name="Bad 11 2" xfId="2102"/>
    <cellStyle name="Bad 11 3" xfId="2103"/>
    <cellStyle name="Bad 12" xfId="2104"/>
    <cellStyle name="Bad 12 2" xfId="2105"/>
    <cellStyle name="Bad 12 3" xfId="2106"/>
    <cellStyle name="Bad 13" xfId="2107"/>
    <cellStyle name="Bad 13 2" xfId="2108"/>
    <cellStyle name="Bad 13 3" xfId="2109"/>
    <cellStyle name="Bad 14" xfId="2110"/>
    <cellStyle name="Bad 14 2" xfId="2111"/>
    <cellStyle name="Bad 14 3" xfId="2112"/>
    <cellStyle name="Bad 15" xfId="2113"/>
    <cellStyle name="Bad 15 2" xfId="2114"/>
    <cellStyle name="Bad 15 3" xfId="2115"/>
    <cellStyle name="Bad 16" xfId="2116"/>
    <cellStyle name="Bad 17" xfId="2117"/>
    <cellStyle name="Bad 18" xfId="2118"/>
    <cellStyle name="Bad 19" xfId="2119"/>
    <cellStyle name="Bad 2" xfId="2120"/>
    <cellStyle name="Bad 2 10" xfId="2121"/>
    <cellStyle name="Bad 2 11" xfId="2122"/>
    <cellStyle name="Bad 2 12" xfId="2123"/>
    <cellStyle name="Bad 2 13" xfId="2124"/>
    <cellStyle name="Bad 2 14" xfId="2125"/>
    <cellStyle name="Bad 2 15" xfId="2126"/>
    <cellStyle name="Bad 2 16" xfId="5137"/>
    <cellStyle name="Bad 2 17" xfId="4862"/>
    <cellStyle name="Bad 2 2" xfId="2127"/>
    <cellStyle name="Bad 2 3" xfId="2128"/>
    <cellStyle name="Bad 2 4" xfId="2129"/>
    <cellStyle name="Bad 2 5" xfId="2130"/>
    <cellStyle name="Bad 2 6" xfId="2131"/>
    <cellStyle name="Bad 2 7" xfId="2132"/>
    <cellStyle name="Bad 2 8" xfId="2133"/>
    <cellStyle name="Bad 2 9" xfId="2134"/>
    <cellStyle name="Bad 20" xfId="2135"/>
    <cellStyle name="Bad 21" xfId="4696"/>
    <cellStyle name="Bad 3" xfId="2136"/>
    <cellStyle name="Bad 3 2" xfId="2137"/>
    <cellStyle name="Bad 3 3" xfId="2138"/>
    <cellStyle name="Bad 3 4" xfId="2139"/>
    <cellStyle name="Bad 3 5" xfId="2140"/>
    <cellStyle name="Bad 3 5 2" xfId="2141"/>
    <cellStyle name="Bad 3 6" xfId="2142"/>
    <cellStyle name="Bad 3 7" xfId="2143"/>
    <cellStyle name="Bad 3 8" xfId="2144"/>
    <cellStyle name="Bad 3 9" xfId="2145"/>
    <cellStyle name="Bad 4" xfId="2146"/>
    <cellStyle name="Bad 4 2" xfId="2147"/>
    <cellStyle name="Bad 5" xfId="2148"/>
    <cellStyle name="Bad 5 2" xfId="2149"/>
    <cellStyle name="Bad 6" xfId="2150"/>
    <cellStyle name="Bad 6 2" xfId="2151"/>
    <cellStyle name="Bad 7" xfId="2152"/>
    <cellStyle name="Bad 8" xfId="2153"/>
    <cellStyle name="Bad 9" xfId="2154"/>
    <cellStyle name="Bad 9 2" xfId="2155"/>
    <cellStyle name="Bad 9 2 2" xfId="2156"/>
    <cellStyle name="Bad 9 3" xfId="2157"/>
    <cellStyle name="Bad 9 4" xfId="2158"/>
    <cellStyle name="Bad 9 5" xfId="2159"/>
    <cellStyle name="Balance Sheet" xfId="4912"/>
    <cellStyle name="BalanceSheet" xfId="4913"/>
    <cellStyle name="Band 2" xfId="4506"/>
    <cellStyle name="Band 2 2" xfId="5307"/>
    <cellStyle name="Band 2 2 2" xfId="5356"/>
    <cellStyle name="Band 2 2 2 2" xfId="5829"/>
    <cellStyle name="bartitre" xfId="2160"/>
    <cellStyle name="bartotal" xfId="2161"/>
    <cellStyle name="Big head" xfId="2162"/>
    <cellStyle name="big-font" xfId="4914"/>
    <cellStyle name="Blue" xfId="4507"/>
    <cellStyle name="Blue 2" xfId="4915"/>
    <cellStyle name="blue shading" xfId="2163"/>
    <cellStyle name="Blue Title" xfId="2164"/>
    <cellStyle name="Bob" xfId="2165"/>
    <cellStyle name="Bob 1" xfId="2166"/>
    <cellStyle name="Bob 3" xfId="2167"/>
    <cellStyle name="bob_boite - choix table" xfId="2168"/>
    <cellStyle name="Bob2" xfId="2169"/>
    <cellStyle name="Body" xfId="4916"/>
    <cellStyle name="Body text" xfId="2170"/>
    <cellStyle name="Body text 10" xfId="2171"/>
    <cellStyle name="Body text 11" xfId="2172"/>
    <cellStyle name="Body text 12" xfId="2173"/>
    <cellStyle name="Body text 2" xfId="2174"/>
    <cellStyle name="Body text 3" xfId="2175"/>
    <cellStyle name="Body text 4" xfId="2176"/>
    <cellStyle name="Body text 5" xfId="2177"/>
    <cellStyle name="Body text 6" xfId="2178"/>
    <cellStyle name="Body text 7" xfId="2179"/>
    <cellStyle name="Body text 8" xfId="2180"/>
    <cellStyle name="Body text 9" xfId="2181"/>
    <cellStyle name="Bold/Border" xfId="4508"/>
    <cellStyle name="Border" xfId="2182"/>
    <cellStyle name="Border Heavy" xfId="2183"/>
    <cellStyle name="Border Thin" xfId="2184"/>
    <cellStyle name="Border, Bottom" xfId="4917"/>
    <cellStyle name="Border, Left" xfId="4918"/>
    <cellStyle name="Border, Left 2" xfId="5392"/>
    <cellStyle name="Border, Right" xfId="4919"/>
    <cellStyle name="Border, Right 2" xfId="5273"/>
    <cellStyle name="Border, Top" xfId="4920"/>
    <cellStyle name="bottom-title" xfId="4921"/>
    <cellStyle name="British Pound" xfId="2185"/>
    <cellStyle name="Bullet" xfId="4509"/>
    <cellStyle name="Bullet 2" xfId="4922"/>
    <cellStyle name="c_HardInc" xfId="5058"/>
    <cellStyle name="c_HardInc " xfId="7"/>
    <cellStyle name="c_HardInc _Catalog" xfId="4923"/>
    <cellStyle name="c_HardInc _JapaneseCatalog" xfId="4924"/>
    <cellStyle name="c_HardInc _RRST1" xfId="4786"/>
    <cellStyle name="c_HardInc _RRST20" xfId="4510"/>
    <cellStyle name="c_HardInc _RRST20 2" xfId="4511"/>
    <cellStyle name="c_HardInc _RRST25" xfId="4512"/>
    <cellStyle name="c_HardInc _RRST25 2" xfId="4513"/>
    <cellStyle name="C¡IA¨ª_¡ic¨u¡A¨￢I¨￢¡Æ AN¡Æe " xfId="4514"/>
    <cellStyle name="C￥AØ_  FAB AIA¤  " xfId="4515"/>
    <cellStyle name="Ç¥ÁØ_»ç¾÷ºÎº° ÃÑ°è " xfId="4516"/>
    <cellStyle name="C￥AØ_≫c¾÷ºIº° AN°e " xfId="4517"/>
    <cellStyle name="Ç¥ÁØ_0N-HANDLING " xfId="4518"/>
    <cellStyle name="C￥AØ_¼±AoAc°i_1_³≫ºI°eE¹´e AßA¤A÷AI " xfId="4519"/>
    <cellStyle name="Ç¥ÁØ_5-1±¤°í " xfId="4520"/>
    <cellStyle name="C￥AØ_5-1±¤°i _6RCB1 " xfId="4521"/>
    <cellStyle name="Ç¥ÁØ_Áý°èÇ¥(2¿ù) " xfId="4522"/>
    <cellStyle name="C￥AØ_CoAo¹yAI °A¾×¿ⓒ½A " xfId="4523"/>
    <cellStyle name="Ç¥ÁØ_cover " xfId="4524"/>
    <cellStyle name="C05_Style E Text" xfId="4525"/>
    <cellStyle name="Calc Currency (0)" xfId="2186"/>
    <cellStyle name="Calc Currency (0) 2" xfId="2187"/>
    <cellStyle name="Calc Currency (0) 3" xfId="5138"/>
    <cellStyle name="Calc Currency (0) 4" xfId="4925"/>
    <cellStyle name="Calc Currency (2)" xfId="2188"/>
    <cellStyle name="Calc Currency (2) 2" xfId="2189"/>
    <cellStyle name="Calc Percent (0)" xfId="2190"/>
    <cellStyle name="Calc Percent (0) 2" xfId="2191"/>
    <cellStyle name="Calc Percent (1)" xfId="2192"/>
    <cellStyle name="Calc Percent (1) 2" xfId="2193"/>
    <cellStyle name="Calc Percent (2)" xfId="2194"/>
    <cellStyle name="Calc Percent (2) 2" xfId="2195"/>
    <cellStyle name="Calc Units (0)" xfId="2196"/>
    <cellStyle name="Calc Units (0) 2" xfId="2197"/>
    <cellStyle name="Calc Units (1)" xfId="2198"/>
    <cellStyle name="Calc Units (1) 2" xfId="2199"/>
    <cellStyle name="Calc Units (2)" xfId="2200"/>
    <cellStyle name="Calc Units (2) 2" xfId="2201"/>
    <cellStyle name="Calcul" xfId="2202"/>
    <cellStyle name="Calculation 10" xfId="2203"/>
    <cellStyle name="Calculation 10 2" xfId="2204"/>
    <cellStyle name="Calculation 10 3" xfId="2205"/>
    <cellStyle name="Calculation 11" xfId="2206"/>
    <cellStyle name="Calculation 11 2" xfId="2207"/>
    <cellStyle name="Calculation 11 3" xfId="2208"/>
    <cellStyle name="Calculation 12" xfId="2209"/>
    <cellStyle name="Calculation 12 2" xfId="2210"/>
    <cellStyle name="Calculation 12 3" xfId="2211"/>
    <cellStyle name="Calculation 13" xfId="2212"/>
    <cellStyle name="Calculation 13 2" xfId="2213"/>
    <cellStyle name="Calculation 13 3" xfId="2214"/>
    <cellStyle name="Calculation 14" xfId="2215"/>
    <cellStyle name="Calculation 14 2" xfId="2216"/>
    <cellStyle name="Calculation 14 3" xfId="2217"/>
    <cellStyle name="Calculation 15" xfId="2218"/>
    <cellStyle name="Calculation 15 2" xfId="2219"/>
    <cellStyle name="Calculation 15 3" xfId="2220"/>
    <cellStyle name="Calculation 16" xfId="2221"/>
    <cellStyle name="Calculation 17" xfId="2222"/>
    <cellStyle name="Calculation 18" xfId="2223"/>
    <cellStyle name="Calculation 19" xfId="2224"/>
    <cellStyle name="Calculation 2" xfId="2225"/>
    <cellStyle name="Calculation 2 10" xfId="2226"/>
    <cellStyle name="Calculation 2 11" xfId="2227"/>
    <cellStyle name="Calculation 2 12" xfId="2228"/>
    <cellStyle name="Calculation 2 13" xfId="2229"/>
    <cellStyle name="Calculation 2 14" xfId="2230"/>
    <cellStyle name="Calculation 2 15" xfId="2231"/>
    <cellStyle name="Calculation 2 16" xfId="5139"/>
    <cellStyle name="Calculation 2 17" xfId="4863"/>
    <cellStyle name="Calculation 2 2" xfId="2232"/>
    <cellStyle name="Calculation 2 3" xfId="2233"/>
    <cellStyle name="Calculation 2 4" xfId="2234"/>
    <cellStyle name="Calculation 2 5" xfId="2235"/>
    <cellStyle name="Calculation 2 6" xfId="2236"/>
    <cellStyle name="Calculation 2 7" xfId="2237"/>
    <cellStyle name="Calculation 2 8" xfId="2238"/>
    <cellStyle name="Calculation 2 9" xfId="2239"/>
    <cellStyle name="Calculation 20" xfId="2240"/>
    <cellStyle name="Calculation 21" xfId="4697"/>
    <cellStyle name="Calculation 3" xfId="2241"/>
    <cellStyle name="Calculation 3 2" xfId="2242"/>
    <cellStyle name="Calculation 3 3" xfId="2243"/>
    <cellStyle name="Calculation 3 4" xfId="2244"/>
    <cellStyle name="Calculation 3 5" xfId="2245"/>
    <cellStyle name="Calculation 3 5 2" xfId="2246"/>
    <cellStyle name="Calculation 3 6" xfId="2247"/>
    <cellStyle name="Calculation 3 7" xfId="2248"/>
    <cellStyle name="Calculation 3 8" xfId="2249"/>
    <cellStyle name="Calculation 3 9" xfId="2250"/>
    <cellStyle name="Calculation 4" xfId="2251"/>
    <cellStyle name="Calculation 4 2" xfId="2252"/>
    <cellStyle name="Calculation 5" xfId="2253"/>
    <cellStyle name="Calculation 5 2" xfId="2254"/>
    <cellStyle name="Calculation 6" xfId="2255"/>
    <cellStyle name="Calculation 6 2" xfId="2256"/>
    <cellStyle name="Calculation 7" xfId="2257"/>
    <cellStyle name="Calculation 8" xfId="2258"/>
    <cellStyle name="Calculation 9" xfId="2259"/>
    <cellStyle name="Calculation 9 2" xfId="2260"/>
    <cellStyle name="Calculation 9 2 2" xfId="2261"/>
    <cellStyle name="Calculation 9 3" xfId="2262"/>
    <cellStyle name="Calculation 9 4" xfId="2263"/>
    <cellStyle name="Calculation 9 5" xfId="2264"/>
    <cellStyle name="can" xfId="2265"/>
    <cellStyle name="Case" xfId="2266"/>
    <cellStyle name="CashFlow" xfId="4926"/>
    <cellStyle name="category" xfId="2267"/>
    <cellStyle name="Centered Heading" xfId="2268"/>
    <cellStyle name="Centered Heading Notes" xfId="2269"/>
    <cellStyle name="Centré" xfId="2270"/>
    <cellStyle name="Cents" xfId="4526"/>
    <cellStyle name="Cents 2" xfId="4927"/>
    <cellStyle name="Change" xfId="2271"/>
    <cellStyle name="Change 2" xfId="5140"/>
    <cellStyle name="Change 3" xfId="4928"/>
    <cellStyle name="Changeable" xfId="4527"/>
    <cellStyle name="ChartingText" xfId="2272"/>
    <cellStyle name="Check Cell 10" xfId="2273"/>
    <cellStyle name="Check Cell 10 2" xfId="2274"/>
    <cellStyle name="Check Cell 10 3" xfId="2275"/>
    <cellStyle name="Check Cell 11" xfId="2276"/>
    <cellStyle name="Check Cell 11 2" xfId="2277"/>
    <cellStyle name="Check Cell 11 3" xfId="2278"/>
    <cellStyle name="Check Cell 12" xfId="2279"/>
    <cellStyle name="Check Cell 12 2" xfId="2280"/>
    <cellStyle name="Check Cell 12 3" xfId="2281"/>
    <cellStyle name="Check Cell 13" xfId="2282"/>
    <cellStyle name="Check Cell 13 2" xfId="2283"/>
    <cellStyle name="Check Cell 13 3" xfId="2284"/>
    <cellStyle name="Check Cell 14" xfId="2285"/>
    <cellStyle name="Check Cell 14 2" xfId="2286"/>
    <cellStyle name="Check Cell 14 3" xfId="2287"/>
    <cellStyle name="Check Cell 15" xfId="2288"/>
    <cellStyle name="Check Cell 15 2" xfId="2289"/>
    <cellStyle name="Check Cell 15 3" xfId="2290"/>
    <cellStyle name="Check Cell 16" xfId="2291"/>
    <cellStyle name="Check Cell 17" xfId="2292"/>
    <cellStyle name="Check Cell 18" xfId="2293"/>
    <cellStyle name="Check Cell 19" xfId="2294"/>
    <cellStyle name="Check Cell 2" xfId="2295"/>
    <cellStyle name="Check Cell 2 10" xfId="2296"/>
    <cellStyle name="Check Cell 2 11" xfId="2297"/>
    <cellStyle name="Check Cell 2 12" xfId="2298"/>
    <cellStyle name="Check Cell 2 13" xfId="2299"/>
    <cellStyle name="Check Cell 2 14" xfId="2300"/>
    <cellStyle name="Check Cell 2 15" xfId="2301"/>
    <cellStyle name="Check Cell 2 16" xfId="5141"/>
    <cellStyle name="Check Cell 2 17" xfId="4864"/>
    <cellStyle name="Check Cell 2 2" xfId="2302"/>
    <cellStyle name="Check Cell 2 3" xfId="2303"/>
    <cellStyle name="Check Cell 2 4" xfId="2304"/>
    <cellStyle name="Check Cell 2 5" xfId="2305"/>
    <cellStyle name="Check Cell 2 6" xfId="2306"/>
    <cellStyle name="Check Cell 2 7" xfId="2307"/>
    <cellStyle name="Check Cell 2 8" xfId="2308"/>
    <cellStyle name="Check Cell 2 9" xfId="2309"/>
    <cellStyle name="Check Cell 20" xfId="2310"/>
    <cellStyle name="Check Cell 21" xfId="4698"/>
    <cellStyle name="Check Cell 3" xfId="2311"/>
    <cellStyle name="Check Cell 3 2" xfId="2312"/>
    <cellStyle name="Check Cell 3 3" xfId="2313"/>
    <cellStyle name="Check Cell 3 4" xfId="2314"/>
    <cellStyle name="Check Cell 3 5" xfId="2315"/>
    <cellStyle name="Check Cell 3 6" xfId="2316"/>
    <cellStyle name="Check Cell 3 7" xfId="2317"/>
    <cellStyle name="Check Cell 3 8" xfId="2318"/>
    <cellStyle name="Check Cell 4" xfId="2319"/>
    <cellStyle name="Check Cell 4 2" xfId="2320"/>
    <cellStyle name="Check Cell 5" xfId="2321"/>
    <cellStyle name="Check Cell 5 2" xfId="2322"/>
    <cellStyle name="Check Cell 6" xfId="2323"/>
    <cellStyle name="Check Cell 6 2" xfId="2324"/>
    <cellStyle name="Check Cell 7" xfId="2325"/>
    <cellStyle name="Check Cell 8" xfId="2326"/>
    <cellStyle name="Check Cell 9" xfId="2327"/>
    <cellStyle name="Check Cell 9 2" xfId="2328"/>
    <cellStyle name="Check Cell 9 3" xfId="2329"/>
    <cellStyle name="Check Cell 9 4" xfId="2330"/>
    <cellStyle name="Colhead_left" xfId="4528"/>
    <cellStyle name="ColHeading_Book2" xfId="4865"/>
    <cellStyle name="ColLevel_0" xfId="2331"/>
    <cellStyle name="ColumnAttributeAbovePrompt" xfId="2332"/>
    <cellStyle name="ColumnAttributePrompt" xfId="2333"/>
    <cellStyle name="ColumnAttributeValue" xfId="2334"/>
    <cellStyle name="ColumnHeaderNormal" xfId="2335"/>
    <cellStyle name="ColumnHeadingPrompt" xfId="2336"/>
    <cellStyle name="ColumnHeadings" xfId="4529"/>
    <cellStyle name="ColumnHeadings2" xfId="4530"/>
    <cellStyle name="ColumnHeadingValue" xfId="2337"/>
    <cellStyle name="Comma" xfId="8" builtinId="3"/>
    <cellStyle name="Comma  - Style1" xfId="2338"/>
    <cellStyle name="Comma  - Style1 2" xfId="5142"/>
    <cellStyle name="Comma  - Style1 3" xfId="4700"/>
    <cellStyle name="Comma  - Style2" xfId="2339"/>
    <cellStyle name="Comma  - Style2 2" xfId="4930"/>
    <cellStyle name="Comma  - Style2 3" xfId="5143"/>
    <cellStyle name="Comma  - Style2 4" xfId="4701"/>
    <cellStyle name="Comma  - Style3" xfId="2340"/>
    <cellStyle name="Comma  - Style3 2" xfId="4931"/>
    <cellStyle name="Comma  - Style3 3" xfId="5144"/>
    <cellStyle name="Comma  - Style3 4" xfId="4702"/>
    <cellStyle name="Comma  - Style4" xfId="2341"/>
    <cellStyle name="Comma  - Style4 2" xfId="4932"/>
    <cellStyle name="Comma  - Style4 3" xfId="5145"/>
    <cellStyle name="Comma  - Style4 4" xfId="4703"/>
    <cellStyle name="Comma  - Style5" xfId="2342"/>
    <cellStyle name="Comma  - Style5 2" xfId="4933"/>
    <cellStyle name="Comma  - Style5 3" xfId="5146"/>
    <cellStyle name="Comma  - Style5 4" xfId="4704"/>
    <cellStyle name="Comma  - Style6" xfId="2343"/>
    <cellStyle name="Comma  - Style6 2" xfId="4934"/>
    <cellStyle name="Comma  - Style6 3" xfId="5147"/>
    <cellStyle name="Comma  - Style6 4" xfId="4705"/>
    <cellStyle name="Comma  - Style7" xfId="2344"/>
    <cellStyle name="Comma  - Style7 2" xfId="4935"/>
    <cellStyle name="Comma  - Style7 3" xfId="5148"/>
    <cellStyle name="Comma  - Style7 4" xfId="4706"/>
    <cellStyle name="Comma  - Style8" xfId="2345"/>
    <cellStyle name="Comma  - Style8 2" xfId="4936"/>
    <cellStyle name="Comma  - Style8 3" xfId="5149"/>
    <cellStyle name="Comma  - Style8 4" xfId="4707"/>
    <cellStyle name="Comma (1)" xfId="4937"/>
    <cellStyle name="Comma [00]" xfId="2346"/>
    <cellStyle name="Comma [00] 2" xfId="2347"/>
    <cellStyle name="Comma [1]" xfId="2348"/>
    <cellStyle name="Comma [1] 2" xfId="5150"/>
    <cellStyle name="Comma [1] 3" xfId="4938"/>
    <cellStyle name="Comma [2]" xfId="4939"/>
    <cellStyle name="Comma 0" xfId="2349"/>
    <cellStyle name="Comma 0*" xfId="2350"/>
    <cellStyle name="Comma 0_- BP CONSO 2002-2012" xfId="2351"/>
    <cellStyle name="Comma 10" xfId="9"/>
    <cellStyle name="Comma 11" xfId="2352"/>
    <cellStyle name="Comma 11 2" xfId="4531"/>
    <cellStyle name="Comma 12" xfId="2353"/>
    <cellStyle name="Comma 13" xfId="2354"/>
    <cellStyle name="Comma 14" xfId="2355"/>
    <cellStyle name="Comma 15" xfId="2356"/>
    <cellStyle name="Comma 15 2" xfId="4532"/>
    <cellStyle name="Comma 16" xfId="2357"/>
    <cellStyle name="Comma 17" xfId="2358"/>
    <cellStyle name="Comma 18" xfId="2359"/>
    <cellStyle name="Comma 19" xfId="2360"/>
    <cellStyle name="Comma 2" xfId="10"/>
    <cellStyle name="Comma 2 10" xfId="2361"/>
    <cellStyle name="Comma 2 10 2" xfId="2362"/>
    <cellStyle name="Comma 2 11" xfId="2363"/>
    <cellStyle name="Comma 2 11 2" xfId="2364"/>
    <cellStyle name="Comma 2 12" xfId="2365"/>
    <cellStyle name="Comma 2 12 2" xfId="2366"/>
    <cellStyle name="Comma 2 13" xfId="2367"/>
    <cellStyle name="Comma 2 13 2" xfId="2368"/>
    <cellStyle name="Comma 2 14" xfId="2369"/>
    <cellStyle name="Comma 2 14 2" xfId="2370"/>
    <cellStyle name="Comma 2 15" xfId="2371"/>
    <cellStyle name="Comma 2 16" xfId="2372"/>
    <cellStyle name="Comma 2 17" xfId="2373"/>
    <cellStyle name="Comma 2 18" xfId="4759"/>
    <cellStyle name="Comma 2 2" xfId="2374"/>
    <cellStyle name="Comma 2 2 2" xfId="2375"/>
    <cellStyle name="Comma 2 2 2 2" xfId="2376"/>
    <cellStyle name="Comma 2 2 2 2 2" xfId="2377"/>
    <cellStyle name="Comma 2 2 2 3" xfId="2378"/>
    <cellStyle name="Comma 2 2 3" xfId="2379"/>
    <cellStyle name="Comma 2 2 4" xfId="2380"/>
    <cellStyle name="Comma 2 2 5" xfId="5151"/>
    <cellStyle name="Comma 2 2 6" xfId="4789"/>
    <cellStyle name="Comma 2 3" xfId="2381"/>
    <cellStyle name="Comma 2 3 2" xfId="2382"/>
    <cellStyle name="Comma 2 3 2 2" xfId="2383"/>
    <cellStyle name="Comma 2 3 3" xfId="2384"/>
    <cellStyle name="Comma 2 3 4" xfId="2385"/>
    <cellStyle name="Comma 2 3 5" xfId="2386"/>
    <cellStyle name="Comma 2 3 6" xfId="2387"/>
    <cellStyle name="Comma 2 3 7" xfId="2388"/>
    <cellStyle name="Comma 2 4" xfId="2389"/>
    <cellStyle name="Comma 2 4 2" xfId="2390"/>
    <cellStyle name="Comma 2 4 3" xfId="2391"/>
    <cellStyle name="Comma 2 5" xfId="2392"/>
    <cellStyle name="Comma 2 5 2" xfId="2393"/>
    <cellStyle name="Comma 2 5 2 2" xfId="2394"/>
    <cellStyle name="Comma 2 5 3" xfId="2395"/>
    <cellStyle name="Comma 2 5 4" xfId="2396"/>
    <cellStyle name="Comma 2 5 5" xfId="2397"/>
    <cellStyle name="Comma 2 6" xfId="2398"/>
    <cellStyle name="Comma 2 6 2" xfId="2399"/>
    <cellStyle name="Comma 2 7" xfId="2400"/>
    <cellStyle name="Comma 2 7 2" xfId="2401"/>
    <cellStyle name="Comma 2 8" xfId="2402"/>
    <cellStyle name="Comma 2 8 2" xfId="2403"/>
    <cellStyle name="Comma 2 9" xfId="2404"/>
    <cellStyle name="Comma 2 9 2" xfId="2405"/>
    <cellStyle name="Comma 2_Cashflow Q1 CY09" xfId="2406"/>
    <cellStyle name="Comma 20" xfId="2407"/>
    <cellStyle name="Comma 21" xfId="2408"/>
    <cellStyle name="Comma 22" xfId="2409"/>
    <cellStyle name="Comma 23" xfId="2410"/>
    <cellStyle name="Comma 23 2" xfId="4533"/>
    <cellStyle name="Comma 24" xfId="2411"/>
    <cellStyle name="Comma 24 2" xfId="4534"/>
    <cellStyle name="Comma 25" xfId="2412"/>
    <cellStyle name="Comma 25 2" xfId="4535"/>
    <cellStyle name="Comma 26" xfId="2413"/>
    <cellStyle name="Comma 26 2" xfId="4536"/>
    <cellStyle name="Comma 27" xfId="2414"/>
    <cellStyle name="Comma 28" xfId="2415"/>
    <cellStyle name="Comma 29" xfId="2416"/>
    <cellStyle name="Comma 3" xfId="2417"/>
    <cellStyle name="Comma 3 2" xfId="2418"/>
    <cellStyle name="Comma 3 2 2" xfId="2419"/>
    <cellStyle name="Comma 3 2 2 2" xfId="2420"/>
    <cellStyle name="Comma 3 2 2 3" xfId="2421"/>
    <cellStyle name="Comma 3 2 3" xfId="2422"/>
    <cellStyle name="Comma 3 2 4" xfId="2423"/>
    <cellStyle name="Comma 3 2 5" xfId="5153"/>
    <cellStyle name="Comma 3 2 6" xfId="4791"/>
    <cellStyle name="Comma 3 3" xfId="2424"/>
    <cellStyle name="Comma 3 4" xfId="2425"/>
    <cellStyle name="Comma 3 4 2" xfId="2426"/>
    <cellStyle name="Comma 3 4 3" xfId="2427"/>
    <cellStyle name="Comma 3 5" xfId="2428"/>
    <cellStyle name="Comma 3 6" xfId="5152"/>
    <cellStyle name="Comma 3 7" xfId="4790"/>
    <cellStyle name="Comma 30" xfId="2429"/>
    <cellStyle name="Comma 31" xfId="2430"/>
    <cellStyle name="Comma 32" xfId="2431"/>
    <cellStyle name="Comma 33" xfId="2432"/>
    <cellStyle name="Comma 34" xfId="2433"/>
    <cellStyle name="Comma 35" xfId="2434"/>
    <cellStyle name="Comma 36" xfId="2435"/>
    <cellStyle name="Comma 37" xfId="2436"/>
    <cellStyle name="Comma 38" xfId="2437"/>
    <cellStyle name="Comma 39" xfId="2438"/>
    <cellStyle name="Comma 4" xfId="2439"/>
    <cellStyle name="Comma 4 2" xfId="2440"/>
    <cellStyle name="Comma 4 2 2" xfId="2441"/>
    <cellStyle name="Comma 4 3" xfId="2442"/>
    <cellStyle name="Comma 4 4" xfId="5154"/>
    <cellStyle name="Comma 4 5" xfId="4792"/>
    <cellStyle name="Comma 40" xfId="2443"/>
    <cellStyle name="Comma 41" xfId="2444"/>
    <cellStyle name="Comma 42" xfId="2445"/>
    <cellStyle name="Comma 43" xfId="2446"/>
    <cellStyle name="Comma 44" xfId="2447"/>
    <cellStyle name="Comma 44 2" xfId="2448"/>
    <cellStyle name="Comma 45" xfId="2449"/>
    <cellStyle name="Comma 46" xfId="4760"/>
    <cellStyle name="Comma 47" xfId="5315"/>
    <cellStyle name="Comma 48" xfId="4699"/>
    <cellStyle name="Comma 49" xfId="5318"/>
    <cellStyle name="Comma 5" xfId="2450"/>
    <cellStyle name="Comma 5 2" xfId="2451"/>
    <cellStyle name="Comma 5 2 2" xfId="2452"/>
    <cellStyle name="Comma 5 2 2 2" xfId="2453"/>
    <cellStyle name="Comma 5 2 2 3" xfId="2454"/>
    <cellStyle name="Comma 5 2 3" xfId="2455"/>
    <cellStyle name="Comma 5 2 4" xfId="2456"/>
    <cellStyle name="Comma 5 3" xfId="2457"/>
    <cellStyle name="Comma 5 4" xfId="5155"/>
    <cellStyle name="Comma 5 5" xfId="4788"/>
    <cellStyle name="Comma 50" xfId="5333"/>
    <cellStyle name="Comma 51" xfId="5251"/>
    <cellStyle name="Comma 52" xfId="5095"/>
    <cellStyle name="Comma 53" xfId="5204"/>
    <cellStyle name="Comma 54" xfId="5108"/>
    <cellStyle name="Comma 55" xfId="5183"/>
    <cellStyle name="Comma 56" xfId="5238"/>
    <cellStyle name="Comma 57" xfId="5253"/>
    <cellStyle name="Comma 58" xfId="5346"/>
    <cellStyle name="Comma 59" xfId="5386"/>
    <cellStyle name="Comma 6" xfId="2458"/>
    <cellStyle name="Comma 6 2" xfId="2459"/>
    <cellStyle name="Comma 6 3" xfId="2460"/>
    <cellStyle name="Comma 6 4" xfId="5156"/>
    <cellStyle name="Comma 6 5" xfId="4785"/>
    <cellStyle name="Comma 60" xfId="5357"/>
    <cellStyle name="Comma 61" xfId="5389"/>
    <cellStyle name="Comma 62" xfId="5365"/>
    <cellStyle name="Comma 63" xfId="5379"/>
    <cellStyle name="Comma 64" xfId="5360"/>
    <cellStyle name="Comma 65" xfId="5381"/>
    <cellStyle name="Comma 66" xfId="5369"/>
    <cellStyle name="Comma 67" xfId="5382"/>
    <cellStyle name="Comma 68" xfId="5370"/>
    <cellStyle name="Comma 69" xfId="5372"/>
    <cellStyle name="Comma 7" xfId="2461"/>
    <cellStyle name="Comma 7 2" xfId="5157"/>
    <cellStyle name="Comma 7 3" xfId="4828"/>
    <cellStyle name="Comma 70" xfId="5394"/>
    <cellStyle name="Comma 71" xfId="5385"/>
    <cellStyle name="Comma 72" xfId="5390"/>
    <cellStyle name="Comma 73" xfId="5396"/>
    <cellStyle name="Comma 74" xfId="5414"/>
    <cellStyle name="Comma 75" xfId="5792"/>
    <cellStyle name="Comma 76" xfId="5824"/>
    <cellStyle name="Comma 77" xfId="5797"/>
    <cellStyle name="Comma 78" xfId="5827"/>
    <cellStyle name="Comma 79" xfId="5821"/>
    <cellStyle name="Comma 8" xfId="2462"/>
    <cellStyle name="Comma 8 2" xfId="5158"/>
    <cellStyle name="Comma 8 3" xfId="4787"/>
    <cellStyle name="Comma 80" xfId="5800"/>
    <cellStyle name="Comma 81" xfId="5825"/>
    <cellStyle name="Comma 82" xfId="5804"/>
    <cellStyle name="Comma 83" xfId="5814"/>
    <cellStyle name="Comma 84" xfId="5806"/>
    <cellStyle name="Comma 85" xfId="5812"/>
    <cellStyle name="Comma 86" xfId="5808"/>
    <cellStyle name="Comma 87" xfId="5830"/>
    <cellStyle name="Comma 88" xfId="5833"/>
    <cellStyle name="Comma 89" xfId="5836"/>
    <cellStyle name="Comma 9" xfId="2463"/>
    <cellStyle name="Comma 90" xfId="5839"/>
    <cellStyle name="Comma 91" xfId="5842"/>
    <cellStyle name="Comma 92" xfId="5847"/>
    <cellStyle name="Comma 93" xfId="5848"/>
    <cellStyle name="comma zerodec" xfId="2464"/>
    <cellStyle name="Comma0" xfId="2465"/>
    <cellStyle name="Comma0 2" xfId="2466"/>
    <cellStyle name="CommaU [0]" xfId="4940"/>
    <cellStyle name="CommaU [1]" xfId="4941"/>
    <cellStyle name="CommaU [2]" xfId="4942"/>
    <cellStyle name="Comment" xfId="4537"/>
    <cellStyle name="CompanyName" xfId="4538"/>
    <cellStyle name="CompanyName 2" xfId="4943"/>
    <cellStyle name="Copied" xfId="2467"/>
    <cellStyle name="Copied 2" xfId="2468"/>
    <cellStyle name="Copied 3" xfId="5159"/>
    <cellStyle name="Copy Decimal 0" xfId="2469"/>
    <cellStyle name="Copy Decimal 0 10" xfId="2470"/>
    <cellStyle name="Copy Decimal 0 11" xfId="2471"/>
    <cellStyle name="Copy Decimal 0 12" xfId="2472"/>
    <cellStyle name="Copy Decimal 0 2" xfId="2473"/>
    <cellStyle name="Copy Decimal 0 3" xfId="2474"/>
    <cellStyle name="Copy Decimal 0 4" xfId="2475"/>
    <cellStyle name="Copy Decimal 0 5" xfId="2476"/>
    <cellStyle name="Copy Decimal 0 6" xfId="2477"/>
    <cellStyle name="Copy Decimal 0 7" xfId="2478"/>
    <cellStyle name="Copy Decimal 0 8" xfId="2479"/>
    <cellStyle name="Copy Decimal 0 9" xfId="2480"/>
    <cellStyle name="Copy Decimal 0,00" xfId="2481"/>
    <cellStyle name="Copy Decimal 0,00 10" xfId="2482"/>
    <cellStyle name="Copy Decimal 0,00 11" xfId="2483"/>
    <cellStyle name="Copy Decimal 0,00 12" xfId="2484"/>
    <cellStyle name="Copy Decimal 0,00 2" xfId="2485"/>
    <cellStyle name="Copy Decimal 0,00 3" xfId="2486"/>
    <cellStyle name="Copy Decimal 0,00 4" xfId="2487"/>
    <cellStyle name="Copy Decimal 0,00 5" xfId="2488"/>
    <cellStyle name="Copy Decimal 0,00 6" xfId="2489"/>
    <cellStyle name="Copy Decimal 0,00 7" xfId="2490"/>
    <cellStyle name="Copy Decimal 0,00 8" xfId="2491"/>
    <cellStyle name="Copy Decimal 0,00 9" xfId="2492"/>
    <cellStyle name="Copy Decimal 0_Durchrechnung MEU" xfId="2493"/>
    <cellStyle name="Copy Percent 0" xfId="2494"/>
    <cellStyle name="Copy Percent 0 10" xfId="2495"/>
    <cellStyle name="Copy Percent 0 11" xfId="2496"/>
    <cellStyle name="Copy Percent 0 12" xfId="2497"/>
    <cellStyle name="Copy Percent 0 2" xfId="2498"/>
    <cellStyle name="Copy Percent 0 3" xfId="2499"/>
    <cellStyle name="Copy Percent 0 4" xfId="2500"/>
    <cellStyle name="Copy Percent 0 5" xfId="2501"/>
    <cellStyle name="Copy Percent 0 6" xfId="2502"/>
    <cellStyle name="Copy Percent 0 7" xfId="2503"/>
    <cellStyle name="Copy Percent 0 8" xfId="2504"/>
    <cellStyle name="Copy Percent 0 9" xfId="2505"/>
    <cellStyle name="Copy Percent 0,00" xfId="2506"/>
    <cellStyle name="Copy Percent 0,00 10" xfId="2507"/>
    <cellStyle name="Copy Percent 0,00 11" xfId="2508"/>
    <cellStyle name="Copy Percent 0,00 12" xfId="2509"/>
    <cellStyle name="Copy Percent 0,00 2" xfId="2510"/>
    <cellStyle name="Copy Percent 0,00 3" xfId="2511"/>
    <cellStyle name="Copy Percent 0,00 4" xfId="2512"/>
    <cellStyle name="Copy Percent 0,00 5" xfId="2513"/>
    <cellStyle name="Copy Percent 0,00 6" xfId="2514"/>
    <cellStyle name="Copy Percent 0,00 7" xfId="2515"/>
    <cellStyle name="Copy Percent 0,00 8" xfId="2516"/>
    <cellStyle name="Copy Percent 0,00 9" xfId="2517"/>
    <cellStyle name="Copy Percent 0_Form CC 1 2 4 June 05" xfId="2518"/>
    <cellStyle name="COST1" xfId="2519"/>
    <cellStyle name="Cur" xfId="2520"/>
    <cellStyle name="Currency" xfId="11" builtinId="4"/>
    <cellStyle name="Currency (1)" xfId="4944"/>
    <cellStyle name="Currency [00]" xfId="2521"/>
    <cellStyle name="Currency [00] 2" xfId="2522"/>
    <cellStyle name="Currency [1]" xfId="2523"/>
    <cellStyle name="Currency [1] 2" xfId="5160"/>
    <cellStyle name="Currency [1] 3" xfId="4945"/>
    <cellStyle name="Currency [2]" xfId="2524"/>
    <cellStyle name="Currency [2] 2" xfId="5161"/>
    <cellStyle name="Currency [2] 3" xfId="4946"/>
    <cellStyle name="Currency 0" xfId="2525"/>
    <cellStyle name="Currency 10" xfId="2526"/>
    <cellStyle name="Currency 11" xfId="2527"/>
    <cellStyle name="Currency 12" xfId="2528"/>
    <cellStyle name="Currency 13" xfId="2529"/>
    <cellStyle name="Currency 14" xfId="2530"/>
    <cellStyle name="Currency 15" xfId="2531"/>
    <cellStyle name="Currency 16" xfId="2532"/>
    <cellStyle name="Currency 17" xfId="2533"/>
    <cellStyle name="Currency 18" xfId="2534"/>
    <cellStyle name="Currency 19" xfId="2535"/>
    <cellStyle name="Currency 19 2" xfId="2536"/>
    <cellStyle name="Currency 2" xfId="12"/>
    <cellStyle name="Currency 2 10" xfId="2537"/>
    <cellStyle name="Currency 2 11" xfId="2538"/>
    <cellStyle name="Currency 2 12" xfId="2539"/>
    <cellStyle name="Currency 2 13" xfId="2540"/>
    <cellStyle name="Currency 2 14" xfId="2541"/>
    <cellStyle name="Currency 2 15" xfId="2542"/>
    <cellStyle name="Currency 2 2" xfId="13"/>
    <cellStyle name="Currency 2 2 2" xfId="2543"/>
    <cellStyle name="Currency 2 3" xfId="2544"/>
    <cellStyle name="Currency 2 4" xfId="2545"/>
    <cellStyle name="Currency 2 5" xfId="2546"/>
    <cellStyle name="Currency 2 6" xfId="2547"/>
    <cellStyle name="Currency 2 7" xfId="2548"/>
    <cellStyle name="Currency 2 8" xfId="2549"/>
    <cellStyle name="Currency 2 9" xfId="2550"/>
    <cellStyle name="Currency 20" xfId="2551"/>
    <cellStyle name="Currency 21" xfId="4758"/>
    <cellStyle name="Currency 22" xfId="5313"/>
    <cellStyle name="Currency 23" xfId="4708"/>
    <cellStyle name="Currency 24" xfId="5301"/>
    <cellStyle name="Currency 25" xfId="5340"/>
    <cellStyle name="Currency 26" xfId="5341"/>
    <cellStyle name="Currency 27" xfId="5096"/>
    <cellStyle name="Currency 28" xfId="5335"/>
    <cellStyle name="Currency 29" xfId="5293"/>
    <cellStyle name="Currency 3" xfId="14"/>
    <cellStyle name="Currency 3 2" xfId="4539"/>
    <cellStyle name="Currency 30" xfId="5182"/>
    <cellStyle name="Currency 31" xfId="5345"/>
    <cellStyle name="Currency 32" xfId="5342"/>
    <cellStyle name="Currency 33" xfId="5347"/>
    <cellStyle name="Currency 34" xfId="5384"/>
    <cellStyle name="Currency 35" xfId="5358"/>
    <cellStyle name="Currency 36" xfId="5388"/>
    <cellStyle name="Currency 37" xfId="5354"/>
    <cellStyle name="Currency 38" xfId="5391"/>
    <cellStyle name="Currency 39" xfId="5361"/>
    <cellStyle name="Currency 4" xfId="15"/>
    <cellStyle name="Currency 4 2" xfId="2552"/>
    <cellStyle name="Currency 4 2 2" xfId="5162"/>
    <cellStyle name="Currency 4 2 3" xfId="4737"/>
    <cellStyle name="Currency 4 3" xfId="2553"/>
    <cellStyle name="Currency 4 3 2" xfId="5163"/>
    <cellStyle name="Currency 4 3 3" xfId="4793"/>
    <cellStyle name="Currency 4 4" xfId="2554"/>
    <cellStyle name="Currency 4 5" xfId="4757"/>
    <cellStyle name="Currency 40" xfId="5380"/>
    <cellStyle name="Currency 41" xfId="5353"/>
    <cellStyle name="Currency 42" xfId="5352"/>
    <cellStyle name="Currency 43" xfId="5364"/>
    <cellStyle name="Currency 44" xfId="5375"/>
    <cellStyle name="Currency 45" xfId="5367"/>
    <cellStyle name="Currency 46" xfId="5377"/>
    <cellStyle name="Currency 47" xfId="5363"/>
    <cellStyle name="Currency 48" xfId="5397"/>
    <cellStyle name="Currency 49" xfId="5405"/>
    <cellStyle name="Currency 5" xfId="16"/>
    <cellStyle name="Currency 5 2" xfId="2555"/>
    <cellStyle name="Currency 50" xfId="5793"/>
    <cellStyle name="Currency 51" xfId="5823"/>
    <cellStyle name="Currency 52" xfId="5798"/>
    <cellStyle name="Currency 53" xfId="5826"/>
    <cellStyle name="Currency 54" xfId="5796"/>
    <cellStyle name="Currency 55" xfId="5819"/>
    <cellStyle name="Currency 56" xfId="5802"/>
    <cellStyle name="Currency 57" xfId="5816"/>
    <cellStyle name="Currency 58" xfId="5795"/>
    <cellStyle name="Currency 59" xfId="5820"/>
    <cellStyle name="Currency 6" xfId="2556"/>
    <cellStyle name="Currency 6 2" xfId="4540"/>
    <cellStyle name="Currency 60" xfId="5801"/>
    <cellStyle name="Currency 61" xfId="5817"/>
    <cellStyle name="Currency 62" xfId="5831"/>
    <cellStyle name="Currency 63" xfId="5834"/>
    <cellStyle name="Currency 64" xfId="5837"/>
    <cellStyle name="Currency 65" xfId="5840"/>
    <cellStyle name="Currency 66" xfId="5843"/>
    <cellStyle name="Currency 67" xfId="5845"/>
    <cellStyle name="Currency 68" xfId="5849"/>
    <cellStyle name="Currency 7" xfId="2557"/>
    <cellStyle name="Currency 8" xfId="2558"/>
    <cellStyle name="Currency 9" xfId="2559"/>
    <cellStyle name="Currency(1)" xfId="4947"/>
    <cellStyle name="Currency0" xfId="2560"/>
    <cellStyle name="Currency0 2" xfId="2561"/>
    <cellStyle name="Currency1" xfId="2562"/>
    <cellStyle name="Currency-Denomination" xfId="2563"/>
    <cellStyle name="current day" xfId="2564"/>
    <cellStyle name="Cyndie" xfId="2565"/>
    <cellStyle name="d_yield_AA - BenefitsBonus " xfId="4794"/>
    <cellStyle name="d_yield_AA - BenefitsBonus  2" xfId="5284"/>
    <cellStyle name="DAILY_TITLE" xfId="2566"/>
    <cellStyle name="Dash" xfId="4541"/>
    <cellStyle name="Dash 2" xfId="4948"/>
    <cellStyle name="Data" xfId="2567"/>
    <cellStyle name="Date" xfId="2568"/>
    <cellStyle name="Date [mm-d-yyyy]" xfId="2569"/>
    <cellStyle name="Date [mmm-d-yyyy]" xfId="2570"/>
    <cellStyle name="Date [mmm-yyyy]" xfId="2571"/>
    <cellStyle name="Date 10" xfId="5224"/>
    <cellStyle name="Date 11" xfId="5295"/>
    <cellStyle name="Date 12" xfId="5178"/>
    <cellStyle name="Date 13" xfId="5112"/>
    <cellStyle name="Date 14" xfId="5173"/>
    <cellStyle name="Date 15" xfId="5398"/>
    <cellStyle name="Date 16" xfId="5412"/>
    <cellStyle name="Date 2" xfId="2572"/>
    <cellStyle name="Date 3" xfId="5164"/>
    <cellStyle name="Date 4" xfId="5319"/>
    <cellStyle name="Date 5" xfId="4709"/>
    <cellStyle name="Date 6" xfId="5300"/>
    <cellStyle name="Date 7" xfId="5332"/>
    <cellStyle name="Date 8" xfId="5250"/>
    <cellStyle name="Date 9" xfId="5097"/>
    <cellStyle name="Date Aligned" xfId="2573"/>
    <cellStyle name="Date dd-mmm" xfId="2574"/>
    <cellStyle name="Date dd-mmm-yy" xfId="2575"/>
    <cellStyle name="Date mmm-yy" xfId="2576"/>
    <cellStyle name="Date Short" xfId="2577"/>
    <cellStyle name="Date_- BP CONSO 2002-2012" xfId="2578"/>
    <cellStyle name="Date2" xfId="2579"/>
    <cellStyle name="Date2 2" xfId="5165"/>
    <cellStyle name="Date2 3" xfId="4710"/>
    <cellStyle name="Dates" xfId="4949"/>
    <cellStyle name="DateYear" xfId="4950"/>
    <cellStyle name="Dati" xfId="2580"/>
    <cellStyle name="Dati Dec" xfId="2581"/>
    <cellStyle name="DAVE" xfId="2582"/>
    <cellStyle name="Décalé" xfId="2583"/>
    <cellStyle name="Decimal" xfId="4542"/>
    <cellStyle name="Decimal 0,0" xfId="2584"/>
    <cellStyle name="Decimal 0,00" xfId="2585"/>
    <cellStyle name="Decimal 0,0000" xfId="2586"/>
    <cellStyle name="decimal 1" xfId="4543"/>
    <cellStyle name="Decimal_0dp" xfId="2587"/>
    <cellStyle name="default" xfId="2588"/>
    <cellStyle name="DELTA" xfId="2589"/>
    <cellStyle name="Deviant" xfId="2590"/>
    <cellStyle name="Dezimal [+line]" xfId="2591"/>
    <cellStyle name="Dezimal [0]_Acquisition stats" xfId="2592"/>
    <cellStyle name="Dezimal_Acquisition stats" xfId="2593"/>
    <cellStyle name="DimDown" xfId="2594"/>
    <cellStyle name="DimDownBold" xfId="2595"/>
    <cellStyle name="DimDownTitle" xfId="2596"/>
    <cellStyle name="Dollar" xfId="2597"/>
    <cellStyle name="Dollar (zero dec)" xfId="2598"/>
    <cellStyle name="Dollar 10" xfId="5225"/>
    <cellStyle name="Dollar 11" xfId="5109"/>
    <cellStyle name="Dollar 12" xfId="5180"/>
    <cellStyle name="Dollar 13" xfId="5184"/>
    <cellStyle name="Dollar 14" xfId="5172"/>
    <cellStyle name="Dollar 15" xfId="5399"/>
    <cellStyle name="Dollar 16" xfId="5411"/>
    <cellStyle name="Dollar 2" xfId="4951"/>
    <cellStyle name="Dollar 3" xfId="5166"/>
    <cellStyle name="Dollar 4" xfId="5320"/>
    <cellStyle name="Dollar 5" xfId="4711"/>
    <cellStyle name="Dollar 6" xfId="5299"/>
    <cellStyle name="Dollar 7" xfId="5331"/>
    <cellStyle name="Dollar 8" xfId="5249"/>
    <cellStyle name="Dollar 9" xfId="5098"/>
    <cellStyle name="DollarAmount" xfId="2599"/>
    <cellStyle name="DollarAmountBorder" xfId="2600"/>
    <cellStyle name="DollarAmountBorderMed" xfId="2601"/>
    <cellStyle name="DollarAmountBtmBorderMed" xfId="2602"/>
    <cellStyle name="DollarAmtTopBorder" xfId="2603"/>
    <cellStyle name="Dollars" xfId="4544"/>
    <cellStyle name="DollarWhole" xfId="4952"/>
    <cellStyle name="Dotted" xfId="2604"/>
    <cellStyle name="Dotted Line" xfId="2605"/>
    <cellStyle name="Double" xfId="2606"/>
    <cellStyle name="Double Accounting" xfId="2607"/>
    <cellStyle name="DropDown" xfId="2608"/>
    <cellStyle name="Eingabe" xfId="2609"/>
    <cellStyle name="Eingabe 10" xfId="2610"/>
    <cellStyle name="Eingabe 11" xfId="2611"/>
    <cellStyle name="Eingabe 12" xfId="2612"/>
    <cellStyle name="Eingabe 2" xfId="2613"/>
    <cellStyle name="Eingabe 3" xfId="2614"/>
    <cellStyle name="Eingabe 4" xfId="2615"/>
    <cellStyle name="Eingabe 5" xfId="2616"/>
    <cellStyle name="Eingabe 6" xfId="2617"/>
    <cellStyle name="Eingabe 7" xfId="2618"/>
    <cellStyle name="Eingabe 8" xfId="2619"/>
    <cellStyle name="Eingabe 9" xfId="2620"/>
    <cellStyle name="Enter Currency (0)" xfId="2621"/>
    <cellStyle name="Enter Currency (0) 2" xfId="2622"/>
    <cellStyle name="Enter Currency (2)" xfId="2623"/>
    <cellStyle name="Enter Currency (2) 2" xfId="2624"/>
    <cellStyle name="Enter Units (0)" xfId="2625"/>
    <cellStyle name="Enter Units (0) 2" xfId="2626"/>
    <cellStyle name="Enter Units (1)" xfId="2627"/>
    <cellStyle name="Enter Units (1) 2" xfId="2628"/>
    <cellStyle name="Enter Units (2)" xfId="2629"/>
    <cellStyle name="Enter Units (2) 2" xfId="2630"/>
    <cellStyle name="Entered" xfId="2631"/>
    <cellStyle name="Entered 2" xfId="2632"/>
    <cellStyle name="Entered 3" xfId="5168"/>
    <cellStyle name="Est - $" xfId="2633"/>
    <cellStyle name="Est - %" xfId="2634"/>
    <cellStyle name="Est 0,000.0" xfId="2635"/>
    <cellStyle name="Euro" xfId="2636"/>
    <cellStyle name="Euro 2" xfId="2637"/>
    <cellStyle name="Euro 3" xfId="2638"/>
    <cellStyle name="Euro 4" xfId="2639"/>
    <cellStyle name="Euro 5" xfId="2640"/>
    <cellStyle name="Euro 6" xfId="2641"/>
    <cellStyle name="Euro_Cashflow Q1 CY09" xfId="2642"/>
    <cellStyle name="Explanatory Text 10" xfId="2643"/>
    <cellStyle name="Explanatory Text 10 2" xfId="2644"/>
    <cellStyle name="Explanatory Text 10 3" xfId="2645"/>
    <cellStyle name="Explanatory Text 11" xfId="2646"/>
    <cellStyle name="Explanatory Text 11 2" xfId="2647"/>
    <cellStyle name="Explanatory Text 11 3" xfId="2648"/>
    <cellStyle name="Explanatory Text 12" xfId="2649"/>
    <cellStyle name="Explanatory Text 12 2" xfId="2650"/>
    <cellStyle name="Explanatory Text 12 3" xfId="2651"/>
    <cellStyle name="Explanatory Text 13" xfId="2652"/>
    <cellStyle name="Explanatory Text 13 2" xfId="2653"/>
    <cellStyle name="Explanatory Text 13 3" xfId="2654"/>
    <cellStyle name="Explanatory Text 14" xfId="2655"/>
    <cellStyle name="Explanatory Text 14 2" xfId="2656"/>
    <cellStyle name="Explanatory Text 14 3" xfId="2657"/>
    <cellStyle name="Explanatory Text 15" xfId="2658"/>
    <cellStyle name="Explanatory Text 15 2" xfId="2659"/>
    <cellStyle name="Explanatory Text 15 3" xfId="2660"/>
    <cellStyle name="Explanatory Text 16" xfId="2661"/>
    <cellStyle name="Explanatory Text 17" xfId="2662"/>
    <cellStyle name="Explanatory Text 18" xfId="2663"/>
    <cellStyle name="Explanatory Text 19" xfId="2664"/>
    <cellStyle name="Explanatory Text 2" xfId="2665"/>
    <cellStyle name="Explanatory Text 2 10" xfId="2666"/>
    <cellStyle name="Explanatory Text 2 11" xfId="2667"/>
    <cellStyle name="Explanatory Text 2 12" xfId="2668"/>
    <cellStyle name="Explanatory Text 2 13" xfId="2669"/>
    <cellStyle name="Explanatory Text 2 14" xfId="2670"/>
    <cellStyle name="Explanatory Text 2 15" xfId="2671"/>
    <cellStyle name="Explanatory Text 2 2" xfId="2672"/>
    <cellStyle name="Explanatory Text 2 3" xfId="2673"/>
    <cellStyle name="Explanatory Text 2 4" xfId="2674"/>
    <cellStyle name="Explanatory Text 2 5" xfId="2675"/>
    <cellStyle name="Explanatory Text 2 6" xfId="2676"/>
    <cellStyle name="Explanatory Text 2 7" xfId="2677"/>
    <cellStyle name="Explanatory Text 2 8" xfId="2678"/>
    <cellStyle name="Explanatory Text 2 9" xfId="2679"/>
    <cellStyle name="Explanatory Text 3" xfId="2680"/>
    <cellStyle name="Explanatory Text 3 2" xfId="2681"/>
    <cellStyle name="Explanatory Text 3 3" xfId="2682"/>
    <cellStyle name="Explanatory Text 3 4" xfId="2683"/>
    <cellStyle name="Explanatory Text 3 5" xfId="2684"/>
    <cellStyle name="Explanatory Text 3 6" xfId="2685"/>
    <cellStyle name="Explanatory Text 3 7" xfId="2686"/>
    <cellStyle name="Explanatory Text 3 8" xfId="2687"/>
    <cellStyle name="Explanatory Text 4" xfId="2688"/>
    <cellStyle name="Explanatory Text 4 2" xfId="2689"/>
    <cellStyle name="Explanatory Text 5" xfId="2690"/>
    <cellStyle name="Explanatory Text 5 2" xfId="2691"/>
    <cellStyle name="Explanatory Text 6" xfId="2692"/>
    <cellStyle name="Explanatory Text 6 2" xfId="2693"/>
    <cellStyle name="Explanatory Text 7" xfId="2694"/>
    <cellStyle name="Explanatory Text 8" xfId="2695"/>
    <cellStyle name="Explanatory Text 9" xfId="2696"/>
    <cellStyle name="Explanatory Text 9 2" xfId="2697"/>
    <cellStyle name="Explanatory Text 9 3" xfId="2698"/>
    <cellStyle name="Explanatory Text 9 4" xfId="2699"/>
    <cellStyle name="Ezres [0]_Cable" xfId="2700"/>
    <cellStyle name="Ezres_Cable" xfId="2701"/>
    <cellStyle name="F H.T." xfId="2702"/>
    <cellStyle name="f‰H_x0010_‹Ëf‰h,ÿt$_x0018_è¸Wÿÿé&gt;Ëÿÿ÷Ç_x0001_" xfId="4866"/>
    <cellStyle name="Fail" xfId="4545"/>
    <cellStyle name="Fail 2" xfId="4953"/>
    <cellStyle name="FF_EURO" xfId="2703"/>
    <cellStyle name="FieldName" xfId="4546"/>
    <cellStyle name="FiscalPeriod" xfId="4547"/>
    <cellStyle name="FiscalPeriod 2" xfId="4954"/>
    <cellStyle name="Fixed" xfId="2704"/>
    <cellStyle name="Fixed [0]" xfId="2705"/>
    <cellStyle name="Fixed 10" xfId="5226"/>
    <cellStyle name="Fixed 11" xfId="5110"/>
    <cellStyle name="Fixed 12" xfId="5181"/>
    <cellStyle name="Fixed 13" xfId="5325"/>
    <cellStyle name="Fixed 14" xfId="5101"/>
    <cellStyle name="Fixed 15" xfId="5400"/>
    <cellStyle name="Fixed 16" xfId="5410"/>
    <cellStyle name="Fixed 2" xfId="2706"/>
    <cellStyle name="Fixed 2 2" xfId="5170"/>
    <cellStyle name="Fixed 2 3" xfId="4955"/>
    <cellStyle name="Fixed 3" xfId="5169"/>
    <cellStyle name="Fixed 4" xfId="5321"/>
    <cellStyle name="Fixed 5" xfId="4712"/>
    <cellStyle name="Fixed 6" xfId="5298"/>
    <cellStyle name="Fixed 7" xfId="5330"/>
    <cellStyle name="Fixed 8" xfId="5248"/>
    <cellStyle name="Fixed 9" xfId="5099"/>
    <cellStyle name="Fixed_Cashflow Q1 CY09" xfId="2707"/>
    <cellStyle name="Footnote" xfId="2708"/>
    <cellStyle name="Footnote 2" xfId="5171"/>
    <cellStyle name="Footnote 3" xfId="4713"/>
    <cellStyle name="Forecast Cell Column Heading" xfId="2709"/>
    <cellStyle name="format - Style1" xfId="2710"/>
    <cellStyle name="Formula" xfId="2711"/>
    <cellStyle name="g_rate_AA - BenefitsBonus " xfId="4796"/>
    <cellStyle name="g_rate_AA - BenefitsBonus  2" xfId="5283"/>
    <cellStyle name="G02 Table Text" xfId="4548"/>
    <cellStyle name="G04_Main head" xfId="4549"/>
    <cellStyle name="G05 Tab Head Bold" xfId="4550"/>
    <cellStyle name="G05 Tab Head Bold 2" xfId="4551"/>
    <cellStyle name="G05 Tab Head Bold 3" xfId="4552"/>
    <cellStyle name="G05 Tab Head Bold 3 2" xfId="4553"/>
    <cellStyle name="G05 Tab Head Bold 4" xfId="4554"/>
    <cellStyle name="G05 Tab Head Bold 4 2" xfId="4555"/>
    <cellStyle name="G05 Tab Head Bold 5" xfId="4556"/>
    <cellStyle name="G05 Tab Head Bold 5 2" xfId="4557"/>
    <cellStyle name="G05 Tab Head Bold 6" xfId="4558"/>
    <cellStyle name="G05 Tab Head Light" xfId="4559"/>
    <cellStyle name="G05 Tab Head Light 2" xfId="4560"/>
    <cellStyle name="G05 Tab Head Light 3" xfId="4561"/>
    <cellStyle name="G05 Tab Head Light 3 2" xfId="4562"/>
    <cellStyle name="G05 Tab Head Light 4" xfId="4563"/>
    <cellStyle name="G05 Tab Head Light 4 2" xfId="4564"/>
    <cellStyle name="G05 Tab Head Light 5" xfId="4565"/>
    <cellStyle name="G05 Tab Head Light 5 2" xfId="4566"/>
    <cellStyle name="G05 Tab Head Light 6" xfId="4567"/>
    <cellStyle name="Geneva 9" xfId="2712"/>
    <cellStyle name="Giga" xfId="2713"/>
    <cellStyle name="Good 10" xfId="2714"/>
    <cellStyle name="Good 10 2" xfId="2715"/>
    <cellStyle name="Good 10 3" xfId="2716"/>
    <cellStyle name="Good 11" xfId="2717"/>
    <cellStyle name="Good 11 2" xfId="2718"/>
    <cellStyle name="Good 11 3" xfId="2719"/>
    <cellStyle name="Good 12" xfId="2720"/>
    <cellStyle name="Good 12 2" xfId="2721"/>
    <cellStyle name="Good 12 3" xfId="2722"/>
    <cellStyle name="Good 13" xfId="2723"/>
    <cellStyle name="Good 13 2" xfId="2724"/>
    <cellStyle name="Good 13 3" xfId="2725"/>
    <cellStyle name="Good 14" xfId="2726"/>
    <cellStyle name="Good 14 2" xfId="2727"/>
    <cellStyle name="Good 14 3" xfId="2728"/>
    <cellStyle name="Good 15" xfId="2729"/>
    <cellStyle name="Good 15 2" xfId="2730"/>
    <cellStyle name="Good 15 3" xfId="2731"/>
    <cellStyle name="Good 16" xfId="2732"/>
    <cellStyle name="Good 17" xfId="2733"/>
    <cellStyle name="Good 18" xfId="2734"/>
    <cellStyle name="Good 19" xfId="2735"/>
    <cellStyle name="Good 2" xfId="2736"/>
    <cellStyle name="Good 2 10" xfId="2737"/>
    <cellStyle name="Good 2 11" xfId="2738"/>
    <cellStyle name="Good 2 12" xfId="2739"/>
    <cellStyle name="Good 2 13" xfId="2740"/>
    <cellStyle name="Good 2 14" xfId="2741"/>
    <cellStyle name="Good 2 15" xfId="2742"/>
    <cellStyle name="Good 2 16" xfId="5174"/>
    <cellStyle name="Good 2 17" xfId="4867"/>
    <cellStyle name="Good 2 2" xfId="2743"/>
    <cellStyle name="Good 2 3" xfId="2744"/>
    <cellStyle name="Good 2 4" xfId="2745"/>
    <cellStyle name="Good 2 5" xfId="2746"/>
    <cellStyle name="Good 2 6" xfId="2747"/>
    <cellStyle name="Good 2 7" xfId="2748"/>
    <cellStyle name="Good 2 8" xfId="2749"/>
    <cellStyle name="Good 2 9" xfId="2750"/>
    <cellStyle name="Good 20" xfId="2751"/>
    <cellStyle name="Good 21" xfId="4715"/>
    <cellStyle name="Good 3" xfId="2752"/>
    <cellStyle name="Good 3 2" xfId="2753"/>
    <cellStyle name="Good 3 3" xfId="2754"/>
    <cellStyle name="Good 3 4" xfId="2755"/>
    <cellStyle name="Good 3 5" xfId="2756"/>
    <cellStyle name="Good 3 6" xfId="2757"/>
    <cellStyle name="Good 3 7" xfId="2758"/>
    <cellStyle name="Good 3 8" xfId="2759"/>
    <cellStyle name="Good 4" xfId="2760"/>
    <cellStyle name="Good 4 2" xfId="2761"/>
    <cellStyle name="Good 5" xfId="2762"/>
    <cellStyle name="Good 5 2" xfId="2763"/>
    <cellStyle name="Good 6" xfId="2764"/>
    <cellStyle name="Good 6 2" xfId="2765"/>
    <cellStyle name="Good 7" xfId="2766"/>
    <cellStyle name="Good 8" xfId="2767"/>
    <cellStyle name="Good 9" xfId="2768"/>
    <cellStyle name="Good 9 2" xfId="2769"/>
    <cellStyle name="Good 9 3" xfId="2770"/>
    <cellStyle name="Good 9 4" xfId="2771"/>
    <cellStyle name="Green" xfId="4568"/>
    <cellStyle name="Green 2" xfId="4956"/>
    <cellStyle name="Green 2 2" xfId="5417"/>
    <cellStyle name="Grey" xfId="2772"/>
    <cellStyle name="Grey 2" xfId="4569"/>
    <cellStyle name="Growth%" xfId="4957"/>
    <cellStyle name="GrowthRate" xfId="4958"/>
    <cellStyle name="Grün_Ausgabe" xfId="2773"/>
    <cellStyle name="hard no" xfId="4570"/>
    <cellStyle name="hard no 2" xfId="4738"/>
    <cellStyle name="Hard Percent" xfId="2774"/>
    <cellStyle name="hardno" xfId="4571"/>
    <cellStyle name="HEADER" xfId="2775"/>
    <cellStyle name="HEADER 10" xfId="5344"/>
    <cellStyle name="Header 2" xfId="2776"/>
    <cellStyle name="HEADER 3" xfId="5175"/>
    <cellStyle name="HEADER 4" xfId="5322"/>
    <cellStyle name="HEADER 5" xfId="4959"/>
    <cellStyle name="HEADER 6" xfId="5271"/>
    <cellStyle name="HEADER 7" xfId="5339"/>
    <cellStyle name="HEADER 8" xfId="5336"/>
    <cellStyle name="HEADER 9" xfId="5105"/>
    <cellStyle name="Header Total" xfId="2777"/>
    <cellStyle name="header_Balance Sheet July 9 IFRS Sept 18" xfId="2778"/>
    <cellStyle name="Header1" xfId="2779"/>
    <cellStyle name="Header1 2" xfId="4960"/>
    <cellStyle name="Header2" xfId="2780"/>
    <cellStyle name="Header2 2" xfId="4961"/>
    <cellStyle name="Header3" xfId="2781"/>
    <cellStyle name="Header4" xfId="2782"/>
    <cellStyle name="Header4 10" xfId="2783"/>
    <cellStyle name="Header4 11" xfId="2784"/>
    <cellStyle name="Header4 12" xfId="2785"/>
    <cellStyle name="Header4 2" xfId="2786"/>
    <cellStyle name="Header4 3" xfId="2787"/>
    <cellStyle name="Header4 4" xfId="2788"/>
    <cellStyle name="Header4 5" xfId="2789"/>
    <cellStyle name="Header4 6" xfId="2790"/>
    <cellStyle name="Header4 7" xfId="2791"/>
    <cellStyle name="Header4 8" xfId="2792"/>
    <cellStyle name="Header4 9" xfId="2793"/>
    <cellStyle name="Heading" xfId="2794"/>
    <cellStyle name="Heading 1 10" xfId="2795"/>
    <cellStyle name="Heading 1 10 2" xfId="2796"/>
    <cellStyle name="Heading 1 10 3" xfId="2797"/>
    <cellStyle name="Heading 1 10 4" xfId="2798"/>
    <cellStyle name="Heading 1 11" xfId="2799"/>
    <cellStyle name="Heading 1 11 2" xfId="2800"/>
    <cellStyle name="Heading 1 11 3" xfId="2801"/>
    <cellStyle name="Heading 1 11 4" xfId="2802"/>
    <cellStyle name="Heading 1 12" xfId="2803"/>
    <cellStyle name="Heading 1 12 2" xfId="2804"/>
    <cellStyle name="Heading 1 12 3" xfId="2805"/>
    <cellStyle name="Heading 1 12 4" xfId="2806"/>
    <cellStyle name="Heading 1 13" xfId="2807"/>
    <cellStyle name="Heading 1 13 2" xfId="2808"/>
    <cellStyle name="Heading 1 13 3" xfId="2809"/>
    <cellStyle name="Heading 1 13 4" xfId="2810"/>
    <cellStyle name="Heading 1 14" xfId="2811"/>
    <cellStyle name="Heading 1 14 2" xfId="2812"/>
    <cellStyle name="Heading 1 14 3" xfId="2813"/>
    <cellStyle name="Heading 1 14 4" xfId="2814"/>
    <cellStyle name="Heading 1 15" xfId="2815"/>
    <cellStyle name="Heading 1 15 2" xfId="2816"/>
    <cellStyle name="Heading 1 15 3" xfId="2817"/>
    <cellStyle name="Heading 1 15 4" xfId="2818"/>
    <cellStyle name="Heading 1 16" xfId="2819"/>
    <cellStyle name="Heading 1 17" xfId="2820"/>
    <cellStyle name="Heading 1 18" xfId="2821"/>
    <cellStyle name="Heading 1 19" xfId="2822"/>
    <cellStyle name="Heading 1 2" xfId="2823"/>
    <cellStyle name="Heading 1 2 10" xfId="2824"/>
    <cellStyle name="Heading 1 2 10 2" xfId="2825"/>
    <cellStyle name="Heading 1 2 11" xfId="2826"/>
    <cellStyle name="Heading 1 2 12" xfId="2827"/>
    <cellStyle name="Heading 1 2 13" xfId="2828"/>
    <cellStyle name="Heading 1 2 14" xfId="2829"/>
    <cellStyle name="Heading 1 2 15" xfId="2830"/>
    <cellStyle name="Heading 1 2 16" xfId="5176"/>
    <cellStyle name="Heading 1 2 17" xfId="4868"/>
    <cellStyle name="Heading 1 2 2" xfId="2831"/>
    <cellStyle name="Heading 1 2 3" xfId="2832"/>
    <cellStyle name="Heading 1 2 4" xfId="2833"/>
    <cellStyle name="Heading 1 2 5" xfId="2834"/>
    <cellStyle name="Heading 1 2 6" xfId="2835"/>
    <cellStyle name="Heading 1 2 7" xfId="2836"/>
    <cellStyle name="Heading 1 2 8" xfId="2837"/>
    <cellStyle name="Heading 1 2 9" xfId="2838"/>
    <cellStyle name="Heading 1 20" xfId="4716"/>
    <cellStyle name="Heading 1 3" xfId="2839"/>
    <cellStyle name="Heading 1 3 2" xfId="2840"/>
    <cellStyle name="Heading 1 3 2 2" xfId="2841"/>
    <cellStyle name="Heading 1 3 2 3" xfId="2842"/>
    <cellStyle name="Heading 1 3 3" xfId="2843"/>
    <cellStyle name="Heading 1 3 4" xfId="2844"/>
    <cellStyle name="Heading 1 3 5" xfId="2845"/>
    <cellStyle name="Heading 1 3 5 2" xfId="2846"/>
    <cellStyle name="Heading 1 3 6" xfId="2847"/>
    <cellStyle name="Heading 1 3 7" xfId="2848"/>
    <cellStyle name="Heading 1 3 8" xfId="2849"/>
    <cellStyle name="Heading 1 3 9" xfId="2850"/>
    <cellStyle name="Heading 1 4" xfId="2851"/>
    <cellStyle name="Heading 1 4 2" xfId="2852"/>
    <cellStyle name="Heading 1 4 3" xfId="2853"/>
    <cellStyle name="Heading 1 5" xfId="2854"/>
    <cellStyle name="Heading 1 5 2" xfId="2855"/>
    <cellStyle name="Heading 1 5 3" xfId="2856"/>
    <cellStyle name="Heading 1 6" xfId="2857"/>
    <cellStyle name="Heading 1 6 2" xfId="2858"/>
    <cellStyle name="Heading 1 6 3" xfId="2859"/>
    <cellStyle name="Heading 1 7" xfId="2860"/>
    <cellStyle name="Heading 1 7 2" xfId="2861"/>
    <cellStyle name="Heading 1 7 3" xfId="2862"/>
    <cellStyle name="Heading 1 8" xfId="2863"/>
    <cellStyle name="Heading 1 8 2" xfId="2864"/>
    <cellStyle name="Heading 1 8 3" xfId="2865"/>
    <cellStyle name="Heading 1 9" xfId="2866"/>
    <cellStyle name="Heading 1 9 2" xfId="2867"/>
    <cellStyle name="Heading 1 9 2 2" xfId="2868"/>
    <cellStyle name="Heading 1 9 3" xfId="2869"/>
    <cellStyle name="Heading 1 9 4" xfId="2870"/>
    <cellStyle name="Heading 1 9 5" xfId="2871"/>
    <cellStyle name="Heading 10" xfId="2872"/>
    <cellStyle name="Heading 11" xfId="2873"/>
    <cellStyle name="Heading 12" xfId="2874"/>
    <cellStyle name="Heading 13" xfId="2875"/>
    <cellStyle name="Heading 14" xfId="2876"/>
    <cellStyle name="Heading 15" xfId="2877"/>
    <cellStyle name="Heading 2 10" xfId="2878"/>
    <cellStyle name="Heading 2 10 2" xfId="2879"/>
    <cellStyle name="Heading 2 10 3" xfId="2880"/>
    <cellStyle name="Heading 2 10 4" xfId="2881"/>
    <cellStyle name="Heading 2 11" xfId="2882"/>
    <cellStyle name="Heading 2 11 2" xfId="2883"/>
    <cellStyle name="Heading 2 11 3" xfId="2884"/>
    <cellStyle name="Heading 2 11 4" xfId="2885"/>
    <cellStyle name="Heading 2 12" xfId="2886"/>
    <cellStyle name="Heading 2 12 2" xfId="2887"/>
    <cellStyle name="Heading 2 12 3" xfId="2888"/>
    <cellStyle name="Heading 2 12 4" xfId="2889"/>
    <cellStyle name="Heading 2 13" xfId="2890"/>
    <cellStyle name="Heading 2 13 2" xfId="2891"/>
    <cellStyle name="Heading 2 13 3" xfId="2892"/>
    <cellStyle name="Heading 2 13 4" xfId="2893"/>
    <cellStyle name="Heading 2 14" xfId="2894"/>
    <cellStyle name="Heading 2 14 2" xfId="2895"/>
    <cellStyle name="Heading 2 14 3" xfId="2896"/>
    <cellStyle name="Heading 2 14 4" xfId="2897"/>
    <cellStyle name="Heading 2 15" xfId="2898"/>
    <cellStyle name="Heading 2 15 2" xfId="2899"/>
    <cellStyle name="Heading 2 15 3" xfId="2900"/>
    <cellStyle name="Heading 2 15 4" xfId="2901"/>
    <cellStyle name="Heading 2 16" xfId="2902"/>
    <cellStyle name="Heading 2 17" xfId="2903"/>
    <cellStyle name="Heading 2 18" xfId="2904"/>
    <cellStyle name="Heading 2 19" xfId="2905"/>
    <cellStyle name="Heading 2 2" xfId="2906"/>
    <cellStyle name="Heading 2 2 10" xfId="2907"/>
    <cellStyle name="Heading 2 2 10 2" xfId="2908"/>
    <cellStyle name="Heading 2 2 11" xfId="2909"/>
    <cellStyle name="Heading 2 2 12" xfId="2910"/>
    <cellStyle name="Heading 2 2 13" xfId="2911"/>
    <cellStyle name="Heading 2 2 14" xfId="2912"/>
    <cellStyle name="Heading 2 2 15" xfId="2913"/>
    <cellStyle name="Heading 2 2 16" xfId="5177"/>
    <cellStyle name="Heading 2 2 17" xfId="4869"/>
    <cellStyle name="Heading 2 2 2" xfId="2914"/>
    <cellStyle name="Heading 2 2 3" xfId="2915"/>
    <cellStyle name="Heading 2 2 4" xfId="2916"/>
    <cellStyle name="Heading 2 2 5" xfId="2917"/>
    <cellStyle name="Heading 2 2 6" xfId="2918"/>
    <cellStyle name="Heading 2 2 7" xfId="2919"/>
    <cellStyle name="Heading 2 2 8" xfId="2920"/>
    <cellStyle name="Heading 2 2 9" xfId="2921"/>
    <cellStyle name="Heading 2 20" xfId="4717"/>
    <cellStyle name="Heading 2 3" xfId="2922"/>
    <cellStyle name="Heading 2 3 2" xfId="2923"/>
    <cellStyle name="Heading 2 3 2 2" xfId="2924"/>
    <cellStyle name="Heading 2 3 2 3" xfId="2925"/>
    <cellStyle name="Heading 2 3 3" xfId="2926"/>
    <cellStyle name="Heading 2 3 4" xfId="2927"/>
    <cellStyle name="Heading 2 3 5" xfId="2928"/>
    <cellStyle name="Heading 2 3 5 2" xfId="2929"/>
    <cellStyle name="Heading 2 3 6" xfId="2930"/>
    <cellStyle name="Heading 2 3 7" xfId="2931"/>
    <cellStyle name="Heading 2 3 8" xfId="2932"/>
    <cellStyle name="Heading 2 3 9" xfId="2933"/>
    <cellStyle name="Heading 2 4" xfId="2934"/>
    <cellStyle name="Heading 2 4 2" xfId="2935"/>
    <cellStyle name="Heading 2 4 3" xfId="2936"/>
    <cellStyle name="Heading 2 5" xfId="2937"/>
    <cellStyle name="Heading 2 5 2" xfId="2938"/>
    <cellStyle name="Heading 2 5 3" xfId="2939"/>
    <cellStyle name="Heading 2 6" xfId="2940"/>
    <cellStyle name="Heading 2 6 2" xfId="2941"/>
    <cellStyle name="Heading 2 6 3" xfId="2942"/>
    <cellStyle name="Heading 2 7" xfId="2943"/>
    <cellStyle name="Heading 2 7 2" xfId="2944"/>
    <cellStyle name="Heading 2 7 3" xfId="2945"/>
    <cellStyle name="Heading 2 8" xfId="2946"/>
    <cellStyle name="Heading 2 8 2" xfId="2947"/>
    <cellStyle name="Heading 2 8 3" xfId="2948"/>
    <cellStyle name="Heading 2 9" xfId="2949"/>
    <cellStyle name="Heading 2 9 2" xfId="2950"/>
    <cellStyle name="Heading 2 9 2 2" xfId="2951"/>
    <cellStyle name="Heading 2 9 3" xfId="2952"/>
    <cellStyle name="Heading 2 9 4" xfId="2953"/>
    <cellStyle name="Heading 2 9 5" xfId="2954"/>
    <cellStyle name="Heading 3 10" xfId="2955"/>
    <cellStyle name="Heading 3 10 2" xfId="2956"/>
    <cellStyle name="Heading 3 10 3" xfId="2957"/>
    <cellStyle name="Heading 3 10 4" xfId="2958"/>
    <cellStyle name="Heading 3 11" xfId="2959"/>
    <cellStyle name="Heading 3 11 2" xfId="2960"/>
    <cellStyle name="Heading 3 11 3" xfId="2961"/>
    <cellStyle name="Heading 3 11 4" xfId="2962"/>
    <cellStyle name="Heading 3 12" xfId="2963"/>
    <cellStyle name="Heading 3 12 2" xfId="2964"/>
    <cellStyle name="Heading 3 12 3" xfId="2965"/>
    <cellStyle name="Heading 3 12 4" xfId="2966"/>
    <cellStyle name="Heading 3 13" xfId="2967"/>
    <cellStyle name="Heading 3 13 2" xfId="2968"/>
    <cellStyle name="Heading 3 13 3" xfId="2969"/>
    <cellStyle name="Heading 3 13 4" xfId="2970"/>
    <cellStyle name="Heading 3 14" xfId="2971"/>
    <cellStyle name="Heading 3 14 2" xfId="2972"/>
    <cellStyle name="Heading 3 14 3" xfId="2973"/>
    <cellStyle name="Heading 3 14 4" xfId="2974"/>
    <cellStyle name="Heading 3 15" xfId="2975"/>
    <cellStyle name="Heading 3 15 2" xfId="2976"/>
    <cellStyle name="Heading 3 15 3" xfId="2977"/>
    <cellStyle name="Heading 3 15 4" xfId="2978"/>
    <cellStyle name="Heading 3 16" xfId="2979"/>
    <cellStyle name="Heading 3 17" xfId="2980"/>
    <cellStyle name="Heading 3 18" xfId="2981"/>
    <cellStyle name="Heading 3 19" xfId="2982"/>
    <cellStyle name="Heading 3 2" xfId="2983"/>
    <cellStyle name="Heading 3 2 10" xfId="2984"/>
    <cellStyle name="Heading 3 2 10 2" xfId="2985"/>
    <cellStyle name="Heading 3 2 11" xfId="2986"/>
    <cellStyle name="Heading 3 2 12" xfId="2987"/>
    <cellStyle name="Heading 3 2 13" xfId="2988"/>
    <cellStyle name="Heading 3 2 14" xfId="2989"/>
    <cellStyle name="Heading 3 2 15" xfId="2990"/>
    <cellStyle name="Heading 3 2 16" xfId="5179"/>
    <cellStyle name="Heading 3 2 17" xfId="4870"/>
    <cellStyle name="Heading 3 2 2" xfId="2991"/>
    <cellStyle name="Heading 3 2 3" xfId="2992"/>
    <cellStyle name="Heading 3 2 4" xfId="2993"/>
    <cellStyle name="Heading 3 2 5" xfId="2994"/>
    <cellStyle name="Heading 3 2 6" xfId="2995"/>
    <cellStyle name="Heading 3 2 7" xfId="2996"/>
    <cellStyle name="Heading 3 2 8" xfId="2997"/>
    <cellStyle name="Heading 3 2 9" xfId="2998"/>
    <cellStyle name="Heading 3 20" xfId="4718"/>
    <cellStyle name="Heading 3 3" xfId="2999"/>
    <cellStyle name="Heading 3 3 2" xfId="3000"/>
    <cellStyle name="Heading 3 3 2 2" xfId="3001"/>
    <cellStyle name="Heading 3 3 2 3" xfId="3002"/>
    <cellStyle name="Heading 3 3 3" xfId="3003"/>
    <cellStyle name="Heading 3 3 4" xfId="3004"/>
    <cellStyle name="Heading 3 3 5" xfId="3005"/>
    <cellStyle name="Heading 3 3 5 2" xfId="3006"/>
    <cellStyle name="Heading 3 3 6" xfId="3007"/>
    <cellStyle name="Heading 3 3 7" xfId="3008"/>
    <cellStyle name="Heading 3 3 8" xfId="3009"/>
    <cellStyle name="Heading 3 3 9" xfId="3010"/>
    <cellStyle name="Heading 3 4" xfId="3011"/>
    <cellStyle name="Heading 3 4 2" xfId="3012"/>
    <cellStyle name="Heading 3 4 3" xfId="3013"/>
    <cellStyle name="Heading 3 5" xfId="3014"/>
    <cellStyle name="Heading 3 5 2" xfId="3015"/>
    <cellStyle name="Heading 3 5 3" xfId="3016"/>
    <cellStyle name="Heading 3 6" xfId="3017"/>
    <cellStyle name="Heading 3 6 2" xfId="3018"/>
    <cellStyle name="Heading 3 6 3" xfId="3019"/>
    <cellStyle name="Heading 3 7" xfId="3020"/>
    <cellStyle name="Heading 3 7 2" xfId="3021"/>
    <cellStyle name="Heading 3 7 3" xfId="3022"/>
    <cellStyle name="Heading 3 8" xfId="3023"/>
    <cellStyle name="Heading 3 8 2" xfId="3024"/>
    <cellStyle name="Heading 3 8 3" xfId="3025"/>
    <cellStyle name="Heading 3 9" xfId="3026"/>
    <cellStyle name="Heading 3 9 2" xfId="3027"/>
    <cellStyle name="Heading 3 9 2 2" xfId="3028"/>
    <cellStyle name="Heading 3 9 3" xfId="3029"/>
    <cellStyle name="Heading 3 9 4" xfId="3030"/>
    <cellStyle name="Heading 3 9 5" xfId="3031"/>
    <cellStyle name="Heading 4 10" xfId="3032"/>
    <cellStyle name="Heading 4 10 2" xfId="3033"/>
    <cellStyle name="Heading 4 10 3" xfId="3034"/>
    <cellStyle name="Heading 4 10 4" xfId="3035"/>
    <cellStyle name="Heading 4 11" xfId="3036"/>
    <cellStyle name="Heading 4 11 2" xfId="3037"/>
    <cellStyle name="Heading 4 11 3" xfId="3038"/>
    <cellStyle name="Heading 4 11 4" xfId="3039"/>
    <cellStyle name="Heading 4 12" xfId="3040"/>
    <cellStyle name="Heading 4 12 2" xfId="3041"/>
    <cellStyle name="Heading 4 12 3" xfId="3042"/>
    <cellStyle name="Heading 4 12 4" xfId="3043"/>
    <cellStyle name="Heading 4 13" xfId="3044"/>
    <cellStyle name="Heading 4 13 2" xfId="3045"/>
    <cellStyle name="Heading 4 13 3" xfId="3046"/>
    <cellStyle name="Heading 4 13 4" xfId="3047"/>
    <cellStyle name="Heading 4 14" xfId="3048"/>
    <cellStyle name="Heading 4 14 2" xfId="3049"/>
    <cellStyle name="Heading 4 14 3" xfId="3050"/>
    <cellStyle name="Heading 4 14 4" xfId="3051"/>
    <cellStyle name="Heading 4 15" xfId="3052"/>
    <cellStyle name="Heading 4 15 2" xfId="3053"/>
    <cellStyle name="Heading 4 15 3" xfId="3054"/>
    <cellStyle name="Heading 4 15 4" xfId="3055"/>
    <cellStyle name="Heading 4 16" xfId="3056"/>
    <cellStyle name="Heading 4 17" xfId="3057"/>
    <cellStyle name="Heading 4 18" xfId="3058"/>
    <cellStyle name="Heading 4 19" xfId="3059"/>
    <cellStyle name="Heading 4 2" xfId="3060"/>
    <cellStyle name="Heading 4 2 10" xfId="3061"/>
    <cellStyle name="Heading 4 2 10 2" xfId="3062"/>
    <cellStyle name="Heading 4 2 11" xfId="3063"/>
    <cellStyle name="Heading 4 2 12" xfId="3064"/>
    <cellStyle name="Heading 4 2 13" xfId="3065"/>
    <cellStyle name="Heading 4 2 14" xfId="3066"/>
    <cellStyle name="Heading 4 2 15" xfId="3067"/>
    <cellStyle name="Heading 4 2 2" xfId="3068"/>
    <cellStyle name="Heading 4 2 3" xfId="3069"/>
    <cellStyle name="Heading 4 2 4" xfId="3070"/>
    <cellStyle name="Heading 4 2 5" xfId="3071"/>
    <cellStyle name="Heading 4 2 6" xfId="3072"/>
    <cellStyle name="Heading 4 2 7" xfId="3073"/>
    <cellStyle name="Heading 4 2 8" xfId="3074"/>
    <cellStyle name="Heading 4 2 9" xfId="3075"/>
    <cellStyle name="Heading 4 3" xfId="3076"/>
    <cellStyle name="Heading 4 3 2" xfId="3077"/>
    <cellStyle name="Heading 4 3 2 2" xfId="3078"/>
    <cellStyle name="Heading 4 3 2 3" xfId="3079"/>
    <cellStyle name="Heading 4 3 3" xfId="3080"/>
    <cellStyle name="Heading 4 3 4" xfId="3081"/>
    <cellStyle name="Heading 4 3 5" xfId="3082"/>
    <cellStyle name="Heading 4 3 5 2" xfId="3083"/>
    <cellStyle name="Heading 4 3 6" xfId="3084"/>
    <cellStyle name="Heading 4 3 7" xfId="3085"/>
    <cellStyle name="Heading 4 3 8" xfId="3086"/>
    <cellStyle name="Heading 4 3 9" xfId="3087"/>
    <cellStyle name="Heading 4 4" xfId="3088"/>
    <cellStyle name="Heading 4 4 2" xfId="3089"/>
    <cellStyle name="Heading 4 4 3" xfId="3090"/>
    <cellStyle name="Heading 4 5" xfId="3091"/>
    <cellStyle name="Heading 4 5 2" xfId="3092"/>
    <cellStyle name="Heading 4 5 3" xfId="3093"/>
    <cellStyle name="Heading 4 6" xfId="3094"/>
    <cellStyle name="Heading 4 6 2" xfId="3095"/>
    <cellStyle name="Heading 4 6 3" xfId="3096"/>
    <cellStyle name="Heading 4 7" xfId="3097"/>
    <cellStyle name="Heading 4 7 2" xfId="3098"/>
    <cellStyle name="Heading 4 7 3" xfId="3099"/>
    <cellStyle name="Heading 4 8" xfId="3100"/>
    <cellStyle name="Heading 4 8 2" xfId="3101"/>
    <cellStyle name="Heading 4 8 3" xfId="3102"/>
    <cellStyle name="Heading 4 9" xfId="3103"/>
    <cellStyle name="Heading 4 9 2" xfId="3104"/>
    <cellStyle name="Heading 4 9 2 2" xfId="3105"/>
    <cellStyle name="Heading 4 9 3" xfId="3106"/>
    <cellStyle name="Heading 4 9 4" xfId="3107"/>
    <cellStyle name="Heading 4 9 5" xfId="3108"/>
    <cellStyle name="Heading 5" xfId="3109"/>
    <cellStyle name="Heading 6" xfId="3110"/>
    <cellStyle name="Heading 7" xfId="3111"/>
    <cellStyle name="Heading 8" xfId="3112"/>
    <cellStyle name="Heading 9" xfId="3113"/>
    <cellStyle name="Heading I" xfId="3114"/>
    <cellStyle name="heading info" xfId="3115"/>
    <cellStyle name="Heading1" xfId="3116"/>
    <cellStyle name="Heading1 2" xfId="3117"/>
    <cellStyle name="Heading1 3" xfId="5187"/>
    <cellStyle name="Heading1 4" xfId="4962"/>
    <cellStyle name="Heading2" xfId="3118"/>
    <cellStyle name="Heading2 2" xfId="3119"/>
    <cellStyle name="Heading2 3" xfId="5188"/>
    <cellStyle name="Heading2 4" xfId="4963"/>
    <cellStyle name="HEADINGS" xfId="3120"/>
    <cellStyle name="HEADINGS 2" xfId="3121"/>
    <cellStyle name="HEADINGSTOP" xfId="3122"/>
    <cellStyle name="HEADINGSTOP 2" xfId="3123"/>
    <cellStyle name="Headline1" xfId="3124"/>
    <cellStyle name="Headline2" xfId="3125"/>
    <cellStyle name="Headline3" xfId="3126"/>
    <cellStyle name="Hidden" xfId="4572"/>
    <cellStyle name="Hidden 2" xfId="4964"/>
    <cellStyle name="Hidden Decimal 0,00" xfId="3127"/>
    <cellStyle name="HIGHLIGHT" xfId="3128"/>
    <cellStyle name="HIGHLIGHT 2" xfId="5189"/>
    <cellStyle name="HIGHLIGHT 3" xfId="4965"/>
    <cellStyle name="Hyperlink 2" xfId="4797"/>
    <cellStyle name="Hyperlink 2 2" xfId="5066"/>
    <cellStyle name="Hyperlink 3" xfId="4719"/>
    <cellStyle name="Id" xfId="3129"/>
    <cellStyle name="Income Statement" xfId="4966"/>
    <cellStyle name="IncomeStatement" xfId="4967"/>
    <cellStyle name="indicatif_nv" xfId="3130"/>
    <cellStyle name="initial" xfId="3131"/>
    <cellStyle name="Input [%]" xfId="3132"/>
    <cellStyle name="Input [%0]" xfId="3133"/>
    <cellStyle name="Input [%00]" xfId="3134"/>
    <cellStyle name="Input [0]" xfId="3135"/>
    <cellStyle name="Input [00]" xfId="3136"/>
    <cellStyle name="Input [yellow]" xfId="3137"/>
    <cellStyle name="Input [yellow] 2" xfId="4573"/>
    <cellStyle name="Input 10" xfId="3138"/>
    <cellStyle name="Input 10 2" xfId="3139"/>
    <cellStyle name="Input 10 3" xfId="3140"/>
    <cellStyle name="Input 10 4" xfId="3141"/>
    <cellStyle name="Input 10 5" xfId="5190"/>
    <cellStyle name="Input 10 6" xfId="5068"/>
    <cellStyle name="Input 11" xfId="3142"/>
    <cellStyle name="Input 11 2" xfId="3143"/>
    <cellStyle name="Input 11 3" xfId="3144"/>
    <cellStyle name="Input 11 4" xfId="3145"/>
    <cellStyle name="Input 11 5" xfId="5191"/>
    <cellStyle name="Input 11 6" xfId="5073"/>
    <cellStyle name="Input 12" xfId="3146"/>
    <cellStyle name="Input 12 2" xfId="3147"/>
    <cellStyle name="Input 12 3" xfId="3148"/>
    <cellStyle name="Input 12 4" xfId="3149"/>
    <cellStyle name="Input 12 5" xfId="5192"/>
    <cellStyle name="Input 12 6" xfId="5070"/>
    <cellStyle name="Input 13" xfId="3150"/>
    <cellStyle name="Input 13 2" xfId="3151"/>
    <cellStyle name="Input 13 3" xfId="3152"/>
    <cellStyle name="Input 13 4" xfId="3153"/>
    <cellStyle name="Input 13 5" xfId="5193"/>
    <cellStyle name="Input 13 6" xfId="5059"/>
    <cellStyle name="Input 14" xfId="3154"/>
    <cellStyle name="Input 14 2" xfId="3155"/>
    <cellStyle name="Input 14 3" xfId="3156"/>
    <cellStyle name="Input 14 4" xfId="3157"/>
    <cellStyle name="Input 15" xfId="3158"/>
    <cellStyle name="Input 15 2" xfId="3159"/>
    <cellStyle name="Input 15 3" xfId="3160"/>
    <cellStyle name="Input 15 4" xfId="3161"/>
    <cellStyle name="Input 16" xfId="3162"/>
    <cellStyle name="Input 17" xfId="3163"/>
    <cellStyle name="Input 18" xfId="3164"/>
    <cellStyle name="Input 19" xfId="3165"/>
    <cellStyle name="Input 2" xfId="3166"/>
    <cellStyle name="Input 2 10" xfId="3167"/>
    <cellStyle name="Input 2 10 2" xfId="3168"/>
    <cellStyle name="Input 2 11" xfId="3169"/>
    <cellStyle name="Input 2 12" xfId="3170"/>
    <cellStyle name="Input 2 13" xfId="3171"/>
    <cellStyle name="Input 2 14" xfId="3172"/>
    <cellStyle name="Input 2 15" xfId="3173"/>
    <cellStyle name="Input 2 16" xfId="5194"/>
    <cellStyle name="Input 2 17" xfId="4872"/>
    <cellStyle name="Input 2 2" xfId="3174"/>
    <cellStyle name="Input 2 3" xfId="3175"/>
    <cellStyle name="Input 2 4" xfId="3176"/>
    <cellStyle name="Input 2 5" xfId="3177"/>
    <cellStyle name="Input 2 6" xfId="3178"/>
    <cellStyle name="Input 2 7" xfId="3179"/>
    <cellStyle name="Input 2 8" xfId="3180"/>
    <cellStyle name="Input 2 9" xfId="3181"/>
    <cellStyle name="Input 20" xfId="3182"/>
    <cellStyle name="Input 21" xfId="3183"/>
    <cellStyle name="Input 22" xfId="3184"/>
    <cellStyle name="Input 23" xfId="4720"/>
    <cellStyle name="Input 24" xfId="5297"/>
    <cellStyle name="Input 25" xfId="5329"/>
    <cellStyle name="Input 26" xfId="5246"/>
    <cellStyle name="Input 27" xfId="5100"/>
    <cellStyle name="Input 28" xfId="4882"/>
    <cellStyle name="Input 29" xfId="5245"/>
    <cellStyle name="Input 3" xfId="3185"/>
    <cellStyle name="Input 3 10" xfId="5195"/>
    <cellStyle name="Input 3 11" xfId="4929"/>
    <cellStyle name="Input 3 2" xfId="3186"/>
    <cellStyle name="Input 3 3" xfId="3187"/>
    <cellStyle name="Input 3 4" xfId="3188"/>
    <cellStyle name="Input 3 5" xfId="3189"/>
    <cellStyle name="Input 3 6" xfId="3190"/>
    <cellStyle name="Input 3 7" xfId="3191"/>
    <cellStyle name="Input 3 8" xfId="3192"/>
    <cellStyle name="Input 3 9" xfId="3193"/>
    <cellStyle name="Input 30" xfId="4871"/>
    <cellStyle name="Input 31" xfId="5117"/>
    <cellStyle name="Input 32" xfId="5308"/>
    <cellStyle name="Input 33" xfId="5401"/>
    <cellStyle name="Input 34" xfId="5409"/>
    <cellStyle name="Input 4" xfId="3194"/>
    <cellStyle name="Input 4 2" xfId="3195"/>
    <cellStyle name="Input 4 3" xfId="3196"/>
    <cellStyle name="Input 4 4" xfId="5196"/>
    <cellStyle name="Input 4 5" xfId="5075"/>
    <cellStyle name="Input 5" xfId="3197"/>
    <cellStyle name="Input 5 2" xfId="3198"/>
    <cellStyle name="Input 5 3" xfId="3199"/>
    <cellStyle name="Input 5 4" xfId="5197"/>
    <cellStyle name="Input 5 5" xfId="5077"/>
    <cellStyle name="Input 6" xfId="3200"/>
    <cellStyle name="Input 6 2" xfId="3201"/>
    <cellStyle name="Input 6 3" xfId="3202"/>
    <cellStyle name="Input 6 4" xfId="5198"/>
    <cellStyle name="Input 6 5" xfId="5067"/>
    <cellStyle name="Input 7" xfId="3203"/>
    <cellStyle name="Input 7 2" xfId="3204"/>
    <cellStyle name="Input 7 3" xfId="3205"/>
    <cellStyle name="Input 7 4" xfId="5199"/>
    <cellStyle name="Input 7 5" xfId="5074"/>
    <cellStyle name="Input 8" xfId="3206"/>
    <cellStyle name="Input 8 2" xfId="3207"/>
    <cellStyle name="Input 8 3" xfId="3208"/>
    <cellStyle name="Input 8 4" xfId="5200"/>
    <cellStyle name="Input 8 5" xfId="4874"/>
    <cellStyle name="Input 9" xfId="3209"/>
    <cellStyle name="Input 9 2" xfId="3210"/>
    <cellStyle name="Input 9 3" xfId="3211"/>
    <cellStyle name="Input 9 4" xfId="3212"/>
    <cellStyle name="Input 9 5" xfId="3213"/>
    <cellStyle name="Input 9 6" xfId="5201"/>
    <cellStyle name="Input 9 7" xfId="5076"/>
    <cellStyle name="Input Cells" xfId="3214"/>
    <cellStyle name="Input Col_Heading" xfId="3215"/>
    <cellStyle name="Input Currency" xfId="3216"/>
    <cellStyle name="Input Decimal 0" xfId="3217"/>
    <cellStyle name="Input Decimal 0 10" xfId="3218"/>
    <cellStyle name="Input Decimal 0 11" xfId="3219"/>
    <cellStyle name="Input Decimal 0 12" xfId="3220"/>
    <cellStyle name="Input Decimal 0 2" xfId="3221"/>
    <cellStyle name="Input Decimal 0 3" xfId="3222"/>
    <cellStyle name="Input Decimal 0 4" xfId="3223"/>
    <cellStyle name="Input Decimal 0 5" xfId="3224"/>
    <cellStyle name="Input Decimal 0 6" xfId="3225"/>
    <cellStyle name="Input Decimal 0 7" xfId="3226"/>
    <cellStyle name="Input Decimal 0 8" xfId="3227"/>
    <cellStyle name="Input Decimal 0 9" xfId="3228"/>
    <cellStyle name="Input Decimal 0,00" xfId="3229"/>
    <cellStyle name="Input Decimal 0,00 10" xfId="3230"/>
    <cellStyle name="Input Decimal 0,00 11" xfId="3231"/>
    <cellStyle name="Input Decimal 0,00 12" xfId="3232"/>
    <cellStyle name="Input Decimal 0,00 2" xfId="3233"/>
    <cellStyle name="Input Decimal 0,00 3" xfId="3234"/>
    <cellStyle name="Input Decimal 0,00 4" xfId="3235"/>
    <cellStyle name="Input Decimal 0,00 5" xfId="3236"/>
    <cellStyle name="Input Decimal 0,00 6" xfId="3237"/>
    <cellStyle name="Input Decimal 0,00 7" xfId="3238"/>
    <cellStyle name="Input Decimal 0,00 8" xfId="3239"/>
    <cellStyle name="Input Decimal 0,00 9" xfId="3240"/>
    <cellStyle name="Input Decimal 0_7.2.3. CAPEX" xfId="3241"/>
    <cellStyle name="Input Normal" xfId="3242"/>
    <cellStyle name="Input Percent" xfId="3243"/>
    <cellStyle name="Input Percent 0" xfId="3244"/>
    <cellStyle name="Input Percent 0 10" xfId="3245"/>
    <cellStyle name="Input Percent 0 11" xfId="3246"/>
    <cellStyle name="Input Percent 0 12" xfId="3247"/>
    <cellStyle name="Input Percent 0 2" xfId="3248"/>
    <cellStyle name="Input Percent 0 3" xfId="3249"/>
    <cellStyle name="Input Percent 0 4" xfId="3250"/>
    <cellStyle name="Input Percent 0 5" xfId="3251"/>
    <cellStyle name="Input Percent 0 6" xfId="3252"/>
    <cellStyle name="Input Percent 0 7" xfId="3253"/>
    <cellStyle name="Input Percent 0 8" xfId="3254"/>
    <cellStyle name="Input Percent 0 9" xfId="3255"/>
    <cellStyle name="Input Percent 0,00" xfId="3256"/>
    <cellStyle name="Input Percent 0,00 10" xfId="3257"/>
    <cellStyle name="Input Percent 0,00 11" xfId="3258"/>
    <cellStyle name="Input Percent 0,00 12" xfId="3259"/>
    <cellStyle name="Input Percent 0,00 2" xfId="3260"/>
    <cellStyle name="Input Percent 0,00 3" xfId="3261"/>
    <cellStyle name="Input Percent 0,00 4" xfId="3262"/>
    <cellStyle name="Input Percent 0,00 5" xfId="3263"/>
    <cellStyle name="Input Percent 0,00 6" xfId="3264"/>
    <cellStyle name="Input Percent 0,00 7" xfId="3265"/>
    <cellStyle name="Input Percent 0,00 8" xfId="3266"/>
    <cellStyle name="Input Percent 0,00 9" xfId="3267"/>
    <cellStyle name="Input Percent 0_7.2.3. CAPEX" xfId="3268"/>
    <cellStyle name="Input Titles" xfId="3269"/>
    <cellStyle name="InputBlueFont" xfId="4574"/>
    <cellStyle name="InputDetailDate" xfId="3270"/>
    <cellStyle name="InputDetailInt" xfId="3271"/>
    <cellStyle name="InputDetailPct" xfId="3272"/>
    <cellStyle name="InputLockedInt" xfId="3273"/>
    <cellStyle name="InputLockedPct" xfId="3274"/>
    <cellStyle name="Integer" xfId="4575"/>
    <cellStyle name="Integer 2" xfId="4968"/>
    <cellStyle name="Invisible" xfId="3275"/>
    <cellStyle name="Italic" xfId="4969"/>
    <cellStyle name="Item_Book2" xfId="4873"/>
    <cellStyle name="Kilo" xfId="3276"/>
    <cellStyle name="kopregel" xfId="3277"/>
    <cellStyle name="KP_Normal" xfId="4576"/>
    <cellStyle name="KPMG Heading 1" xfId="4970"/>
    <cellStyle name="KPMG Heading 2" xfId="4971"/>
    <cellStyle name="KPMG Heading 3" xfId="4972"/>
    <cellStyle name="KPMG Heading 4" xfId="4973"/>
    <cellStyle name="KPMG Normal" xfId="4974"/>
    <cellStyle name="KPMG Normal Text" xfId="4975"/>
    <cellStyle name="l]_x000d__x000a_Path=M:\RIOCEN01_x000d__x000a_Name=Carlos Emilio Brousse_x000d__x000a_DDEApps=nsf,nsg,nsh,ntf,ns2,ors,org_x000d__x000a_SmartIcons=Todos_x000d__x000a_" xfId="4976"/>
    <cellStyle name="LB Style" xfId="3278"/>
    <cellStyle name="Lien hypertexte_PERSONAL" xfId="3279"/>
    <cellStyle name="LineItemPrompt" xfId="3280"/>
    <cellStyle name="LineItemValue" xfId="3281"/>
    <cellStyle name="Link Currency (0)" xfId="3282"/>
    <cellStyle name="Link Currency (0) 2" xfId="3283"/>
    <cellStyle name="Link Currency (2)" xfId="3284"/>
    <cellStyle name="Link Currency (2) 2" xfId="3285"/>
    <cellStyle name="Link Units (0)" xfId="3286"/>
    <cellStyle name="Link Units (0) 2" xfId="3287"/>
    <cellStyle name="Link Units (1)" xfId="3288"/>
    <cellStyle name="Link Units (1) 2" xfId="3289"/>
    <cellStyle name="Link Units (2)" xfId="3290"/>
    <cellStyle name="Link Units (2) 2" xfId="3291"/>
    <cellStyle name="Linked" xfId="3292"/>
    <cellStyle name="Linked Cell 10" xfId="3293"/>
    <cellStyle name="Linked Cell 10 2" xfId="3294"/>
    <cellStyle name="Linked Cell 10 3" xfId="3295"/>
    <cellStyle name="Linked Cell 11" xfId="3296"/>
    <cellStyle name="Linked Cell 11 2" xfId="3297"/>
    <cellStyle name="Linked Cell 11 3" xfId="3298"/>
    <cellStyle name="Linked Cell 12" xfId="3299"/>
    <cellStyle name="Linked Cell 12 2" xfId="3300"/>
    <cellStyle name="Linked Cell 12 3" xfId="3301"/>
    <cellStyle name="Linked Cell 13" xfId="3302"/>
    <cellStyle name="Linked Cell 13 2" xfId="3303"/>
    <cellStyle name="Linked Cell 13 3" xfId="3304"/>
    <cellStyle name="Linked Cell 14" xfId="3305"/>
    <cellStyle name="Linked Cell 14 2" xfId="3306"/>
    <cellStyle name="Linked Cell 14 3" xfId="3307"/>
    <cellStyle name="Linked Cell 15" xfId="3308"/>
    <cellStyle name="Linked Cell 15 2" xfId="3309"/>
    <cellStyle name="Linked Cell 15 3" xfId="3310"/>
    <cellStyle name="Linked Cell 16" xfId="3311"/>
    <cellStyle name="Linked Cell 17" xfId="3312"/>
    <cellStyle name="Linked Cell 18" xfId="3313"/>
    <cellStyle name="Linked Cell 19" xfId="3314"/>
    <cellStyle name="Linked Cell 2" xfId="3315"/>
    <cellStyle name="Linked Cell 2 10" xfId="3316"/>
    <cellStyle name="Linked Cell 2 11" xfId="3317"/>
    <cellStyle name="Linked Cell 2 12" xfId="3318"/>
    <cellStyle name="Linked Cell 2 13" xfId="3319"/>
    <cellStyle name="Linked Cell 2 14" xfId="3320"/>
    <cellStyle name="Linked Cell 2 15" xfId="3321"/>
    <cellStyle name="Linked Cell 2 16" xfId="5203"/>
    <cellStyle name="Linked Cell 2 2" xfId="3322"/>
    <cellStyle name="Linked Cell 2 3" xfId="3323"/>
    <cellStyle name="Linked Cell 2 4" xfId="3324"/>
    <cellStyle name="Linked Cell 2 5" xfId="3325"/>
    <cellStyle name="Linked Cell 2 6" xfId="3326"/>
    <cellStyle name="Linked Cell 2 7" xfId="3327"/>
    <cellStyle name="Linked Cell 2 8" xfId="3328"/>
    <cellStyle name="Linked Cell 2 9" xfId="3329"/>
    <cellStyle name="Linked Cell 3" xfId="3330"/>
    <cellStyle name="Linked Cell 3 2" xfId="3331"/>
    <cellStyle name="Linked Cell 3 3" xfId="3332"/>
    <cellStyle name="Linked Cell 3 4" xfId="3333"/>
    <cellStyle name="Linked Cell 3 5" xfId="3334"/>
    <cellStyle name="Linked Cell 3 5 2" xfId="3335"/>
    <cellStyle name="Linked Cell 3 6" xfId="3336"/>
    <cellStyle name="Linked Cell 3 7" xfId="3337"/>
    <cellStyle name="Linked Cell 3 8" xfId="3338"/>
    <cellStyle name="Linked Cell 3 9" xfId="3339"/>
    <cellStyle name="Linked Cell 4" xfId="3340"/>
    <cellStyle name="Linked Cell 4 2" xfId="3341"/>
    <cellStyle name="Linked Cell 5" xfId="3342"/>
    <cellStyle name="Linked Cell 5 2" xfId="3343"/>
    <cellStyle name="Linked Cell 6" xfId="3344"/>
    <cellStyle name="Linked Cell 6 2" xfId="3345"/>
    <cellStyle name="Linked Cell 7" xfId="3346"/>
    <cellStyle name="Linked Cell 8" xfId="3347"/>
    <cellStyle name="Linked Cell 9" xfId="3348"/>
    <cellStyle name="Linked Cell 9 2" xfId="3349"/>
    <cellStyle name="Linked Cell 9 2 2" xfId="3350"/>
    <cellStyle name="Linked Cell 9 3" xfId="3351"/>
    <cellStyle name="Linked Cell 9 4" xfId="3352"/>
    <cellStyle name="Linked Cell 9 5" xfId="3353"/>
    <cellStyle name="Linked Cells" xfId="3354"/>
    <cellStyle name="LTM Cell Column Heading" xfId="3355"/>
    <cellStyle name="m_AA - BenefitsBonus " xfId="4798"/>
    <cellStyle name="Margins" xfId="4977"/>
    <cellStyle name="Mega" xfId="3356"/>
    <cellStyle name="MetricLabel" xfId="4577"/>
    <cellStyle name="MetricLabel 2" xfId="4978"/>
    <cellStyle name="MetricLabelBlue" xfId="4578"/>
    <cellStyle name="MetricLabelBlue 2" xfId="4979"/>
    <cellStyle name="MetricValue" xfId="4579"/>
    <cellStyle name="MetricValue 2" xfId="4980"/>
    <cellStyle name="middle" xfId="4981"/>
    <cellStyle name="middle-title" xfId="4982"/>
    <cellStyle name="Millares [0]_pldt" xfId="3357"/>
    <cellStyle name="Millares_pldt" xfId="3358"/>
    <cellStyle name="Milliers [0]_!!!GO" xfId="3359"/>
    <cellStyle name="Milliers_!!!GO" xfId="3360"/>
    <cellStyle name="mm/dd/yy" xfId="4983"/>
    <cellStyle name="Mon_Year" xfId="3361"/>
    <cellStyle name="Moneda [0]_pldt" xfId="3362"/>
    <cellStyle name="Moneda_Coste Fidelizacion" xfId="3363"/>
    <cellStyle name="Monétaire [0]_!!!GO" xfId="3364"/>
    <cellStyle name="Monétaire_!!!GO" xfId="3365"/>
    <cellStyle name="MonthYears" xfId="4580"/>
    <cellStyle name="MonthYears 2" xfId="4581"/>
    <cellStyle name="MS Sans Serif" xfId="3366"/>
    <cellStyle name="MS_English" xfId="3367"/>
    <cellStyle name="Multiple" xfId="3368"/>
    <cellStyle name="Multiple 2" xfId="5208"/>
    <cellStyle name="Multiple 3" xfId="4984"/>
    <cellStyle name="Multiple Cell Column Heading" xfId="3369"/>
    <cellStyle name="NA is zero" xfId="3370"/>
    <cellStyle name="Neutral 10" xfId="3371"/>
    <cellStyle name="Neutral 10 2" xfId="3372"/>
    <cellStyle name="Neutral 10 3" xfId="3373"/>
    <cellStyle name="Neutral 11" xfId="3374"/>
    <cellStyle name="Neutral 11 2" xfId="3375"/>
    <cellStyle name="Neutral 11 3" xfId="3376"/>
    <cellStyle name="Neutral 12" xfId="3377"/>
    <cellStyle name="Neutral 12 2" xfId="3378"/>
    <cellStyle name="Neutral 12 3" xfId="3379"/>
    <cellStyle name="Neutral 13" xfId="3380"/>
    <cellStyle name="Neutral 13 2" xfId="3381"/>
    <cellStyle name="Neutral 13 3" xfId="3382"/>
    <cellStyle name="Neutral 14" xfId="3383"/>
    <cellStyle name="Neutral 14 2" xfId="3384"/>
    <cellStyle name="Neutral 14 3" xfId="3385"/>
    <cellStyle name="Neutral 15" xfId="3386"/>
    <cellStyle name="Neutral 15 2" xfId="3387"/>
    <cellStyle name="Neutral 15 3" xfId="3388"/>
    <cellStyle name="Neutral 16" xfId="3389"/>
    <cellStyle name="Neutral 17" xfId="3390"/>
    <cellStyle name="Neutral 18" xfId="3391"/>
    <cellStyle name="Neutral 19" xfId="3392"/>
    <cellStyle name="Neutral 2" xfId="3393"/>
    <cellStyle name="Neutral 2 10" xfId="3394"/>
    <cellStyle name="Neutral 2 11" xfId="3395"/>
    <cellStyle name="Neutral 2 12" xfId="3396"/>
    <cellStyle name="Neutral 2 13" xfId="3397"/>
    <cellStyle name="Neutral 2 14" xfId="3398"/>
    <cellStyle name="Neutral 2 15" xfId="3399"/>
    <cellStyle name="Neutral 2 16" xfId="5209"/>
    <cellStyle name="Neutral 2 17" xfId="4875"/>
    <cellStyle name="Neutral 2 2" xfId="3400"/>
    <cellStyle name="Neutral 2 3" xfId="3401"/>
    <cellStyle name="Neutral 2 4" xfId="3402"/>
    <cellStyle name="Neutral 2 5" xfId="3403"/>
    <cellStyle name="Neutral 2 6" xfId="3404"/>
    <cellStyle name="Neutral 2 7" xfId="3405"/>
    <cellStyle name="Neutral 2 8" xfId="3406"/>
    <cellStyle name="Neutral 2 9" xfId="3407"/>
    <cellStyle name="Neutral 20" xfId="3408"/>
    <cellStyle name="Neutral 21" xfId="4721"/>
    <cellStyle name="Neutral 3" xfId="3409"/>
    <cellStyle name="Neutral 3 2" xfId="3410"/>
    <cellStyle name="Neutral 3 3" xfId="3411"/>
    <cellStyle name="Neutral 3 4" xfId="3412"/>
    <cellStyle name="Neutral 3 5" xfId="3413"/>
    <cellStyle name="Neutral 3 5 2" xfId="3414"/>
    <cellStyle name="Neutral 3 6" xfId="3415"/>
    <cellStyle name="Neutral 3 7" xfId="3416"/>
    <cellStyle name="Neutral 3 8" xfId="3417"/>
    <cellStyle name="Neutral 3 9" xfId="3418"/>
    <cellStyle name="Neutral 4" xfId="3419"/>
    <cellStyle name="Neutral 4 2" xfId="3420"/>
    <cellStyle name="Neutral 5" xfId="3421"/>
    <cellStyle name="Neutral 5 2" xfId="3422"/>
    <cellStyle name="Neutral 6" xfId="3423"/>
    <cellStyle name="Neutral 6 2" xfId="3424"/>
    <cellStyle name="Neutral 7" xfId="3425"/>
    <cellStyle name="Neutral 8" xfId="3426"/>
    <cellStyle name="Neutral 9" xfId="3427"/>
    <cellStyle name="Neutral 9 2" xfId="3428"/>
    <cellStyle name="Neutral 9 2 2" xfId="3429"/>
    <cellStyle name="Neutral 9 3" xfId="3430"/>
    <cellStyle name="Neutral 9 4" xfId="3431"/>
    <cellStyle name="Neutral 9 5" xfId="3432"/>
    <cellStyle name="new style" xfId="3433"/>
    <cellStyle name="New Times Roman" xfId="3434"/>
    <cellStyle name="NewColumnHeaderNormal" xfId="3435"/>
    <cellStyle name="NewSectionHeaderNormal" xfId="3436"/>
    <cellStyle name="NewSectionHeaderNormal 2" xfId="3437"/>
    <cellStyle name="NewTitleNormal" xfId="3438"/>
    <cellStyle name="No Commas" xfId="5060"/>
    <cellStyle name="no dec" xfId="3439"/>
    <cellStyle name="nonmultiple" xfId="3440"/>
    <cellStyle name="NonPrint_Heading" xfId="3441"/>
    <cellStyle name="Norm੎੎" xfId="3442"/>
    <cellStyle name="Normal" xfId="0" builtinId="0"/>
    <cellStyle name="Normal - Style1" xfId="3443"/>
    <cellStyle name="Normal - Style1 2" xfId="3444"/>
    <cellStyle name="Normal - Style1 2 2" xfId="5212"/>
    <cellStyle name="Normal - Style1 2 3" xfId="4985"/>
    <cellStyle name="Normal - Style1 3" xfId="5211"/>
    <cellStyle name="Normal - Style1 4" xfId="4722"/>
    <cellStyle name="Normal - Style2" xfId="3445"/>
    <cellStyle name="Normal - Style3" xfId="3446"/>
    <cellStyle name="Normal - Style4" xfId="3447"/>
    <cellStyle name="Normal - Style5" xfId="3448"/>
    <cellStyle name="Normal - Style6" xfId="3449"/>
    <cellStyle name="Normal - Style7" xfId="3450"/>
    <cellStyle name="Normal - Style8" xfId="3451"/>
    <cellStyle name="Normal [0]" xfId="3452"/>
    <cellStyle name="Normal [1]" xfId="3453"/>
    <cellStyle name="Normal [2]" xfId="3454"/>
    <cellStyle name="Normal [3]" xfId="3455"/>
    <cellStyle name="Normal 10" xfId="3456"/>
    <cellStyle name="Normal 10 2" xfId="5213"/>
    <cellStyle name="Normal 10 3" xfId="4763"/>
    <cellStyle name="Normal 11" xfId="3457"/>
    <cellStyle name="Normal 11 2" xfId="5214"/>
    <cellStyle name="Normal 11 3" xfId="4826"/>
    <cellStyle name="Normal 12" xfId="3458"/>
    <cellStyle name="Normal 12 2" xfId="3459"/>
    <cellStyle name="Normal 12 3" xfId="5215"/>
    <cellStyle name="Normal 12 4" xfId="4831"/>
    <cellStyle name="Normal 13" xfId="3460"/>
    <cellStyle name="Normal 13 2" xfId="3461"/>
    <cellStyle name="Normal 13 3" xfId="5216"/>
    <cellStyle name="Normal 13 4" xfId="4832"/>
    <cellStyle name="Normal 14" xfId="3462"/>
    <cellStyle name="Normal 14 2" xfId="3463"/>
    <cellStyle name="Normal 14 3" xfId="3464"/>
    <cellStyle name="Normal 14 4" xfId="3465"/>
    <cellStyle name="Normal 14 5" xfId="5217"/>
    <cellStyle name="Normal 14 6" xfId="4833"/>
    <cellStyle name="Normal 15" xfId="3466"/>
    <cellStyle name="Normal 15 2" xfId="3467"/>
    <cellStyle name="Normal 15 3" xfId="3468"/>
    <cellStyle name="Normal 15 4" xfId="3469"/>
    <cellStyle name="Normal 15 5" xfId="5218"/>
    <cellStyle name="Normal 15 6" xfId="5063"/>
    <cellStyle name="Normal 16" xfId="3470"/>
    <cellStyle name="Normal 16 2" xfId="3471"/>
    <cellStyle name="Normal 17" xfId="3472"/>
    <cellStyle name="Normal 17 2" xfId="5219"/>
    <cellStyle name="Normal 17 3" xfId="5078"/>
    <cellStyle name="Normal 18" xfId="3473"/>
    <cellStyle name="Normal 18 2" xfId="3474"/>
    <cellStyle name="Normal 18 3" xfId="5220"/>
    <cellStyle name="Normal 18 4" xfId="5079"/>
    <cellStyle name="Normal 19" xfId="3475"/>
    <cellStyle name="Normal 19 2" xfId="5221"/>
    <cellStyle name="Normal 19 3" xfId="5080"/>
    <cellStyle name="Normal 2" xfId="17"/>
    <cellStyle name="Normal 2 10" xfId="3476"/>
    <cellStyle name="Normal 2 10 2" xfId="3477"/>
    <cellStyle name="Normal 2 10 2 2" xfId="3478"/>
    <cellStyle name="Normal 2 10 3" xfId="3479"/>
    <cellStyle name="Normal 2 10 4" xfId="3480"/>
    <cellStyle name="Normal 2 10 5" xfId="3481"/>
    <cellStyle name="Normal 2 11" xfId="3482"/>
    <cellStyle name="Normal 2 11 2" xfId="3483"/>
    <cellStyle name="Normal 2 11 3" xfId="3484"/>
    <cellStyle name="Normal 2 12" xfId="3485"/>
    <cellStyle name="Normal 2 12 2" xfId="3486"/>
    <cellStyle name="Normal 2 12 3" xfId="3487"/>
    <cellStyle name="Normal 2 13" xfId="3488"/>
    <cellStyle name="Normal 2 13 2" xfId="3489"/>
    <cellStyle name="Normal 2 14" xfId="3490"/>
    <cellStyle name="Normal 2 14 2" xfId="3491"/>
    <cellStyle name="Normal 2 15" xfId="3492"/>
    <cellStyle name="Normal 2 15 2" xfId="3493"/>
    <cellStyle name="Normal 2 16" xfId="3494"/>
    <cellStyle name="Normal 2 17" xfId="3495"/>
    <cellStyle name="Normal 2 18" xfId="3496"/>
    <cellStyle name="Normal 2 19" xfId="3497"/>
    <cellStyle name="Normal 2 2" xfId="3498"/>
    <cellStyle name="Normal 2 2 2" xfId="3499"/>
    <cellStyle name="Normal 2 2 2 2" xfId="3500"/>
    <cellStyle name="Normal 2 2 3" xfId="3501"/>
    <cellStyle name="Normal 2 2 3 2" xfId="3502"/>
    <cellStyle name="Normal 2 2 4" xfId="3503"/>
    <cellStyle name="Normal 2 20" xfId="4756"/>
    <cellStyle name="Normal 2 3" xfId="3504"/>
    <cellStyle name="Normal 2 3 2" xfId="3505"/>
    <cellStyle name="Normal 2 3 2 2" xfId="3506"/>
    <cellStyle name="Normal 2 3 2 3" xfId="5223"/>
    <cellStyle name="Normal 2 3 2 4" xfId="4800"/>
    <cellStyle name="Normal 2 3 3" xfId="3507"/>
    <cellStyle name="Normal 2 3 4" xfId="3508"/>
    <cellStyle name="Normal 2 3 5" xfId="3509"/>
    <cellStyle name="Normal 2 3 6" xfId="3510"/>
    <cellStyle name="Normal 2 3 7" xfId="3511"/>
    <cellStyle name="Normal 2 3 8" xfId="5222"/>
    <cellStyle name="Normal 2 3 9" xfId="4799"/>
    <cellStyle name="Normal 2 4" xfId="3512"/>
    <cellStyle name="Normal 2 4 2" xfId="3513"/>
    <cellStyle name="Normal 2 4 3" xfId="3514"/>
    <cellStyle name="Normal 2 5" xfId="3515"/>
    <cellStyle name="Normal 2 5 2" xfId="3516"/>
    <cellStyle name="Normal 2 5 3" xfId="3517"/>
    <cellStyle name="Normal 2 6" xfId="3518"/>
    <cellStyle name="Normal 2 6 2" xfId="3519"/>
    <cellStyle name="Normal 2 6 3" xfId="3520"/>
    <cellStyle name="Normal 2 7" xfId="3521"/>
    <cellStyle name="Normal 2 7 2" xfId="3522"/>
    <cellStyle name="Normal 2 7 3" xfId="3523"/>
    <cellStyle name="Normal 2 8" xfId="3524"/>
    <cellStyle name="Normal 2 8 2" xfId="3525"/>
    <cellStyle name="Normal 2 8 3" xfId="3526"/>
    <cellStyle name="Normal 2 9" xfId="3527"/>
    <cellStyle name="Normal 2 9 2" xfId="3528"/>
    <cellStyle name="Normal 2 9 2 2" xfId="3529"/>
    <cellStyle name="Normal 2 9 3" xfId="3530"/>
    <cellStyle name="Normal 2 9 4" xfId="3531"/>
    <cellStyle name="Normal 2 9 5" xfId="3532"/>
    <cellStyle name="Normal 20" xfId="3533"/>
    <cellStyle name="Normal 20 2" xfId="3534"/>
    <cellStyle name="Normal 20 3" xfId="5227"/>
    <cellStyle name="Normal 20 4" xfId="5081"/>
    <cellStyle name="Normal 21" xfId="3535"/>
    <cellStyle name="Normal 21 2" xfId="5228"/>
    <cellStyle name="Normal 21 3" xfId="5082"/>
    <cellStyle name="Normal 22" xfId="3536"/>
    <cellStyle name="Normal 22 2" xfId="5229"/>
    <cellStyle name="Normal 22 3" xfId="5083"/>
    <cellStyle name="Normal 23" xfId="3537"/>
    <cellStyle name="Normal 23 2" xfId="5230"/>
    <cellStyle name="Normal 23 3" xfId="5084"/>
    <cellStyle name="Normal 24" xfId="3538"/>
    <cellStyle name="Normal 24 2" xfId="5231"/>
    <cellStyle name="Normal 24 3" xfId="5085"/>
    <cellStyle name="Normal 25" xfId="3539"/>
    <cellStyle name="Normal 25 2" xfId="3540"/>
    <cellStyle name="Normal 25 3" xfId="4377"/>
    <cellStyle name="Normal 25 4" xfId="5232"/>
    <cellStyle name="Normal 25 5" xfId="5086"/>
    <cellStyle name="Normal 26" xfId="3541"/>
    <cellStyle name="Normal 26 2" xfId="5233"/>
    <cellStyle name="Normal 26 3" xfId="5087"/>
    <cellStyle name="Normal 27" xfId="5090"/>
    <cellStyle name="Normal 27 2" xfId="5420"/>
    <cellStyle name="Normal 28" xfId="5089"/>
    <cellStyle name="Normal 28 2" xfId="5419"/>
    <cellStyle name="Normal 29" xfId="5091"/>
    <cellStyle name="Normal 3" xfId="18"/>
    <cellStyle name="Normal 3 2" xfId="19"/>
    <cellStyle name="Normal 3 2 2" xfId="3542"/>
    <cellStyle name="Normal 3 2 2 2" xfId="3543"/>
    <cellStyle name="Normal 3 2 2 3" xfId="5234"/>
    <cellStyle name="Normal 3 2 2 4" xfId="4801"/>
    <cellStyle name="Normal 3 2 3" xfId="3544"/>
    <cellStyle name="Normal 3 2 4" xfId="3545"/>
    <cellStyle name="Normal 3 3" xfId="3546"/>
    <cellStyle name="Normal 3 4" xfId="3547"/>
    <cellStyle name="Normal 3 4 2" xfId="5235"/>
    <cellStyle name="Normal 3 4 3" xfId="5088"/>
    <cellStyle name="Normal 3_Display" xfId="3548"/>
    <cellStyle name="Normal 30" xfId="4746"/>
    <cellStyle name="Normal 31" xfId="4761"/>
    <cellStyle name="Normal 31 2" xfId="5415"/>
    <cellStyle name="Normal 32" xfId="5317"/>
    <cellStyle name="Normal 32 2" xfId="5789"/>
    <cellStyle name="Normal 33" xfId="4671"/>
    <cellStyle name="Normal 34" xfId="5303"/>
    <cellStyle name="Normal 35" xfId="5334"/>
    <cellStyle name="Normal 36" xfId="5254"/>
    <cellStyle name="Normal 37" xfId="5093"/>
    <cellStyle name="Normal 38" xfId="5206"/>
    <cellStyle name="Normal 39" xfId="5324"/>
    <cellStyle name="Normal 4" xfId="20"/>
    <cellStyle name="Normal 4 10" xfId="3549"/>
    <cellStyle name="Normal 4 2" xfId="3550"/>
    <cellStyle name="Normal 4 2 2" xfId="4802"/>
    <cellStyle name="Normal 4 2 2 2" xfId="5416"/>
    <cellStyle name="Normal 4 2 3" xfId="5236"/>
    <cellStyle name="Normal 4 2 4" xfId="4739"/>
    <cellStyle name="Normal 4 3" xfId="3551"/>
    <cellStyle name="Normal 4 3 2" xfId="5237"/>
    <cellStyle name="Normal 4 3 3" xfId="4762"/>
    <cellStyle name="Normal 4 4" xfId="3552"/>
    <cellStyle name="Normal 4 5" xfId="3553"/>
    <cellStyle name="Normal 4 5 2" xfId="3554"/>
    <cellStyle name="Normal 4 6" xfId="3555"/>
    <cellStyle name="Normal 4 7" xfId="3556"/>
    <cellStyle name="Normal 4 8" xfId="3557"/>
    <cellStyle name="Normal 4 9" xfId="3558"/>
    <cellStyle name="Normal 4_Display" xfId="3559"/>
    <cellStyle name="Normal 40" xfId="5210"/>
    <cellStyle name="Normal 41" xfId="5343"/>
    <cellStyle name="Normal 42" xfId="5326"/>
    <cellStyle name="Normal 43" xfId="5395"/>
    <cellStyle name="Normal 44" xfId="5413"/>
    <cellStyle name="Normal 5" xfId="21"/>
    <cellStyle name="Normal 5 2" xfId="3560"/>
    <cellStyle name="Normal 5 2 2" xfId="4803"/>
    <cellStyle name="Normal 5 2 3" xfId="4740"/>
    <cellStyle name="Normal 5 3" xfId="3561"/>
    <cellStyle name="Normal 5 4" xfId="3562"/>
    <cellStyle name="Normal 5 5" xfId="3563"/>
    <cellStyle name="Normal 5 5 2" xfId="3564"/>
    <cellStyle name="Normal 5 6" xfId="3565"/>
    <cellStyle name="Normal 5 7" xfId="3566"/>
    <cellStyle name="Normal 5 8" xfId="3567"/>
    <cellStyle name="Normal 5 9" xfId="3568"/>
    <cellStyle name="Normal 5_Display" xfId="3569"/>
    <cellStyle name="Normal 6" xfId="3570"/>
    <cellStyle name="Normal 6 2" xfId="3571"/>
    <cellStyle name="Normal 6 3" xfId="4745"/>
    <cellStyle name="Normal 6_Display" xfId="3572"/>
    <cellStyle name="Normal 7" xfId="3573"/>
    <cellStyle name="Normal 7 2" xfId="3574"/>
    <cellStyle name="Normal 7 2 2" xfId="3575"/>
    <cellStyle name="Normal 7 2 3" xfId="3576"/>
    <cellStyle name="Normal 7 3" xfId="3577"/>
    <cellStyle name="Normal 7 3 2" xfId="3578"/>
    <cellStyle name="Normal 7 3 2 2" xfId="3579"/>
    <cellStyle name="Normal 7 3 2 3" xfId="3580"/>
    <cellStyle name="Normal 7 3 3" xfId="3581"/>
    <cellStyle name="Normal 7 3 4" xfId="3582"/>
    <cellStyle name="Normal 7 4" xfId="3583"/>
    <cellStyle name="Normal 7 5" xfId="3584"/>
    <cellStyle name="Normal 7 5 2" xfId="3585"/>
    <cellStyle name="Normal 7 5 3" xfId="3586"/>
    <cellStyle name="Normal 7 6" xfId="3587"/>
    <cellStyle name="Normal 7 7" xfId="3588"/>
    <cellStyle name="Normal 74" xfId="4804"/>
    <cellStyle name="Normal 74 2" xfId="4805"/>
    <cellStyle name="Normal 8" xfId="3589"/>
    <cellStyle name="Normal 8 2" xfId="3590"/>
    <cellStyle name="Normal 8 3" xfId="5239"/>
    <cellStyle name="Normal 8 4" xfId="4806"/>
    <cellStyle name="Normal 9" xfId="3591"/>
    <cellStyle name="Normal 9 2" xfId="5241"/>
    <cellStyle name="Normal 9 3" xfId="4807"/>
    <cellStyle name="Normal Bold" xfId="3592"/>
    <cellStyle name="Normal Bold 2" xfId="4986"/>
    <cellStyle name="Normal Bold 3" xfId="5242"/>
    <cellStyle name="Normal Bold 4" xfId="4723"/>
    <cellStyle name="Normal millions" xfId="3593"/>
    <cellStyle name="Normal no decimal" xfId="3594"/>
    <cellStyle name="Normal Pct" xfId="3595"/>
    <cellStyle name="Normal thousands" xfId="3596"/>
    <cellStyle name="Normal two decimals" xfId="3597"/>
    <cellStyle name="Normál_Book2000" xfId="3598"/>
    <cellStyle name="Normal_DisclaimerSheet Samples" xfId="5851"/>
    <cellStyle name="normal1" xfId="3599"/>
    <cellStyle name="NormalCenter" xfId="3600"/>
    <cellStyle name="NormalGB" xfId="3601"/>
    <cellStyle name="NormalItalic" xfId="3602"/>
    <cellStyle name="NormalItalic 2" xfId="5244"/>
    <cellStyle name="NormalItalic 3" xfId="4987"/>
    <cellStyle name="NormalLeft" xfId="3603"/>
    <cellStyle name="NormalLeftBorderMed" xfId="3604"/>
    <cellStyle name="NormalTopBorder" xfId="3605"/>
    <cellStyle name="NormalTopBorderMed" xfId="3606"/>
    <cellStyle name="NormalUnderln" xfId="3607"/>
    <cellStyle name="NOT" xfId="3608"/>
    <cellStyle name="Note 10" xfId="3609"/>
    <cellStyle name="Note 10 2" xfId="3610"/>
    <cellStyle name="Note 10 3" xfId="3611"/>
    <cellStyle name="Note 11" xfId="3612"/>
    <cellStyle name="Note 11 2" xfId="3613"/>
    <cellStyle name="Note 11 3" xfId="3614"/>
    <cellStyle name="Note 12" xfId="3615"/>
    <cellStyle name="Note 12 2" xfId="3616"/>
    <cellStyle name="Note 12 3" xfId="3617"/>
    <cellStyle name="Note 13" xfId="3618"/>
    <cellStyle name="Note 13 2" xfId="3619"/>
    <cellStyle name="Note 13 3" xfId="3620"/>
    <cellStyle name="Note 14" xfId="3621"/>
    <cellStyle name="Note 14 2" xfId="3622"/>
    <cellStyle name="Note 14 3" xfId="3623"/>
    <cellStyle name="Note 15" xfId="3624"/>
    <cellStyle name="Note 15 2" xfId="3625"/>
    <cellStyle name="Note 15 3" xfId="3626"/>
    <cellStyle name="Note 16" xfId="3627"/>
    <cellStyle name="Note 17" xfId="3628"/>
    <cellStyle name="Note 18" xfId="3629"/>
    <cellStyle name="Note 19" xfId="3630"/>
    <cellStyle name="Note 2" xfId="3631"/>
    <cellStyle name="Note 2 10" xfId="3632"/>
    <cellStyle name="Note 2 10 2" xfId="3633"/>
    <cellStyle name="Note 2 11" xfId="3634"/>
    <cellStyle name="Note 2 12" xfId="3635"/>
    <cellStyle name="Note 2 13" xfId="3636"/>
    <cellStyle name="Note 2 14" xfId="3637"/>
    <cellStyle name="Note 2 15" xfId="3638"/>
    <cellStyle name="Note 2 16" xfId="3639"/>
    <cellStyle name="Note 2 17" xfId="5247"/>
    <cellStyle name="Note 2 18" xfId="4876"/>
    <cellStyle name="Note 2 2" xfId="3640"/>
    <cellStyle name="Note 2 3" xfId="3641"/>
    <cellStyle name="Note 2 4" xfId="3642"/>
    <cellStyle name="Note 2 5" xfId="3643"/>
    <cellStyle name="Note 2 6" xfId="3644"/>
    <cellStyle name="Note 2 7" xfId="3645"/>
    <cellStyle name="Note 2 8" xfId="3646"/>
    <cellStyle name="Note 2 9" xfId="3647"/>
    <cellStyle name="Note 20" xfId="3648"/>
    <cellStyle name="Note 21" xfId="4724"/>
    <cellStyle name="Note 3" xfId="3649"/>
    <cellStyle name="Note 3 2" xfId="3650"/>
    <cellStyle name="Note 3 3" xfId="3651"/>
    <cellStyle name="Note 3 4" xfId="3652"/>
    <cellStyle name="Note 3 5" xfId="3653"/>
    <cellStyle name="Note 3 5 2" xfId="3654"/>
    <cellStyle name="Note 3 6" xfId="3655"/>
    <cellStyle name="Note 3 7" xfId="3656"/>
    <cellStyle name="Note 3 8" xfId="3657"/>
    <cellStyle name="Note 3 9" xfId="3658"/>
    <cellStyle name="Note 4" xfId="3659"/>
    <cellStyle name="Note 4 2" xfId="3660"/>
    <cellStyle name="Note 5" xfId="3661"/>
    <cellStyle name="Note 5 2" xfId="3662"/>
    <cellStyle name="Note 6" xfId="3663"/>
    <cellStyle name="Note 6 2" xfId="3664"/>
    <cellStyle name="Note 7" xfId="3665"/>
    <cellStyle name="Note 8" xfId="3666"/>
    <cellStyle name="Note 8 2" xfId="3667"/>
    <cellStyle name="Note 8 2 2" xfId="3668"/>
    <cellStyle name="Note 8 3" xfId="3669"/>
    <cellStyle name="Note 8 4" xfId="3670"/>
    <cellStyle name="Note 8 5" xfId="3671"/>
    <cellStyle name="Note 9" xfId="3672"/>
    <cellStyle name="Note 9 2" xfId="3673"/>
    <cellStyle name="Note 9 3" xfId="3674"/>
    <cellStyle name="Note 9 4" xfId="3675"/>
    <cellStyle name="Notes" xfId="3676"/>
    <cellStyle name="NPPESalesPct" xfId="3677"/>
    <cellStyle name="Number" xfId="3678"/>
    <cellStyle name="number 10" xfId="5202"/>
    <cellStyle name="Number 2" xfId="3679"/>
    <cellStyle name="Number 3" xfId="3680"/>
    <cellStyle name="Number 4" xfId="5252"/>
    <cellStyle name="number 5" xfId="4725"/>
    <cellStyle name="number 6" xfId="5294"/>
    <cellStyle name="number 7" xfId="5328"/>
    <cellStyle name="number 8" xfId="5243"/>
    <cellStyle name="number 9" xfId="5102"/>
    <cellStyle name="Number_Cashflow Q1 CY09" xfId="3681"/>
    <cellStyle name="NumberTopBorder" xfId="3682"/>
    <cellStyle name="Numéro_Tab" xfId="3683"/>
    <cellStyle name="NWI%S" xfId="3684"/>
    <cellStyle name="OBI_ColHeader" xfId="3685"/>
    <cellStyle name="Œ…‹æØ‚è [0.00]_GE 3 MINIMUM" xfId="4582"/>
    <cellStyle name="Œ…‹æØ‚è_GE 3 MINIMUM" xfId="4583"/>
    <cellStyle name="Onedec_FT Valuation " xfId="22"/>
    <cellStyle name="OneDecimal" xfId="4988"/>
    <cellStyle name="ore" xfId="3686"/>
    <cellStyle name="Other%" xfId="4989"/>
    <cellStyle name="outh America" xfId="4584"/>
    <cellStyle name="Output 10" xfId="3687"/>
    <cellStyle name="Output 10 2" xfId="3688"/>
    <cellStyle name="Output 10 3" xfId="3689"/>
    <cellStyle name="Output 11" xfId="3690"/>
    <cellStyle name="Output 11 2" xfId="3691"/>
    <cellStyle name="Output 11 3" xfId="3692"/>
    <cellStyle name="Output 12" xfId="3693"/>
    <cellStyle name="Output 12 2" xfId="3694"/>
    <cellStyle name="Output 12 3" xfId="3695"/>
    <cellStyle name="Output 13" xfId="3696"/>
    <cellStyle name="Output 13 2" xfId="3697"/>
    <cellStyle name="Output 13 3" xfId="3698"/>
    <cellStyle name="Output 14" xfId="3699"/>
    <cellStyle name="Output 14 2" xfId="3700"/>
    <cellStyle name="Output 14 3" xfId="3701"/>
    <cellStyle name="Output 15" xfId="3702"/>
    <cellStyle name="Output 15 2" xfId="3703"/>
    <cellStyle name="Output 15 3" xfId="3704"/>
    <cellStyle name="Output 16" xfId="3705"/>
    <cellStyle name="Output 17" xfId="3706"/>
    <cellStyle name="Output 18" xfId="3707"/>
    <cellStyle name="Output 19" xfId="3708"/>
    <cellStyle name="Output 2" xfId="3709"/>
    <cellStyle name="Output 2 10" xfId="3710"/>
    <cellStyle name="Output 2 11" xfId="3711"/>
    <cellStyle name="Output 2 12" xfId="3712"/>
    <cellStyle name="Output 2 13" xfId="3713"/>
    <cellStyle name="Output 2 14" xfId="3714"/>
    <cellStyle name="Output 2 15" xfId="3715"/>
    <cellStyle name="Output 2 16" xfId="5255"/>
    <cellStyle name="Output 2 17" xfId="4877"/>
    <cellStyle name="Output 2 2" xfId="3716"/>
    <cellStyle name="Output 2 3" xfId="3717"/>
    <cellStyle name="Output 2 4" xfId="3718"/>
    <cellStyle name="Output 2 5" xfId="3719"/>
    <cellStyle name="Output 2 6" xfId="3720"/>
    <cellStyle name="Output 2 7" xfId="3721"/>
    <cellStyle name="Output 2 8" xfId="3722"/>
    <cellStyle name="Output 2 9" xfId="3723"/>
    <cellStyle name="Output 20" xfId="3724"/>
    <cellStyle name="Output 21" xfId="4726"/>
    <cellStyle name="Output 3" xfId="3725"/>
    <cellStyle name="Output 3 2" xfId="3726"/>
    <cellStyle name="Output 3 3" xfId="3727"/>
    <cellStyle name="Output 3 4" xfId="3728"/>
    <cellStyle name="Output 3 5" xfId="3729"/>
    <cellStyle name="Output 3 5 2" xfId="3730"/>
    <cellStyle name="Output 3 6" xfId="3731"/>
    <cellStyle name="Output 3 7" xfId="3732"/>
    <cellStyle name="Output 3 8" xfId="3733"/>
    <cellStyle name="Output 3 9" xfId="3734"/>
    <cellStyle name="Output 4" xfId="3735"/>
    <cellStyle name="Output 4 2" xfId="3736"/>
    <cellStyle name="Output 5" xfId="3737"/>
    <cellStyle name="Output 5 2" xfId="3738"/>
    <cellStyle name="Output 6" xfId="3739"/>
    <cellStyle name="Output 6 2" xfId="3740"/>
    <cellStyle name="Output 7" xfId="3741"/>
    <cellStyle name="Output 8" xfId="3742"/>
    <cellStyle name="Output 9" xfId="3743"/>
    <cellStyle name="Output 9 2" xfId="3744"/>
    <cellStyle name="Output 9 2 2" xfId="3745"/>
    <cellStyle name="Output 9 3" xfId="3746"/>
    <cellStyle name="Output 9 4" xfId="3747"/>
    <cellStyle name="Output 9 5" xfId="3748"/>
    <cellStyle name="Output Amounts" xfId="3749"/>
    <cellStyle name="OUTPUT COLUMN HEADINGS" xfId="3750"/>
    <cellStyle name="Output Line Items" xfId="3751"/>
    <cellStyle name="Output Line Items 2" xfId="5092"/>
    <cellStyle name="OUTPUT REPORT HEADING" xfId="3752"/>
    <cellStyle name="OUTPUT REPORT TITLE" xfId="3753"/>
    <cellStyle name="Override" xfId="3754"/>
    <cellStyle name="p " xfId="23"/>
    <cellStyle name="Page Heading Large" xfId="3755"/>
    <cellStyle name="Page Heading Small" xfId="3756"/>
    <cellStyle name="Page Number" xfId="3757"/>
    <cellStyle name="paint" xfId="3758"/>
    <cellStyle name="Pass" xfId="4585"/>
    <cellStyle name="Pass 2" xfId="4990"/>
    <cellStyle name="Pénznem [0]_Cable" xfId="3759"/>
    <cellStyle name="Pénznem_Cable" xfId="3760"/>
    <cellStyle name="per.style" xfId="3761"/>
    <cellStyle name="Percent" xfId="24" builtinId="5"/>
    <cellStyle name="Percent (1)" xfId="4991"/>
    <cellStyle name="Percent [0]" xfId="3762"/>
    <cellStyle name="Percent [0] 2" xfId="3763"/>
    <cellStyle name="Percent [00]" xfId="3764"/>
    <cellStyle name="Percent [00] 2" xfId="3765"/>
    <cellStyle name="Percent [1]" xfId="3766"/>
    <cellStyle name="Percent [2]" xfId="3767"/>
    <cellStyle name="Percent [2] 2" xfId="4586"/>
    <cellStyle name="Percent [2] 3" xfId="4587"/>
    <cellStyle name="Percent [2] 3 2" xfId="4588"/>
    <cellStyle name="Percent [2] 4" xfId="4589"/>
    <cellStyle name="Percent [2] 4 2" xfId="4590"/>
    <cellStyle name="Percent [2] 5" xfId="4591"/>
    <cellStyle name="Percent [2] 5 2" xfId="4592"/>
    <cellStyle name="Percent [2] 6" xfId="4593"/>
    <cellStyle name="Percent 0" xfId="3768"/>
    <cellStyle name="Percent 0,00" xfId="3769"/>
    <cellStyle name="Percent 0_7.2.3. CAPEX" xfId="3770"/>
    <cellStyle name="Percent 10" xfId="3771"/>
    <cellStyle name="Percent 11" xfId="3772"/>
    <cellStyle name="Percent 11 2" xfId="4594"/>
    <cellStyle name="Percent 12" xfId="3773"/>
    <cellStyle name="Percent 13" xfId="3774"/>
    <cellStyle name="Percent 13 2" xfId="5257"/>
    <cellStyle name="Percent 13 3" xfId="4878"/>
    <cellStyle name="Percent 14" xfId="4595"/>
    <cellStyle name="Percent 15" xfId="4596"/>
    <cellStyle name="Percent 15 2" xfId="4597"/>
    <cellStyle name="Percent 16" xfId="4598"/>
    <cellStyle name="Percent 17" xfId="4599"/>
    <cellStyle name="Percent 18" xfId="4600"/>
    <cellStyle name="Percent 19" xfId="4601"/>
    <cellStyle name="Percent 2" xfId="25"/>
    <cellStyle name="Percent 2 2" xfId="3775"/>
    <cellStyle name="Percent 2 2 2" xfId="5258"/>
    <cellStyle name="Percent 2 2 3" xfId="4810"/>
    <cellStyle name="Percent 2 3" xfId="3776"/>
    <cellStyle name="Percent 2 3 2" xfId="5259"/>
    <cellStyle name="Percent 2 3 3" xfId="4811"/>
    <cellStyle name="Percent 2 4" xfId="3777"/>
    <cellStyle name="Percent 2 5" xfId="4753"/>
    <cellStyle name="Percent 2 6" xfId="4809"/>
    <cellStyle name="Percent 20" xfId="4602"/>
    <cellStyle name="Percent 21" xfId="4603"/>
    <cellStyle name="Percent 22" xfId="4604"/>
    <cellStyle name="Percent 22 2" xfId="5310"/>
    <cellStyle name="Percent 22 3" xfId="5072"/>
    <cellStyle name="Percent 23" xfId="4605"/>
    <cellStyle name="Percent 23 2" xfId="4606"/>
    <cellStyle name="Percent 23 3" xfId="5311"/>
    <cellStyle name="Percent 23 4" xfId="5071"/>
    <cellStyle name="Percent 24" xfId="4607"/>
    <cellStyle name="Percent 24 2" xfId="4608"/>
    <cellStyle name="Percent 25" xfId="4609"/>
    <cellStyle name="Percent 25 2" xfId="4610"/>
    <cellStyle name="Percent 26" xfId="4611"/>
    <cellStyle name="Percent 26 2" xfId="4612"/>
    <cellStyle name="Percent 27" xfId="4613"/>
    <cellStyle name="Percent 28" xfId="4614"/>
    <cellStyle name="Percent 29" xfId="4615"/>
    <cellStyle name="Percent 3" xfId="3778"/>
    <cellStyle name="Percent 3 2" xfId="3779"/>
    <cellStyle name="Percent 3 2 2" xfId="3780"/>
    <cellStyle name="Percent 3 2 2 2" xfId="3781"/>
    <cellStyle name="Percent 3 2 2 3" xfId="3782"/>
    <cellStyle name="Percent 3 2 3" xfId="3783"/>
    <cellStyle name="Percent 3 2 4" xfId="3784"/>
    <cellStyle name="Percent 3 3" xfId="3785"/>
    <cellStyle name="Percent 3 4" xfId="3786"/>
    <cellStyle name="Percent 3 4 2" xfId="3787"/>
    <cellStyle name="Percent 3 4 3" xfId="3788"/>
    <cellStyle name="Percent 3 5" xfId="3789"/>
    <cellStyle name="Percent 3 6" xfId="5260"/>
    <cellStyle name="Percent 3 7" xfId="4812"/>
    <cellStyle name="Percent 30" xfId="4754"/>
    <cellStyle name="Percent 31" xfId="5266"/>
    <cellStyle name="Percent 32" xfId="4727"/>
    <cellStyle name="Percent 33" xfId="5292"/>
    <cellStyle name="Percent 34" xfId="5327"/>
    <cellStyle name="Percent 35" xfId="5240"/>
    <cellStyle name="Percent 36" xfId="5103"/>
    <cellStyle name="Percent 37" xfId="5338"/>
    <cellStyle name="Percent 38" xfId="5286"/>
    <cellStyle name="Percent 39" xfId="5094"/>
    <cellStyle name="Percent 4" xfId="3790"/>
    <cellStyle name="Percent 4 2" xfId="4814"/>
    <cellStyle name="Percent 4 3" xfId="5069"/>
    <cellStyle name="Percent 4 4" xfId="5261"/>
    <cellStyle name="Percent 4 5" xfId="4813"/>
    <cellStyle name="Percent 40" xfId="5285"/>
    <cellStyle name="Percent 41" xfId="4714"/>
    <cellStyle name="Percent 42" xfId="5348"/>
    <cellStyle name="Percent 43" xfId="5383"/>
    <cellStyle name="Percent 44" xfId="5359"/>
    <cellStyle name="Percent 45" xfId="5387"/>
    <cellStyle name="Percent 46" xfId="5349"/>
    <cellStyle name="Percent 47" xfId="5378"/>
    <cellStyle name="Percent 48" xfId="5368"/>
    <cellStyle name="Percent 49" xfId="5355"/>
    <cellStyle name="Percent 5" xfId="3791"/>
    <cellStyle name="Percent 5 2" xfId="5262"/>
    <cellStyle name="Percent 5 3" xfId="4808"/>
    <cellStyle name="Percent 50" xfId="5366"/>
    <cellStyle name="Percent 51" xfId="5362"/>
    <cellStyle name="Percent 52" xfId="5373"/>
    <cellStyle name="Percent 53" xfId="5374"/>
    <cellStyle name="Percent 54" xfId="5371"/>
    <cellStyle name="Percent 55" xfId="5350"/>
    <cellStyle name="Percent 56" xfId="5376"/>
    <cellStyle name="Percent 57" xfId="5402"/>
    <cellStyle name="Percent 58" xfId="5408"/>
    <cellStyle name="Percent 59" xfId="5794"/>
    <cellStyle name="Percent 6" xfId="3792"/>
    <cellStyle name="Percent 6 2" xfId="5263"/>
    <cellStyle name="Percent 6 3" xfId="4829"/>
    <cellStyle name="Percent 60" xfId="5822"/>
    <cellStyle name="Percent 61" xfId="5799"/>
    <cellStyle name="Percent 62" xfId="5818"/>
    <cellStyle name="Percent 63" xfId="5803"/>
    <cellStyle name="Percent 64" xfId="5815"/>
    <cellStyle name="Percent 65" xfId="5805"/>
    <cellStyle name="Percent 66" xfId="5813"/>
    <cellStyle name="Percent 67" xfId="5807"/>
    <cellStyle name="Percent 68" xfId="5811"/>
    <cellStyle name="Percent 69" xfId="5809"/>
    <cellStyle name="Percent 7" xfId="3793"/>
    <cellStyle name="Percent 7 2" xfId="5264"/>
    <cellStyle name="Percent 7 3" xfId="4795"/>
    <cellStyle name="Percent 70" xfId="5810"/>
    <cellStyle name="Percent 71" xfId="5832"/>
    <cellStyle name="Percent 72" xfId="5835"/>
    <cellStyle name="Percent 73" xfId="5838"/>
    <cellStyle name="Percent 74" xfId="5841"/>
    <cellStyle name="Percent 75" xfId="5844"/>
    <cellStyle name="Percent 76" xfId="5846"/>
    <cellStyle name="Percent 77" xfId="5850"/>
    <cellStyle name="Percent 8" xfId="3794"/>
    <cellStyle name="Percent 8 2" xfId="5265"/>
    <cellStyle name="Percent 8 3" xfId="4830"/>
    <cellStyle name="Percent 9" xfId="3795"/>
    <cellStyle name="Percent Hard" xfId="3796"/>
    <cellStyle name="Percent[1]" xfId="4992"/>
    <cellStyle name="Percent0" xfId="4993"/>
    <cellStyle name="Percent0Dec" xfId="3797"/>
    <cellStyle name="Percent1" xfId="4994"/>
    <cellStyle name="Percent2" xfId="4995"/>
    <cellStyle name="Percent2Dec" xfId="3798"/>
    <cellStyle name="percentage" xfId="3799"/>
    <cellStyle name="percentage 2" xfId="5267"/>
    <cellStyle name="percentage 3" xfId="4996"/>
    <cellStyle name="Percent-Input" xfId="4997"/>
    <cellStyle name="Percento" xfId="3800"/>
    <cellStyle name="PercentPresentation" xfId="4998"/>
    <cellStyle name="PercentSales" xfId="3801"/>
    <cellStyle name="PillarData" xfId="3802"/>
    <cellStyle name="PillarHeading" xfId="3803"/>
    <cellStyle name="PillarText" xfId="3804"/>
    <cellStyle name="PillarTotal" xfId="3805"/>
    <cellStyle name="POPS" xfId="4999"/>
    <cellStyle name="Pourcentage_losses 2005 04" xfId="3806"/>
    <cellStyle name="Precent" xfId="3807"/>
    <cellStyle name="PrePop Currency (0)" xfId="3808"/>
    <cellStyle name="PrePop Currency (0) 2" xfId="3809"/>
    <cellStyle name="PrePop Currency (2)" xfId="3810"/>
    <cellStyle name="PrePop Currency (2) 2" xfId="3811"/>
    <cellStyle name="PrePop Units (0)" xfId="3812"/>
    <cellStyle name="PrePop Units (0) 2" xfId="3813"/>
    <cellStyle name="PrePop Units (1)" xfId="3814"/>
    <cellStyle name="PrePop Units (1) 2" xfId="3815"/>
    <cellStyle name="PrePop Units (2)" xfId="3816"/>
    <cellStyle name="PrePop Units (2) 2" xfId="3817"/>
    <cellStyle name="PresentationZero" xfId="5000"/>
    <cellStyle name="price" xfId="5001"/>
    <cellStyle name="Pricelist" xfId="3818"/>
    <cellStyle name="pricing" xfId="3819"/>
    <cellStyle name="pricing 2" xfId="3820"/>
    <cellStyle name="Product Title" xfId="3821"/>
    <cellStyle name="Product Title 10" xfId="3822"/>
    <cellStyle name="Product Title 11" xfId="3823"/>
    <cellStyle name="Product Title 12" xfId="3824"/>
    <cellStyle name="Product Title 2" xfId="3825"/>
    <cellStyle name="Product Title 3" xfId="3826"/>
    <cellStyle name="Product Title 4" xfId="3827"/>
    <cellStyle name="Product Title 5" xfId="3828"/>
    <cellStyle name="Product Title 6" xfId="3829"/>
    <cellStyle name="Product Title 7" xfId="3830"/>
    <cellStyle name="Product Title 8" xfId="3831"/>
    <cellStyle name="Product Title 9" xfId="3832"/>
    <cellStyle name="ProtectedDates" xfId="4616"/>
    <cellStyle name="Prozent +line" xfId="3833"/>
    <cellStyle name="Prozent(+line)" xfId="3834"/>
    <cellStyle name="Prozent_7.2.3. CAPEX" xfId="3835"/>
    <cellStyle name="PSChar" xfId="3836"/>
    <cellStyle name="PSDate" xfId="3837"/>
    <cellStyle name="PSDec" xfId="3838"/>
    <cellStyle name="PSHeading" xfId="3839"/>
    <cellStyle name="PSInt" xfId="3840"/>
    <cellStyle name="PSSpacer" xfId="3841"/>
    <cellStyle name="q_AA - BenefitsBonus " xfId="4815"/>
    <cellStyle name="RED" xfId="4617"/>
    <cellStyle name="Red font" xfId="3842"/>
    <cellStyle name="réel" xfId="3843"/>
    <cellStyle name="Reference" xfId="3844"/>
    <cellStyle name="Reference (O%)" xfId="3845"/>
    <cellStyle name="Reference (O%) 10" xfId="3846"/>
    <cellStyle name="Reference (O%) 11" xfId="3847"/>
    <cellStyle name="Reference (O%) 12" xfId="3848"/>
    <cellStyle name="Reference (O%) 2" xfId="3849"/>
    <cellStyle name="Reference (O%) 3" xfId="3850"/>
    <cellStyle name="Reference (O%) 4" xfId="3851"/>
    <cellStyle name="Reference (O%) 5" xfId="3852"/>
    <cellStyle name="Reference (O%) 6" xfId="3853"/>
    <cellStyle name="Reference (O%) 7" xfId="3854"/>
    <cellStyle name="Reference (O%) 8" xfId="3855"/>
    <cellStyle name="Reference (O%) 9" xfId="3856"/>
    <cellStyle name="Reference [00]" xfId="3857"/>
    <cellStyle name="Reference [00] 10" xfId="3858"/>
    <cellStyle name="Reference [00] 11" xfId="3859"/>
    <cellStyle name="Reference [00] 12" xfId="3860"/>
    <cellStyle name="Reference [00] 2" xfId="3861"/>
    <cellStyle name="Reference [00] 3" xfId="3862"/>
    <cellStyle name="Reference [00] 4" xfId="3863"/>
    <cellStyle name="Reference [00] 5" xfId="3864"/>
    <cellStyle name="Reference [00] 6" xfId="3865"/>
    <cellStyle name="Reference [00] 7" xfId="3866"/>
    <cellStyle name="Reference [00] 8" xfId="3867"/>
    <cellStyle name="Reference [00] 9" xfId="3868"/>
    <cellStyle name="Reference 10" xfId="3869"/>
    <cellStyle name="Reference 11" xfId="3870"/>
    <cellStyle name="Reference 12" xfId="3871"/>
    <cellStyle name="Reference 2" xfId="3872"/>
    <cellStyle name="Reference 3" xfId="3873"/>
    <cellStyle name="Reference 4" xfId="3874"/>
    <cellStyle name="Reference 5" xfId="3875"/>
    <cellStyle name="Reference 6" xfId="3876"/>
    <cellStyle name="Reference 7" xfId="3877"/>
    <cellStyle name="Reference 8" xfId="3878"/>
    <cellStyle name="Reference 9" xfId="3879"/>
    <cellStyle name="Reference_Form CC 1 2 4 June 05" xfId="3880"/>
    <cellStyle name="regstoresfromspecstores" xfId="3881"/>
    <cellStyle name="ReportTitlePrompt" xfId="3882"/>
    <cellStyle name="ReportTitleValue" xfId="3883"/>
    <cellStyle name="Restruct" xfId="4618"/>
    <cellStyle name="Restruct 2" xfId="5002"/>
    <cellStyle name="Restruct 2 2" xfId="5418"/>
    <cellStyle name="RevList" xfId="3884"/>
    <cellStyle name="RevList 2" xfId="3885"/>
    <cellStyle name="RevList 3" xfId="5269"/>
    <cellStyle name="RevList 4" xfId="5003"/>
    <cellStyle name="Right" xfId="4619"/>
    <cellStyle name="Row Ignore" xfId="3886"/>
    <cellStyle name="Row Ignore 10" xfId="3887"/>
    <cellStyle name="Row Ignore 11" xfId="3888"/>
    <cellStyle name="Row Ignore 12" xfId="3889"/>
    <cellStyle name="Row Ignore 2" xfId="3890"/>
    <cellStyle name="Row Ignore 3" xfId="3891"/>
    <cellStyle name="Row Ignore 4" xfId="3892"/>
    <cellStyle name="Row Ignore 5" xfId="3893"/>
    <cellStyle name="Row Ignore 6" xfId="3894"/>
    <cellStyle name="Row Ignore 7" xfId="3895"/>
    <cellStyle name="Row Ignore 8" xfId="3896"/>
    <cellStyle name="Row Ignore 9" xfId="3897"/>
    <cellStyle name="Row Title 1" xfId="3898"/>
    <cellStyle name="Row Title 2" xfId="3899"/>
    <cellStyle name="Row Title 3" xfId="3900"/>
    <cellStyle name="Row Total" xfId="3901"/>
    <cellStyle name="RowAcctAbovePrompt" xfId="3902"/>
    <cellStyle name="RowAcctSOBAbovePrompt" xfId="3903"/>
    <cellStyle name="RowAcctSOBValue" xfId="3904"/>
    <cellStyle name="RowAcctValue" xfId="3905"/>
    <cellStyle name="RowAttrAbovePrompt" xfId="3906"/>
    <cellStyle name="RowAttrValue" xfId="3907"/>
    <cellStyle name="RowColSetAbovePrompt" xfId="3908"/>
    <cellStyle name="RowColSetLeftPrompt" xfId="3909"/>
    <cellStyle name="RowColSetValue" xfId="3910"/>
    <cellStyle name="RowHeader_Indent3" xfId="3911"/>
    <cellStyle name="RowLeftPrompt" xfId="3912"/>
    <cellStyle name="RowLevel_0" xfId="3913"/>
    <cellStyle name="RRSInstruction" xfId="26"/>
    <cellStyle name="RRSInstruction 2" xfId="4741"/>
    <cellStyle name="s_DCFLBO Code_Wireline Tel Forecast " xfId="27"/>
    <cellStyle name="s_HardInc " xfId="28"/>
    <cellStyle name="s_HardInc _Catalog" xfId="5004"/>
    <cellStyle name="s_HardInc _JapaneseCatalog" xfId="5005"/>
    <cellStyle name="s_HardInc _RRST1" xfId="4816"/>
    <cellStyle name="s_HardInc _RRST20" xfId="4620"/>
    <cellStyle name="s_HardInc _RRST20 2" xfId="4621"/>
    <cellStyle name="s_HardInc _RRST25" xfId="4622"/>
    <cellStyle name="s_HardInc _RRST25 2" xfId="4623"/>
    <cellStyle name="s_Valuation " xfId="29"/>
    <cellStyle name="s_Valuation _Catalog" xfId="5006"/>
    <cellStyle name="s_Valuation _JapaneseCatalog" xfId="5007"/>
    <cellStyle name="s_Valuation _RRST1" xfId="4817"/>
    <cellStyle name="s_Valuation _RRST20" xfId="4624"/>
    <cellStyle name="s_Valuation _RRST20 2" xfId="4625"/>
    <cellStyle name="s_Valuation _RRST25" xfId="4626"/>
    <cellStyle name="s_Valuation _RRST25 2" xfId="4627"/>
    <cellStyle name="Saisie" xfId="3914"/>
    <cellStyle name="Salomon Logo" xfId="3915"/>
    <cellStyle name="SampleUsingFormatMask" xfId="3916"/>
    <cellStyle name="SampleWithNoFormatMask" xfId="3917"/>
    <cellStyle name="SectionHeaderNormal" xfId="3918"/>
    <cellStyle name="Shade on" xfId="3919"/>
    <cellStyle name="Shaded" xfId="3920"/>
    <cellStyle name="Shaded 2" xfId="5272"/>
    <cellStyle name="Shaded 3" xfId="5008"/>
    <cellStyle name="SHADEDSTORES" xfId="3921"/>
    <cellStyle name="Shares" xfId="5009"/>
    <cellStyle name="ShOut" xfId="3922"/>
    <cellStyle name="Simbolo" xfId="3923"/>
    <cellStyle name="single" xfId="3924"/>
    <cellStyle name="Single Accounting" xfId="3925"/>
    <cellStyle name="Single Cell Column Heading" xfId="3926"/>
    <cellStyle name="specstores" xfId="3927"/>
    <cellStyle name="ssp " xfId="30"/>
    <cellStyle name="Standaard_Residential" xfId="3928"/>
    <cellStyle name="Standard" xfId="3929"/>
    <cellStyle name="Standard format" xfId="3930"/>
    <cellStyle name="Standard_GRPK2005_Q1 - YTD - v2" xfId="3931"/>
    <cellStyle name="STIL1 - Style1" xfId="3932"/>
    <cellStyle name="Style 1" xfId="31"/>
    <cellStyle name="Style 1 2" xfId="3933"/>
    <cellStyle name="Style 1 2 2" xfId="5274"/>
    <cellStyle name="Style 1 2 3" xfId="4818"/>
    <cellStyle name="Style 1 3" xfId="3934"/>
    <cellStyle name="Style 1 3 2" xfId="4628"/>
    <cellStyle name="Style 1 4" xfId="3935"/>
    <cellStyle name="Style 1 4 2" xfId="4629"/>
    <cellStyle name="Style 1 5" xfId="4630"/>
    <cellStyle name="Style 1 5 2" xfId="4631"/>
    <cellStyle name="Style 1 6" xfId="4632"/>
    <cellStyle name="Style 1_Cashflow Q1 CY09" xfId="3936"/>
    <cellStyle name="Style 2" xfId="3937"/>
    <cellStyle name="Style 2 2" xfId="4633"/>
    <cellStyle name="Style 2 2 2" xfId="4819"/>
    <cellStyle name="Style 2 2 3" xfId="4742"/>
    <cellStyle name="Style 2 3" xfId="4634"/>
    <cellStyle name="Style 2 3 2" xfId="4635"/>
    <cellStyle name="Style 2 4" xfId="4636"/>
    <cellStyle name="Style 2 4 2" xfId="4637"/>
    <cellStyle name="Style 2 5" xfId="4638"/>
    <cellStyle name="Style 2 5 2" xfId="4639"/>
    <cellStyle name="Style 2 6" xfId="4640"/>
    <cellStyle name="Style 2 7" xfId="5275"/>
    <cellStyle name="Style 2 8" xfId="4728"/>
    <cellStyle name="Style 24" xfId="5010"/>
    <cellStyle name="Style 26" xfId="5011"/>
    <cellStyle name="Style 27" xfId="5012"/>
    <cellStyle name="Style 2B" xfId="3938"/>
    <cellStyle name="Style 3" xfId="3939"/>
    <cellStyle name="Style 3 2" xfId="4743"/>
    <cellStyle name="Style 3 2 2" xfId="4820"/>
    <cellStyle name="Style 3 3" xfId="5276"/>
    <cellStyle name="Style 3 4" xfId="4729"/>
    <cellStyle name="Style 32" xfId="5035"/>
    <cellStyle name="Style 4" xfId="3940"/>
    <cellStyle name="Style 4 2" xfId="4744"/>
    <cellStyle name="Style 4 2 2" xfId="4821"/>
    <cellStyle name="Style 4 3" xfId="5277"/>
    <cellStyle name="Style 4 4" xfId="4730"/>
    <cellStyle name="Style 5" xfId="4641"/>
    <cellStyle name="Style 5 2" xfId="4642"/>
    <cellStyle name="Style 5 2 2" xfId="5312"/>
    <cellStyle name="Style 5 2 3" xfId="4822"/>
    <cellStyle name="Style 5 3" xfId="4643"/>
    <cellStyle name="Style 5 3 2" xfId="4644"/>
    <cellStyle name="Style 5 4" xfId="4645"/>
    <cellStyle name="Style 5 4 2" xfId="4646"/>
    <cellStyle name="Style 5 5" xfId="4647"/>
    <cellStyle name="Style 5 5 2" xfId="4648"/>
    <cellStyle name="Style 5 6" xfId="4649"/>
    <cellStyle name="Style 6" xfId="4823"/>
    <cellStyle name="Style 7" xfId="4824"/>
    <cellStyle name="Style 8" xfId="4825"/>
    <cellStyle name="STYLE1" xfId="5013"/>
    <cellStyle name="STYLE2" xfId="5014"/>
    <cellStyle name="SubDollar" xfId="5015"/>
    <cellStyle name="SubGrowthRate" xfId="5016"/>
    <cellStyle name="Subhead" xfId="5017"/>
    <cellStyle name="Subscribers" xfId="5018"/>
    <cellStyle name="SubScript" xfId="3941"/>
    <cellStyle name="SubTitle" xfId="3942"/>
    <cellStyle name="Subtotal" xfId="3943"/>
    <cellStyle name="Subtotal 2" xfId="3944"/>
    <cellStyle name="Subtotal_left" xfId="4650"/>
    <cellStyle name="SubVariable" xfId="5019"/>
    <cellStyle name="summary info only" xfId="3945"/>
    <cellStyle name="Summe" xfId="3946"/>
    <cellStyle name="SuperScript" xfId="3947"/>
    <cellStyle name="Table Col Head" xfId="3948"/>
    <cellStyle name="Table Head" xfId="3949"/>
    <cellStyle name="Table Head Aligned" xfId="3950"/>
    <cellStyle name="Table Head Blue" xfId="3951"/>
    <cellStyle name="Table Head Green" xfId="3952"/>
    <cellStyle name="Table Head_Val_Sum_Graph" xfId="3953"/>
    <cellStyle name="Table Heading" xfId="5020"/>
    <cellStyle name="Table Sub Head" xfId="3954"/>
    <cellStyle name="Table Text" xfId="3955"/>
    <cellStyle name="Table Title" xfId="3956"/>
    <cellStyle name="Table Title 2" xfId="5278"/>
    <cellStyle name="Table Title 3" xfId="5021"/>
    <cellStyle name="Table Units" xfId="3957"/>
    <cellStyle name="Table Units 2" xfId="5279"/>
    <cellStyle name="Table Units 3" xfId="5022"/>
    <cellStyle name="Table Units 3 2" xfId="5393"/>
    <cellStyle name="Table_Header" xfId="3958"/>
    <cellStyle name="TableName" xfId="5023"/>
    <cellStyle name="Tariff" xfId="3959"/>
    <cellStyle name="task" xfId="3960"/>
    <cellStyle name="TCAM" xfId="3961"/>
    <cellStyle name="TDM" xfId="3962"/>
    <cellStyle name="Testo" xfId="3963"/>
    <cellStyle name="Text" xfId="3964"/>
    <cellStyle name="Text 1" xfId="3965"/>
    <cellStyle name="Text 10" xfId="3966"/>
    <cellStyle name="Text 11" xfId="3967"/>
    <cellStyle name="Text 12" xfId="3968"/>
    <cellStyle name="Text 2" xfId="3969"/>
    <cellStyle name="Text 3" xfId="3970"/>
    <cellStyle name="Text 4" xfId="3971"/>
    <cellStyle name="Text 5" xfId="3972"/>
    <cellStyle name="Text 6" xfId="3973"/>
    <cellStyle name="Text 7" xfId="3974"/>
    <cellStyle name="Text 8" xfId="3975"/>
    <cellStyle name="Text 9" xfId="3976"/>
    <cellStyle name="Text Head 1" xfId="3977"/>
    <cellStyle name="Text Indent A" xfId="3978"/>
    <cellStyle name="Text Indent B" xfId="3979"/>
    <cellStyle name="Text Indent B 2" xfId="3980"/>
    <cellStyle name="Text Indent C" xfId="3981"/>
    <cellStyle name="Text Indent C 2" xfId="3982"/>
    <cellStyle name="Text Level 1" xfId="3983"/>
    <cellStyle name="Text Level 2" xfId="3984"/>
    <cellStyle name="Text Level 3" xfId="3985"/>
    <cellStyle name="Text Level 4" xfId="3986"/>
    <cellStyle name="Text Wrap" xfId="3987"/>
    <cellStyle name="Text Wrap 2" xfId="5280"/>
    <cellStyle name="Text Wrap 3" xfId="5024"/>
    <cellStyle name="Text_Income statement 2005.06" xfId="3988"/>
    <cellStyle name="TextBold" xfId="3989"/>
    <cellStyle name="textbold 2" xfId="4651"/>
    <cellStyle name="TextBold 3" xfId="5281"/>
    <cellStyle name="TextBold 3 2" xfId="5421"/>
    <cellStyle name="TextBold 4" xfId="5323"/>
    <cellStyle name="TextBold 4 2" xfId="5790"/>
    <cellStyle name="TextItalic" xfId="3990"/>
    <cellStyle name="TextItalic 2" xfId="5422"/>
    <cellStyle name="TextNormal" xfId="3991"/>
    <cellStyle name="TextNormal 2" xfId="5423"/>
    <cellStyle name="TFCF" xfId="3992"/>
    <cellStyle name="TFCF 2" xfId="5424"/>
    <cellStyle name="Thousands" xfId="3993"/>
    <cellStyle name="Thousands 2" xfId="5425"/>
    <cellStyle name="Times 10" xfId="3994"/>
    <cellStyle name="Times 10 2" xfId="5426"/>
    <cellStyle name="Times 12" xfId="3995"/>
    <cellStyle name="Times 12 2" xfId="5427"/>
    <cellStyle name="Title 10" xfId="3996"/>
    <cellStyle name="Title 10 2" xfId="3997"/>
    <cellStyle name="Title 10 2 2" xfId="5429"/>
    <cellStyle name="Title 10 3" xfId="3998"/>
    <cellStyle name="Title 10 3 2" xfId="5430"/>
    <cellStyle name="Title 10 4" xfId="3999"/>
    <cellStyle name="Title 10 4 2" xfId="5431"/>
    <cellStyle name="Title 10 5" xfId="5428"/>
    <cellStyle name="Title 11" xfId="4000"/>
    <cellStyle name="Title 11 2" xfId="4001"/>
    <cellStyle name="Title 11 2 2" xfId="5433"/>
    <cellStyle name="Title 11 3" xfId="4002"/>
    <cellStyle name="Title 11 3 2" xfId="5434"/>
    <cellStyle name="Title 11 4" xfId="4003"/>
    <cellStyle name="Title 11 4 2" xfId="5435"/>
    <cellStyle name="Title 11 5" xfId="5432"/>
    <cellStyle name="Title 12" xfId="4004"/>
    <cellStyle name="Title 12 2" xfId="4005"/>
    <cellStyle name="Title 12 2 2" xfId="5437"/>
    <cellStyle name="Title 12 3" xfId="4006"/>
    <cellStyle name="Title 12 3 2" xfId="5438"/>
    <cellStyle name="Title 12 4" xfId="4007"/>
    <cellStyle name="Title 12 4 2" xfId="5439"/>
    <cellStyle name="Title 12 5" xfId="5436"/>
    <cellStyle name="Title 13" xfId="4008"/>
    <cellStyle name="Title 13 2" xfId="4009"/>
    <cellStyle name="Title 13 2 2" xfId="5441"/>
    <cellStyle name="Title 13 3" xfId="4010"/>
    <cellStyle name="Title 13 3 2" xfId="5442"/>
    <cellStyle name="Title 13 4" xfId="4011"/>
    <cellStyle name="Title 13 4 2" xfId="5443"/>
    <cellStyle name="Title 13 5" xfId="5440"/>
    <cellStyle name="Title 14" xfId="4012"/>
    <cellStyle name="Title 14 2" xfId="4013"/>
    <cellStyle name="Title 14 2 2" xfId="5445"/>
    <cellStyle name="Title 14 3" xfId="4014"/>
    <cellStyle name="Title 14 3 2" xfId="5446"/>
    <cellStyle name="Title 14 4" xfId="4015"/>
    <cellStyle name="Title 14 4 2" xfId="5447"/>
    <cellStyle name="Title 14 5" xfId="5444"/>
    <cellStyle name="Title 15" xfId="4016"/>
    <cellStyle name="Title 15 2" xfId="4017"/>
    <cellStyle name="Title 15 2 2" xfId="5449"/>
    <cellStyle name="Title 15 3" xfId="4018"/>
    <cellStyle name="Title 15 3 2" xfId="5450"/>
    <cellStyle name="Title 15 4" xfId="4019"/>
    <cellStyle name="Title 15 4 2" xfId="5451"/>
    <cellStyle name="Title 15 5" xfId="5448"/>
    <cellStyle name="Title 16" xfId="4020"/>
    <cellStyle name="Title 16 2" xfId="5452"/>
    <cellStyle name="Title 17" xfId="4021"/>
    <cellStyle name="Title 17 2" xfId="5453"/>
    <cellStyle name="Title 18" xfId="4022"/>
    <cellStyle name="Title 18 2" xfId="5454"/>
    <cellStyle name="Title 19" xfId="4023"/>
    <cellStyle name="Title 19 2" xfId="5455"/>
    <cellStyle name="Title 2" xfId="4024"/>
    <cellStyle name="Title 2 10" xfId="4025"/>
    <cellStyle name="Title 2 10 2" xfId="4026"/>
    <cellStyle name="Title 2 10 2 2" xfId="5458"/>
    <cellStyle name="Title 2 10 3" xfId="5457"/>
    <cellStyle name="Title 2 11" xfId="4027"/>
    <cellStyle name="Title 2 11 2" xfId="5459"/>
    <cellStyle name="Title 2 12" xfId="4028"/>
    <cellStyle name="Title 2 12 2" xfId="5460"/>
    <cellStyle name="Title 2 13" xfId="4029"/>
    <cellStyle name="Title 2 13 2" xfId="5461"/>
    <cellStyle name="Title 2 14" xfId="4030"/>
    <cellStyle name="Title 2 14 2" xfId="5462"/>
    <cellStyle name="Title 2 15" xfId="4031"/>
    <cellStyle name="Title 2 15 2" xfId="5463"/>
    <cellStyle name="Title 2 16" xfId="5282"/>
    <cellStyle name="Title 2 16 2" xfId="5456"/>
    <cellStyle name="Title 2 17" xfId="4879"/>
    <cellStyle name="Title 2 2" xfId="4032"/>
    <cellStyle name="Title 2 2 2" xfId="5464"/>
    <cellStyle name="Title 2 3" xfId="4033"/>
    <cellStyle name="Title 2 3 2" xfId="5465"/>
    <cellStyle name="Title 2 4" xfId="4034"/>
    <cellStyle name="Title 2 4 2" xfId="5466"/>
    <cellStyle name="Title 2 5" xfId="4035"/>
    <cellStyle name="Title 2 5 2" xfId="5467"/>
    <cellStyle name="Title 2 6" xfId="4036"/>
    <cellStyle name="Title 2 6 2" xfId="5468"/>
    <cellStyle name="Title 2 7" xfId="4037"/>
    <cellStyle name="Title 2 7 2" xfId="5469"/>
    <cellStyle name="Title 2 8" xfId="4038"/>
    <cellStyle name="Title 2 8 2" xfId="5470"/>
    <cellStyle name="Title 2 9" xfId="4039"/>
    <cellStyle name="Title 2 9 2" xfId="5471"/>
    <cellStyle name="Title 20" xfId="4040"/>
    <cellStyle name="Title 20 2" xfId="5472"/>
    <cellStyle name="Title 21" xfId="4732"/>
    <cellStyle name="Title 3" xfId="4041"/>
    <cellStyle name="Title 3 10" xfId="5473"/>
    <cellStyle name="Title 3 2" xfId="4042"/>
    <cellStyle name="Title 3 2 2" xfId="4043"/>
    <cellStyle name="Title 3 2 2 2" xfId="5475"/>
    <cellStyle name="Title 3 2 3" xfId="4044"/>
    <cellStyle name="Title 3 2 3 2" xfId="5476"/>
    <cellStyle name="Title 3 2 4" xfId="5474"/>
    <cellStyle name="Title 3 3" xfId="4045"/>
    <cellStyle name="Title 3 3 2" xfId="5477"/>
    <cellStyle name="Title 3 4" xfId="4046"/>
    <cellStyle name="Title 3 4 2" xfId="5478"/>
    <cellStyle name="Title 3 5" xfId="4047"/>
    <cellStyle name="Title 3 5 2" xfId="4048"/>
    <cellStyle name="Title 3 5 2 2" xfId="5480"/>
    <cellStyle name="Title 3 5 3" xfId="5479"/>
    <cellStyle name="Title 3 6" xfId="4049"/>
    <cellStyle name="Title 3 6 2" xfId="5481"/>
    <cellStyle name="Title 3 7" xfId="4050"/>
    <cellStyle name="Title 3 7 2" xfId="5482"/>
    <cellStyle name="Title 3 8" xfId="4051"/>
    <cellStyle name="Title 3 8 2" xfId="5483"/>
    <cellStyle name="Title 3 9" xfId="4052"/>
    <cellStyle name="Title 3 9 2" xfId="5484"/>
    <cellStyle name="Title 4" xfId="4053"/>
    <cellStyle name="Title 4 2" xfId="4054"/>
    <cellStyle name="Title 4 2 2" xfId="5486"/>
    <cellStyle name="Title 4 3" xfId="4055"/>
    <cellStyle name="Title 4 3 2" xfId="5487"/>
    <cellStyle name="Title 4 4" xfId="5485"/>
    <cellStyle name="Title 5" xfId="4056"/>
    <cellStyle name="Title 5 2" xfId="4057"/>
    <cellStyle name="Title 5 2 2" xfId="5489"/>
    <cellStyle name="Title 5 3" xfId="4058"/>
    <cellStyle name="Title 5 3 2" xfId="5490"/>
    <cellStyle name="Title 5 4" xfId="5488"/>
    <cellStyle name="Title 6" xfId="4059"/>
    <cellStyle name="Title 6 2" xfId="4060"/>
    <cellStyle name="Title 6 2 2" xfId="5492"/>
    <cellStyle name="Title 6 3" xfId="4061"/>
    <cellStyle name="Title 6 3 2" xfId="5493"/>
    <cellStyle name="Title 6 4" xfId="5491"/>
    <cellStyle name="Title 7" xfId="4062"/>
    <cellStyle name="Title 7 2" xfId="4063"/>
    <cellStyle name="Title 7 2 2" xfId="5495"/>
    <cellStyle name="Title 7 3" xfId="4064"/>
    <cellStyle name="Title 7 3 2" xfId="5496"/>
    <cellStyle name="Title 7 4" xfId="5494"/>
    <cellStyle name="Title 8" xfId="4065"/>
    <cellStyle name="Title 8 2" xfId="4066"/>
    <cellStyle name="Title 8 2 2" xfId="5498"/>
    <cellStyle name="Title 8 3" xfId="4067"/>
    <cellStyle name="Title 8 3 2" xfId="5499"/>
    <cellStyle name="Title 8 4" xfId="5497"/>
    <cellStyle name="Title 9" xfId="4068"/>
    <cellStyle name="Title 9 2" xfId="4069"/>
    <cellStyle name="Title 9 2 2" xfId="4070"/>
    <cellStyle name="Title 9 2 2 2" xfId="5502"/>
    <cellStyle name="Title 9 2 3" xfId="5501"/>
    <cellStyle name="Title 9 3" xfId="4071"/>
    <cellStyle name="Title 9 3 2" xfId="5503"/>
    <cellStyle name="Title 9 4" xfId="4072"/>
    <cellStyle name="Title 9 4 2" xfId="5504"/>
    <cellStyle name="Title 9 5" xfId="4073"/>
    <cellStyle name="Title 9 5 2" xfId="5505"/>
    <cellStyle name="Title 9 6" xfId="5500"/>
    <cellStyle name="title1" xfId="4652"/>
    <cellStyle name="title2" xfId="4653"/>
    <cellStyle name="TitleII" xfId="5025"/>
    <cellStyle name="TitleNormal" xfId="4074"/>
    <cellStyle name="TitleNormal 2" xfId="5506"/>
    <cellStyle name="Titles" xfId="4654"/>
    <cellStyle name="Titolo" xfId="4075"/>
    <cellStyle name="Titolo 2" xfId="5507"/>
    <cellStyle name="Titolo Riga" xfId="4076"/>
    <cellStyle name="Titolo Riga 2" xfId="4077"/>
    <cellStyle name="Titolo Riga 2 2" xfId="5509"/>
    <cellStyle name="Titolo Riga 3" xfId="5508"/>
    <cellStyle name="titre" xfId="4078"/>
    <cellStyle name="Titre 2" xfId="4079"/>
    <cellStyle name="Titre 2 2" xfId="5511"/>
    <cellStyle name="titre 3" xfId="5510"/>
    <cellStyle name="titre 4" xfId="5788"/>
    <cellStyle name="top" xfId="5026"/>
    <cellStyle name="Top Line" xfId="4655"/>
    <cellStyle name="Top_Border" xfId="4080"/>
    <cellStyle name="top-title" xfId="5027"/>
    <cellStyle name="Tot" xfId="4081"/>
    <cellStyle name="Tot 10" xfId="4082"/>
    <cellStyle name="Tot 10 2" xfId="5513"/>
    <cellStyle name="Tot 11" xfId="4083"/>
    <cellStyle name="Tot 11 2" xfId="5514"/>
    <cellStyle name="Tot 12" xfId="4084"/>
    <cellStyle name="Tot 12 2" xfId="5515"/>
    <cellStyle name="Tot 13" xfId="5512"/>
    <cellStyle name="Tot 2" xfId="4085"/>
    <cellStyle name="Tot 2 2" xfId="5516"/>
    <cellStyle name="Tot 3" xfId="4086"/>
    <cellStyle name="Tot 3 2" xfId="5517"/>
    <cellStyle name="Tot 4" xfId="4087"/>
    <cellStyle name="Tot 4 2" xfId="5518"/>
    <cellStyle name="Tot 5" xfId="4088"/>
    <cellStyle name="Tot 5 2" xfId="5519"/>
    <cellStyle name="Tot 6" xfId="4089"/>
    <cellStyle name="Tot 6 2" xfId="5520"/>
    <cellStyle name="Tot 7" xfId="4090"/>
    <cellStyle name="Tot 7 2" xfId="5521"/>
    <cellStyle name="Tot 8" xfId="4091"/>
    <cellStyle name="Tot 8 2" xfId="5522"/>
    <cellStyle name="Tot 9" xfId="4092"/>
    <cellStyle name="Tot 9 2" xfId="5523"/>
    <cellStyle name="Tot Dec" xfId="4093"/>
    <cellStyle name="Tot Dec 10" xfId="4094"/>
    <cellStyle name="Tot Dec 10 2" xfId="5525"/>
    <cellStyle name="Tot Dec 11" xfId="4095"/>
    <cellStyle name="Tot Dec 11 2" xfId="5526"/>
    <cellStyle name="Tot Dec 12" xfId="4096"/>
    <cellStyle name="Tot Dec 12 2" xfId="5527"/>
    <cellStyle name="Tot Dec 13" xfId="5524"/>
    <cellStyle name="Tot Dec 2" xfId="4097"/>
    <cellStyle name="Tot Dec 2 2" xfId="5528"/>
    <cellStyle name="Tot Dec 3" xfId="4098"/>
    <cellStyle name="Tot Dec 3 2" xfId="5529"/>
    <cellStyle name="Tot Dec 4" xfId="4099"/>
    <cellStyle name="Tot Dec 4 2" xfId="5530"/>
    <cellStyle name="Tot Dec 5" xfId="4100"/>
    <cellStyle name="Tot Dec 5 2" xfId="5531"/>
    <cellStyle name="Tot Dec 6" xfId="4101"/>
    <cellStyle name="Tot Dec 6 2" xfId="5532"/>
    <cellStyle name="Tot Dec 7" xfId="4102"/>
    <cellStyle name="Tot Dec 7 2" xfId="5533"/>
    <cellStyle name="Tot Dec 8" xfId="4103"/>
    <cellStyle name="Tot Dec 8 2" xfId="5534"/>
    <cellStyle name="Tot Dec 9" xfId="4104"/>
    <cellStyle name="Tot Dec 9 2" xfId="5535"/>
    <cellStyle name="Total 10" xfId="4105"/>
    <cellStyle name="Total 10 2" xfId="4106"/>
    <cellStyle name="Total 10 2 2" xfId="5537"/>
    <cellStyle name="Total 10 3" xfId="4107"/>
    <cellStyle name="Total 10 3 2" xfId="5538"/>
    <cellStyle name="Total 10 4" xfId="4108"/>
    <cellStyle name="Total 10 4 2" xfId="5539"/>
    <cellStyle name="Total 10 5" xfId="5536"/>
    <cellStyle name="Total 11" xfId="4109"/>
    <cellStyle name="Total 11 2" xfId="4110"/>
    <cellStyle name="Total 11 2 2" xfId="5541"/>
    <cellStyle name="Total 11 3" xfId="4111"/>
    <cellStyle name="Total 11 3 2" xfId="5542"/>
    <cellStyle name="Total 11 4" xfId="4112"/>
    <cellStyle name="Total 11 4 2" xfId="5543"/>
    <cellStyle name="Total 11 5" xfId="5540"/>
    <cellStyle name="Total 12" xfId="4113"/>
    <cellStyle name="Total 12 2" xfId="4114"/>
    <cellStyle name="Total 12 2 2" xfId="5545"/>
    <cellStyle name="Total 12 3" xfId="4115"/>
    <cellStyle name="Total 12 3 2" xfId="5546"/>
    <cellStyle name="Total 12 4" xfId="4116"/>
    <cellStyle name="Total 12 4 2" xfId="5547"/>
    <cellStyle name="Total 12 5" xfId="5544"/>
    <cellStyle name="Total 13" xfId="4117"/>
    <cellStyle name="Total 13 2" xfId="4118"/>
    <cellStyle name="Total 13 2 2" xfId="5549"/>
    <cellStyle name="Total 13 3" xfId="4119"/>
    <cellStyle name="Total 13 3 2" xfId="5550"/>
    <cellStyle name="Total 13 4" xfId="4120"/>
    <cellStyle name="Total 13 4 2" xfId="5551"/>
    <cellStyle name="Total 13 5" xfId="5548"/>
    <cellStyle name="Total 14" xfId="4121"/>
    <cellStyle name="Total 14 2" xfId="4122"/>
    <cellStyle name="Total 14 2 2" xfId="5553"/>
    <cellStyle name="Total 14 3" xfId="4123"/>
    <cellStyle name="Total 14 3 2" xfId="5554"/>
    <cellStyle name="Total 14 4" xfId="4124"/>
    <cellStyle name="Total 14 4 2" xfId="5555"/>
    <cellStyle name="Total 14 5" xfId="5552"/>
    <cellStyle name="Total 15" xfId="4125"/>
    <cellStyle name="Total 15 2" xfId="4126"/>
    <cellStyle name="Total 15 2 2" xfId="5557"/>
    <cellStyle name="Total 15 3" xfId="4127"/>
    <cellStyle name="Total 15 3 2" xfId="5558"/>
    <cellStyle name="Total 15 4" xfId="4128"/>
    <cellStyle name="Total 15 4 2" xfId="5559"/>
    <cellStyle name="Total 15 5" xfId="5556"/>
    <cellStyle name="Total 16" xfId="4129"/>
    <cellStyle name="Total 16 2" xfId="5560"/>
    <cellStyle name="Total 17" xfId="4130"/>
    <cellStyle name="Total 17 2" xfId="5561"/>
    <cellStyle name="Total 18" xfId="4131"/>
    <cellStyle name="Total 18 2" xfId="5562"/>
    <cellStyle name="Total 19" xfId="4132"/>
    <cellStyle name="Total 19 2" xfId="5563"/>
    <cellStyle name="Total 2" xfId="4133"/>
    <cellStyle name="Total 2 10" xfId="4134"/>
    <cellStyle name="Total 2 10 2" xfId="4135"/>
    <cellStyle name="Total 2 10 2 2" xfId="5566"/>
    <cellStyle name="Total 2 10 3" xfId="5565"/>
    <cellStyle name="Total 2 11" xfId="4136"/>
    <cellStyle name="Total 2 11 2" xfId="5567"/>
    <cellStyle name="Total 2 12" xfId="4137"/>
    <cellStyle name="Total 2 12 2" xfId="5568"/>
    <cellStyle name="Total 2 13" xfId="4138"/>
    <cellStyle name="Total 2 13 2" xfId="5569"/>
    <cellStyle name="Total 2 14" xfId="4139"/>
    <cellStyle name="Total 2 14 2" xfId="5570"/>
    <cellStyle name="Total 2 15" xfId="4140"/>
    <cellStyle name="Total 2 15 2" xfId="5571"/>
    <cellStyle name="Total 2 16" xfId="5287"/>
    <cellStyle name="Total 2 16 2" xfId="5564"/>
    <cellStyle name="Total 2 17" xfId="4880"/>
    <cellStyle name="Total 2 2" xfId="4141"/>
    <cellStyle name="Total 2 2 2" xfId="5572"/>
    <cellStyle name="Total 2 3" xfId="4142"/>
    <cellStyle name="Total 2 3 2" xfId="5573"/>
    <cellStyle name="Total 2 4" xfId="4143"/>
    <cellStyle name="Total 2 4 2" xfId="5574"/>
    <cellStyle name="Total 2 5" xfId="4144"/>
    <cellStyle name="Total 2 5 2" xfId="5575"/>
    <cellStyle name="Total 2 6" xfId="4145"/>
    <cellStyle name="Total 2 6 2" xfId="5576"/>
    <cellStyle name="Total 2 7" xfId="4146"/>
    <cellStyle name="Total 2 7 2" xfId="5577"/>
    <cellStyle name="Total 2 8" xfId="4147"/>
    <cellStyle name="Total 2 8 2" xfId="5578"/>
    <cellStyle name="Total 2 9" xfId="4148"/>
    <cellStyle name="Total 2 9 2" xfId="5579"/>
    <cellStyle name="Total 20" xfId="4149"/>
    <cellStyle name="Total 20 2" xfId="5580"/>
    <cellStyle name="Total 21" xfId="4733"/>
    <cellStyle name="Total 3" xfId="4150"/>
    <cellStyle name="Total 3 10" xfId="5581"/>
    <cellStyle name="Total 3 2" xfId="4151"/>
    <cellStyle name="Total 3 2 2" xfId="4152"/>
    <cellStyle name="Total 3 2 2 2" xfId="5583"/>
    <cellStyle name="Total 3 2 3" xfId="4153"/>
    <cellStyle name="Total 3 2 3 2" xfId="5584"/>
    <cellStyle name="Total 3 2 4" xfId="5582"/>
    <cellStyle name="Total 3 3" xfId="4154"/>
    <cellStyle name="Total 3 3 2" xfId="5585"/>
    <cellStyle name="Total 3 4" xfId="4155"/>
    <cellStyle name="Total 3 4 2" xfId="5586"/>
    <cellStyle name="Total 3 5" xfId="4156"/>
    <cellStyle name="Total 3 5 2" xfId="4157"/>
    <cellStyle name="Total 3 5 2 2" xfId="5588"/>
    <cellStyle name="Total 3 5 3" xfId="5587"/>
    <cellStyle name="Total 3 6" xfId="4158"/>
    <cellStyle name="Total 3 6 2" xfId="5589"/>
    <cellStyle name="Total 3 7" xfId="4159"/>
    <cellStyle name="Total 3 7 2" xfId="5590"/>
    <cellStyle name="Total 3 8" xfId="4160"/>
    <cellStyle name="Total 3 8 2" xfId="5591"/>
    <cellStyle name="Total 3 9" xfId="4161"/>
    <cellStyle name="Total 3 9 2" xfId="5592"/>
    <cellStyle name="Total 4" xfId="4162"/>
    <cellStyle name="Total 4 2" xfId="4163"/>
    <cellStyle name="Total 4 2 2" xfId="5594"/>
    <cellStyle name="Total 4 3" xfId="4164"/>
    <cellStyle name="Total 4 3 2" xfId="5595"/>
    <cellStyle name="Total 4 4" xfId="5593"/>
    <cellStyle name="Total 5" xfId="4165"/>
    <cellStyle name="Total 5 2" xfId="4166"/>
    <cellStyle name="Total 5 2 2" xfId="5597"/>
    <cellStyle name="Total 5 3" xfId="4167"/>
    <cellStyle name="Total 5 3 2" xfId="5598"/>
    <cellStyle name="Total 5 4" xfId="5596"/>
    <cellStyle name="Total 6" xfId="4168"/>
    <cellStyle name="Total 6 2" xfId="4169"/>
    <cellStyle name="Total 6 2 2" xfId="5600"/>
    <cellStyle name="Total 6 3" xfId="4170"/>
    <cellStyle name="Total 6 3 2" xfId="5601"/>
    <cellStyle name="Total 6 4" xfId="5599"/>
    <cellStyle name="Total 7" xfId="4171"/>
    <cellStyle name="Total 7 2" xfId="4172"/>
    <cellStyle name="Total 7 2 2" xfId="5603"/>
    <cellStyle name="Total 7 3" xfId="4173"/>
    <cellStyle name="Total 7 3 2" xfId="5604"/>
    <cellStyle name="Total 7 4" xfId="5602"/>
    <cellStyle name="Total 8" xfId="4174"/>
    <cellStyle name="Total 8 2" xfId="4175"/>
    <cellStyle name="Total 8 2 2" xfId="5606"/>
    <cellStyle name="Total 8 3" xfId="4176"/>
    <cellStyle name="Total 8 3 2" xfId="5607"/>
    <cellStyle name="Total 8 4" xfId="5605"/>
    <cellStyle name="Total 9" xfId="4177"/>
    <cellStyle name="Total 9 2" xfId="4178"/>
    <cellStyle name="Total 9 2 2" xfId="4179"/>
    <cellStyle name="Total 9 2 2 2" xfId="5610"/>
    <cellStyle name="Total 9 2 3" xfId="5609"/>
    <cellStyle name="Total 9 3" xfId="4180"/>
    <cellStyle name="Total 9 3 2" xfId="5611"/>
    <cellStyle name="Total 9 4" xfId="4181"/>
    <cellStyle name="Total 9 4 2" xfId="5612"/>
    <cellStyle name="Total 9 5" xfId="4182"/>
    <cellStyle name="Total 9 5 2" xfId="5613"/>
    <cellStyle name="Total 9 6" xfId="5608"/>
    <cellStyle name="Total Data" xfId="4183"/>
    <cellStyle name="Total Data 2" xfId="5614"/>
    <cellStyle name="Totale" xfId="4184"/>
    <cellStyle name="Totale 10" xfId="4185"/>
    <cellStyle name="Totale 10 2" xfId="5616"/>
    <cellStyle name="Totale 11" xfId="4186"/>
    <cellStyle name="Totale 11 2" xfId="5617"/>
    <cellStyle name="Totale 12" xfId="4187"/>
    <cellStyle name="Totale 12 2" xfId="5618"/>
    <cellStyle name="Totale 13" xfId="5615"/>
    <cellStyle name="Totale 2" xfId="4188"/>
    <cellStyle name="Totale 2 2" xfId="5619"/>
    <cellStyle name="Totale 3" xfId="4189"/>
    <cellStyle name="Totale 3 2" xfId="5620"/>
    <cellStyle name="Totale 4" xfId="4190"/>
    <cellStyle name="Totale 4 2" xfId="5621"/>
    <cellStyle name="Totale 5" xfId="4191"/>
    <cellStyle name="Totale 5 2" xfId="5622"/>
    <cellStyle name="Totale 6" xfId="4192"/>
    <cellStyle name="Totale 6 2" xfId="5623"/>
    <cellStyle name="Totale 7" xfId="4193"/>
    <cellStyle name="Totale 7 2" xfId="5624"/>
    <cellStyle name="Totale 8" xfId="4194"/>
    <cellStyle name="Totale 8 2" xfId="5625"/>
    <cellStyle name="Totale 9" xfId="4195"/>
    <cellStyle name="Totale 9 2" xfId="5626"/>
    <cellStyle name="Totale Dec" xfId="4196"/>
    <cellStyle name="Totale Dec 10" xfId="4197"/>
    <cellStyle name="Totale Dec 10 2" xfId="5628"/>
    <cellStyle name="Totale Dec 11" xfId="4198"/>
    <cellStyle name="Totale Dec 11 2" xfId="5629"/>
    <cellStyle name="Totale Dec 12" xfId="4199"/>
    <cellStyle name="Totale Dec 12 2" xfId="5630"/>
    <cellStyle name="Totale Dec 13" xfId="5627"/>
    <cellStyle name="Totale Dec 2" xfId="4200"/>
    <cellStyle name="Totale Dec 2 2" xfId="5631"/>
    <cellStyle name="Totale Dec 3" xfId="4201"/>
    <cellStyle name="Totale Dec 3 2" xfId="5632"/>
    <cellStyle name="Totale Dec 4" xfId="4202"/>
    <cellStyle name="Totale Dec 4 2" xfId="5633"/>
    <cellStyle name="Totale Dec 5" xfId="4203"/>
    <cellStyle name="Totale Dec 5 2" xfId="5634"/>
    <cellStyle name="Totale Dec 6" xfId="4204"/>
    <cellStyle name="Totale Dec 6 2" xfId="5635"/>
    <cellStyle name="Totale Dec 7" xfId="4205"/>
    <cellStyle name="Totale Dec 7 2" xfId="5636"/>
    <cellStyle name="Totale Dec 8" xfId="4206"/>
    <cellStyle name="Totale Dec 8 2" xfId="5637"/>
    <cellStyle name="Totale Dec 9" xfId="4207"/>
    <cellStyle name="Totale Dec 9 2" xfId="5638"/>
    <cellStyle name="Totals" xfId="4656"/>
    <cellStyle name="Undefiniert" xfId="4208"/>
    <cellStyle name="Undefiniert 2" xfId="5639"/>
    <cellStyle name="Underline" xfId="4209"/>
    <cellStyle name="underline 1 decimal" xfId="4657"/>
    <cellStyle name="Underline 2" xfId="5640"/>
    <cellStyle name="Underline 3" xfId="5791"/>
    <cellStyle name="UnderlineNormal" xfId="5028"/>
    <cellStyle name="Unprot" xfId="4210"/>
    <cellStyle name="Unprot 2" xfId="5288"/>
    <cellStyle name="Unprot 2 2" xfId="5641"/>
    <cellStyle name="Unprot 3" xfId="5029"/>
    <cellStyle name="Unprot$" xfId="4211"/>
    <cellStyle name="Unprot$ 2" xfId="5289"/>
    <cellStyle name="Unprot$ 2 2" xfId="5642"/>
    <cellStyle name="Unprot$ 3" xfId="5030"/>
    <cellStyle name="Unprot_All BOMS Metro" xfId="4212"/>
    <cellStyle name="Unprotect" xfId="4213"/>
    <cellStyle name="Unprotect 2" xfId="5290"/>
    <cellStyle name="Unprotect 2 2" xfId="5643"/>
    <cellStyle name="Unprotect 3" xfId="5031"/>
    <cellStyle name="Unprotected" xfId="5032"/>
    <cellStyle name="UnProtectedCalc" xfId="4658"/>
    <cellStyle name="UnProtectedCalc 2" xfId="5316"/>
    <cellStyle name="UnProtectedCalc 2 2" xfId="5351"/>
    <cellStyle name="UnProtectedCalc 2 2 2" xfId="5828"/>
    <cellStyle name="Upload Only" xfId="4659"/>
    <cellStyle name="Upload Only 2" xfId="5033"/>
    <cellStyle name="UploadThisRowValue" xfId="4214"/>
    <cellStyle name="UploadThisRowValue 2" xfId="5644"/>
    <cellStyle name="User_Defined_A" xfId="4215"/>
    <cellStyle name="ViewDate" xfId="4216"/>
    <cellStyle name="ViewDate 2" xfId="5645"/>
    <cellStyle name="ViewDetailDate" xfId="4217"/>
    <cellStyle name="ViewDetailDate 2" xfId="5646"/>
    <cellStyle name="ViewDetailInt" xfId="4218"/>
    <cellStyle name="ViewDetailInt 2" xfId="5647"/>
    <cellStyle name="ViewDetailPct" xfId="4219"/>
    <cellStyle name="ViewDetailPct 2" xfId="5648"/>
    <cellStyle name="ViewGrndTotalInt" xfId="4220"/>
    <cellStyle name="ViewGrndTotalInt 10" xfId="4221"/>
    <cellStyle name="ViewGrndTotalInt 10 2" xfId="5650"/>
    <cellStyle name="ViewGrndTotalInt 11" xfId="4222"/>
    <cellStyle name="ViewGrndTotalInt 11 2" xfId="5651"/>
    <cellStyle name="ViewGrndTotalInt 12" xfId="4223"/>
    <cellStyle name="ViewGrndTotalInt 12 2" xfId="5652"/>
    <cellStyle name="ViewGrndTotalInt 13" xfId="5649"/>
    <cellStyle name="ViewGrndTotalInt 2" xfId="4224"/>
    <cellStyle name="ViewGrndTotalInt 2 2" xfId="5653"/>
    <cellStyle name="ViewGrndTotalInt 3" xfId="4225"/>
    <cellStyle name="ViewGrndTotalInt 3 2" xfId="5654"/>
    <cellStyle name="ViewGrndTotalInt 4" xfId="4226"/>
    <cellStyle name="ViewGrndTotalInt 4 2" xfId="5655"/>
    <cellStyle name="ViewGrndTotalInt 5" xfId="4227"/>
    <cellStyle name="ViewGrndTotalInt 5 2" xfId="5656"/>
    <cellStyle name="ViewGrndTotalInt 6" xfId="4228"/>
    <cellStyle name="ViewGrndTotalInt 6 2" xfId="5657"/>
    <cellStyle name="ViewGrndTotalInt 7" xfId="4229"/>
    <cellStyle name="ViewGrndTotalInt 7 2" xfId="5658"/>
    <cellStyle name="ViewGrndTotalInt 8" xfId="4230"/>
    <cellStyle name="ViewGrndTotalInt 8 2" xfId="5659"/>
    <cellStyle name="ViewGrndTotalInt 9" xfId="4231"/>
    <cellStyle name="ViewGrndTotalInt 9 2" xfId="5660"/>
    <cellStyle name="ViewGrndTotalPct" xfId="4232"/>
    <cellStyle name="ViewGrndTotalPct 10" xfId="4233"/>
    <cellStyle name="ViewGrndTotalPct 10 2" xfId="5662"/>
    <cellStyle name="ViewGrndTotalPct 11" xfId="4234"/>
    <cellStyle name="ViewGrndTotalPct 11 2" xfId="5663"/>
    <cellStyle name="ViewGrndTotalPct 12" xfId="4235"/>
    <cellStyle name="ViewGrndTotalPct 12 2" xfId="5664"/>
    <cellStyle name="ViewGrndTotalPct 13" xfId="5661"/>
    <cellStyle name="ViewGrndTotalPct 2" xfId="4236"/>
    <cellStyle name="ViewGrndTotalPct 2 2" xfId="5665"/>
    <cellStyle name="ViewGrndTotalPct 3" xfId="4237"/>
    <cellStyle name="ViewGrndTotalPct 3 2" xfId="5666"/>
    <cellStyle name="ViewGrndTotalPct 4" xfId="4238"/>
    <cellStyle name="ViewGrndTotalPct 4 2" xfId="5667"/>
    <cellStyle name="ViewGrndTotalPct 5" xfId="4239"/>
    <cellStyle name="ViewGrndTotalPct 5 2" xfId="5668"/>
    <cellStyle name="ViewGrndTotalPct 6" xfId="4240"/>
    <cellStyle name="ViewGrndTotalPct 6 2" xfId="5669"/>
    <cellStyle name="ViewGrndTotalPct 7" xfId="4241"/>
    <cellStyle name="ViewGrndTotalPct 7 2" xfId="5670"/>
    <cellStyle name="ViewGrndTotalPct 8" xfId="4242"/>
    <cellStyle name="ViewGrndTotalPct 8 2" xfId="5671"/>
    <cellStyle name="ViewGrndTotalPct 9" xfId="4243"/>
    <cellStyle name="ViewGrndTotalPct 9 2" xfId="5672"/>
    <cellStyle name="ViewHide" xfId="4244"/>
    <cellStyle name="ViewHide 2" xfId="5673"/>
    <cellStyle name="ViewTotal" xfId="4245"/>
    <cellStyle name="ViewTotal 2" xfId="5674"/>
    <cellStyle name="ViewTotalHide" xfId="4246"/>
    <cellStyle name="ViewTotalHide 2" xfId="5675"/>
    <cellStyle name="ViewTotalInt" xfId="4247"/>
    <cellStyle name="ViewTotalInt 2" xfId="5676"/>
    <cellStyle name="ViewTotalPct" xfId="4248"/>
    <cellStyle name="ViewTotalPct 2" xfId="5677"/>
    <cellStyle name="Währung [0]_Acquisition stats" xfId="4249"/>
    <cellStyle name="Währung_Acquisition stats" xfId="4250"/>
    <cellStyle name="Warning" xfId="4251"/>
    <cellStyle name="Warning 2" xfId="5678"/>
    <cellStyle name="Warning Text 10" xfId="4252"/>
    <cellStyle name="Warning Text 10 2" xfId="4253"/>
    <cellStyle name="Warning Text 10 2 2" xfId="5680"/>
    <cellStyle name="Warning Text 10 3" xfId="4254"/>
    <cellStyle name="Warning Text 10 3 2" xfId="5681"/>
    <cellStyle name="Warning Text 10 4" xfId="5679"/>
    <cellStyle name="Warning Text 11" xfId="4255"/>
    <cellStyle name="Warning Text 11 2" xfId="4256"/>
    <cellStyle name="Warning Text 11 2 2" xfId="5683"/>
    <cellStyle name="Warning Text 11 3" xfId="4257"/>
    <cellStyle name="Warning Text 11 3 2" xfId="5684"/>
    <cellStyle name="Warning Text 11 4" xfId="5682"/>
    <cellStyle name="Warning Text 12" xfId="4258"/>
    <cellStyle name="Warning Text 12 2" xfId="4259"/>
    <cellStyle name="Warning Text 12 2 2" xfId="5686"/>
    <cellStyle name="Warning Text 12 3" xfId="4260"/>
    <cellStyle name="Warning Text 12 3 2" xfId="5687"/>
    <cellStyle name="Warning Text 12 4" xfId="5685"/>
    <cellStyle name="Warning Text 13" xfId="4261"/>
    <cellStyle name="Warning Text 13 2" xfId="4262"/>
    <cellStyle name="Warning Text 13 2 2" xfId="5689"/>
    <cellStyle name="Warning Text 13 3" xfId="4263"/>
    <cellStyle name="Warning Text 13 3 2" xfId="5690"/>
    <cellStyle name="Warning Text 13 4" xfId="5688"/>
    <cellStyle name="Warning Text 14" xfId="4264"/>
    <cellStyle name="Warning Text 14 2" xfId="4265"/>
    <cellStyle name="Warning Text 14 2 2" xfId="5692"/>
    <cellStyle name="Warning Text 14 3" xfId="4266"/>
    <cellStyle name="Warning Text 14 3 2" xfId="5693"/>
    <cellStyle name="Warning Text 14 4" xfId="5691"/>
    <cellStyle name="Warning Text 15" xfId="4267"/>
    <cellStyle name="Warning Text 15 2" xfId="4268"/>
    <cellStyle name="Warning Text 15 2 2" xfId="5695"/>
    <cellStyle name="Warning Text 15 3" xfId="4269"/>
    <cellStyle name="Warning Text 15 3 2" xfId="5696"/>
    <cellStyle name="Warning Text 15 4" xfId="5694"/>
    <cellStyle name="Warning Text 16" xfId="4270"/>
    <cellStyle name="Warning Text 16 2" xfId="5697"/>
    <cellStyle name="Warning Text 17" xfId="4271"/>
    <cellStyle name="Warning Text 17 2" xfId="5698"/>
    <cellStyle name="Warning Text 18" xfId="4272"/>
    <cellStyle name="Warning Text 18 2" xfId="5699"/>
    <cellStyle name="Warning Text 19" xfId="4273"/>
    <cellStyle name="Warning Text 19 2" xfId="5700"/>
    <cellStyle name="Warning Text 2" xfId="4274"/>
    <cellStyle name="Warning Text 2 10" xfId="4275"/>
    <cellStyle name="Warning Text 2 10 2" xfId="5702"/>
    <cellStyle name="Warning Text 2 11" xfId="4276"/>
    <cellStyle name="Warning Text 2 11 2" xfId="5703"/>
    <cellStyle name="Warning Text 2 12" xfId="4277"/>
    <cellStyle name="Warning Text 2 12 2" xfId="5704"/>
    <cellStyle name="Warning Text 2 13" xfId="4278"/>
    <cellStyle name="Warning Text 2 13 2" xfId="5705"/>
    <cellStyle name="Warning Text 2 14" xfId="4279"/>
    <cellStyle name="Warning Text 2 14 2" xfId="5706"/>
    <cellStyle name="Warning Text 2 15" xfId="4280"/>
    <cellStyle name="Warning Text 2 15 2" xfId="5707"/>
    <cellStyle name="Warning Text 2 16" xfId="5296"/>
    <cellStyle name="Warning Text 2 16 2" xfId="5701"/>
    <cellStyle name="Warning Text 2 17" xfId="4881"/>
    <cellStyle name="Warning Text 2 2" xfId="4281"/>
    <cellStyle name="Warning Text 2 2 2" xfId="5708"/>
    <cellStyle name="Warning Text 2 3" xfId="4282"/>
    <cellStyle name="Warning Text 2 3 2" xfId="5709"/>
    <cellStyle name="Warning Text 2 4" xfId="4283"/>
    <cellStyle name="Warning Text 2 4 2" xfId="5710"/>
    <cellStyle name="Warning Text 2 5" xfId="4284"/>
    <cellStyle name="Warning Text 2 5 2" xfId="5711"/>
    <cellStyle name="Warning Text 2 6" xfId="4285"/>
    <cellStyle name="Warning Text 2 6 2" xfId="5712"/>
    <cellStyle name="Warning Text 2 7" xfId="4286"/>
    <cellStyle name="Warning Text 2 7 2" xfId="5713"/>
    <cellStyle name="Warning Text 2 8" xfId="4287"/>
    <cellStyle name="Warning Text 2 8 2" xfId="5714"/>
    <cellStyle name="Warning Text 2 9" xfId="4288"/>
    <cellStyle name="Warning Text 2 9 2" xfId="5715"/>
    <cellStyle name="Warning Text 20" xfId="4289"/>
    <cellStyle name="Warning Text 20 2" xfId="5716"/>
    <cellStyle name="Warning Text 21" xfId="4734"/>
    <cellStyle name="Warning Text 3" xfId="4290"/>
    <cellStyle name="Warning Text 3 2" xfId="4291"/>
    <cellStyle name="Warning Text 3 2 2" xfId="5718"/>
    <cellStyle name="Warning Text 3 3" xfId="4292"/>
    <cellStyle name="Warning Text 3 3 2" xfId="5719"/>
    <cellStyle name="Warning Text 3 4" xfId="4293"/>
    <cellStyle name="Warning Text 3 4 2" xfId="5720"/>
    <cellStyle name="Warning Text 3 5" xfId="4294"/>
    <cellStyle name="Warning Text 3 5 2" xfId="5721"/>
    <cellStyle name="Warning Text 3 6" xfId="4295"/>
    <cellStyle name="Warning Text 3 6 2" xfId="5722"/>
    <cellStyle name="Warning Text 3 7" xfId="4296"/>
    <cellStyle name="Warning Text 3 7 2" xfId="5723"/>
    <cellStyle name="Warning Text 3 8" xfId="4297"/>
    <cellStyle name="Warning Text 3 8 2" xfId="5724"/>
    <cellStyle name="Warning Text 3 9" xfId="5717"/>
    <cellStyle name="Warning Text 4" xfId="4298"/>
    <cellStyle name="Warning Text 4 2" xfId="4299"/>
    <cellStyle name="Warning Text 4 2 2" xfId="5726"/>
    <cellStyle name="Warning Text 4 3" xfId="5725"/>
    <cellStyle name="Warning Text 5" xfId="4300"/>
    <cellStyle name="Warning Text 5 2" xfId="4301"/>
    <cellStyle name="Warning Text 5 2 2" xfId="5728"/>
    <cellStyle name="Warning Text 5 3" xfId="5727"/>
    <cellStyle name="Warning Text 6" xfId="4302"/>
    <cellStyle name="Warning Text 6 2" xfId="4303"/>
    <cellStyle name="Warning Text 6 2 2" xfId="5730"/>
    <cellStyle name="Warning Text 6 3" xfId="5729"/>
    <cellStyle name="Warning Text 7" xfId="4304"/>
    <cellStyle name="Warning Text 7 2" xfId="5731"/>
    <cellStyle name="Warning Text 8" xfId="4305"/>
    <cellStyle name="Warning Text 8 2" xfId="5732"/>
    <cellStyle name="Warning Text 9" xfId="4306"/>
    <cellStyle name="Warning Text 9 2" xfId="4307"/>
    <cellStyle name="Warning Text 9 2 2" xfId="5734"/>
    <cellStyle name="Warning Text 9 3" xfId="4308"/>
    <cellStyle name="Warning Text 9 3 2" xfId="5735"/>
    <cellStyle name="Warning Text 9 4" xfId="4309"/>
    <cellStyle name="Warning Text 9 4 2" xfId="5736"/>
    <cellStyle name="Warning Text 9 5" xfId="5733"/>
    <cellStyle name="web_ normal" xfId="4310"/>
    <cellStyle name="WholeNumber" xfId="5061"/>
    <cellStyle name="Work in progress" xfId="4311"/>
    <cellStyle name="Work in progress 2" xfId="5737"/>
    <cellStyle name="x" xfId="4312"/>
    <cellStyle name="x 2" xfId="5738"/>
    <cellStyle name="Year" xfId="4313"/>
    <cellStyle name="Year 2" xfId="4660"/>
    <cellStyle name="Year 3" xfId="4661"/>
    <cellStyle name="Year 3 2" xfId="4662"/>
    <cellStyle name="Year 4" xfId="4663"/>
    <cellStyle name="Year 4 2" xfId="4664"/>
    <cellStyle name="Year 5" xfId="4665"/>
    <cellStyle name="Year 5 2" xfId="4666"/>
    <cellStyle name="Year 6" xfId="4667"/>
    <cellStyle name="Year 7" xfId="5302"/>
    <cellStyle name="Year 7 2" xfId="5739"/>
    <cellStyle name="Years" xfId="5034"/>
    <cellStyle name="Yellow" xfId="4314"/>
    <cellStyle name="Yellow 2" xfId="5740"/>
    <cellStyle name="Yen" xfId="4315"/>
    <cellStyle name="Yen 2" xfId="5741"/>
    <cellStyle name="똿뗦먛귟 [0.00]_laroux" xfId="4316"/>
    <cellStyle name="똿뗦먛귟_laroux" xfId="4317"/>
    <cellStyle name="믅됞 [0.00]_laroux" xfId="4318"/>
    <cellStyle name="믅됞_laroux" xfId="4319"/>
    <cellStyle name="백분율_95" xfId="4320"/>
    <cellStyle name="뷭?_BOOKSHIP" xfId="4321"/>
    <cellStyle name="쉼표_매출총괄(02)" xfId="5062"/>
    <cellStyle name="쬞\?1@" xfId="4827"/>
    <cellStyle name="콤마 [0]_   " xfId="4668"/>
    <cellStyle name="콤마_   " xfId="4669"/>
    <cellStyle name="통화 [0]_1202" xfId="4322"/>
    <cellStyle name="통화_1202" xfId="4323"/>
    <cellStyle name="표준_(정보부문)월별인원계획" xfId="4324"/>
    <cellStyle name="하이퍼링크_000727 IMT-2000 시설투자물량(4210) 4FA고려 필요 " xfId="4670"/>
    <cellStyle name="一般_Sheet1" xfId="4325"/>
    <cellStyle name="中等" xfId="4326"/>
    <cellStyle name="中等 2" xfId="5742"/>
    <cellStyle name="備註" xfId="4327"/>
    <cellStyle name="備註 2" xfId="5743"/>
    <cellStyle name="千位分隔[0]_BOM 3EC 37531 AAAA" xfId="4328"/>
    <cellStyle name="千位分隔_BOM 3EC 37531 AAAA" xfId="4329"/>
    <cellStyle name="合計" xfId="4330"/>
    <cellStyle name="合計 2" xfId="5744"/>
    <cellStyle name="壞" xfId="4331"/>
    <cellStyle name="壞 2" xfId="5745"/>
    <cellStyle name="好" xfId="4332"/>
    <cellStyle name="好 2" xfId="5746"/>
    <cellStyle name="好_XBOX Total BI Q1'08 0310" xfId="4333"/>
    <cellStyle name="好_XBOX Total BI Q1'08 0310 2" xfId="5747"/>
    <cellStyle name="差" xfId="4334"/>
    <cellStyle name="差 2" xfId="5748"/>
    <cellStyle name="常规_BOM 3EC 37531 AAAA" xfId="4335"/>
    <cellStyle name="强调文字颜色 1" xfId="4336"/>
    <cellStyle name="强调文字颜色 1 2" xfId="5749"/>
    <cellStyle name="强调文字颜色 2" xfId="4337"/>
    <cellStyle name="强调文字颜色 2 2" xfId="5750"/>
    <cellStyle name="强调文字颜色 3" xfId="4338"/>
    <cellStyle name="强调文字颜色 3 2" xfId="5751"/>
    <cellStyle name="强调文字颜色 4" xfId="4339"/>
    <cellStyle name="强调文字颜色 4 2" xfId="5752"/>
    <cellStyle name="强调文字颜色 5" xfId="4340"/>
    <cellStyle name="强调文字颜色 5 2" xfId="5753"/>
    <cellStyle name="强调文字颜色 6" xfId="4341"/>
    <cellStyle name="强调文字颜色 6 2" xfId="5754"/>
    <cellStyle name="未定義" xfId="5064"/>
    <cellStyle name="标题" xfId="4342"/>
    <cellStyle name="标题 1" xfId="4343"/>
    <cellStyle name="标题 1 2" xfId="5756"/>
    <cellStyle name="标题 2" xfId="4344"/>
    <cellStyle name="标题 2 2" xfId="5757"/>
    <cellStyle name="标题 3" xfId="4345"/>
    <cellStyle name="标题 3 2" xfId="5758"/>
    <cellStyle name="标题 4" xfId="4346"/>
    <cellStyle name="标题 4 2" xfId="5759"/>
    <cellStyle name="标题 5" xfId="5755"/>
    <cellStyle name="检查单元格" xfId="4347"/>
    <cellStyle name="检查单元格 2" xfId="5760"/>
    <cellStyle name="標準_5401a" xfId="5065"/>
    <cellStyle name="標題" xfId="4348"/>
    <cellStyle name="標題 1" xfId="4349"/>
    <cellStyle name="標題 1 2" xfId="5762"/>
    <cellStyle name="標題 2" xfId="4350"/>
    <cellStyle name="標題 2 2" xfId="5763"/>
    <cellStyle name="標題 3" xfId="4351"/>
    <cellStyle name="標題 3 2" xfId="5764"/>
    <cellStyle name="標題 4" xfId="4352"/>
    <cellStyle name="標題 4 2" xfId="5765"/>
    <cellStyle name="標題 5" xfId="5761"/>
    <cellStyle name="檢查儲存格" xfId="4353"/>
    <cellStyle name="檢查儲存格 2" xfId="5766"/>
    <cellStyle name="汇总" xfId="4354"/>
    <cellStyle name="汇总 2" xfId="5767"/>
    <cellStyle name="注释" xfId="4355"/>
    <cellStyle name="注释 2" xfId="5768"/>
    <cellStyle name="解释性文本" xfId="4356"/>
    <cellStyle name="解释性文本 2" xfId="5769"/>
    <cellStyle name="計算方式" xfId="4357"/>
    <cellStyle name="計算方式 2" xfId="5770"/>
    <cellStyle name="說明文字" xfId="4358"/>
    <cellStyle name="說明文字 2" xfId="5771"/>
    <cellStyle name="警告文字" xfId="4359"/>
    <cellStyle name="警告文字 2" xfId="5772"/>
    <cellStyle name="警告文本" xfId="4360"/>
    <cellStyle name="警告文本 2" xfId="5773"/>
    <cellStyle name="计算" xfId="4361"/>
    <cellStyle name="计算 2" xfId="5774"/>
    <cellStyle name="货币[0]_BOM 3EC 37531 AAAA" xfId="4362"/>
    <cellStyle name="货币_BOM 3EC 37531 AAAA" xfId="4363"/>
    <cellStyle name="輔色1" xfId="4364"/>
    <cellStyle name="輔色1 2" xfId="5775"/>
    <cellStyle name="輔色2" xfId="4365"/>
    <cellStyle name="輔色2 2" xfId="5776"/>
    <cellStyle name="輔色3" xfId="4366"/>
    <cellStyle name="輔色3 2" xfId="5777"/>
    <cellStyle name="輔色4" xfId="4367"/>
    <cellStyle name="輔色4 2" xfId="5778"/>
    <cellStyle name="輔色5" xfId="4368"/>
    <cellStyle name="輔色5 2" xfId="5779"/>
    <cellStyle name="輔色6" xfId="4369"/>
    <cellStyle name="輔色6 2" xfId="5780"/>
    <cellStyle name="輸入" xfId="4370"/>
    <cellStyle name="輸入 2" xfId="5781"/>
    <cellStyle name="輸出" xfId="4371"/>
    <cellStyle name="輸出 2" xfId="5782"/>
    <cellStyle name="输入" xfId="4372"/>
    <cellStyle name="输入 2" xfId="5783"/>
    <cellStyle name="输出" xfId="4373"/>
    <cellStyle name="输出 2" xfId="5784"/>
    <cellStyle name="适中" xfId="4374"/>
    <cellStyle name="适中 2" xfId="5785"/>
    <cellStyle name="連結的儲存格" xfId="4375"/>
    <cellStyle name="連結的儲存格 2" xfId="5786"/>
    <cellStyle name="链接单元格" xfId="4376"/>
    <cellStyle name="链接单元格 2" xfId="5787"/>
  </cellStyles>
  <dxfs count="26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0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>
        <v>0.59699999999999998</v>
        <stp/>
        <stp>dde0e7c2-2ce1-46c3-92c4-625d5804f372</stp>
        <tr r="BH15" s="13"/>
      </tp>
      <tp>
        <v>1265</v>
        <stp/>
        <stp>9cf491e5-8568-4a6e-a279-44ad7713f343</stp>
        <tr r="AU8" s="13"/>
      </tp>
      <tp t="s">
        <v xml:space="preserve">          Manual Calculation          </v>
        <stp/>
        <stp>d208cad1-22cd-4601-a655-9c6d579cd9e6</stp>
        <tr r="AH8" s="13"/>
      </tp>
      <tp t="s">
        <v>Manual Calculation</v>
        <stp/>
        <stp>e04c2b6e-fe77-407c-8e50-8a86f3b0683b</stp>
        <tr r="AE15" s="13"/>
      </tp>
      <tp t="s">
        <v>Manual Calculation</v>
        <stp/>
        <stp>3c6666b4-86cd-4a0d-857d-66075ba27c25</stp>
        <tr r="T15" s="13"/>
      </tp>
      <tp t="s">
        <v xml:space="preserve">          Manual Calculation          </v>
        <stp/>
        <stp>6bdaa78b-a421-45b8-930f-771defd9cd4e</stp>
        <tr r="AF8" s="13"/>
      </tp>
      <tp>
        <v>0</v>
        <stp/>
        <stp>65ff48b4-295c-44ed-8e1e-203d5af0e2ba</stp>
        <tr r="CC26" s="13"/>
      </tp>
      <tp t="s">
        <v>Manual Calculation</v>
        <stp/>
        <stp>37f25b95-3163-4a22-87d8-29676c7b3c8d</stp>
        <tr r="BW36" s="13"/>
      </tp>
      <tp t="s">
        <v>Manual Calculation</v>
        <stp/>
        <stp>3c72085a-a8f3-4060-b7ee-bd58e13c236d</stp>
        <tr r="AM26" s="13"/>
      </tp>
      <tp t="s">
        <v>N/A</v>
        <stp/>
        <stp>c1893f05-127a-4a1b-9b07-8117997015ec</stp>
        <tr r="C15" s="13"/>
      </tp>
      <tp t="s">
        <v>$1.29</v>
        <stp/>
        <stp>c0ac48ab-b89f-4b1d-9e7b-307fd89a8898</stp>
        <tr r="BE36" s="13"/>
      </tp>
      <tp t="s">
        <v xml:space="preserve">           N/A           </v>
        <stp/>
        <stp>289fad5e-e7ad-4124-bb08-0d0a4bf5529a</stp>
        <tr r="BL8" s="13"/>
      </tp>
      <tp t="s">
        <v>Manual Calculation</v>
        <stp/>
        <stp>c857a7ee-1121-428e-952b-a0b751114aea</stp>
        <tr r="T36" s="13"/>
      </tp>
      <tp t="s">
        <v>Manual Calculation</v>
        <stp/>
        <stp>d197f868-5a88-47cd-9f4c-ee4d45139555</stp>
        <tr r="AA15" s="13"/>
      </tp>
      <tp t="s">
        <v>Manual Calculation</v>
        <stp/>
        <stp>60a318c2-da5a-4830-b1ff-424a7210c0b7</stp>
        <tr r="H36" s="13"/>
      </tp>
      <tp t="s">
        <v>Manual Calculation</v>
        <stp/>
        <stp>8e46b1ca-f3fe-4644-8497-b9d368ca044b</stp>
        <tr r="AO36" s="13"/>
      </tp>
      <tp t="s">
        <v>Manual Calculation</v>
        <stp/>
        <stp>111d9c89-af0c-433d-a25f-45aae9813d86</stp>
        <tr r="J15" s="13"/>
      </tp>
      <tp>
        <v>0.59699999999999998</v>
        <stp/>
        <stp>196531de-5622-457f-b472-fa48acd6dd56</stp>
        <tr r="BD15" s="13"/>
      </tp>
      <tp t="s">
        <v>Manual Calculation</v>
        <stp/>
        <stp>b3300c60-d59c-4997-81ba-aa4ba25a88d7</stp>
        <tr r="AG15" s="13"/>
      </tp>
      <tp t="s">
        <v>Manual Calculation</v>
        <stp/>
        <stp>be326730-704f-49f3-affb-28953fc81d6d</stp>
        <tr r="Q15" s="13"/>
      </tp>
      <tp t="s">
        <v>N/A</v>
        <stp/>
        <stp>7368bc22-bd7b-4db2-b20f-76a315ddb8f6</stp>
        <tr r="G15" s="13"/>
      </tp>
      <tp t="s">
        <v>Manual Calculation</v>
        <stp/>
        <stp>223c7e97-2f3f-4866-b70d-ac6a296f62af</stp>
        <tr r="Y15" s="13"/>
      </tp>
      <tp t="s">
        <v>Manual Calculation</v>
        <stp/>
        <stp>fc38d2b3-8897-4d77-96e0-4b6feba550c5</stp>
        <tr r="AJ26" s="13"/>
      </tp>
      <tp t="s">
        <v>Manual Calculation</v>
        <stp/>
        <stp>eebcc2b1-aab4-406d-9f3a-981a5a4f4377</stp>
        <tr r="AP26" s="13"/>
      </tp>
      <tp t="s">
        <v>Manual Calculation</v>
        <stp/>
        <stp>afb0e3d9-a581-4717-af7e-d90795fef305</stp>
        <tr r="M36" s="13"/>
      </tp>
      <tp>
        <v>0.60399999999999998</v>
        <stp/>
        <stp>9a8da0a1-6f99-4ded-8bbb-c744bed77872</stp>
        <tr r="CD15" s="13"/>
      </tp>
      <tp>
        <v>0.59200000000000008</v>
        <stp/>
        <stp>e1a93327-a0ba-434a-ae97-54dd43f24065</stp>
        <tr r="AX15" s="13"/>
      </tp>
      <tp t="s">
        <v>$1.17</v>
        <stp/>
        <stp>ebbdcaeb-5d8c-47a6-83bc-f60edacdd93b</stp>
        <tr r="BB36" s="13"/>
      </tp>
      <tp t="s">
        <v>Manual Calculation</v>
        <stp/>
        <stp>8ab6d8fd-7656-4036-bdac-168300634371</stp>
        <tr r="K36" s="13"/>
      </tp>
      <tp>
        <v>0</v>
        <stp/>
        <stp>5ce4bc4f-9d56-4f0f-b126-75582baaa6e5</stp>
        <tr r="BD26" s="13"/>
      </tp>
      <tp>
        <v>0</v>
        <stp/>
        <stp>36c7b695-fd0f-4528-97e4-1c837c6bd78d</stp>
        <tr r="BZ26" s="13"/>
      </tp>
      <tp t="s">
        <v xml:space="preserve">           N/A           </v>
        <stp/>
        <stp>bdd1d294-1779-4796-9844-dbcda2dbf9e3</stp>
        <tr r="BK8" s="13"/>
      </tp>
      <tp t="s">
        <v xml:space="preserve">          Manual Calculation          </v>
        <stp/>
        <stp>81429fa4-c517-4a9c-8136-f21ed8c02b8c</stp>
        <tr r="AN8" s="13"/>
      </tp>
      <tp t="s">
        <v>$0.32</v>
        <stp/>
        <stp>580b22de-2b1a-4ce0-bfad-6bcd025794f2</stp>
        <tr r="AU36" s="13"/>
      </tp>
      <tp t="s">
        <v>N/A</v>
        <stp/>
        <stp>1300f75e-688e-416b-a33c-d0692f594898</stp>
        <tr r="E15" s="13"/>
      </tp>
      <tp>
        <v>0.58700000000000008</v>
        <stp/>
        <stp>c847fcb0-45ee-443c-9a21-0d7581dc9f15</stp>
        <tr r="BA15" s="13"/>
      </tp>
      <tp t="s">
        <v xml:space="preserve">          Manual Calculation          </v>
        <stp/>
        <stp>aa2a4b85-0d39-4ac2-88c1-4d3b518ea977</stp>
        <tr r="AR8" s="13"/>
      </tp>
      <tp>
        <v>17513</v>
        <stp/>
        <stp>5406aa83-0933-4818-9da5-157904ceb354</stp>
        <tr r="CE8" s="13"/>
      </tp>
      <tp t="s">
        <v>Manual Calculation</v>
        <stp/>
        <stp>2375d70c-f1b1-4c22-be81-8dacd41db62f</stp>
        <tr r="BX26" s="13"/>
      </tp>
      <tp t="s">
        <v>N/A</v>
        <stp/>
        <stp>c7d91cf0-63a8-42f3-9d51-3cc719e66027</stp>
        <tr r="D15" s="13"/>
      </tp>
      <tp>
        <v>0</v>
        <stp/>
        <stp>2bd91070-4c97-45f5-bb9b-83d20c9a9429</stp>
        <tr r="BF26" s="13"/>
      </tp>
      <tp t="s">
        <v>Manual Calculation</v>
        <stp/>
        <stp>a53b265a-f51d-4605-ac4f-08bd0e6006c8</stp>
        <tr r="U36" s="13"/>
      </tp>
      <tp t="s">
        <v>Manual Calculation</v>
        <stp/>
        <stp>87f3268c-56ff-45b1-a74f-7826c0b4c69a</stp>
        <tr r="BQ36" s="13"/>
      </tp>
      <tp t="s">
        <v>N/A</v>
        <stp/>
        <stp>4ba5f91b-a2e2-4f74-a1e5-44e33aa6c140</stp>
        <tr r="BM15" s="13"/>
      </tp>
      <tp t="s">
        <v>Manual Calculation</v>
        <stp/>
        <stp>ad661939-2c1a-4117-aba2-dd9e3c17217b</stp>
        <tr r="E36" s="13"/>
      </tp>
      <tp t="s">
        <v>$1.08</v>
        <stp/>
        <stp>e291d42e-3366-4fe3-861e-089393529385</stp>
        <tr r="BD36" s="13"/>
      </tp>
      <tp t="s">
        <v>Manual Calculation</v>
        <stp/>
        <stp>061fb90c-f130-475f-8cfd-cf43b3ee0365</stp>
        <tr r="AS26" s="13"/>
      </tp>
      <tp t="s">
        <v>Manual Calculation</v>
        <stp/>
        <stp>39c26038-ca3e-4a4e-92b8-909a2c588152</stp>
        <tr r="AQ15" s="13"/>
      </tp>
      <tp t="s">
        <v>Manual Calculation</v>
        <stp/>
        <stp>28f3e963-84f2-4e7b-8e15-7d59223e13c0</stp>
        <tr r="W15" s="13"/>
      </tp>
      <tp t="s">
        <v>Manual Calculation</v>
        <stp/>
        <stp>d27dba06-f6f8-47b9-8e58-da3a535c1d1f</stp>
        <tr r="AQ26" s="13"/>
      </tp>
      <tp t="s">
        <v>Manual Calculation</v>
        <stp/>
        <stp>e73213a6-4294-4725-b911-4eabcbac730f</stp>
        <tr r="I36" s="13"/>
      </tp>
      <tp t="s">
        <v xml:space="preserve">          Manual Calculation          </v>
        <stp/>
        <stp>842cddfb-f083-4890-8742-53bc17f63669</stp>
        <tr r="AE8" s="13"/>
      </tp>
      <tp t="s">
        <v>Manual Calculation</v>
        <stp/>
        <stp>a88e811a-6409-4c15-a91f-00daf8a48358</stp>
        <tr r="AH26" s="13"/>
      </tp>
      <tp>
        <v>9489</v>
        <stp/>
        <stp>3d62ac64-7b77-40c3-b8f2-6a156b6e6ff1</stp>
        <tr r="CB8" s="13"/>
      </tp>
      <tp t="s">
        <v xml:space="preserve">          Manual Calculation          </v>
        <stp/>
        <stp>3cc443e8-4463-4f90-8b06-340255f8aec1</stp>
        <tr r="AP8" s="13"/>
      </tp>
      <tp>
        <v>0</v>
        <stp/>
        <stp>31c75227-dbd8-45cf-bb04-106232282346</stp>
        <tr r="CB26" s="13"/>
      </tp>
      <tp t="s">
        <v>$0.98</v>
        <stp/>
        <stp>720eceff-34af-4dc0-a770-8543e3761efe</stp>
        <tr r="BC36" s="13"/>
      </tp>
      <tp t="s">
        <v>Manual Calculation</v>
        <stp/>
        <stp>18dc6577-b744-421a-a331-68d86d0f6a50</stp>
        <tr r="M15" s="13"/>
      </tp>
      <tp>
        <v>0.58799999999999997</v>
        <stp/>
        <stp>b108439e-9cbe-4636-a75f-29afd34282a4</stp>
        <tr r="CA15" s="13"/>
      </tp>
      <tp t="s">
        <v>Manual Calculation</v>
        <stp/>
        <stp>a3907e56-a275-4d5e-a73d-055feb5bc6ed</stp>
        <tr r="AB36" s="13"/>
      </tp>
      <tp t="s">
        <v>Manual Calculation</v>
        <stp/>
        <stp>fd865be9-e595-4971-aa52-5e36635541af</stp>
        <tr r="N36" s="13"/>
      </tp>
      <tp t="s">
        <v>Manual Calculation</v>
        <stp/>
        <stp>838c291f-221f-46b9-975d-7e77f53ace88</stp>
        <tr r="AR15" s="13"/>
      </tp>
      <tp t="s">
        <v>Manual Calculation</v>
        <stp/>
        <stp>ee223468-f77f-4dae-8423-3a69d2e5322f</stp>
        <tr r="H15" s="13"/>
      </tp>
      <tp t="s">
        <v>Manual Calculation</v>
        <stp/>
        <stp>afbb1578-7f37-41c4-8252-24eff680ef91</stp>
        <tr r="AE26" s="13"/>
      </tp>
      <tp t="s">
        <v>Manual Calculation</v>
        <stp/>
        <stp>ce8b6fa7-a011-4782-a665-d32735991a82</stp>
        <tr r="BR15" s="13"/>
      </tp>
      <tp t="s">
        <v>Manual Calculation</v>
        <stp/>
        <stp>c8bcf6de-2b10-4ae8-a9d1-7d91946d7146</stp>
        <tr r="AT26" s="13"/>
      </tp>
      <tp t="s">
        <v xml:space="preserve">          Manual Calculation          </v>
        <stp/>
        <stp>1e6a2917-a380-4e1b-a99d-30e87cf3a4bb</stp>
        <tr r="BX8" s="13"/>
      </tp>
      <tp t="s">
        <v>Manual Calculation</v>
        <stp/>
        <stp>8feda73b-4d17-48e7-a30b-9f2f3c167fd2</stp>
        <tr r="AT36" s="13"/>
      </tp>
      <tp>
        <v>0.59899999999999998</v>
        <stp/>
        <stp>791c5b78-ba81-4559-bf3e-3cb4faa23077</stp>
        <tr r="CC15" s="13"/>
      </tp>
      <tp t="s">
        <v>Manual Calculation</v>
        <stp/>
        <stp>0364de55-f51e-4930-aa67-4a0fa7837a3c</stp>
        <tr r="Z15" s="13"/>
      </tp>
      <tp t="s">
        <v>Manual Calculation</v>
        <stp/>
        <stp>3a69deed-f324-4495-9ecc-4511bb856b00</stp>
        <tr r="R36" s="13"/>
      </tp>
      <tp t="s">
        <v>$0.37</v>
        <stp/>
        <stp>9fe1f209-0798-4636-9b00-afb9e54643f4</stp>
        <tr r="AV36" s="13"/>
      </tp>
      <tp t="s">
        <v>Manual Calculation</v>
        <stp/>
        <stp>5346d20c-511e-4c0b-8548-f7c383483d05</stp>
        <tr r="AA36" s="13"/>
      </tp>
      <tp t="s">
        <v>Manual Calculation</v>
        <stp/>
        <stp>293b9931-9f92-4cf9-b9a3-17844a3c8572</stp>
        <tr r="AL26" s="13"/>
      </tp>
      <tp t="s">
        <v>Manual Calculation</v>
        <stp/>
        <stp>3a25ef62-ff56-4a8f-992e-30d09b9fee68</stp>
        <tr r="AJ36" s="13"/>
      </tp>
      <tp>
        <v>0.55299999999999994</v>
        <stp/>
        <stp>22f0004a-33ce-4c0f-8683-5830c7e78b48</stp>
        <tr r="BY15" s="13"/>
      </tp>
      <tp t="s">
        <v>Manual Calculation</v>
        <stp/>
        <stp>ce532b08-43bd-483f-adb8-5a661f6b5238</stp>
        <tr r="AE36" s="13"/>
      </tp>
      <tp t="s">
        <v>Manual Calculation</v>
        <stp/>
        <stp>685341cd-049d-4569-80b0-f0501fcb969f</stp>
        <tr r="P36" s="13"/>
      </tp>
      <tp>
        <v>0</v>
        <stp/>
        <stp>b75016c2-570c-4e12-8018-80893e04fa0b</stp>
        <tr r="BC26" s="13"/>
      </tp>
      <tp t="s">
        <v>Manual Calculation</v>
        <stp/>
        <stp>bc748a62-6c57-4c6e-8437-bad043b39324</stp>
        <tr r="O15" s="13"/>
      </tp>
      <tp t="s">
        <v>Manual Calculation</v>
        <stp/>
        <stp>eec88560-bdb7-4b4b-b0ca-11fa523a23b0</stp>
        <tr r="BV15" s="13"/>
      </tp>
      <tp>
        <v>0</v>
        <stp/>
        <stp>a40797a6-7a90-4e67-ad93-6921f32ac3e2</stp>
        <tr r="AU26" s="13"/>
      </tp>
      <tp t="s">
        <v>Manual Calculation</v>
        <stp/>
        <stp>1f539708-6ca9-4098-8bd1-bb3fc89a7b6e</stp>
        <tr r="AF15" s="13"/>
      </tp>
      <tp t="s">
        <v>$1.34</v>
        <stp/>
        <stp>c3e90a17-1e01-4406-92e2-c207f493a5c4</stp>
        <tr r="BF36" s="13"/>
      </tp>
      <tp>
        <v>2685</v>
        <stp/>
        <stp>d5887a63-2f07-4760-a25e-8f249637d0c5</stp>
        <tr r="BB8" s="13"/>
      </tp>
      <tp t="s">
        <v>Manual Calculation</v>
        <stp/>
        <stp>d20e03d1-8834-4a57-b38c-23341ddfab42</stp>
        <tr r="S15" s="13"/>
      </tp>
      <tp t="s">
        <v>Manual Calculation</v>
        <stp/>
        <stp>83c24255-150e-470d-bfc3-6856c2a3d9c0</stp>
        <tr r="S36" s="13"/>
      </tp>
      <tp t="s">
        <v xml:space="preserve">          Manual Calculation          </v>
        <stp/>
        <stp>9d135b45-53ce-4060-a6c6-0b580e361cb3</stp>
        <tr r="AT8" s="13"/>
      </tp>
      <tp>
        <v>0.59899999999999998</v>
        <stp/>
        <stp>ec133f09-90dc-4a94-9413-59b771904533</stp>
        <tr r="BB15" s="13"/>
      </tp>
      <tp>
        <v>4921</v>
        <stp/>
        <stp>8da9ea34-20aa-41b7-b82c-b03685de1394</stp>
        <tr r="BZ8" s="13"/>
      </tp>
      <tp>
        <v>2902</v>
        <stp/>
        <stp>3b37da78-6ec2-4ff5-bc59-28ae29dbb0fe</stp>
        <tr r="BE8" s="13"/>
      </tp>
      <tp t="s">
        <v xml:space="preserve">          Manual Calculation          </v>
        <stp/>
        <stp>981a0c00-8be5-41d0-a34b-01678c93113d</stp>
        <tr r="BV8" s="13"/>
      </tp>
      <tp>
        <v>0</v>
        <stp/>
        <stp>b7633c19-5072-433f-a5fe-02ef5c0475b1</stp>
        <tr r="AZ26" s="13"/>
      </tp>
      <tp t="s">
        <v>Manual Calculation</v>
        <stp/>
        <stp>1047cf12-0deb-402c-9672-9b6897145bc3</stp>
        <tr r="V36" s="13"/>
      </tp>
      <tp t="s">
        <v>N/A</v>
        <stp/>
        <stp>a3e723cd-155e-406a-b957-576b9ae136b8</stp>
        <tr r="BL36" s="13"/>
      </tp>
      <tp t="s">
        <v>Manual Calculation</v>
        <stp/>
        <stp>87f10635-4df6-4fdc-907e-69127e3c28bc</stp>
        <tr r="AQ36" s="13"/>
      </tp>
      <tp>
        <v>3336</v>
        <stp/>
        <stp>71877377-b2ce-4c93-93f4-b33d84db77df</stp>
        <tr r="BJ8" s="13"/>
      </tp>
      <tp>
        <v>0.59499999999999997</v>
        <stp/>
        <stp>e507d508-e552-44d0-88f2-9cc8d4ec8a9e</stp>
        <tr r="BC15" s="13"/>
      </tp>
      <tp t="s">
        <v xml:space="preserve">          Manual Calculation          </v>
        <stp/>
        <stp>8c4f8433-8615-48ab-aea2-36e1d9c9ff99</stp>
        <tr r="AK8" s="13"/>
      </tp>
      <tp t="s">
        <v>Manual Calculation</v>
        <stp/>
        <stp>6c58253d-cfba-4780-9e8f-3b835c6e194a</stp>
        <tr r="AL15" s="13"/>
      </tp>
      <tp t="s">
        <v>Manual Calculation</v>
        <stp/>
        <stp>30e9577d-63b7-4db9-bd83-01043f2eca35</stp>
        <tr r="AP36" s="13"/>
      </tp>
      <tp t="s">
        <v>Manual Calculation</v>
        <stp/>
        <stp>95c0727a-7d4e-4e62-a9d4-dfb8322b2466</stp>
        <tr r="AN26" s="13"/>
      </tp>
      <tp t="s">
        <v>N/A</v>
        <stp/>
        <stp>03b9ddcf-9465-4c24-8251-69b642420b7b</stp>
        <tr r="BN15" s="13"/>
      </tp>
      <tp>
        <v>0.60199999999999998</v>
        <stp/>
        <stp>59f2ae99-358d-4947-9c43-eaee68ae1397</stp>
        <tr r="BF15" s="13"/>
      </tp>
      <tp>
        <v>0</v>
        <stp/>
        <stp>eebde216-47e2-471a-a4c7-961ce24cdc21</stp>
        <tr r="AY26" s="13"/>
      </tp>
      <tp>
        <v>0.60499999999999998</v>
        <stp/>
        <stp>cbad492f-9afa-444b-a1c0-c1d1ae92a178</stp>
        <tr r="BJ15" s="13"/>
      </tp>
      <tp t="s">
        <v>Manual Calculation</v>
        <stp/>
        <stp>63c17a44-e6dc-433a-ab09-3d258bd8cfc5</stp>
        <tr r="W36" s="13"/>
      </tp>
      <tp>
        <v>0</v>
        <stp/>
        <stp>5558de2f-6447-4a95-93b7-1de9510c5bc6</stp>
        <tr r="BA26" s="13"/>
      </tp>
      <tp>
        <v>0.58599999999999997</v>
        <stp/>
        <stp>caa5617d-1045-4863-8438-4b60b394c6a2</stp>
        <tr r="AZ15" s="13"/>
      </tp>
      <tp t="s">
        <v>Manual Calculation</v>
        <stp/>
        <stp>94a2366f-76c9-4d20-a7a1-0a41e06b83db</stp>
        <tr r="C36" s="13"/>
      </tp>
      <tp t="s">
        <v>$1.18</v>
        <stp/>
        <stp>e291783d-ccfb-4be5-89c2-e3338383c83e</stp>
        <tr r="BG36" s="13"/>
      </tp>
      <tp>
        <v>12994</v>
        <stp/>
        <stp>bf02c426-1788-461a-a60a-3c0d7dc282a0</stp>
        <tr r="CD8" s="13"/>
      </tp>
      <tp>
        <v>2793</v>
        <stp/>
        <stp>fd77caf1-adde-4ccf-9d7e-4c52ed9a1561</stp>
        <tr r="BG8" s="13"/>
      </tp>
      <tp t="s">
        <v>Manual Calculation</v>
        <stp/>
        <stp>845055fa-7b87-408c-b8b9-3cedf7355d15</stp>
        <tr r="BX36" s="13"/>
      </tp>
      <tp t="s">
        <v>Manual Calculation</v>
        <stp/>
        <stp>852ecc41-20bb-4a4c-ae0b-24306babff78</stp>
        <tr r="BU15" s="13"/>
      </tp>
      <tp t="s">
        <v>Manual Calculation</v>
        <stp/>
        <stp>7ca59b1d-7f08-4f79-970e-a9d21e79dd07</stp>
        <tr r="G36" s="13"/>
      </tp>
      <tp>
        <v>0</v>
        <stp/>
        <stp>1f119f01-452c-4a31-8b55-3634b7a6b6e1</stp>
        <tr r="BE26" s="13"/>
      </tp>
      <tp t="s">
        <v xml:space="preserve">          Manual Calculation          </v>
        <stp/>
        <stp>b4a944e7-02ee-4dd1-9f07-d118aaf9afce</stp>
        <tr r="AM8" s="13"/>
      </tp>
      <tp t="s">
        <v>Manual Calculation</v>
        <stp/>
        <stp>466bebb2-6914-4d8e-b1f6-95fdea65124f</stp>
        <tr r="V15" s="13"/>
      </tp>
      <tp t="s">
        <v>Manual Calculation</v>
        <stp/>
        <stp>69b46a30-33e2-4471-ace5-05441f52246d</stp>
        <tr r="Y36" s="13"/>
      </tp>
      <tp t="s">
        <v>Manual Calculation</v>
        <stp/>
        <stp>f7948fca-39a2-4c31-aac7-68cefe3f25c5</stp>
        <tr r="AH15" s="13"/>
      </tp>
      <tp t="s">
        <v>Manual Calculation</v>
        <stp/>
        <stp>09a3199f-06a3-4dc0-9c94-658a2ea261e5</stp>
        <tr r="BP36" s="13"/>
      </tp>
      <tp t="s">
        <v xml:space="preserve">           N/A           </v>
        <stp/>
        <stp>0a9a0cb0-e381-4b9a-b884-168d56f22fd3</stp>
        <tr r="BN8" s="13"/>
      </tp>
      <tp t="s">
        <v>Manual Calculation</v>
        <stp/>
        <stp>d082ddbe-b041-4586-b317-33b5387efba7</stp>
        <tr r="AC15" s="13"/>
      </tp>
      <tp>
        <v>0.59599999999999997</v>
        <stp/>
        <stp>fdc65cc5-790c-49bf-b77e-39548fd97fec</stp>
        <tr r="AY15" s="13"/>
      </tp>
      <tp t="s">
        <v>Manual Calculation</v>
        <stp/>
        <stp>b59e317b-46e9-47cb-b58c-81577bd59ad2</stp>
        <tr r="AD15" s="13"/>
      </tp>
      <tp t="s">
        <v>N/A</v>
        <stp/>
        <stp>2fa66743-4219-4559-8eaf-3526f631df38</stp>
        <tr r="BN36" s="13"/>
      </tp>
      <tp t="s">
        <v xml:space="preserve">          Manual Calculation          </v>
        <stp/>
        <stp>0278f18e-43a4-4ac9-a8d4-fb208f88b653</stp>
        <tr r="AQ8" s="13"/>
      </tp>
      <tp>
        <v>2978</v>
        <stp/>
        <stp>5e4ddc3c-db96-4878-adf2-7f96b2ab707d</stp>
        <tr r="BF8" s="13"/>
      </tp>
      <tp t="s">
        <v>Manual Calculation</v>
        <stp/>
        <stp>b8ba271b-ce02-4582-a763-1d33dd111080</stp>
        <tr r="AK36" s="13"/>
      </tp>
      <tp t="s">
        <v>Manual Calculation</v>
        <stp/>
        <stp>f2ed3771-fdcb-468e-ab6b-88fe6c0252ab</stp>
        <tr r="AS36" s="13"/>
      </tp>
      <tp t="s">
        <v>Manual Calculation</v>
        <stp/>
        <stp>c3f36bb7-9bb6-4d59-ad7a-38377bd22e7f</stp>
        <tr r="BW15" s="13"/>
      </tp>
      <tp t="s">
        <v>Manual Calculation</v>
        <stp/>
        <stp>8e916c8c-c0a1-4469-ac33-fe06c2236af7</stp>
        <tr r="J36" s="13"/>
      </tp>
      <tp t="s">
        <v xml:space="preserve">          Manual Calculation          </v>
        <stp/>
        <stp>72c64728-a7e2-40f4-b023-473318246417</stp>
        <tr r="AI8" s="13"/>
      </tp>
      <tp t="s">
        <v>Manual Calculation</v>
        <stp/>
        <stp>89a9cebe-a43c-4eff-a2ec-0210fb09d703</stp>
        <tr r="AD36" s="13"/>
      </tp>
      <tp>
        <v>0.6</v>
        <stp/>
        <stp>1c46e1d6-1954-4c59-9047-557a4c43ea9d</stp>
        <tr r="BE15" s="13"/>
      </tp>
      <tp>
        <v>0.60399999999999998</v>
        <stp/>
        <stp>e38a0b1b-dabb-4271-9b10-e9baefc07316</stp>
        <tr r="BI15" s="13"/>
      </tp>
      <tp t="s">
        <v>Manual Calculation</v>
        <stp/>
        <stp>d7ccad90-cc98-44a5-84f0-b82f1171937c</stp>
        <tr r="BS36" s="13"/>
      </tp>
      <tp t="s">
        <v>Manual Calculation</v>
        <stp/>
        <stp>b50ad180-9007-4fde-94b6-224510533a0f</stp>
        <tr r="U15" s="13"/>
      </tp>
      <tp t="s">
        <v>Manual Calculation</v>
        <stp/>
        <stp>18b8664c-da93-44e6-847b-419cdadbab51</stp>
        <tr r="D36" s="13"/>
      </tp>
      <tp t="s">
        <v>Manual Calculation</v>
        <stp/>
        <stp>8aa40c22-d980-4807-b16a-78b377bc3173</stp>
        <tr r="BU36" s="13"/>
      </tp>
      <tp t="s">
        <v>Manual Calculation</v>
        <stp/>
        <stp>1c20651f-be2e-4638-9409-c08a3c96e532</stp>
        <tr r="AC36" s="13"/>
      </tp>
      <tp t="s">
        <v>Manual Calculation</v>
        <stp/>
        <stp>22ac2fc0-5568-4f8d-a402-7e30d98443c8</stp>
        <tr r="BT36" s="13"/>
      </tp>
      <tp t="s">
        <v>Manual Calculation</v>
        <stp/>
        <stp>ceafe0cd-7242-41ae-9696-1e0a05333421</stp>
        <tr r="AK26" s="13"/>
      </tp>
      <tp t="s">
        <v>Manual Calculation</v>
        <stp/>
        <stp>2f7f2f35-1286-40a6-b6e0-280263513357</stp>
        <tr r="AN36" s="13"/>
      </tp>
      <tp t="s">
        <v>$1.51</v>
        <stp/>
        <stp>1c95a45a-0cab-41ec-ad9f-427cba2d6460</stp>
        <tr r="BI36" s="13"/>
      </tp>
      <tp t="s">
        <v>$1.61</v>
        <stp/>
        <stp>99ac270e-9435-49dd-bd8f-789791e728b2</stp>
        <tr r="BJ36" s="13"/>
      </tp>
      <tp t="s">
        <v>Manual Calculation</v>
        <stp/>
        <stp>9116eb36-ca16-4e19-be78-4bc55b119e67</stp>
        <tr r="BV36" s="13"/>
      </tp>
      <tp>
        <v>0</v>
        <stp/>
        <stp>3612fc93-689c-4c1e-b623-0ca1a3426815</stp>
        <tr r="BB26" s="13"/>
      </tp>
      <tp t="s">
        <v>Manual Calculation</v>
        <stp/>
        <stp>53435eff-c3e7-40ea-b1fc-c8675ac69725</stp>
        <tr r="AR36" s="13"/>
      </tp>
      <tp>
        <v>0.59399999999999997</v>
        <stp/>
        <stp>1ed5dc82-ade3-4ff5-91eb-79af0d1c36b3</stp>
        <tr r="CB15" s="13"/>
      </tp>
      <tp>
        <v>2105</v>
        <stp/>
        <stp>a7b22c5b-f38c-47b4-b28f-a48c903f7fe2</stp>
        <tr r="AX8" s="13"/>
      </tp>
      <tp t="s">
        <v xml:space="preserve">          Manual Calculation          </v>
        <stp/>
        <stp>4818b5f0-f7a9-41b3-9baf-ff3b918e32a8</stp>
        <tr r="AG8" s="13"/>
      </tp>
      <tp t="s">
        <v>Manual Calculation</v>
        <stp/>
        <stp>30af9f1b-97e5-4520-8963-3126901194bb</stp>
        <tr r="N15" s="13"/>
      </tp>
      <tp t="s">
        <v>$1.24</v>
        <stp/>
        <stp>02790aa5-7a18-4755-986e-e07bc9de8250</stp>
        <tr r="BH36" s="13"/>
      </tp>
      <tp>
        <v>1908</v>
        <stp/>
        <stp>d307257b-3975-4248-9016-22c54a7e3215</stp>
        <tr r="AY8" s="13"/>
      </tp>
      <tp t="s">
        <v>$0.70</v>
        <stp/>
        <stp>29011ed1-72cd-4a32-a975-b08151a4b299</stp>
        <tr r="AZ36" s="13"/>
      </tp>
      <tp t="s">
        <v>Manual Calculation</v>
        <stp/>
        <stp>b947306c-1e51-4924-abb6-94f8960ba16c</stp>
        <tr r="AI15" s="13"/>
      </tp>
      <tp t="s">
        <v>Manual Calculation</v>
        <stp/>
        <stp>76848da0-e647-49e2-b456-79c16503ba3b</stp>
        <tr r="L15" s="13"/>
      </tp>
      <tp t="s">
        <v>$8.17</v>
        <stp/>
        <stp>d5ad5461-7a54-4fc7-85a0-89fb742fb384</stp>
        <tr r="CE36" s="13"/>
      </tp>
      <tp t="s">
        <v>Manual Calculation</v>
        <stp/>
        <stp>560701f6-eb0a-45c2-a8dd-1769191b6d8c</stp>
        <tr r="BW26" s="13"/>
      </tp>
      <tp t="s">
        <v>Manual Calculation</v>
        <stp/>
        <stp>5a91e831-529a-4800-ab1c-830472bfe290</stp>
        <tr r="P15" s="13"/>
      </tp>
      <tp t="s">
        <v>Manual Calculation</v>
        <stp/>
        <stp>e99e02aa-2ed1-4c86-b13c-63f42fc59695</stp>
        <tr r="X15" s="13"/>
      </tp>
      <tp>
        <v>11039</v>
        <stp/>
        <stp>91c09afa-be12-49e1-8287-873c1dde77af</stp>
        <tr r="CC8" s="13"/>
      </tp>
      <tp t="s">
        <v xml:space="preserve">          Manual Calculation          </v>
        <stp/>
        <stp>f3803a8d-10ca-4a4d-9b98-4dabf0ce35dd</stp>
        <tr r="AL8" s="13"/>
      </tp>
      <tp t="s">
        <v>Manual Calculation</v>
        <stp/>
        <stp>19770802-187b-4d4b-a658-28a25de95d48</stp>
        <tr r="AH36" s="13"/>
      </tp>
      <tp t="s">
        <v>Manual Calculation</v>
        <stp/>
        <stp>c243b24f-3b13-4815-a62e-2c5781df39c8</stp>
        <tr r="AS15" s="13"/>
      </tp>
      <tp t="s">
        <v>Manual Calculation</v>
        <stp/>
        <stp>7392f915-3ea0-4e32-ac5b-c31d77dadea8</stp>
        <tr r="Q36" s="13"/>
      </tp>
      <tp t="s">
        <v>Manual Calculation</v>
        <stp/>
        <stp>75126106-5728-415e-bdc6-883e329cab52</stp>
        <tr r="AN15" s="13"/>
      </tp>
      <tp t="s">
        <v>$0.94</v>
        <stp/>
        <stp>2b2f4318-584e-46a9-a6e5-fda2e03963b2</stp>
        <tr r="BA36" s="13"/>
      </tp>
      <tp t="s">
        <v>N/A</v>
        <stp/>
        <stp>1acbfb5c-31c8-45cc-b0e7-d6c774c07d09</stp>
        <tr r="BM36" s="13"/>
      </tp>
      <tp t="s">
        <v>Manual Calculation</v>
        <stp/>
        <stp>ab1c8f44-4a5b-4307-8c17-30cfcfb58078</stp>
        <tr r="AG36" s="13"/>
      </tp>
      <tp t="s">
        <v xml:space="preserve">           N/A           </v>
        <stp/>
        <stp>bd3ac5e5-bee6-41a7-8915-c2688cd984e2</stp>
        <tr r="BM8" s="13"/>
      </tp>
      <tp>
        <v>0.57200000000000006</v>
        <stp/>
        <stp>4f0df54b-f45d-4875-87a6-d330b411d652</stp>
        <tr r="AU15" s="13"/>
      </tp>
      <tp>
        <v>2364</v>
        <stp/>
        <stp>d3b3b79a-cb3d-44a2-8ae6-4d9d2579d11c</stp>
        <tr r="BA8" s="13"/>
      </tp>
      <tp t="s">
        <v>$0.67</v>
        <stp/>
        <stp>fa4cd76e-4275-4dba-9eb2-f3bcb04912ca</stp>
        <tr r="AY36" s="13"/>
      </tp>
      <tp t="s">
        <v>N/A</v>
        <stp/>
        <stp>a1eafd6e-922f-4079-9ff8-2b886eb45d5f</stp>
        <tr r="BK15" s="13"/>
      </tp>
      <tp t="s">
        <v>Manual Calculation</v>
        <stp/>
        <stp>8fc1030f-866c-4a7a-bb1a-8d37e18d887b</stp>
        <tr r="K15" s="13"/>
      </tp>
      <tp t="s">
        <v>$2.41</v>
        <stp/>
        <stp>0ff0792e-73e4-44e2-858e-8c48440b2deb</stp>
        <tr r="CA36" s="13"/>
      </tp>
      <tp t="s">
        <v>Manual Calculation</v>
        <stp/>
        <stp>4d2823c4-6b8c-481a-864a-2a733af28eea</stp>
        <tr r="L36" s="13"/>
      </tp>
      <tp t="s">
        <v>Manual Calculation</v>
        <stp/>
        <stp>56dfa6e0-582c-4e92-a40f-ac98ec5d7f90</stp>
        <tr r="I15" s="13"/>
      </tp>
      <tp t="s">
        <v>Manual Calculation</v>
        <stp/>
        <stp>ff5a3fbd-0b31-4893-b3bc-d107571256c8</stp>
        <tr r="Z36" s="13"/>
      </tp>
      <tp>
        <v>0.57899999999999996</v>
        <stp/>
        <stp>ffd65baa-bafe-43dd-b4b5-5f4275b2eb8f</stp>
        <tr r="AW15" s="13"/>
      </tp>
      <tp t="s">
        <v>$0.83</v>
        <stp/>
        <stp>99ca9c9d-5d20-4c78-8c12-53c3a50be1b1</stp>
        <tr r="AX36" s="13"/>
      </tp>
      <tp>
        <v>0.56499999999999995</v>
        <stp/>
        <stp>21246c98-395d-43b2-aef0-4bf715aa90be</stp>
        <tr r="BZ15" s="13"/>
      </tp>
      <tp>
        <v>0</v>
        <stp/>
        <stp>72846825-285a-4015-a9bc-812624306847</stp>
        <tr r="AV26" s="13"/>
      </tp>
      <tp t="s">
        <v>Manual Calculation</v>
        <stp/>
        <stp>d0d85420-2b0f-45bd-882e-323514480481</stp>
        <tr r="BX15" s="13"/>
      </tp>
      <tp t="s">
        <v>Manual Calculation</v>
        <stp/>
        <stp>9edc3452-52e6-471e-81fa-0a912a21d5d6</stp>
        <tr r="AI26" s="13"/>
      </tp>
      <tp t="s">
        <v>Manual Calculation</v>
        <stp/>
        <stp>18394576-8cbf-412a-8f30-2d114eedd428</stp>
        <tr r="AF36" s="13"/>
      </tp>
      <tp>
        <v>2929</v>
        <stp/>
        <stp>139b54de-e572-4782-8326-1e8afde90145</stp>
        <tr r="BH8" s="13"/>
      </tp>
      <tp t="s">
        <v>Manual Calculation</v>
        <stp/>
        <stp>d37c268a-cfe8-4683-aff9-32a0b0286c72</stp>
        <tr r="AM15" s="13"/>
      </tp>
      <tp t="s">
        <v>Manual Calculation</v>
        <stp/>
        <stp>af9ed0f4-449d-4603-b3ad-67a873b78f76</stp>
        <tr r="BS15" s="13"/>
      </tp>
      <tp>
        <v>0</v>
        <stp/>
        <stp>090fb7ba-eaf3-4745-85a1-a7d02998fcd9</stp>
        <tr r="CA26" s="13"/>
      </tp>
      <tp t="s">
        <v>$1.06</v>
        <stp/>
        <stp>af5744c7-8c41-4fc0-8440-b9ac278eb2e9</stp>
        <tr r="BZ36" s="13"/>
      </tp>
      <tp t="s">
        <v>Manual Calculation</v>
        <stp/>
        <stp>809adcbf-1dc9-4521-878a-7673880ee7a2</stp>
        <tr r="F36" s="13"/>
      </tp>
      <tp t="s">
        <v xml:space="preserve">          Manual Calculation          </v>
        <stp/>
        <stp>afc3256a-3885-4cb9-a0e3-59e8bae7f6a5</stp>
        <tr r="AJ8" s="13"/>
      </tp>
      <tp t="s">
        <v>Manual Calculation</v>
        <stp/>
        <stp>f3254901-5eb3-498c-8d22-420fb88b56c5</stp>
        <tr r="AI36" s="13"/>
      </tp>
      <tp>
        <v>2597</v>
        <stp/>
        <stp>53f0b750-bdef-4dab-97e6-51071b64fae8</stp>
        <tr r="BD8" s="13"/>
      </tp>
      <tp t="s">
        <v>Manual Calculation</v>
        <stp/>
        <stp>33d2bd08-11e6-4217-8a27-82d073e75110</stp>
        <tr r="BR36" s="13"/>
      </tp>
      <tp>
        <v>1960</v>
        <stp/>
        <stp>5f8035e9-6787-4b61-9f12-e5d1c2cc8181</stp>
        <tr r="AZ8" s="13"/>
      </tp>
      <tp t="s">
        <v>Manual Calculation</v>
        <stp/>
        <stp>081c97a5-2f5e-41ec-94ab-9945e75e9b36</stp>
        <tr r="BQ15" s="13"/>
      </tp>
      <tp t="s">
        <v>Manual Calculation</v>
        <stp/>
        <stp>cc8e2d64-8ed4-4b7a-9ffd-4988cffc6441</stp>
        <tr r="AT15" s="13"/>
      </tp>
      <tp>
        <v>1691</v>
        <stp/>
        <stp>4e1eb05e-08e1-4c20-98f0-627221fd3c50</stp>
        <tr r="AW8" s="13"/>
      </tp>
      <tp>
        <v>1353</v>
        <stp/>
        <stp>4512ff5a-f621-47b4-a775-352c24202d00</stp>
        <tr r="AV8" s="13"/>
      </tp>
      <tp t="s">
        <v>Manual Calculation</v>
        <stp/>
        <stp>fa81b531-adfc-4024-a951-2c9045cba135</stp>
        <tr r="AF26" s="13"/>
      </tp>
      <tp t="s">
        <v xml:space="preserve">          Manual Calculation          </v>
        <stp/>
        <stp>5f1614e9-5767-4641-8278-3cdc4a20e05d</stp>
        <tr r="BW8" s="13"/>
      </tp>
      <tp t="s">
        <v xml:space="preserve">          Manual Calculation          </v>
        <stp/>
        <stp>f4450df0-594e-4c2e-8375-efc29fb8fdbd</stp>
        <tr r="AO8" s="13"/>
      </tp>
      <tp t="s">
        <v>Manual Calculation</v>
        <stp/>
        <stp>91c2a50b-6bab-4292-bba5-2dba6467ce2e</stp>
        <tr r="AJ15" s="13"/>
      </tp>
      <tp>
        <v>2466</v>
        <stp/>
        <stp>6c541e26-ff45-4d67-94c6-126f4b459054</stp>
        <tr r="BC8" s="13"/>
      </tp>
      <tp t="s">
        <v>Manual Calculation</v>
        <stp/>
        <stp>5bb5df20-f266-4311-8863-4d3617130b4f</stp>
        <tr r="AP15" s="13"/>
      </tp>
      <tp t="s">
        <v>$4.71</v>
        <stp/>
        <stp>3c4c3363-078e-48bd-a03d-61c1849cdfac</stp>
        <tr r="CC36" s="13"/>
      </tp>
      <tp t="s">
        <v>Manual Calculation</v>
        <stp/>
        <stp>f0f5b3e3-3bd5-403e-8eba-9a8fd44f86bf</stp>
        <tr r="AG26" s="13"/>
      </tp>
      <tp>
        <v>0.59699999999999998</v>
        <stp/>
        <stp>ced9bc42-49c6-46c5-9caf-ddf33e498300</stp>
        <tr r="BG15" s="13"/>
      </tp>
      <tp t="s">
        <v>Manual Calculation</v>
        <stp/>
        <stp>6a5ebc18-85f8-44a7-b7ed-d1654577e8f5</stp>
        <tr r="X36" s="13"/>
      </tp>
      <tp t="s">
        <v>N/A</v>
        <stp/>
        <stp>5b7dce92-ff05-4a6e-8529-1f0b2bdfef22</stp>
        <tr r="BL15" s="13"/>
      </tp>
      <tp t="s">
        <v>Manual Calculation</v>
        <stp/>
        <stp>e2ed77b0-edad-477a-8e37-14ad4e86879c</stp>
        <tr r="AM36" s="13"/>
      </tp>
      <tp t="s">
        <v>N/A</v>
        <stp/>
        <stp>3400d961-8f0f-4ad2-a569-a60e4aeb6268</stp>
        <tr r="F15" s="13"/>
      </tp>
      <tp>
        <v>6839</v>
        <stp/>
        <stp>7376025c-ff63-4434-bf4f-30b4b7cb9498</stp>
        <tr r="CA8" s="13"/>
      </tp>
      <tp t="s">
        <v>$4.23</v>
        <stp/>
        <stp>bebf2f5e-69fb-4e8a-a9ac-845c3f33f339</stp>
        <tr r="CB36" s="13"/>
      </tp>
      <tp t="s">
        <v>N/A</v>
        <stp/>
        <stp>28cbe064-8d4b-4c3e-b5f6-7602c264fbcd</stp>
        <tr r="BK36" s="13"/>
      </tp>
      <tp t="s">
        <v>Manual Calculation</v>
        <stp/>
        <stp>4cefa353-5575-42bc-8912-61e3b1d28b6b</stp>
        <tr r="O36" s="13"/>
      </tp>
      <tp>
        <v>0</v>
        <stp/>
        <stp>dd0dd13b-ca80-4a3e-b240-0590366f417c</stp>
        <tr r="AW26" s="13"/>
      </tp>
      <tp t="s">
        <v>Manual Calculation</v>
        <stp/>
        <stp>33a58579-72de-4664-ba59-bc215ecdbce1</stp>
        <tr r="AB15" s="13"/>
      </tp>
      <tp t="s">
        <v>Manual Calculation</v>
        <stp/>
        <stp>eac015bf-8855-4037-939c-fa0107619a3f</stp>
        <tr r="AL36" s="13"/>
      </tp>
      <tp t="s">
        <v>Manual Calculation</v>
        <stp/>
        <stp>bf8cd43d-e247-48e2-9dfb-4a4544376c0a</stp>
        <tr r="BV26" s="13"/>
      </tp>
      <tp t="s">
        <v>N/A</v>
        <stp/>
        <stp>2b33e46f-e559-4be4-a513-cc4b7306b30f</stp>
        <tr r="BP15" s="13"/>
      </tp>
      <tp t="s">
        <v>Manual Calculation</v>
        <stp/>
        <stp>24da1596-19a3-43d7-8ce9-82326f0dacda</stp>
        <tr r="AO15" s="13"/>
      </tp>
      <tp>
        <v>0.60399999999999998</v>
        <stp/>
        <stp>7fbece05-3b94-452b-b491-841669d7f050</stp>
        <tr r="CE15" s="13"/>
      </tp>
      <tp t="s">
        <v>$5.88</v>
        <stp/>
        <stp>4ae1b017-7817-42ba-9619-931d2ffe95b0</stp>
        <tr r="CD36" s="13"/>
      </tp>
      <tp>
        <v>0</v>
        <stp/>
        <stp>d1282dd5-c413-4abc-9f59-d0201d751b51</stp>
        <tr r="AX26" s="13"/>
      </tp>
      <tp>
        <v>3198</v>
        <stp/>
        <stp>023f113f-2bba-422a-97ad-ca4376e91091</stp>
        <tr r="BI8" s="13"/>
      </tp>
      <tp>
        <v>0.57799999999999996</v>
        <stp/>
        <stp>05b62c69-b882-4af6-8051-0c69e5dc479f</stp>
        <tr r="AV15" s="13"/>
      </tp>
      <tp t="s">
        <v xml:space="preserve">          Manual Calculation          </v>
        <stp/>
        <stp>daa712b1-914d-4219-a759-65ed4d138ae4</stp>
        <tr r="AS8" s="13"/>
      </tp>
      <tp t="s">
        <v>Manual Calculation</v>
        <stp/>
        <stp>def1f678-da85-4155-9ec1-3e7d73244a94</stp>
        <tr r="BT15" s="13"/>
      </tp>
      <tp t="s">
        <v>Manual Calculation</v>
        <stp/>
        <stp>737e3fd6-5357-4452-b645-186e800ab945</stp>
        <tr r="AK15" s="13"/>
      </tp>
      <tp t="s">
        <v>Manual Calculation</v>
        <stp/>
        <stp>9fa27e1d-d4b8-45a3-a39b-6c1e1a9af8f3</stp>
        <tr r="R15" s="13"/>
      </tp>
      <tp t="s">
        <v>Manual Calculation</v>
        <stp/>
        <stp>a0dfff9f-d6fa-421c-8ca7-93747abf558c</stp>
        <tr r="AR26" s="13"/>
      </tp>
      <tp t="s">
        <v>$1.06</v>
        <stp/>
        <stp>cae4c01a-774f-4b42-b8b6-2c56425970b2</stp>
        <tr r="BY36" s="13"/>
      </tp>
      <tp t="s">
        <v>$0.57</v>
        <stp/>
        <stp>ead34972-802a-43d3-b1b5-21a574d73cec</stp>
        <tr r="AW36" s="13"/>
      </tp>
      <tp t="s">
        <v>Manual Calculation</v>
        <stp/>
        <stp>f1ee14fd-a54e-48b4-82e2-4a1b7245f145</stp>
        <tr r="AO26" s="13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2.xml" Type="http://schemas.openxmlformats.org/officeDocument/2006/relationships/externalLink"/>
<Relationship Id="rId11" Target="externalLinks/externalLink3.xml" Type="http://schemas.openxmlformats.org/officeDocument/2006/relationships/externalLink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olatileDependencies.xml" Type="http://schemas.openxmlformats.org/officeDocument/2006/relationships/volatileDependencies"/>
<Relationship Id="rId19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externalLinks/externalLink1.xml" Type="http://schemas.openxmlformats.org/officeDocument/2006/relationships/externalLink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7</xdr:col>
      <xdr:colOff>390525</xdr:colOff>
      <xdr:row>197</xdr:row>
      <xdr:rowOff>19050</xdr:rowOff>
    </xdr:to>
    <xdr:pic>
      <xdr:nvPicPr>
        <xdr:cNvPr id="1912833" name="Picture 1" descr="C:\Users\sarlinde\AppData\Local\Temp\MercuryPriceRatingHistoryChart\NVDA.O_2018_04_10_18_47_31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6321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na/ny/lib/er/semi%20cap/joe%20files/companies/tel/TEL_WIP.xls" TargetMode="External" Type="http://schemas.microsoft.com/office/2006/relationships/xlExternalLinkPath/xlAlternateStartup"/>
</Relationships>

</file>

<file path=xl/externalLinks/_rels/externalLink3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MW-Cache"/>
      <sheetName val="IS"/>
      <sheetName val="BS"/>
      <sheetName val="CFS"/>
      <sheetName val="BU Segment"/>
      <sheetName val="Estimate Changes"/>
      <sheetName val="Snapshot"/>
      <sheetName val="Bull_Base_Bear"/>
      <sheetName val="Segment OM"/>
      <sheetName val="TEL-Creganna Accretion"/>
      <sheetName val="Exhibits"/>
      <sheetName val="MS vs. Cons."/>
      <sheetName val="QoQ Comp"/>
      <sheetName val="Sum of Parts Valuation"/>
      <sheetName val="TEL-MEAS Analysis"/>
      <sheetName val="By Segm"/>
      <sheetName val="DCF"/>
      <sheetName val="MacroForPub"/>
      <sheetName val="mwareDates"/>
      <sheetName val="MWA RR"/>
      <sheetName val="Earnings Exhibits"/>
      <sheetName val="mwareSettings"/>
    </sheetNames>
    <sheetDataSet>
      <sheetData sheetId="0"/>
      <sheetData sheetId="1"/>
      <sheetData sheetId="2">
        <row r="6">
          <cell r="B6" t="str">
            <v>($ in millions; fiscal year ends in September)</v>
          </cell>
        </row>
      </sheetData>
      <sheetData sheetId="3">
        <row r="46">
          <cell r="B46" t="str">
            <v>Check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</row>
      </sheetData>
      <sheetData sheetId="4">
        <row r="93">
          <cell r="BF93">
            <v>565</v>
          </cell>
        </row>
      </sheetData>
      <sheetData sheetId="5">
        <row r="88">
          <cell r="BF88">
            <v>1652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2006-Q1</v>
          </cell>
        </row>
      </sheetData>
      <sheetData sheetId="20"/>
      <sheetData sheetId="21">
        <row r="3">
          <cell r="D3" t="str">
            <v>C2Q04A</v>
          </cell>
          <cell r="E3" t="str">
            <v>C3Q04A</v>
          </cell>
          <cell r="F3" t="str">
            <v>C4Q04A</v>
          </cell>
          <cell r="G3" t="str">
            <v>C1Q05A</v>
          </cell>
          <cell r="H3" t="str">
            <v>C2Q05A</v>
          </cell>
          <cell r="I3" t="str">
            <v>C3Q05A</v>
          </cell>
          <cell r="J3" t="str">
            <v>C4Q05A</v>
          </cell>
          <cell r="K3" t="str">
            <v>C1Q06A</v>
          </cell>
          <cell r="L3" t="str">
            <v>C2Q06A</v>
          </cell>
          <cell r="M3" t="str">
            <v>C3Q06A</v>
          </cell>
          <cell r="N3" t="str">
            <v>C4Q06A</v>
          </cell>
          <cell r="O3" t="str">
            <v>C1Q07A</v>
          </cell>
          <cell r="P3" t="str">
            <v>C2Q07A</v>
          </cell>
          <cell r="Q3" t="str">
            <v>C3Q07A</v>
          </cell>
          <cell r="R3" t="str">
            <v>C4Q07A</v>
          </cell>
          <cell r="S3" t="str">
            <v>C1Q08A</v>
          </cell>
          <cell r="T3" t="str">
            <v>C2Q08A</v>
          </cell>
          <cell r="U3" t="str">
            <v>C3Q08A</v>
          </cell>
          <cell r="V3" t="str">
            <v>C4Q08A</v>
          </cell>
          <cell r="W3" t="str">
            <v>C1Q09A</v>
          </cell>
          <cell r="X3" t="str">
            <v>C2Q09A</v>
          </cell>
          <cell r="Y3" t="str">
            <v>C3Q09A</v>
          </cell>
          <cell r="Z3" t="str">
            <v>C4Q09A</v>
          </cell>
          <cell r="AA3" t="str">
            <v>C1Q10A</v>
          </cell>
          <cell r="AB3" t="str">
            <v>C2Q10A</v>
          </cell>
          <cell r="AC3" t="str">
            <v>C3Q10A</v>
          </cell>
          <cell r="AD3" t="str">
            <v>C4Q10A</v>
          </cell>
          <cell r="AE3" t="str">
            <v>C1Q11A</v>
          </cell>
          <cell r="AF3" t="str">
            <v>C2Q11A</v>
          </cell>
          <cell r="AG3" t="str">
            <v>C3Q11A</v>
          </cell>
          <cell r="AH3" t="str">
            <v>C4Q11A</v>
          </cell>
          <cell r="AI3" t="str">
            <v>C1Q12A</v>
          </cell>
          <cell r="AJ3" t="str">
            <v>C2Q12A</v>
          </cell>
          <cell r="AK3" t="str">
            <v>C3Q12A</v>
          </cell>
          <cell r="AL3" t="str">
            <v>C4Q12A</v>
          </cell>
          <cell r="AM3" t="str">
            <v>C1Q13A</v>
          </cell>
          <cell r="AN3" t="str">
            <v>C2Q13A</v>
          </cell>
          <cell r="AO3" t="str">
            <v>C3Q13</v>
          </cell>
          <cell r="AP3" t="str">
            <v>C4Q13</v>
          </cell>
          <cell r="AQ3" t="str">
            <v>C1Q14A</v>
          </cell>
          <cell r="AR3" t="str">
            <v>C2Q14A</v>
          </cell>
          <cell r="AS3" t="str">
            <v>C3Q14A</v>
          </cell>
          <cell r="AT3" t="str">
            <v>C4Q14A</v>
          </cell>
        </row>
        <row r="5">
          <cell r="B5" t="str">
            <v>YoY</v>
          </cell>
          <cell r="C5" t="str">
            <v>-</v>
          </cell>
          <cell r="D5" t="str">
            <v>-</v>
          </cell>
          <cell r="E5" t="str">
            <v>-</v>
          </cell>
          <cell r="F5" t="str">
            <v>-</v>
          </cell>
          <cell r="G5" t="str">
            <v>-</v>
          </cell>
          <cell r="H5" t="str">
            <v>-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-</v>
          </cell>
          <cell r="M5" t="str">
            <v>-</v>
          </cell>
          <cell r="N5" t="str">
            <v>-</v>
          </cell>
          <cell r="O5" t="str">
            <v>-</v>
          </cell>
          <cell r="P5">
            <v>2.682470368059886E-2</v>
          </cell>
          <cell r="Q5">
            <v>-0.65322486926205692</v>
          </cell>
          <cell r="R5">
            <v>0.149967679379444</v>
          </cell>
          <cell r="S5">
            <v>0.14294631710362049</v>
          </cell>
          <cell r="T5">
            <v>0.14884568651275809</v>
          </cell>
          <cell r="U5">
            <v>0.12969168900804284</v>
          </cell>
          <cell r="V5">
            <v>-0.23749297358066335</v>
          </cell>
          <cell r="W5">
            <v>-0.36182413981430916</v>
          </cell>
          <cell r="X5">
            <v>-0.33685880486515074</v>
          </cell>
          <cell r="Y5">
            <v>-0.19964402254523883</v>
          </cell>
          <cell r="Z5">
            <v>6.597862145226685E-2</v>
          </cell>
          <cell r="AA5">
            <v>0.26529738981600337</v>
          </cell>
          <cell r="AB5">
            <v>0.22966507177033502</v>
          </cell>
          <cell r="AC5">
            <v>1.8532246108228234E-2</v>
          </cell>
          <cell r="AD5">
            <v>0.10650069156293229</v>
          </cell>
          <cell r="AE5">
            <v>0.12918498478187357</v>
          </cell>
          <cell r="AF5">
            <v>0.16050583657587558</v>
          </cell>
          <cell r="AG5">
            <v>0.33187772925764203</v>
          </cell>
          <cell r="AH5">
            <v>-9.3750000000000222E-3</v>
          </cell>
          <cell r="AI5">
            <v>-2.695417789757415E-2</v>
          </cell>
          <cell r="AJ5">
            <v>-2.2352612461581489E-2</v>
          </cell>
          <cell r="AK5">
            <v>-8.0874316939890667E-2</v>
          </cell>
          <cell r="AL5">
            <v>-1.135646687697156E-2</v>
          </cell>
          <cell r="AM5">
            <v>4.9245921822098637E-3</v>
          </cell>
          <cell r="AN5">
            <v>-1.4289797084881428E-2</v>
          </cell>
          <cell r="AO5">
            <v>2.0214030915576719E-2</v>
          </cell>
          <cell r="AP5">
            <v>6.1263560944479822E-2</v>
          </cell>
          <cell r="AQ5">
            <v>5.0842266462480801E-2</v>
          </cell>
          <cell r="AR5">
            <v>3.7982023775007256E-2</v>
          </cell>
          <cell r="AS5">
            <v>4.1666666666666741E-2</v>
          </cell>
          <cell r="AT5">
            <v>-8.3283223090799718E-2</v>
          </cell>
        </row>
        <row r="6">
          <cell r="B6" t="str">
            <v>QoQ</v>
          </cell>
          <cell r="C6" t="str">
            <v>-</v>
          </cell>
          <cell r="D6" t="str">
            <v>-</v>
          </cell>
          <cell r="E6" t="str">
            <v>-</v>
          </cell>
          <cell r="F6" t="str">
            <v>-</v>
          </cell>
          <cell r="G6" t="str">
            <v>-</v>
          </cell>
          <cell r="H6" t="str">
            <v>-</v>
          </cell>
          <cell r="I6" t="str">
            <v>-</v>
          </cell>
          <cell r="J6" t="str">
            <v>-</v>
          </cell>
          <cell r="K6" t="str">
            <v>-</v>
          </cell>
          <cell r="L6" t="str">
            <v>-</v>
          </cell>
          <cell r="M6">
            <v>1.6840299438552715</v>
          </cell>
          <cell r="N6">
            <v>-0.64044160371876813</v>
          </cell>
          <cell r="O6">
            <v>3.5552682611506237E-2</v>
          </cell>
          <cell r="P6">
            <v>2.7465667915106184E-2</v>
          </cell>
          <cell r="Q6">
            <v>-9.3560145808019413E-2</v>
          </cell>
          <cell r="R6">
            <v>0.19235924932975879</v>
          </cell>
          <cell r="S6">
            <v>2.9229904440696952E-2</v>
          </cell>
          <cell r="T6">
            <v>3.2768978700163931E-2</v>
          </cell>
          <cell r="U6">
            <v>-0.1086726599682708</v>
          </cell>
          <cell r="V6">
            <v>-0.19519430436072382</v>
          </cell>
          <cell r="W6">
            <v>-0.1385919646148176</v>
          </cell>
          <cell r="X6">
            <v>7.3170731707317138E-2</v>
          </cell>
          <cell r="Y6">
            <v>7.575757575757569E-2</v>
          </cell>
          <cell r="Z6">
            <v>7.1905114899925904E-2</v>
          </cell>
          <cell r="AA6">
            <v>2.2475795297371981E-2</v>
          </cell>
          <cell r="AB6">
            <v>4.2948934731146471E-2</v>
          </cell>
          <cell r="AC6">
            <v>-0.1089494163424124</v>
          </cell>
          <cell r="AD6">
            <v>0.16448326055312945</v>
          </cell>
          <cell r="AE6">
            <v>4.3437500000000018E-2</v>
          </cell>
          <cell r="AF6">
            <v>7.1877807726864251E-2</v>
          </cell>
          <cell r="AG6">
            <v>2.2632020117351326E-2</v>
          </cell>
          <cell r="AH6">
            <v>-0.13387978142076506</v>
          </cell>
          <cell r="AI6">
            <v>2.4921135646687631E-2</v>
          </cell>
          <cell r="AJ6">
            <v>7.6946752847029787E-2</v>
          </cell>
          <cell r="AK6">
            <v>-3.8582452129179767E-2</v>
          </cell>
          <cell r="AL6">
            <v>-6.8370986920332943E-2</v>
          </cell>
          <cell r="AM6">
            <v>4.1799617102744158E-2</v>
          </cell>
          <cell r="AN6">
            <v>5.6355283307810033E-2</v>
          </cell>
          <cell r="AO6">
            <v>-4.9289649173673844E-3</v>
          </cell>
          <cell r="AP6">
            <v>-3.0885780885780867E-2</v>
          </cell>
          <cell r="AQ6">
            <v>3.1569452796151642E-2</v>
          </cell>
          <cell r="AR6">
            <v>4.3427572136403469E-2</v>
          </cell>
          <cell r="AS6">
            <v>-1.3966480446927498E-3</v>
          </cell>
          <cell r="AT6">
            <v>-0.14713286713286711</v>
          </cell>
        </row>
        <row r="10">
          <cell r="B10" t="str">
            <v>GM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0.26356830941983783</v>
          </cell>
          <cell r="M10">
            <v>0.27298082510168509</v>
          </cell>
          <cell r="N10">
            <v>0.2634130575307046</v>
          </cell>
          <cell r="O10">
            <v>0.2596754057428215</v>
          </cell>
          <cell r="P10">
            <v>0.25425273390036451</v>
          </cell>
          <cell r="Q10">
            <v>0.41387399463806973</v>
          </cell>
          <cell r="R10">
            <v>0.25070264193367059</v>
          </cell>
          <cell r="S10">
            <v>0.26488257782632441</v>
          </cell>
          <cell r="T10">
            <v>0.29058699101004759</v>
          </cell>
          <cell r="U10">
            <v>0.35953722930881044</v>
          </cell>
          <cell r="V10">
            <v>0.26686325101363806</v>
          </cell>
          <cell r="W10">
            <v>0.22849807445442877</v>
          </cell>
          <cell r="X10">
            <v>0.23405103668261562</v>
          </cell>
          <cell r="Y10">
            <v>0.25611564121571534</v>
          </cell>
          <cell r="Z10">
            <v>0.29080221300138315</v>
          </cell>
          <cell r="AA10">
            <v>0.3239770037199865</v>
          </cell>
          <cell r="AB10">
            <v>0.31939040207522695</v>
          </cell>
          <cell r="AC10">
            <v>0.31259097525473073</v>
          </cell>
          <cell r="AD10">
            <v>0.31906250000000003</v>
          </cell>
          <cell r="AE10">
            <v>0.30188679245283018</v>
          </cell>
          <cell r="AF10">
            <v>0.30399552947750769</v>
          </cell>
          <cell r="AG10">
            <v>0.31530054644808742</v>
          </cell>
          <cell r="AH10">
            <v>0.2974763406940063</v>
          </cell>
          <cell r="AI10">
            <v>0.31425053862726993</v>
          </cell>
          <cell r="AJ10">
            <v>0.29094026864818517</v>
          </cell>
          <cell r="AK10">
            <v>0.31629013079667062</v>
          </cell>
          <cell r="AL10">
            <v>0.31557115507338862</v>
          </cell>
          <cell r="AM10">
            <v>0.32220520673813169</v>
          </cell>
          <cell r="AN10">
            <v>0.32821107567410845</v>
          </cell>
          <cell r="AO10">
            <v>0.3368298368298368</v>
          </cell>
          <cell r="AP10">
            <v>0.33583884546001203</v>
          </cell>
          <cell r="AQ10">
            <v>0.34188283299329641</v>
          </cell>
          <cell r="AR10">
            <v>0.33631284916201115</v>
          </cell>
          <cell r="AS10">
            <v>0.33510489510489511</v>
          </cell>
          <cell r="AT10">
            <v>0.34200000000000003</v>
          </cell>
        </row>
        <row r="13">
          <cell r="B13" t="str">
            <v>OM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0.14379288833437304</v>
          </cell>
          <cell r="M13">
            <v>0.14968041836141779</v>
          </cell>
          <cell r="N13">
            <v>0.13122171945701358</v>
          </cell>
          <cell r="O13">
            <v>0.13764044943820225</v>
          </cell>
          <cell r="P13">
            <v>0.13942891859052248</v>
          </cell>
          <cell r="Q13">
            <v>0.1638739946380697</v>
          </cell>
          <cell r="R13">
            <v>0.13856098931984262</v>
          </cell>
          <cell r="S13">
            <v>0.1403604587657018</v>
          </cell>
          <cell r="T13">
            <v>0.14225277630883132</v>
          </cell>
          <cell r="U13">
            <v>0.14001779887273805</v>
          </cell>
          <cell r="V13">
            <v>6.5610025801695546E-2</v>
          </cell>
          <cell r="W13">
            <v>3.0808729139922979E-2</v>
          </cell>
          <cell r="X13">
            <v>5.0637958532695378E-2</v>
          </cell>
          <cell r="Y13">
            <v>8.1912527798369161E-2</v>
          </cell>
          <cell r="Z13">
            <v>0.11479944674965421</v>
          </cell>
          <cell r="AA13">
            <v>0.1386540412580318</v>
          </cell>
          <cell r="AB13">
            <v>0.15012970168612191</v>
          </cell>
          <cell r="AC13">
            <v>0.16229985443959244</v>
          </cell>
          <cell r="AD13">
            <v>0.1446875</v>
          </cell>
          <cell r="AE13">
            <v>0.12967954477388441</v>
          </cell>
          <cell r="AF13">
            <v>0.13160100586756077</v>
          </cell>
          <cell r="AG13">
            <v>0.14316939890710381</v>
          </cell>
          <cell r="AH13">
            <v>0.12082018927444794</v>
          </cell>
          <cell r="AI13">
            <v>0.12957833179439829</v>
          </cell>
          <cell r="AJ13">
            <v>0.14004001143183767</v>
          </cell>
          <cell r="AK13">
            <v>0.13495838287752676</v>
          </cell>
          <cell r="AL13">
            <v>0.1244416081684748</v>
          </cell>
          <cell r="AM13">
            <v>0.13568147013782542</v>
          </cell>
          <cell r="AN13">
            <v>0.14757900840823426</v>
          </cell>
          <cell r="AO13">
            <v>0.15705128205128205</v>
          </cell>
          <cell r="AP13">
            <v>0.14612146722790137</v>
          </cell>
          <cell r="AQ13">
            <v>0.1550568347420577</v>
          </cell>
          <cell r="AR13">
            <v>0.15363128491620112</v>
          </cell>
          <cell r="AS13">
            <v>0.15972027972027972</v>
          </cell>
          <cell r="AT13">
            <v>0.15152509019350607</v>
          </cell>
        </row>
      </sheetData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"/>
  <sheetViews>
    <sheetView workbookViewId="0"/>
  </sheetViews>
  <sheetFormatPr defaultRowHeight="15"/>
  <sheetData>
    <row r="1" spans="1:6">
      <c r="A1" t="s">
        <v>354</v>
      </c>
    </row>
    <row r="2" spans="1:6">
      <c r="A2" s="820" t="s">
        <v>353</v>
      </c>
      <c r="B2" s="820" t="s">
        <v>355</v>
      </c>
      <c r="C2" s="820" t="s">
        <v>352</v>
      </c>
      <c r="D2" s="820" t="s">
        <v>335</v>
      </c>
      <c r="E2" s="820" t="s">
        <v>351</v>
      </c>
      <c r="F2" s="820" t="s">
        <v>481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4"/>
  <sheetViews>
    <sheetView showGridLines="0" tabSelected="1" workbookViewId="0">
      <selection activeCell="Z1" sqref="Z1"/>
    </sheetView>
  </sheetViews>
  <sheetFormatPr defaultRowHeight="12.75"/>
  <cols>
    <col min="1" max="1" width="25.7109375" style="1013" customWidth="1"/>
    <col min="2" max="5" width="9.140625" style="1013"/>
    <col min="6" max="6" width="18.7109375" style="1013" customWidth="1"/>
    <col min="7" max="256" width="9.140625" style="1013"/>
    <col min="257" max="257" width="100.7109375" style="1013" customWidth="1"/>
    <col min="258" max="512" width="9.140625" style="1013"/>
    <col min="513" max="513" width="100.7109375" style="1013" customWidth="1"/>
    <col min="514" max="768" width="9.140625" style="1013"/>
    <col min="769" max="769" width="100.7109375" style="1013" customWidth="1"/>
    <col min="770" max="1024" width="9.140625" style="1013"/>
    <col min="1025" max="1025" width="100.7109375" style="1013" customWidth="1"/>
    <col min="1026" max="1280" width="9.140625" style="1013"/>
    <col min="1281" max="1281" width="100.7109375" style="1013" customWidth="1"/>
    <col min="1282" max="1536" width="9.140625" style="1013"/>
    <col min="1537" max="1537" width="100.7109375" style="1013" customWidth="1"/>
    <col min="1538" max="1792" width="9.140625" style="1013"/>
    <col min="1793" max="1793" width="100.7109375" style="1013" customWidth="1"/>
    <col min="1794" max="2048" width="9.140625" style="1013"/>
    <col min="2049" max="2049" width="100.7109375" style="1013" customWidth="1"/>
    <col min="2050" max="2304" width="9.140625" style="1013"/>
    <col min="2305" max="2305" width="100.7109375" style="1013" customWidth="1"/>
    <col min="2306" max="2560" width="9.140625" style="1013"/>
    <col min="2561" max="2561" width="100.7109375" style="1013" customWidth="1"/>
    <col min="2562" max="2816" width="9.140625" style="1013"/>
    <col min="2817" max="2817" width="100.7109375" style="1013" customWidth="1"/>
    <col min="2818" max="3072" width="9.140625" style="1013"/>
    <col min="3073" max="3073" width="100.7109375" style="1013" customWidth="1"/>
    <col min="3074" max="3328" width="9.140625" style="1013"/>
    <col min="3329" max="3329" width="100.7109375" style="1013" customWidth="1"/>
    <col min="3330" max="3584" width="9.140625" style="1013"/>
    <col min="3585" max="3585" width="100.7109375" style="1013" customWidth="1"/>
    <col min="3586" max="3840" width="9.140625" style="1013"/>
    <col min="3841" max="3841" width="100.7109375" style="1013" customWidth="1"/>
    <col min="3842" max="4096" width="9.140625" style="1013"/>
    <col min="4097" max="4097" width="100.7109375" style="1013" customWidth="1"/>
    <col min="4098" max="4352" width="9.140625" style="1013"/>
    <col min="4353" max="4353" width="100.7109375" style="1013" customWidth="1"/>
    <col min="4354" max="4608" width="9.140625" style="1013"/>
    <col min="4609" max="4609" width="100.7109375" style="1013" customWidth="1"/>
    <col min="4610" max="4864" width="9.140625" style="1013"/>
    <col min="4865" max="4865" width="100.7109375" style="1013" customWidth="1"/>
    <col min="4866" max="5120" width="9.140625" style="1013"/>
    <col min="5121" max="5121" width="100.7109375" style="1013" customWidth="1"/>
    <col min="5122" max="5376" width="9.140625" style="1013"/>
    <col min="5377" max="5377" width="100.7109375" style="1013" customWidth="1"/>
    <col min="5378" max="5632" width="9.140625" style="1013"/>
    <col min="5633" max="5633" width="100.7109375" style="1013" customWidth="1"/>
    <col min="5634" max="5888" width="9.140625" style="1013"/>
    <col min="5889" max="5889" width="100.7109375" style="1013" customWidth="1"/>
    <col min="5890" max="6144" width="9.140625" style="1013"/>
    <col min="6145" max="6145" width="100.7109375" style="1013" customWidth="1"/>
    <col min="6146" max="6400" width="9.140625" style="1013"/>
    <col min="6401" max="6401" width="100.7109375" style="1013" customWidth="1"/>
    <col min="6402" max="6656" width="9.140625" style="1013"/>
    <col min="6657" max="6657" width="100.7109375" style="1013" customWidth="1"/>
    <col min="6658" max="6912" width="9.140625" style="1013"/>
    <col min="6913" max="6913" width="100.7109375" style="1013" customWidth="1"/>
    <col min="6914" max="7168" width="9.140625" style="1013"/>
    <col min="7169" max="7169" width="100.7109375" style="1013" customWidth="1"/>
    <col min="7170" max="7424" width="9.140625" style="1013"/>
    <col min="7425" max="7425" width="100.7109375" style="1013" customWidth="1"/>
    <col min="7426" max="7680" width="9.140625" style="1013"/>
    <col min="7681" max="7681" width="100.7109375" style="1013" customWidth="1"/>
    <col min="7682" max="7936" width="9.140625" style="1013"/>
    <col min="7937" max="7937" width="100.7109375" style="1013" customWidth="1"/>
    <col min="7938" max="8192" width="9.140625" style="1013"/>
    <col min="8193" max="8193" width="100.7109375" style="1013" customWidth="1"/>
    <col min="8194" max="8448" width="9.140625" style="1013"/>
    <col min="8449" max="8449" width="100.7109375" style="1013" customWidth="1"/>
    <col min="8450" max="8704" width="9.140625" style="1013"/>
    <col min="8705" max="8705" width="100.7109375" style="1013" customWidth="1"/>
    <col min="8706" max="8960" width="9.140625" style="1013"/>
    <col min="8961" max="8961" width="100.7109375" style="1013" customWidth="1"/>
    <col min="8962" max="9216" width="9.140625" style="1013"/>
    <col min="9217" max="9217" width="100.7109375" style="1013" customWidth="1"/>
    <col min="9218" max="9472" width="9.140625" style="1013"/>
    <col min="9473" max="9473" width="100.7109375" style="1013" customWidth="1"/>
    <col min="9474" max="9728" width="9.140625" style="1013"/>
    <col min="9729" max="9729" width="100.7109375" style="1013" customWidth="1"/>
    <col min="9730" max="9984" width="9.140625" style="1013"/>
    <col min="9985" max="9985" width="100.7109375" style="1013" customWidth="1"/>
    <col min="9986" max="10240" width="9.140625" style="1013"/>
    <col min="10241" max="10241" width="100.7109375" style="1013" customWidth="1"/>
    <col min="10242" max="10496" width="9.140625" style="1013"/>
    <col min="10497" max="10497" width="100.7109375" style="1013" customWidth="1"/>
    <col min="10498" max="10752" width="9.140625" style="1013"/>
    <col min="10753" max="10753" width="100.7109375" style="1013" customWidth="1"/>
    <col min="10754" max="11008" width="9.140625" style="1013"/>
    <col min="11009" max="11009" width="100.7109375" style="1013" customWidth="1"/>
    <col min="11010" max="11264" width="9.140625" style="1013"/>
    <col min="11265" max="11265" width="100.7109375" style="1013" customWidth="1"/>
    <col min="11266" max="11520" width="9.140625" style="1013"/>
    <col min="11521" max="11521" width="100.7109375" style="1013" customWidth="1"/>
    <col min="11522" max="11776" width="9.140625" style="1013"/>
    <col min="11777" max="11777" width="100.7109375" style="1013" customWidth="1"/>
    <col min="11778" max="12032" width="9.140625" style="1013"/>
    <col min="12033" max="12033" width="100.7109375" style="1013" customWidth="1"/>
    <col min="12034" max="12288" width="9.140625" style="1013"/>
    <col min="12289" max="12289" width="100.7109375" style="1013" customWidth="1"/>
    <col min="12290" max="12544" width="9.140625" style="1013"/>
    <col min="12545" max="12545" width="100.7109375" style="1013" customWidth="1"/>
    <col min="12546" max="12800" width="9.140625" style="1013"/>
    <col min="12801" max="12801" width="100.7109375" style="1013" customWidth="1"/>
    <col min="12802" max="13056" width="9.140625" style="1013"/>
    <col min="13057" max="13057" width="100.7109375" style="1013" customWidth="1"/>
    <col min="13058" max="13312" width="9.140625" style="1013"/>
    <col min="13313" max="13313" width="100.7109375" style="1013" customWidth="1"/>
    <col min="13314" max="13568" width="9.140625" style="1013"/>
    <col min="13569" max="13569" width="100.7109375" style="1013" customWidth="1"/>
    <col min="13570" max="13824" width="9.140625" style="1013"/>
    <col min="13825" max="13825" width="100.7109375" style="1013" customWidth="1"/>
    <col min="13826" max="14080" width="9.140625" style="1013"/>
    <col min="14081" max="14081" width="100.7109375" style="1013" customWidth="1"/>
    <col min="14082" max="14336" width="9.140625" style="1013"/>
    <col min="14337" max="14337" width="100.7109375" style="1013" customWidth="1"/>
    <col min="14338" max="14592" width="9.140625" style="1013"/>
    <col min="14593" max="14593" width="100.7109375" style="1013" customWidth="1"/>
    <col min="14594" max="14848" width="9.140625" style="1013"/>
    <col min="14849" max="14849" width="100.7109375" style="1013" customWidth="1"/>
    <col min="14850" max="15104" width="9.140625" style="1013"/>
    <col min="15105" max="15105" width="100.7109375" style="1013" customWidth="1"/>
    <col min="15106" max="15360" width="9.140625" style="1013"/>
    <col min="15361" max="15361" width="100.7109375" style="1013" customWidth="1"/>
    <col min="15362" max="15616" width="9.140625" style="1013"/>
    <col min="15617" max="15617" width="100.7109375" style="1013" customWidth="1"/>
    <col min="15618" max="15872" width="9.140625" style="1013"/>
    <col min="15873" max="15873" width="100.7109375" style="1013" customWidth="1"/>
    <col min="15874" max="16128" width="9.140625" style="1013"/>
    <col min="16129" max="16129" width="100.7109375" style="1013" customWidth="1"/>
    <col min="16130" max="16384" width="9.140625" style="1013"/>
  </cols>
  <sheetData>
    <row r="1" spans="1:8" ht="30" customHeight="1">
      <c r="A1" s="1011"/>
      <c r="B1" s="1012"/>
      <c r="C1" s="1012"/>
      <c r="D1" s="1012"/>
      <c r="E1" s="1012"/>
      <c r="F1" s="1012"/>
      <c r="G1" s="1012"/>
      <c r="H1" s="1012"/>
    </row>
    <row r="2" spans="1:8" ht="14.25">
      <c r="A2" s="1014" t="s">
        <v>500</v>
      </c>
      <c r="B2" s="1012"/>
      <c r="C2" s="1012"/>
      <c r="D2" s="1012"/>
      <c r="E2" s="1012"/>
      <c r="F2" s="1012"/>
      <c r="G2" s="1012"/>
      <c r="H2" s="1012"/>
    </row>
    <row r="3" spans="1:8" ht="14.25">
      <c r="A3" s="1014" t="s">
        <v>501</v>
      </c>
      <c r="B3" s="1012"/>
      <c r="C3" s="1012"/>
      <c r="D3" s="1012"/>
      <c r="E3" s="1012"/>
      <c r="F3" s="1012"/>
      <c r="G3" s="1012"/>
      <c r="H3" s="1012"/>
    </row>
    <row r="4" spans="1:8" ht="14.25">
      <c r="A4" s="1014" t="s">
        <v>169</v>
      </c>
      <c r="B4" s="1012"/>
      <c r="C4" s="1012"/>
      <c r="D4" s="1012"/>
      <c r="E4" s="1012"/>
      <c r="F4" s="1012"/>
      <c r="G4" s="1012"/>
      <c r="H4" s="1012"/>
    </row>
    <row r="5" spans="1:8" ht="14.25">
      <c r="A5" s="1014" t="s">
        <v>502</v>
      </c>
      <c r="B5" s="1012"/>
      <c r="C5" s="1012"/>
      <c r="D5" s="1012"/>
      <c r="E5" s="1012"/>
      <c r="F5" s="1012"/>
      <c r="G5" s="1012"/>
      <c r="H5" s="1012"/>
    </row>
    <row r="6" spans="1:8" ht="14.25">
      <c r="A6" s="1014"/>
      <c r="B6" s="1012"/>
      <c r="C6" s="1012"/>
      <c r="D6" s="1012"/>
      <c r="E6" s="1012"/>
      <c r="F6" s="1012"/>
      <c r="G6" s="1012"/>
      <c r="H6" s="1012"/>
    </row>
    <row r="7" spans="1:8">
      <c r="A7" s="1011" t="s">
        <v>503</v>
      </c>
      <c r="B7" s="1012"/>
      <c r="C7" s="1012"/>
      <c r="D7" s="1012"/>
      <c r="E7" s="1012"/>
      <c r="F7" s="1012"/>
      <c r="G7" s="1012"/>
      <c r="H7" s="1012"/>
    </row>
    <row r="8" spans="1:8">
      <c r="A8" s="1011" t="s">
        <v>504</v>
      </c>
      <c r="B8" s="1012"/>
      <c r="C8" s="1012"/>
      <c r="D8" s="1012"/>
      <c r="E8" s="1012"/>
      <c r="F8" s="1012"/>
      <c r="G8" s="1012"/>
      <c r="H8" s="1012"/>
    </row>
    <row r="9" spans="1:8">
      <c r="A9" s="1011"/>
      <c r="B9" s="1012"/>
      <c r="C9" s="1012"/>
      <c r="D9" s="1012"/>
      <c r="E9" s="1012"/>
      <c r="F9" s="1012"/>
      <c r="G9" s="1012"/>
      <c r="H9" s="1012"/>
    </row>
    <row r="10" spans="1:8">
      <c r="A10" s="1015" t="s">
        <v>505</v>
      </c>
      <c r="B10" s="1012"/>
      <c r="C10" s="1012"/>
      <c r="D10" s="1012"/>
      <c r="E10" s="1012"/>
      <c r="F10" s="1012"/>
      <c r="G10" s="1012"/>
      <c r="H10" s="1012"/>
    </row>
    <row r="11" spans="1:8">
      <c r="A11" s="1015" t="s">
        <v>506</v>
      </c>
      <c r="B11" s="1012"/>
      <c r="C11" s="1012"/>
      <c r="D11" s="1012"/>
      <c r="E11" s="1012"/>
      <c r="F11" s="1012"/>
      <c r="G11" s="1012"/>
      <c r="H11" s="1012"/>
    </row>
    <row r="12" spans="1:8">
      <c r="A12" s="1015" t="s">
        <v>507</v>
      </c>
      <c r="B12" s="1012"/>
      <c r="C12" s="1012"/>
      <c r="D12" s="1012"/>
      <c r="E12" s="1012"/>
      <c r="F12" s="1012"/>
      <c r="G12" s="1012"/>
      <c r="H12" s="1012"/>
    </row>
    <row r="13" spans="1:8">
      <c r="A13" s="1015" t="s">
        <v>508</v>
      </c>
      <c r="B13" s="1012"/>
      <c r="C13" s="1012"/>
      <c r="D13" s="1012"/>
      <c r="E13" s="1012"/>
      <c r="F13" s="1012"/>
      <c r="G13" s="1012"/>
      <c r="H13" s="1012"/>
    </row>
    <row r="14" spans="1:8">
      <c r="A14" s="1015" t="s">
        <v>509</v>
      </c>
      <c r="B14" s="1012"/>
      <c r="C14" s="1012"/>
      <c r="D14" s="1012"/>
      <c r="E14" s="1012"/>
      <c r="F14" s="1012"/>
      <c r="G14" s="1012"/>
      <c r="H14" s="1012"/>
    </row>
    <row r="15" spans="1:8">
      <c r="A15" s="1015" t="s">
        <v>510</v>
      </c>
      <c r="B15" s="1012"/>
      <c r="C15" s="1012"/>
      <c r="D15" s="1012"/>
      <c r="E15" s="1012"/>
      <c r="F15" s="1012"/>
      <c r="G15" s="1012"/>
      <c r="H15" s="1012"/>
    </row>
    <row r="16" spans="1:8">
      <c r="A16" s="1015"/>
      <c r="B16" s="1012"/>
      <c r="C16" s="1012"/>
      <c r="D16" s="1012"/>
      <c r="E16" s="1012"/>
      <c r="F16" s="1012"/>
      <c r="G16" s="1012"/>
      <c r="H16" s="1012"/>
    </row>
    <row r="17" spans="1:8">
      <c r="A17" s="1015" t="s">
        <v>497</v>
      </c>
      <c r="B17" s="1012"/>
      <c r="C17" s="1012"/>
      <c r="D17" s="1012"/>
      <c r="E17" s="1012"/>
      <c r="F17" s="1012"/>
      <c r="G17" s="1012"/>
      <c r="H17" s="1012"/>
    </row>
    <row r="18" spans="1:8">
      <c r="A18" s="1015"/>
      <c r="B18" s="1012"/>
      <c r="C18" s="1012"/>
      <c r="D18" s="1012"/>
      <c r="E18" s="1012"/>
      <c r="F18" s="1012"/>
      <c r="G18" s="1012"/>
      <c r="H18" s="1012"/>
    </row>
    <row r="19" spans="1:8">
      <c r="A19" s="1015" t="s">
        <v>498</v>
      </c>
      <c r="B19" s="1012"/>
      <c r="C19" s="1012"/>
      <c r="D19" s="1012"/>
      <c r="E19" s="1012"/>
      <c r="F19" s="1012"/>
      <c r="G19" s="1012"/>
      <c r="H19" s="1012"/>
    </row>
    <row r="20" spans="1:8">
      <c r="A20" s="1011"/>
      <c r="B20" s="1012"/>
      <c r="C20" s="1012"/>
      <c r="D20" s="1012"/>
      <c r="E20" s="1012"/>
      <c r="F20" s="1012"/>
      <c r="G20" s="1012"/>
      <c r="H20" s="1012"/>
    </row>
    <row r="21" spans="1:8">
      <c r="A21" s="1016" t="s">
        <v>499</v>
      </c>
      <c r="B21" s="1012"/>
      <c r="C21" s="1012"/>
      <c r="D21" s="1012"/>
      <c r="E21" s="1012"/>
      <c r="F21" s="1012"/>
      <c r="G21" s="1012"/>
      <c r="H21" s="1012"/>
    </row>
    <row r="22" spans="1:8" ht="15">
      <c r="A22" s="1017"/>
      <c r="B22" s="1017"/>
      <c r="C22" s="1017"/>
      <c r="D22" s="1017"/>
      <c r="E22" s="1017"/>
      <c r="F22" s="1017"/>
      <c r="G22" s="1017"/>
      <c r="H22" s="1017"/>
    </row>
    <row r="23" spans="1:8" ht="15">
      <c r="A23" s="1018" t="s">
        <v>791</v>
      </c>
      <c r="B23" s="1017"/>
      <c r="C23" s="1017"/>
      <c r="D23" s="1017"/>
      <c r="E23" s="1017"/>
      <c r="F23" s="1017"/>
      <c r="G23" s="1017"/>
      <c r="H23" s="1017"/>
    </row>
    <row r="24" spans="1:8" ht="15">
      <c r="A24" s="1018" t="s">
        <v>792</v>
      </c>
      <c r="B24" s="1017"/>
      <c r="C24" s="1017"/>
      <c r="D24" s="1017"/>
      <c r="E24" s="1017"/>
      <c r="F24" s="1017"/>
      <c r="G24" s="1017"/>
      <c r="H24" s="1017"/>
    </row>
    <row r="25" spans="1:8" ht="15">
      <c r="A25" s="1018" t="s">
        <v>793</v>
      </c>
      <c r="B25" s="1017"/>
      <c r="C25" s="1017"/>
      <c r="D25" s="1017"/>
      <c r="E25" s="1017"/>
      <c r="F25" s="1017"/>
      <c r="G25" s="1017"/>
      <c r="H25" s="1017"/>
    </row>
    <row r="26" spans="1:8" ht="15">
      <c r="A26" s="1018" t="s">
        <v>794</v>
      </c>
      <c r="B26" s="1017"/>
      <c r="C26" s="1017"/>
      <c r="D26" s="1017"/>
      <c r="E26" s="1017"/>
      <c r="F26" s="1017"/>
      <c r="G26" s="1017"/>
      <c r="H26" s="1017"/>
    </row>
    <row r="27" spans="1:8" ht="15">
      <c r="A27" s="1017"/>
      <c r="B27" s="1017"/>
      <c r="C27" s="1017"/>
      <c r="D27" s="1017"/>
      <c r="E27" s="1017"/>
      <c r="F27" s="1017"/>
      <c r="G27" s="1017"/>
      <c r="H27" s="1017"/>
    </row>
    <row r="28" spans="1:8" ht="15">
      <c r="A28" s="1017"/>
      <c r="B28" s="1017"/>
      <c r="C28" s="1017"/>
      <c r="D28" s="1017"/>
      <c r="E28" s="1017"/>
      <c r="F28" s="1017"/>
      <c r="G28" s="1017"/>
      <c r="H28" s="1017"/>
    </row>
    <row r="29" spans="1:8" ht="15">
      <c r="A29" s="1018" t="s">
        <v>786</v>
      </c>
      <c r="B29" s="1017"/>
      <c r="C29" s="1017"/>
      <c r="D29" s="1017"/>
      <c r="E29" s="1017"/>
      <c r="F29" s="1017"/>
      <c r="G29" s="1017"/>
      <c r="H29" s="1017"/>
    </row>
    <row r="30" spans="1:8" ht="15">
      <c r="A30" s="1018" t="s">
        <v>787</v>
      </c>
      <c r="B30" s="1017"/>
      <c r="C30" s="1017"/>
      <c r="D30" s="1017"/>
      <c r="E30" s="1017"/>
      <c r="F30" s="1017"/>
      <c r="G30" s="1017"/>
      <c r="H30" s="1017"/>
    </row>
    <row r="31" spans="1:8" ht="15">
      <c r="A31" s="1018" t="s">
        <v>788</v>
      </c>
      <c r="B31" s="1017"/>
      <c r="C31" s="1017"/>
      <c r="D31" s="1017"/>
      <c r="E31" s="1017"/>
      <c r="F31" s="1017"/>
      <c r="G31" s="1017"/>
      <c r="H31" s="1017"/>
    </row>
    <row r="32" spans="1:8" ht="15">
      <c r="A32" s="1018" t="s">
        <v>789</v>
      </c>
      <c r="B32" s="1017"/>
      <c r="C32" s="1017"/>
      <c r="D32" s="1017"/>
      <c r="E32" s="1017"/>
      <c r="F32" s="1017"/>
      <c r="G32" s="1017"/>
      <c r="H32" s="1017"/>
    </row>
    <row r="33" spans="1:8" ht="15">
      <c r="A33" s="1018" t="s">
        <v>790</v>
      </c>
      <c r="B33" s="1017"/>
      <c r="C33" s="1017"/>
      <c r="D33" s="1017"/>
      <c r="E33" s="1017"/>
      <c r="F33" s="1017"/>
      <c r="G33" s="1017"/>
      <c r="H33" s="1017"/>
    </row>
    <row r="34" spans="1:8" ht="15">
      <c r="A34" s="1017"/>
      <c r="B34" s="1017"/>
      <c r="C34" s="1017"/>
      <c r="D34" s="1017"/>
      <c r="E34" s="1017"/>
      <c r="F34" s="1017"/>
      <c r="G34" s="1017"/>
      <c r="H34" s="1017"/>
    </row>
    <row r="35" spans="1:8" ht="15">
      <c r="A35" s="1018" t="s">
        <v>782</v>
      </c>
      <c r="B35" s="1017"/>
      <c r="C35" s="1017"/>
      <c r="D35" s="1017"/>
      <c r="E35" s="1017"/>
      <c r="F35" s="1017"/>
      <c r="G35" s="1017"/>
      <c r="H35" s="1017"/>
    </row>
    <row r="36" spans="1:8" ht="15">
      <c r="A36" s="1018" t="s">
        <v>783</v>
      </c>
      <c r="B36" s="1017"/>
      <c r="C36" s="1017"/>
      <c r="D36" s="1017"/>
      <c r="E36" s="1017"/>
      <c r="F36" s="1017"/>
      <c r="G36" s="1017"/>
      <c r="H36" s="1017"/>
    </row>
    <row r="37" spans="1:8" ht="15">
      <c r="A37" s="1018" t="s">
        <v>784</v>
      </c>
      <c r="B37" s="1017"/>
      <c r="C37" s="1017"/>
      <c r="D37" s="1017"/>
      <c r="E37" s="1017"/>
      <c r="F37" s="1017"/>
      <c r="G37" s="1017"/>
      <c r="H37" s="1017"/>
    </row>
    <row r="38" spans="1:8" ht="15">
      <c r="A38" s="1018" t="s">
        <v>785</v>
      </c>
      <c r="B38" s="1017"/>
      <c r="C38" s="1017"/>
      <c r="D38" s="1017"/>
      <c r="E38" s="1017"/>
      <c r="F38" s="1017"/>
      <c r="G38" s="1017"/>
      <c r="H38" s="1017"/>
    </row>
    <row r="39" spans="1:8" ht="15">
      <c r="A39" s="1017"/>
      <c r="B39" s="1017"/>
      <c r="C39" s="1017"/>
      <c r="D39" s="1017"/>
      <c r="E39" s="1017"/>
      <c r="F39" s="1017"/>
      <c r="G39" s="1017"/>
      <c r="H39" s="1017"/>
    </row>
    <row r="40" spans="1:8" ht="15">
      <c r="A40" s="1018" t="s">
        <v>776</v>
      </c>
      <c r="B40" s="1017"/>
      <c r="C40" s="1017"/>
      <c r="D40" s="1017"/>
      <c r="E40" s="1017"/>
      <c r="F40" s="1017"/>
      <c r="G40" s="1017"/>
      <c r="H40" s="1017"/>
    </row>
    <row r="41" spans="1:8" ht="15">
      <c r="A41" s="1018" t="s">
        <v>777</v>
      </c>
      <c r="B41" s="1017"/>
      <c r="C41" s="1017"/>
      <c r="D41" s="1017"/>
      <c r="E41" s="1017"/>
      <c r="F41" s="1017"/>
      <c r="G41" s="1017"/>
      <c r="H41" s="1017"/>
    </row>
    <row r="42" spans="1:8" ht="15">
      <c r="A42" s="1018" t="s">
        <v>778</v>
      </c>
      <c r="B42" s="1017"/>
      <c r="C42" s="1017"/>
      <c r="D42" s="1017"/>
      <c r="E42" s="1017"/>
      <c r="F42" s="1017"/>
      <c r="G42" s="1017"/>
      <c r="H42" s="1017"/>
    </row>
    <row r="43" spans="1:8" ht="15">
      <c r="A43" s="1018" t="s">
        <v>779</v>
      </c>
      <c r="B43" s="1017"/>
      <c r="C43" s="1017"/>
      <c r="D43" s="1017"/>
      <c r="E43" s="1017"/>
      <c r="F43" s="1017"/>
      <c r="G43" s="1017"/>
      <c r="H43" s="1017"/>
    </row>
    <row r="44" spans="1:8" ht="15">
      <c r="A44" s="1018" t="s">
        <v>780</v>
      </c>
      <c r="B44" s="1017"/>
      <c r="C44" s="1017"/>
      <c r="D44" s="1017"/>
      <c r="E44" s="1017"/>
      <c r="F44" s="1017"/>
      <c r="G44" s="1017"/>
      <c r="H44" s="1017"/>
    </row>
    <row r="45" spans="1:8" ht="15">
      <c r="A45" s="1018" t="s">
        <v>781</v>
      </c>
      <c r="B45" s="1017"/>
      <c r="C45" s="1017"/>
      <c r="D45" s="1017"/>
      <c r="E45" s="1017"/>
      <c r="F45" s="1017"/>
      <c r="G45" s="1017"/>
      <c r="H45" s="1017"/>
    </row>
    <row r="46" spans="1:8" ht="15">
      <c r="A46" s="1017"/>
      <c r="B46" s="1017"/>
      <c r="C46" s="1017"/>
      <c r="D46" s="1017"/>
      <c r="E46" s="1017"/>
      <c r="F46" s="1017"/>
      <c r="G46" s="1017"/>
      <c r="H46" s="1017"/>
    </row>
    <row r="47" spans="1:8" ht="15.75">
      <c r="A47" s="1019" t="s">
        <v>511</v>
      </c>
      <c r="B47" s="1017"/>
      <c r="C47" s="1017"/>
      <c r="D47" s="1017"/>
      <c r="E47" s="1017"/>
      <c r="F47" s="1017"/>
      <c r="G47" s="1017"/>
      <c r="H47" s="1017"/>
    </row>
    <row r="48" spans="1:8" ht="15">
      <c r="A48" s="1017"/>
      <c r="B48" s="1017"/>
      <c r="C48" s="1017"/>
      <c r="D48" s="1017"/>
      <c r="E48" s="1017"/>
      <c r="F48" s="1017"/>
      <c r="G48" s="1017"/>
      <c r="H48" s="1017"/>
    </row>
    <row r="49" spans="1:8" ht="15">
      <c r="A49" s="1018" t="s">
        <v>772</v>
      </c>
      <c r="B49" s="1017"/>
      <c r="C49" s="1017"/>
      <c r="D49" s="1017"/>
      <c r="E49" s="1017"/>
      <c r="F49" s="1017"/>
      <c r="G49" s="1017"/>
      <c r="H49" s="1017"/>
    </row>
    <row r="50" spans="1:8" ht="15">
      <c r="A50" s="1018" t="s">
        <v>773</v>
      </c>
      <c r="B50" s="1017"/>
      <c r="C50" s="1017"/>
      <c r="D50" s="1017"/>
      <c r="E50" s="1017"/>
      <c r="F50" s="1017"/>
      <c r="G50" s="1017"/>
      <c r="H50" s="1017"/>
    </row>
    <row r="51" spans="1:8" ht="15">
      <c r="A51" s="1018" t="s">
        <v>774</v>
      </c>
      <c r="B51" s="1017"/>
      <c r="C51" s="1017"/>
      <c r="D51" s="1017"/>
      <c r="E51" s="1017"/>
      <c r="F51" s="1017"/>
      <c r="G51" s="1017"/>
      <c r="H51" s="1017"/>
    </row>
    <row r="52" spans="1:8" ht="15">
      <c r="A52" s="1018" t="s">
        <v>775</v>
      </c>
      <c r="B52" s="1017"/>
      <c r="C52" s="1017"/>
      <c r="D52" s="1017"/>
      <c r="E52" s="1017"/>
      <c r="F52" s="1017"/>
      <c r="G52" s="1017"/>
      <c r="H52" s="1017"/>
    </row>
    <row r="53" spans="1:8" ht="15">
      <c r="A53" s="1017"/>
      <c r="B53" s="1017"/>
      <c r="C53" s="1017"/>
      <c r="D53" s="1017"/>
      <c r="E53" s="1017"/>
      <c r="F53" s="1017"/>
      <c r="G53" s="1017"/>
      <c r="H53" s="1017"/>
    </row>
    <row r="54" spans="1:8" ht="15">
      <c r="A54" s="1018" t="s">
        <v>512</v>
      </c>
      <c r="B54" s="1017"/>
      <c r="C54" s="1017"/>
      <c r="D54" s="1017"/>
      <c r="E54" s="1017"/>
      <c r="F54" s="1017"/>
      <c r="G54" s="1017"/>
      <c r="H54" s="1017"/>
    </row>
    <row r="55" spans="1:8" ht="15">
      <c r="A55" s="1017"/>
      <c r="B55" s="1017"/>
      <c r="C55" s="1017"/>
      <c r="D55" s="1017"/>
      <c r="E55" s="1017"/>
      <c r="F55" s="1017"/>
      <c r="G55" s="1017"/>
      <c r="H55" s="1017"/>
    </row>
    <row r="56" spans="1:8" ht="15.75">
      <c r="A56" s="1019" t="s">
        <v>513</v>
      </c>
      <c r="B56" s="1017"/>
      <c r="C56" s="1017"/>
      <c r="D56" s="1017"/>
      <c r="E56" s="1017"/>
      <c r="F56" s="1017"/>
      <c r="G56" s="1017"/>
      <c r="H56" s="1017"/>
    </row>
    <row r="57" spans="1:8" ht="15">
      <c r="A57" s="1017"/>
      <c r="B57" s="1017"/>
      <c r="C57" s="1017"/>
      <c r="D57" s="1017"/>
      <c r="E57" s="1017"/>
      <c r="F57" s="1017"/>
      <c r="G57" s="1017"/>
      <c r="H57" s="1017"/>
    </row>
    <row r="58" spans="1:8" ht="15">
      <c r="A58" s="1018" t="s">
        <v>770</v>
      </c>
      <c r="B58" s="1017"/>
      <c r="C58" s="1017"/>
      <c r="D58" s="1017"/>
      <c r="E58" s="1017"/>
      <c r="F58" s="1017"/>
      <c r="G58" s="1017"/>
      <c r="H58" s="1017"/>
    </row>
    <row r="59" spans="1:8" ht="15">
      <c r="A59" s="1018" t="s">
        <v>771</v>
      </c>
      <c r="B59" s="1017"/>
      <c r="C59" s="1017"/>
      <c r="D59" s="1017"/>
      <c r="E59" s="1017"/>
      <c r="F59" s="1017"/>
      <c r="G59" s="1017"/>
      <c r="H59" s="1017"/>
    </row>
    <row r="60" spans="1:8" ht="15">
      <c r="A60" s="1017"/>
      <c r="B60" s="1017"/>
      <c r="C60" s="1017"/>
      <c r="D60" s="1017"/>
      <c r="E60" s="1017"/>
      <c r="F60" s="1017"/>
      <c r="G60" s="1017"/>
      <c r="H60" s="1017"/>
    </row>
    <row r="61" spans="1:8" ht="15.75">
      <c r="A61" s="1019" t="s">
        <v>514</v>
      </c>
      <c r="B61" s="1017"/>
      <c r="C61" s="1017"/>
      <c r="D61" s="1017"/>
      <c r="E61" s="1017"/>
      <c r="F61" s="1017"/>
      <c r="G61" s="1017"/>
      <c r="H61" s="1017"/>
    </row>
    <row r="62" spans="1:8" ht="15">
      <c r="A62" s="1017"/>
      <c r="B62" s="1017"/>
      <c r="C62" s="1017"/>
      <c r="D62" s="1017"/>
      <c r="E62" s="1017"/>
      <c r="F62" s="1017"/>
      <c r="G62" s="1017"/>
      <c r="H62" s="1017"/>
    </row>
    <row r="63" spans="1:8" ht="15">
      <c r="A63" s="1018" t="s">
        <v>768</v>
      </c>
      <c r="B63" s="1017"/>
      <c r="C63" s="1017"/>
      <c r="D63" s="1017"/>
      <c r="E63" s="1017"/>
      <c r="F63" s="1017"/>
      <c r="G63" s="1017"/>
      <c r="H63" s="1017"/>
    </row>
    <row r="64" spans="1:8" ht="15">
      <c r="A64" s="1018" t="s">
        <v>769</v>
      </c>
      <c r="B64" s="1017"/>
      <c r="C64" s="1017"/>
      <c r="D64" s="1017"/>
      <c r="E64" s="1017"/>
      <c r="F64" s="1017"/>
      <c r="G64" s="1017"/>
      <c r="H64" s="1017"/>
    </row>
    <row r="65" spans="1:8" ht="15">
      <c r="A65" s="1017"/>
      <c r="B65" s="1017"/>
      <c r="C65" s="1017"/>
      <c r="D65" s="1017"/>
      <c r="E65" s="1017"/>
      <c r="F65" s="1017"/>
      <c r="G65" s="1017"/>
      <c r="H65" s="1017"/>
    </row>
    <row r="66" spans="1:8" ht="15">
      <c r="A66" s="1018" t="s">
        <v>766</v>
      </c>
      <c r="B66" s="1017"/>
      <c r="C66" s="1017"/>
      <c r="D66" s="1017"/>
      <c r="E66" s="1017"/>
      <c r="F66" s="1017"/>
      <c r="G66" s="1017"/>
      <c r="H66" s="1017"/>
    </row>
    <row r="67" spans="1:8" ht="15">
      <c r="A67" s="1018" t="s">
        <v>767</v>
      </c>
      <c r="B67" s="1017"/>
      <c r="C67" s="1017"/>
      <c r="D67" s="1017"/>
      <c r="E67" s="1017"/>
      <c r="F67" s="1017"/>
      <c r="G67" s="1017"/>
      <c r="H67" s="1017"/>
    </row>
    <row r="68" spans="1:8" ht="15">
      <c r="A68" s="1017"/>
      <c r="B68" s="1017"/>
      <c r="C68" s="1017"/>
      <c r="D68" s="1017"/>
      <c r="E68" s="1017"/>
      <c r="F68" s="1017"/>
      <c r="G68" s="1017"/>
      <c r="H68" s="1017"/>
    </row>
    <row r="69" spans="1:8" ht="15">
      <c r="A69" s="1018" t="s">
        <v>764</v>
      </c>
      <c r="B69" s="1017"/>
      <c r="C69" s="1017"/>
      <c r="D69" s="1017"/>
      <c r="E69" s="1017"/>
      <c r="F69" s="1017"/>
      <c r="G69" s="1017"/>
      <c r="H69" s="1017"/>
    </row>
    <row r="70" spans="1:8" ht="15">
      <c r="A70" s="1018" t="s">
        <v>765</v>
      </c>
      <c r="B70" s="1017"/>
      <c r="C70" s="1017"/>
      <c r="D70" s="1017"/>
      <c r="E70" s="1017"/>
      <c r="F70" s="1017"/>
      <c r="G70" s="1017"/>
      <c r="H70" s="1017"/>
    </row>
    <row r="71" spans="1:8" ht="15">
      <c r="A71" s="1017"/>
      <c r="B71" s="1017"/>
      <c r="C71" s="1017"/>
      <c r="D71" s="1017"/>
      <c r="E71" s="1017"/>
      <c r="F71" s="1017"/>
      <c r="G71" s="1017"/>
      <c r="H71" s="1017"/>
    </row>
    <row r="72" spans="1:8" ht="15">
      <c r="A72" s="1018" t="s">
        <v>762</v>
      </c>
      <c r="B72" s="1017"/>
      <c r="C72" s="1017"/>
      <c r="D72" s="1017"/>
      <c r="E72" s="1017"/>
      <c r="F72" s="1017"/>
      <c r="G72" s="1017"/>
      <c r="H72" s="1017"/>
    </row>
    <row r="73" spans="1:8" ht="15">
      <c r="A73" s="1018" t="s">
        <v>763</v>
      </c>
      <c r="B73" s="1017"/>
      <c r="C73" s="1017"/>
      <c r="D73" s="1017"/>
      <c r="E73" s="1017"/>
      <c r="F73" s="1017"/>
      <c r="G73" s="1017"/>
      <c r="H73" s="1017"/>
    </row>
    <row r="74" spans="1:8" ht="15">
      <c r="A74" s="1017"/>
      <c r="B74" s="1017"/>
      <c r="C74" s="1017"/>
      <c r="D74" s="1017"/>
      <c r="E74" s="1017"/>
      <c r="F74" s="1017"/>
      <c r="G74" s="1017"/>
      <c r="H74" s="1017"/>
    </row>
    <row r="75" spans="1:8" ht="15">
      <c r="A75" s="1018" t="s">
        <v>759</v>
      </c>
      <c r="B75" s="1017"/>
      <c r="C75" s="1017"/>
      <c r="D75" s="1017"/>
      <c r="E75" s="1017"/>
      <c r="F75" s="1017"/>
      <c r="G75" s="1017"/>
      <c r="H75" s="1017"/>
    </row>
    <row r="76" spans="1:8" ht="15">
      <c r="A76" s="1018" t="s">
        <v>760</v>
      </c>
      <c r="B76" s="1017"/>
      <c r="C76" s="1017"/>
      <c r="D76" s="1017"/>
      <c r="E76" s="1017"/>
      <c r="F76" s="1017"/>
      <c r="G76" s="1017"/>
      <c r="H76" s="1017"/>
    </row>
    <row r="77" spans="1:8" ht="15">
      <c r="A77" s="1018" t="s">
        <v>761</v>
      </c>
      <c r="B77" s="1017"/>
      <c r="C77" s="1017"/>
      <c r="D77" s="1017"/>
      <c r="E77" s="1017"/>
      <c r="F77" s="1017"/>
      <c r="G77" s="1017"/>
      <c r="H77" s="1017"/>
    </row>
    <row r="78" spans="1:8" ht="15">
      <c r="A78" s="1017"/>
      <c r="B78" s="1017"/>
      <c r="C78" s="1017"/>
      <c r="D78" s="1017"/>
      <c r="E78" s="1017"/>
      <c r="F78" s="1017"/>
      <c r="G78" s="1017"/>
      <c r="H78" s="1017"/>
    </row>
    <row r="79" spans="1:8" ht="15">
      <c r="A79" s="1018" t="s">
        <v>515</v>
      </c>
      <c r="B79" s="1017"/>
      <c r="C79" s="1017"/>
      <c r="D79" s="1017"/>
      <c r="E79" s="1017"/>
      <c r="F79" s="1017"/>
      <c r="G79" s="1017"/>
      <c r="H79" s="1017"/>
    </row>
    <row r="80" spans="1:8" ht="15">
      <c r="A80" s="1017"/>
      <c r="B80" s="1017"/>
      <c r="C80" s="1017"/>
      <c r="D80" s="1017"/>
      <c r="E80" s="1017"/>
      <c r="F80" s="1017"/>
      <c r="G80" s="1017"/>
      <c r="H80" s="1017"/>
    </row>
    <row r="81" spans="1:8" ht="15">
      <c r="A81" s="1018" t="s">
        <v>754</v>
      </c>
      <c r="B81" s="1017"/>
      <c r="C81" s="1017"/>
      <c r="D81" s="1017"/>
      <c r="E81" s="1017"/>
      <c r="F81" s="1017"/>
      <c r="G81" s="1017"/>
      <c r="H81" s="1017"/>
    </row>
    <row r="82" spans="1:8" ht="15">
      <c r="A82" s="1018" t="s">
        <v>755</v>
      </c>
      <c r="B82" s="1017"/>
      <c r="C82" s="1017"/>
      <c r="D82" s="1017"/>
      <c r="E82" s="1017"/>
      <c r="F82" s="1017"/>
      <c r="G82" s="1017"/>
      <c r="H82" s="1017"/>
    </row>
    <row r="83" spans="1:8" ht="15">
      <c r="A83" s="1018" t="s">
        <v>756</v>
      </c>
      <c r="B83" s="1017"/>
      <c r="C83" s="1017"/>
      <c r="D83" s="1017"/>
      <c r="E83" s="1017"/>
      <c r="F83" s="1017"/>
      <c r="G83" s="1017"/>
      <c r="H83" s="1017"/>
    </row>
    <row r="84" spans="1:8" ht="15">
      <c r="A84" s="1018" t="s">
        <v>757</v>
      </c>
      <c r="B84" s="1017"/>
      <c r="C84" s="1017"/>
      <c r="D84" s="1017"/>
      <c r="E84" s="1017"/>
      <c r="F84" s="1017"/>
      <c r="G84" s="1017"/>
      <c r="H84" s="1017"/>
    </row>
    <row r="85" spans="1:8" ht="15">
      <c r="A85" s="1018" t="s">
        <v>758</v>
      </c>
      <c r="B85" s="1017"/>
      <c r="C85" s="1017"/>
      <c r="D85" s="1017"/>
      <c r="E85" s="1017"/>
      <c r="F85" s="1017"/>
      <c r="G85" s="1017"/>
      <c r="H85" s="1017"/>
    </row>
    <row r="86" spans="1:8" ht="15">
      <c r="A86" s="1018" t="s">
        <v>641</v>
      </c>
      <c r="B86" s="1017"/>
      <c r="C86" s="1017"/>
      <c r="D86" s="1017"/>
      <c r="E86" s="1017"/>
      <c r="F86" s="1017"/>
      <c r="G86" s="1017"/>
      <c r="H86" s="1017"/>
    </row>
    <row r="87" spans="1:8" ht="15">
      <c r="A87" s="1017"/>
      <c r="B87" s="1017"/>
      <c r="C87" s="1017"/>
      <c r="D87" s="1017"/>
      <c r="E87" s="1017"/>
      <c r="F87" s="1017"/>
      <c r="G87" s="1017"/>
      <c r="H87" s="1017"/>
    </row>
    <row r="88" spans="1:8" ht="15">
      <c r="A88" s="1018" t="s">
        <v>747</v>
      </c>
      <c r="B88" s="1017"/>
      <c r="C88" s="1017"/>
      <c r="D88" s="1017"/>
      <c r="E88" s="1017"/>
      <c r="F88" s="1017"/>
      <c r="G88" s="1017"/>
      <c r="H88" s="1017"/>
    </row>
    <row r="89" spans="1:8" ht="15">
      <c r="A89" s="1018" t="s">
        <v>748</v>
      </c>
      <c r="B89" s="1017"/>
      <c r="C89" s="1017"/>
      <c r="D89" s="1017"/>
      <c r="E89" s="1017"/>
      <c r="F89" s="1017"/>
      <c r="G89" s="1017"/>
      <c r="H89" s="1017"/>
    </row>
    <row r="90" spans="1:8" ht="15">
      <c r="A90" s="1018" t="s">
        <v>749</v>
      </c>
      <c r="B90" s="1017"/>
      <c r="C90" s="1017"/>
      <c r="D90" s="1017"/>
      <c r="E90" s="1017"/>
      <c r="F90" s="1017"/>
      <c r="G90" s="1017"/>
      <c r="H90" s="1017"/>
    </row>
    <row r="91" spans="1:8" ht="15">
      <c r="A91" s="1018" t="s">
        <v>750</v>
      </c>
      <c r="B91" s="1017"/>
      <c r="C91" s="1017"/>
      <c r="D91" s="1017"/>
      <c r="E91" s="1017"/>
      <c r="F91" s="1017"/>
      <c r="G91" s="1017"/>
      <c r="H91" s="1017"/>
    </row>
    <row r="92" spans="1:8" ht="15">
      <c r="A92" s="1018" t="s">
        <v>751</v>
      </c>
      <c r="B92" s="1017"/>
      <c r="C92" s="1017"/>
      <c r="D92" s="1017"/>
      <c r="E92" s="1017"/>
      <c r="F92" s="1017"/>
      <c r="G92" s="1017"/>
      <c r="H92" s="1017"/>
    </row>
    <row r="93" spans="1:8" ht="15">
      <c r="A93" s="1018" t="s">
        <v>752</v>
      </c>
      <c r="B93" s="1017"/>
      <c r="C93" s="1017"/>
      <c r="D93" s="1017"/>
      <c r="E93" s="1017"/>
      <c r="F93" s="1017"/>
      <c r="G93" s="1017"/>
      <c r="H93" s="1017"/>
    </row>
    <row r="94" spans="1:8" ht="15">
      <c r="A94" s="1018" t="s">
        <v>753</v>
      </c>
      <c r="B94" s="1017"/>
      <c r="C94" s="1017"/>
      <c r="D94" s="1017"/>
      <c r="E94" s="1017"/>
      <c r="F94" s="1017"/>
      <c r="G94" s="1017"/>
      <c r="H94" s="1017"/>
    </row>
    <row r="95" spans="1:8" ht="15">
      <c r="A95" s="1017"/>
      <c r="B95" s="1017"/>
      <c r="C95" s="1017"/>
      <c r="D95" s="1017"/>
      <c r="E95" s="1017"/>
      <c r="F95" s="1017"/>
      <c r="G95" s="1017"/>
      <c r="H95" s="1017"/>
    </row>
    <row r="96" spans="1:8" ht="15">
      <c r="A96" s="1018" t="s">
        <v>745</v>
      </c>
      <c r="B96" s="1017"/>
      <c r="C96" s="1017"/>
      <c r="D96" s="1017"/>
      <c r="E96" s="1017"/>
      <c r="F96" s="1017"/>
      <c r="G96" s="1017"/>
      <c r="H96" s="1017"/>
    </row>
    <row r="97" spans="1:8" ht="15">
      <c r="A97" s="1018" t="s">
        <v>746</v>
      </c>
      <c r="B97" s="1017"/>
      <c r="C97" s="1017"/>
      <c r="D97" s="1017"/>
      <c r="E97" s="1017"/>
      <c r="F97" s="1017"/>
      <c r="G97" s="1017"/>
      <c r="H97" s="1017"/>
    </row>
    <row r="98" spans="1:8" ht="15">
      <c r="A98" s="1017"/>
      <c r="B98" s="1017"/>
      <c r="C98" s="1017"/>
      <c r="D98" s="1017"/>
      <c r="E98" s="1017"/>
      <c r="F98" s="1017"/>
      <c r="G98" s="1017"/>
      <c r="H98" s="1017"/>
    </row>
    <row r="99" spans="1:8" ht="15.75">
      <c r="A99" s="1019" t="s">
        <v>516</v>
      </c>
      <c r="B99" s="1017"/>
      <c r="C99" s="1017"/>
      <c r="D99" s="1017"/>
      <c r="E99" s="1017"/>
      <c r="F99" s="1017"/>
      <c r="G99" s="1017"/>
      <c r="H99" s="1017"/>
    </row>
    <row r="100" spans="1:8" ht="15">
      <c r="A100" s="1017"/>
      <c r="B100" s="1017"/>
      <c r="C100" s="1017"/>
      <c r="D100" s="1017"/>
      <c r="E100" s="1017"/>
      <c r="F100" s="1017"/>
      <c r="G100" s="1017"/>
      <c r="H100" s="1017"/>
    </row>
    <row r="101" spans="1:8" ht="15">
      <c r="A101" s="1018" t="s">
        <v>736</v>
      </c>
      <c r="B101" s="1017"/>
      <c r="C101" s="1017"/>
      <c r="D101" s="1017"/>
      <c r="E101" s="1017"/>
      <c r="F101" s="1017"/>
      <c r="G101" s="1017"/>
      <c r="H101" s="1017"/>
    </row>
    <row r="102" spans="1:8" ht="15">
      <c r="A102" s="1018" t="s">
        <v>737</v>
      </c>
      <c r="B102" s="1017"/>
      <c r="C102" s="1017"/>
      <c r="D102" s="1017"/>
      <c r="E102" s="1017"/>
      <c r="F102" s="1017"/>
      <c r="G102" s="1017"/>
      <c r="H102" s="1017"/>
    </row>
    <row r="103" spans="1:8" ht="15">
      <c r="A103" s="1018" t="s">
        <v>738</v>
      </c>
      <c r="B103" s="1017"/>
      <c r="C103" s="1017"/>
      <c r="D103" s="1017"/>
      <c r="E103" s="1017"/>
      <c r="F103" s="1017"/>
      <c r="G103" s="1017"/>
      <c r="H103" s="1017"/>
    </row>
    <row r="104" spans="1:8" ht="15">
      <c r="A104" s="1018" t="s">
        <v>739</v>
      </c>
      <c r="B104" s="1017"/>
      <c r="C104" s="1017"/>
      <c r="D104" s="1017"/>
      <c r="E104" s="1017"/>
      <c r="F104" s="1017"/>
      <c r="G104" s="1017"/>
      <c r="H104" s="1017"/>
    </row>
    <row r="105" spans="1:8" ht="15">
      <c r="A105" s="1018" t="s">
        <v>740</v>
      </c>
      <c r="B105" s="1017"/>
      <c r="C105" s="1017"/>
      <c r="D105" s="1017"/>
      <c r="E105" s="1017"/>
      <c r="F105" s="1017"/>
      <c r="G105" s="1017"/>
      <c r="H105" s="1017"/>
    </row>
    <row r="106" spans="1:8" ht="15">
      <c r="A106" s="1018" t="s">
        <v>741</v>
      </c>
      <c r="B106" s="1017"/>
      <c r="C106" s="1017"/>
      <c r="D106" s="1017"/>
      <c r="E106" s="1017"/>
      <c r="F106" s="1017"/>
      <c r="G106" s="1017"/>
      <c r="H106" s="1017"/>
    </row>
    <row r="107" spans="1:8" ht="15">
      <c r="A107" s="1018" t="s">
        <v>742</v>
      </c>
      <c r="B107" s="1017"/>
      <c r="C107" s="1017"/>
      <c r="D107" s="1017"/>
      <c r="E107" s="1017"/>
      <c r="F107" s="1017"/>
      <c r="G107" s="1017"/>
      <c r="H107" s="1017"/>
    </row>
    <row r="108" spans="1:8" ht="15">
      <c r="A108" s="1018" t="s">
        <v>743</v>
      </c>
      <c r="B108" s="1017"/>
      <c r="C108" s="1017"/>
      <c r="D108" s="1017"/>
      <c r="E108" s="1017"/>
      <c r="F108" s="1017"/>
      <c r="G108" s="1017"/>
      <c r="H108" s="1017"/>
    </row>
    <row r="109" spans="1:8" ht="15">
      <c r="A109" s="1018" t="s">
        <v>744</v>
      </c>
      <c r="B109" s="1017"/>
      <c r="C109" s="1017"/>
      <c r="D109" s="1017"/>
      <c r="E109" s="1017"/>
      <c r="F109" s="1017"/>
      <c r="G109" s="1017"/>
      <c r="H109" s="1017"/>
    </row>
    <row r="110" spans="1:8" ht="15">
      <c r="A110" s="1017"/>
      <c r="B110" s="1017"/>
      <c r="C110" s="1017"/>
      <c r="D110" s="1017"/>
      <c r="E110" s="1017"/>
      <c r="F110" s="1017"/>
      <c r="G110" s="1017"/>
      <c r="H110" s="1017"/>
    </row>
    <row r="111" spans="1:8" ht="15.75">
      <c r="A111" s="1020" t="s">
        <v>517</v>
      </c>
      <c r="B111" s="1020"/>
      <c r="C111" s="1020"/>
      <c r="D111" s="1020"/>
      <c r="E111" s="1020"/>
      <c r="F111" s="1020"/>
      <c r="G111" s="1020"/>
      <c r="H111" s="1020"/>
    </row>
    <row r="112" spans="1:8">
      <c r="A112" s="1021" t="s">
        <v>518</v>
      </c>
      <c r="B112" s="1021"/>
      <c r="C112" s="1021"/>
      <c r="D112" s="1021"/>
      <c r="E112" s="1021"/>
      <c r="F112" s="1021"/>
      <c r="G112" s="1021"/>
      <c r="H112" s="1021"/>
    </row>
    <row r="113" spans="1:8" ht="15">
      <c r="A113" s="1022"/>
      <c r="B113" s="1022"/>
      <c r="C113" s="1022"/>
      <c r="D113" s="1022"/>
      <c r="E113" s="1022"/>
      <c r="F113" s="1022"/>
      <c r="G113" s="1022"/>
      <c r="H113" s="1022"/>
    </row>
    <row r="114" spans="1:8">
      <c r="A114" s="1021" t="s">
        <v>734</v>
      </c>
      <c r="B114" s="1021"/>
      <c r="C114" s="1021"/>
      <c r="D114" s="1021"/>
      <c r="E114" s="1021"/>
      <c r="F114" s="1021"/>
      <c r="G114" s="1021"/>
      <c r="H114" s="1021"/>
    </row>
    <row r="115" spans="1:8">
      <c r="A115" s="1018" t="s">
        <v>735</v>
      </c>
      <c r="B115" s="1018"/>
      <c r="C115" s="1018"/>
      <c r="D115" s="1018"/>
      <c r="E115" s="1018"/>
      <c r="F115" s="1018"/>
      <c r="G115" s="1018"/>
      <c r="H115" s="1018"/>
    </row>
    <row r="116" spans="1:8" ht="15">
      <c r="A116" s="1022"/>
      <c r="B116" s="1022"/>
      <c r="C116" s="1022"/>
      <c r="D116" s="1022"/>
      <c r="E116" s="1022"/>
      <c r="F116" s="1022"/>
      <c r="G116" s="1022"/>
      <c r="H116" s="1022"/>
    </row>
    <row r="117" spans="1:8">
      <c r="A117" s="1021" t="s">
        <v>727</v>
      </c>
      <c r="B117" s="1021"/>
      <c r="C117" s="1021"/>
      <c r="D117" s="1021"/>
      <c r="E117" s="1021"/>
      <c r="F117" s="1021"/>
      <c r="G117" s="1021"/>
      <c r="H117" s="1021"/>
    </row>
    <row r="118" spans="1:8">
      <c r="A118" s="1018" t="s">
        <v>728</v>
      </c>
      <c r="B118" s="1018"/>
      <c r="C118" s="1018"/>
      <c r="D118" s="1018"/>
      <c r="E118" s="1018"/>
      <c r="F118" s="1018"/>
      <c r="G118" s="1018"/>
      <c r="H118" s="1018"/>
    </row>
    <row r="119" spans="1:8">
      <c r="A119" s="1018" t="s">
        <v>729</v>
      </c>
      <c r="B119" s="1018"/>
      <c r="C119" s="1018"/>
      <c r="D119" s="1018"/>
      <c r="E119" s="1018"/>
      <c r="F119" s="1018"/>
      <c r="G119" s="1018"/>
      <c r="H119" s="1018"/>
    </row>
    <row r="120" spans="1:8">
      <c r="A120" s="1018" t="s">
        <v>730</v>
      </c>
      <c r="B120" s="1018"/>
      <c r="C120" s="1018"/>
      <c r="D120" s="1018"/>
      <c r="E120" s="1018"/>
      <c r="F120" s="1018"/>
      <c r="G120" s="1018"/>
      <c r="H120" s="1018"/>
    </row>
    <row r="121" spans="1:8">
      <c r="A121" s="1018" t="s">
        <v>731</v>
      </c>
      <c r="B121" s="1018"/>
      <c r="C121" s="1018"/>
      <c r="D121" s="1018"/>
      <c r="E121" s="1018"/>
      <c r="F121" s="1018"/>
      <c r="G121" s="1018"/>
      <c r="H121" s="1018"/>
    </row>
    <row r="122" spans="1:8">
      <c r="A122" s="1018" t="s">
        <v>732</v>
      </c>
      <c r="B122" s="1018"/>
      <c r="C122" s="1018"/>
      <c r="D122" s="1018"/>
      <c r="E122" s="1018"/>
      <c r="F122" s="1018"/>
      <c r="G122" s="1018"/>
      <c r="H122" s="1018"/>
    </row>
    <row r="123" spans="1:8">
      <c r="A123" s="1018" t="s">
        <v>733</v>
      </c>
      <c r="B123" s="1018"/>
      <c r="C123" s="1018"/>
      <c r="D123" s="1018"/>
      <c r="E123" s="1018"/>
      <c r="F123" s="1018"/>
      <c r="G123" s="1018"/>
      <c r="H123" s="1018"/>
    </row>
    <row r="124" spans="1:8" ht="15">
      <c r="A124" s="1023"/>
      <c r="B124" s="1023"/>
      <c r="C124" s="1023"/>
      <c r="D124" s="1023"/>
      <c r="E124" s="1023"/>
      <c r="F124" s="1023"/>
      <c r="G124" s="1023"/>
      <c r="H124" s="1023"/>
    </row>
    <row r="125" spans="1:8">
      <c r="A125" s="1024"/>
      <c r="B125" s="1025" t="s">
        <v>519</v>
      </c>
      <c r="C125" s="1026"/>
      <c r="D125" s="1025" t="s">
        <v>520</v>
      </c>
      <c r="E125" s="1027"/>
      <c r="F125" s="1026"/>
      <c r="G125" s="1025" t="s">
        <v>521</v>
      </c>
      <c r="H125" s="1026"/>
    </row>
    <row r="126" spans="1:8">
      <c r="A126" s="1024" t="s">
        <v>522</v>
      </c>
      <c r="B126" s="1024" t="s">
        <v>350</v>
      </c>
      <c r="C126" s="1024" t="s">
        <v>523</v>
      </c>
      <c r="D126" s="1024" t="s">
        <v>350</v>
      </c>
      <c r="E126" s="1024" t="s">
        <v>524</v>
      </c>
      <c r="F126" s="1024" t="s">
        <v>525</v>
      </c>
      <c r="G126" s="1024" t="s">
        <v>350</v>
      </c>
      <c r="H126" s="1024" t="s">
        <v>526</v>
      </c>
    </row>
    <row r="127" spans="1:8">
      <c r="A127" s="1024" t="s">
        <v>527</v>
      </c>
      <c r="B127" s="1024">
        <v>1189</v>
      </c>
      <c r="C127" s="1028">
        <v>0.38</v>
      </c>
      <c r="D127" s="1024">
        <v>315</v>
      </c>
      <c r="E127" s="1028">
        <v>0.41</v>
      </c>
      <c r="F127" s="1028">
        <v>0.26</v>
      </c>
      <c r="G127" s="1024">
        <v>555</v>
      </c>
      <c r="H127" s="1028">
        <v>0.39</v>
      </c>
    </row>
    <row r="128" spans="1:8">
      <c r="A128" s="1024" t="s">
        <v>528</v>
      </c>
      <c r="B128" s="1024">
        <v>1355</v>
      </c>
      <c r="C128" s="1028">
        <v>0.43</v>
      </c>
      <c r="D128" s="1024">
        <v>364</v>
      </c>
      <c r="E128" s="1028">
        <v>0.47</v>
      </c>
      <c r="F128" s="1028">
        <v>0.27</v>
      </c>
      <c r="G128" s="1024">
        <v>644</v>
      </c>
      <c r="H128" s="1028">
        <v>0.45</v>
      </c>
    </row>
    <row r="129" spans="1:8">
      <c r="A129" s="1024" t="s">
        <v>529</v>
      </c>
      <c r="B129" s="1024">
        <v>53</v>
      </c>
      <c r="C129" s="1028">
        <v>0.02</v>
      </c>
      <c r="D129" s="1024">
        <v>4</v>
      </c>
      <c r="E129" s="1028">
        <v>0.01</v>
      </c>
      <c r="F129" s="1028">
        <v>0.08</v>
      </c>
      <c r="G129" s="1024">
        <v>7</v>
      </c>
      <c r="H129" s="1028">
        <v>0</v>
      </c>
    </row>
    <row r="130" spans="1:8">
      <c r="A130" s="1024" t="s">
        <v>530</v>
      </c>
      <c r="B130" s="1024">
        <v>545</v>
      </c>
      <c r="C130" s="1028">
        <v>0.17</v>
      </c>
      <c r="D130" s="1024">
        <v>84</v>
      </c>
      <c r="E130" s="1028">
        <v>0.11</v>
      </c>
      <c r="F130" s="1028">
        <v>0.15</v>
      </c>
      <c r="G130" s="1024">
        <v>214</v>
      </c>
      <c r="H130" s="1028">
        <v>0.15</v>
      </c>
    </row>
    <row r="131" spans="1:8">
      <c r="A131" s="1024" t="s">
        <v>396</v>
      </c>
      <c r="B131" s="1029">
        <v>3142</v>
      </c>
      <c r="C131" s="1024"/>
      <c r="D131" s="1024">
        <v>767</v>
      </c>
      <c r="E131" s="1024"/>
      <c r="F131" s="1024"/>
      <c r="G131" s="1024">
        <v>1420</v>
      </c>
      <c r="H131" s="1024"/>
    </row>
    <row r="132" spans="1:8" ht="15">
      <c r="A132" s="1030"/>
      <c r="B132" s="1030"/>
      <c r="C132" s="1030"/>
      <c r="D132" s="1030"/>
      <c r="E132" s="1030"/>
      <c r="F132" s="1030"/>
      <c r="G132" s="1030"/>
      <c r="H132" s="1030"/>
    </row>
    <row r="133" spans="1:8">
      <c r="A133" s="1021" t="s">
        <v>723</v>
      </c>
      <c r="B133" s="1021"/>
      <c r="C133" s="1021"/>
      <c r="D133" s="1021"/>
      <c r="E133" s="1021"/>
      <c r="F133" s="1021"/>
      <c r="G133" s="1021"/>
      <c r="H133" s="1021"/>
    </row>
    <row r="134" spans="1:8">
      <c r="A134" s="1018" t="s">
        <v>724</v>
      </c>
      <c r="B134" s="1018"/>
      <c r="C134" s="1018"/>
      <c r="D134" s="1018"/>
      <c r="E134" s="1018"/>
      <c r="F134" s="1018"/>
      <c r="G134" s="1018"/>
      <c r="H134" s="1018"/>
    </row>
    <row r="135" spans="1:8">
      <c r="A135" s="1018" t="s">
        <v>725</v>
      </c>
      <c r="B135" s="1018"/>
      <c r="C135" s="1018"/>
      <c r="D135" s="1018"/>
      <c r="E135" s="1018"/>
      <c r="F135" s="1018"/>
      <c r="G135" s="1018"/>
      <c r="H135" s="1018"/>
    </row>
    <row r="136" spans="1:8">
      <c r="A136" s="1018" t="s">
        <v>726</v>
      </c>
      <c r="B136" s="1018"/>
      <c r="C136" s="1018"/>
      <c r="D136" s="1018"/>
      <c r="E136" s="1018"/>
      <c r="F136" s="1018"/>
      <c r="G136" s="1018"/>
      <c r="H136" s="1018"/>
    </row>
    <row r="137" spans="1:8" ht="15">
      <c r="A137" s="1017"/>
      <c r="B137" s="1017"/>
      <c r="C137" s="1017"/>
      <c r="D137" s="1017"/>
      <c r="E137" s="1017"/>
      <c r="F137" s="1017"/>
      <c r="G137" s="1017"/>
      <c r="H137" s="1017"/>
    </row>
    <row r="138" spans="1:8" ht="15.75">
      <c r="A138" s="1019" t="s">
        <v>531</v>
      </c>
      <c r="B138" s="1017"/>
      <c r="C138" s="1017"/>
      <c r="D138" s="1017"/>
      <c r="E138" s="1017"/>
      <c r="F138" s="1017"/>
      <c r="G138" s="1017"/>
      <c r="H138" s="1017"/>
    </row>
    <row r="139" spans="1:8" ht="15">
      <c r="A139" s="1017"/>
      <c r="B139" s="1017"/>
      <c r="C139" s="1017"/>
      <c r="D139" s="1017"/>
      <c r="E139" s="1017"/>
      <c r="F139" s="1017"/>
      <c r="G139" s="1017"/>
      <c r="H139" s="1017"/>
    </row>
    <row r="140" spans="1:8" ht="15">
      <c r="A140" s="1018" t="s">
        <v>721</v>
      </c>
      <c r="B140" s="1017"/>
      <c r="C140" s="1017"/>
      <c r="D140" s="1017"/>
      <c r="E140" s="1017"/>
      <c r="F140" s="1017"/>
      <c r="G140" s="1017"/>
      <c r="H140" s="1017"/>
    </row>
    <row r="141" spans="1:8" ht="15">
      <c r="A141" s="1018" t="s">
        <v>722</v>
      </c>
      <c r="B141" s="1017"/>
      <c r="C141" s="1017"/>
      <c r="D141" s="1017"/>
      <c r="E141" s="1017"/>
      <c r="F141" s="1017"/>
      <c r="G141" s="1017"/>
      <c r="H141" s="1017"/>
    </row>
    <row r="142" spans="1:8" ht="15">
      <c r="A142" s="1017"/>
      <c r="B142" s="1017"/>
      <c r="C142" s="1017"/>
      <c r="D142" s="1017"/>
      <c r="E142" s="1017"/>
      <c r="F142" s="1017"/>
      <c r="G142" s="1017"/>
      <c r="H142" s="1017"/>
    </row>
    <row r="143" spans="1:8" ht="15">
      <c r="A143" s="1018" t="s">
        <v>718</v>
      </c>
      <c r="B143" s="1017"/>
      <c r="C143" s="1017"/>
      <c r="D143" s="1017"/>
      <c r="E143" s="1017"/>
      <c r="F143" s="1017"/>
      <c r="G143" s="1017"/>
      <c r="H143" s="1017"/>
    </row>
    <row r="144" spans="1:8" ht="15">
      <c r="A144" s="1018" t="s">
        <v>719</v>
      </c>
      <c r="B144" s="1017"/>
      <c r="C144" s="1017"/>
      <c r="D144" s="1017"/>
      <c r="E144" s="1017"/>
      <c r="F144" s="1017"/>
      <c r="G144" s="1017"/>
      <c r="H144" s="1017"/>
    </row>
    <row r="145" spans="1:8" ht="15">
      <c r="A145" s="1018" t="s">
        <v>720</v>
      </c>
      <c r="B145" s="1017"/>
      <c r="C145" s="1017"/>
      <c r="D145" s="1017"/>
      <c r="E145" s="1017"/>
      <c r="F145" s="1017"/>
      <c r="G145" s="1017"/>
      <c r="H145" s="1017"/>
    </row>
    <row r="146" spans="1:8" ht="15">
      <c r="A146" s="1017"/>
      <c r="B146" s="1017"/>
      <c r="C146" s="1017"/>
      <c r="D146" s="1017"/>
      <c r="E146" s="1017"/>
      <c r="F146" s="1017"/>
      <c r="G146" s="1017"/>
      <c r="H146" s="1017"/>
    </row>
    <row r="147" spans="1:8" ht="15">
      <c r="A147" s="1018" t="s">
        <v>715</v>
      </c>
      <c r="B147" s="1017"/>
      <c r="C147" s="1017"/>
      <c r="D147" s="1017"/>
      <c r="E147" s="1017"/>
      <c r="F147" s="1017"/>
      <c r="G147" s="1017"/>
      <c r="H147" s="1017"/>
    </row>
    <row r="148" spans="1:8" ht="15">
      <c r="A148" s="1018" t="s">
        <v>716</v>
      </c>
      <c r="B148" s="1017"/>
      <c r="C148" s="1017"/>
      <c r="D148" s="1017"/>
      <c r="E148" s="1017"/>
      <c r="F148" s="1017"/>
      <c r="G148" s="1017"/>
      <c r="H148" s="1017"/>
    </row>
    <row r="149" spans="1:8" ht="15">
      <c r="A149" s="1018" t="s">
        <v>717</v>
      </c>
      <c r="B149" s="1017"/>
      <c r="C149" s="1017"/>
      <c r="D149" s="1017"/>
      <c r="E149" s="1017"/>
      <c r="F149" s="1017"/>
      <c r="G149" s="1017"/>
      <c r="H149" s="1017"/>
    </row>
    <row r="150" spans="1:8" ht="15">
      <c r="A150" s="1017"/>
      <c r="B150" s="1017"/>
      <c r="C150" s="1017"/>
      <c r="D150" s="1017"/>
      <c r="E150" s="1017"/>
      <c r="F150" s="1017"/>
      <c r="G150" s="1017"/>
      <c r="H150" s="1017"/>
    </row>
    <row r="151" spans="1:8" ht="15">
      <c r="A151" s="1018" t="s">
        <v>712</v>
      </c>
      <c r="B151" s="1017"/>
      <c r="C151" s="1017"/>
      <c r="D151" s="1017"/>
      <c r="E151" s="1017"/>
      <c r="F151" s="1017"/>
      <c r="G151" s="1017"/>
      <c r="H151" s="1017"/>
    </row>
    <row r="152" spans="1:8" ht="15">
      <c r="A152" s="1018" t="s">
        <v>713</v>
      </c>
      <c r="B152" s="1017"/>
      <c r="C152" s="1017"/>
      <c r="D152" s="1017"/>
      <c r="E152" s="1017"/>
      <c r="F152" s="1017"/>
      <c r="G152" s="1017"/>
      <c r="H152" s="1017"/>
    </row>
    <row r="153" spans="1:8" ht="15">
      <c r="A153" s="1018" t="s">
        <v>714</v>
      </c>
      <c r="B153" s="1017"/>
      <c r="C153" s="1017"/>
      <c r="D153" s="1017"/>
      <c r="E153" s="1017"/>
      <c r="F153" s="1017"/>
      <c r="G153" s="1017"/>
      <c r="H153" s="1017"/>
    </row>
    <row r="154" spans="1:8" ht="15">
      <c r="A154" s="1017"/>
      <c r="B154" s="1017"/>
      <c r="C154" s="1017"/>
      <c r="D154" s="1017"/>
      <c r="E154" s="1017"/>
      <c r="F154" s="1017"/>
      <c r="G154" s="1017"/>
      <c r="H154" s="1017"/>
    </row>
    <row r="155" spans="1:8" ht="15">
      <c r="A155" s="1018" t="s">
        <v>710</v>
      </c>
      <c r="B155" s="1017"/>
      <c r="C155" s="1017"/>
      <c r="D155" s="1017"/>
      <c r="E155" s="1017"/>
      <c r="F155" s="1017"/>
      <c r="G155" s="1017"/>
      <c r="H155" s="1017"/>
    </row>
    <row r="156" spans="1:8" ht="15">
      <c r="A156" s="1018" t="s">
        <v>711</v>
      </c>
      <c r="B156" s="1017"/>
      <c r="C156" s="1017"/>
      <c r="D156" s="1017"/>
      <c r="E156" s="1017"/>
      <c r="F156" s="1017"/>
      <c r="G156" s="1017"/>
      <c r="H156" s="1017"/>
    </row>
    <row r="157" spans="1:8" ht="15">
      <c r="A157" s="1017"/>
      <c r="B157" s="1017"/>
      <c r="C157" s="1017"/>
      <c r="D157" s="1017"/>
      <c r="E157" s="1017"/>
      <c r="F157" s="1017"/>
      <c r="G157" s="1017"/>
      <c r="H157" s="1017"/>
    </row>
    <row r="158" spans="1:8" ht="15.75">
      <c r="A158" s="1019" t="s">
        <v>532</v>
      </c>
      <c r="B158" s="1017"/>
      <c r="C158" s="1017"/>
      <c r="D158" s="1017"/>
      <c r="E158" s="1017"/>
      <c r="F158" s="1017"/>
      <c r="G158" s="1017"/>
      <c r="H158" s="1017"/>
    </row>
    <row r="159" spans="1:8" ht="15">
      <c r="A159" s="1017"/>
      <c r="B159" s="1017"/>
      <c r="C159" s="1017"/>
      <c r="D159" s="1017"/>
      <c r="E159" s="1017"/>
      <c r="F159" s="1017"/>
      <c r="G159" s="1017"/>
      <c r="H159" s="1017"/>
    </row>
    <row r="160" spans="1:8" ht="15">
      <c r="A160" s="1018" t="s">
        <v>708</v>
      </c>
      <c r="B160" s="1017"/>
      <c r="C160" s="1017"/>
      <c r="D160" s="1017"/>
      <c r="E160" s="1017"/>
      <c r="F160" s="1017"/>
      <c r="G160" s="1017"/>
      <c r="H160" s="1017"/>
    </row>
    <row r="161" spans="1:8" ht="15">
      <c r="A161" s="1018" t="s">
        <v>709</v>
      </c>
      <c r="B161" s="1017"/>
      <c r="C161" s="1017"/>
      <c r="D161" s="1017"/>
      <c r="E161" s="1017"/>
      <c r="F161" s="1017"/>
      <c r="G161" s="1017"/>
      <c r="H161" s="1017"/>
    </row>
    <row r="162" spans="1:8" ht="15">
      <c r="A162" s="1017"/>
      <c r="B162" s="1017"/>
      <c r="C162" s="1017"/>
      <c r="D162" s="1017"/>
      <c r="E162" s="1017"/>
      <c r="F162" s="1017"/>
      <c r="G162" s="1017"/>
      <c r="H162" s="1017"/>
    </row>
    <row r="163" spans="1:8" ht="15">
      <c r="A163" s="1018" t="s">
        <v>706</v>
      </c>
      <c r="B163" s="1017"/>
      <c r="C163" s="1017"/>
      <c r="D163" s="1017"/>
      <c r="E163" s="1017"/>
      <c r="F163" s="1017"/>
      <c r="G163" s="1017"/>
      <c r="H163" s="1017"/>
    </row>
    <row r="164" spans="1:8" ht="15">
      <c r="A164" s="1018" t="s">
        <v>707</v>
      </c>
      <c r="B164" s="1017"/>
      <c r="C164" s="1017"/>
      <c r="D164" s="1017"/>
      <c r="E164" s="1017"/>
      <c r="F164" s="1017"/>
      <c r="G164" s="1017"/>
      <c r="H164" s="1017"/>
    </row>
    <row r="165" spans="1:8" ht="15">
      <c r="A165" s="1017"/>
      <c r="B165" s="1017"/>
      <c r="C165" s="1017"/>
      <c r="D165" s="1017"/>
      <c r="E165" s="1017"/>
      <c r="F165" s="1017"/>
      <c r="G165" s="1017"/>
      <c r="H165" s="1017"/>
    </row>
    <row r="166" spans="1:8" ht="15">
      <c r="A166" s="1018" t="s">
        <v>704</v>
      </c>
      <c r="B166" s="1017"/>
      <c r="C166" s="1017"/>
      <c r="D166" s="1017"/>
      <c r="E166" s="1017"/>
      <c r="F166" s="1017"/>
      <c r="G166" s="1017"/>
      <c r="H166" s="1017"/>
    </row>
    <row r="167" spans="1:8" ht="15">
      <c r="A167" s="1018" t="s">
        <v>705</v>
      </c>
      <c r="B167" s="1017"/>
      <c r="C167" s="1017"/>
      <c r="D167" s="1017"/>
      <c r="E167" s="1017"/>
      <c r="F167" s="1017"/>
      <c r="G167" s="1017"/>
      <c r="H167" s="1017"/>
    </row>
    <row r="168" spans="1:8" ht="15">
      <c r="A168" s="1017"/>
      <c r="B168" s="1017"/>
      <c r="C168" s="1017"/>
      <c r="D168" s="1017"/>
      <c r="E168" s="1017"/>
      <c r="F168" s="1017"/>
      <c r="G168" s="1017"/>
      <c r="H168" s="1017"/>
    </row>
    <row r="169" spans="1:8" ht="15">
      <c r="A169" s="1018" t="s">
        <v>701</v>
      </c>
      <c r="B169" s="1017"/>
      <c r="C169" s="1017"/>
      <c r="D169" s="1017"/>
      <c r="E169" s="1017"/>
      <c r="F169" s="1017"/>
      <c r="G169" s="1017"/>
      <c r="H169" s="1017"/>
    </row>
    <row r="170" spans="1:8" ht="15">
      <c r="A170" s="1018" t="s">
        <v>702</v>
      </c>
      <c r="B170" s="1017"/>
      <c r="C170" s="1017"/>
      <c r="D170" s="1017"/>
      <c r="E170" s="1017"/>
      <c r="F170" s="1017"/>
      <c r="G170" s="1017"/>
      <c r="H170" s="1017"/>
    </row>
    <row r="171" spans="1:8" ht="15">
      <c r="A171" s="1018" t="s">
        <v>703</v>
      </c>
      <c r="B171" s="1017"/>
      <c r="C171" s="1017"/>
      <c r="D171" s="1017"/>
      <c r="E171" s="1017"/>
      <c r="F171" s="1017"/>
      <c r="G171" s="1017"/>
      <c r="H171" s="1017"/>
    </row>
    <row r="172" spans="1:8" ht="15">
      <c r="A172" s="1017"/>
      <c r="B172" s="1017"/>
      <c r="C172" s="1017"/>
      <c r="D172" s="1017"/>
      <c r="E172" s="1017"/>
      <c r="F172" s="1017"/>
      <c r="G172" s="1017"/>
      <c r="H172" s="1017"/>
    </row>
    <row r="173" spans="1:8" ht="15">
      <c r="A173" s="1017"/>
      <c r="B173" s="1017"/>
      <c r="C173" s="1017"/>
      <c r="D173" s="1017"/>
      <c r="E173" s="1017"/>
      <c r="F173" s="1017"/>
      <c r="G173" s="1017"/>
      <c r="H173" s="1017"/>
    </row>
    <row r="174" spans="1:8" ht="15">
      <c r="A174" s="1018" t="s">
        <v>533</v>
      </c>
      <c r="B174" s="1017"/>
      <c r="C174" s="1017"/>
      <c r="D174" s="1017"/>
      <c r="E174" s="1017"/>
      <c r="F174" s="1017"/>
      <c r="G174" s="1017"/>
      <c r="H174" s="1017"/>
    </row>
    <row r="175" spans="1:8" ht="15">
      <c r="A175" s="1017"/>
      <c r="B175" s="1017"/>
      <c r="C175" s="1017"/>
      <c r="D175" s="1017"/>
      <c r="E175" s="1017"/>
      <c r="F175" s="1017"/>
      <c r="G175" s="1017"/>
      <c r="H175" s="1017"/>
    </row>
    <row r="176" spans="1:8" ht="15.75">
      <c r="A176" s="1019" t="s">
        <v>534</v>
      </c>
      <c r="B176" s="1017"/>
      <c r="C176" s="1017"/>
      <c r="D176" s="1017"/>
      <c r="E176" s="1017"/>
      <c r="F176" s="1017"/>
      <c r="G176" s="1017"/>
      <c r="H176" s="1017"/>
    </row>
    <row r="177" spans="1:8" ht="15">
      <c r="A177" s="1017"/>
      <c r="B177" s="1017"/>
      <c r="C177" s="1017"/>
      <c r="D177" s="1017"/>
      <c r="E177" s="1017"/>
      <c r="F177" s="1017"/>
      <c r="G177" s="1017"/>
      <c r="H177" s="1017"/>
    </row>
    <row r="178" spans="1:8" ht="15">
      <c r="A178" s="1017"/>
      <c r="B178" s="1017"/>
      <c r="C178" s="1017"/>
      <c r="D178" s="1017"/>
      <c r="E178" s="1017"/>
      <c r="F178" s="1017"/>
      <c r="G178" s="1017"/>
      <c r="H178" s="1017"/>
    </row>
    <row r="179" spans="1:8" ht="15">
      <c r="A179" s="1017"/>
      <c r="B179" s="1017"/>
      <c r="C179" s="1017"/>
      <c r="D179" s="1017"/>
      <c r="E179" s="1017"/>
      <c r="F179" s="1017"/>
      <c r="G179" s="1017"/>
      <c r="H179" s="1017"/>
    </row>
    <row r="180" spans="1:8" ht="15">
      <c r="A180" s="1017"/>
      <c r="B180" s="1017"/>
      <c r="C180" s="1017"/>
      <c r="D180" s="1017"/>
      <c r="E180" s="1017"/>
      <c r="F180" s="1017"/>
      <c r="G180" s="1017"/>
      <c r="H180" s="1017"/>
    </row>
    <row r="181" spans="1:8" ht="15">
      <c r="A181" s="1017"/>
      <c r="B181" s="1017"/>
      <c r="C181" s="1017"/>
      <c r="D181" s="1017"/>
      <c r="E181" s="1017"/>
      <c r="F181" s="1017"/>
      <c r="G181" s="1017"/>
      <c r="H181" s="1017"/>
    </row>
    <row r="182" spans="1:8" ht="15">
      <c r="A182" s="1017"/>
      <c r="B182" s="1017"/>
      <c r="C182" s="1017"/>
      <c r="D182" s="1017"/>
      <c r="E182" s="1017"/>
      <c r="F182" s="1017"/>
      <c r="G182" s="1017"/>
      <c r="H182" s="1017"/>
    </row>
    <row r="183" spans="1:8" ht="15">
      <c r="A183" s="1017"/>
      <c r="B183" s="1017"/>
      <c r="C183" s="1017"/>
      <c r="D183" s="1017"/>
      <c r="E183" s="1017"/>
      <c r="F183" s="1017"/>
      <c r="G183" s="1017"/>
      <c r="H183" s="1017"/>
    </row>
    <row r="184" spans="1:8" ht="15">
      <c r="A184" s="1017"/>
      <c r="B184" s="1017"/>
      <c r="C184" s="1017"/>
      <c r="D184" s="1017"/>
      <c r="E184" s="1017"/>
      <c r="F184" s="1017"/>
      <c r="G184" s="1017"/>
      <c r="H184" s="1017"/>
    </row>
    <row r="185" spans="1:8" ht="15">
      <c r="A185" s="1017"/>
      <c r="B185" s="1017"/>
      <c r="C185" s="1017"/>
      <c r="D185" s="1017"/>
      <c r="E185" s="1017"/>
      <c r="F185" s="1017"/>
      <c r="G185" s="1017"/>
      <c r="H185" s="1017"/>
    </row>
    <row r="186" spans="1:8" ht="15">
      <c r="A186" s="1017"/>
      <c r="B186" s="1017"/>
      <c r="C186" s="1017"/>
      <c r="D186" s="1017"/>
      <c r="E186" s="1017"/>
      <c r="F186" s="1017"/>
      <c r="G186" s="1017"/>
      <c r="H186" s="1017"/>
    </row>
    <row r="187" spans="1:8" ht="15">
      <c r="A187" s="1017"/>
      <c r="B187" s="1017"/>
      <c r="C187" s="1017"/>
      <c r="D187" s="1017"/>
      <c r="E187" s="1017"/>
      <c r="F187" s="1017"/>
      <c r="G187" s="1017"/>
      <c r="H187" s="1017"/>
    </row>
    <row r="188" spans="1:8" ht="15">
      <c r="A188" s="1017"/>
      <c r="B188" s="1017"/>
      <c r="C188" s="1017"/>
      <c r="D188" s="1017"/>
      <c r="E188" s="1017"/>
      <c r="F188" s="1017"/>
      <c r="G188" s="1017"/>
      <c r="H188" s="1017"/>
    </row>
    <row r="189" spans="1:8" ht="15">
      <c r="A189" s="1017"/>
      <c r="B189" s="1017"/>
      <c r="C189" s="1017"/>
      <c r="D189" s="1017"/>
      <c r="E189" s="1017"/>
      <c r="F189" s="1017"/>
      <c r="G189" s="1017"/>
      <c r="H189" s="1017"/>
    </row>
    <row r="190" spans="1:8" ht="15">
      <c r="A190" s="1017"/>
      <c r="B190" s="1017"/>
      <c r="C190" s="1017"/>
      <c r="D190" s="1017"/>
      <c r="E190" s="1017"/>
      <c r="F190" s="1017"/>
      <c r="G190" s="1017"/>
      <c r="H190" s="1017"/>
    </row>
    <row r="191" spans="1:8" ht="15">
      <c r="A191" s="1017"/>
      <c r="B191" s="1017"/>
      <c r="C191" s="1017"/>
      <c r="D191" s="1017"/>
      <c r="E191" s="1017"/>
      <c r="F191" s="1017"/>
      <c r="G191" s="1017"/>
      <c r="H191" s="1017"/>
    </row>
    <row r="192" spans="1:8" ht="15">
      <c r="A192" s="1017"/>
      <c r="B192" s="1017"/>
      <c r="C192" s="1017"/>
      <c r="D192" s="1017"/>
      <c r="E192" s="1017"/>
      <c r="F192" s="1017"/>
      <c r="G192" s="1017"/>
      <c r="H192" s="1017"/>
    </row>
    <row r="193" spans="1:8" ht="15">
      <c r="A193" s="1017"/>
      <c r="B193" s="1017"/>
      <c r="C193" s="1017"/>
      <c r="D193" s="1017"/>
      <c r="E193" s="1017"/>
      <c r="F193" s="1017"/>
      <c r="G193" s="1017"/>
      <c r="H193" s="1017"/>
    </row>
    <row r="194" spans="1:8" ht="15">
      <c r="A194" s="1017"/>
      <c r="B194" s="1017"/>
      <c r="C194" s="1017"/>
      <c r="D194" s="1017"/>
      <c r="E194" s="1017"/>
      <c r="F194" s="1017"/>
      <c r="G194" s="1017"/>
      <c r="H194" s="1017"/>
    </row>
    <row r="195" spans="1:8" ht="15">
      <c r="A195" s="1017"/>
      <c r="B195" s="1017"/>
      <c r="C195" s="1017"/>
      <c r="D195" s="1017"/>
      <c r="E195" s="1017"/>
      <c r="F195" s="1017"/>
      <c r="G195" s="1017"/>
      <c r="H195" s="1017"/>
    </row>
    <row r="196" spans="1:8" ht="15">
      <c r="A196" s="1017"/>
      <c r="B196" s="1017"/>
      <c r="C196" s="1017"/>
      <c r="D196" s="1017"/>
      <c r="E196" s="1017"/>
      <c r="F196" s="1017"/>
      <c r="G196" s="1017"/>
      <c r="H196" s="1017"/>
    </row>
    <row r="197" spans="1:8" ht="15">
      <c r="A197" s="1017"/>
      <c r="B197" s="1017"/>
      <c r="C197" s="1017"/>
      <c r="D197" s="1017"/>
      <c r="E197" s="1017"/>
      <c r="F197" s="1017"/>
      <c r="G197" s="1017"/>
      <c r="H197" s="1017"/>
    </row>
    <row r="198" spans="1:8" ht="15">
      <c r="A198" s="1017"/>
      <c r="B198" s="1017"/>
      <c r="C198" s="1017"/>
      <c r="D198" s="1017"/>
      <c r="E198" s="1017"/>
      <c r="F198" s="1017"/>
      <c r="G198" s="1017"/>
      <c r="H198" s="1017"/>
    </row>
    <row r="199" spans="1:8" ht="15">
      <c r="A199" s="1017"/>
      <c r="B199" s="1017"/>
      <c r="C199" s="1017"/>
      <c r="D199" s="1017"/>
      <c r="E199" s="1017"/>
      <c r="F199" s="1017"/>
      <c r="G199" s="1017"/>
      <c r="H199" s="1017"/>
    </row>
    <row r="200" spans="1:8" ht="15">
      <c r="A200" s="1017"/>
      <c r="B200" s="1017"/>
      <c r="C200" s="1017"/>
      <c r="D200" s="1017"/>
      <c r="E200" s="1017"/>
      <c r="F200" s="1017"/>
      <c r="G200" s="1017"/>
      <c r="H200" s="1017"/>
    </row>
    <row r="201" spans="1:8" ht="15">
      <c r="A201" s="1017"/>
      <c r="B201" s="1017"/>
      <c r="C201" s="1017"/>
      <c r="D201" s="1017"/>
      <c r="E201" s="1017"/>
      <c r="F201" s="1017"/>
      <c r="G201" s="1017"/>
      <c r="H201" s="1017"/>
    </row>
    <row r="202" spans="1:8" ht="15">
      <c r="A202" s="1017"/>
      <c r="B202" s="1017"/>
      <c r="C202" s="1017"/>
      <c r="D202" s="1017"/>
      <c r="E202" s="1017"/>
      <c r="F202" s="1017"/>
      <c r="G202" s="1017"/>
      <c r="H202" s="1017"/>
    </row>
    <row r="203" spans="1:8" ht="15.75">
      <c r="A203" s="1019" t="s">
        <v>535</v>
      </c>
      <c r="B203" s="1017"/>
      <c r="C203" s="1017"/>
      <c r="D203" s="1017"/>
      <c r="E203" s="1017"/>
      <c r="F203" s="1017"/>
      <c r="G203" s="1017"/>
      <c r="H203" s="1017"/>
    </row>
    <row r="204" spans="1:8" ht="15">
      <c r="A204" s="1017"/>
      <c r="B204" s="1017"/>
      <c r="C204" s="1017"/>
      <c r="D204" s="1017"/>
      <c r="E204" s="1017"/>
      <c r="F204" s="1017"/>
      <c r="G204" s="1017"/>
      <c r="H204" s="1017"/>
    </row>
    <row r="205" spans="1:8" ht="15">
      <c r="A205" s="1018" t="s">
        <v>696</v>
      </c>
      <c r="B205" s="1017"/>
      <c r="C205" s="1017"/>
      <c r="D205" s="1017"/>
      <c r="E205" s="1017"/>
      <c r="F205" s="1017"/>
      <c r="G205" s="1017"/>
      <c r="H205" s="1017"/>
    </row>
    <row r="206" spans="1:8" ht="15">
      <c r="A206" s="1018" t="s">
        <v>697</v>
      </c>
      <c r="B206" s="1017"/>
      <c r="C206" s="1017"/>
      <c r="D206" s="1017"/>
      <c r="E206" s="1017"/>
      <c r="F206" s="1017"/>
      <c r="G206" s="1017"/>
      <c r="H206" s="1017"/>
    </row>
    <row r="207" spans="1:8" ht="15">
      <c r="A207" s="1018" t="s">
        <v>698</v>
      </c>
      <c r="B207" s="1017"/>
      <c r="C207" s="1017"/>
      <c r="D207" s="1017"/>
      <c r="E207" s="1017"/>
      <c r="F207" s="1017"/>
      <c r="G207" s="1017"/>
      <c r="H207" s="1017"/>
    </row>
    <row r="208" spans="1:8" ht="15">
      <c r="A208" s="1018" t="s">
        <v>699</v>
      </c>
      <c r="B208" s="1017"/>
      <c r="C208" s="1017"/>
      <c r="D208" s="1017"/>
      <c r="E208" s="1017"/>
      <c r="F208" s="1017"/>
      <c r="G208" s="1017"/>
      <c r="H208" s="1017"/>
    </row>
    <row r="209" spans="1:8" ht="15">
      <c r="A209" s="1018" t="s">
        <v>700</v>
      </c>
      <c r="B209" s="1017"/>
      <c r="C209" s="1017"/>
      <c r="D209" s="1017"/>
      <c r="E209" s="1017"/>
      <c r="F209" s="1017"/>
      <c r="G209" s="1017"/>
      <c r="H209" s="1017"/>
    </row>
    <row r="210" spans="1:8" ht="15">
      <c r="A210" s="1017"/>
      <c r="B210" s="1017"/>
      <c r="C210" s="1017"/>
      <c r="D210" s="1017"/>
      <c r="E210" s="1017"/>
      <c r="F210" s="1017"/>
      <c r="G210" s="1017"/>
      <c r="H210" s="1017"/>
    </row>
    <row r="211" spans="1:8" ht="15">
      <c r="A211" s="1018" t="s">
        <v>693</v>
      </c>
      <c r="B211" s="1017"/>
      <c r="C211" s="1017"/>
      <c r="D211" s="1017"/>
      <c r="E211" s="1017"/>
      <c r="F211" s="1017"/>
      <c r="G211" s="1017"/>
      <c r="H211" s="1017"/>
    </row>
    <row r="212" spans="1:8" ht="15">
      <c r="A212" s="1018" t="s">
        <v>694</v>
      </c>
      <c r="B212" s="1017"/>
      <c r="C212" s="1017"/>
      <c r="D212" s="1017"/>
      <c r="E212" s="1017"/>
      <c r="F212" s="1017"/>
      <c r="G212" s="1017"/>
      <c r="H212" s="1017"/>
    </row>
    <row r="213" spans="1:8" ht="15">
      <c r="A213" s="1018" t="s">
        <v>695</v>
      </c>
      <c r="B213" s="1017"/>
      <c r="C213" s="1017"/>
      <c r="D213" s="1017"/>
      <c r="E213" s="1017"/>
      <c r="F213" s="1017"/>
      <c r="G213" s="1017"/>
      <c r="H213" s="1017"/>
    </row>
    <row r="214" spans="1:8" ht="15.75">
      <c r="A214" s="1019" t="s">
        <v>536</v>
      </c>
      <c r="B214" s="1017"/>
      <c r="C214" s="1017"/>
      <c r="D214" s="1017"/>
      <c r="E214" s="1017"/>
      <c r="F214" s="1017"/>
      <c r="G214" s="1017"/>
      <c r="H214" s="1017"/>
    </row>
    <row r="215" spans="1:8" ht="15">
      <c r="A215" s="1017"/>
      <c r="B215" s="1017"/>
      <c r="C215" s="1017"/>
      <c r="D215" s="1017"/>
      <c r="E215" s="1017"/>
      <c r="F215" s="1017"/>
      <c r="G215" s="1017"/>
      <c r="H215" s="1017"/>
    </row>
    <row r="216" spans="1:8" ht="15">
      <c r="A216" s="1018" t="s">
        <v>691</v>
      </c>
      <c r="B216" s="1017"/>
      <c r="C216" s="1017"/>
      <c r="D216" s="1017"/>
      <c r="E216" s="1017"/>
      <c r="F216" s="1017"/>
      <c r="G216" s="1017"/>
      <c r="H216" s="1017"/>
    </row>
    <row r="217" spans="1:8" ht="15">
      <c r="A217" s="1018" t="s">
        <v>692</v>
      </c>
      <c r="B217" s="1017"/>
      <c r="C217" s="1017"/>
      <c r="D217" s="1017"/>
      <c r="E217" s="1017"/>
      <c r="F217" s="1017"/>
      <c r="G217" s="1017"/>
      <c r="H217" s="1017"/>
    </row>
    <row r="218" spans="1:8" ht="15">
      <c r="A218" s="1017"/>
      <c r="B218" s="1017"/>
      <c r="C218" s="1017"/>
      <c r="D218" s="1017"/>
      <c r="E218" s="1017"/>
      <c r="F218" s="1017"/>
      <c r="G218" s="1017"/>
      <c r="H218" s="1017"/>
    </row>
    <row r="219" spans="1:8" ht="15">
      <c r="A219" s="1018" t="s">
        <v>684</v>
      </c>
      <c r="B219" s="1017"/>
      <c r="C219" s="1017"/>
      <c r="D219" s="1017"/>
      <c r="E219" s="1017"/>
      <c r="F219" s="1017"/>
      <c r="G219" s="1017"/>
      <c r="H219" s="1017"/>
    </row>
    <row r="220" spans="1:8" ht="15">
      <c r="A220" s="1018" t="s">
        <v>685</v>
      </c>
      <c r="B220" s="1017"/>
      <c r="C220" s="1017"/>
      <c r="D220" s="1017"/>
      <c r="E220" s="1017"/>
      <c r="F220" s="1017"/>
      <c r="G220" s="1017"/>
      <c r="H220" s="1017"/>
    </row>
    <row r="221" spans="1:8" ht="15">
      <c r="A221" s="1018" t="s">
        <v>686</v>
      </c>
      <c r="B221" s="1017"/>
      <c r="C221" s="1017"/>
      <c r="D221" s="1017"/>
      <c r="E221" s="1017"/>
      <c r="F221" s="1017"/>
      <c r="G221" s="1017"/>
      <c r="H221" s="1017"/>
    </row>
    <row r="222" spans="1:8" ht="15">
      <c r="A222" s="1018" t="s">
        <v>687</v>
      </c>
      <c r="B222" s="1017"/>
      <c r="C222" s="1017"/>
      <c r="D222" s="1017"/>
      <c r="E222" s="1017"/>
      <c r="F222" s="1017"/>
      <c r="G222" s="1017"/>
      <c r="H222" s="1017"/>
    </row>
    <row r="223" spans="1:8" ht="15">
      <c r="A223" s="1018" t="s">
        <v>688</v>
      </c>
      <c r="B223" s="1017"/>
      <c r="C223" s="1017"/>
      <c r="D223" s="1017"/>
      <c r="E223" s="1017"/>
      <c r="F223" s="1017"/>
      <c r="G223" s="1017"/>
      <c r="H223" s="1017"/>
    </row>
    <row r="224" spans="1:8" ht="15">
      <c r="A224" s="1018" t="s">
        <v>689</v>
      </c>
      <c r="B224" s="1017"/>
      <c r="C224" s="1017"/>
      <c r="D224" s="1017"/>
      <c r="E224" s="1017"/>
      <c r="F224" s="1017"/>
      <c r="G224" s="1017"/>
      <c r="H224" s="1017"/>
    </row>
    <row r="225" spans="1:8" ht="15">
      <c r="A225" s="1018" t="s">
        <v>690</v>
      </c>
      <c r="B225" s="1017"/>
      <c r="C225" s="1017"/>
      <c r="D225" s="1017"/>
      <c r="E225" s="1017"/>
      <c r="F225" s="1017"/>
      <c r="G225" s="1017"/>
      <c r="H225" s="1017"/>
    </row>
    <row r="226" spans="1:8" ht="15">
      <c r="A226" s="1017"/>
      <c r="B226" s="1017"/>
      <c r="C226" s="1017"/>
      <c r="D226" s="1017"/>
      <c r="E226" s="1017"/>
      <c r="F226" s="1017"/>
      <c r="G226" s="1017"/>
      <c r="H226" s="1017"/>
    </row>
    <row r="227" spans="1:8" ht="15">
      <c r="A227" s="1018" t="s">
        <v>681</v>
      </c>
      <c r="B227" s="1017"/>
      <c r="C227" s="1017"/>
      <c r="D227" s="1017"/>
      <c r="E227" s="1017"/>
      <c r="F227" s="1017"/>
      <c r="G227" s="1017"/>
      <c r="H227" s="1017"/>
    </row>
    <row r="228" spans="1:8" ht="15">
      <c r="A228" s="1018" t="s">
        <v>682</v>
      </c>
      <c r="B228" s="1017"/>
      <c r="C228" s="1017"/>
      <c r="D228" s="1017"/>
      <c r="E228" s="1017"/>
      <c r="F228" s="1017"/>
      <c r="G228" s="1017"/>
      <c r="H228" s="1017"/>
    </row>
    <row r="229" spans="1:8" ht="15">
      <c r="A229" s="1018" t="s">
        <v>683</v>
      </c>
      <c r="B229" s="1017"/>
      <c r="C229" s="1017"/>
      <c r="D229" s="1017"/>
      <c r="E229" s="1017"/>
      <c r="F229" s="1017"/>
      <c r="G229" s="1017"/>
      <c r="H229" s="1017"/>
    </row>
    <row r="230" spans="1:8" ht="15">
      <c r="A230" s="1017"/>
      <c r="B230" s="1017"/>
      <c r="C230" s="1017"/>
      <c r="D230" s="1017"/>
      <c r="E230" s="1017"/>
      <c r="F230" s="1017"/>
      <c r="G230" s="1017"/>
      <c r="H230" s="1017"/>
    </row>
    <row r="231" spans="1:8" ht="15">
      <c r="A231" s="1018" t="s">
        <v>676</v>
      </c>
      <c r="B231" s="1017"/>
      <c r="C231" s="1017"/>
      <c r="D231" s="1017"/>
      <c r="E231" s="1017"/>
      <c r="F231" s="1017"/>
      <c r="G231" s="1017"/>
      <c r="H231" s="1017"/>
    </row>
    <row r="232" spans="1:8" ht="15">
      <c r="A232" s="1018" t="s">
        <v>677</v>
      </c>
      <c r="B232" s="1017"/>
      <c r="C232" s="1017"/>
      <c r="D232" s="1017"/>
      <c r="E232" s="1017"/>
      <c r="F232" s="1017"/>
      <c r="G232" s="1017"/>
      <c r="H232" s="1017"/>
    </row>
    <row r="233" spans="1:8" ht="15">
      <c r="A233" s="1018" t="s">
        <v>678</v>
      </c>
      <c r="B233" s="1017"/>
      <c r="C233" s="1017"/>
      <c r="D233" s="1017"/>
      <c r="E233" s="1017"/>
      <c r="F233" s="1017"/>
      <c r="G233" s="1017"/>
      <c r="H233" s="1017"/>
    </row>
    <row r="234" spans="1:8" ht="15">
      <c r="A234" s="1018" t="s">
        <v>679</v>
      </c>
      <c r="B234" s="1017"/>
      <c r="C234" s="1017"/>
      <c r="D234" s="1017"/>
      <c r="E234" s="1017"/>
      <c r="F234" s="1017"/>
      <c r="G234" s="1017"/>
      <c r="H234" s="1017"/>
    </row>
    <row r="235" spans="1:8" ht="15">
      <c r="A235" s="1018" t="s">
        <v>680</v>
      </c>
      <c r="B235" s="1017"/>
      <c r="C235" s="1017"/>
      <c r="D235" s="1017"/>
      <c r="E235" s="1017"/>
      <c r="F235" s="1017"/>
      <c r="G235" s="1017"/>
      <c r="H235" s="1017"/>
    </row>
    <row r="236" spans="1:8" ht="15">
      <c r="A236" s="1017"/>
      <c r="B236" s="1017"/>
      <c r="C236" s="1017"/>
      <c r="D236" s="1017"/>
      <c r="E236" s="1017"/>
      <c r="F236" s="1017"/>
      <c r="G236" s="1017"/>
      <c r="H236" s="1017"/>
    </row>
    <row r="237" spans="1:8" ht="15">
      <c r="A237" s="1018" t="s">
        <v>670</v>
      </c>
      <c r="B237" s="1017"/>
      <c r="C237" s="1017"/>
      <c r="D237" s="1017"/>
      <c r="E237" s="1017"/>
      <c r="F237" s="1017"/>
      <c r="G237" s="1017"/>
      <c r="H237" s="1017"/>
    </row>
    <row r="238" spans="1:8" ht="15">
      <c r="A238" s="1018" t="s">
        <v>671</v>
      </c>
      <c r="B238" s="1017"/>
      <c r="C238" s="1017"/>
      <c r="D238" s="1017"/>
      <c r="E238" s="1017"/>
      <c r="F238" s="1017"/>
      <c r="G238" s="1017"/>
      <c r="H238" s="1017"/>
    </row>
    <row r="239" spans="1:8" ht="15">
      <c r="A239" s="1018" t="s">
        <v>672</v>
      </c>
      <c r="B239" s="1017"/>
      <c r="C239" s="1017"/>
      <c r="D239" s="1017"/>
      <c r="E239" s="1017"/>
      <c r="F239" s="1017"/>
      <c r="G239" s="1017"/>
      <c r="H239" s="1017"/>
    </row>
    <row r="240" spans="1:8" ht="15">
      <c r="A240" s="1018" t="s">
        <v>673</v>
      </c>
      <c r="B240" s="1017"/>
      <c r="C240" s="1017"/>
      <c r="D240" s="1017"/>
      <c r="E240" s="1017"/>
      <c r="F240" s="1017"/>
      <c r="G240" s="1017"/>
      <c r="H240" s="1017"/>
    </row>
    <row r="241" spans="1:8" ht="15">
      <c r="A241" s="1018" t="s">
        <v>674</v>
      </c>
      <c r="B241" s="1017"/>
      <c r="C241" s="1017"/>
      <c r="D241" s="1017"/>
      <c r="E241" s="1017"/>
      <c r="F241" s="1017"/>
      <c r="G241" s="1017"/>
      <c r="H241" s="1017"/>
    </row>
    <row r="242" spans="1:8" ht="15">
      <c r="A242" s="1018" t="s">
        <v>675</v>
      </c>
      <c r="B242" s="1017"/>
      <c r="C242" s="1017"/>
      <c r="D242" s="1017"/>
      <c r="E242" s="1017"/>
      <c r="F242" s="1017"/>
      <c r="G242" s="1017"/>
      <c r="H242" s="1017"/>
    </row>
    <row r="243" spans="1:8" ht="15">
      <c r="A243" s="1017"/>
      <c r="B243" s="1017"/>
      <c r="C243" s="1017"/>
      <c r="D243" s="1017"/>
      <c r="E243" s="1017"/>
      <c r="F243" s="1017"/>
      <c r="G243" s="1017"/>
      <c r="H243" s="1017"/>
    </row>
    <row r="244" spans="1:8" ht="15">
      <c r="A244" s="1018" t="s">
        <v>660</v>
      </c>
      <c r="B244" s="1017"/>
      <c r="C244" s="1017"/>
      <c r="D244" s="1017"/>
      <c r="E244" s="1017"/>
      <c r="F244" s="1017"/>
      <c r="G244" s="1017"/>
      <c r="H244" s="1017"/>
    </row>
    <row r="245" spans="1:8" ht="15">
      <c r="A245" s="1018" t="s">
        <v>661</v>
      </c>
      <c r="B245" s="1017"/>
      <c r="C245" s="1017"/>
      <c r="D245" s="1017"/>
      <c r="E245" s="1017"/>
      <c r="F245" s="1017"/>
      <c r="G245" s="1017"/>
      <c r="H245" s="1017"/>
    </row>
    <row r="246" spans="1:8" ht="15">
      <c r="A246" s="1018" t="s">
        <v>662</v>
      </c>
      <c r="B246" s="1017"/>
      <c r="C246" s="1017"/>
      <c r="D246" s="1017"/>
      <c r="E246" s="1017"/>
      <c r="F246" s="1017"/>
      <c r="G246" s="1017"/>
      <c r="H246" s="1017"/>
    </row>
    <row r="247" spans="1:8" ht="15">
      <c r="A247" s="1018" t="s">
        <v>663</v>
      </c>
      <c r="B247" s="1017"/>
      <c r="C247" s="1017"/>
      <c r="D247" s="1017"/>
      <c r="E247" s="1017"/>
      <c r="F247" s="1017"/>
      <c r="G247" s="1017"/>
      <c r="H247" s="1017"/>
    </row>
    <row r="248" spans="1:8" ht="15">
      <c r="A248" s="1018" t="s">
        <v>664</v>
      </c>
      <c r="B248" s="1017"/>
      <c r="C248" s="1017"/>
      <c r="D248" s="1017"/>
      <c r="E248" s="1017"/>
      <c r="F248" s="1017"/>
      <c r="G248" s="1017"/>
      <c r="H248" s="1017"/>
    </row>
    <row r="249" spans="1:8" ht="15">
      <c r="A249" s="1018" t="s">
        <v>665</v>
      </c>
      <c r="B249" s="1017"/>
      <c r="C249" s="1017"/>
      <c r="D249" s="1017"/>
      <c r="E249" s="1017"/>
      <c r="F249" s="1017"/>
      <c r="G249" s="1017"/>
      <c r="H249" s="1017"/>
    </row>
    <row r="250" spans="1:8" ht="15">
      <c r="A250" s="1018" t="s">
        <v>666</v>
      </c>
      <c r="B250" s="1017"/>
      <c r="C250" s="1017"/>
      <c r="D250" s="1017"/>
      <c r="E250" s="1017"/>
      <c r="F250" s="1017"/>
      <c r="G250" s="1017"/>
      <c r="H250" s="1017"/>
    </row>
    <row r="251" spans="1:8" ht="15">
      <c r="A251" s="1018" t="s">
        <v>667</v>
      </c>
      <c r="B251" s="1017"/>
      <c r="C251" s="1017"/>
      <c r="D251" s="1017"/>
      <c r="E251" s="1017"/>
      <c r="F251" s="1017"/>
      <c r="G251" s="1017"/>
      <c r="H251" s="1017"/>
    </row>
    <row r="252" spans="1:8" ht="15">
      <c r="A252" s="1018" t="s">
        <v>668</v>
      </c>
      <c r="B252" s="1017"/>
      <c r="C252" s="1017"/>
      <c r="D252" s="1017"/>
      <c r="E252" s="1017"/>
      <c r="F252" s="1017"/>
      <c r="G252" s="1017"/>
      <c r="H252" s="1017"/>
    </row>
    <row r="253" spans="1:8" ht="15">
      <c r="A253" s="1018" t="s">
        <v>669</v>
      </c>
      <c r="B253" s="1017"/>
      <c r="C253" s="1017"/>
      <c r="D253" s="1017"/>
      <c r="E253" s="1017"/>
      <c r="F253" s="1017"/>
      <c r="G253" s="1017"/>
      <c r="H253" s="1017"/>
    </row>
    <row r="254" spans="1:8" ht="15">
      <c r="A254" s="1017"/>
      <c r="B254" s="1017"/>
      <c r="C254" s="1017"/>
      <c r="D254" s="1017"/>
      <c r="E254" s="1017"/>
      <c r="F254" s="1017"/>
      <c r="G254" s="1017"/>
      <c r="H254" s="1017"/>
    </row>
    <row r="255" spans="1:8" ht="15">
      <c r="A255" s="1018" t="s">
        <v>658</v>
      </c>
      <c r="B255" s="1017"/>
      <c r="C255" s="1017"/>
      <c r="D255" s="1017"/>
      <c r="E255" s="1017"/>
      <c r="F255" s="1017"/>
      <c r="G255" s="1017"/>
      <c r="H255" s="1017"/>
    </row>
    <row r="256" spans="1:8" ht="15">
      <c r="A256" s="1018" t="s">
        <v>659</v>
      </c>
      <c r="B256" s="1017"/>
      <c r="C256" s="1017"/>
      <c r="D256" s="1017"/>
      <c r="E256" s="1017"/>
      <c r="F256" s="1017"/>
      <c r="G256" s="1017"/>
      <c r="H256" s="1017"/>
    </row>
    <row r="257" spans="1:8" ht="15">
      <c r="A257" s="1017"/>
      <c r="B257" s="1017"/>
      <c r="C257" s="1017"/>
      <c r="D257" s="1017"/>
      <c r="E257" s="1017"/>
      <c r="F257" s="1017"/>
      <c r="G257" s="1017"/>
      <c r="H257" s="1017"/>
    </row>
    <row r="258" spans="1:8" ht="15">
      <c r="A258" s="1018" t="s">
        <v>642</v>
      </c>
      <c r="B258" s="1017"/>
      <c r="C258" s="1017"/>
      <c r="D258" s="1017"/>
      <c r="E258" s="1017"/>
      <c r="F258" s="1017"/>
      <c r="G258" s="1017"/>
      <c r="H258" s="1017"/>
    </row>
    <row r="259" spans="1:8" ht="15">
      <c r="A259" s="1018" t="s">
        <v>643</v>
      </c>
      <c r="B259" s="1017"/>
      <c r="C259" s="1017"/>
      <c r="D259" s="1017"/>
      <c r="E259" s="1017"/>
      <c r="F259" s="1017"/>
      <c r="G259" s="1017"/>
      <c r="H259" s="1017"/>
    </row>
    <row r="260" spans="1:8" ht="15">
      <c r="A260" s="1018" t="s">
        <v>644</v>
      </c>
      <c r="B260" s="1017"/>
      <c r="C260" s="1017"/>
      <c r="D260" s="1017"/>
      <c r="E260" s="1017"/>
      <c r="F260" s="1017"/>
      <c r="G260" s="1017"/>
      <c r="H260" s="1017"/>
    </row>
    <row r="261" spans="1:8" ht="15">
      <c r="A261" s="1018" t="s">
        <v>645</v>
      </c>
      <c r="B261" s="1017"/>
      <c r="C261" s="1017"/>
      <c r="D261" s="1017"/>
      <c r="E261" s="1017"/>
      <c r="F261" s="1017"/>
      <c r="G261" s="1017"/>
      <c r="H261" s="1017"/>
    </row>
    <row r="262" spans="1:8" ht="15">
      <c r="A262" s="1018" t="s">
        <v>646</v>
      </c>
      <c r="B262" s="1017"/>
      <c r="C262" s="1017"/>
      <c r="D262" s="1017"/>
      <c r="E262" s="1017"/>
      <c r="F262" s="1017"/>
      <c r="G262" s="1017"/>
      <c r="H262" s="1017"/>
    </row>
    <row r="263" spans="1:8" ht="15">
      <c r="A263" s="1018" t="s">
        <v>647</v>
      </c>
      <c r="B263" s="1017"/>
      <c r="C263" s="1017"/>
      <c r="D263" s="1017"/>
      <c r="E263" s="1017"/>
      <c r="F263" s="1017"/>
      <c r="G263" s="1017"/>
      <c r="H263" s="1017"/>
    </row>
    <row r="264" spans="1:8" ht="15">
      <c r="A264" s="1018" t="s">
        <v>648</v>
      </c>
      <c r="B264" s="1017"/>
      <c r="C264" s="1017"/>
      <c r="D264" s="1017"/>
      <c r="E264" s="1017"/>
      <c r="F264" s="1017"/>
      <c r="G264" s="1017"/>
      <c r="H264" s="1017"/>
    </row>
    <row r="265" spans="1:8" ht="15">
      <c r="A265" s="1018" t="s">
        <v>649</v>
      </c>
      <c r="B265" s="1017"/>
      <c r="C265" s="1017"/>
      <c r="D265" s="1017"/>
      <c r="E265" s="1017"/>
      <c r="F265" s="1017"/>
      <c r="G265" s="1017"/>
      <c r="H265" s="1017"/>
    </row>
    <row r="266" spans="1:8" ht="15">
      <c r="A266" s="1018" t="s">
        <v>650</v>
      </c>
      <c r="B266" s="1017"/>
      <c r="C266" s="1017"/>
      <c r="D266" s="1017"/>
      <c r="E266" s="1017"/>
      <c r="F266" s="1017"/>
      <c r="G266" s="1017"/>
      <c r="H266" s="1017"/>
    </row>
    <row r="267" spans="1:8" ht="15">
      <c r="A267" s="1018" t="s">
        <v>651</v>
      </c>
      <c r="B267" s="1017"/>
      <c r="C267" s="1017"/>
      <c r="D267" s="1017"/>
      <c r="E267" s="1017"/>
      <c r="F267" s="1017"/>
      <c r="G267" s="1017"/>
      <c r="H267" s="1017"/>
    </row>
    <row r="268" spans="1:8" ht="15">
      <c r="A268" s="1018" t="s">
        <v>652</v>
      </c>
      <c r="B268" s="1017"/>
      <c r="C268" s="1017"/>
      <c r="D268" s="1017"/>
      <c r="E268" s="1017"/>
      <c r="F268" s="1017"/>
      <c r="G268" s="1017"/>
      <c r="H268" s="1017"/>
    </row>
    <row r="269" spans="1:8" ht="15">
      <c r="A269" s="1018" t="s">
        <v>653</v>
      </c>
      <c r="B269" s="1017"/>
      <c r="C269" s="1017"/>
      <c r="D269" s="1017"/>
      <c r="E269" s="1017"/>
      <c r="F269" s="1017"/>
      <c r="G269" s="1017"/>
      <c r="H269" s="1017"/>
    </row>
    <row r="270" spans="1:8" ht="15">
      <c r="A270" s="1018" t="s">
        <v>654</v>
      </c>
      <c r="B270" s="1017"/>
      <c r="C270" s="1017"/>
      <c r="D270" s="1017"/>
      <c r="E270" s="1017"/>
      <c r="F270" s="1017"/>
      <c r="G270" s="1017"/>
      <c r="H270" s="1017"/>
    </row>
    <row r="271" spans="1:8" ht="15">
      <c r="A271" s="1018" t="s">
        <v>655</v>
      </c>
      <c r="B271" s="1017"/>
      <c r="C271" s="1017"/>
      <c r="D271" s="1017"/>
      <c r="E271" s="1017"/>
      <c r="F271" s="1017"/>
      <c r="G271" s="1017"/>
      <c r="H271" s="1017"/>
    </row>
    <row r="272" spans="1:8" ht="15">
      <c r="A272" s="1018" t="s">
        <v>656</v>
      </c>
      <c r="B272" s="1017"/>
      <c r="C272" s="1017"/>
      <c r="D272" s="1017"/>
      <c r="E272" s="1017"/>
      <c r="F272" s="1017"/>
      <c r="G272" s="1017"/>
      <c r="H272" s="1017"/>
    </row>
    <row r="273" spans="1:8" ht="15">
      <c r="A273" s="1018" t="s">
        <v>657</v>
      </c>
      <c r="B273" s="1017"/>
      <c r="C273" s="1017"/>
      <c r="D273" s="1017"/>
      <c r="E273" s="1017"/>
      <c r="F273" s="1017"/>
      <c r="G273" s="1017"/>
      <c r="H273" s="1017"/>
    </row>
    <row r="274" spans="1:8" ht="15">
      <c r="A274" s="1017"/>
      <c r="B274" s="1017"/>
      <c r="C274" s="1017"/>
      <c r="D274" s="1017"/>
      <c r="E274" s="1017"/>
      <c r="F274" s="1017"/>
      <c r="G274" s="1017"/>
      <c r="H274" s="1017"/>
    </row>
    <row r="275" spans="1:8" ht="15">
      <c r="A275" s="1018" t="s">
        <v>635</v>
      </c>
      <c r="B275" s="1017"/>
      <c r="C275" s="1017"/>
      <c r="D275" s="1017"/>
      <c r="E275" s="1017"/>
      <c r="F275" s="1017"/>
      <c r="G275" s="1017"/>
      <c r="H275" s="1017"/>
    </row>
    <row r="276" spans="1:8" ht="15">
      <c r="A276" s="1018" t="s">
        <v>636</v>
      </c>
      <c r="B276" s="1017"/>
      <c r="C276" s="1017"/>
      <c r="D276" s="1017"/>
      <c r="E276" s="1017"/>
      <c r="F276" s="1017"/>
      <c r="G276" s="1017"/>
      <c r="H276" s="1017"/>
    </row>
    <row r="277" spans="1:8" ht="15">
      <c r="A277" s="1018" t="s">
        <v>637</v>
      </c>
      <c r="B277" s="1017"/>
      <c r="C277" s="1017"/>
      <c r="D277" s="1017"/>
      <c r="E277" s="1017"/>
      <c r="F277" s="1017"/>
      <c r="G277" s="1017"/>
      <c r="H277" s="1017"/>
    </row>
    <row r="278" spans="1:8" ht="15">
      <c r="A278" s="1018" t="s">
        <v>638</v>
      </c>
      <c r="B278" s="1017"/>
      <c r="C278" s="1017"/>
      <c r="D278" s="1017"/>
      <c r="E278" s="1017"/>
      <c r="F278" s="1017"/>
      <c r="G278" s="1017"/>
      <c r="H278" s="1017"/>
    </row>
    <row r="279" spans="1:8" ht="15">
      <c r="A279" s="1018" t="s">
        <v>639</v>
      </c>
      <c r="B279" s="1017"/>
      <c r="C279" s="1017"/>
      <c r="D279" s="1017"/>
      <c r="E279" s="1017"/>
      <c r="F279" s="1017"/>
      <c r="G279" s="1017"/>
      <c r="H279" s="1017"/>
    </row>
    <row r="280" spans="1:8" ht="15">
      <c r="A280" s="1018" t="s">
        <v>640</v>
      </c>
      <c r="B280" s="1017"/>
      <c r="C280" s="1017"/>
      <c r="D280" s="1017"/>
      <c r="E280" s="1017"/>
      <c r="F280" s="1017"/>
      <c r="G280" s="1017"/>
      <c r="H280" s="1017"/>
    </row>
    <row r="281" spans="1:8" ht="15">
      <c r="A281" s="1018" t="s">
        <v>641</v>
      </c>
      <c r="B281" s="1017"/>
      <c r="C281" s="1017"/>
      <c r="D281" s="1017"/>
      <c r="E281" s="1017"/>
      <c r="F281" s="1017"/>
      <c r="G281" s="1017"/>
      <c r="H281" s="1017"/>
    </row>
    <row r="282" spans="1:8" ht="15">
      <c r="A282" s="1017"/>
      <c r="B282" s="1017"/>
      <c r="C282" s="1017"/>
      <c r="D282" s="1017"/>
      <c r="E282" s="1017"/>
      <c r="F282" s="1017"/>
      <c r="G282" s="1017"/>
      <c r="H282" s="1017"/>
    </row>
    <row r="283" spans="1:8" ht="15">
      <c r="A283" s="1018" t="s">
        <v>626</v>
      </c>
      <c r="B283" s="1017"/>
      <c r="C283" s="1017"/>
      <c r="D283" s="1017"/>
      <c r="E283" s="1017"/>
      <c r="F283" s="1017"/>
      <c r="G283" s="1017"/>
      <c r="H283" s="1017"/>
    </row>
    <row r="284" spans="1:8" ht="15">
      <c r="A284" s="1018" t="s">
        <v>627</v>
      </c>
      <c r="B284" s="1017"/>
      <c r="C284" s="1017"/>
      <c r="D284" s="1017"/>
      <c r="E284" s="1017"/>
      <c r="F284" s="1017"/>
      <c r="G284" s="1017"/>
      <c r="H284" s="1017"/>
    </row>
    <row r="285" spans="1:8" ht="15">
      <c r="A285" s="1018" t="s">
        <v>628</v>
      </c>
      <c r="B285" s="1017"/>
      <c r="C285" s="1017"/>
      <c r="D285" s="1017"/>
      <c r="E285" s="1017"/>
      <c r="F285" s="1017"/>
      <c r="G285" s="1017"/>
      <c r="H285" s="1017"/>
    </row>
    <row r="286" spans="1:8" ht="15">
      <c r="A286" s="1018" t="s">
        <v>629</v>
      </c>
      <c r="B286" s="1017"/>
      <c r="C286" s="1017"/>
      <c r="D286" s="1017"/>
      <c r="E286" s="1017"/>
      <c r="F286" s="1017"/>
      <c r="G286" s="1017"/>
      <c r="H286" s="1017"/>
    </row>
    <row r="287" spans="1:8" ht="15">
      <c r="A287" s="1018" t="s">
        <v>630</v>
      </c>
      <c r="B287" s="1017"/>
      <c r="C287" s="1017"/>
      <c r="D287" s="1017"/>
      <c r="E287" s="1017"/>
      <c r="F287" s="1017"/>
      <c r="G287" s="1017"/>
      <c r="H287" s="1017"/>
    </row>
    <row r="288" spans="1:8" ht="15">
      <c r="A288" s="1018" t="s">
        <v>631</v>
      </c>
      <c r="B288" s="1017"/>
      <c r="C288" s="1017"/>
      <c r="D288" s="1017"/>
      <c r="E288" s="1017"/>
      <c r="F288" s="1017"/>
      <c r="G288" s="1017"/>
      <c r="H288" s="1017"/>
    </row>
    <row r="289" spans="1:8" ht="15">
      <c r="A289" s="1018" t="s">
        <v>632</v>
      </c>
      <c r="B289" s="1017"/>
      <c r="C289" s="1017"/>
      <c r="D289" s="1017"/>
      <c r="E289" s="1017"/>
      <c r="F289" s="1017"/>
      <c r="G289" s="1017"/>
      <c r="H289" s="1017"/>
    </row>
    <row r="290" spans="1:8" ht="15">
      <c r="A290" s="1018" t="s">
        <v>633</v>
      </c>
      <c r="B290" s="1017"/>
      <c r="C290" s="1017"/>
      <c r="D290" s="1017"/>
      <c r="E290" s="1017"/>
      <c r="F290" s="1017"/>
      <c r="G290" s="1017"/>
      <c r="H290" s="1017"/>
    </row>
    <row r="291" spans="1:8" ht="15">
      <c r="A291" s="1018" t="s">
        <v>634</v>
      </c>
      <c r="B291" s="1017"/>
      <c r="C291" s="1017"/>
      <c r="D291" s="1017"/>
      <c r="E291" s="1017"/>
      <c r="F291" s="1017"/>
      <c r="G291" s="1017"/>
      <c r="H291" s="1017"/>
    </row>
    <row r="292" spans="1:8" ht="15">
      <c r="A292" s="1017"/>
      <c r="B292" s="1017"/>
      <c r="C292" s="1017"/>
      <c r="D292" s="1017"/>
      <c r="E292" s="1017"/>
      <c r="F292" s="1017"/>
      <c r="G292" s="1017"/>
      <c r="H292" s="1017"/>
    </row>
    <row r="293" spans="1:8" ht="15">
      <c r="A293" s="1018" t="s">
        <v>619</v>
      </c>
      <c r="B293" s="1017"/>
      <c r="C293" s="1017"/>
      <c r="D293" s="1017"/>
      <c r="E293" s="1017"/>
      <c r="F293" s="1017"/>
      <c r="G293" s="1017"/>
      <c r="H293" s="1017"/>
    </row>
    <row r="294" spans="1:8" ht="15">
      <c r="A294" s="1018" t="s">
        <v>620</v>
      </c>
      <c r="B294" s="1017"/>
      <c r="C294" s="1017"/>
      <c r="D294" s="1017"/>
      <c r="E294" s="1017"/>
      <c r="F294" s="1017"/>
      <c r="G294" s="1017"/>
      <c r="H294" s="1017"/>
    </row>
    <row r="295" spans="1:8" ht="15">
      <c r="A295" s="1018" t="s">
        <v>621</v>
      </c>
      <c r="B295" s="1017"/>
      <c r="C295" s="1017"/>
      <c r="D295" s="1017"/>
      <c r="E295" s="1017"/>
      <c r="F295" s="1017"/>
      <c r="G295" s="1017"/>
      <c r="H295" s="1017"/>
    </row>
    <row r="296" spans="1:8" ht="15">
      <c r="A296" s="1018" t="s">
        <v>622</v>
      </c>
      <c r="B296" s="1017"/>
      <c r="C296" s="1017"/>
      <c r="D296" s="1017"/>
      <c r="E296" s="1017"/>
      <c r="F296" s="1017"/>
      <c r="G296" s="1017"/>
      <c r="H296" s="1017"/>
    </row>
    <row r="297" spans="1:8" ht="15">
      <c r="A297" s="1018" t="s">
        <v>623</v>
      </c>
      <c r="B297" s="1017"/>
      <c r="C297" s="1017"/>
      <c r="D297" s="1017"/>
      <c r="E297" s="1017"/>
      <c r="F297" s="1017"/>
      <c r="G297" s="1017"/>
      <c r="H297" s="1017"/>
    </row>
    <row r="298" spans="1:8" ht="15">
      <c r="A298" s="1018" t="s">
        <v>624</v>
      </c>
      <c r="B298" s="1017"/>
      <c r="C298" s="1017"/>
      <c r="D298" s="1017"/>
      <c r="E298" s="1017"/>
      <c r="F298" s="1017"/>
      <c r="G298" s="1017"/>
      <c r="H298" s="1017"/>
    </row>
    <row r="299" spans="1:8" ht="15">
      <c r="A299" s="1018" t="s">
        <v>625</v>
      </c>
      <c r="B299" s="1017"/>
      <c r="C299" s="1017"/>
      <c r="D299" s="1017"/>
      <c r="E299" s="1017"/>
      <c r="F299" s="1017"/>
      <c r="G299" s="1017"/>
      <c r="H299" s="1017"/>
    </row>
    <row r="300" spans="1:8" ht="15">
      <c r="A300" s="1017"/>
      <c r="B300" s="1017"/>
      <c r="C300" s="1017"/>
      <c r="D300" s="1017"/>
      <c r="E300" s="1017"/>
      <c r="F300" s="1017"/>
      <c r="G300" s="1017"/>
      <c r="H300" s="1017"/>
    </row>
    <row r="301" spans="1:8" ht="15">
      <c r="A301" s="1018" t="s">
        <v>616</v>
      </c>
      <c r="B301" s="1017"/>
      <c r="C301" s="1017"/>
      <c r="D301" s="1017"/>
      <c r="E301" s="1017"/>
      <c r="F301" s="1017"/>
      <c r="G301" s="1017"/>
      <c r="H301" s="1017"/>
    </row>
    <row r="302" spans="1:8" ht="15">
      <c r="A302" s="1018" t="s">
        <v>617</v>
      </c>
      <c r="B302" s="1017"/>
      <c r="C302" s="1017"/>
      <c r="D302" s="1017"/>
      <c r="E302" s="1017"/>
      <c r="F302" s="1017"/>
      <c r="G302" s="1017"/>
      <c r="H302" s="1017"/>
    </row>
    <row r="303" spans="1:8" ht="15">
      <c r="A303" s="1018" t="s">
        <v>618</v>
      </c>
      <c r="B303" s="1017"/>
      <c r="C303" s="1017"/>
      <c r="D303" s="1017"/>
      <c r="E303" s="1017"/>
      <c r="F303" s="1017"/>
      <c r="G303" s="1017"/>
      <c r="H303" s="1017"/>
    </row>
    <row r="304" spans="1:8" ht="15">
      <c r="A304" s="1017"/>
      <c r="B304" s="1017"/>
      <c r="C304" s="1017"/>
      <c r="D304" s="1017"/>
      <c r="E304" s="1017"/>
      <c r="F304" s="1017"/>
      <c r="G304" s="1017"/>
      <c r="H304" s="1017"/>
    </row>
    <row r="305" spans="1:8" ht="15">
      <c r="A305" s="1018" t="s">
        <v>614</v>
      </c>
      <c r="B305" s="1017"/>
      <c r="C305" s="1017"/>
      <c r="D305" s="1017"/>
      <c r="E305" s="1017"/>
      <c r="F305" s="1017"/>
      <c r="G305" s="1017"/>
      <c r="H305" s="1017"/>
    </row>
    <row r="306" spans="1:8" ht="15">
      <c r="A306" s="1018" t="s">
        <v>615</v>
      </c>
      <c r="B306" s="1017"/>
      <c r="C306" s="1017"/>
      <c r="D306" s="1017"/>
      <c r="E306" s="1017"/>
      <c r="F306" s="1017"/>
      <c r="G306" s="1017"/>
      <c r="H306" s="1017"/>
    </row>
    <row r="307" spans="1:8" ht="15">
      <c r="A307" s="1017"/>
      <c r="B307" s="1017"/>
      <c r="C307" s="1017"/>
      <c r="D307" s="1017"/>
      <c r="E307" s="1017"/>
      <c r="F307" s="1017"/>
      <c r="G307" s="1017"/>
      <c r="H307" s="1017"/>
    </row>
    <row r="308" spans="1:8" ht="15">
      <c r="A308" s="1018" t="s">
        <v>601</v>
      </c>
      <c r="B308" s="1017"/>
      <c r="C308" s="1017"/>
      <c r="D308" s="1017"/>
      <c r="E308" s="1017"/>
      <c r="F308" s="1017"/>
      <c r="G308" s="1017"/>
      <c r="H308" s="1017"/>
    </row>
    <row r="309" spans="1:8" ht="15">
      <c r="A309" s="1018" t="s">
        <v>602</v>
      </c>
      <c r="B309" s="1017"/>
      <c r="C309" s="1017"/>
      <c r="D309" s="1017"/>
      <c r="E309" s="1017"/>
      <c r="F309" s="1017"/>
      <c r="G309" s="1017"/>
      <c r="H309" s="1017"/>
    </row>
    <row r="310" spans="1:8" ht="15">
      <c r="A310" s="1018" t="s">
        <v>603</v>
      </c>
      <c r="B310" s="1017"/>
      <c r="C310" s="1017"/>
      <c r="D310" s="1017"/>
      <c r="E310" s="1017"/>
      <c r="F310" s="1017"/>
      <c r="G310" s="1017"/>
      <c r="H310" s="1017"/>
    </row>
    <row r="311" spans="1:8" ht="15">
      <c r="A311" s="1018" t="s">
        <v>604</v>
      </c>
      <c r="B311" s="1017"/>
      <c r="C311" s="1017"/>
      <c r="D311" s="1017"/>
      <c r="E311" s="1017"/>
      <c r="F311" s="1017"/>
      <c r="G311" s="1017"/>
      <c r="H311" s="1017"/>
    </row>
    <row r="312" spans="1:8" ht="15">
      <c r="A312" s="1018" t="s">
        <v>605</v>
      </c>
      <c r="B312" s="1017"/>
      <c r="C312" s="1017"/>
      <c r="D312" s="1017"/>
      <c r="E312" s="1017"/>
      <c r="F312" s="1017"/>
      <c r="G312" s="1017"/>
      <c r="H312" s="1017"/>
    </row>
    <row r="313" spans="1:8" ht="15">
      <c r="A313" s="1018" t="s">
        <v>606</v>
      </c>
      <c r="B313" s="1017"/>
      <c r="C313" s="1017"/>
      <c r="D313" s="1017"/>
      <c r="E313" s="1017"/>
      <c r="F313" s="1017"/>
      <c r="G313" s="1017"/>
      <c r="H313" s="1017"/>
    </row>
    <row r="314" spans="1:8" ht="15">
      <c r="A314" s="1018" t="s">
        <v>607</v>
      </c>
      <c r="B314" s="1017"/>
      <c r="C314" s="1017"/>
      <c r="D314" s="1017"/>
      <c r="E314" s="1017"/>
      <c r="F314" s="1017"/>
      <c r="G314" s="1017"/>
      <c r="H314" s="1017"/>
    </row>
    <row r="315" spans="1:8" ht="15">
      <c r="A315" s="1018" t="s">
        <v>608</v>
      </c>
      <c r="B315" s="1017"/>
      <c r="C315" s="1017"/>
      <c r="D315" s="1017"/>
      <c r="E315" s="1017"/>
      <c r="F315" s="1017"/>
      <c r="G315" s="1017"/>
      <c r="H315" s="1017"/>
    </row>
    <row r="316" spans="1:8" ht="15">
      <c r="A316" s="1018" t="s">
        <v>609</v>
      </c>
      <c r="B316" s="1017"/>
      <c r="C316" s="1017"/>
      <c r="D316" s="1017"/>
      <c r="E316" s="1017"/>
      <c r="F316" s="1017"/>
      <c r="G316" s="1017"/>
      <c r="H316" s="1017"/>
    </row>
    <row r="317" spans="1:8" ht="15">
      <c r="A317" s="1018" t="s">
        <v>610</v>
      </c>
      <c r="B317" s="1017"/>
      <c r="C317" s="1017"/>
      <c r="D317" s="1017"/>
      <c r="E317" s="1017"/>
      <c r="F317" s="1017"/>
      <c r="G317" s="1017"/>
      <c r="H317" s="1017"/>
    </row>
    <row r="318" spans="1:8" ht="15">
      <c r="A318" s="1018" t="s">
        <v>611</v>
      </c>
      <c r="B318" s="1017"/>
      <c r="C318" s="1017"/>
      <c r="D318" s="1017"/>
      <c r="E318" s="1017"/>
      <c r="F318" s="1017"/>
      <c r="G318" s="1017"/>
      <c r="H318" s="1017"/>
    </row>
    <row r="319" spans="1:8" ht="15">
      <c r="A319" s="1018" t="s">
        <v>612</v>
      </c>
      <c r="B319" s="1017"/>
      <c r="C319" s="1017"/>
      <c r="D319" s="1017"/>
      <c r="E319" s="1017"/>
      <c r="F319" s="1017"/>
      <c r="G319" s="1017"/>
      <c r="H319" s="1017"/>
    </row>
    <row r="320" spans="1:8" ht="15">
      <c r="A320" s="1018" t="s">
        <v>613</v>
      </c>
      <c r="B320" s="1017"/>
      <c r="C320" s="1017"/>
      <c r="D320" s="1017"/>
      <c r="E320" s="1017"/>
      <c r="F320" s="1017"/>
      <c r="G320" s="1017"/>
      <c r="H320" s="1017"/>
    </row>
    <row r="321" spans="1:8" ht="15">
      <c r="A321" s="1017"/>
      <c r="B321" s="1017"/>
      <c r="C321" s="1017"/>
      <c r="D321" s="1017"/>
      <c r="E321" s="1017"/>
      <c r="F321" s="1017"/>
      <c r="G321" s="1017"/>
      <c r="H321" s="1017"/>
    </row>
    <row r="322" spans="1:8" ht="15">
      <c r="A322" s="1018" t="s">
        <v>593</v>
      </c>
      <c r="B322" s="1017"/>
      <c r="C322" s="1017"/>
      <c r="D322" s="1017"/>
      <c r="E322" s="1017"/>
      <c r="F322" s="1017"/>
      <c r="G322" s="1017"/>
      <c r="H322" s="1017"/>
    </row>
    <row r="323" spans="1:8" ht="15">
      <c r="A323" s="1018" t="s">
        <v>594</v>
      </c>
      <c r="B323" s="1017"/>
      <c r="C323" s="1017"/>
      <c r="D323" s="1017"/>
      <c r="E323" s="1017"/>
      <c r="F323" s="1017"/>
      <c r="G323" s="1017"/>
      <c r="H323" s="1017"/>
    </row>
    <row r="324" spans="1:8" ht="15">
      <c r="A324" s="1018" t="s">
        <v>595</v>
      </c>
      <c r="B324" s="1017"/>
      <c r="C324" s="1017"/>
      <c r="D324" s="1017"/>
      <c r="E324" s="1017"/>
      <c r="F324" s="1017"/>
      <c r="G324" s="1017"/>
      <c r="H324" s="1017"/>
    </row>
    <row r="325" spans="1:8" ht="15">
      <c r="A325" s="1018" t="s">
        <v>596</v>
      </c>
      <c r="B325" s="1017"/>
      <c r="C325" s="1017"/>
      <c r="D325" s="1017"/>
      <c r="E325" s="1017"/>
      <c r="F325" s="1017"/>
      <c r="G325" s="1017"/>
      <c r="H325" s="1017"/>
    </row>
    <row r="326" spans="1:8" ht="15">
      <c r="A326" s="1018" t="s">
        <v>597</v>
      </c>
      <c r="B326" s="1017"/>
      <c r="C326" s="1017"/>
      <c r="D326" s="1017"/>
      <c r="E326" s="1017"/>
      <c r="F326" s="1017"/>
      <c r="G326" s="1017"/>
      <c r="H326" s="1017"/>
    </row>
    <row r="327" spans="1:8" ht="15">
      <c r="A327" s="1018" t="s">
        <v>598</v>
      </c>
      <c r="B327" s="1017"/>
      <c r="C327" s="1017"/>
      <c r="D327" s="1017"/>
      <c r="E327" s="1017"/>
      <c r="F327" s="1017"/>
      <c r="G327" s="1017"/>
      <c r="H327" s="1017"/>
    </row>
    <row r="328" spans="1:8" ht="15">
      <c r="A328" s="1018" t="s">
        <v>599</v>
      </c>
      <c r="B328" s="1017"/>
      <c r="C328" s="1017"/>
      <c r="D328" s="1017"/>
      <c r="E328" s="1017"/>
      <c r="F328" s="1017"/>
      <c r="G328" s="1017"/>
      <c r="H328" s="1017"/>
    </row>
    <row r="329" spans="1:8" ht="15">
      <c r="A329" s="1018" t="s">
        <v>600</v>
      </c>
      <c r="B329" s="1017"/>
      <c r="C329" s="1017"/>
      <c r="D329" s="1017"/>
      <c r="E329" s="1017"/>
      <c r="F329" s="1017"/>
      <c r="G329" s="1017"/>
      <c r="H329" s="1017"/>
    </row>
    <row r="330" spans="1:8" ht="15">
      <c r="A330" s="1017"/>
      <c r="B330" s="1017"/>
      <c r="C330" s="1017"/>
      <c r="D330" s="1017"/>
      <c r="E330" s="1017"/>
      <c r="F330" s="1017"/>
      <c r="G330" s="1017"/>
      <c r="H330" s="1017"/>
    </row>
    <row r="331" spans="1:8" ht="15">
      <c r="A331" s="1018" t="s">
        <v>558</v>
      </c>
      <c r="B331" s="1017"/>
      <c r="C331" s="1017"/>
      <c r="D331" s="1017"/>
      <c r="E331" s="1017"/>
      <c r="F331" s="1017"/>
      <c r="G331" s="1017"/>
      <c r="H331" s="1017"/>
    </row>
    <row r="332" spans="1:8" ht="15">
      <c r="A332" s="1018" t="s">
        <v>559</v>
      </c>
      <c r="B332" s="1017"/>
      <c r="C332" s="1017"/>
      <c r="D332" s="1017"/>
      <c r="E332" s="1017"/>
      <c r="F332" s="1017"/>
      <c r="G332" s="1017"/>
      <c r="H332" s="1017"/>
    </row>
    <row r="333" spans="1:8" ht="15">
      <c r="A333" s="1018" t="s">
        <v>560</v>
      </c>
      <c r="B333" s="1017"/>
      <c r="C333" s="1017"/>
      <c r="D333" s="1017"/>
      <c r="E333" s="1017"/>
      <c r="F333" s="1017"/>
      <c r="G333" s="1017"/>
      <c r="H333" s="1017"/>
    </row>
    <row r="334" spans="1:8" ht="15">
      <c r="A334" s="1018" t="s">
        <v>561</v>
      </c>
      <c r="B334" s="1017"/>
      <c r="C334" s="1017"/>
      <c r="D334" s="1017"/>
      <c r="E334" s="1017"/>
      <c r="F334" s="1017"/>
      <c r="G334" s="1017"/>
      <c r="H334" s="1017"/>
    </row>
    <row r="335" spans="1:8" ht="15">
      <c r="A335" s="1018" t="s">
        <v>562</v>
      </c>
      <c r="B335" s="1017"/>
      <c r="C335" s="1017"/>
      <c r="D335" s="1017"/>
      <c r="E335" s="1017"/>
      <c r="F335" s="1017"/>
      <c r="G335" s="1017"/>
      <c r="H335" s="1017"/>
    </row>
    <row r="336" spans="1:8" ht="15">
      <c r="A336" s="1018" t="s">
        <v>563</v>
      </c>
      <c r="B336" s="1017"/>
      <c r="C336" s="1017"/>
      <c r="D336" s="1017"/>
      <c r="E336" s="1017"/>
      <c r="F336" s="1017"/>
      <c r="G336" s="1017"/>
      <c r="H336" s="1017"/>
    </row>
    <row r="337" spans="1:8" ht="15">
      <c r="A337" s="1018" t="s">
        <v>564</v>
      </c>
      <c r="B337" s="1017"/>
      <c r="C337" s="1017"/>
      <c r="D337" s="1017"/>
      <c r="E337" s="1017"/>
      <c r="F337" s="1017"/>
      <c r="G337" s="1017"/>
      <c r="H337" s="1017"/>
    </row>
    <row r="338" spans="1:8" ht="15">
      <c r="A338" s="1018" t="s">
        <v>565</v>
      </c>
      <c r="B338" s="1017"/>
      <c r="C338" s="1017"/>
      <c r="D338" s="1017"/>
      <c r="E338" s="1017"/>
      <c r="F338" s="1017"/>
      <c r="G338" s="1017"/>
      <c r="H338" s="1017"/>
    </row>
    <row r="339" spans="1:8" ht="15">
      <c r="A339" s="1018" t="s">
        <v>566</v>
      </c>
      <c r="B339" s="1017"/>
      <c r="C339" s="1017"/>
      <c r="D339" s="1017"/>
      <c r="E339" s="1017"/>
      <c r="F339" s="1017"/>
      <c r="G339" s="1017"/>
      <c r="H339" s="1017"/>
    </row>
    <row r="340" spans="1:8" ht="15">
      <c r="A340" s="1018" t="s">
        <v>567</v>
      </c>
      <c r="B340" s="1017"/>
      <c r="C340" s="1017"/>
      <c r="D340" s="1017"/>
      <c r="E340" s="1017"/>
      <c r="F340" s="1017"/>
      <c r="G340" s="1017"/>
      <c r="H340" s="1017"/>
    </row>
    <row r="341" spans="1:8" ht="15">
      <c r="A341" s="1018" t="s">
        <v>568</v>
      </c>
      <c r="B341" s="1017"/>
      <c r="C341" s="1017"/>
      <c r="D341" s="1017"/>
      <c r="E341" s="1017"/>
      <c r="F341" s="1017"/>
      <c r="G341" s="1017"/>
      <c r="H341" s="1017"/>
    </row>
    <row r="342" spans="1:8" ht="15">
      <c r="A342" s="1018" t="s">
        <v>569</v>
      </c>
      <c r="B342" s="1017"/>
      <c r="C342" s="1017"/>
      <c r="D342" s="1017"/>
      <c r="E342" s="1017"/>
      <c r="F342" s="1017"/>
      <c r="G342" s="1017"/>
      <c r="H342" s="1017"/>
    </row>
    <row r="343" spans="1:8" ht="15">
      <c r="A343" s="1018" t="s">
        <v>570</v>
      </c>
      <c r="B343" s="1017"/>
      <c r="C343" s="1017"/>
      <c r="D343" s="1017"/>
      <c r="E343" s="1017"/>
      <c r="F343" s="1017"/>
      <c r="G343" s="1017"/>
      <c r="H343" s="1017"/>
    </row>
    <row r="344" spans="1:8" ht="15">
      <c r="A344" s="1018" t="s">
        <v>571</v>
      </c>
      <c r="B344" s="1017"/>
      <c r="C344" s="1017"/>
      <c r="D344" s="1017"/>
      <c r="E344" s="1017"/>
      <c r="F344" s="1017"/>
      <c r="G344" s="1017"/>
      <c r="H344" s="1017"/>
    </row>
    <row r="345" spans="1:8" ht="15">
      <c r="A345" s="1018" t="s">
        <v>572</v>
      </c>
      <c r="B345" s="1017"/>
      <c r="C345" s="1017"/>
      <c r="D345" s="1017"/>
      <c r="E345" s="1017"/>
      <c r="F345" s="1017"/>
      <c r="G345" s="1017"/>
      <c r="H345" s="1017"/>
    </row>
    <row r="346" spans="1:8" ht="15">
      <c r="A346" s="1018" t="s">
        <v>573</v>
      </c>
      <c r="B346" s="1017"/>
      <c r="C346" s="1017"/>
      <c r="D346" s="1017"/>
      <c r="E346" s="1017"/>
      <c r="F346" s="1017"/>
      <c r="G346" s="1017"/>
      <c r="H346" s="1017"/>
    </row>
    <row r="347" spans="1:8" ht="15">
      <c r="A347" s="1018" t="s">
        <v>574</v>
      </c>
      <c r="B347" s="1017"/>
      <c r="C347" s="1017"/>
      <c r="D347" s="1017"/>
      <c r="E347" s="1017"/>
      <c r="F347" s="1017"/>
      <c r="G347" s="1017"/>
      <c r="H347" s="1017"/>
    </row>
    <row r="348" spans="1:8" ht="15">
      <c r="A348" s="1018" t="s">
        <v>575</v>
      </c>
      <c r="B348" s="1017"/>
      <c r="C348" s="1017"/>
      <c r="D348" s="1017"/>
      <c r="E348" s="1017"/>
      <c r="F348" s="1017"/>
      <c r="G348" s="1017"/>
      <c r="H348" s="1017"/>
    </row>
    <row r="349" spans="1:8" ht="15">
      <c r="A349" s="1018" t="s">
        <v>576</v>
      </c>
      <c r="B349" s="1017"/>
      <c r="C349" s="1017"/>
      <c r="D349" s="1017"/>
      <c r="E349" s="1017"/>
      <c r="F349" s="1017"/>
      <c r="G349" s="1017"/>
      <c r="H349" s="1017"/>
    </row>
    <row r="350" spans="1:8" ht="15">
      <c r="A350" s="1018" t="s">
        <v>577</v>
      </c>
      <c r="B350" s="1017"/>
      <c r="C350" s="1017"/>
      <c r="D350" s="1017"/>
      <c r="E350" s="1017"/>
      <c r="F350" s="1017"/>
      <c r="G350" s="1017"/>
      <c r="H350" s="1017"/>
    </row>
    <row r="351" spans="1:8" ht="15">
      <c r="A351" s="1018" t="s">
        <v>578</v>
      </c>
      <c r="B351" s="1017"/>
      <c r="C351" s="1017"/>
      <c r="D351" s="1017"/>
      <c r="E351" s="1017"/>
      <c r="F351" s="1017"/>
      <c r="G351" s="1017"/>
      <c r="H351" s="1017"/>
    </row>
    <row r="352" spans="1:8" ht="15">
      <c r="A352" s="1018" t="s">
        <v>579</v>
      </c>
      <c r="B352" s="1017"/>
      <c r="C352" s="1017"/>
      <c r="D352" s="1017"/>
      <c r="E352" s="1017"/>
      <c r="F352" s="1017"/>
      <c r="G352" s="1017"/>
      <c r="H352" s="1017"/>
    </row>
    <row r="353" spans="1:8" ht="15">
      <c r="A353" s="1018" t="s">
        <v>580</v>
      </c>
      <c r="B353" s="1017"/>
      <c r="C353" s="1017"/>
      <c r="D353" s="1017"/>
      <c r="E353" s="1017"/>
      <c r="F353" s="1017"/>
      <c r="G353" s="1017"/>
      <c r="H353" s="1017"/>
    </row>
    <row r="354" spans="1:8" ht="15">
      <c r="A354" s="1018" t="s">
        <v>581</v>
      </c>
      <c r="B354" s="1017"/>
      <c r="C354" s="1017"/>
      <c r="D354" s="1017"/>
      <c r="E354" s="1017"/>
      <c r="F354" s="1017"/>
      <c r="G354" s="1017"/>
      <c r="H354" s="1017"/>
    </row>
    <row r="355" spans="1:8" ht="15">
      <c r="A355" s="1018" t="s">
        <v>582</v>
      </c>
      <c r="B355" s="1017"/>
      <c r="C355" s="1017"/>
      <c r="D355" s="1017"/>
      <c r="E355" s="1017"/>
      <c r="F355" s="1017"/>
      <c r="G355" s="1017"/>
      <c r="H355" s="1017"/>
    </row>
    <row r="356" spans="1:8" ht="15">
      <c r="A356" s="1018" t="s">
        <v>583</v>
      </c>
      <c r="B356" s="1017"/>
      <c r="C356" s="1017"/>
      <c r="D356" s="1017"/>
      <c r="E356" s="1017"/>
      <c r="F356" s="1017"/>
      <c r="G356" s="1017"/>
      <c r="H356" s="1017"/>
    </row>
    <row r="357" spans="1:8" ht="15">
      <c r="A357" s="1018" t="s">
        <v>584</v>
      </c>
      <c r="B357" s="1017"/>
      <c r="C357" s="1017"/>
      <c r="D357" s="1017"/>
      <c r="E357" s="1017"/>
      <c r="F357" s="1017"/>
      <c r="G357" s="1017"/>
      <c r="H357" s="1017"/>
    </row>
    <row r="358" spans="1:8" ht="15">
      <c r="A358" s="1018" t="s">
        <v>585</v>
      </c>
      <c r="B358" s="1017"/>
      <c r="C358" s="1017"/>
      <c r="D358" s="1017"/>
      <c r="E358" s="1017"/>
      <c r="F358" s="1017"/>
      <c r="G358" s="1017"/>
      <c r="H358" s="1017"/>
    </row>
    <row r="359" spans="1:8" ht="15">
      <c r="A359" s="1018" t="s">
        <v>586</v>
      </c>
      <c r="B359" s="1017"/>
      <c r="C359" s="1017"/>
      <c r="D359" s="1017"/>
      <c r="E359" s="1017"/>
      <c r="F359" s="1017"/>
      <c r="G359" s="1017"/>
      <c r="H359" s="1017"/>
    </row>
    <row r="360" spans="1:8" ht="15">
      <c r="A360" s="1018" t="s">
        <v>587</v>
      </c>
      <c r="B360" s="1017"/>
      <c r="C360" s="1017"/>
      <c r="D360" s="1017"/>
      <c r="E360" s="1017"/>
      <c r="F360" s="1017"/>
      <c r="G360" s="1017"/>
      <c r="H360" s="1017"/>
    </row>
    <row r="361" spans="1:8" ht="15">
      <c r="A361" s="1018" t="s">
        <v>588</v>
      </c>
      <c r="B361" s="1017"/>
      <c r="C361" s="1017"/>
      <c r="D361" s="1017"/>
      <c r="E361" s="1017"/>
      <c r="F361" s="1017"/>
      <c r="G361" s="1017"/>
      <c r="H361" s="1017"/>
    </row>
    <row r="362" spans="1:8" ht="15">
      <c r="A362" s="1018" t="s">
        <v>589</v>
      </c>
      <c r="B362" s="1017"/>
      <c r="C362" s="1017"/>
      <c r="D362" s="1017"/>
      <c r="E362" s="1017"/>
      <c r="F362" s="1017"/>
      <c r="G362" s="1017"/>
      <c r="H362" s="1017"/>
    </row>
    <row r="363" spans="1:8" ht="15">
      <c r="A363" s="1018" t="s">
        <v>590</v>
      </c>
      <c r="B363" s="1017"/>
      <c r="C363" s="1017"/>
      <c r="D363" s="1017"/>
      <c r="E363" s="1017"/>
      <c r="F363" s="1017"/>
      <c r="G363" s="1017"/>
      <c r="H363" s="1017"/>
    </row>
    <row r="364" spans="1:8" ht="15">
      <c r="A364" s="1018" t="s">
        <v>591</v>
      </c>
      <c r="B364" s="1017"/>
      <c r="C364" s="1017"/>
      <c r="D364" s="1017"/>
      <c r="E364" s="1017"/>
      <c r="F364" s="1017"/>
      <c r="G364" s="1017"/>
      <c r="H364" s="1017"/>
    </row>
    <row r="365" spans="1:8" ht="15">
      <c r="A365" s="1018" t="s">
        <v>592</v>
      </c>
      <c r="B365" s="1017"/>
      <c r="C365" s="1017"/>
      <c r="D365" s="1017"/>
      <c r="E365" s="1017"/>
      <c r="F365" s="1017"/>
      <c r="G365" s="1017"/>
      <c r="H365" s="1017"/>
    </row>
    <row r="366" spans="1:8" ht="15">
      <c r="A366" s="1017"/>
      <c r="B366" s="1017"/>
      <c r="C366" s="1017"/>
      <c r="D366" s="1017"/>
      <c r="E366" s="1017"/>
      <c r="F366" s="1017"/>
      <c r="G366" s="1017"/>
      <c r="H366" s="1017"/>
    </row>
    <row r="367" spans="1:8" ht="15">
      <c r="A367" s="1018" t="s">
        <v>550</v>
      </c>
      <c r="B367" s="1017"/>
      <c r="C367" s="1017"/>
      <c r="D367" s="1017"/>
      <c r="E367" s="1017"/>
      <c r="F367" s="1017"/>
      <c r="G367" s="1017"/>
      <c r="H367" s="1017"/>
    </row>
    <row r="368" spans="1:8" ht="15">
      <c r="A368" s="1018" t="s">
        <v>554</v>
      </c>
      <c r="B368" s="1017"/>
      <c r="C368" s="1017"/>
      <c r="D368" s="1017"/>
      <c r="E368" s="1017"/>
      <c r="F368" s="1017"/>
      <c r="G368" s="1017"/>
      <c r="H368" s="1017"/>
    </row>
    <row r="369" spans="1:8" ht="15">
      <c r="A369" s="1018" t="s">
        <v>555</v>
      </c>
      <c r="B369" s="1017"/>
      <c r="C369" s="1017"/>
      <c r="D369" s="1017"/>
      <c r="E369" s="1017"/>
      <c r="F369" s="1017"/>
      <c r="G369" s="1017"/>
      <c r="H369" s="1017"/>
    </row>
    <row r="370" spans="1:8" ht="15">
      <c r="A370" s="1018" t="s">
        <v>556</v>
      </c>
      <c r="B370" s="1017"/>
      <c r="C370" s="1017"/>
      <c r="D370" s="1017"/>
      <c r="E370" s="1017"/>
      <c r="F370" s="1017"/>
      <c r="G370" s="1017"/>
      <c r="H370" s="1017"/>
    </row>
    <row r="371" spans="1:8" ht="15">
      <c r="A371" s="1018" t="s">
        <v>557</v>
      </c>
      <c r="B371" s="1017"/>
      <c r="C371" s="1017"/>
      <c r="D371" s="1017"/>
      <c r="E371" s="1017"/>
      <c r="F371" s="1017"/>
      <c r="G371" s="1017"/>
      <c r="H371" s="1017"/>
    </row>
    <row r="372" spans="1:8" ht="15">
      <c r="A372" s="1017"/>
      <c r="B372" s="1017"/>
      <c r="C372" s="1017"/>
      <c r="D372" s="1017"/>
      <c r="E372" s="1017"/>
      <c r="F372" s="1017"/>
      <c r="G372" s="1017"/>
      <c r="H372" s="1017"/>
    </row>
    <row r="373" spans="1:8" ht="15">
      <c r="A373" s="1018" t="s">
        <v>550</v>
      </c>
      <c r="B373" s="1017"/>
      <c r="C373" s="1017"/>
      <c r="D373" s="1017"/>
      <c r="E373" s="1017"/>
      <c r="F373" s="1017"/>
      <c r="G373" s="1017"/>
      <c r="H373" s="1017"/>
    </row>
    <row r="374" spans="1:8" ht="15">
      <c r="A374" s="1018" t="s">
        <v>551</v>
      </c>
      <c r="B374" s="1017"/>
      <c r="C374" s="1017"/>
      <c r="D374" s="1017"/>
      <c r="E374" s="1017"/>
      <c r="F374" s="1017"/>
      <c r="G374" s="1017"/>
      <c r="H374" s="1017"/>
    </row>
    <row r="375" spans="1:8" ht="15">
      <c r="A375" s="1018" t="s">
        <v>552</v>
      </c>
      <c r="B375" s="1017"/>
      <c r="C375" s="1017"/>
      <c r="D375" s="1017"/>
      <c r="E375" s="1017"/>
      <c r="F375" s="1017"/>
      <c r="G375" s="1017"/>
      <c r="H375" s="1017"/>
    </row>
    <row r="376" spans="1:8" ht="15">
      <c r="A376" s="1018" t="s">
        <v>553</v>
      </c>
      <c r="B376" s="1017"/>
      <c r="C376" s="1017"/>
      <c r="D376" s="1017"/>
      <c r="E376" s="1017"/>
      <c r="F376" s="1017"/>
      <c r="G376" s="1017"/>
      <c r="H376" s="1017"/>
    </row>
    <row r="377" spans="1:8" ht="15">
      <c r="A377" s="1017"/>
      <c r="B377" s="1017"/>
      <c r="C377" s="1017"/>
      <c r="D377" s="1017"/>
      <c r="E377" s="1017"/>
      <c r="F377" s="1017"/>
      <c r="G377" s="1017"/>
      <c r="H377" s="1017"/>
    </row>
    <row r="378" spans="1:8" ht="15">
      <c r="A378" s="1018" t="s">
        <v>544</v>
      </c>
      <c r="B378" s="1017"/>
      <c r="C378" s="1017"/>
      <c r="D378" s="1017"/>
      <c r="E378" s="1017"/>
      <c r="F378" s="1017"/>
      <c r="G378" s="1017"/>
      <c r="H378" s="1017"/>
    </row>
    <row r="379" spans="1:8" ht="15">
      <c r="A379" s="1018" t="s">
        <v>545</v>
      </c>
      <c r="B379" s="1017"/>
      <c r="C379" s="1017"/>
      <c r="D379" s="1017"/>
      <c r="E379" s="1017"/>
      <c r="F379" s="1017"/>
      <c r="G379" s="1017"/>
      <c r="H379" s="1017"/>
    </row>
    <row r="380" spans="1:8" ht="15">
      <c r="A380" s="1018" t="s">
        <v>546</v>
      </c>
      <c r="B380" s="1017"/>
      <c r="C380" s="1017"/>
      <c r="D380" s="1017"/>
      <c r="E380" s="1017"/>
      <c r="F380" s="1017"/>
      <c r="G380" s="1017"/>
      <c r="H380" s="1017"/>
    </row>
    <row r="381" spans="1:8" ht="15">
      <c r="A381" s="1018" t="s">
        <v>547</v>
      </c>
      <c r="B381" s="1017"/>
      <c r="C381" s="1017"/>
      <c r="D381" s="1017"/>
      <c r="E381" s="1017"/>
      <c r="F381" s="1017"/>
      <c r="G381" s="1017"/>
      <c r="H381" s="1017"/>
    </row>
    <row r="382" spans="1:8" ht="15">
      <c r="A382" s="1018" t="s">
        <v>548</v>
      </c>
      <c r="B382" s="1017"/>
      <c r="C382" s="1017"/>
      <c r="D382" s="1017"/>
      <c r="E382" s="1017"/>
      <c r="F382" s="1017"/>
      <c r="G382" s="1017"/>
      <c r="H382" s="1017"/>
    </row>
    <row r="383" spans="1:8" ht="15">
      <c r="A383" s="1018" t="s">
        <v>549</v>
      </c>
      <c r="B383" s="1017"/>
      <c r="C383" s="1017"/>
      <c r="D383" s="1017"/>
      <c r="E383" s="1017"/>
      <c r="F383" s="1017"/>
      <c r="G383" s="1017"/>
      <c r="H383" s="1017"/>
    </row>
    <row r="384" spans="1:8" ht="15">
      <c r="A384" s="1017"/>
      <c r="B384" s="1017"/>
      <c r="C384" s="1017"/>
      <c r="D384" s="1017"/>
      <c r="E384" s="1017"/>
      <c r="F384" s="1017"/>
      <c r="G384" s="1017"/>
      <c r="H384" s="1017"/>
    </row>
    <row r="385" spans="1:8" ht="15">
      <c r="A385" s="1018" t="s">
        <v>539</v>
      </c>
      <c r="B385" s="1017"/>
      <c r="C385" s="1017"/>
      <c r="D385" s="1017"/>
      <c r="E385" s="1017"/>
      <c r="F385" s="1017"/>
      <c r="G385" s="1017"/>
      <c r="H385" s="1017"/>
    </row>
    <row r="386" spans="1:8" ht="15">
      <c r="A386" s="1018" t="s">
        <v>540</v>
      </c>
      <c r="B386" s="1017"/>
      <c r="C386" s="1017"/>
      <c r="D386" s="1017"/>
      <c r="E386" s="1017"/>
      <c r="F386" s="1017"/>
      <c r="G386" s="1017"/>
      <c r="H386" s="1017"/>
    </row>
    <row r="387" spans="1:8" ht="15">
      <c r="A387" s="1018" t="s">
        <v>541</v>
      </c>
      <c r="B387" s="1017"/>
      <c r="C387" s="1017"/>
      <c r="D387" s="1017"/>
      <c r="E387" s="1017"/>
      <c r="F387" s="1017"/>
      <c r="G387" s="1017"/>
      <c r="H387" s="1017"/>
    </row>
    <row r="388" spans="1:8" ht="15">
      <c r="A388" s="1018" t="s">
        <v>542</v>
      </c>
      <c r="B388" s="1017"/>
      <c r="C388" s="1017"/>
      <c r="D388" s="1017"/>
      <c r="E388" s="1017"/>
      <c r="F388" s="1017"/>
      <c r="G388" s="1017"/>
      <c r="H388" s="1017"/>
    </row>
    <row r="389" spans="1:8" ht="15">
      <c r="A389" s="1018" t="s">
        <v>543</v>
      </c>
      <c r="B389" s="1017"/>
      <c r="C389" s="1017"/>
      <c r="D389" s="1017"/>
      <c r="E389" s="1017"/>
      <c r="F389" s="1017"/>
      <c r="G389" s="1017"/>
      <c r="H389" s="1017"/>
    </row>
    <row r="390" spans="1:8" ht="15">
      <c r="A390" s="1017"/>
      <c r="B390" s="1017"/>
      <c r="C390" s="1017"/>
      <c r="D390" s="1017"/>
      <c r="E390" s="1017"/>
      <c r="F390" s="1017"/>
      <c r="G390" s="1017"/>
      <c r="H390" s="1017"/>
    </row>
    <row r="391" spans="1:8" ht="15">
      <c r="A391" s="1018" t="s">
        <v>537</v>
      </c>
      <c r="B391" s="1017"/>
      <c r="C391" s="1017"/>
      <c r="D391" s="1017"/>
      <c r="E391" s="1017"/>
      <c r="F391" s="1017"/>
      <c r="G391" s="1017"/>
      <c r="H391" s="1017"/>
    </row>
    <row r="392" spans="1:8" ht="15">
      <c r="A392" s="1018" t="s">
        <v>538</v>
      </c>
      <c r="B392" s="1017"/>
      <c r="C392" s="1017"/>
      <c r="D392" s="1017"/>
      <c r="E392" s="1017"/>
      <c r="F392" s="1017"/>
      <c r="G392" s="1017"/>
      <c r="H392" s="1017"/>
    </row>
    <row r="394" spans="1:8">
      <c r="A394" s="1013" t="s">
        <v>795</v>
      </c>
    </row>
  </sheetData>
  <mergeCells count="12">
    <mergeCell ref="A132:H132"/>
    <mergeCell ref="A133:H133"/>
    <mergeCell ref="B125:C125"/>
    <mergeCell ref="D125:F125"/>
    <mergeCell ref="G125:H125"/>
    <mergeCell ref="A111:H111"/>
    <mergeCell ref="A112:H112"/>
    <mergeCell ref="A113:H113"/>
    <mergeCell ref="A114:H114"/>
    <mergeCell ref="A116:H116"/>
    <mergeCell ref="A117:H117"/>
    <mergeCell ref="A124:H12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DD207"/>
  <sheetViews>
    <sheetView zoomScaleNormal="100" workbookViewId="0">
      <pane xSplit="2" ySplit="5" topLeftCell="AU6" activePane="bottomRight" state="frozen"/>
      <selection pane="topRight" activeCell="C1" sqref="C1"/>
      <selection pane="bottomLeft" activeCell="A6" sqref="A6"/>
      <selection pane="bottomRight" activeCell="BY26" sqref="BY26"/>
    </sheetView>
  </sheetViews>
  <sheetFormatPr defaultRowHeight="15" outlineLevelRow="1" outlineLevelCol="1"/>
  <cols>
    <col min="1" max="1" width="14.5703125" style="5" bestFit="1" customWidth="1"/>
    <col min="2" max="2" width="32.42578125" style="108" customWidth="1"/>
    <col min="3" max="3" width="7.42578125" style="203" hidden="1" customWidth="1" outlineLevel="1"/>
    <col min="4" max="5" width="7.42578125" style="108" hidden="1" customWidth="1" outlineLevel="1"/>
    <col min="6" max="6" width="7.42578125" style="204" hidden="1" customWidth="1" outlineLevel="1"/>
    <col min="7" max="10" width="7.42578125" style="108" hidden="1" customWidth="1" outlineLevel="1"/>
    <col min="11" max="11" width="7.42578125" style="203" hidden="1" customWidth="1" outlineLevel="1"/>
    <col min="12" max="13" width="7.42578125" style="108" hidden="1" customWidth="1" outlineLevel="1"/>
    <col min="14" max="14" width="7.42578125" style="204" hidden="1" customWidth="1" outlineLevel="1"/>
    <col min="15" max="18" width="7.42578125" style="108" hidden="1" customWidth="1" outlineLevel="1"/>
    <col min="19" max="19" width="7.42578125" style="203" hidden="1" customWidth="1" outlineLevel="1"/>
    <col min="20" max="21" width="7.42578125" style="108" hidden="1" customWidth="1" outlineLevel="1"/>
    <col min="22" max="22" width="7.42578125" style="204" hidden="1" customWidth="1" outlineLevel="1"/>
    <col min="23" max="23" width="8.85546875" style="108" hidden="1" customWidth="1" outlineLevel="1" collapsed="1"/>
    <col min="24" max="25" width="8.85546875" style="108" hidden="1" customWidth="1" outlineLevel="1"/>
    <col min="26" max="26" width="8.28515625" style="108" hidden="1" customWidth="1" outlineLevel="1"/>
    <col min="27" max="27" width="8.85546875" style="203" hidden="1" customWidth="1" outlineLevel="1"/>
    <col min="28" max="29" width="8.85546875" style="108" hidden="1" customWidth="1" outlineLevel="1"/>
    <col min="30" max="30" width="8.85546875" style="204" hidden="1" customWidth="1" outlineLevel="1"/>
    <col min="31" max="31" width="7.42578125" style="108" hidden="1" customWidth="1" outlineLevel="1" collapsed="1"/>
    <col min="32" max="32" width="8.85546875" style="108" hidden="1" customWidth="1" outlineLevel="1"/>
    <col min="33" max="33" width="8.28515625" style="108" hidden="1" customWidth="1" outlineLevel="1"/>
    <col min="34" max="34" width="8.85546875" style="204" hidden="1" customWidth="1" outlineLevel="1"/>
    <col min="35" max="35" width="8.42578125" style="108" hidden="1" customWidth="1" outlineLevel="1" collapsed="1"/>
    <col min="36" max="37" width="8.42578125" style="108" hidden="1" customWidth="1" outlineLevel="1"/>
    <col min="38" max="38" width="8.42578125" style="204" hidden="1" customWidth="1" outlineLevel="1" collapsed="1"/>
    <col min="39" max="39" width="8.42578125" style="108" hidden="1" customWidth="1" outlineLevel="1" collapsed="1"/>
    <col min="40" max="41" width="8.42578125" style="108" hidden="1" customWidth="1" outlineLevel="1"/>
    <col min="42" max="42" width="8.42578125" style="204" hidden="1" customWidth="1" outlineLevel="1"/>
    <col min="43" max="43" width="8.42578125" style="108" hidden="1" customWidth="1" outlineLevel="1" collapsed="1"/>
    <col min="44" max="45" width="8.42578125" style="108" hidden="1" customWidth="1" outlineLevel="1"/>
    <col min="46" max="46" width="8.42578125" style="204" hidden="1" customWidth="1" outlineLevel="1"/>
    <col min="47" max="47" width="8.42578125" style="108" customWidth="1" collapsed="1"/>
    <col min="48" max="49" width="8.42578125" style="108" customWidth="1"/>
    <col min="50" max="50" width="8.42578125" style="204" customWidth="1"/>
    <col min="51" max="53" width="8.42578125" style="108" customWidth="1"/>
    <col min="54" max="54" width="8.42578125" style="204" customWidth="1"/>
    <col min="55" max="57" width="8.42578125" style="108" customWidth="1"/>
    <col min="58" max="58" width="8.42578125" style="204" customWidth="1"/>
    <col min="59" max="61" width="8.42578125" style="108" customWidth="1"/>
    <col min="62" max="62" width="8.42578125" style="204" customWidth="1"/>
    <col min="63" max="66" width="8.42578125" style="108" customWidth="1" outlineLevel="1"/>
    <col min="67" max="67" width="2.42578125" style="108" customWidth="1"/>
    <col min="68" max="68" width="7.7109375" style="108" hidden="1" customWidth="1" outlineLevel="1"/>
    <col min="69" max="74" width="6.85546875" style="108" hidden="1" customWidth="1" outlineLevel="1"/>
    <col min="75" max="76" width="8.42578125" style="108" hidden="1" customWidth="1" outlineLevel="1" collapsed="1"/>
    <col min="77" max="77" width="8.42578125" style="108" customWidth="1" collapsed="1"/>
    <col min="78" max="79" width="8.42578125" style="108" customWidth="1"/>
    <col min="80" max="83" width="8.28515625" style="108" customWidth="1"/>
    <col min="84" max="84" width="6.85546875" style="108" customWidth="1"/>
    <col min="85" max="102" width="9.140625" style="108"/>
    <col min="109" max="16384" width="9.140625" style="108"/>
  </cols>
  <sheetData>
    <row r="1" spans="1:108" s="5" customFormat="1" ht="18">
      <c r="A1" s="5" t="s">
        <v>116</v>
      </c>
      <c r="B1" s="12" t="s">
        <v>133</v>
      </c>
      <c r="C1" s="15"/>
      <c r="F1" s="16"/>
      <c r="K1" s="15"/>
      <c r="N1" s="16"/>
      <c r="S1" s="15"/>
      <c r="V1" s="1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649"/>
      <c r="AS1" s="46"/>
      <c r="AT1" s="46"/>
      <c r="AU1" s="46"/>
      <c r="AV1" s="649"/>
      <c r="AW1" s="738"/>
      <c r="AX1" s="46"/>
      <c r="AY1" s="201"/>
      <c r="AZ1" s="649"/>
      <c r="BA1" s="649"/>
      <c r="BB1" s="46"/>
      <c r="BC1" s="928"/>
      <c r="BD1" s="698"/>
      <c r="BE1" s="812"/>
      <c r="BF1" s="812"/>
      <c r="BG1" s="928"/>
      <c r="BH1" s="698"/>
      <c r="BI1" s="812"/>
      <c r="BJ1" s="812"/>
      <c r="BK1" s="812"/>
      <c r="BL1" s="812"/>
      <c r="BM1" s="812"/>
      <c r="BN1" s="812"/>
      <c r="BO1" s="623"/>
      <c r="BX1" s="623"/>
      <c r="BY1" s="623"/>
      <c r="BZ1" s="649"/>
      <c r="CA1" s="649"/>
      <c r="CB1" s="649"/>
      <c r="CC1" s="649"/>
      <c r="CD1" s="649"/>
      <c r="CE1" s="649"/>
      <c r="CF1" s="14"/>
      <c r="CG1" s="14"/>
      <c r="CY1"/>
      <c r="CZ1"/>
      <c r="DA1"/>
      <c r="DB1"/>
      <c r="DC1"/>
      <c r="DD1"/>
    </row>
    <row r="2" spans="1:108" s="5" customFormat="1">
      <c r="A2" s="9" t="s">
        <v>119</v>
      </c>
      <c r="B2" s="9" t="s">
        <v>385</v>
      </c>
      <c r="C2" s="201" t="s">
        <v>284</v>
      </c>
      <c r="D2" s="107" t="s">
        <v>285</v>
      </c>
      <c r="E2" s="107" t="s">
        <v>286</v>
      </c>
      <c r="F2" s="202" t="s">
        <v>287</v>
      </c>
      <c r="G2" s="107" t="s">
        <v>288</v>
      </c>
      <c r="H2" s="107" t="s">
        <v>289</v>
      </c>
      <c r="I2" s="107" t="s">
        <v>290</v>
      </c>
      <c r="J2" s="107" t="s">
        <v>291</v>
      </c>
      <c r="K2" s="201" t="s">
        <v>292</v>
      </c>
      <c r="L2" s="107" t="s">
        <v>293</v>
      </c>
      <c r="M2" s="107" t="s">
        <v>294</v>
      </c>
      <c r="N2" s="202" t="s">
        <v>295</v>
      </c>
      <c r="O2" s="107" t="s">
        <v>296</v>
      </c>
      <c r="P2" s="107" t="s">
        <v>297</v>
      </c>
      <c r="Q2" s="107" t="s">
        <v>298</v>
      </c>
      <c r="R2" s="107" t="s">
        <v>299</v>
      </c>
      <c r="S2" s="201" t="s">
        <v>300</v>
      </c>
      <c r="T2" s="107" t="s">
        <v>301</v>
      </c>
      <c r="U2" s="107" t="s">
        <v>302</v>
      </c>
      <c r="V2" s="202" t="s">
        <v>303</v>
      </c>
      <c r="W2" s="107" t="s">
        <v>238</v>
      </c>
      <c r="X2" s="107" t="s">
        <v>239</v>
      </c>
      <c r="Y2" s="107" t="s">
        <v>240</v>
      </c>
      <c r="Z2" s="107" t="s">
        <v>241</v>
      </c>
      <c r="AA2" s="201" t="s">
        <v>245</v>
      </c>
      <c r="AB2" s="107" t="s">
        <v>244</v>
      </c>
      <c r="AC2" s="107" t="s">
        <v>243</v>
      </c>
      <c r="AD2" s="202" t="s">
        <v>242</v>
      </c>
      <c r="AE2" s="107" t="s">
        <v>120</v>
      </c>
      <c r="AF2" s="107" t="s">
        <v>121</v>
      </c>
      <c r="AG2" s="107" t="s">
        <v>126</v>
      </c>
      <c r="AH2" s="107" t="s">
        <v>127</v>
      </c>
      <c r="AI2" s="201" t="s">
        <v>122</v>
      </c>
      <c r="AJ2" s="107" t="s">
        <v>123</v>
      </c>
      <c r="AK2" s="107" t="s">
        <v>124</v>
      </c>
      <c r="AL2" s="202" t="s">
        <v>125</v>
      </c>
      <c r="AM2" s="201" t="s">
        <v>129</v>
      </c>
      <c r="AN2" s="107" t="s">
        <v>128</v>
      </c>
      <c r="AO2" s="107" t="s">
        <v>130</v>
      </c>
      <c r="AP2" s="202" t="s">
        <v>131</v>
      </c>
      <c r="AQ2" s="201" t="s">
        <v>357</v>
      </c>
      <c r="AR2" s="107" t="s">
        <v>358</v>
      </c>
      <c r="AS2" s="107" t="s">
        <v>359</v>
      </c>
      <c r="AT2" s="202" t="s">
        <v>360</v>
      </c>
      <c r="AU2" s="201" t="s">
        <v>418</v>
      </c>
      <c r="AV2" s="107" t="s">
        <v>419</v>
      </c>
      <c r="AW2" s="125" t="s">
        <v>420</v>
      </c>
      <c r="AX2" s="202" t="s">
        <v>421</v>
      </c>
      <c r="AY2" s="508" t="s">
        <v>444</v>
      </c>
      <c r="AZ2" s="107" t="s">
        <v>445</v>
      </c>
      <c r="BA2" s="107" t="s">
        <v>446</v>
      </c>
      <c r="BB2" s="202" t="s">
        <v>447</v>
      </c>
      <c r="BC2" s="929" t="s">
        <v>454</v>
      </c>
      <c r="BD2" s="111" t="s">
        <v>455</v>
      </c>
      <c r="BE2" s="111" t="s">
        <v>456</v>
      </c>
      <c r="BF2" s="198" t="s">
        <v>457</v>
      </c>
      <c r="BG2" s="929" t="s">
        <v>458</v>
      </c>
      <c r="BH2" s="111" t="s">
        <v>459</v>
      </c>
      <c r="BI2" s="111" t="s">
        <v>460</v>
      </c>
      <c r="BJ2" s="198" t="s">
        <v>461</v>
      </c>
      <c r="BK2" s="929" t="s">
        <v>472</v>
      </c>
      <c r="BL2" s="111" t="s">
        <v>473</v>
      </c>
      <c r="BM2" s="111" t="s">
        <v>474</v>
      </c>
      <c r="BN2" s="198" t="s">
        <v>475</v>
      </c>
      <c r="BO2" s="125"/>
      <c r="BP2" s="107" t="s">
        <v>197</v>
      </c>
      <c r="BQ2" s="107" t="s">
        <v>198</v>
      </c>
      <c r="BR2" s="107" t="s">
        <v>199</v>
      </c>
      <c r="BS2" s="107" t="s">
        <v>200</v>
      </c>
      <c r="BT2" s="107" t="s">
        <v>201</v>
      </c>
      <c r="BU2" s="107" t="s">
        <v>202</v>
      </c>
      <c r="BV2" s="107" t="s">
        <v>151</v>
      </c>
      <c r="BW2" s="107" t="s">
        <v>152</v>
      </c>
      <c r="BX2" s="107" t="s">
        <v>153</v>
      </c>
      <c r="BY2" s="107" t="s">
        <v>203</v>
      </c>
      <c r="BZ2" s="107" t="s">
        <v>204</v>
      </c>
      <c r="CA2" s="107" t="s">
        <v>205</v>
      </c>
      <c r="CB2" s="107" t="s">
        <v>206</v>
      </c>
      <c r="CC2" s="107" t="s">
        <v>207</v>
      </c>
      <c r="CD2" s="107" t="s">
        <v>208</v>
      </c>
      <c r="CE2" s="107" t="s">
        <v>480</v>
      </c>
      <c r="CG2" s="980"/>
      <c r="CH2" s="979"/>
      <c r="CY2"/>
      <c r="CZ2"/>
      <c r="DA2"/>
      <c r="DB2"/>
      <c r="DC2"/>
      <c r="DD2"/>
    </row>
    <row r="3" spans="1:108" s="5" customFormat="1">
      <c r="A3" s="9" t="s">
        <v>182</v>
      </c>
      <c r="B3" s="9"/>
      <c r="C3" s="17">
        <v>38472</v>
      </c>
      <c r="D3" s="13">
        <v>38564</v>
      </c>
      <c r="E3" s="13">
        <v>38656</v>
      </c>
      <c r="F3" s="18">
        <v>38748</v>
      </c>
      <c r="G3" s="13">
        <v>38837</v>
      </c>
      <c r="H3" s="13">
        <v>38929</v>
      </c>
      <c r="I3" s="13">
        <v>39021</v>
      </c>
      <c r="J3" s="13">
        <v>39113</v>
      </c>
      <c r="K3" s="17">
        <v>39202</v>
      </c>
      <c r="L3" s="13">
        <v>39294</v>
      </c>
      <c r="M3" s="13">
        <v>39386</v>
      </c>
      <c r="N3" s="18">
        <v>39478</v>
      </c>
      <c r="O3" s="13">
        <v>39568</v>
      </c>
      <c r="P3" s="13">
        <v>39660</v>
      </c>
      <c r="Q3" s="13">
        <v>39752</v>
      </c>
      <c r="R3" s="13">
        <v>39844</v>
      </c>
      <c r="S3" s="17">
        <v>39933</v>
      </c>
      <c r="T3" s="13">
        <v>40025</v>
      </c>
      <c r="U3" s="13">
        <v>40117</v>
      </c>
      <c r="V3" s="18">
        <v>40209</v>
      </c>
      <c r="W3" s="13">
        <v>40298</v>
      </c>
      <c r="X3" s="13">
        <v>40390</v>
      </c>
      <c r="Y3" s="13">
        <v>40482</v>
      </c>
      <c r="Z3" s="13">
        <v>40574</v>
      </c>
      <c r="AA3" s="17">
        <v>40663</v>
      </c>
      <c r="AB3" s="13">
        <v>40755</v>
      </c>
      <c r="AC3" s="13">
        <v>40847</v>
      </c>
      <c r="AD3" s="18">
        <v>40939</v>
      </c>
      <c r="AE3" s="13">
        <v>41029</v>
      </c>
      <c r="AF3" s="13">
        <v>41121</v>
      </c>
      <c r="AG3" s="13">
        <v>41213</v>
      </c>
      <c r="AH3" s="13">
        <v>41305</v>
      </c>
      <c r="AI3" s="17">
        <v>41394</v>
      </c>
      <c r="AJ3" s="13">
        <v>41486</v>
      </c>
      <c r="AK3" s="13">
        <v>41578</v>
      </c>
      <c r="AL3" s="18">
        <v>41670</v>
      </c>
      <c r="AM3" s="17">
        <v>41759</v>
      </c>
      <c r="AN3" s="13">
        <v>41851</v>
      </c>
      <c r="AO3" s="13">
        <v>41943</v>
      </c>
      <c r="AP3" s="18">
        <v>42035</v>
      </c>
      <c r="AQ3" s="17">
        <v>42124</v>
      </c>
      <c r="AR3" s="13">
        <v>42216</v>
      </c>
      <c r="AS3" s="13">
        <v>42308</v>
      </c>
      <c r="AT3" s="18">
        <v>42400</v>
      </c>
      <c r="AU3" s="17">
        <v>42490</v>
      </c>
      <c r="AV3" s="13">
        <v>42582</v>
      </c>
      <c r="AW3" s="86">
        <v>42674</v>
      </c>
      <c r="AX3" s="18">
        <v>42766</v>
      </c>
      <c r="AY3" s="86">
        <v>42855</v>
      </c>
      <c r="AZ3" s="13">
        <v>42947</v>
      </c>
      <c r="BA3" s="13">
        <v>43039</v>
      </c>
      <c r="BB3" s="18">
        <v>43131</v>
      </c>
      <c r="BC3" s="112">
        <v>43220</v>
      </c>
      <c r="BD3" s="112">
        <v>43312</v>
      </c>
      <c r="BE3" s="112">
        <v>43404</v>
      </c>
      <c r="BF3" s="243">
        <v>43496</v>
      </c>
      <c r="BG3" s="112">
        <v>43585</v>
      </c>
      <c r="BH3" s="112">
        <v>43677</v>
      </c>
      <c r="BI3" s="112">
        <v>43769</v>
      </c>
      <c r="BJ3" s="243">
        <v>43861</v>
      </c>
      <c r="BK3" s="112">
        <v>43951</v>
      </c>
      <c r="BL3" s="112">
        <v>44043</v>
      </c>
      <c r="BM3" s="112">
        <v>44135</v>
      </c>
      <c r="BN3" s="243">
        <v>44227</v>
      </c>
      <c r="BO3" s="86"/>
      <c r="BP3" s="13"/>
      <c r="BQ3" s="13"/>
      <c r="BR3" s="13"/>
      <c r="BS3" s="13"/>
      <c r="BT3" s="13"/>
      <c r="BU3" s="13"/>
      <c r="BV3" s="13"/>
      <c r="BW3" s="13">
        <f>DATE(RIGHT(BW2,4),1,31)</f>
        <v>41305</v>
      </c>
      <c r="BX3" s="13">
        <f>DATE(RIGHT(BX2,4),1,31)</f>
        <v>41670</v>
      </c>
      <c r="BY3" s="13">
        <f t="shared" ref="BY3:CD3" si="0">DATE(RIGHT(BY2,4),1,31)</f>
        <v>42035</v>
      </c>
      <c r="BZ3" s="13">
        <f t="shared" si="0"/>
        <v>42400</v>
      </c>
      <c r="CA3" s="13">
        <f t="shared" si="0"/>
        <v>42766</v>
      </c>
      <c r="CB3" s="13">
        <f t="shared" si="0"/>
        <v>43131</v>
      </c>
      <c r="CC3" s="13">
        <f t="shared" si="0"/>
        <v>43496</v>
      </c>
      <c r="CD3" s="13">
        <f t="shared" si="0"/>
        <v>43861</v>
      </c>
      <c r="CE3" s="13">
        <f t="shared" ref="CE3" si="1">DATE(RIGHT(CE2,4),1,31)</f>
        <v>44227</v>
      </c>
      <c r="CY3"/>
      <c r="CZ3"/>
      <c r="DA3"/>
      <c r="DB3"/>
      <c r="DC3"/>
      <c r="DD3"/>
    </row>
    <row r="4" spans="1:108" s="5" customFormat="1">
      <c r="A4" s="9" t="s">
        <v>70</v>
      </c>
      <c r="B4" s="9"/>
      <c r="C4" s="19" t="s">
        <v>71</v>
      </c>
      <c r="D4" s="7" t="s">
        <v>72</v>
      </c>
      <c r="E4" s="7" t="s">
        <v>73</v>
      </c>
      <c r="F4" s="20" t="s">
        <v>74</v>
      </c>
      <c r="G4" s="7" t="s">
        <v>75</v>
      </c>
      <c r="H4" s="7" t="s">
        <v>76</v>
      </c>
      <c r="I4" s="7" t="s">
        <v>77</v>
      </c>
      <c r="J4" s="7" t="s">
        <v>78</v>
      </c>
      <c r="K4" s="19" t="s">
        <v>79</v>
      </c>
      <c r="L4" s="7" t="s">
        <v>80</v>
      </c>
      <c r="M4" s="7" t="s">
        <v>81</v>
      </c>
      <c r="N4" s="20" t="s">
        <v>82</v>
      </c>
      <c r="O4" s="7" t="s">
        <v>83</v>
      </c>
      <c r="P4" s="7" t="s">
        <v>84</v>
      </c>
      <c r="Q4" s="7" t="s">
        <v>85</v>
      </c>
      <c r="R4" s="7" t="s">
        <v>86</v>
      </c>
      <c r="S4" s="19" t="s">
        <v>87</v>
      </c>
      <c r="T4" s="7" t="s">
        <v>88</v>
      </c>
      <c r="U4" s="7" t="s">
        <v>89</v>
      </c>
      <c r="V4" s="20" t="s">
        <v>90</v>
      </c>
      <c r="W4" s="7" t="s">
        <v>91</v>
      </c>
      <c r="X4" s="7" t="s">
        <v>92</v>
      </c>
      <c r="Y4" s="7" t="s">
        <v>93</v>
      </c>
      <c r="Z4" s="7" t="s">
        <v>94</v>
      </c>
      <c r="AA4" s="19" t="s">
        <v>95</v>
      </c>
      <c r="AB4" s="7" t="s">
        <v>96</v>
      </c>
      <c r="AC4" s="7" t="s">
        <v>97</v>
      </c>
      <c r="AD4" s="20" t="s">
        <v>98</v>
      </c>
      <c r="AE4" s="7" t="s">
        <v>99</v>
      </c>
      <c r="AF4" s="7" t="s">
        <v>100</v>
      </c>
      <c r="AG4" s="7" t="s">
        <v>101</v>
      </c>
      <c r="AH4" s="7" t="s">
        <v>102</v>
      </c>
      <c r="AI4" s="19" t="s">
        <v>103</v>
      </c>
      <c r="AJ4" s="7" t="s">
        <v>104</v>
      </c>
      <c r="AK4" s="7" t="s">
        <v>105</v>
      </c>
      <c r="AL4" s="20" t="s">
        <v>106</v>
      </c>
      <c r="AM4" s="19" t="s">
        <v>107</v>
      </c>
      <c r="AN4" s="7" t="s">
        <v>108</v>
      </c>
      <c r="AO4" s="7" t="s">
        <v>109</v>
      </c>
      <c r="AP4" s="20" t="s">
        <v>110</v>
      </c>
      <c r="AQ4" s="19" t="s">
        <v>361</v>
      </c>
      <c r="AR4" s="7" t="s">
        <v>362</v>
      </c>
      <c r="AS4" s="7" t="s">
        <v>363</v>
      </c>
      <c r="AT4" s="20" t="s">
        <v>364</v>
      </c>
      <c r="AU4" s="19" t="s">
        <v>429</v>
      </c>
      <c r="AV4" s="7" t="s">
        <v>430</v>
      </c>
      <c r="AW4" s="87" t="s">
        <v>431</v>
      </c>
      <c r="AX4" s="20" t="s">
        <v>432</v>
      </c>
      <c r="AY4" s="87" t="s">
        <v>443</v>
      </c>
      <c r="AZ4" s="7" t="s">
        <v>451</v>
      </c>
      <c r="BA4" s="7" t="s">
        <v>470</v>
      </c>
      <c r="BB4" s="20" t="s">
        <v>471</v>
      </c>
      <c r="BC4" s="113" t="s">
        <v>483</v>
      </c>
      <c r="BD4" s="113" t="s">
        <v>484</v>
      </c>
      <c r="BE4" s="113" t="s">
        <v>485</v>
      </c>
      <c r="BF4" s="244" t="s">
        <v>482</v>
      </c>
      <c r="BG4" s="113" t="s">
        <v>465</v>
      </c>
      <c r="BH4" s="113" t="s">
        <v>466</v>
      </c>
      <c r="BI4" s="113" t="s">
        <v>467</v>
      </c>
      <c r="BJ4" s="244" t="s">
        <v>468</v>
      </c>
      <c r="BK4" s="113" t="s">
        <v>476</v>
      </c>
      <c r="BL4" s="113" t="s">
        <v>477</v>
      </c>
      <c r="BM4" s="113" t="s">
        <v>478</v>
      </c>
      <c r="BN4" s="244" t="s">
        <v>479</v>
      </c>
      <c r="BO4" s="87"/>
      <c r="BP4" s="7">
        <v>2006</v>
      </c>
      <c r="BQ4" s="7">
        <v>2007</v>
      </c>
      <c r="BR4" s="7">
        <v>2008</v>
      </c>
      <c r="BS4" s="7">
        <v>2009</v>
      </c>
      <c r="BT4" s="7">
        <v>2010</v>
      </c>
      <c r="BU4" s="7">
        <v>2011</v>
      </c>
      <c r="BV4" s="7">
        <v>2012</v>
      </c>
      <c r="BW4" s="7">
        <v>2013</v>
      </c>
      <c r="BX4" s="7">
        <v>2014</v>
      </c>
      <c r="BY4" s="7">
        <v>2015</v>
      </c>
      <c r="BZ4" s="7">
        <v>2016</v>
      </c>
      <c r="CA4" s="7">
        <v>2017</v>
      </c>
      <c r="CB4" s="7" t="s">
        <v>433</v>
      </c>
      <c r="CC4" s="7" t="s">
        <v>450</v>
      </c>
      <c r="CD4" s="7" t="s">
        <v>486</v>
      </c>
      <c r="CE4" s="7" t="s">
        <v>487</v>
      </c>
      <c r="CY4"/>
      <c r="CZ4"/>
      <c r="DA4"/>
      <c r="DB4"/>
      <c r="DC4"/>
      <c r="DD4"/>
    </row>
    <row r="5" spans="1:108" s="5" customFormat="1">
      <c r="B5" s="6" t="s">
        <v>0</v>
      </c>
      <c r="C5" s="15"/>
      <c r="F5" s="16"/>
      <c r="K5" s="15"/>
      <c r="N5" s="16"/>
      <c r="S5" s="15"/>
      <c r="V5" s="16"/>
      <c r="AA5" s="15"/>
      <c r="AD5" s="16"/>
      <c r="AI5" s="15"/>
      <c r="AL5" s="16"/>
      <c r="AM5" s="15"/>
      <c r="AP5" s="16"/>
      <c r="AQ5" s="15"/>
      <c r="AT5" s="16"/>
      <c r="AU5" s="697"/>
      <c r="AW5" s="587"/>
      <c r="AX5" s="16"/>
      <c r="AY5" s="878"/>
      <c r="BA5" s="979"/>
      <c r="BB5" s="16"/>
      <c r="BC5" s="930"/>
      <c r="BD5" s="975"/>
      <c r="BE5" s="930"/>
      <c r="BF5" s="974"/>
      <c r="BG5" s="930"/>
      <c r="BH5" s="975"/>
      <c r="BI5" s="930"/>
      <c r="BJ5" s="974"/>
      <c r="BK5" s="930"/>
      <c r="BL5" s="930"/>
      <c r="BM5" s="930"/>
      <c r="BN5" s="930"/>
      <c r="BO5" s="84"/>
      <c r="BZ5" s="623"/>
      <c r="CA5" s="623"/>
      <c r="CB5" s="976"/>
      <c r="CC5" s="976"/>
      <c r="CD5" s="976"/>
      <c r="CE5" s="976"/>
      <c r="CY5"/>
      <c r="CZ5"/>
      <c r="DA5"/>
      <c r="DB5"/>
      <c r="DC5"/>
      <c r="DD5"/>
    </row>
    <row r="6" spans="1:108">
      <c r="B6" s="415" t="s">
        <v>283</v>
      </c>
      <c r="C6" s="527"/>
      <c r="D6" s="528"/>
      <c r="E6" s="528"/>
      <c r="F6" s="529"/>
      <c r="G6" s="528"/>
      <c r="H6" s="528"/>
      <c r="I6" s="528"/>
      <c r="J6" s="528"/>
      <c r="K6" s="527"/>
      <c r="L6" s="528"/>
      <c r="M6" s="528"/>
      <c r="N6" s="529"/>
      <c r="O6" s="528"/>
      <c r="P6" s="528"/>
      <c r="Q6" s="528"/>
      <c r="R6" s="528"/>
      <c r="S6" s="527"/>
      <c r="T6" s="528"/>
      <c r="U6" s="528"/>
      <c r="V6" s="529"/>
      <c r="W6" s="528"/>
      <c r="X6" s="528"/>
      <c r="Y6" s="528"/>
      <c r="Z6" s="528"/>
      <c r="AA6" s="527"/>
      <c r="AB6" s="528"/>
      <c r="AC6" s="528"/>
      <c r="AD6" s="529"/>
      <c r="AE6" s="528"/>
      <c r="AF6" s="528"/>
      <c r="AG6" s="528"/>
      <c r="AH6" s="528"/>
      <c r="AI6" s="527"/>
      <c r="AJ6" s="528"/>
      <c r="AK6" s="528"/>
      <c r="AL6" s="529"/>
      <c r="AM6" s="527"/>
      <c r="AN6" s="528"/>
      <c r="AO6" s="528"/>
      <c r="AP6" s="529"/>
      <c r="AQ6" s="527"/>
      <c r="AR6" s="528"/>
      <c r="AS6" s="528"/>
      <c r="AT6" s="529"/>
      <c r="AU6" s="527"/>
      <c r="AV6" s="528"/>
      <c r="AW6" s="528"/>
      <c r="AX6" s="529"/>
      <c r="AY6" s="527"/>
      <c r="AZ6" s="528"/>
      <c r="BA6" s="528"/>
      <c r="BB6" s="997"/>
      <c r="BC6" s="995"/>
      <c r="BD6" s="996"/>
      <c r="BE6" s="528"/>
      <c r="BF6" s="529"/>
      <c r="BG6" s="527"/>
      <c r="BH6" s="528"/>
      <c r="BI6" s="528"/>
      <c r="BJ6" s="529"/>
      <c r="BK6" s="528"/>
      <c r="BL6" s="528"/>
      <c r="BM6" s="528"/>
      <c r="BN6" s="528"/>
      <c r="BO6" s="187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991"/>
      <c r="CC6" s="991"/>
      <c r="CD6" s="991"/>
      <c r="CE6" s="991"/>
    </row>
    <row r="7" spans="1:108" s="5" customFormat="1">
      <c r="B7" s="5" t="s">
        <v>1</v>
      </c>
      <c r="C7" s="32">
        <v>583.846</v>
      </c>
      <c r="D7" s="30">
        <v>574.81200000000001</v>
      </c>
      <c r="E7" s="30">
        <v>583.41499999999996</v>
      </c>
      <c r="F7" s="33">
        <v>633.61400000000003</v>
      </c>
      <c r="G7" s="30">
        <v>681.80700000000002</v>
      </c>
      <c r="H7" s="30">
        <v>687.51900000000001</v>
      </c>
      <c r="I7" s="30">
        <v>820.572</v>
      </c>
      <c r="J7" s="30">
        <v>878.87300000000005</v>
      </c>
      <c r="K7" s="32">
        <v>844.28</v>
      </c>
      <c r="L7" s="30">
        <v>935.25300000000004</v>
      </c>
      <c r="M7" s="30">
        <v>1115.597</v>
      </c>
      <c r="N7" s="33">
        <v>1202.7299999999998</v>
      </c>
      <c r="O7" s="30">
        <v>1153.3879999999999</v>
      </c>
      <c r="P7" s="30">
        <v>892.67600000000004</v>
      </c>
      <c r="Q7" s="30">
        <v>897.65499999999997</v>
      </c>
      <c r="R7" s="30">
        <v>481.13999999999987</v>
      </c>
      <c r="S7" s="32">
        <v>664.23099999999999</v>
      </c>
      <c r="T7" s="30">
        <v>776.52</v>
      </c>
      <c r="U7" s="30">
        <v>903.20600000000002</v>
      </c>
      <c r="V7" s="33">
        <v>982.48800000000006</v>
      </c>
      <c r="W7" s="30">
        <v>1001.813</v>
      </c>
      <c r="X7" s="30">
        <v>811.20799999999997</v>
      </c>
      <c r="Y7" s="30">
        <v>843.91200000000003</v>
      </c>
      <c r="Z7" s="30">
        <v>886.37599999999986</v>
      </c>
      <c r="AA7" s="32">
        <v>962.03899999999999</v>
      </c>
      <c r="AB7" s="30">
        <v>1016.5170000000001</v>
      </c>
      <c r="AC7" s="30">
        <v>1066.18</v>
      </c>
      <c r="AD7" s="33">
        <v>953.19399999999996</v>
      </c>
      <c r="AE7" s="30">
        <v>924.87699999999995</v>
      </c>
      <c r="AF7" s="30">
        <v>1044.27</v>
      </c>
      <c r="AG7" s="30">
        <v>1204.1099999999999</v>
      </c>
      <c r="AH7" s="30">
        <v>1106.902</v>
      </c>
      <c r="AI7" s="32">
        <v>954.73900000000003</v>
      </c>
      <c r="AJ7" s="30">
        <v>977.23800000000006</v>
      </c>
      <c r="AK7" s="30">
        <v>1053.9670000000001</v>
      </c>
      <c r="AL7" s="33">
        <v>1144.2180000000003</v>
      </c>
      <c r="AM7" s="32">
        <v>1102.787</v>
      </c>
      <c r="AN7" s="30">
        <v>1102.8240000000001</v>
      </c>
      <c r="AO7" s="30">
        <v>1225.3820000000001</v>
      </c>
      <c r="AP7" s="33">
        <v>1250.5139999999999</v>
      </c>
      <c r="AQ7" s="32">
        <v>1151</v>
      </c>
      <c r="AR7" s="30">
        <v>1153</v>
      </c>
      <c r="AS7" s="30">
        <v>1305</v>
      </c>
      <c r="AT7" s="33">
        <v>1401</v>
      </c>
      <c r="AU7" s="32">
        <v>1305</v>
      </c>
      <c r="AV7" s="30">
        <v>1428</v>
      </c>
      <c r="AW7" s="30">
        <v>2004</v>
      </c>
      <c r="AX7" s="33">
        <v>2173</v>
      </c>
      <c r="AY7" s="32">
        <v>1937</v>
      </c>
      <c r="AZ7" s="30">
        <v>2230</v>
      </c>
      <c r="BA7" s="30">
        <v>2636</v>
      </c>
      <c r="BB7" s="33">
        <v>2911</v>
      </c>
      <c r="BC7" s="294">
        <f>'BU-Segment'!BC6</f>
        <v>2921.4992061885541</v>
      </c>
      <c r="BD7" s="53">
        <f>'BU-Segment'!BD6</f>
        <v>3157.7929861175189</v>
      </c>
      <c r="BE7" s="73">
        <f>'BU-Segment'!BE6</f>
        <v>3408.76751356866</v>
      </c>
      <c r="BF7" s="238">
        <f>'BU-Segment'!BF6</f>
        <v>3540.3997760779021</v>
      </c>
      <c r="BG7" s="294">
        <f>'BU-Segment'!BG6</f>
        <v>3289.123932639282</v>
      </c>
      <c r="BH7" s="53">
        <f>'BU-Segment'!BH6</f>
        <v>3683.0310512199744</v>
      </c>
      <c r="BI7" s="73">
        <f>'BU-Segment'!BI6</f>
        <v>3983.4520978772739</v>
      </c>
      <c r="BJ7" s="238">
        <f>'BU-Segment'!BJ6</f>
        <v>4039.3637847652603</v>
      </c>
      <c r="BK7" s="294">
        <f>'BU-Segment'!BK6</f>
        <v>3778.7515910203692</v>
      </c>
      <c r="BL7" s="53">
        <f>'BU-Segment'!BL6</f>
        <v>4237.0212800938998</v>
      </c>
      <c r="BM7" s="73">
        <f>'BU-Segment'!BM6</f>
        <v>4549.6430580955694</v>
      </c>
      <c r="BN7" s="238">
        <f>'BU-Segment'!BN6</f>
        <v>4637.8781018430618</v>
      </c>
      <c r="BO7" s="84"/>
      <c r="BP7" s="59">
        <f>SUM(C7:F7)</f>
        <v>2375.6869999999999</v>
      </c>
      <c r="BQ7" s="59">
        <f>SUM(G7:J7)</f>
        <v>3068.7710000000002</v>
      </c>
      <c r="BR7" s="59">
        <f>SUM(K7:N7)</f>
        <v>4097.8599999999997</v>
      </c>
      <c r="BS7" s="59">
        <f>SUM(O7:R7)</f>
        <v>3424.8589999999999</v>
      </c>
      <c r="BT7" s="59">
        <f>SUM(S7:V7)</f>
        <v>3326.4449999999997</v>
      </c>
      <c r="BU7" s="59">
        <f>SUM(W7:Z7)</f>
        <v>3543.3089999999997</v>
      </c>
      <c r="BV7" s="59">
        <f>SUM(AA7:AD7)</f>
        <v>3997.93</v>
      </c>
      <c r="BW7" s="59">
        <f>SUM(AE7:AH7)</f>
        <v>4280.1589999999997</v>
      </c>
      <c r="BX7" s="59">
        <f>SUM(AI7:AL7)</f>
        <v>4130.1620000000003</v>
      </c>
      <c r="BY7" s="558">
        <f>SUM(AM7:AP7)</f>
        <v>4681.5069999999996</v>
      </c>
      <c r="BZ7" s="59">
        <f>SUM(AQ7:AT7)</f>
        <v>5010</v>
      </c>
      <c r="CA7" s="59">
        <f>SUM(AU7:AX7)</f>
        <v>6910</v>
      </c>
      <c r="CB7" s="59">
        <f>SUM(AY7:BB7)</f>
        <v>9714</v>
      </c>
      <c r="CC7" s="59">
        <f>SUM(BC7:BF7)</f>
        <v>13028.459481952636</v>
      </c>
      <c r="CD7" s="59">
        <f>SUM(BG7:BJ7)</f>
        <v>14994.970866501792</v>
      </c>
      <c r="CE7" s="59">
        <f>SUM(BK7:BN7)</f>
        <v>17203.294031052901</v>
      </c>
      <c r="CF7" s="95"/>
      <c r="CG7" s="14"/>
      <c r="CH7" s="14"/>
      <c r="CY7"/>
      <c r="CZ7"/>
      <c r="DA7"/>
      <c r="DB7"/>
      <c r="DC7"/>
      <c r="DD7"/>
    </row>
    <row r="8" spans="1:108" s="5" customFormat="1">
      <c r="A8" s="5" t="s">
        <v>132</v>
      </c>
      <c r="B8" s="114" t="s">
        <v>113</v>
      </c>
      <c r="C8" s="205"/>
      <c r="D8" s="27"/>
      <c r="E8" s="27"/>
      <c r="F8" s="206"/>
      <c r="G8" s="27"/>
      <c r="H8" s="27"/>
      <c r="I8" s="27"/>
      <c r="J8" s="27"/>
      <c r="K8" s="205"/>
      <c r="L8" s="27"/>
      <c r="M8" s="27"/>
      <c r="N8" s="206"/>
      <c r="O8" s="27"/>
      <c r="P8" s="27"/>
      <c r="Q8" s="27"/>
      <c r="R8" s="27"/>
      <c r="S8" s="205"/>
      <c r="T8" s="27"/>
      <c r="U8" s="27"/>
      <c r="V8" s="206"/>
      <c r="W8" s="27"/>
      <c r="X8" s="27"/>
      <c r="Y8" s="27"/>
      <c r="Z8" s="27"/>
      <c r="AA8" s="205"/>
      <c r="AB8" s="27"/>
      <c r="AC8" s="27"/>
      <c r="AD8" s="206"/>
      <c r="AE8" s="27" t="str">
        <f>_xll.ThomsonONEAddinShim.SpreadsheetFormulas.TF($A$1,"TF.ES.SALES.Mean(period=#1,scale=6)",,AE$2)</f>
        <v xml:space="preserve">          Manual Calculation          </v>
      </c>
      <c r="AF8" s="27" t="str">
        <f>_xll.ThomsonONEAddinShim.SpreadsheetFormulas.TF($A$1,"TF.ES.SALES.Mean(period=#1,scale=6)",,AF$2)</f>
        <v xml:space="preserve">          Manual Calculation          </v>
      </c>
      <c r="AG8" s="27" t="str">
        <f>_xll.ThomsonONEAddinShim.SpreadsheetFormulas.TF($A$1,"TF.ES.SALES.Mean(period=#1,scale=6)",,AG$2)</f>
        <v xml:space="preserve">          Manual Calculation          </v>
      </c>
      <c r="AH8" s="27" t="str">
        <f>_xll.ThomsonONEAddinShim.SpreadsheetFormulas.TF($A$1,"TF.ES.SALES.Mean(period=#1,scale=6)",,AH$2)</f>
        <v xml:space="preserve">          Manual Calculation          </v>
      </c>
      <c r="AI8" s="205" t="str">
        <f>_xll.ThomsonONEAddinShim.SpreadsheetFormulas.TF($A$1,"TF.ES.SALES.Mean(period=#1,scale=6)",,AI$2)</f>
        <v xml:space="preserve">          Manual Calculation          </v>
      </c>
      <c r="AJ8" s="27" t="str">
        <f>_xll.ThomsonONEAddinShim.SpreadsheetFormulas.TF($A$1,"TF.ES.SALES.Mean(period=#1,scale=6)",,AJ$2)</f>
        <v xml:space="preserve">          Manual Calculation          </v>
      </c>
      <c r="AK8" s="27" t="str">
        <f>_xll.ThomsonONEAddinShim.SpreadsheetFormulas.TF($A$1,"TF.ES.SALES.Mean(period=#1,scale=6)",,AK$2)</f>
        <v xml:space="preserve">          Manual Calculation          </v>
      </c>
      <c r="AL8" s="206" t="str">
        <f>_xll.ThomsonONEAddinShim.SpreadsheetFormulas.TF($A$1,"TF.ES.SALES.Mean(period=#1,scale=6)",,AL$2)</f>
        <v xml:space="preserve">          Manual Calculation          </v>
      </c>
      <c r="AM8" s="205" t="str">
        <f>_xll.ThomsonONEAddinShim.SpreadsheetFormulas.TF($A$1,"TF.ES.SALES.Mean(period=#1,scale=6)",,AM$2)</f>
        <v xml:space="preserve">          Manual Calculation          </v>
      </c>
      <c r="AN8" s="27" t="str">
        <f>_xll.ThomsonONEAddinShim.SpreadsheetFormulas.TF($A$1,"TF.ES.SALES.Mean(period=#1,scale=6)",,AN$2)</f>
        <v xml:space="preserve">          Manual Calculation          </v>
      </c>
      <c r="AO8" s="27" t="str">
        <f>_xll.ThomsonONEAddinShim.SpreadsheetFormulas.TF($A$1,"TF.ES.SALES.Mean(period=#1,scale=6)",,AO$2)</f>
        <v xml:space="preserve">          Manual Calculation          </v>
      </c>
      <c r="AP8" s="206" t="str">
        <f>_xll.ThomsonONEAddinShim.SpreadsheetFormulas.TF($A$1,"TF.ES.SALES.Mean(period=#1,scale=6)",,AP$2)</f>
        <v xml:space="preserve">          Manual Calculation          </v>
      </c>
      <c r="AQ8" s="205" t="str">
        <f>_xll.ThomsonONEAddinShim.SpreadsheetFormulas.TF($A$1,"TF.ES.SALES.Mean(period=#1,scale=6)",,AQ$2)</f>
        <v xml:space="preserve">          Manual Calculation          </v>
      </c>
      <c r="AR8" s="27" t="str">
        <f>_xll.ThomsonONEAddinShim.SpreadsheetFormulas.TF($A$1,"TF.ES.SALES.Mean(period=#1,scale=6)",,AR$2)</f>
        <v xml:space="preserve">          Manual Calculation          </v>
      </c>
      <c r="AS8" s="27" t="str">
        <f>_xll.ThomsonONEAddinShim.SpreadsheetFormulas.TF($A$1,"TF.ES.SALES.Mean(period=#1,scale=6)",,AS$2)</f>
        <v xml:space="preserve">          Manual Calculation          </v>
      </c>
      <c r="AT8" s="206" t="str">
        <f>_xll.ThomsonONEAddinShim.SpreadsheetFormulas.TF($A$1,"TF.ES.SALES.Mean(period=#1,scale=6)",,AT$2)</f>
        <v xml:space="preserve">          Manual Calculation          </v>
      </c>
      <c r="AU8" s="205">
        <f>_xll.ThomsonONEAddinShim.SpreadsheetFormulas.TF($A$1,"TF.ES.SALES.Mean(period=#1,scale=6)",,AU$2)</f>
        <v>1265</v>
      </c>
      <c r="AV8" s="27">
        <f>_xll.ThomsonONEAddinShim.SpreadsheetFormulas.TF($A$1,"TF.ES.SALES.Mean(period=#1,scale=6)",,AV$2)</f>
        <v>1353</v>
      </c>
      <c r="AW8" s="27">
        <f>_xll.ThomsonONEAddinShim.SpreadsheetFormulas.TF($A$1,"TF.ES.SALES.Mean(period=#1,scale=6)",,AW$2)</f>
        <v>1691</v>
      </c>
      <c r="AX8" s="206">
        <f>_xll.ThomsonONEAddinShim.SpreadsheetFormulas.TF($A$1,"TF.ES.SALES.Mean(period=#1,scale=6)",,AX$2)</f>
        <v>2105</v>
      </c>
      <c r="AY8" s="205">
        <f>_xll.ThomsonONEAddinShim.SpreadsheetFormulas.TF($A$1,"TF.ES.SALES.Mean(period=#1,scale=6)",,AY$2)</f>
        <v>1908</v>
      </c>
      <c r="AZ8" s="27">
        <f>_xll.ThomsonONEAddinShim.SpreadsheetFormulas.TF($A$1,"TF.ES.SALES.Mean(period=#1,scale=6)",,AZ$2)</f>
        <v>1960</v>
      </c>
      <c r="BA8" s="27">
        <f>_xll.ThomsonONEAddinShim.SpreadsheetFormulas.TF($A$1,"TF.ES.SALES.Mean(period=#1,scale=6)",,BA$2)</f>
        <v>2364</v>
      </c>
      <c r="BB8" s="206">
        <f>_xll.ThomsonONEAddinShim.SpreadsheetFormulas.TF($A$1,"TF.ES.SALES.Mean(period=#1,scale=6)",,BB$2)</f>
        <v>2685</v>
      </c>
      <c r="BC8" s="205">
        <f>_xll.ThomsonONEAddinShim.SpreadsheetFormulas.TF($A$1,"TF.ES.SALES.Mean(period=#1,scale=6)",,BC$2)</f>
        <v>2466</v>
      </c>
      <c r="BD8" s="27">
        <f>_xll.ThomsonONEAddinShim.SpreadsheetFormulas.TF($A$1,"TF.ES.SALES.Mean(period=#1,scale=6)",,BD$2)</f>
        <v>2597</v>
      </c>
      <c r="BE8" s="27">
        <f>_xll.ThomsonONEAddinShim.SpreadsheetFormulas.TF($A$1,"TF.ES.SALES.Mean(period=#1,scale=6)",,BE$2)</f>
        <v>2902</v>
      </c>
      <c r="BF8" s="206">
        <f>_xll.ThomsonONEAddinShim.SpreadsheetFormulas.TF($A$1,"TF.ES.SALES.Mean(period=#1,scale=6)",,BF$2)</f>
        <v>2978</v>
      </c>
      <c r="BG8" s="205">
        <f>_xll.ThomsonONEAddinShim.SpreadsheetFormulas.TF($A$1,"TF.ES.SALES.Mean(period=#1,scale=6)",,BG$2)</f>
        <v>2793</v>
      </c>
      <c r="BH8" s="27">
        <f>_xll.ThomsonONEAddinShim.SpreadsheetFormulas.TF($A$1,"TF.ES.SALES.Mean(period=#1,scale=6)",,BH$2)</f>
        <v>2929</v>
      </c>
      <c r="BI8" s="27">
        <f>_xll.ThomsonONEAddinShim.SpreadsheetFormulas.TF($A$1,"TF.ES.SALES.Mean(period=#1,scale=6)",,BI$2)</f>
        <v>3198</v>
      </c>
      <c r="BJ8" s="206">
        <f>_xll.ThomsonONEAddinShim.SpreadsheetFormulas.TF($A$1,"TF.ES.SALES.Mean(period=#1,scale=6)",,BJ$2)</f>
        <v>3336</v>
      </c>
      <c r="BK8" s="205" t="str">
        <f>_xll.ThomsonONEAddinShim.SpreadsheetFormulas.TF($A$1,"TF.ES.SALES.Mean(period=#1,scale=6)",,BK$2)</f>
        <v xml:space="preserve">           N/A           </v>
      </c>
      <c r="BL8" s="27" t="str">
        <f>_xll.ThomsonONEAddinShim.SpreadsheetFormulas.TF($A$1,"TF.ES.SALES.Mean(period=#1,scale=6)",,BL$2)</f>
        <v xml:space="preserve">           N/A           </v>
      </c>
      <c r="BM8" s="27" t="str">
        <f>_xll.ThomsonONEAddinShim.SpreadsheetFormulas.TF($A$1,"TF.ES.SALES.Mean(period=#1,scale=6)",,BM$2)</f>
        <v xml:space="preserve">           N/A           </v>
      </c>
      <c r="BN8" s="206" t="str">
        <f>_xll.ThomsonONEAddinShim.SpreadsheetFormulas.TF($A$1,"TF.ES.SALES.Mean(period=#1,scale=6)",,BN$2)</f>
        <v xml:space="preserve">           N/A           </v>
      </c>
      <c r="BO8" s="84"/>
      <c r="BP8" s="27"/>
      <c r="BQ8" s="27"/>
      <c r="BR8" s="27"/>
      <c r="BS8" s="27"/>
      <c r="BT8" s="27"/>
      <c r="BU8" s="27"/>
      <c r="BV8" s="27" t="str">
        <f>_xll.ThomsonONEAddinShim.SpreadsheetFormulas.TF($A$1,"TF.ES.SALES.Mean(period=#1,scale=6)",,BV$2)</f>
        <v xml:space="preserve">          Manual Calculation          </v>
      </c>
      <c r="BW8" s="27" t="str">
        <f>_xll.ThomsonONEAddinShim.SpreadsheetFormulas.TF($A$1,"TF.ES.SALES.Mean(period=#1,scale=6)",,BW$2)</f>
        <v xml:space="preserve">          Manual Calculation          </v>
      </c>
      <c r="BX8" s="27" t="str">
        <f>_xll.ThomsonONEAddinShim.SpreadsheetFormulas.TF($A$1,"TF.ES.SALES.Mean(period=#1,scale=6)",,BX$2)</f>
        <v xml:space="preserve">          Manual Calculation          </v>
      </c>
      <c r="BY8" s="27" t="s">
        <v>453</v>
      </c>
      <c r="BZ8" s="27">
        <f>_xll.ThomsonONEAddinShim.SpreadsheetFormulas.TF($A$1,"TF.ES.SALES.Mean(period=#1,scale=6)",,BZ$2)</f>
        <v>4921</v>
      </c>
      <c r="CA8" s="27">
        <f>_xll.ThomsonONEAddinShim.SpreadsheetFormulas.TF($A$1,"TF.ES.SALES.Mean(period=#1,scale=6)",,CA$2)</f>
        <v>6839</v>
      </c>
      <c r="CB8" s="27">
        <f>_xll.ThomsonONEAddinShim.SpreadsheetFormulas.TF($A$1,"TF.ES.SALES.Mean(period=#1,scale=6)",,CB$2)</f>
        <v>9489</v>
      </c>
      <c r="CC8" s="27">
        <f>_xll.ThomsonONEAddinShim.SpreadsheetFormulas.TF($A$1,"TF.ES.SALES.Mean(period=#1,scale=6)",,CC$2)</f>
        <v>11039</v>
      </c>
      <c r="CD8" s="27">
        <f>_xll.ThomsonONEAddinShim.SpreadsheetFormulas.TF($A$1,"TF.ES.SALES.Mean(period=#1,scale=6)",,CD$2)</f>
        <v>12994</v>
      </c>
      <c r="CE8" s="27">
        <f>_xll.ThomsonONEAddinShim.SpreadsheetFormulas.TF($A$1,"TF.ES.SALES.Mean(period=#1,scale=6)",,CE$2)</f>
        <v>17513</v>
      </c>
      <c r="CF8" s="895"/>
      <c r="CG8" s="895"/>
      <c r="CH8" s="14"/>
      <c r="CY8"/>
      <c r="CZ8"/>
      <c r="DA8"/>
      <c r="DB8"/>
      <c r="DC8"/>
      <c r="DD8"/>
    </row>
    <row r="9" spans="1:108" s="109" customFormat="1">
      <c r="A9" s="5"/>
      <c r="B9" s="91" t="s">
        <v>114</v>
      </c>
      <c r="C9" s="34"/>
      <c r="D9" s="35"/>
      <c r="E9" s="35"/>
      <c r="F9" s="36"/>
      <c r="G9" s="35">
        <f t="shared" ref="G9:AS9" si="2">G7/C7-1</f>
        <v>0.16778568321098364</v>
      </c>
      <c r="H9" s="35">
        <f t="shared" si="2"/>
        <v>0.19607628233231034</v>
      </c>
      <c r="I9" s="35">
        <f t="shared" si="2"/>
        <v>0.40649794743021705</v>
      </c>
      <c r="J9" s="35">
        <f t="shared" si="2"/>
        <v>0.38707951528848805</v>
      </c>
      <c r="K9" s="34">
        <f t="shared" si="2"/>
        <v>0.23829764141465248</v>
      </c>
      <c r="L9" s="35">
        <f t="shared" si="2"/>
        <v>0.36033040541425043</v>
      </c>
      <c r="M9" s="35">
        <f t="shared" si="2"/>
        <v>0.35953578723134583</v>
      </c>
      <c r="N9" s="36">
        <f t="shared" si="2"/>
        <v>0.36849123821075369</v>
      </c>
      <c r="O9" s="35">
        <f t="shared" si="2"/>
        <v>0.36612024446865954</v>
      </c>
      <c r="P9" s="35">
        <f t="shared" si="2"/>
        <v>-4.5524579979962621E-2</v>
      </c>
      <c r="Q9" s="35">
        <f t="shared" si="2"/>
        <v>-0.19535907679923847</v>
      </c>
      <c r="R9" s="35">
        <f t="shared" si="2"/>
        <v>-0.59996009079344492</v>
      </c>
      <c r="S9" s="34">
        <f t="shared" si="2"/>
        <v>-0.42410446441266947</v>
      </c>
      <c r="T9" s="35">
        <f t="shared" si="2"/>
        <v>-0.13012111897261724</v>
      </c>
      <c r="U9" s="35">
        <f t="shared" si="2"/>
        <v>6.1838902473667634E-3</v>
      </c>
      <c r="V9" s="36">
        <f t="shared" si="2"/>
        <v>1.0420002494076575</v>
      </c>
      <c r="W9" s="35">
        <f t="shared" si="2"/>
        <v>0.5082298176387432</v>
      </c>
      <c r="X9" s="35">
        <f t="shared" si="2"/>
        <v>4.4671096687786571E-2</v>
      </c>
      <c r="Y9" s="35">
        <f t="shared" si="2"/>
        <v>-6.564836814635866E-2</v>
      </c>
      <c r="Z9" s="35">
        <f t="shared" si="2"/>
        <v>-9.7825113385608953E-2</v>
      </c>
      <c r="AA9" s="34">
        <f t="shared" si="2"/>
        <v>-3.9702020237309732E-2</v>
      </c>
      <c r="AB9" s="35">
        <f t="shared" si="2"/>
        <v>0.25309045275687625</v>
      </c>
      <c r="AC9" s="35">
        <f t="shared" si="2"/>
        <v>0.26337817213169146</v>
      </c>
      <c r="AD9" s="36">
        <f t="shared" si="2"/>
        <v>7.538335875520108E-2</v>
      </c>
      <c r="AE9" s="35">
        <f t="shared" si="2"/>
        <v>-3.8628371614872203E-2</v>
      </c>
      <c r="AF9" s="35">
        <f t="shared" si="2"/>
        <v>2.7302052007000199E-2</v>
      </c>
      <c r="AG9" s="35">
        <f t="shared" si="2"/>
        <v>0.12936839933219524</v>
      </c>
      <c r="AH9" s="35">
        <f t="shared" si="2"/>
        <v>0.16125573597819542</v>
      </c>
      <c r="AI9" s="34">
        <f t="shared" si="2"/>
        <v>3.2287536612976675E-2</v>
      </c>
      <c r="AJ9" s="35">
        <f t="shared" si="2"/>
        <v>-6.4190295613203441E-2</v>
      </c>
      <c r="AK9" s="35">
        <f t="shared" si="2"/>
        <v>-0.12469209623705457</v>
      </c>
      <c r="AL9" s="36">
        <f t="shared" si="2"/>
        <v>3.3712108208314939E-2</v>
      </c>
      <c r="AM9" s="34">
        <f t="shared" si="2"/>
        <v>0.15506646319046347</v>
      </c>
      <c r="AN9" s="35">
        <f t="shared" si="2"/>
        <v>0.12851117128069101</v>
      </c>
      <c r="AO9" s="35">
        <f t="shared" si="2"/>
        <v>0.16263791940354855</v>
      </c>
      <c r="AP9" s="36">
        <f>AP7/AL7-1</f>
        <v>9.2898381252523254E-2</v>
      </c>
      <c r="AQ9" s="34">
        <f t="shared" si="2"/>
        <v>4.3719231365621836E-2</v>
      </c>
      <c r="AR9" s="35">
        <f>AR7/AN7-1</f>
        <v>4.5497740346601034E-2</v>
      </c>
      <c r="AS9" s="35">
        <f t="shared" si="2"/>
        <v>6.4974024426668553E-2</v>
      </c>
      <c r="AT9" s="36">
        <f>AT7/AP7-1</f>
        <v>0.12033931647306639</v>
      </c>
      <c r="AU9" s="34">
        <f t="shared" ref="AU9" si="3">AU7/AQ7-1</f>
        <v>0.13379669852302345</v>
      </c>
      <c r="AV9" s="35">
        <f>AV7/AR7-1</f>
        <v>0.238508239375542</v>
      </c>
      <c r="AW9" s="35">
        <f t="shared" ref="AW9" si="4">AW7/AS7-1</f>
        <v>0.53563218390804601</v>
      </c>
      <c r="AX9" s="36">
        <f>AX7/AT7-1</f>
        <v>0.55103497501784449</v>
      </c>
      <c r="AY9" s="367">
        <f t="shared" ref="AY9" si="5">AY7/AU7-1</f>
        <v>0.48429118773946356</v>
      </c>
      <c r="AZ9" s="818">
        <f>AZ7/AV7-1</f>
        <v>0.56162464985994398</v>
      </c>
      <c r="BA9" s="818">
        <f>BA7/AW7-1</f>
        <v>0.3153692614770458</v>
      </c>
      <c r="BB9" s="36">
        <f>BB7/AX7-1</f>
        <v>0.33962264150943389</v>
      </c>
      <c r="BC9" s="367">
        <f t="shared" ref="BC9:BJ9" si="6">BC7/AY7-1</f>
        <v>0.50825978636476732</v>
      </c>
      <c r="BD9" s="818">
        <f t="shared" si="6"/>
        <v>0.416050666420412</v>
      </c>
      <c r="BE9" s="818">
        <f t="shared" si="6"/>
        <v>0.29315914778780727</v>
      </c>
      <c r="BF9" s="36">
        <f t="shared" si="6"/>
        <v>0.21621428240395124</v>
      </c>
      <c r="BG9" s="367">
        <f t="shared" si="6"/>
        <v>0.12583427223666388</v>
      </c>
      <c r="BH9" s="818">
        <f t="shared" si="6"/>
        <v>0.16633074663587477</v>
      </c>
      <c r="BI9" s="818">
        <f t="shared" si="6"/>
        <v>0.1685901376439054</v>
      </c>
      <c r="BJ9" s="36">
        <f t="shared" si="6"/>
        <v>0.14093436906724599</v>
      </c>
      <c r="BK9" s="367">
        <f t="shared" ref="BK9" si="7">BK7/BG7-1</f>
        <v>0.14886263588985438</v>
      </c>
      <c r="BL9" s="818">
        <f t="shared" ref="BL9" si="8">BL7/BH7-1</f>
        <v>0.15041693137244128</v>
      </c>
      <c r="BM9" s="818">
        <f t="shared" ref="BM9" si="9">BM7/BI7-1</f>
        <v>0.14213575218339147</v>
      </c>
      <c r="BN9" s="36">
        <f t="shared" ref="BN9" si="10">BN7/BJ7-1</f>
        <v>0.14817044192333939</v>
      </c>
      <c r="BO9" s="126"/>
      <c r="BP9" s="54"/>
      <c r="BQ9" s="54">
        <f t="shared" ref="BQ9:CE9" si="11">BQ7/BP7-1</f>
        <v>0.29174045234073365</v>
      </c>
      <c r="BR9" s="54">
        <f t="shared" si="11"/>
        <v>0.33534238951032824</v>
      </c>
      <c r="BS9" s="54">
        <f t="shared" si="11"/>
        <v>-0.16423230661857646</v>
      </c>
      <c r="BT9" s="54">
        <f t="shared" si="11"/>
        <v>-2.8735197565797677E-2</v>
      </c>
      <c r="BU9" s="54">
        <f t="shared" si="11"/>
        <v>6.5193923242380381E-2</v>
      </c>
      <c r="BV9" s="54">
        <f t="shared" si="11"/>
        <v>0.12830407960468593</v>
      </c>
      <c r="BW9" s="54">
        <f t="shared" si="11"/>
        <v>7.0593782282331041E-2</v>
      </c>
      <c r="BX9" s="54">
        <f t="shared" si="11"/>
        <v>-3.5044726142182903E-2</v>
      </c>
      <c r="BY9" s="54">
        <f t="shared" si="11"/>
        <v>0.13349234243112007</v>
      </c>
      <c r="BZ9" s="54">
        <f t="shared" si="11"/>
        <v>7.0168217200145211E-2</v>
      </c>
      <c r="CA9" s="54">
        <f t="shared" si="11"/>
        <v>0.37924151696606789</v>
      </c>
      <c r="CB9" s="54">
        <f t="shared" si="11"/>
        <v>0.40578871201157751</v>
      </c>
      <c r="CC9" s="54">
        <f t="shared" si="11"/>
        <v>0.34120439385964962</v>
      </c>
      <c r="CD9" s="54">
        <f t="shared" si="11"/>
        <v>0.15093967074719927</v>
      </c>
      <c r="CE9" s="54">
        <f t="shared" si="11"/>
        <v>0.14727092064476244</v>
      </c>
      <c r="CF9" s="14"/>
      <c r="CH9" s="591"/>
      <c r="CY9"/>
      <c r="CZ9"/>
      <c r="DA9"/>
      <c r="DB9"/>
      <c r="DC9"/>
      <c r="DD9"/>
    </row>
    <row r="10" spans="1:108" s="109" customFormat="1">
      <c r="A10" s="5"/>
      <c r="B10" s="91" t="s">
        <v>115</v>
      </c>
      <c r="C10" s="34"/>
      <c r="D10" s="35">
        <f t="shared" ref="D10:AS10" si="12">D7/C7-1</f>
        <v>-1.5473258359224862E-2</v>
      </c>
      <c r="E10" s="35">
        <f t="shared" si="12"/>
        <v>1.4966632568561566E-2</v>
      </c>
      <c r="F10" s="36">
        <f t="shared" si="12"/>
        <v>8.6043382497879017E-2</v>
      </c>
      <c r="G10" s="35">
        <f t="shared" si="12"/>
        <v>7.60605037136175E-2</v>
      </c>
      <c r="H10" s="35">
        <f t="shared" si="12"/>
        <v>8.3777373948932254E-3</v>
      </c>
      <c r="I10" s="35">
        <f t="shared" si="12"/>
        <v>0.19352628800076799</v>
      </c>
      <c r="J10" s="35">
        <f t="shared" si="12"/>
        <v>7.1049219325056256E-2</v>
      </c>
      <c r="K10" s="34">
        <f t="shared" si="12"/>
        <v>-3.9360635723250215E-2</v>
      </c>
      <c r="L10" s="35">
        <f t="shared" si="12"/>
        <v>0.10775216752736072</v>
      </c>
      <c r="M10" s="35">
        <f t="shared" si="12"/>
        <v>0.19282910613491744</v>
      </c>
      <c r="N10" s="36">
        <f t="shared" si="12"/>
        <v>7.8104369230107107E-2</v>
      </c>
      <c r="O10" s="35">
        <f t="shared" si="12"/>
        <v>-4.102500145502308E-2</v>
      </c>
      <c r="P10" s="35">
        <f t="shared" si="12"/>
        <v>-0.2260401530100884</v>
      </c>
      <c r="Q10" s="35">
        <f t="shared" si="12"/>
        <v>5.5776115858383601E-3</v>
      </c>
      <c r="R10" s="35">
        <f t="shared" si="12"/>
        <v>-0.46400343116230636</v>
      </c>
      <c r="S10" s="34">
        <f t="shared" si="12"/>
        <v>0.3805358107827248</v>
      </c>
      <c r="T10" s="35">
        <f t="shared" si="12"/>
        <v>0.16905112829723401</v>
      </c>
      <c r="U10" s="35">
        <f t="shared" si="12"/>
        <v>0.16314583011384132</v>
      </c>
      <c r="V10" s="36">
        <f t="shared" si="12"/>
        <v>8.7778424855459392E-2</v>
      </c>
      <c r="W10" s="35">
        <f t="shared" si="12"/>
        <v>1.9669451433503404E-2</v>
      </c>
      <c r="X10" s="35">
        <f t="shared" si="12"/>
        <v>-0.19026005851391425</v>
      </c>
      <c r="Y10" s="35">
        <f t="shared" si="12"/>
        <v>4.0315184268399751E-2</v>
      </c>
      <c r="Z10" s="35">
        <f t="shared" si="12"/>
        <v>5.0318042639516669E-2</v>
      </c>
      <c r="AA10" s="34">
        <f t="shared" si="12"/>
        <v>8.5362193922218221E-2</v>
      </c>
      <c r="AB10" s="35">
        <f t="shared" si="12"/>
        <v>5.6627641914724913E-2</v>
      </c>
      <c r="AC10" s="35">
        <f t="shared" si="12"/>
        <v>4.8856044709532753E-2</v>
      </c>
      <c r="AD10" s="36">
        <f t="shared" si="12"/>
        <v>-0.10597272505580679</v>
      </c>
      <c r="AE10" s="35">
        <f t="shared" si="12"/>
        <v>-2.9707488716882446E-2</v>
      </c>
      <c r="AF10" s="35">
        <f t="shared" si="12"/>
        <v>0.12909067908489447</v>
      </c>
      <c r="AG10" s="35">
        <f t="shared" si="12"/>
        <v>0.153063862794105</v>
      </c>
      <c r="AH10" s="35">
        <f t="shared" si="12"/>
        <v>-8.0730165848635016E-2</v>
      </c>
      <c r="AI10" s="34">
        <f t="shared" si="12"/>
        <v>-0.13746745421003848</v>
      </c>
      <c r="AJ10" s="35">
        <f t="shared" si="12"/>
        <v>2.3565602745881264E-2</v>
      </c>
      <c r="AK10" s="35">
        <f t="shared" si="12"/>
        <v>7.8516185412356165E-2</v>
      </c>
      <c r="AL10" s="36">
        <f t="shared" si="12"/>
        <v>8.5629815734268977E-2</v>
      </c>
      <c r="AM10" s="34">
        <f t="shared" si="12"/>
        <v>-3.6209009122387781E-2</v>
      </c>
      <c r="AN10" s="35">
        <f t="shared" si="12"/>
        <v>3.3551356698913182E-5</v>
      </c>
      <c r="AO10" s="35">
        <f t="shared" si="12"/>
        <v>0.1111310598971369</v>
      </c>
      <c r="AP10" s="36">
        <f>AP7/AO7-1</f>
        <v>2.0509522744744046E-2</v>
      </c>
      <c r="AQ10" s="34">
        <f t="shared" si="12"/>
        <v>-7.95784773301218E-2</v>
      </c>
      <c r="AR10" s="35">
        <f>AR7/AQ7-1</f>
        <v>1.7376194613378804E-3</v>
      </c>
      <c r="AS10" s="35">
        <f t="shared" si="12"/>
        <v>0.13183000867302685</v>
      </c>
      <c r="AT10" s="36">
        <f>AT7/AS7-1</f>
        <v>7.3563218390804597E-2</v>
      </c>
      <c r="AU10" s="34">
        <f t="shared" ref="AU10" si="13">AU7/AT7-1</f>
        <v>-6.8522483940042789E-2</v>
      </c>
      <c r="AV10" s="35">
        <f>AV7/AU7-1</f>
        <v>9.4252873563218431E-2</v>
      </c>
      <c r="AW10" s="35">
        <f t="shared" ref="AW10" si="14">AW7/AV7-1</f>
        <v>0.40336134453781503</v>
      </c>
      <c r="AX10" s="36">
        <f>AX7/AW7-1</f>
        <v>8.4331337325349365E-2</v>
      </c>
      <c r="AY10" s="367">
        <f t="shared" ref="AY10" si="15">AY7/AX7-1</f>
        <v>-0.1086056143580304</v>
      </c>
      <c r="AZ10" s="818">
        <f>AZ7/AY7-1</f>
        <v>0.15126484254001027</v>
      </c>
      <c r="BA10" s="818">
        <f>BA7/AZ7-1</f>
        <v>0.1820627802690582</v>
      </c>
      <c r="BB10" s="36">
        <f>BB7/BA7-1</f>
        <v>0.10432473444613044</v>
      </c>
      <c r="BC10" s="367">
        <f t="shared" ref="BC10:BJ10" si="16">BC7/BB7-1</f>
        <v>3.6067352073356762E-3</v>
      </c>
      <c r="BD10" s="818">
        <f t="shared" si="16"/>
        <v>8.088100090132766E-2</v>
      </c>
      <c r="BE10" s="818">
        <f t="shared" si="16"/>
        <v>7.9477827886277108E-2</v>
      </c>
      <c r="BF10" s="36">
        <f t="shared" si="16"/>
        <v>3.8615793533961273E-2</v>
      </c>
      <c r="BG10" s="367">
        <f t="shared" si="16"/>
        <v>-7.0973861521646198E-2</v>
      </c>
      <c r="BH10" s="818">
        <f t="shared" si="16"/>
        <v>0.11976049752087348</v>
      </c>
      <c r="BI10" s="818">
        <f t="shared" si="16"/>
        <v>8.1568969275398251E-2</v>
      </c>
      <c r="BJ10" s="36">
        <f t="shared" si="16"/>
        <v>1.4035988261985377E-2</v>
      </c>
      <c r="BK10" s="367">
        <f t="shared" ref="BK10" si="17">BK7/BJ7-1</f>
        <v>-6.4518129000365798E-2</v>
      </c>
      <c r="BL10" s="818">
        <f t="shared" ref="BL10" si="18">BL7/BK7-1</f>
        <v>0.12127542074015629</v>
      </c>
      <c r="BM10" s="818">
        <f t="shared" ref="BM10" si="19">BM7/BL7-1</f>
        <v>7.378338633096071E-2</v>
      </c>
      <c r="BN10" s="36">
        <f t="shared" ref="BN10" si="20">BN7/BM7-1</f>
        <v>1.939383872993905E-2</v>
      </c>
      <c r="BO10" s="126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CF10" s="14"/>
      <c r="CY10"/>
      <c r="CZ10"/>
      <c r="DA10"/>
      <c r="DB10"/>
      <c r="DC10"/>
      <c r="DD10"/>
    </row>
    <row r="11" spans="1:108" s="5" customFormat="1">
      <c r="B11" s="5" t="s">
        <v>3</v>
      </c>
      <c r="C11" s="32">
        <v>373.69299999999998</v>
      </c>
      <c r="D11" s="30">
        <v>357.43700000000001</v>
      </c>
      <c r="E11" s="30">
        <v>355.42</v>
      </c>
      <c r="F11" s="33">
        <v>379.10399999999993</v>
      </c>
      <c r="G11" s="30">
        <v>393.05</v>
      </c>
      <c r="H11" s="30">
        <v>395.39100000000002</v>
      </c>
      <c r="I11" s="30">
        <v>486.63</v>
      </c>
      <c r="J11" s="30">
        <v>493.16699999999992</v>
      </c>
      <c r="K11" s="32">
        <v>464.142</v>
      </c>
      <c r="L11" s="30">
        <v>511.26100000000002</v>
      </c>
      <c r="M11" s="30">
        <v>600.04399999999998</v>
      </c>
      <c r="N11" s="33">
        <v>653.13300000000004</v>
      </c>
      <c r="O11" s="30">
        <v>638.54499999999996</v>
      </c>
      <c r="P11" s="30">
        <v>742.75900000000001</v>
      </c>
      <c r="Q11" s="30">
        <v>529.81200000000001</v>
      </c>
      <c r="R11" s="30">
        <v>339.47400000000027</v>
      </c>
      <c r="S11" s="32">
        <v>474.53500000000003</v>
      </c>
      <c r="T11" s="30">
        <v>619.79700000000003</v>
      </c>
      <c r="U11" s="30">
        <v>511.423</v>
      </c>
      <c r="V11" s="33">
        <v>543.76699999999983</v>
      </c>
      <c r="W11" s="30">
        <v>545.43600000000004</v>
      </c>
      <c r="X11" s="30">
        <v>676.91600000000005</v>
      </c>
      <c r="Y11" s="30">
        <v>451.85</v>
      </c>
      <c r="Z11" s="30">
        <v>460.01700000000005</v>
      </c>
      <c r="AA11" s="32">
        <v>477.536</v>
      </c>
      <c r="AB11" s="30">
        <v>491.233</v>
      </c>
      <c r="AC11" s="30">
        <v>509.46300000000002</v>
      </c>
      <c r="AD11" s="33">
        <v>463.18099999999998</v>
      </c>
      <c r="AE11" s="30">
        <v>461.51299999999998</v>
      </c>
      <c r="AF11" s="30">
        <v>503.55099999999999</v>
      </c>
      <c r="AG11" s="30">
        <v>567.452</v>
      </c>
      <c r="AH11" s="30">
        <v>521.29999999999995</v>
      </c>
      <c r="AI11" s="32">
        <v>436.17099999999999</v>
      </c>
      <c r="AJ11" s="30">
        <v>431.7</v>
      </c>
      <c r="AK11" s="30">
        <v>469.55200000000002</v>
      </c>
      <c r="AL11" s="33">
        <v>524.97599999999966</v>
      </c>
      <c r="AM11" s="32">
        <v>498.58499999999998</v>
      </c>
      <c r="AN11" s="30">
        <v>483.85</v>
      </c>
      <c r="AO11" s="30">
        <v>548.68399999999997</v>
      </c>
      <c r="AP11" s="33">
        <v>550.91099999999994</v>
      </c>
      <c r="AQ11" s="32">
        <v>498</v>
      </c>
      <c r="AR11" s="30">
        <v>519</v>
      </c>
      <c r="AS11" s="30">
        <v>571</v>
      </c>
      <c r="AT11" s="33">
        <v>611</v>
      </c>
      <c r="AU11" s="32">
        <v>554</v>
      </c>
      <c r="AV11" s="30">
        <v>602</v>
      </c>
      <c r="AW11" s="30">
        <v>821</v>
      </c>
      <c r="AX11" s="33">
        <v>870</v>
      </c>
      <c r="AY11" s="454">
        <v>787</v>
      </c>
      <c r="AZ11" s="30">
        <v>928</v>
      </c>
      <c r="BA11" s="30">
        <v>1067</v>
      </c>
      <c r="BB11" s="33">
        <v>1110</v>
      </c>
      <c r="BC11" s="374">
        <f t="shared" ref="BC11:BJ11" si="21">BC7-BC13</f>
        <v>1085.8808410884767</v>
      </c>
      <c r="BD11" s="53">
        <f t="shared" si="21"/>
        <v>1189.580411476423</v>
      </c>
      <c r="BE11" s="73">
        <f t="shared" si="21"/>
        <v>1298.1507939874641</v>
      </c>
      <c r="BF11" s="238">
        <f t="shared" si="21"/>
        <v>1349.5061391133399</v>
      </c>
      <c r="BG11" s="374">
        <f t="shared" si="21"/>
        <v>1246.2006698682203</v>
      </c>
      <c r="BH11" s="53">
        <f t="shared" si="21"/>
        <v>1398.9626249468047</v>
      </c>
      <c r="BI11" s="73">
        <f t="shared" si="21"/>
        <v>1519.2327185812442</v>
      </c>
      <c r="BJ11" s="238">
        <f t="shared" si="21"/>
        <v>1529.3986234453996</v>
      </c>
      <c r="BK11" s="374">
        <f t="shared" ref="BK11:BN11" si="22">BK7-BK13</f>
        <v>1418.2007809066959</v>
      </c>
      <c r="BL11" s="53">
        <f t="shared" si="22"/>
        <v>1594.1010380018279</v>
      </c>
      <c r="BM11" s="73">
        <f t="shared" si="22"/>
        <v>1715.8388996238123</v>
      </c>
      <c r="BN11" s="238">
        <f t="shared" si="22"/>
        <v>1735.4160836363603</v>
      </c>
      <c r="BO11" s="84"/>
      <c r="BP11" s="59">
        <f>SUM(C11:F11)</f>
        <v>1465.654</v>
      </c>
      <c r="BQ11" s="59">
        <f>SUM(G11:J11)</f>
        <v>1768.2379999999998</v>
      </c>
      <c r="BR11" s="59">
        <f>SUM(K11:N11)</f>
        <v>2228.58</v>
      </c>
      <c r="BS11" s="59">
        <f>SUM(O11:R11)</f>
        <v>2250.59</v>
      </c>
      <c r="BT11" s="59">
        <f>SUM(S11:V11)</f>
        <v>2149.5219999999999</v>
      </c>
      <c r="BU11" s="59">
        <f>SUM(W11:Z11)</f>
        <v>2134.2190000000001</v>
      </c>
      <c r="BV11" s="59">
        <f>SUM(AA11:AD11)</f>
        <v>1941.413</v>
      </c>
      <c r="BW11" s="59">
        <f>SUM(AE11:AH11)</f>
        <v>2053.8159999999998</v>
      </c>
      <c r="BX11" s="59">
        <f>SUM(AI11:AL11)</f>
        <v>1862.3989999999997</v>
      </c>
      <c r="BY11" s="558">
        <f>SUM(AM11:AP11)</f>
        <v>2082.0299999999997</v>
      </c>
      <c r="BZ11" s="59">
        <f>SUM(AQ11:AT11)</f>
        <v>2199</v>
      </c>
      <c r="CA11" s="59">
        <f>SUM(AU11:AX11)</f>
        <v>2847</v>
      </c>
      <c r="CB11" s="59">
        <f>SUM(AY11:BB11)</f>
        <v>3892</v>
      </c>
      <c r="CC11" s="59">
        <f>SUM(BC11:BF11)</f>
        <v>4923.118185665704</v>
      </c>
      <c r="CD11" s="59">
        <f>SUM(BG11:BJ11)</f>
        <v>5693.7946368416688</v>
      </c>
      <c r="CE11" s="59">
        <f>SUM(BK11:BN11)</f>
        <v>6463.5568021686959</v>
      </c>
      <c r="CF11" s="14"/>
      <c r="CY11"/>
      <c r="CZ11"/>
      <c r="DA11"/>
      <c r="DB11"/>
      <c r="DC11"/>
      <c r="DD11"/>
    </row>
    <row r="12" spans="1:108" s="5" customFormat="1">
      <c r="B12" s="114" t="s">
        <v>217</v>
      </c>
      <c r="C12" s="32">
        <v>0</v>
      </c>
      <c r="D12" s="30">
        <v>0</v>
      </c>
      <c r="E12" s="30">
        <v>0</v>
      </c>
      <c r="F12" s="33">
        <v>0</v>
      </c>
      <c r="G12" s="30">
        <v>0</v>
      </c>
      <c r="H12" s="30">
        <v>0</v>
      </c>
      <c r="I12" s="30">
        <v>-16</v>
      </c>
      <c r="J12" s="30">
        <v>0</v>
      </c>
      <c r="K12" s="32">
        <v>0</v>
      </c>
      <c r="L12" s="30">
        <v>0</v>
      </c>
      <c r="M12" s="30">
        <v>0</v>
      </c>
      <c r="N12" s="33">
        <v>0</v>
      </c>
      <c r="O12" s="30">
        <v>0</v>
      </c>
      <c r="P12" s="30">
        <v>-195.95400000000001</v>
      </c>
      <c r="Q12" s="30">
        <v>-4.5</v>
      </c>
      <c r="R12" s="30">
        <v>6.665</v>
      </c>
      <c r="S12" s="32">
        <v>0</v>
      </c>
      <c r="T12" s="30">
        <v>-119.99299999999999</v>
      </c>
      <c r="U12" s="30">
        <v>24.114999999999998</v>
      </c>
      <c r="V12" s="33">
        <v>0</v>
      </c>
      <c r="W12" s="30">
        <v>0</v>
      </c>
      <c r="X12" s="30">
        <v>-181.19300000000001</v>
      </c>
      <c r="Y12" s="30">
        <v>0</v>
      </c>
      <c r="Z12" s="30">
        <v>0</v>
      </c>
      <c r="AA12" s="32">
        <v>0</v>
      </c>
      <c r="AB12" s="30">
        <v>0</v>
      </c>
      <c r="AC12" s="30">
        <v>0</v>
      </c>
      <c r="AD12" s="33">
        <v>-7.3</v>
      </c>
      <c r="AE12" s="30">
        <v>0</v>
      </c>
      <c r="AF12" s="30">
        <v>0</v>
      </c>
      <c r="AG12" s="30">
        <v>0</v>
      </c>
      <c r="AH12" s="30">
        <v>0</v>
      </c>
      <c r="AI12" s="32">
        <v>0</v>
      </c>
      <c r="AJ12" s="30">
        <v>-2.29</v>
      </c>
      <c r="AK12" s="30">
        <v>0</v>
      </c>
      <c r="AL12" s="33">
        <v>6.3319999999999999</v>
      </c>
      <c r="AM12" s="32">
        <v>0</v>
      </c>
      <c r="AN12" s="30">
        <v>0</v>
      </c>
      <c r="AO12" s="30">
        <v>0</v>
      </c>
      <c r="AP12" s="33">
        <v>0</v>
      </c>
      <c r="AQ12" s="32">
        <v>0</v>
      </c>
      <c r="AR12" s="30">
        <v>-15</v>
      </c>
      <c r="AS12" s="30">
        <v>0</v>
      </c>
      <c r="AT12" s="33">
        <v>-5</v>
      </c>
      <c r="AU12" s="32">
        <v>-10</v>
      </c>
      <c r="AV12" s="30">
        <v>0</v>
      </c>
      <c r="AW12" s="30">
        <v>0</v>
      </c>
      <c r="AX12" s="33">
        <v>0</v>
      </c>
      <c r="AY12" s="454">
        <v>0</v>
      </c>
      <c r="AZ12" s="30">
        <v>0</v>
      </c>
      <c r="BA12" s="30">
        <v>0</v>
      </c>
      <c r="BB12" s="33">
        <v>-1</v>
      </c>
      <c r="BC12" s="454">
        <v>0</v>
      </c>
      <c r="BD12" s="30">
        <v>0</v>
      </c>
      <c r="BE12" s="894"/>
      <c r="BF12" s="33"/>
      <c r="BG12" s="454"/>
      <c r="BH12" s="30"/>
      <c r="BI12" s="894"/>
      <c r="BJ12" s="33"/>
      <c r="BK12" s="454"/>
      <c r="BL12" s="30"/>
      <c r="BM12" s="894"/>
      <c r="BN12" s="33"/>
      <c r="BO12" s="84"/>
      <c r="BP12" s="59">
        <f>SUM(C12:F12)</f>
        <v>0</v>
      </c>
      <c r="BQ12" s="59">
        <f>SUM(G12:J12)</f>
        <v>-16</v>
      </c>
      <c r="BR12" s="59">
        <f>SUM(K12:N12)</f>
        <v>0</v>
      </c>
      <c r="BS12" s="59">
        <f>SUM(O12:R12)</f>
        <v>-193.78900000000002</v>
      </c>
      <c r="BT12" s="59">
        <f>SUM(S12:V12)</f>
        <v>-95.878</v>
      </c>
      <c r="BU12" s="59">
        <f>SUM(W12:Z12)</f>
        <v>-181.19300000000001</v>
      </c>
      <c r="BV12" s="59">
        <f>SUM(AA12:AD12)</f>
        <v>-7.3</v>
      </c>
      <c r="BW12" s="59">
        <f>SUM(AE12:AH12)</f>
        <v>0</v>
      </c>
      <c r="BX12" s="59">
        <f>SUM(AI12:AL12)</f>
        <v>4.0419999999999998</v>
      </c>
      <c r="BY12" s="59">
        <f>SUM(AM12:AP12)</f>
        <v>0</v>
      </c>
      <c r="BZ12" s="59">
        <f>SUM(AQ12:AT12)</f>
        <v>-20</v>
      </c>
      <c r="CA12" s="73">
        <f>SUM(AU12:AX12)</f>
        <v>-10</v>
      </c>
      <c r="CB12" s="73">
        <f>SUM(AY12:BB12)</f>
        <v>-1</v>
      </c>
      <c r="CC12" s="73">
        <f>SUM(BC12:BF12)</f>
        <v>0</v>
      </c>
      <c r="CD12" s="73">
        <f>SUM(BG12:BJ12)</f>
        <v>0</v>
      </c>
      <c r="CE12" s="73">
        <f>SUM(BK12:BN12)</f>
        <v>0</v>
      </c>
      <c r="CF12" s="14"/>
      <c r="CY12"/>
      <c r="CZ12"/>
      <c r="DA12"/>
      <c r="DB12"/>
      <c r="DC12"/>
      <c r="DD12"/>
    </row>
    <row r="13" spans="1:108" s="9" customFormat="1">
      <c r="B13" s="249" t="s">
        <v>117</v>
      </c>
      <c r="C13" s="250">
        <f>C7-C11</f>
        <v>210.15300000000002</v>
      </c>
      <c r="D13" s="251">
        <f t="shared" ref="D13:AM13" si="23">D7-D11</f>
        <v>217.375</v>
      </c>
      <c r="E13" s="251">
        <f t="shared" si="23"/>
        <v>227.99499999999995</v>
      </c>
      <c r="F13" s="252">
        <f t="shared" si="23"/>
        <v>254.5100000000001</v>
      </c>
      <c r="G13" s="251">
        <f t="shared" si="23"/>
        <v>288.75700000000001</v>
      </c>
      <c r="H13" s="251">
        <f t="shared" si="23"/>
        <v>292.12799999999999</v>
      </c>
      <c r="I13" s="251">
        <f t="shared" si="23"/>
        <v>333.94200000000001</v>
      </c>
      <c r="J13" s="251">
        <f t="shared" si="23"/>
        <v>385.70600000000013</v>
      </c>
      <c r="K13" s="250">
        <f t="shared" si="23"/>
        <v>380.13799999999998</v>
      </c>
      <c r="L13" s="251">
        <f t="shared" si="23"/>
        <v>423.99200000000002</v>
      </c>
      <c r="M13" s="251">
        <f t="shared" si="23"/>
        <v>515.553</v>
      </c>
      <c r="N13" s="252">
        <f t="shared" si="23"/>
        <v>549.59699999999975</v>
      </c>
      <c r="O13" s="251">
        <f t="shared" si="23"/>
        <v>514.84299999999996</v>
      </c>
      <c r="P13" s="251">
        <f t="shared" si="23"/>
        <v>149.91700000000003</v>
      </c>
      <c r="Q13" s="251">
        <f t="shared" si="23"/>
        <v>367.84299999999996</v>
      </c>
      <c r="R13" s="251">
        <f t="shared" si="23"/>
        <v>141.6659999999996</v>
      </c>
      <c r="S13" s="250">
        <f t="shared" si="23"/>
        <v>189.69599999999997</v>
      </c>
      <c r="T13" s="251">
        <f t="shared" si="23"/>
        <v>156.72299999999996</v>
      </c>
      <c r="U13" s="251">
        <f t="shared" si="23"/>
        <v>391.78300000000002</v>
      </c>
      <c r="V13" s="252">
        <f t="shared" si="23"/>
        <v>438.72100000000023</v>
      </c>
      <c r="W13" s="251">
        <f t="shared" si="23"/>
        <v>456.37699999999995</v>
      </c>
      <c r="X13" s="251">
        <f t="shared" si="23"/>
        <v>134.29199999999992</v>
      </c>
      <c r="Y13" s="251">
        <f t="shared" si="23"/>
        <v>392.06200000000001</v>
      </c>
      <c r="Z13" s="251">
        <f t="shared" si="23"/>
        <v>426.35899999999981</v>
      </c>
      <c r="AA13" s="250">
        <f t="shared" si="23"/>
        <v>484.50299999999999</v>
      </c>
      <c r="AB13" s="251">
        <f t="shared" si="23"/>
        <v>525.28400000000011</v>
      </c>
      <c r="AC13" s="251">
        <f t="shared" si="23"/>
        <v>556.7170000000001</v>
      </c>
      <c r="AD13" s="252">
        <f t="shared" si="23"/>
        <v>490.01299999999998</v>
      </c>
      <c r="AE13" s="251">
        <f t="shared" si="23"/>
        <v>463.36399999999998</v>
      </c>
      <c r="AF13" s="251">
        <f t="shared" si="23"/>
        <v>540.71900000000005</v>
      </c>
      <c r="AG13" s="251">
        <f t="shared" si="23"/>
        <v>636.6579999999999</v>
      </c>
      <c r="AH13" s="251">
        <f t="shared" si="23"/>
        <v>585.60200000000009</v>
      </c>
      <c r="AI13" s="250">
        <f t="shared" si="23"/>
        <v>518.56799999999998</v>
      </c>
      <c r="AJ13" s="251">
        <f t="shared" si="23"/>
        <v>545.53800000000001</v>
      </c>
      <c r="AK13" s="251">
        <f t="shared" si="23"/>
        <v>584.41500000000008</v>
      </c>
      <c r="AL13" s="252">
        <f t="shared" si="23"/>
        <v>619.24200000000064</v>
      </c>
      <c r="AM13" s="250">
        <f t="shared" si="23"/>
        <v>604.202</v>
      </c>
      <c r="AN13" s="251">
        <f t="shared" ref="AN13:AS13" si="24">AN7-AN11</f>
        <v>618.97400000000005</v>
      </c>
      <c r="AO13" s="251">
        <f t="shared" si="24"/>
        <v>676.69800000000009</v>
      </c>
      <c r="AP13" s="252">
        <f t="shared" si="24"/>
        <v>699.60299999999995</v>
      </c>
      <c r="AQ13" s="250">
        <f t="shared" si="24"/>
        <v>653</v>
      </c>
      <c r="AR13" s="251">
        <f t="shared" si="24"/>
        <v>634</v>
      </c>
      <c r="AS13" s="251">
        <f t="shared" si="24"/>
        <v>734</v>
      </c>
      <c r="AT13" s="252">
        <f t="shared" ref="AT13:AW13" si="25">AT7-AT11</f>
        <v>790</v>
      </c>
      <c r="AU13" s="250">
        <f t="shared" si="25"/>
        <v>751</v>
      </c>
      <c r="AV13" s="251">
        <f t="shared" si="25"/>
        <v>826</v>
      </c>
      <c r="AW13" s="251">
        <f t="shared" si="25"/>
        <v>1183</v>
      </c>
      <c r="AX13" s="252">
        <f t="shared" ref="AX13:AZ13" si="26">AX7-AX11</f>
        <v>1303</v>
      </c>
      <c r="AY13" s="869">
        <f t="shared" si="26"/>
        <v>1150</v>
      </c>
      <c r="AZ13" s="251">
        <f t="shared" si="26"/>
        <v>1302</v>
      </c>
      <c r="BA13" s="251">
        <f t="shared" ref="BA13:BB13" si="27">BA7-BA11</f>
        <v>1569</v>
      </c>
      <c r="BB13" s="252">
        <f t="shared" si="27"/>
        <v>1801</v>
      </c>
      <c r="BC13" s="406">
        <f>'BU-Segment'!BC10</f>
        <v>1835.6183651000774</v>
      </c>
      <c r="BD13" s="55">
        <f>'BU-Segment'!BD10</f>
        <v>1968.2125746410959</v>
      </c>
      <c r="BE13" s="70">
        <f>'BU-Segment'!BE10</f>
        <v>2110.6167195811959</v>
      </c>
      <c r="BF13" s="283">
        <f>'BU-Segment'!BF10</f>
        <v>2190.8936369645621</v>
      </c>
      <c r="BG13" s="406">
        <f>'BU-Segment'!BG10</f>
        <v>2042.9232627710617</v>
      </c>
      <c r="BH13" s="55">
        <f>'BU-Segment'!BH10</f>
        <v>2284.0684262731697</v>
      </c>
      <c r="BI13" s="70">
        <f>'BU-Segment'!BI10</f>
        <v>2464.2193792960297</v>
      </c>
      <c r="BJ13" s="283">
        <f>'BU-Segment'!BJ10</f>
        <v>2509.9651613198607</v>
      </c>
      <c r="BK13" s="406">
        <f>'BU-Segment'!BK10</f>
        <v>2360.5508101136734</v>
      </c>
      <c r="BL13" s="55">
        <f>'BU-Segment'!BL10</f>
        <v>2642.9202420920719</v>
      </c>
      <c r="BM13" s="70">
        <f>'BU-Segment'!BM10</f>
        <v>2833.8041584717571</v>
      </c>
      <c r="BN13" s="283">
        <f>'BU-Segment'!BN10</f>
        <v>2902.4620182067015</v>
      </c>
      <c r="BO13" s="89"/>
      <c r="BP13" s="105">
        <f>SUM(C13:F13)</f>
        <v>910.03300000000002</v>
      </c>
      <c r="BQ13" s="105">
        <f>SUM(G13:J13)</f>
        <v>1300.5330000000001</v>
      </c>
      <c r="BR13" s="105">
        <f>SUM(K13:N13)</f>
        <v>1869.2799999999997</v>
      </c>
      <c r="BS13" s="105">
        <f>SUM(O13:R13)</f>
        <v>1174.2689999999998</v>
      </c>
      <c r="BT13" s="105">
        <f>SUM(S13:V13)</f>
        <v>1176.9230000000002</v>
      </c>
      <c r="BU13" s="105">
        <f>SUM(W13:Z13)</f>
        <v>1409.0899999999997</v>
      </c>
      <c r="BV13" s="105">
        <f>SUM(AA13:AD13)</f>
        <v>2056.5170000000003</v>
      </c>
      <c r="BW13" s="105">
        <f>SUM(AE13:AH13)</f>
        <v>2226.3429999999998</v>
      </c>
      <c r="BX13" s="105">
        <f>SUM(AI13:AL13)</f>
        <v>2267.7630000000008</v>
      </c>
      <c r="BY13" s="105">
        <f>SUM(AM13:AP13)</f>
        <v>2599.4769999999999</v>
      </c>
      <c r="BZ13" s="251">
        <f>SUM(AQ13:AT13)</f>
        <v>2811</v>
      </c>
      <c r="CA13" s="251">
        <f>SUM(AU13:AX13)</f>
        <v>4063</v>
      </c>
      <c r="CB13" s="251">
        <f>SUM(AY13:BB13)</f>
        <v>5822</v>
      </c>
      <c r="CC13" s="251">
        <f>SUM(BC13:BF13)</f>
        <v>8105.3412962869315</v>
      </c>
      <c r="CD13" s="251">
        <f>SUM(BG13:BJ13)</f>
        <v>9301.176229660121</v>
      </c>
      <c r="CE13" s="251">
        <f>SUM(BK13:BN13)</f>
        <v>10739.737228884203</v>
      </c>
      <c r="CF13" s="14"/>
      <c r="CY13"/>
      <c r="CZ13"/>
      <c r="DA13"/>
      <c r="DB13"/>
      <c r="DC13"/>
      <c r="DD13"/>
    </row>
    <row r="14" spans="1:108" s="109" customFormat="1">
      <c r="A14" s="5"/>
      <c r="B14" s="91" t="s">
        <v>118</v>
      </c>
      <c r="C14" s="34">
        <f t="shared" ref="C14:AN14" si="28">C13/C7</f>
        <v>0.3599459446497878</v>
      </c>
      <c r="D14" s="35">
        <f t="shared" si="28"/>
        <v>0.37816712246786777</v>
      </c>
      <c r="E14" s="35">
        <f t="shared" si="28"/>
        <v>0.39079386028813101</v>
      </c>
      <c r="F14" s="36">
        <f t="shared" si="28"/>
        <v>0.40167988712370639</v>
      </c>
      <c r="G14" s="35">
        <f t="shared" si="28"/>
        <v>0.42351721234894918</v>
      </c>
      <c r="H14" s="35">
        <f t="shared" si="28"/>
        <v>0.42490171180723729</v>
      </c>
      <c r="I14" s="35">
        <f t="shared" si="28"/>
        <v>0.40696246033254851</v>
      </c>
      <c r="J14" s="35">
        <f t="shared" si="28"/>
        <v>0.43886431828034322</v>
      </c>
      <c r="K14" s="34">
        <f t="shared" si="28"/>
        <v>0.45025110153029801</v>
      </c>
      <c r="L14" s="35">
        <f t="shared" si="28"/>
        <v>0.45334470993410342</v>
      </c>
      <c r="M14" s="35">
        <f t="shared" si="28"/>
        <v>0.46213193473987468</v>
      </c>
      <c r="N14" s="36">
        <f t="shared" si="28"/>
        <v>0.45695792073033836</v>
      </c>
      <c r="O14" s="35">
        <f t="shared" si="28"/>
        <v>0.44637450710428755</v>
      </c>
      <c r="P14" s="35">
        <f t="shared" si="28"/>
        <v>0.16794111189278083</v>
      </c>
      <c r="Q14" s="35">
        <f t="shared" si="28"/>
        <v>0.40978215461396633</v>
      </c>
      <c r="R14" s="35">
        <f t="shared" si="28"/>
        <v>0.29443820925302333</v>
      </c>
      <c r="S14" s="34">
        <f t="shared" si="28"/>
        <v>0.28558739354230678</v>
      </c>
      <c r="T14" s="35">
        <f t="shared" si="28"/>
        <v>0.20182738371194556</v>
      </c>
      <c r="U14" s="35">
        <f t="shared" si="28"/>
        <v>0.43376926194024401</v>
      </c>
      <c r="V14" s="36">
        <f t="shared" si="28"/>
        <v>0.44654082289045788</v>
      </c>
      <c r="W14" s="35">
        <f t="shared" si="28"/>
        <v>0.45555108588129717</v>
      </c>
      <c r="X14" s="35">
        <f t="shared" si="28"/>
        <v>0.16554570467746857</v>
      </c>
      <c r="Y14" s="35">
        <f t="shared" si="28"/>
        <v>0.46457687531401376</v>
      </c>
      <c r="Z14" s="35">
        <f t="shared" si="28"/>
        <v>0.48101370073196914</v>
      </c>
      <c r="AA14" s="34">
        <f t="shared" si="28"/>
        <v>0.50362095507562588</v>
      </c>
      <c r="AB14" s="35">
        <f t="shared" si="28"/>
        <v>0.51674885909433887</v>
      </c>
      <c r="AC14" s="35">
        <f t="shared" si="28"/>
        <v>0.52216042319308187</v>
      </c>
      <c r="AD14" s="36">
        <f t="shared" si="28"/>
        <v>0.51407478435659482</v>
      </c>
      <c r="AE14" s="35">
        <f t="shared" si="28"/>
        <v>0.50100067360308453</v>
      </c>
      <c r="AF14" s="35">
        <f t="shared" si="28"/>
        <v>0.51779616382736271</v>
      </c>
      <c r="AG14" s="35">
        <f t="shared" si="28"/>
        <v>0.52873740771192002</v>
      </c>
      <c r="AH14" s="35">
        <f t="shared" si="28"/>
        <v>0.52904593179884041</v>
      </c>
      <c r="AI14" s="34">
        <f t="shared" si="28"/>
        <v>0.54315158383600126</v>
      </c>
      <c r="AJ14" s="35">
        <f t="shared" si="28"/>
        <v>0.55824476739545537</v>
      </c>
      <c r="AK14" s="35">
        <f t="shared" si="28"/>
        <v>0.55449079525260281</v>
      </c>
      <c r="AL14" s="36">
        <f t="shared" si="28"/>
        <v>0.5411923252387224</v>
      </c>
      <c r="AM14" s="34">
        <f t="shared" si="28"/>
        <v>0.54788640054697779</v>
      </c>
      <c r="AN14" s="35">
        <f t="shared" si="28"/>
        <v>0.56126272188490645</v>
      </c>
      <c r="AO14" s="35">
        <f t="shared" ref="AO14:AR14" si="29">AO13/AO7</f>
        <v>0.55223432366396774</v>
      </c>
      <c r="AP14" s="36">
        <f>AP13/AP7</f>
        <v>0.5594523531923673</v>
      </c>
      <c r="AQ14" s="34">
        <f>AQ13/AQ7</f>
        <v>0.56733275412684625</v>
      </c>
      <c r="AR14" s="35">
        <f t="shared" si="29"/>
        <v>0.54986990459670426</v>
      </c>
      <c r="AS14" s="35">
        <f>AS13/AS7</f>
        <v>0.56245210727969353</v>
      </c>
      <c r="AT14" s="36">
        <f>AT13/AT7</f>
        <v>0.56388294075660239</v>
      </c>
      <c r="AU14" s="34">
        <f>AU13/AU7</f>
        <v>0.57547892720306515</v>
      </c>
      <c r="AV14" s="35">
        <f t="shared" ref="AV14:AW14" si="30">AV13/AV7</f>
        <v>0.57843137254901966</v>
      </c>
      <c r="AW14" s="35">
        <f t="shared" si="30"/>
        <v>0.59031936127744511</v>
      </c>
      <c r="AX14" s="36">
        <f>AX13/AX7</f>
        <v>0.59963184537505754</v>
      </c>
      <c r="AY14" s="367">
        <f>AY13/AY7</f>
        <v>0.59370160041300979</v>
      </c>
      <c r="AZ14" s="818">
        <f t="shared" ref="AZ14:BA14" si="31">AZ13/AZ7</f>
        <v>0.58385650224215246</v>
      </c>
      <c r="BA14" s="818">
        <f t="shared" si="31"/>
        <v>0.59522003034901361</v>
      </c>
      <c r="BB14" s="36">
        <f>BB13/BB7</f>
        <v>0.61868773617313633</v>
      </c>
      <c r="BC14" s="367">
        <f t="shared" ref="BC14:BJ14" si="32">BC13/BC7</f>
        <v>0.62831383325784351</v>
      </c>
      <c r="BD14" s="818">
        <f t="shared" si="32"/>
        <v>0.62328739828540736</v>
      </c>
      <c r="BE14" s="818">
        <f t="shared" si="32"/>
        <v>0.61917297415557038</v>
      </c>
      <c r="BF14" s="36">
        <f t="shared" si="32"/>
        <v>0.61882662284869439</v>
      </c>
      <c r="BG14" s="367">
        <f t="shared" si="32"/>
        <v>0.62111471157967735</v>
      </c>
      <c r="BH14" s="818">
        <f t="shared" si="32"/>
        <v>0.62015997001073087</v>
      </c>
      <c r="BI14" s="818">
        <f t="shared" si="32"/>
        <v>0.61861403595368392</v>
      </c>
      <c r="BJ14" s="36">
        <f t="shared" si="32"/>
        <v>0.62137635901633015</v>
      </c>
      <c r="BK14" s="367">
        <f t="shared" ref="BK14:BN14" si="33">BK13/BK7</f>
        <v>0.62469065596245199</v>
      </c>
      <c r="BL14" s="818">
        <f t="shared" si="33"/>
        <v>0.62376846076012638</v>
      </c>
      <c r="BM14" s="818">
        <f t="shared" si="33"/>
        <v>0.6228629635965236</v>
      </c>
      <c r="BN14" s="36">
        <f t="shared" si="33"/>
        <v>0.62581679692126502</v>
      </c>
      <c r="BO14" s="127"/>
      <c r="BP14" s="35">
        <f t="shared" ref="BP14:BX14" si="34">BP13/BP7</f>
        <v>0.38306098404377348</v>
      </c>
      <c r="BQ14" s="35">
        <f t="shared" si="34"/>
        <v>0.42379604082546402</v>
      </c>
      <c r="BR14" s="35">
        <f t="shared" si="34"/>
        <v>0.45616004451103742</v>
      </c>
      <c r="BS14" s="35">
        <f t="shared" si="34"/>
        <v>0.34286637785672341</v>
      </c>
      <c r="BT14" s="35">
        <f t="shared" si="34"/>
        <v>0.35380804432359481</v>
      </c>
      <c r="BU14" s="35">
        <f t="shared" si="34"/>
        <v>0.39767629636591101</v>
      </c>
      <c r="BV14" s="35">
        <f t="shared" si="34"/>
        <v>0.51439544964519146</v>
      </c>
      <c r="BW14" s="35">
        <f t="shared" si="34"/>
        <v>0.52015427464260089</v>
      </c>
      <c r="BX14" s="35">
        <f t="shared" si="34"/>
        <v>0.54907361987253789</v>
      </c>
      <c r="BY14" s="35">
        <f t="shared" ref="BY14:CA14" si="35">BY13/BY7</f>
        <v>0.55526500334187268</v>
      </c>
      <c r="BZ14" s="35">
        <f t="shared" si="35"/>
        <v>0.56107784431137719</v>
      </c>
      <c r="CA14" s="35">
        <f t="shared" si="35"/>
        <v>0.58798842257597683</v>
      </c>
      <c r="CB14" s="35">
        <f t="shared" ref="CB14:CC14" si="36">CB13/CB7</f>
        <v>0.59934115709285563</v>
      </c>
      <c r="CC14" s="818">
        <f t="shared" si="36"/>
        <v>0.62212583978287406</v>
      </c>
      <c r="CD14" s="818">
        <f t="shared" ref="CD14:CE14" si="37">CD13/CD7</f>
        <v>0.62028638217888132</v>
      </c>
      <c r="CE14" s="818">
        <f t="shared" si="37"/>
        <v>0.62428376853283918</v>
      </c>
      <c r="CF14" s="14"/>
      <c r="CY14"/>
      <c r="CZ14"/>
      <c r="DA14"/>
      <c r="DB14"/>
      <c r="DC14"/>
      <c r="DD14"/>
    </row>
    <row r="15" spans="1:108" s="109" customFormat="1">
      <c r="A15" s="5" t="s">
        <v>149</v>
      </c>
      <c r="B15" s="91" t="s">
        <v>150</v>
      </c>
      <c r="C15" s="37" t="str">
        <f>_xll.ThomsonONEAddinShim.SpreadsheetFormulas.TF($A$1,"TF.ES.GPM.Mean(period=#1)",,C$2)</f>
        <v>N/A</v>
      </c>
      <c r="D15" s="38" t="str">
        <f>_xll.ThomsonONEAddinShim.SpreadsheetFormulas.TF($A$1,"TF.ES.GPM.Mean(period=#1)",,D$2)</f>
        <v>N/A</v>
      </c>
      <c r="E15" s="38" t="str">
        <f>_xll.ThomsonONEAddinShim.SpreadsheetFormulas.TF($A$1,"TF.ES.GPM.Mean(period=#1)",,E$2)</f>
        <v>N/A</v>
      </c>
      <c r="F15" s="39" t="str">
        <f>_xll.ThomsonONEAddinShim.SpreadsheetFormulas.TF($A$1,"TF.ES.GPM.Mean(period=#1)",,F$2)</f>
        <v>N/A</v>
      </c>
      <c r="G15" s="38" t="str">
        <f>_xll.ThomsonONEAddinShim.SpreadsheetFormulas.TF($A$1,"TF.ES.GPM.Mean(period=#1)",,G$2)</f>
        <v>N/A</v>
      </c>
      <c r="H15" s="38" t="str">
        <f>_xll.ThomsonONEAddinShim.SpreadsheetFormulas.TF($A$1,"TF.ES.GPM.Mean(period=#1)",,H$2)</f>
        <v>Manual Calculation</v>
      </c>
      <c r="I15" s="38" t="str">
        <f>_xll.ThomsonONEAddinShim.SpreadsheetFormulas.TF($A$1,"TF.ES.GPM.Mean(period=#1)",,I$2)</f>
        <v>Manual Calculation</v>
      </c>
      <c r="J15" s="38" t="str">
        <f>_xll.ThomsonONEAddinShim.SpreadsheetFormulas.TF($A$1,"TF.ES.GPM.Mean(period=#1)",,J$2)</f>
        <v>Manual Calculation</v>
      </c>
      <c r="K15" s="37" t="str">
        <f>_xll.ThomsonONEAddinShim.SpreadsheetFormulas.TF($A$1,"TF.ES.GPM.Mean(period=#1)",,K$2)</f>
        <v>Manual Calculation</v>
      </c>
      <c r="L15" s="38" t="str">
        <f>_xll.ThomsonONEAddinShim.SpreadsheetFormulas.TF($A$1,"TF.ES.GPM.Mean(period=#1)",,L$2)</f>
        <v>Manual Calculation</v>
      </c>
      <c r="M15" s="38" t="str">
        <f>_xll.ThomsonONEAddinShim.SpreadsheetFormulas.TF($A$1,"TF.ES.GPM.Mean(period=#1)",,M$2)</f>
        <v>Manual Calculation</v>
      </c>
      <c r="N15" s="39" t="str">
        <f>_xll.ThomsonONEAddinShim.SpreadsheetFormulas.TF($A$1,"TF.ES.GPM.Mean(period=#1)",,N$2)</f>
        <v>Manual Calculation</v>
      </c>
      <c r="O15" s="38" t="str">
        <f>_xll.ThomsonONEAddinShim.SpreadsheetFormulas.TF($A$1,"TF.ES.GPM.Mean(period=#1)",,O$2)</f>
        <v>Manual Calculation</v>
      </c>
      <c r="P15" s="38" t="str">
        <f>_xll.ThomsonONEAddinShim.SpreadsheetFormulas.TF($A$1,"TF.ES.GPM.Mean(period=#1)",,P$2)</f>
        <v>Manual Calculation</v>
      </c>
      <c r="Q15" s="38" t="str">
        <f>_xll.ThomsonONEAddinShim.SpreadsheetFormulas.TF($A$1,"TF.ES.GPM.Mean(period=#1)",,Q$2)</f>
        <v>Manual Calculation</v>
      </c>
      <c r="R15" s="38" t="str">
        <f>_xll.ThomsonONEAddinShim.SpreadsheetFormulas.TF($A$1,"TF.ES.GPM.Mean(period=#1)",,R$2)</f>
        <v>Manual Calculation</v>
      </c>
      <c r="S15" s="37" t="str">
        <f>_xll.ThomsonONEAddinShim.SpreadsheetFormulas.TF($A$1,"TF.ES.GPM.Mean(period=#1)",,S$2)</f>
        <v>Manual Calculation</v>
      </c>
      <c r="T15" s="38" t="str">
        <f>_xll.ThomsonONEAddinShim.SpreadsheetFormulas.TF($A$1,"TF.ES.GPM.Mean(period=#1)",,T$2)</f>
        <v>Manual Calculation</v>
      </c>
      <c r="U15" s="38" t="str">
        <f>_xll.ThomsonONEAddinShim.SpreadsheetFormulas.TF($A$1,"TF.ES.GPM.Mean(period=#1)",,U$2)</f>
        <v>Manual Calculation</v>
      </c>
      <c r="V15" s="39" t="str">
        <f>_xll.ThomsonONEAddinShim.SpreadsheetFormulas.TF($A$1,"TF.ES.GPM.Mean(period=#1)",,V$2)</f>
        <v>Manual Calculation</v>
      </c>
      <c r="W15" s="38" t="str">
        <f>_xll.ThomsonONEAddinShim.SpreadsheetFormulas.TF($A$1,"TF.ES.GPM.Mean(period=#1)",,W$2)</f>
        <v>Manual Calculation</v>
      </c>
      <c r="X15" s="38" t="str">
        <f>_xll.ThomsonONEAddinShim.SpreadsheetFormulas.TF($A$1,"TF.ES.GPM.Mean(period=#1)",,X$2)</f>
        <v>Manual Calculation</v>
      </c>
      <c r="Y15" s="38" t="str">
        <f>_xll.ThomsonONEAddinShim.SpreadsheetFormulas.TF($A$1,"TF.ES.GPM.Mean(period=#1)",,Y$2)</f>
        <v>Manual Calculation</v>
      </c>
      <c r="Z15" s="38" t="str">
        <f>_xll.ThomsonONEAddinShim.SpreadsheetFormulas.TF($A$1,"TF.ES.GPM.Mean(period=#1)",,Z$2)</f>
        <v>Manual Calculation</v>
      </c>
      <c r="AA15" s="37" t="str">
        <f>_xll.ThomsonONEAddinShim.SpreadsheetFormulas.TF($A$1,"TF.ES.GPM.Mean(period=#1)",,AA$2)</f>
        <v>Manual Calculation</v>
      </c>
      <c r="AB15" s="38" t="str">
        <f>_xll.ThomsonONEAddinShim.SpreadsheetFormulas.TF($A$1,"TF.ES.GPM.Mean(period=#1)",,AB$2)</f>
        <v>Manual Calculation</v>
      </c>
      <c r="AC15" s="38" t="str">
        <f>_xll.ThomsonONEAddinShim.SpreadsheetFormulas.TF($A$1,"TF.ES.GPM.Mean(period=#1)",,AC$2)</f>
        <v>Manual Calculation</v>
      </c>
      <c r="AD15" s="39" t="str">
        <f>_xll.ThomsonONEAddinShim.SpreadsheetFormulas.TF($A$1,"TF.ES.GPM.Mean(period=#1)",,AD$2)</f>
        <v>Manual Calculation</v>
      </c>
      <c r="AE15" s="38" t="str">
        <f>_xll.ThomsonONEAddinShim.SpreadsheetFormulas.TF($A$1,"TF.ES.GPM.Mean(period=#1)",,AE$2)</f>
        <v>Manual Calculation</v>
      </c>
      <c r="AF15" s="38" t="str">
        <f>_xll.ThomsonONEAddinShim.SpreadsheetFormulas.TF($A$1,"TF.ES.GPM.Mean(period=#1)",,AF$2)</f>
        <v>Manual Calculation</v>
      </c>
      <c r="AG15" s="38" t="str">
        <f>_xll.ThomsonONEAddinShim.SpreadsheetFormulas.TF($A$1,"TF.ES.GPM.Mean(period=#1)",,AG$2)</f>
        <v>Manual Calculation</v>
      </c>
      <c r="AH15" s="38" t="str">
        <f>_xll.ThomsonONEAddinShim.SpreadsheetFormulas.TF($A$1,"TF.ES.GPM.Mean(period=#1)",,AH$2)</f>
        <v>Manual Calculation</v>
      </c>
      <c r="AI15" s="37" t="str">
        <f>_xll.ThomsonONEAddinShim.SpreadsheetFormulas.TF($A$1,"TF.ES.GPM.Mean(period=#1)",,AI$2)</f>
        <v>Manual Calculation</v>
      </c>
      <c r="AJ15" s="38" t="str">
        <f>_xll.ThomsonONEAddinShim.SpreadsheetFormulas.TF($A$1,"TF.ES.GPM.Mean(period=#1)",,AJ$2)</f>
        <v>Manual Calculation</v>
      </c>
      <c r="AK15" s="38" t="str">
        <f>_xll.ThomsonONEAddinShim.SpreadsheetFormulas.TF($A$1,"TF.ES.GPM.Mean(period=#1)",,AK$2)</f>
        <v>Manual Calculation</v>
      </c>
      <c r="AL15" s="39" t="str">
        <f>_xll.ThomsonONEAddinShim.SpreadsheetFormulas.TF($A$1,"TF.ES.GPM.Mean(period=#1)",,AL$2)</f>
        <v>Manual Calculation</v>
      </c>
      <c r="AM15" s="37" t="str">
        <f>_xll.ThomsonONEAddinShim.SpreadsheetFormulas.TF($A$1,"TF.ES.GPM.Mean(period=#1)",,AM$2)</f>
        <v>Manual Calculation</v>
      </c>
      <c r="AN15" s="38" t="str">
        <f>_xll.ThomsonONEAddinShim.SpreadsheetFormulas.TF($A$1,"TF.ES.GPM.Mean(period=#1)",,AN$2)</f>
        <v>Manual Calculation</v>
      </c>
      <c r="AO15" s="38" t="str">
        <f>_xll.ThomsonONEAddinShim.SpreadsheetFormulas.TF($A$1,"TF.ES.GPM.Mean(period=#1)",,AO$2)</f>
        <v>Manual Calculation</v>
      </c>
      <c r="AP15" s="39" t="str">
        <f>_xll.ThomsonONEAddinShim.SpreadsheetFormulas.TF($A$1,"TF.ES.GPM.Mean(period=#1)",,AP$2)</f>
        <v>Manual Calculation</v>
      </c>
      <c r="AQ15" s="37" t="str">
        <f>_xll.ThomsonONEAddinShim.SpreadsheetFormulas.TF($A$1,"TF.ES.GPM.Mean(period=#1)",,AQ$2)</f>
        <v>Manual Calculation</v>
      </c>
      <c r="AR15" s="38" t="str">
        <f>_xll.ThomsonONEAddinShim.SpreadsheetFormulas.TF($A$1,"TF.ES.GPM.Mean(period=#1)",,AR$2)</f>
        <v>Manual Calculation</v>
      </c>
      <c r="AS15" s="38" t="str">
        <f>_xll.ThomsonONEAddinShim.SpreadsheetFormulas.TF($A$1,"TF.ES.GPM.Mean(period=#1)",,AS$2)</f>
        <v>Manual Calculation</v>
      </c>
      <c r="AT15" s="39" t="str">
        <f>_xll.ThomsonONEAddinShim.SpreadsheetFormulas.TF($A$1,"TF.ES.GPM.Mean(period=#1)",,AT$2)</f>
        <v>Manual Calculation</v>
      </c>
      <c r="AU15" s="37">
        <f>_xll.ThomsonONEAddinShim.SpreadsheetFormulas.TF($A$1,"TF.ES.GPM.Mean(period=#1)",,AU$2)</f>
        <v>0.57200000000000006</v>
      </c>
      <c r="AV15" s="38">
        <f>_xll.ThomsonONEAddinShim.SpreadsheetFormulas.TF($A$1,"TF.ES.GPM.Mean(period=#1)",,AV$2)</f>
        <v>0.57799999999999996</v>
      </c>
      <c r="AW15" s="38">
        <f>_xll.ThomsonONEAddinShim.SpreadsheetFormulas.TF($A$1,"TF.ES.GPM.Mean(period=#1)",,AW$2)</f>
        <v>0.57899999999999996</v>
      </c>
      <c r="AX15" s="39">
        <f>_xll.ThomsonONEAddinShim.SpreadsheetFormulas.TF($A$1,"TF.ES.GPM.Mean(period=#1)",,AX$2)</f>
        <v>0.59200000000000008</v>
      </c>
      <c r="AY15" s="873">
        <f>_xll.ThomsonONEAddinShim.SpreadsheetFormulas.TF($A$1,"TF.ES.GPM.Mean(period=#1)",,AY$2)</f>
        <v>0.59599999999999997</v>
      </c>
      <c r="AZ15" s="38">
        <f>_xll.ThomsonONEAddinShim.SpreadsheetFormulas.TF($A$1,"TF.ES.GPM.Mean(period=#1)",,AZ$2)</f>
        <v>0.58599999999999997</v>
      </c>
      <c r="BA15" s="38">
        <f>_xll.ThomsonONEAddinShim.SpreadsheetFormulas.TF($A$1,"TF.ES.GPM.Mean(period=#1)",,BA$2)</f>
        <v>0.58700000000000008</v>
      </c>
      <c r="BB15" s="39">
        <f>_xll.ThomsonONEAddinShim.SpreadsheetFormulas.TF($A$1,"TF.ES.GPM.Mean(period=#1)",,BB$2)</f>
        <v>0.59899999999999998</v>
      </c>
      <c r="BC15" s="873">
        <f>_xll.ThomsonONEAddinShim.SpreadsheetFormulas.TF($A$1,"TF.ES.GPM.Mean(period=#1)",,BC$2)</f>
        <v>0.59499999999999997</v>
      </c>
      <c r="BD15" s="38">
        <f>_xll.ThomsonONEAddinShim.SpreadsheetFormulas.TF($A$1,"TF.ES.GPM.Mean(period=#1)",,BD$2)</f>
        <v>0.59699999999999998</v>
      </c>
      <c r="BE15" s="38">
        <f>_xll.ThomsonONEAddinShim.SpreadsheetFormulas.TF($A$1,"TF.ES.GPM.Mean(period=#1)",,BE$2)</f>
        <v>0.6</v>
      </c>
      <c r="BF15" s="39">
        <f>_xll.ThomsonONEAddinShim.SpreadsheetFormulas.TF($A$1,"TF.ES.GPM.Mean(period=#1)",,BF$2)</f>
        <v>0.60199999999999998</v>
      </c>
      <c r="BG15" s="873">
        <f>_xll.ThomsonONEAddinShim.SpreadsheetFormulas.TF($A$1,"TF.ES.GPM.Mean(period=#1)",,BG$2)</f>
        <v>0.59699999999999998</v>
      </c>
      <c r="BH15" s="38">
        <f>_xll.ThomsonONEAddinShim.SpreadsheetFormulas.TF($A$1,"TF.ES.GPM.Mean(period=#1)",,BH$2)</f>
        <v>0.59699999999999998</v>
      </c>
      <c r="BI15" s="38">
        <f>_xll.ThomsonONEAddinShim.SpreadsheetFormulas.TF($A$1,"TF.ES.GPM.Mean(period=#1)",,BI$2)</f>
        <v>0.60399999999999998</v>
      </c>
      <c r="BJ15" s="39">
        <f>_xll.ThomsonONEAddinShim.SpreadsheetFormulas.TF($A$1,"TF.ES.GPM.Mean(period=#1)",,BJ$2)</f>
        <v>0.60499999999999998</v>
      </c>
      <c r="BK15" s="873" t="str">
        <f>_xll.ThomsonONEAddinShim.SpreadsheetFormulas.TF($A$1,"TF.ES.GPM.Mean(period=#1)",,BK$2)</f>
        <v>N/A</v>
      </c>
      <c r="BL15" s="38" t="str">
        <f>_xll.ThomsonONEAddinShim.SpreadsheetFormulas.TF($A$1,"TF.ES.GPM.Mean(period=#1)",,BL$2)</f>
        <v>N/A</v>
      </c>
      <c r="BM15" s="38" t="str">
        <f>_xll.ThomsonONEAddinShim.SpreadsheetFormulas.TF($A$1,"TF.ES.GPM.Mean(period=#1)",,BM$2)</f>
        <v>N/A</v>
      </c>
      <c r="BN15" s="39" t="str">
        <f>_xll.ThomsonONEAddinShim.SpreadsheetFormulas.TF($A$1,"TF.ES.GPM.Mean(period=#1)",,BN$2)</f>
        <v>N/A</v>
      </c>
      <c r="BO15" s="126"/>
      <c r="BP15" s="38" t="str">
        <f>_xll.ThomsonONEAddinShim.SpreadsheetFormulas.TF($A$1,"TF.ES.GPM.Mean(period=#1)",,BP$2)</f>
        <v>N/A</v>
      </c>
      <c r="BQ15" s="38" t="str">
        <f>_xll.ThomsonONEAddinShim.SpreadsheetFormulas.TF($A$1,"TF.ES.GPM.Mean(period=#1)",,BQ$2)</f>
        <v>Manual Calculation</v>
      </c>
      <c r="BR15" s="38" t="str">
        <f>_xll.ThomsonONEAddinShim.SpreadsheetFormulas.TF($A$1,"TF.ES.GPM.Mean(period=#1)",,BR$2)</f>
        <v>Manual Calculation</v>
      </c>
      <c r="BS15" s="38" t="str">
        <f>_xll.ThomsonONEAddinShim.SpreadsheetFormulas.TF($A$1,"TF.ES.GPM.Mean(period=#1)",,BS$2)</f>
        <v>Manual Calculation</v>
      </c>
      <c r="BT15" s="38" t="str">
        <f>_xll.ThomsonONEAddinShim.SpreadsheetFormulas.TF($A$1,"TF.ES.GPM.Mean(period=#1)",,BT$2)</f>
        <v>Manual Calculation</v>
      </c>
      <c r="BU15" s="38" t="str">
        <f>_xll.ThomsonONEAddinShim.SpreadsheetFormulas.TF($A$1,"TF.ES.GPM.Mean(period=#1)",,BU$2)</f>
        <v>Manual Calculation</v>
      </c>
      <c r="BV15" s="38" t="str">
        <f>_xll.ThomsonONEAddinShim.SpreadsheetFormulas.TF($A$1,"TF.ES.GPM.Mean(period=#1)",,BV$2)</f>
        <v>Manual Calculation</v>
      </c>
      <c r="BW15" s="38" t="str">
        <f>_xll.ThomsonONEAddinShim.SpreadsheetFormulas.TF($A$1,"TF.ES.GPM.Mean(period=#1)",,BW$2)</f>
        <v>Manual Calculation</v>
      </c>
      <c r="BX15" s="38" t="str">
        <f>_xll.ThomsonONEAddinShim.SpreadsheetFormulas.TF($A$1,"TF.ES.GPM.Mean(period=#1)",,BX$2)</f>
        <v>Manual Calculation</v>
      </c>
      <c r="BY15" s="38">
        <f>_xll.ThomsonONEAddinShim.SpreadsheetFormulas.TF($A$1,"TF.ES.GPM.Mean(period=#1)",,BY$2)</f>
        <v>0.55299999999999994</v>
      </c>
      <c r="BZ15" s="38">
        <f>_xll.ThomsonONEAddinShim.SpreadsheetFormulas.TF($A$1,"TF.ES.GPM.Mean(period=#1)",,BZ$2)</f>
        <v>0.56499999999999995</v>
      </c>
      <c r="CA15" s="38">
        <f>_xll.ThomsonONEAddinShim.SpreadsheetFormulas.TF($A$1,"TF.ES.GPM.Mean(period=#1)",,CA$2)</f>
        <v>0.58799999999999997</v>
      </c>
      <c r="CB15" s="38">
        <f>_xll.ThomsonONEAddinShim.SpreadsheetFormulas.TF($A$1,"TF.ES.GPM.Mean(period=#1)",,CB$2)</f>
        <v>0.59399999999999997</v>
      </c>
      <c r="CC15" s="38">
        <f>_xll.ThomsonONEAddinShim.SpreadsheetFormulas.TF($A$1,"TF.ES.GPM.Mean(period=#1)",,CC$2)</f>
        <v>0.59899999999999998</v>
      </c>
      <c r="CD15" s="38">
        <f>_xll.ThomsonONEAddinShim.SpreadsheetFormulas.TF($A$1,"TF.ES.GPM.Mean(period=#1)",,CD$2)</f>
        <v>0.60399999999999998</v>
      </c>
      <c r="CE15" s="38">
        <f>_xll.ThomsonONEAddinShim.SpreadsheetFormulas.TF($A$1,"TF.ES.GPM.Mean(period=#1)",,CE$2)</f>
        <v>0.60399999999999998</v>
      </c>
      <c r="CF15" s="847"/>
      <c r="CY15"/>
      <c r="CZ15"/>
      <c r="DA15"/>
      <c r="DB15"/>
      <c r="DC15"/>
      <c r="DD15"/>
    </row>
    <row r="16" spans="1:108" s="5" customFormat="1">
      <c r="B16" s="5" t="s">
        <v>4</v>
      </c>
      <c r="C16" s="209">
        <v>85.912999999999997</v>
      </c>
      <c r="D16" s="26">
        <v>87.113</v>
      </c>
      <c r="E16" s="26">
        <v>88.828999999999994</v>
      </c>
      <c r="F16" s="210">
        <v>95.267999999999986</v>
      </c>
      <c r="G16" s="26">
        <v>122.404</v>
      </c>
      <c r="H16" s="26">
        <v>127.25700000000001</v>
      </c>
      <c r="I16" s="26">
        <v>140.732</v>
      </c>
      <c r="J16" s="26">
        <v>162.27600000000001</v>
      </c>
      <c r="K16" s="209">
        <v>158.321</v>
      </c>
      <c r="L16" s="26">
        <v>157.952</v>
      </c>
      <c r="M16" s="26">
        <v>179.529</v>
      </c>
      <c r="N16" s="210">
        <v>195.83499999999995</v>
      </c>
      <c r="O16" s="26">
        <v>218.83</v>
      </c>
      <c r="P16" s="26">
        <v>212.91</v>
      </c>
      <c r="Q16" s="26">
        <v>212.36</v>
      </c>
      <c r="R16" s="26">
        <v>211.77900000000002</v>
      </c>
      <c r="S16" s="209">
        <v>301.79700000000003</v>
      </c>
      <c r="T16" s="26">
        <v>192.85499999999999</v>
      </c>
      <c r="U16" s="26">
        <v>197.94800000000001</v>
      </c>
      <c r="V16" s="210">
        <v>216.25099999999998</v>
      </c>
      <c r="W16" s="26">
        <v>218.10499999999999</v>
      </c>
      <c r="X16" s="26">
        <v>210.63499999999999</v>
      </c>
      <c r="Y16" s="26">
        <v>204.52699999999999</v>
      </c>
      <c r="Z16" s="26">
        <v>215.56300000000013</v>
      </c>
      <c r="AA16" s="209">
        <v>231.524</v>
      </c>
      <c r="AB16" s="26">
        <v>247.721</v>
      </c>
      <c r="AC16" s="26">
        <v>256.49799999999999</v>
      </c>
      <c r="AD16" s="210">
        <v>266.86200000000002</v>
      </c>
      <c r="AE16" s="26">
        <v>283.90199999999999</v>
      </c>
      <c r="AF16" s="26">
        <v>281.19299999999998</v>
      </c>
      <c r="AG16" s="26">
        <v>284.18</v>
      </c>
      <c r="AH16" s="26">
        <v>298.00699999999989</v>
      </c>
      <c r="AI16" s="209">
        <v>327.161</v>
      </c>
      <c r="AJ16" s="26">
        <v>331.738</v>
      </c>
      <c r="AK16" s="26">
        <v>340.29399999999998</v>
      </c>
      <c r="AL16" s="210">
        <v>336.64100000000013</v>
      </c>
      <c r="AM16" s="209">
        <v>334.26299999999998</v>
      </c>
      <c r="AN16" s="26">
        <v>337.12400000000002</v>
      </c>
      <c r="AO16" s="26">
        <v>340.08499999999998</v>
      </c>
      <c r="AP16" s="210">
        <v>348.25299999999999</v>
      </c>
      <c r="AQ16" s="209">
        <v>339</v>
      </c>
      <c r="AR16" s="26">
        <v>320</v>
      </c>
      <c r="AS16" s="26">
        <v>329</v>
      </c>
      <c r="AT16" s="210">
        <v>343</v>
      </c>
      <c r="AU16" s="209">
        <v>346</v>
      </c>
      <c r="AV16" s="26">
        <v>350</v>
      </c>
      <c r="AW16" s="26">
        <v>373</v>
      </c>
      <c r="AX16" s="210">
        <v>394</v>
      </c>
      <c r="AY16" s="874">
        <v>411</v>
      </c>
      <c r="AZ16" s="26">
        <v>416</v>
      </c>
      <c r="BA16" s="26">
        <v>462</v>
      </c>
      <c r="BB16" s="210">
        <v>508</v>
      </c>
      <c r="BC16" s="959">
        <v>540</v>
      </c>
      <c r="BD16" s="517">
        <f>BC16*1.04</f>
        <v>561.6</v>
      </c>
      <c r="BE16" s="517">
        <f>BD16*1.04</f>
        <v>584.06400000000008</v>
      </c>
      <c r="BF16" s="517">
        <f>BE16*1.04</f>
        <v>607.42656000000011</v>
      </c>
      <c r="BG16" s="959">
        <f t="shared" ref="BG16:BN16" si="38">BF16*1.02</f>
        <v>619.57509120000009</v>
      </c>
      <c r="BH16" s="517">
        <f t="shared" si="38"/>
        <v>631.96659302400008</v>
      </c>
      <c r="BI16" s="517">
        <f t="shared" si="38"/>
        <v>644.60592488448003</v>
      </c>
      <c r="BJ16" s="517">
        <f t="shared" si="38"/>
        <v>657.49804338216961</v>
      </c>
      <c r="BK16" s="959">
        <f t="shared" si="38"/>
        <v>670.64800424981297</v>
      </c>
      <c r="BL16" s="517">
        <f t="shared" si="38"/>
        <v>684.06096433480923</v>
      </c>
      <c r="BM16" s="517">
        <f t="shared" si="38"/>
        <v>697.74218362150543</v>
      </c>
      <c r="BN16" s="517">
        <f t="shared" si="38"/>
        <v>711.69702729393555</v>
      </c>
      <c r="BO16" s="84"/>
      <c r="BP16" s="59">
        <f>SUM(C16:F16)</f>
        <v>357.12299999999999</v>
      </c>
      <c r="BQ16" s="59">
        <f>SUM(G16:J16)</f>
        <v>552.6690000000001</v>
      </c>
      <c r="BR16" s="59">
        <f>SUM(K16:N16)</f>
        <v>691.63699999999994</v>
      </c>
      <c r="BS16" s="59">
        <f>SUM(O16:R16)</f>
        <v>855.87900000000002</v>
      </c>
      <c r="BT16" s="59">
        <f>SUM(S16:V16)</f>
        <v>908.851</v>
      </c>
      <c r="BU16" s="59">
        <f>SUM(W16:Z16)</f>
        <v>848.83000000000015</v>
      </c>
      <c r="BV16" s="59">
        <f>SUM(AA16:AD16)</f>
        <v>1002.605</v>
      </c>
      <c r="BW16" s="59">
        <f>SUM(AE16:AH16)</f>
        <v>1147.2819999999999</v>
      </c>
      <c r="BX16" s="59">
        <f>SUM(AI16:AL16)</f>
        <v>1335.8340000000001</v>
      </c>
      <c r="BY16" s="558">
        <f>SUM(AM16:AP16)</f>
        <v>1359.7249999999999</v>
      </c>
      <c r="BZ16" s="59">
        <f>SUM(AQ16:AT16)</f>
        <v>1331</v>
      </c>
      <c r="CA16" s="184">
        <f t="shared" ref="CA16:CA17" si="39">SUM(AU16:AX16)</f>
        <v>1463</v>
      </c>
      <c r="CB16" s="184">
        <f>SUM(AY16:BB16)</f>
        <v>1797</v>
      </c>
      <c r="CC16" s="184">
        <f>SUM(BC16:BF16)</f>
        <v>2293.0905600000001</v>
      </c>
      <c r="CD16" s="184">
        <f>SUM(BG16:BJ16)</f>
        <v>2553.6456524906498</v>
      </c>
      <c r="CE16" s="184">
        <f>SUM(BK16:BN16)</f>
        <v>2764.1481795000632</v>
      </c>
      <c r="CF16" s="847"/>
      <c r="CG16" s="109"/>
      <c r="CY16"/>
      <c r="CZ16"/>
      <c r="DA16"/>
      <c r="DB16"/>
      <c r="DC16"/>
      <c r="DD16"/>
    </row>
    <row r="17" spans="1:108" s="5" customFormat="1">
      <c r="B17" s="91" t="s">
        <v>218</v>
      </c>
      <c r="C17" s="211">
        <v>0</v>
      </c>
      <c r="D17" s="98">
        <v>0</v>
      </c>
      <c r="E17" s="98">
        <v>0</v>
      </c>
      <c r="F17" s="212">
        <v>0</v>
      </c>
      <c r="G17" s="98">
        <v>0</v>
      </c>
      <c r="H17" s="98">
        <v>0</v>
      </c>
      <c r="I17" s="98">
        <v>0</v>
      </c>
      <c r="J17" s="98">
        <v>0</v>
      </c>
      <c r="K17" s="211">
        <v>0</v>
      </c>
      <c r="L17" s="98">
        <v>0</v>
      </c>
      <c r="M17" s="98">
        <v>0</v>
      </c>
      <c r="N17" s="212">
        <v>0</v>
      </c>
      <c r="O17" s="98">
        <v>0</v>
      </c>
      <c r="P17" s="98">
        <v>0</v>
      </c>
      <c r="Q17" s="98">
        <v>0</v>
      </c>
      <c r="R17" s="98">
        <v>0</v>
      </c>
      <c r="S17" s="211">
        <v>-128.82900000000001</v>
      </c>
      <c r="T17" s="98">
        <v>0</v>
      </c>
      <c r="U17" s="98">
        <v>0</v>
      </c>
      <c r="V17" s="212">
        <v>0</v>
      </c>
      <c r="W17" s="98">
        <v>0</v>
      </c>
      <c r="X17" s="98">
        <v>0</v>
      </c>
      <c r="Y17" s="98">
        <v>0</v>
      </c>
      <c r="Z17" s="98">
        <v>0</v>
      </c>
      <c r="AA17" s="211">
        <v>0</v>
      </c>
      <c r="AB17" s="98">
        <v>0</v>
      </c>
      <c r="AC17" s="98">
        <v>0</v>
      </c>
      <c r="AD17" s="212">
        <v>0</v>
      </c>
      <c r="AE17" s="98">
        <v>0</v>
      </c>
      <c r="AF17" s="98">
        <v>0</v>
      </c>
      <c r="AG17" s="98">
        <v>0</v>
      </c>
      <c r="AH17" s="98">
        <v>0</v>
      </c>
      <c r="AI17" s="211">
        <v>0</v>
      </c>
      <c r="AJ17" s="98">
        <v>0</v>
      </c>
      <c r="AK17" s="98">
        <v>0</v>
      </c>
      <c r="AL17" s="212">
        <v>0</v>
      </c>
      <c r="AM17" s="211">
        <v>0</v>
      </c>
      <c r="AN17" s="98">
        <v>0</v>
      </c>
      <c r="AO17" s="98">
        <v>0</v>
      </c>
      <c r="AP17" s="212">
        <v>0</v>
      </c>
      <c r="AQ17" s="211">
        <v>0</v>
      </c>
      <c r="AR17" s="98">
        <v>0</v>
      </c>
      <c r="AS17" s="98">
        <v>0</v>
      </c>
      <c r="AT17" s="212">
        <v>0</v>
      </c>
      <c r="AU17" s="211">
        <v>0</v>
      </c>
      <c r="AV17" s="98">
        <v>0</v>
      </c>
      <c r="AW17" s="98">
        <v>0</v>
      </c>
      <c r="AX17" s="212">
        <v>0</v>
      </c>
      <c r="AY17" s="875">
        <v>0</v>
      </c>
      <c r="AZ17" s="98">
        <v>0</v>
      </c>
      <c r="BA17" s="98">
        <v>0</v>
      </c>
      <c r="BB17" s="212">
        <v>0</v>
      </c>
      <c r="BC17" s="954"/>
      <c r="BD17" s="955"/>
      <c r="BE17" s="121"/>
      <c r="BF17" s="246"/>
      <c r="BG17" s="954"/>
      <c r="BH17" s="955"/>
      <c r="BI17" s="121"/>
      <c r="BJ17" s="246"/>
      <c r="BK17" s="954"/>
      <c r="BL17" s="955"/>
      <c r="BM17" s="121"/>
      <c r="BN17" s="246"/>
      <c r="BO17" s="84"/>
      <c r="BP17" s="59">
        <f>SUM(C17:F17)</f>
        <v>0</v>
      </c>
      <c r="BQ17" s="59">
        <f>SUM(G17:J17)</f>
        <v>0</v>
      </c>
      <c r="BR17" s="59">
        <f>SUM(K17:N17)</f>
        <v>0</v>
      </c>
      <c r="BS17" s="59">
        <f>SUM(O17:R17)</f>
        <v>0</v>
      </c>
      <c r="BT17" s="59">
        <f>SUM(S17:V17)</f>
        <v>-128.82900000000001</v>
      </c>
      <c r="BU17" s="59">
        <f>SUM(W17:Z17)</f>
        <v>0</v>
      </c>
      <c r="BV17" s="59">
        <f>SUM(AA17:AD17)</f>
        <v>0</v>
      </c>
      <c r="BW17" s="59">
        <f>SUM(AE17:AH17)</f>
        <v>0</v>
      </c>
      <c r="BX17" s="59">
        <f>SUM(AI17:AL17)</f>
        <v>0</v>
      </c>
      <c r="BY17" s="59">
        <f>SUM(AM17:AP17)</f>
        <v>0</v>
      </c>
      <c r="BZ17" s="59">
        <f>SUM(AQ17:AT17)</f>
        <v>0</v>
      </c>
      <c r="CA17" s="184">
        <f t="shared" si="39"/>
        <v>0</v>
      </c>
      <c r="CB17" s="184">
        <f>SUM(AY17:BB17)</f>
        <v>0</v>
      </c>
      <c r="CC17" s="184">
        <f>SUM(BC17:BF17)</f>
        <v>0</v>
      </c>
      <c r="CD17" s="184">
        <f>SUM(BG17:BJ17)</f>
        <v>0</v>
      </c>
      <c r="CE17" s="184">
        <f>SUM(BK17:BN17)</f>
        <v>0</v>
      </c>
      <c r="CF17" s="847"/>
      <c r="CG17" s="109"/>
      <c r="CY17"/>
      <c r="CZ17"/>
      <c r="DA17"/>
      <c r="DB17"/>
      <c r="DC17"/>
      <c r="DD17"/>
    </row>
    <row r="18" spans="1:108" s="84" customFormat="1">
      <c r="B18" s="189" t="s">
        <v>331</v>
      </c>
      <c r="C18" s="40">
        <f t="shared" ref="C18:AN18" si="40">C16/C7</f>
        <v>0.14715010465088396</v>
      </c>
      <c r="D18" s="41">
        <f t="shared" si="40"/>
        <v>0.15155041996339672</v>
      </c>
      <c r="E18" s="41">
        <f t="shared" si="40"/>
        <v>0.15225696973852232</v>
      </c>
      <c r="F18" s="42">
        <f t="shared" si="40"/>
        <v>0.15035652621312026</v>
      </c>
      <c r="G18" s="41">
        <f t="shared" si="40"/>
        <v>0.17952881093916606</v>
      </c>
      <c r="H18" s="41">
        <f t="shared" si="40"/>
        <v>0.18509597552940354</v>
      </c>
      <c r="I18" s="41">
        <f t="shared" si="40"/>
        <v>0.17150475521952979</v>
      </c>
      <c r="J18" s="41">
        <f t="shared" si="40"/>
        <v>0.1846410118413013</v>
      </c>
      <c r="K18" s="40">
        <f t="shared" si="40"/>
        <v>0.18752191216184205</v>
      </c>
      <c r="L18" s="41">
        <f t="shared" si="40"/>
        <v>0.16888692150680082</v>
      </c>
      <c r="M18" s="41">
        <f t="shared" si="40"/>
        <v>0.16092639187807067</v>
      </c>
      <c r="N18" s="42">
        <f t="shared" si="40"/>
        <v>0.16282540553573951</v>
      </c>
      <c r="O18" s="41">
        <f t="shared" si="40"/>
        <v>0.18972800133172882</v>
      </c>
      <c r="P18" s="41">
        <f t="shared" si="40"/>
        <v>0.23850758841953854</v>
      </c>
      <c r="Q18" s="41">
        <f t="shared" si="40"/>
        <v>0.23657195693222899</v>
      </c>
      <c r="R18" s="41">
        <f t="shared" si="40"/>
        <v>0.44016086793864589</v>
      </c>
      <c r="S18" s="40">
        <f t="shared" si="40"/>
        <v>0.45435548777458451</v>
      </c>
      <c r="T18" s="41">
        <f t="shared" si="40"/>
        <v>0.24835805903260702</v>
      </c>
      <c r="U18" s="41">
        <f t="shared" si="40"/>
        <v>0.21916152018476406</v>
      </c>
      <c r="V18" s="42">
        <f t="shared" si="40"/>
        <v>0.22010548729348345</v>
      </c>
      <c r="W18" s="41">
        <f t="shared" si="40"/>
        <v>0.2177102912419783</v>
      </c>
      <c r="X18" s="41">
        <f t="shared" si="40"/>
        <v>0.25965596986223016</v>
      </c>
      <c r="Y18" s="41">
        <f t="shared" si="40"/>
        <v>0.24235583804946484</v>
      </c>
      <c r="Z18" s="41">
        <f t="shared" si="40"/>
        <v>0.2431958897804094</v>
      </c>
      <c r="AA18" s="40">
        <f t="shared" si="40"/>
        <v>0.24065968219583614</v>
      </c>
      <c r="AB18" s="41">
        <f t="shared" si="40"/>
        <v>0.24369587522884514</v>
      </c>
      <c r="AC18" s="41">
        <f t="shared" si="40"/>
        <v>0.24057663809112906</v>
      </c>
      <c r="AD18" s="42">
        <f t="shared" si="40"/>
        <v>0.27996609294645164</v>
      </c>
      <c r="AE18" s="41">
        <f t="shared" si="40"/>
        <v>0.30696189871734297</v>
      </c>
      <c r="AF18" s="41">
        <f t="shared" si="40"/>
        <v>0.26927231463127349</v>
      </c>
      <c r="AG18" s="41">
        <f t="shared" si="40"/>
        <v>0.23600833810864458</v>
      </c>
      <c r="AH18" s="41">
        <f t="shared" si="40"/>
        <v>0.26922618262502002</v>
      </c>
      <c r="AI18" s="40">
        <f t="shared" si="40"/>
        <v>0.34267061469155441</v>
      </c>
      <c r="AJ18" s="41">
        <f t="shared" si="40"/>
        <v>0.33946490005505309</v>
      </c>
      <c r="AK18" s="41">
        <f t="shared" si="40"/>
        <v>0.32286969136604843</v>
      </c>
      <c r="AL18" s="42">
        <f t="shared" si="40"/>
        <v>0.29421054379497619</v>
      </c>
      <c r="AM18" s="40">
        <f t="shared" si="40"/>
        <v>0.30310749038572271</v>
      </c>
      <c r="AN18" s="41">
        <f t="shared" si="40"/>
        <v>0.30569157000573072</v>
      </c>
      <c r="AO18" s="41">
        <f>AO16/AO7</f>
        <v>0.27753386290968857</v>
      </c>
      <c r="AP18" s="42">
        <f>AP16/AP7</f>
        <v>0.27848788578136674</v>
      </c>
      <c r="AQ18" s="40">
        <f>AQ16/AQ7</f>
        <v>0.29452649869678538</v>
      </c>
      <c r="AR18" s="41">
        <f t="shared" ref="AR18" si="41">AR16/AR7</f>
        <v>0.27753686036426711</v>
      </c>
      <c r="AS18" s="41">
        <f>AS16/AS7</f>
        <v>0.25210727969348656</v>
      </c>
      <c r="AT18" s="42">
        <f>AT16/AT7</f>
        <v>0.24482512491077801</v>
      </c>
      <c r="AU18" s="40">
        <f>AU16/AU7</f>
        <v>0.26513409961685824</v>
      </c>
      <c r="AV18" s="41">
        <f t="shared" ref="AV18" si="42">AV16/AV7</f>
        <v>0.24509803921568626</v>
      </c>
      <c r="AW18" s="41">
        <f>AW16/AW7</f>
        <v>0.18612774451097805</v>
      </c>
      <c r="AX18" s="42">
        <f>AX16/AX7</f>
        <v>0.18131615278416935</v>
      </c>
      <c r="AY18" s="870">
        <f>AY16/AY7</f>
        <v>0.2121837893649974</v>
      </c>
      <c r="AZ18" s="41">
        <f t="shared" ref="AZ18:BA18" si="43">AZ16/AZ7</f>
        <v>0.18654708520179372</v>
      </c>
      <c r="BA18" s="41">
        <f t="shared" si="43"/>
        <v>0.17526555386949924</v>
      </c>
      <c r="BB18" s="42">
        <f>BB16/BB7</f>
        <v>0.1745104774991412</v>
      </c>
      <c r="BC18" s="870">
        <f t="shared" ref="BC18:BJ18" si="44">BC16/BC7</f>
        <v>0.18483660678603939</v>
      </c>
      <c r="BD18" s="41">
        <f t="shared" si="44"/>
        <v>0.1778457303784447</v>
      </c>
      <c r="BE18" s="41">
        <f t="shared" si="44"/>
        <v>0.17134169393340054</v>
      </c>
      <c r="BF18" s="42">
        <f t="shared" si="44"/>
        <v>0.1715700481353308</v>
      </c>
      <c r="BG18" s="870">
        <f t="shared" si="44"/>
        <v>0.18837085615768703</v>
      </c>
      <c r="BH18" s="41">
        <f t="shared" si="44"/>
        <v>0.17158872250470608</v>
      </c>
      <c r="BI18" s="41">
        <f t="shared" si="44"/>
        <v>0.16182093045074686</v>
      </c>
      <c r="BJ18" s="42">
        <f t="shared" si="44"/>
        <v>0.16277267372202744</v>
      </c>
      <c r="BK18" s="870">
        <f t="shared" ref="BK18:BN18" si="45">BK16/BK7</f>
        <v>0.17747872229640774</v>
      </c>
      <c r="BL18" s="41">
        <f t="shared" si="45"/>
        <v>0.16144855527363536</v>
      </c>
      <c r="BM18" s="41">
        <f t="shared" si="45"/>
        <v>0.15336196152354262</v>
      </c>
      <c r="BN18" s="42">
        <f t="shared" si="45"/>
        <v>0.15345315501308926</v>
      </c>
      <c r="BO18" s="87"/>
      <c r="BP18" s="191">
        <f t="shared" ref="BP18:CA18" si="46">BP16/BP7</f>
        <v>0.1503240957247314</v>
      </c>
      <c r="BQ18" s="191">
        <f t="shared" si="46"/>
        <v>0.18009457206158427</v>
      </c>
      <c r="BR18" s="191">
        <f t="shared" si="46"/>
        <v>0.16878004617044018</v>
      </c>
      <c r="BS18" s="191">
        <f t="shared" si="46"/>
        <v>0.24990196676709903</v>
      </c>
      <c r="BT18" s="191">
        <f t="shared" si="46"/>
        <v>0.27321990894182829</v>
      </c>
      <c r="BU18" s="191">
        <f t="shared" si="46"/>
        <v>0.23955855952726682</v>
      </c>
      <c r="BV18" s="191">
        <f t="shared" si="46"/>
        <v>0.25078102918260203</v>
      </c>
      <c r="BW18" s="191">
        <f t="shared" si="46"/>
        <v>0.26804658425072525</v>
      </c>
      <c r="BX18" s="191">
        <f t="shared" si="46"/>
        <v>0.32343380235448393</v>
      </c>
      <c r="BY18" s="191">
        <f t="shared" si="46"/>
        <v>0.29044600381885577</v>
      </c>
      <c r="BZ18" s="191">
        <f t="shared" si="46"/>
        <v>0.26566866267465072</v>
      </c>
      <c r="CA18" s="191">
        <f t="shared" si="46"/>
        <v>0.21172214182344429</v>
      </c>
      <c r="CB18" s="191">
        <f t="shared" ref="CB18:CC18" si="47">CB16/CB7</f>
        <v>0.18499073502161828</v>
      </c>
      <c r="CC18" s="191">
        <f t="shared" si="47"/>
        <v>0.17600627020995455</v>
      </c>
      <c r="CD18" s="191">
        <f t="shared" ref="CD18:CE18" si="48">CD16/CD7</f>
        <v>0.17030014097562532</v>
      </c>
      <c r="CE18" s="191">
        <f t="shared" si="48"/>
        <v>0.16067551798571961</v>
      </c>
      <c r="CF18" s="847"/>
      <c r="CG18" s="109"/>
      <c r="CY18"/>
      <c r="CZ18"/>
      <c r="DA18"/>
      <c r="DB18"/>
      <c r="DC18"/>
      <c r="DD18"/>
    </row>
    <row r="19" spans="1:108" s="5" customFormat="1">
      <c r="B19" s="5" t="s">
        <v>5</v>
      </c>
      <c r="C19" s="209">
        <v>48.058</v>
      </c>
      <c r="D19" s="26">
        <v>52.668999999999997</v>
      </c>
      <c r="E19" s="26">
        <v>69.593999999999994</v>
      </c>
      <c r="F19" s="210">
        <v>45.92499999999999</v>
      </c>
      <c r="G19" s="26">
        <v>65.668000000000006</v>
      </c>
      <c r="H19" s="26">
        <v>69.055000000000007</v>
      </c>
      <c r="I19" s="26">
        <v>75.596999999999994</v>
      </c>
      <c r="J19" s="26">
        <v>84.915999999999983</v>
      </c>
      <c r="K19" s="209">
        <v>80.570999999999998</v>
      </c>
      <c r="L19" s="26">
        <v>81.28</v>
      </c>
      <c r="M19" s="26">
        <v>88.183000000000007</v>
      </c>
      <c r="N19" s="210">
        <v>91.263000000000034</v>
      </c>
      <c r="O19" s="26">
        <v>93.034000000000006</v>
      </c>
      <c r="P19" s="26">
        <v>92.399000000000001</v>
      </c>
      <c r="Q19" s="26">
        <v>98.686999999999998</v>
      </c>
      <c r="R19" s="26">
        <v>104.96999999999998</v>
      </c>
      <c r="S19" s="209">
        <v>118.864</v>
      </c>
      <c r="T19" s="26">
        <v>73.974999999999994</v>
      </c>
      <c r="U19" s="26">
        <v>85.99</v>
      </c>
      <c r="V19" s="210">
        <v>88.187999999999988</v>
      </c>
      <c r="W19" s="26">
        <v>90.879000000000005</v>
      </c>
      <c r="X19" s="26">
        <v>98.864000000000004</v>
      </c>
      <c r="Y19" s="26">
        <v>83.751999999999995</v>
      </c>
      <c r="Z19" s="26">
        <v>31.017999999999958</v>
      </c>
      <c r="AA19" s="209">
        <v>98.117000000000004</v>
      </c>
      <c r="AB19" s="26">
        <v>103.533</v>
      </c>
      <c r="AC19" s="26">
        <v>103.129</v>
      </c>
      <c r="AD19" s="210">
        <v>100.834</v>
      </c>
      <c r="AE19" s="26">
        <v>106.636</v>
      </c>
      <c r="AF19" s="26">
        <v>119.90300000000001</v>
      </c>
      <c r="AG19" s="26">
        <v>100.261</v>
      </c>
      <c r="AH19" s="26">
        <v>104.02200000000002</v>
      </c>
      <c r="AI19" s="209">
        <v>108.626</v>
      </c>
      <c r="AJ19" s="26">
        <v>108.26600000000001</v>
      </c>
      <c r="AK19" s="26">
        <v>103.133</v>
      </c>
      <c r="AL19" s="210">
        <v>115.67699999999999</v>
      </c>
      <c r="AM19" s="209">
        <v>118.58</v>
      </c>
      <c r="AN19" s="26">
        <v>118.67100000000001</v>
      </c>
      <c r="AO19" s="26">
        <v>123.298</v>
      </c>
      <c r="AP19" s="210">
        <v>120.214</v>
      </c>
      <c r="AQ19" s="209">
        <v>138</v>
      </c>
      <c r="AR19" s="26">
        <v>149</v>
      </c>
      <c r="AS19" s="26">
        <v>152</v>
      </c>
      <c r="AT19" s="210">
        <v>163</v>
      </c>
      <c r="AU19" s="209">
        <v>159</v>
      </c>
      <c r="AV19" s="26">
        <v>157</v>
      </c>
      <c r="AW19" s="26">
        <v>171</v>
      </c>
      <c r="AX19" s="210">
        <v>176</v>
      </c>
      <c r="AY19" s="874">
        <v>185</v>
      </c>
      <c r="AZ19" s="26">
        <v>198</v>
      </c>
      <c r="BA19" s="26">
        <v>212</v>
      </c>
      <c r="BB19" s="210">
        <v>220</v>
      </c>
      <c r="BC19" s="959">
        <v>230</v>
      </c>
      <c r="BD19" s="517">
        <f t="shared" ref="BD19:BE19" si="49">BC19*1.02</f>
        <v>234.6</v>
      </c>
      <c r="BE19" s="517">
        <f t="shared" si="49"/>
        <v>239.292</v>
      </c>
      <c r="BF19" s="517">
        <f t="shared" ref="BF19:BJ19" si="50">BE19*1.02</f>
        <v>244.07784000000001</v>
      </c>
      <c r="BG19" s="959">
        <f>BF19*1.02</f>
        <v>248.95939680000001</v>
      </c>
      <c r="BH19" s="517">
        <f t="shared" si="50"/>
        <v>253.93858473600002</v>
      </c>
      <c r="BI19" s="517">
        <f t="shared" si="50"/>
        <v>259.01735643072004</v>
      </c>
      <c r="BJ19" s="517">
        <f t="shared" si="50"/>
        <v>264.19770355933446</v>
      </c>
      <c r="BK19" s="959">
        <f>BJ19*1.015</f>
        <v>268.16066911272446</v>
      </c>
      <c r="BL19" s="517">
        <f>BK19*1.016</f>
        <v>272.45123981852805</v>
      </c>
      <c r="BM19" s="517">
        <f>BL19*1.016</f>
        <v>276.81045965562453</v>
      </c>
      <c r="BN19" s="517">
        <f t="shared" ref="BN19" si="51">BM19*1.01</f>
        <v>279.5785642521808</v>
      </c>
      <c r="BO19" s="84"/>
      <c r="BP19" s="59">
        <f>SUM(C19:F19)</f>
        <v>216.24599999999998</v>
      </c>
      <c r="BQ19" s="59">
        <f>SUM(G19:J19)</f>
        <v>295.23599999999999</v>
      </c>
      <c r="BR19" s="59">
        <f>SUM(K19:N19)</f>
        <v>341.29700000000003</v>
      </c>
      <c r="BS19" s="59">
        <f>SUM(O19:R19)</f>
        <v>389.09</v>
      </c>
      <c r="BT19" s="59">
        <f>SUM(S19:V19)</f>
        <v>367.017</v>
      </c>
      <c r="BU19" s="59">
        <f>SUM(W19:Z19)</f>
        <v>304.51299999999998</v>
      </c>
      <c r="BV19" s="59">
        <f>SUM(AA19:AD19)</f>
        <v>405.613</v>
      </c>
      <c r="BW19" s="59">
        <f>SUM(AE19:AH19)</f>
        <v>430.822</v>
      </c>
      <c r="BX19" s="59">
        <f>SUM(AI19:AL19)</f>
        <v>435.702</v>
      </c>
      <c r="BY19" s="558">
        <f>SUM(AM19:AP19)</f>
        <v>480.76299999999998</v>
      </c>
      <c r="BZ19" s="59">
        <f>SUM(AQ19:AT19)</f>
        <v>602</v>
      </c>
      <c r="CA19" s="644">
        <f t="shared" ref="CA19:CA20" si="52">SUM(AU19:AX19)</f>
        <v>663</v>
      </c>
      <c r="CB19" s="644">
        <f>SUM(AY19:BB19)</f>
        <v>815</v>
      </c>
      <c r="CC19" s="644">
        <f>SUM(BC19:BF19)</f>
        <v>947.96984000000009</v>
      </c>
      <c r="CD19" s="644">
        <f>SUM(BG19:BJ19)</f>
        <v>1026.1130415260545</v>
      </c>
      <c r="CE19" s="644">
        <f>SUM(BK19:BN19)</f>
        <v>1097.0009328390579</v>
      </c>
      <c r="CF19" s="847"/>
      <c r="CG19" s="109"/>
      <c r="CY19"/>
      <c r="CZ19"/>
      <c r="DA19"/>
      <c r="DB19"/>
      <c r="DC19"/>
      <c r="DD19"/>
    </row>
    <row r="20" spans="1:108" s="5" customFormat="1">
      <c r="B20" s="555" t="s">
        <v>219</v>
      </c>
      <c r="C20" s="32">
        <v>0</v>
      </c>
      <c r="D20" s="30">
        <v>0</v>
      </c>
      <c r="E20" s="30">
        <v>0</v>
      </c>
      <c r="F20" s="33">
        <v>0</v>
      </c>
      <c r="G20" s="30">
        <v>0</v>
      </c>
      <c r="H20" s="30">
        <v>0</v>
      </c>
      <c r="I20" s="30">
        <v>0</v>
      </c>
      <c r="J20" s="30">
        <v>0</v>
      </c>
      <c r="K20" s="32">
        <v>0</v>
      </c>
      <c r="L20" s="30">
        <v>0</v>
      </c>
      <c r="M20" s="30">
        <v>0</v>
      </c>
      <c r="N20" s="33">
        <v>0</v>
      </c>
      <c r="O20" s="30">
        <v>0</v>
      </c>
      <c r="P20" s="30">
        <v>0</v>
      </c>
      <c r="Q20" s="30">
        <v>0</v>
      </c>
      <c r="R20" s="30">
        <v>0</v>
      </c>
      <c r="S20" s="32">
        <v>0</v>
      </c>
      <c r="T20" s="30">
        <v>0</v>
      </c>
      <c r="U20" s="30">
        <v>0</v>
      </c>
      <c r="V20" s="33">
        <v>0</v>
      </c>
      <c r="W20" s="30">
        <v>0</v>
      </c>
      <c r="X20" s="30">
        <v>0</v>
      </c>
      <c r="Y20" s="30">
        <v>0</v>
      </c>
      <c r="Z20" s="30">
        <v>0</v>
      </c>
      <c r="AA20" s="32">
        <v>0</v>
      </c>
      <c r="AB20" s="30">
        <v>0</v>
      </c>
      <c r="AC20" s="30">
        <v>0</v>
      </c>
      <c r="AD20" s="33">
        <v>0</v>
      </c>
      <c r="AE20" s="30">
        <v>0</v>
      </c>
      <c r="AF20" s="30">
        <v>-20.126999999999999</v>
      </c>
      <c r="AG20" s="30">
        <v>0</v>
      </c>
      <c r="AH20" s="30">
        <v>0</v>
      </c>
      <c r="AI20" s="32">
        <v>0</v>
      </c>
      <c r="AJ20" s="30">
        <v>0</v>
      </c>
      <c r="AK20" s="30">
        <v>0</v>
      </c>
      <c r="AL20" s="33">
        <v>-11.095000000000001</v>
      </c>
      <c r="AM20" s="32">
        <v>0</v>
      </c>
      <c r="AN20" s="30">
        <v>0</v>
      </c>
      <c r="AO20" s="30">
        <v>-9.5719999999999992</v>
      </c>
      <c r="AP20" s="33">
        <v>-9.1690000000000005</v>
      </c>
      <c r="AQ20" s="32">
        <v>0</v>
      </c>
      <c r="AR20" s="30">
        <v>-89</v>
      </c>
      <c r="AS20" s="30">
        <v>-12</v>
      </c>
      <c r="AT20" s="33">
        <v>-38</v>
      </c>
      <c r="AU20" s="32">
        <v>-14</v>
      </c>
      <c r="AV20" s="30">
        <v>-7</v>
      </c>
      <c r="AW20" s="30">
        <v>-4</v>
      </c>
      <c r="AX20" s="33">
        <v>-5</v>
      </c>
      <c r="AY20" s="454">
        <v>-7</v>
      </c>
      <c r="AZ20" s="30">
        <v>-4</v>
      </c>
      <c r="BA20" s="30">
        <v>-3</v>
      </c>
      <c r="BB20" s="33">
        <v>-2</v>
      </c>
      <c r="BC20" s="454"/>
      <c r="BD20" s="30"/>
      <c r="BE20" s="73"/>
      <c r="BF20" s="238"/>
      <c r="BG20" s="454"/>
      <c r="BH20" s="30"/>
      <c r="BI20" s="73"/>
      <c r="BJ20" s="238"/>
      <c r="BK20" s="454"/>
      <c r="BL20" s="30"/>
      <c r="BM20" s="73"/>
      <c r="BN20" s="238"/>
      <c r="BO20" s="84"/>
      <c r="BP20" s="59">
        <f>SUM(C20:F20)</f>
        <v>0</v>
      </c>
      <c r="BQ20" s="59">
        <f>SUM(G20:J20)</f>
        <v>0</v>
      </c>
      <c r="BR20" s="59">
        <f>SUM(K20:N20)</f>
        <v>0</v>
      </c>
      <c r="BS20" s="59">
        <f>SUM(O20:R20)</f>
        <v>0</v>
      </c>
      <c r="BT20" s="59">
        <f>SUM(S20:V20)</f>
        <v>0</v>
      </c>
      <c r="BU20" s="59">
        <f>SUM(W20:Z20)</f>
        <v>0</v>
      </c>
      <c r="BV20" s="59">
        <f>SUM(AA20:AD20)</f>
        <v>0</v>
      </c>
      <c r="BW20" s="59">
        <f>SUM(AE20:AH20)</f>
        <v>-20.126999999999999</v>
      </c>
      <c r="BX20" s="59">
        <f>SUM(AI20:AL20)</f>
        <v>-11.095000000000001</v>
      </c>
      <c r="BY20" s="59">
        <f>SUM(AM20:AP20)</f>
        <v>-18.741</v>
      </c>
      <c r="BZ20" s="59">
        <f>SUM(AQ20:AT20)</f>
        <v>-139</v>
      </c>
      <c r="CA20" s="184">
        <f t="shared" si="52"/>
        <v>-30</v>
      </c>
      <c r="CB20" s="184">
        <f>SUM(AY20:BB20)</f>
        <v>-16</v>
      </c>
      <c r="CC20" s="184">
        <f>SUM(BC20:BF20)</f>
        <v>0</v>
      </c>
      <c r="CD20" s="184">
        <f>SUM(BG20:BJ20)</f>
        <v>0</v>
      </c>
      <c r="CE20" s="184">
        <f>SUM(BK20:BN20)</f>
        <v>0</v>
      </c>
      <c r="CF20" s="847"/>
      <c r="CG20" s="109"/>
      <c r="CY20"/>
      <c r="CZ20"/>
      <c r="DA20"/>
      <c r="DB20"/>
      <c r="DC20"/>
      <c r="DD20"/>
    </row>
    <row r="21" spans="1:108" s="84" customFormat="1">
      <c r="B21" s="189" t="s">
        <v>332</v>
      </c>
      <c r="C21" s="40"/>
      <c r="D21" s="41">
        <f t="shared" ref="D21:AN21" si="53">D19/D7</f>
        <v>9.1628219313445086E-2</v>
      </c>
      <c r="E21" s="41">
        <f t="shared" si="53"/>
        <v>0.11928729977803107</v>
      </c>
      <c r="F21" s="42">
        <f t="shared" si="53"/>
        <v>7.2481037350816097E-2</v>
      </c>
      <c r="G21" s="41">
        <f t="shared" si="53"/>
        <v>9.6314646226864795E-2</v>
      </c>
      <c r="H21" s="41">
        <f t="shared" si="53"/>
        <v>0.10044086054349044</v>
      </c>
      <c r="I21" s="41">
        <f t="shared" si="53"/>
        <v>9.212719907576665E-2</v>
      </c>
      <c r="J21" s="41">
        <f t="shared" si="53"/>
        <v>9.6619192989203198E-2</v>
      </c>
      <c r="K21" s="40">
        <f t="shared" si="53"/>
        <v>9.5431610366229214E-2</v>
      </c>
      <c r="L21" s="41">
        <f t="shared" si="53"/>
        <v>8.6906965281052295E-2</v>
      </c>
      <c r="M21" s="41">
        <f t="shared" si="53"/>
        <v>7.9045569322972367E-2</v>
      </c>
      <c r="N21" s="42">
        <f t="shared" si="53"/>
        <v>7.5879873288269228E-2</v>
      </c>
      <c r="O21" s="41">
        <f t="shared" si="53"/>
        <v>8.0661494657478669E-2</v>
      </c>
      <c r="P21" s="41">
        <f t="shared" si="53"/>
        <v>0.10350787967862919</v>
      </c>
      <c r="Q21" s="41">
        <f t="shared" si="53"/>
        <v>0.1099386735438448</v>
      </c>
      <c r="R21" s="41">
        <f t="shared" si="53"/>
        <v>0.21816934779897745</v>
      </c>
      <c r="S21" s="40">
        <f t="shared" si="53"/>
        <v>0.17894979306897751</v>
      </c>
      <c r="T21" s="41">
        <f t="shared" si="53"/>
        <v>9.5264771029722348E-2</v>
      </c>
      <c r="U21" s="41">
        <f t="shared" si="53"/>
        <v>9.5205302001979603E-2</v>
      </c>
      <c r="V21" s="42">
        <f t="shared" si="53"/>
        <v>8.9759874929770112E-2</v>
      </c>
      <c r="W21" s="41">
        <f t="shared" si="53"/>
        <v>9.0714534548862913E-2</v>
      </c>
      <c r="X21" s="41">
        <f t="shared" si="53"/>
        <v>0.121872565359316</v>
      </c>
      <c r="Y21" s="41">
        <f t="shared" si="53"/>
        <v>9.9242575055219023E-2</v>
      </c>
      <c r="Z21" s="41">
        <f t="shared" si="53"/>
        <v>3.4994178542740284E-2</v>
      </c>
      <c r="AA21" s="40">
        <f t="shared" si="53"/>
        <v>0.10198858882020376</v>
      </c>
      <c r="AB21" s="41">
        <f t="shared" si="53"/>
        <v>0.10185073146833747</v>
      </c>
      <c r="AC21" s="41">
        <f t="shared" si="53"/>
        <v>9.6727569453563186E-2</v>
      </c>
      <c r="AD21" s="42">
        <f t="shared" si="53"/>
        <v>0.10578539101169332</v>
      </c>
      <c r="AE21" s="41">
        <f t="shared" si="53"/>
        <v>0.11529749361266417</v>
      </c>
      <c r="AF21" s="41">
        <f t="shared" si="53"/>
        <v>0.11481992205081062</v>
      </c>
      <c r="AG21" s="41">
        <f t="shared" si="53"/>
        <v>8.3265648487264463E-2</v>
      </c>
      <c r="AH21" s="41">
        <f t="shared" si="53"/>
        <v>9.397579912223486E-2</v>
      </c>
      <c r="AI21" s="40">
        <f t="shared" si="53"/>
        <v>0.1137755973098407</v>
      </c>
      <c r="AJ21" s="41">
        <f t="shared" si="53"/>
        <v>0.11078775078333016</v>
      </c>
      <c r="AK21" s="41">
        <f t="shared" si="53"/>
        <v>9.785220979404477E-2</v>
      </c>
      <c r="AL21" s="42">
        <f t="shared" si="53"/>
        <v>0.10109699375468657</v>
      </c>
      <c r="AM21" s="40">
        <f t="shared" si="53"/>
        <v>0.10752756425311506</v>
      </c>
      <c r="AN21" s="41">
        <f t="shared" si="53"/>
        <v>0.10760647211159713</v>
      </c>
      <c r="AO21" s="41">
        <f t="shared" ref="AO21:AR21" si="54">AO19/AO7</f>
        <v>0.10062005154311063</v>
      </c>
      <c r="AP21" s="42">
        <f t="shared" si="54"/>
        <v>9.6131670657025839E-2</v>
      </c>
      <c r="AQ21" s="40">
        <f t="shared" si="54"/>
        <v>0.11989574283231973</v>
      </c>
      <c r="AR21" s="41">
        <f t="shared" si="54"/>
        <v>0.12922810060711187</v>
      </c>
      <c r="AS21" s="41">
        <f t="shared" ref="AS21:AV21" si="55">AS19/AS7</f>
        <v>0.11647509578544062</v>
      </c>
      <c r="AT21" s="42">
        <f t="shared" si="55"/>
        <v>0.11634546752319772</v>
      </c>
      <c r="AU21" s="40">
        <f t="shared" si="55"/>
        <v>0.12183908045977011</v>
      </c>
      <c r="AV21" s="41">
        <f t="shared" si="55"/>
        <v>0.10994397759103641</v>
      </c>
      <c r="AW21" s="41">
        <f t="shared" ref="AW21:AZ21" si="56">AW19/AW7</f>
        <v>8.5329341317365276E-2</v>
      </c>
      <c r="AX21" s="42">
        <f t="shared" si="56"/>
        <v>8.099401748734468E-2</v>
      </c>
      <c r="AY21" s="870">
        <f t="shared" si="56"/>
        <v>9.5508518327310277E-2</v>
      </c>
      <c r="AZ21" s="41">
        <f t="shared" si="56"/>
        <v>8.8789237668161436E-2</v>
      </c>
      <c r="BA21" s="41">
        <f t="shared" ref="BA21:BB21" si="57">BA19/BA7</f>
        <v>8.042488619119878E-2</v>
      </c>
      <c r="BB21" s="42">
        <f t="shared" si="57"/>
        <v>7.5575403641360353E-2</v>
      </c>
      <c r="BC21" s="870">
        <f t="shared" ref="BC21:BJ21" si="58">BC19/BC7</f>
        <v>7.8726702890350109E-2</v>
      </c>
      <c r="BD21" s="41">
        <f t="shared" si="58"/>
        <v>7.4292393779884475E-2</v>
      </c>
      <c r="BE21" s="41">
        <f t="shared" si="58"/>
        <v>7.0198979263764366E-2</v>
      </c>
      <c r="BF21" s="42">
        <f t="shared" si="58"/>
        <v>6.8940756817692614E-2</v>
      </c>
      <c r="BG21" s="870">
        <f t="shared" si="58"/>
        <v>7.56917045081449E-2</v>
      </c>
      <c r="BH21" s="41">
        <f t="shared" si="58"/>
        <v>6.894826060504837E-2</v>
      </c>
      <c r="BI21" s="41">
        <f t="shared" si="58"/>
        <v>6.5023339070337208E-2</v>
      </c>
      <c r="BJ21" s="42">
        <f t="shared" si="58"/>
        <v>6.5405771214708211E-2</v>
      </c>
      <c r="BK21" s="870">
        <f t="shared" ref="BK21:BN21" si="59">BK19/BK7</f>
        <v>7.0965413484698939E-2</v>
      </c>
      <c r="BL21" s="41">
        <f t="shared" si="59"/>
        <v>6.4302542236108401E-2</v>
      </c>
      <c r="BM21" s="41">
        <f t="shared" si="59"/>
        <v>6.0842236659219229E-2</v>
      </c>
      <c r="BN21" s="42">
        <f t="shared" si="59"/>
        <v>6.028156801729613E-2</v>
      </c>
      <c r="BO21" s="87"/>
      <c r="BP21" s="191">
        <f t="shared" ref="BP21:BX21" si="60">BP19/BP7</f>
        <v>9.1024617300174637E-2</v>
      </c>
      <c r="BQ21" s="191">
        <f t="shared" si="60"/>
        <v>9.6206592150408082E-2</v>
      </c>
      <c r="BR21" s="191">
        <f t="shared" si="60"/>
        <v>8.3286642296222915E-2</v>
      </c>
      <c r="BS21" s="191">
        <f t="shared" si="60"/>
        <v>0.11360759669230178</v>
      </c>
      <c r="BT21" s="191">
        <f t="shared" si="60"/>
        <v>0.1103331033580895</v>
      </c>
      <c r="BU21" s="191">
        <f t="shared" si="60"/>
        <v>8.5940289147799415E-2</v>
      </c>
      <c r="BV21" s="191">
        <f t="shared" si="60"/>
        <v>0.10145575335235985</v>
      </c>
      <c r="BW21" s="191">
        <f t="shared" si="60"/>
        <v>0.10065560648564692</v>
      </c>
      <c r="BX21" s="191">
        <f t="shared" si="60"/>
        <v>0.10549271432936529</v>
      </c>
      <c r="BY21" s="191">
        <f>IS!BY19/BY7</f>
        <v>0.10269406838438991</v>
      </c>
      <c r="BZ21" s="191">
        <f>IS!BZ19/BZ7</f>
        <v>0.12015968063872255</v>
      </c>
      <c r="CA21" s="191">
        <f>IS!CA19/CA7</f>
        <v>9.5947901591895798E-2</v>
      </c>
      <c r="CB21" s="191">
        <f>IS!CB19/CB7</f>
        <v>8.3899526456660489E-2</v>
      </c>
      <c r="CC21" s="191">
        <f>IS!CC19/CC7</f>
        <v>7.2761468177657745E-2</v>
      </c>
      <c r="CD21" s="191">
        <f>IS!CD19/CD7</f>
        <v>6.8430479169409586E-2</v>
      </c>
      <c r="CE21" s="191">
        <f>IS!CE19/CE7</f>
        <v>6.3766911782063965E-2</v>
      </c>
      <c r="CF21" s="847"/>
      <c r="CG21" s="109"/>
      <c r="CY21"/>
      <c r="CZ21"/>
      <c r="DA21"/>
      <c r="DB21"/>
      <c r="DC21"/>
      <c r="DD21"/>
    </row>
    <row r="22" spans="1:108" s="84" customFormat="1">
      <c r="B22" s="5" t="s">
        <v>417</v>
      </c>
      <c r="C22" s="40"/>
      <c r="D22" s="41"/>
      <c r="E22" s="41"/>
      <c r="F22" s="42"/>
      <c r="G22" s="41"/>
      <c r="H22" s="41"/>
      <c r="I22" s="41"/>
      <c r="J22" s="41"/>
      <c r="K22" s="40"/>
      <c r="L22" s="41"/>
      <c r="M22" s="41"/>
      <c r="N22" s="42"/>
      <c r="O22" s="41"/>
      <c r="P22" s="41"/>
      <c r="Q22" s="41"/>
      <c r="R22" s="41"/>
      <c r="S22" s="40"/>
      <c r="T22" s="41"/>
      <c r="U22" s="41"/>
      <c r="V22" s="42"/>
      <c r="W22" s="41"/>
      <c r="X22" s="41"/>
      <c r="Y22" s="41"/>
      <c r="Z22" s="41"/>
      <c r="AA22" s="40"/>
      <c r="AB22" s="41"/>
      <c r="AC22" s="41"/>
      <c r="AD22" s="42"/>
      <c r="AE22" s="41"/>
      <c r="AF22" s="41"/>
      <c r="AG22" s="41"/>
      <c r="AH22" s="41"/>
      <c r="AI22" s="40"/>
      <c r="AJ22" s="41"/>
      <c r="AK22" s="41"/>
      <c r="AL22" s="42"/>
      <c r="AM22" s="40"/>
      <c r="AN22" s="41"/>
      <c r="AO22" s="41"/>
      <c r="AP22" s="42"/>
      <c r="AQ22" s="40"/>
      <c r="AR22" s="30">
        <v>89</v>
      </c>
      <c r="AS22" s="30">
        <v>8</v>
      </c>
      <c r="AT22" s="33">
        <v>34</v>
      </c>
      <c r="AU22" s="32">
        <v>1</v>
      </c>
      <c r="AV22" s="30">
        <v>2</v>
      </c>
      <c r="AW22" s="30">
        <v>0</v>
      </c>
      <c r="AX22" s="33">
        <v>0</v>
      </c>
      <c r="AY22" s="454">
        <v>0</v>
      </c>
      <c r="AZ22" s="30">
        <v>0</v>
      </c>
      <c r="BA22" s="30">
        <v>0</v>
      </c>
      <c r="BB22" s="33">
        <v>0</v>
      </c>
      <c r="BC22" s="454"/>
      <c r="BD22" s="30"/>
      <c r="BE22" s="41"/>
      <c r="BF22" s="42"/>
      <c r="BG22" s="454"/>
      <c r="BH22" s="30"/>
      <c r="BI22" s="41"/>
      <c r="BJ22" s="42"/>
      <c r="BK22" s="454"/>
      <c r="BL22" s="30"/>
      <c r="BM22" s="41"/>
      <c r="BN22" s="42"/>
      <c r="BO22" s="87"/>
      <c r="BP22" s="191"/>
      <c r="BQ22" s="191"/>
      <c r="BR22" s="191"/>
      <c r="BS22" s="191"/>
      <c r="BT22" s="191"/>
      <c r="BU22" s="191"/>
      <c r="BV22" s="191"/>
      <c r="BW22" s="59">
        <f>SUM(AE22:AH22)</f>
        <v>0</v>
      </c>
      <c r="BX22" s="59">
        <f>SUM(AI22:AL22)</f>
        <v>0</v>
      </c>
      <c r="BY22" s="59">
        <f>SUM(AM22:AP22)</f>
        <v>0</v>
      </c>
      <c r="BZ22" s="59">
        <f>SUM(AQ22:AT22)</f>
        <v>131</v>
      </c>
      <c r="CA22" s="184">
        <f>SUM(AU22:AX22)</f>
        <v>3</v>
      </c>
      <c r="CB22" s="184">
        <f>SUM(AY22:BB22)</f>
        <v>0</v>
      </c>
      <c r="CC22" s="184">
        <f>SUM(BC22:BF22)</f>
        <v>0</v>
      </c>
      <c r="CD22" s="184">
        <f>SUM(BG22:BJ22)</f>
        <v>0</v>
      </c>
      <c r="CE22" s="184">
        <f>SUM(BK22:BN22)</f>
        <v>0</v>
      </c>
      <c r="CF22" s="847"/>
      <c r="CG22" s="109"/>
      <c r="CY22"/>
      <c r="CZ22"/>
      <c r="DA22"/>
      <c r="DB22"/>
      <c r="DC22"/>
      <c r="DD22"/>
    </row>
    <row r="23" spans="1:108" s="9" customFormat="1">
      <c r="B23" s="9" t="s">
        <v>134</v>
      </c>
      <c r="C23" s="213">
        <f t="shared" ref="C23:AP23" si="61">C16+C19</f>
        <v>133.971</v>
      </c>
      <c r="D23" s="28">
        <f t="shared" si="61"/>
        <v>139.78199999999998</v>
      </c>
      <c r="E23" s="28">
        <f t="shared" si="61"/>
        <v>158.423</v>
      </c>
      <c r="F23" s="214">
        <f t="shared" si="61"/>
        <v>141.19299999999998</v>
      </c>
      <c r="G23" s="28">
        <f t="shared" si="61"/>
        <v>188.072</v>
      </c>
      <c r="H23" s="28">
        <f t="shared" si="61"/>
        <v>196.31200000000001</v>
      </c>
      <c r="I23" s="28">
        <f t="shared" si="61"/>
        <v>216.32900000000001</v>
      </c>
      <c r="J23" s="28">
        <f t="shared" si="61"/>
        <v>247.19200000000001</v>
      </c>
      <c r="K23" s="213">
        <f t="shared" si="61"/>
        <v>238.892</v>
      </c>
      <c r="L23" s="28">
        <f t="shared" si="61"/>
        <v>239.232</v>
      </c>
      <c r="M23" s="28">
        <f t="shared" si="61"/>
        <v>267.71199999999999</v>
      </c>
      <c r="N23" s="214">
        <f t="shared" si="61"/>
        <v>287.09799999999996</v>
      </c>
      <c r="O23" s="28">
        <f t="shared" si="61"/>
        <v>311.86400000000003</v>
      </c>
      <c r="P23" s="28">
        <f t="shared" si="61"/>
        <v>305.30899999999997</v>
      </c>
      <c r="Q23" s="28">
        <f t="shared" si="61"/>
        <v>311.04700000000003</v>
      </c>
      <c r="R23" s="28">
        <f t="shared" si="61"/>
        <v>316.74900000000002</v>
      </c>
      <c r="S23" s="213">
        <f t="shared" si="61"/>
        <v>420.66100000000006</v>
      </c>
      <c r="T23" s="28">
        <f t="shared" si="61"/>
        <v>266.83</v>
      </c>
      <c r="U23" s="28">
        <f t="shared" si="61"/>
        <v>283.93799999999999</v>
      </c>
      <c r="V23" s="214">
        <f t="shared" si="61"/>
        <v>304.43899999999996</v>
      </c>
      <c r="W23" s="28">
        <f t="shared" si="61"/>
        <v>308.98399999999998</v>
      </c>
      <c r="X23" s="28">
        <f t="shared" si="61"/>
        <v>309.49900000000002</v>
      </c>
      <c r="Y23" s="28">
        <f t="shared" si="61"/>
        <v>288.279</v>
      </c>
      <c r="Z23" s="28">
        <f t="shared" si="61"/>
        <v>246.58100000000007</v>
      </c>
      <c r="AA23" s="213">
        <f t="shared" si="61"/>
        <v>329.64100000000002</v>
      </c>
      <c r="AB23" s="28">
        <f t="shared" si="61"/>
        <v>351.25400000000002</v>
      </c>
      <c r="AC23" s="28">
        <f t="shared" si="61"/>
        <v>359.62700000000001</v>
      </c>
      <c r="AD23" s="214">
        <f t="shared" si="61"/>
        <v>367.69600000000003</v>
      </c>
      <c r="AE23" s="28">
        <f t="shared" si="61"/>
        <v>390.53800000000001</v>
      </c>
      <c r="AF23" s="28">
        <f t="shared" si="61"/>
        <v>401.096</v>
      </c>
      <c r="AG23" s="28">
        <f t="shared" si="61"/>
        <v>384.44100000000003</v>
      </c>
      <c r="AH23" s="28">
        <f t="shared" si="61"/>
        <v>402.02899999999988</v>
      </c>
      <c r="AI23" s="213">
        <f t="shared" si="61"/>
        <v>435.78700000000003</v>
      </c>
      <c r="AJ23" s="28">
        <f t="shared" si="61"/>
        <v>440.00400000000002</v>
      </c>
      <c r="AK23" s="28">
        <f t="shared" si="61"/>
        <v>443.42699999999996</v>
      </c>
      <c r="AL23" s="214">
        <f t="shared" si="61"/>
        <v>452.3180000000001</v>
      </c>
      <c r="AM23" s="213">
        <f t="shared" si="61"/>
        <v>452.84299999999996</v>
      </c>
      <c r="AN23" s="28">
        <f t="shared" si="61"/>
        <v>455.79500000000002</v>
      </c>
      <c r="AO23" s="28">
        <f t="shared" si="61"/>
        <v>463.38299999999998</v>
      </c>
      <c r="AP23" s="214">
        <f t="shared" si="61"/>
        <v>468.46699999999998</v>
      </c>
      <c r="AQ23" s="213">
        <f>AQ16+AQ19+AQ22</f>
        <v>477</v>
      </c>
      <c r="AR23" s="28">
        <f>AR16+AR19+AR22</f>
        <v>558</v>
      </c>
      <c r="AS23" s="28">
        <f t="shared" ref="AS23:AT23" si="62">AS16+AS19+AS22</f>
        <v>489</v>
      </c>
      <c r="AT23" s="214">
        <f t="shared" si="62"/>
        <v>540</v>
      </c>
      <c r="AU23" s="213">
        <f>AU16+AU19+AU22</f>
        <v>506</v>
      </c>
      <c r="AV23" s="28">
        <f>AV16+AV19+AV22</f>
        <v>509</v>
      </c>
      <c r="AW23" s="28">
        <f t="shared" ref="AW23:AX23" si="63">AW16+AW19+AW22</f>
        <v>544</v>
      </c>
      <c r="AX23" s="214">
        <f t="shared" si="63"/>
        <v>570</v>
      </c>
      <c r="AY23" s="876">
        <f>AY16+AY19+AY22</f>
        <v>596</v>
      </c>
      <c r="AZ23" s="28">
        <f>AZ16+AZ19+AZ22</f>
        <v>614</v>
      </c>
      <c r="BA23" s="28">
        <f>BA16+BA19+BA22</f>
        <v>674</v>
      </c>
      <c r="BB23" s="214">
        <f t="shared" ref="BB23" si="64">BB16+BB19+BB22</f>
        <v>728</v>
      </c>
      <c r="BC23" s="876">
        <f t="shared" ref="BC23:BJ23" si="65">BC16+BC19+BC22</f>
        <v>770</v>
      </c>
      <c r="BD23" s="28">
        <f t="shared" si="65"/>
        <v>796.2</v>
      </c>
      <c r="BE23" s="28">
        <f t="shared" si="65"/>
        <v>823.35600000000011</v>
      </c>
      <c r="BF23" s="214">
        <f t="shared" si="65"/>
        <v>851.50440000000015</v>
      </c>
      <c r="BG23" s="876">
        <f t="shared" si="65"/>
        <v>868.53448800000012</v>
      </c>
      <c r="BH23" s="28">
        <f t="shared" si="65"/>
        <v>885.90517776000013</v>
      </c>
      <c r="BI23" s="28">
        <f t="shared" si="65"/>
        <v>903.62328131520007</v>
      </c>
      <c r="BJ23" s="214">
        <f t="shared" si="65"/>
        <v>921.69574694150401</v>
      </c>
      <c r="BK23" s="876">
        <f t="shared" ref="BK23:BN23" si="66">BK16+BK19+BK22</f>
        <v>938.80867336253743</v>
      </c>
      <c r="BL23" s="28">
        <f t="shared" si="66"/>
        <v>956.51220415333728</v>
      </c>
      <c r="BM23" s="28">
        <f t="shared" si="66"/>
        <v>974.55264327712996</v>
      </c>
      <c r="BN23" s="214">
        <f t="shared" si="66"/>
        <v>991.2755915461164</v>
      </c>
      <c r="BO23" s="84"/>
      <c r="BP23" s="104">
        <f>SUM(C23:F23)</f>
        <v>573.36899999999991</v>
      </c>
      <c r="BQ23" s="104">
        <f>SUM(G23:J23)</f>
        <v>847.90499999999997</v>
      </c>
      <c r="BR23" s="104">
        <f>SUM(K23:N23)</f>
        <v>1032.934</v>
      </c>
      <c r="BS23" s="104">
        <f>SUM(O23:R23)</f>
        <v>1244.9690000000001</v>
      </c>
      <c r="BT23" s="104">
        <f>SUM(S23:V23)</f>
        <v>1275.8679999999999</v>
      </c>
      <c r="BU23" s="104">
        <f>SUM(W23:Z23)</f>
        <v>1153.3430000000001</v>
      </c>
      <c r="BV23" s="104">
        <f>SUM(AA23:AD23)</f>
        <v>1408.2179999999998</v>
      </c>
      <c r="BW23" s="104">
        <f>SUM(AE23:AH23)</f>
        <v>1578.1039999999998</v>
      </c>
      <c r="BX23" s="104">
        <f>SUM(AI23:AL23)</f>
        <v>1771.5360000000001</v>
      </c>
      <c r="BY23" s="104">
        <f>SUM(AM23:AP23)</f>
        <v>1840.4879999999998</v>
      </c>
      <c r="BZ23" s="28">
        <f>SUM(AQ23:AT23)</f>
        <v>2064</v>
      </c>
      <c r="CA23" s="28">
        <f t="shared" ref="CA23:CA24" si="67">SUM(AU23:AX23)</f>
        <v>2129</v>
      </c>
      <c r="CB23" s="28">
        <f>SUM(AY23:BB23)</f>
        <v>2612</v>
      </c>
      <c r="CC23" s="28">
        <f>SUM(BC23:BF23)</f>
        <v>3241.0604000000003</v>
      </c>
      <c r="CD23" s="28">
        <f>SUM(BG23:BJ23)</f>
        <v>3579.7586940167039</v>
      </c>
      <c r="CE23" s="28">
        <f>SUM(BK23:BN23)</f>
        <v>3861.1491123391206</v>
      </c>
      <c r="CF23" s="847"/>
      <c r="CG23" s="109"/>
      <c r="CY23"/>
      <c r="CZ23"/>
      <c r="DA23"/>
      <c r="DB23"/>
      <c r="DC23"/>
      <c r="DD23"/>
    </row>
    <row r="24" spans="1:108" s="5" customFormat="1">
      <c r="B24" s="249" t="s">
        <v>135</v>
      </c>
      <c r="C24" s="250">
        <f t="shared" ref="C24:AT24" si="68">C13-C23</f>
        <v>76.182000000000016</v>
      </c>
      <c r="D24" s="251">
        <f t="shared" si="68"/>
        <v>77.593000000000018</v>
      </c>
      <c r="E24" s="251">
        <f t="shared" si="68"/>
        <v>69.571999999999946</v>
      </c>
      <c r="F24" s="252">
        <f t="shared" si="68"/>
        <v>113.31700000000012</v>
      </c>
      <c r="G24" s="251">
        <f t="shared" si="68"/>
        <v>100.685</v>
      </c>
      <c r="H24" s="251">
        <f t="shared" si="68"/>
        <v>95.815999999999974</v>
      </c>
      <c r="I24" s="251">
        <f t="shared" si="68"/>
        <v>117.613</v>
      </c>
      <c r="J24" s="251">
        <f t="shared" si="68"/>
        <v>138.51400000000012</v>
      </c>
      <c r="K24" s="250">
        <f t="shared" si="68"/>
        <v>141.24599999999998</v>
      </c>
      <c r="L24" s="251">
        <f t="shared" si="68"/>
        <v>184.76000000000002</v>
      </c>
      <c r="M24" s="251">
        <f t="shared" si="68"/>
        <v>247.84100000000001</v>
      </c>
      <c r="N24" s="252">
        <f t="shared" si="68"/>
        <v>262.4989999999998</v>
      </c>
      <c r="O24" s="251">
        <f t="shared" si="68"/>
        <v>202.97899999999993</v>
      </c>
      <c r="P24" s="251">
        <f t="shared" si="68"/>
        <v>-155.39199999999994</v>
      </c>
      <c r="Q24" s="251">
        <f t="shared" si="68"/>
        <v>56.795999999999935</v>
      </c>
      <c r="R24" s="251">
        <f t="shared" si="68"/>
        <v>-175.08300000000042</v>
      </c>
      <c r="S24" s="250">
        <f t="shared" si="68"/>
        <v>-230.96500000000009</v>
      </c>
      <c r="T24" s="251">
        <f t="shared" si="68"/>
        <v>-110.10700000000003</v>
      </c>
      <c r="U24" s="251">
        <f t="shared" si="68"/>
        <v>107.84500000000003</v>
      </c>
      <c r="V24" s="252">
        <f t="shared" si="68"/>
        <v>134.28200000000027</v>
      </c>
      <c r="W24" s="251">
        <f t="shared" si="68"/>
        <v>147.39299999999997</v>
      </c>
      <c r="X24" s="251">
        <f t="shared" si="68"/>
        <v>-175.20700000000011</v>
      </c>
      <c r="Y24" s="251">
        <f t="shared" si="68"/>
        <v>103.78300000000002</v>
      </c>
      <c r="Z24" s="251">
        <f t="shared" si="68"/>
        <v>179.77799999999974</v>
      </c>
      <c r="AA24" s="250">
        <f t="shared" si="68"/>
        <v>154.86199999999997</v>
      </c>
      <c r="AB24" s="251">
        <f t="shared" si="68"/>
        <v>174.03000000000009</v>
      </c>
      <c r="AC24" s="251">
        <f t="shared" si="68"/>
        <v>197.09000000000009</v>
      </c>
      <c r="AD24" s="252">
        <f t="shared" si="68"/>
        <v>122.31699999999995</v>
      </c>
      <c r="AE24" s="251">
        <f t="shared" si="68"/>
        <v>72.825999999999965</v>
      </c>
      <c r="AF24" s="251">
        <f t="shared" si="68"/>
        <v>139.62300000000005</v>
      </c>
      <c r="AG24" s="251">
        <f t="shared" si="68"/>
        <v>252.21699999999987</v>
      </c>
      <c r="AH24" s="251">
        <f t="shared" si="68"/>
        <v>183.57300000000021</v>
      </c>
      <c r="AI24" s="250">
        <f t="shared" si="68"/>
        <v>82.780999999999949</v>
      </c>
      <c r="AJ24" s="251">
        <f t="shared" si="68"/>
        <v>105.53399999999999</v>
      </c>
      <c r="AK24" s="251">
        <f t="shared" si="68"/>
        <v>140.98800000000011</v>
      </c>
      <c r="AL24" s="252">
        <f t="shared" si="68"/>
        <v>166.92400000000055</v>
      </c>
      <c r="AM24" s="250">
        <f t="shared" si="68"/>
        <v>151.35900000000004</v>
      </c>
      <c r="AN24" s="251">
        <f t="shared" si="68"/>
        <v>163.17900000000003</v>
      </c>
      <c r="AO24" s="251">
        <f t="shared" si="68"/>
        <v>213.31500000000011</v>
      </c>
      <c r="AP24" s="252">
        <f t="shared" si="68"/>
        <v>231.13599999999997</v>
      </c>
      <c r="AQ24" s="250">
        <f t="shared" si="68"/>
        <v>176</v>
      </c>
      <c r="AR24" s="251">
        <f t="shared" si="68"/>
        <v>76</v>
      </c>
      <c r="AS24" s="251">
        <f t="shared" ref="AS24" si="69">AS13-AS23</f>
        <v>245</v>
      </c>
      <c r="AT24" s="252">
        <f t="shared" si="68"/>
        <v>250</v>
      </c>
      <c r="AU24" s="250">
        <f t="shared" ref="AU24:AX24" si="70">AU13-AU23</f>
        <v>245</v>
      </c>
      <c r="AV24" s="251">
        <f t="shared" si="70"/>
        <v>317</v>
      </c>
      <c r="AW24" s="251">
        <f t="shared" si="70"/>
        <v>639</v>
      </c>
      <c r="AX24" s="252">
        <f t="shared" si="70"/>
        <v>733</v>
      </c>
      <c r="AY24" s="869">
        <f t="shared" ref="AY24:AZ24" si="71">AY13-AY23</f>
        <v>554</v>
      </c>
      <c r="AZ24" s="251">
        <f t="shared" si="71"/>
        <v>688</v>
      </c>
      <c r="BA24" s="251">
        <f t="shared" ref="BA24:BB24" si="72">BA13-BA23</f>
        <v>895</v>
      </c>
      <c r="BB24" s="252">
        <f t="shared" si="72"/>
        <v>1073</v>
      </c>
      <c r="BC24" s="869">
        <f t="shared" ref="BC24:BJ24" si="73">BC13-BC23</f>
        <v>1065.6183651000774</v>
      </c>
      <c r="BD24" s="251">
        <f t="shared" si="73"/>
        <v>1172.0125746410959</v>
      </c>
      <c r="BE24" s="251">
        <f>BE13-BE23</f>
        <v>1287.2607195811956</v>
      </c>
      <c r="BF24" s="252">
        <f t="shared" si="73"/>
        <v>1339.3892369645619</v>
      </c>
      <c r="BG24" s="869">
        <f t="shared" si="73"/>
        <v>1174.3887747710614</v>
      </c>
      <c r="BH24" s="251">
        <f t="shared" si="73"/>
        <v>1398.1632485131695</v>
      </c>
      <c r="BI24" s="251">
        <f t="shared" si="73"/>
        <v>1560.5960979808297</v>
      </c>
      <c r="BJ24" s="252">
        <f t="shared" si="73"/>
        <v>1588.2694143783567</v>
      </c>
      <c r="BK24" s="869">
        <f t="shared" ref="BK24:BN24" si="74">BK13-BK23</f>
        <v>1421.7421367511361</v>
      </c>
      <c r="BL24" s="251">
        <f t="shared" si="74"/>
        <v>1686.4080379387347</v>
      </c>
      <c r="BM24" s="251">
        <f t="shared" si="74"/>
        <v>1859.2515151946272</v>
      </c>
      <c r="BN24" s="252">
        <f t="shared" si="74"/>
        <v>1911.1864266605851</v>
      </c>
      <c r="BO24" s="84"/>
      <c r="BP24" s="251">
        <f t="shared" ref="BP24:BY24" si="75">BP13-BP23</f>
        <v>336.6640000000001</v>
      </c>
      <c r="BQ24" s="251">
        <f t="shared" si="75"/>
        <v>452.62800000000016</v>
      </c>
      <c r="BR24" s="251">
        <f t="shared" si="75"/>
        <v>836.34599999999978</v>
      </c>
      <c r="BS24" s="251">
        <f t="shared" si="75"/>
        <v>-70.700000000000273</v>
      </c>
      <c r="BT24" s="251">
        <f t="shared" si="75"/>
        <v>-98.944999999999709</v>
      </c>
      <c r="BU24" s="251">
        <f t="shared" si="75"/>
        <v>255.74699999999962</v>
      </c>
      <c r="BV24" s="251">
        <f t="shared" si="75"/>
        <v>648.29900000000043</v>
      </c>
      <c r="BW24" s="251">
        <f t="shared" si="75"/>
        <v>648.23900000000003</v>
      </c>
      <c r="BX24" s="251">
        <f t="shared" si="75"/>
        <v>496.22700000000077</v>
      </c>
      <c r="BY24" s="251">
        <f t="shared" si="75"/>
        <v>758.98900000000003</v>
      </c>
      <c r="BZ24" s="251">
        <f>SUM(AQ24:AT24)</f>
        <v>747</v>
      </c>
      <c r="CA24" s="251">
        <f t="shared" si="67"/>
        <v>1934</v>
      </c>
      <c r="CB24" s="251">
        <f>SUM(AY24:BB24)</f>
        <v>3210</v>
      </c>
      <c r="CC24" s="251">
        <f>SUM(BC24:BF24)</f>
        <v>4864.2808962869312</v>
      </c>
      <c r="CD24" s="251">
        <f>SUM(BG24:BJ24)</f>
        <v>5721.4175356434171</v>
      </c>
      <c r="CE24" s="251">
        <f>SUM(BK24:BN24)</f>
        <v>6878.5881165450837</v>
      </c>
      <c r="CF24" s="847"/>
      <c r="CG24" s="109"/>
      <c r="CY24"/>
      <c r="CZ24"/>
      <c r="DA24"/>
      <c r="DB24"/>
      <c r="DC24"/>
      <c r="DD24"/>
    </row>
    <row r="25" spans="1:108" s="5" customFormat="1">
      <c r="B25" s="91" t="s">
        <v>145</v>
      </c>
      <c r="C25" s="215">
        <f t="shared" ref="C25:AT25" si="76">C24/C7</f>
        <v>0.1304830383354515</v>
      </c>
      <c r="D25" s="31">
        <f t="shared" si="76"/>
        <v>0.13498848319102597</v>
      </c>
      <c r="E25" s="31">
        <f t="shared" si="76"/>
        <v>0.11924959077157761</v>
      </c>
      <c r="F25" s="216">
        <f t="shared" si="76"/>
        <v>0.17884232355977001</v>
      </c>
      <c r="G25" s="31">
        <f t="shared" si="76"/>
        <v>0.14767375518291834</v>
      </c>
      <c r="H25" s="31">
        <f t="shared" si="76"/>
        <v>0.13936487573434331</v>
      </c>
      <c r="I25" s="31">
        <f t="shared" si="76"/>
        <v>0.14333050603725206</v>
      </c>
      <c r="J25" s="31">
        <f t="shared" si="76"/>
        <v>0.15760411344983874</v>
      </c>
      <c r="K25" s="215">
        <f t="shared" si="76"/>
        <v>0.16729757900222672</v>
      </c>
      <c r="L25" s="31">
        <f t="shared" si="76"/>
        <v>0.19755082314625028</v>
      </c>
      <c r="M25" s="31">
        <f t="shared" si="76"/>
        <v>0.22215997353883168</v>
      </c>
      <c r="N25" s="216">
        <f t="shared" si="76"/>
        <v>0.21825264190632965</v>
      </c>
      <c r="O25" s="31">
        <f t="shared" si="76"/>
        <v>0.17598501111508005</v>
      </c>
      <c r="P25" s="31">
        <f t="shared" si="76"/>
        <v>-0.17407435620538686</v>
      </c>
      <c r="Q25" s="31">
        <f t="shared" si="76"/>
        <v>6.3271524137892554E-2</v>
      </c>
      <c r="R25" s="31">
        <f t="shared" si="76"/>
        <v>-0.36389200648460007</v>
      </c>
      <c r="S25" s="215">
        <f t="shared" si="76"/>
        <v>-0.34771788730125525</v>
      </c>
      <c r="T25" s="31">
        <f t="shared" si="76"/>
        <v>-0.1417954463503838</v>
      </c>
      <c r="U25" s="31">
        <f t="shared" si="76"/>
        <v>0.11940243975350033</v>
      </c>
      <c r="V25" s="216">
        <f t="shared" si="76"/>
        <v>0.13667546066720435</v>
      </c>
      <c r="W25" s="31">
        <f t="shared" si="76"/>
        <v>0.14712626009045598</v>
      </c>
      <c r="X25" s="31">
        <f t="shared" si="76"/>
        <v>-0.2159828305440776</v>
      </c>
      <c r="Y25" s="31">
        <f t="shared" si="76"/>
        <v>0.1229784622093299</v>
      </c>
      <c r="Z25" s="31">
        <f t="shared" si="76"/>
        <v>0.20282363240881945</v>
      </c>
      <c r="AA25" s="215">
        <f t="shared" si="76"/>
        <v>0.1609726840595859</v>
      </c>
      <c r="AB25" s="31">
        <f t="shared" si="76"/>
        <v>0.17120225239715625</v>
      </c>
      <c r="AC25" s="31">
        <f t="shared" si="76"/>
        <v>0.18485621564838964</v>
      </c>
      <c r="AD25" s="216">
        <f t="shared" si="76"/>
        <v>0.1283233003984498</v>
      </c>
      <c r="AE25" s="31">
        <f t="shared" si="76"/>
        <v>7.8741281273077363E-2</v>
      </c>
      <c r="AF25" s="31">
        <f t="shared" si="76"/>
        <v>0.13370392714527857</v>
      </c>
      <c r="AG25" s="31">
        <f t="shared" si="76"/>
        <v>0.20946342111601091</v>
      </c>
      <c r="AH25" s="31">
        <f t="shared" si="76"/>
        <v>0.16584395005158559</v>
      </c>
      <c r="AI25" s="215">
        <f t="shared" si="76"/>
        <v>8.6705371834606054E-2</v>
      </c>
      <c r="AJ25" s="31">
        <f t="shared" si="76"/>
        <v>0.10799211655707205</v>
      </c>
      <c r="AK25" s="31">
        <f t="shared" si="76"/>
        <v>0.13376889409250964</v>
      </c>
      <c r="AL25" s="216">
        <f t="shared" si="76"/>
        <v>0.14588478768905969</v>
      </c>
      <c r="AM25" s="215">
        <f t="shared" si="76"/>
        <v>0.13725134590814003</v>
      </c>
      <c r="AN25" s="31">
        <f t="shared" si="76"/>
        <v>0.14796467976757852</v>
      </c>
      <c r="AO25" s="31">
        <f t="shared" si="76"/>
        <v>0.17408040921116852</v>
      </c>
      <c r="AP25" s="216">
        <f t="shared" si="76"/>
        <v>0.18483279675397477</v>
      </c>
      <c r="AQ25" s="215">
        <f t="shared" si="76"/>
        <v>0.15291051259774111</v>
      </c>
      <c r="AR25" s="31">
        <f t="shared" si="76"/>
        <v>6.5915004336513441E-2</v>
      </c>
      <c r="AS25" s="31">
        <f t="shared" ref="AS25" si="77">AS24/AS7</f>
        <v>0.18773946360153257</v>
      </c>
      <c r="AT25" s="216">
        <f t="shared" si="76"/>
        <v>0.17844396859386152</v>
      </c>
      <c r="AU25" s="215">
        <f t="shared" ref="AU25:AX25" si="78">AU24/AU7</f>
        <v>0.18773946360153257</v>
      </c>
      <c r="AV25" s="31">
        <f t="shared" si="78"/>
        <v>0.22198879551820727</v>
      </c>
      <c r="AW25" s="31">
        <f t="shared" si="78"/>
        <v>0.31886227544910178</v>
      </c>
      <c r="AX25" s="216">
        <f t="shared" si="78"/>
        <v>0.33732167510354349</v>
      </c>
      <c r="AY25" s="877">
        <f t="shared" ref="AY25:AZ25" si="79">AY24/AY7</f>
        <v>0.28600929272070214</v>
      </c>
      <c r="AZ25" s="31">
        <f t="shared" si="79"/>
        <v>0.30852017937219733</v>
      </c>
      <c r="BA25" s="31">
        <f t="shared" ref="BA25:BB25" si="80">BA24/BA7</f>
        <v>0.33952959028831564</v>
      </c>
      <c r="BB25" s="216">
        <f t="shared" si="80"/>
        <v>0.36860185503263482</v>
      </c>
      <c r="BC25" s="877">
        <f t="shared" ref="BC25:BJ25" si="81">BC24/BC7</f>
        <v>0.36475052358145404</v>
      </c>
      <c r="BD25" s="31">
        <f t="shared" si="81"/>
        <v>0.37114927412707821</v>
      </c>
      <c r="BE25" s="31">
        <f t="shared" si="81"/>
        <v>0.37763230095840544</v>
      </c>
      <c r="BF25" s="216">
        <f t="shared" si="81"/>
        <v>0.37831581789567098</v>
      </c>
      <c r="BG25" s="877">
        <f t="shared" si="81"/>
        <v>0.35705215091384535</v>
      </c>
      <c r="BH25" s="31">
        <f t="shared" si="81"/>
        <v>0.37962298690097634</v>
      </c>
      <c r="BI25" s="31">
        <f t="shared" si="81"/>
        <v>0.39176976643259992</v>
      </c>
      <c r="BJ25" s="216">
        <f t="shared" si="81"/>
        <v>0.39319791407959453</v>
      </c>
      <c r="BK25" s="877">
        <f t="shared" ref="BK25:BN25" si="82">BK24/BK7</f>
        <v>0.3762465201813453</v>
      </c>
      <c r="BL25" s="31">
        <f t="shared" si="82"/>
        <v>0.39801736325038256</v>
      </c>
      <c r="BM25" s="31">
        <f t="shared" si="82"/>
        <v>0.40865876541376184</v>
      </c>
      <c r="BN25" s="216">
        <f t="shared" si="82"/>
        <v>0.41208207389087964</v>
      </c>
      <c r="BO25" s="129"/>
      <c r="BP25" s="31">
        <f t="shared" ref="BP25:CA25" si="83">BP24/BP7</f>
        <v>0.14171227101886744</v>
      </c>
      <c r="BQ25" s="31">
        <f t="shared" si="83"/>
        <v>0.14749487661347169</v>
      </c>
      <c r="BR25" s="31">
        <f t="shared" si="83"/>
        <v>0.20409335604437434</v>
      </c>
      <c r="BS25" s="31">
        <f t="shared" si="83"/>
        <v>-2.0643185602677448E-2</v>
      </c>
      <c r="BT25" s="31">
        <f t="shared" si="83"/>
        <v>-2.9744967976322988E-2</v>
      </c>
      <c r="BU25" s="31">
        <f t="shared" si="83"/>
        <v>7.2177447690844804E-2</v>
      </c>
      <c r="BV25" s="31">
        <f t="shared" si="83"/>
        <v>0.16215866711022967</v>
      </c>
      <c r="BW25" s="31">
        <f t="shared" si="83"/>
        <v>0.15145208390622875</v>
      </c>
      <c r="BX25" s="31">
        <f t="shared" si="83"/>
        <v>0.12014710318868867</v>
      </c>
      <c r="BY25" s="31">
        <f t="shared" si="83"/>
        <v>0.16212493113862697</v>
      </c>
      <c r="BZ25" s="31">
        <f t="shared" si="83"/>
        <v>0.14910179640718563</v>
      </c>
      <c r="CA25" s="31">
        <f t="shared" si="83"/>
        <v>0.27988422575976846</v>
      </c>
      <c r="CB25" s="31">
        <f t="shared" ref="CB25:CC25" si="84">CB24/CB7</f>
        <v>0.33045089561457691</v>
      </c>
      <c r="CC25" s="31">
        <f t="shared" si="84"/>
        <v>0.37335810139526171</v>
      </c>
      <c r="CD25" s="31">
        <f t="shared" ref="CD25:CE25" si="85">CD24/CD7</f>
        <v>0.38155576203384639</v>
      </c>
      <c r="CE25" s="31">
        <f t="shared" si="85"/>
        <v>0.39984133876505568</v>
      </c>
      <c r="CF25" s="847"/>
      <c r="CG25" s="109"/>
      <c r="CY25"/>
      <c r="CZ25"/>
      <c r="DA25"/>
      <c r="DB25"/>
      <c r="DC25"/>
      <c r="DD25"/>
    </row>
    <row r="26" spans="1:108" s="109" customFormat="1" outlineLevel="1">
      <c r="A26" s="5" t="s">
        <v>196</v>
      </c>
      <c r="B26" s="91" t="s">
        <v>195</v>
      </c>
      <c r="C26" s="37"/>
      <c r="D26" s="38"/>
      <c r="E26" s="38"/>
      <c r="F26" s="39"/>
      <c r="G26" s="38"/>
      <c r="H26" s="38"/>
      <c r="I26" s="38"/>
      <c r="J26" s="38"/>
      <c r="K26" s="37"/>
      <c r="L26" s="38"/>
      <c r="M26" s="38"/>
      <c r="N26" s="39"/>
      <c r="O26" s="38"/>
      <c r="P26" s="38"/>
      <c r="Q26" s="38"/>
      <c r="R26" s="38"/>
      <c r="S26" s="37"/>
      <c r="T26" s="38"/>
      <c r="U26" s="38"/>
      <c r="V26" s="39"/>
      <c r="W26" s="38"/>
      <c r="X26" s="38"/>
      <c r="Y26" s="38"/>
      <c r="Z26" s="38"/>
      <c r="AA26" s="37"/>
      <c r="AB26" s="38"/>
      <c r="AC26" s="38"/>
      <c r="AD26" s="39"/>
      <c r="AE26" s="38" t="e">
        <f>_xll.ThomsonONEAddinShim.SpreadsheetFormulas.TF($A$1,"TF.ES.OPR.Mean(period=#1,scale=6)",,AE$2)/AE8</f>
        <v>#VALUE!</v>
      </c>
      <c r="AF26" s="38" t="e">
        <f>_xll.ThomsonONEAddinShim.SpreadsheetFormulas.TF($A$1,"TF.ES.OPR.Mean(period=#1,scale=6)",,AF$2)/AF8</f>
        <v>#VALUE!</v>
      </c>
      <c r="AG26" s="38" t="e">
        <f>_xll.ThomsonONEAddinShim.SpreadsheetFormulas.TF($A$1,"TF.ES.OPR.Mean(period=#1,scale=6)",,AG$2)/AG8</f>
        <v>#VALUE!</v>
      </c>
      <c r="AH26" s="38" t="e">
        <f>_xll.ThomsonONEAddinShim.SpreadsheetFormulas.TF($A$1,"TF.ES.OPR.Mean(period=#1,scale=6)",,AH$2)/AH8</f>
        <v>#VALUE!</v>
      </c>
      <c r="AI26" s="37" t="e">
        <f>_xll.ThomsonONEAddinShim.SpreadsheetFormulas.TF($A$1,"TF.ES.OPR.Mean(period=#1,scale=6)",,AI$2)/AI8</f>
        <v>#VALUE!</v>
      </c>
      <c r="AJ26" s="38" t="e">
        <f>_xll.ThomsonONEAddinShim.SpreadsheetFormulas.TF($A$1,"TF.ES.OPR.Mean(period=#1,scale=6)",,AJ$2)/AJ8</f>
        <v>#VALUE!</v>
      </c>
      <c r="AK26" s="38" t="e">
        <f>_xll.ThomsonONEAddinShim.SpreadsheetFormulas.TF($A$1,"TF.ES.OPR.Mean(period=#1,scale=6)",,AK$2)/AK8</f>
        <v>#VALUE!</v>
      </c>
      <c r="AL26" s="39" t="e">
        <f>_xll.ThomsonONEAddinShim.SpreadsheetFormulas.TF($A$1,"TF.ES.OPR.Mean(period=#1,scale=6)",,AL$2)/AL8</f>
        <v>#VALUE!</v>
      </c>
      <c r="AM26" s="37" t="e">
        <f>_xll.ThomsonONEAddinShim.SpreadsheetFormulas.TF($A$1,"TF.ES.OPR.Mean(period=#1,scale=6)",,AM$2)/AM8</f>
        <v>#VALUE!</v>
      </c>
      <c r="AN26" s="38" t="e">
        <f>_xll.ThomsonONEAddinShim.SpreadsheetFormulas.TF($A$1,"TF.ES.OPR.Mean(period=#1,scale=6)",,AN$2)/AN8</f>
        <v>#VALUE!</v>
      </c>
      <c r="AO26" s="38" t="e">
        <f>_xll.ThomsonONEAddinShim.SpreadsheetFormulas.TF($A$1,"TF.ES.OPR.Mean(period=#1,scale=6)",,AO$2)/AO8</f>
        <v>#VALUE!</v>
      </c>
      <c r="AP26" s="39" t="e">
        <f>_xll.ThomsonONEAddinShim.SpreadsheetFormulas.TF($A$1,"TF.ES.OPR.Mean(period=#1,scale=6)",,AP$2)/AP8</f>
        <v>#VALUE!</v>
      </c>
      <c r="AQ26" s="37" t="e">
        <f>_xll.ThomsonONEAddinShim.SpreadsheetFormulas.TF($A$1,"TF.ES.OPR.Mean(period=#1,scale=6)",,AQ$2)/AQ8</f>
        <v>#VALUE!</v>
      </c>
      <c r="AR26" s="38" t="e">
        <f>_xll.ThomsonONEAddinShim.SpreadsheetFormulas.TF($A$1,"TF.ES.OPR.Mean(period=#1,scale=6)",,AR$2)/AR8</f>
        <v>#VALUE!</v>
      </c>
      <c r="AS26" s="38" t="e">
        <f>_xll.ThomsonONEAddinShim.SpreadsheetFormulas.TF($A$1,"TF.ES.OPR.Mean(period=#1,scale=6)",,AS$2)/AS8</f>
        <v>#VALUE!</v>
      </c>
      <c r="AT26" s="39" t="e">
        <f>_xll.ThomsonONEAddinShim.SpreadsheetFormulas.TF($A$1,"TF.ES.OPR.Mean(period=#1,scale=6)",,AT$2)/AT8</f>
        <v>#VALUE!</v>
      </c>
      <c r="AU26" s="37">
        <f>_xll.ThomsonONEAddinShim.SpreadsheetFormulas.TF($A$1,"TF.ES.OPR.Mean(period=#1,scale=6)",,AU$2)/AU8</f>
        <v>0</v>
      </c>
      <c r="AV26" s="38">
        <f>_xll.ThomsonONEAddinShim.SpreadsheetFormulas.TF($A$1,"TF.ES.OPR.Mean(period=#1,scale=6)",,AV$2)/AV8</f>
        <v>0</v>
      </c>
      <c r="AW26" s="38">
        <f>_xll.ThomsonONEAddinShim.SpreadsheetFormulas.TF($A$1,"TF.ES.OPR.Mean(period=#1,scale=6)",,AW$2)/AW8</f>
        <v>0</v>
      </c>
      <c r="AX26" s="39">
        <f>_xll.ThomsonONEAddinShim.SpreadsheetFormulas.TF($A$1,"TF.ES.OPR.Mean(period=#1,scale=6)",,AX$2)/AX8</f>
        <v>0</v>
      </c>
      <c r="AY26" s="37">
        <f>_xll.ThomsonONEAddinShim.SpreadsheetFormulas.TF($A$1,"TF.ES.OPR.Mean(period=#1,scale=6)",,AY$2)/AY8</f>
        <v>0</v>
      </c>
      <c r="AZ26" s="38">
        <f>_xll.ThomsonONEAddinShim.SpreadsheetFormulas.TF($A$1,"TF.ES.OPR.Mean(period=#1,scale=6)",,AZ$2)/AZ8</f>
        <v>0</v>
      </c>
      <c r="BA26" s="38">
        <f>_xll.ThomsonONEAddinShim.SpreadsheetFormulas.TF($A$1,"TF.ES.OPR.Mean(period=#1,scale=6)",,BA$2)/BA8</f>
        <v>0</v>
      </c>
      <c r="BB26" s="39">
        <f>_xll.ThomsonONEAddinShim.SpreadsheetFormulas.TF($A$1,"TF.ES.OPR.Mean(period=#1,scale=6)",,BB$2)/BB8</f>
        <v>0</v>
      </c>
      <c r="BC26" s="37">
        <f>_xll.ThomsonONEAddinShim.SpreadsheetFormulas.TF($A$1,"TF.ES.OPR.Mean(period=#1,scale=6)",,BC$2)/BC8</f>
        <v>0</v>
      </c>
      <c r="BD26" s="38">
        <f>_xll.ThomsonONEAddinShim.SpreadsheetFormulas.TF($A$1,"TF.ES.OPR.Mean(period=#1,scale=6)",,BD$2)/BD8</f>
        <v>0</v>
      </c>
      <c r="BE26" s="38">
        <f>_xll.ThomsonONEAddinShim.SpreadsheetFormulas.TF($A$1,"TF.ES.OPR.Mean(period=#1,scale=6)",,BE$2)/BE8</f>
        <v>0</v>
      </c>
      <c r="BF26" s="39">
        <f>_xll.ThomsonONEAddinShim.SpreadsheetFormulas.TF($A$1,"TF.ES.OPR.Mean(period=#1,scale=6)",,BF$2)/BF8</f>
        <v>0</v>
      </c>
      <c r="BG26" s="37"/>
      <c r="BH26" s="38"/>
      <c r="BI26" s="38"/>
      <c r="BJ26" s="39"/>
      <c r="BK26" s="37"/>
      <c r="BL26" s="38"/>
      <c r="BM26" s="38"/>
      <c r="BN26" s="39"/>
      <c r="BO26" s="130"/>
      <c r="BP26" s="38"/>
      <c r="BQ26" s="38"/>
      <c r="BR26" s="38"/>
      <c r="BS26" s="38"/>
      <c r="BT26" s="38"/>
      <c r="BU26" s="38"/>
      <c r="BV26" s="38" t="e">
        <f>_xll.ThomsonONEAddinShim.SpreadsheetFormulas.TF($A$1,"TF.ES.OPR.Mean(period=#1,scale=6)",,BV$2)/BV8</f>
        <v>#VALUE!</v>
      </c>
      <c r="BW26" s="38" t="e">
        <f>_xll.ThomsonONEAddinShim.SpreadsheetFormulas.TF($A$1,"TF.ES.OPR.Mean(period=#1,scale=6)",,BW$2)/BW8</f>
        <v>#VALUE!</v>
      </c>
      <c r="BX26" s="38" t="e">
        <f>_xll.ThomsonONEAddinShim.SpreadsheetFormulas.TF($A$1,"TF.ES.OPR.Mean(period=#1,scale=6)",,BX$2)/BX8</f>
        <v>#VALUE!</v>
      </c>
      <c r="BY26" s="38"/>
      <c r="BZ26" s="38">
        <f>_xll.ThomsonONEAddinShim.SpreadsheetFormulas.TF($A$1,"TF.ES.OPR.Mean(period=#1,scale=6)",,BZ$2)/BZ8</f>
        <v>0</v>
      </c>
      <c r="CA26" s="38">
        <f>_xll.ThomsonONEAddinShim.SpreadsheetFormulas.TF($A$1,"TF.ES.OPR.Mean(period=#1,scale=6)",,CA$2)/CA8</f>
        <v>0</v>
      </c>
      <c r="CB26" s="38">
        <f>_xll.ThomsonONEAddinShim.SpreadsheetFormulas.TF($A$1,"TF.ES.OPR.Mean(period=#1,scale=6)",,CB$2)/CB8</f>
        <v>0</v>
      </c>
      <c r="CC26" s="38">
        <f>_xll.ThomsonONEAddinShim.SpreadsheetFormulas.TF($A$1,"TF.ES.OPR.Mean(period=#1,scale=6)",,CC$2)/CC8</f>
        <v>0</v>
      </c>
      <c r="CD26" s="38"/>
      <c r="CE26" s="38"/>
      <c r="CF26" s="847"/>
      <c r="CY26"/>
      <c r="CZ26"/>
      <c r="DA26"/>
      <c r="DB26"/>
      <c r="DC26"/>
      <c r="DD26"/>
    </row>
    <row r="27" spans="1:108" s="5" customFormat="1">
      <c r="B27" s="556" t="s">
        <v>136</v>
      </c>
      <c r="C27" s="32">
        <v>0.48799999999999999</v>
      </c>
      <c r="D27" s="30">
        <v>0.35399999999999998</v>
      </c>
      <c r="E27" s="30">
        <v>0.76600000000000001</v>
      </c>
      <c r="F27" s="33">
        <v>-2.11</v>
      </c>
      <c r="G27" s="30">
        <v>-0.24399999999999999</v>
      </c>
      <c r="H27" s="30">
        <v>0.59799999999999998</v>
      </c>
      <c r="I27" s="30">
        <v>8.4000000000000005E-2</v>
      </c>
      <c r="J27" s="30">
        <v>-0.504</v>
      </c>
      <c r="K27" s="32">
        <v>-0.66500000000000004</v>
      </c>
      <c r="L27" s="30">
        <v>0.46600000000000003</v>
      </c>
      <c r="M27" s="30">
        <v>1.542</v>
      </c>
      <c r="N27" s="33">
        <v>-0.58299999999999996</v>
      </c>
      <c r="O27" s="30">
        <v>-4.2839999999999998</v>
      </c>
      <c r="P27" s="30">
        <v>-3.2890000000000001</v>
      </c>
      <c r="Q27" s="30">
        <v>-5.24</v>
      </c>
      <c r="R27" s="30">
        <v>-1.894000000000001</v>
      </c>
      <c r="S27" s="32">
        <v>0.02</v>
      </c>
      <c r="T27" s="30">
        <v>-2.7730000000000001</v>
      </c>
      <c r="U27" s="30">
        <v>-3.0819999999999999</v>
      </c>
      <c r="V27" s="33">
        <v>2.6909999999999998</v>
      </c>
      <c r="W27" s="30">
        <v>-2.2389999999999999</v>
      </c>
      <c r="X27" s="30">
        <v>1.355</v>
      </c>
      <c r="Y27" s="30">
        <v>-4.4180000000000001</v>
      </c>
      <c r="Z27" s="30">
        <v>4.7940000000000005</v>
      </c>
      <c r="AA27" s="32">
        <v>-3.69</v>
      </c>
      <c r="AB27" s="30">
        <v>-1.7490000000000001</v>
      </c>
      <c r="AC27" s="30">
        <v>3.3410000000000002</v>
      </c>
      <c r="AD27" s="33">
        <v>0</v>
      </c>
      <c r="AE27" s="30">
        <v>-0.92900000000000005</v>
      </c>
      <c r="AF27" s="30">
        <v>0.26900000000000002</v>
      </c>
      <c r="AG27" s="30">
        <v>-3.29</v>
      </c>
      <c r="AH27" s="30">
        <v>1.1360000000000001</v>
      </c>
      <c r="AI27" s="32">
        <v>1.0580000000000001</v>
      </c>
      <c r="AJ27" s="30">
        <v>2.4209999999999998</v>
      </c>
      <c r="AK27" s="30">
        <v>-3.5259999999999998</v>
      </c>
      <c r="AL27" s="33">
        <v>7.3979999999999997</v>
      </c>
      <c r="AM27" s="32">
        <v>17.684000000000001</v>
      </c>
      <c r="AN27" s="30">
        <v>-3.8570000000000002</v>
      </c>
      <c r="AO27" s="30">
        <v>-0.125</v>
      </c>
      <c r="AP27" s="33">
        <v>0.188</v>
      </c>
      <c r="AQ27" s="32">
        <v>-1</v>
      </c>
      <c r="AR27" s="30">
        <v>-1</v>
      </c>
      <c r="AS27" s="30">
        <v>3</v>
      </c>
      <c r="AT27" s="33">
        <v>3</v>
      </c>
      <c r="AU27" s="32">
        <v>-4</v>
      </c>
      <c r="AV27" s="30">
        <v>0</v>
      </c>
      <c r="AW27" s="30">
        <v>-16</v>
      </c>
      <c r="AX27" s="33">
        <v>-6</v>
      </c>
      <c r="AY27" s="32">
        <v>-18</v>
      </c>
      <c r="AZ27" s="30">
        <v>-4</v>
      </c>
      <c r="BA27" s="30">
        <v>-1</v>
      </c>
      <c r="BB27" s="33">
        <v>0</v>
      </c>
      <c r="BC27" s="32"/>
      <c r="BD27" s="30"/>
      <c r="BE27" s="30"/>
      <c r="BF27" s="33"/>
      <c r="BG27" s="32"/>
      <c r="BH27" s="30"/>
      <c r="BI27" s="30"/>
      <c r="BJ27" s="33"/>
      <c r="BK27" s="32"/>
      <c r="BL27" s="30"/>
      <c r="BM27" s="30"/>
      <c r="BN27" s="33"/>
      <c r="BO27" s="131"/>
      <c r="BP27" s="59">
        <f>SUM(C27:F27)</f>
        <v>-0.50199999999999978</v>
      </c>
      <c r="BQ27" s="59">
        <f>SUM(G27:J27)</f>
        <v>-6.6000000000000003E-2</v>
      </c>
      <c r="BR27" s="59">
        <f>SUM(K27:N27)</f>
        <v>0.76</v>
      </c>
      <c r="BS27" s="59">
        <f>SUM(O27:R27)</f>
        <v>-14.707000000000001</v>
      </c>
      <c r="BT27" s="59">
        <f>SUM(S27:V27)</f>
        <v>-3.1440000000000001</v>
      </c>
      <c r="BU27" s="59">
        <f>SUM(W27:Z27)</f>
        <v>-0.50799999999999912</v>
      </c>
      <c r="BV27" s="59">
        <f>SUM(AA27:AD27)</f>
        <v>-2.0979999999999999</v>
      </c>
      <c r="BW27" s="59">
        <f>SUM(AE27:AH27)</f>
        <v>-2.8140000000000001</v>
      </c>
      <c r="BX27" s="59">
        <f>SUM(AI27:AL27)</f>
        <v>7.351</v>
      </c>
      <c r="BY27" s="59">
        <f>SUM(AM27:AP27)</f>
        <v>13.890000000000002</v>
      </c>
      <c r="BZ27" s="59">
        <f>SUM(AQ27:AT27)</f>
        <v>4</v>
      </c>
      <c r="CA27" s="184">
        <f t="shared" ref="CA27:CA33" si="86">SUM(AU27:AX27)</f>
        <v>-26</v>
      </c>
      <c r="CB27" s="184">
        <f>SUM(AY27:BB27)</f>
        <v>-23</v>
      </c>
      <c r="CC27" s="184">
        <f>SUM(BC27:BF27)</f>
        <v>0</v>
      </c>
      <c r="CD27" s="184">
        <f>SUM(BG27:BJ27)</f>
        <v>0</v>
      </c>
      <c r="CE27" s="184">
        <f>SUM(BK27:BN27)</f>
        <v>0</v>
      </c>
      <c r="CF27" s="847"/>
      <c r="CG27" s="109"/>
      <c r="CY27"/>
      <c r="CZ27"/>
      <c r="DA27"/>
      <c r="DB27"/>
      <c r="DC27"/>
      <c r="DD27"/>
    </row>
    <row r="28" spans="1:108" s="5" customFormat="1">
      <c r="B28" s="5" t="s">
        <v>138</v>
      </c>
      <c r="C28" s="32">
        <v>3.895</v>
      </c>
      <c r="D28" s="30">
        <v>4.867</v>
      </c>
      <c r="E28" s="30">
        <v>5.38</v>
      </c>
      <c r="F28" s="33">
        <v>6.5560000000000009</v>
      </c>
      <c r="G28" s="30">
        <v>8.8079999999999998</v>
      </c>
      <c r="H28" s="30">
        <v>8.8179999999999996</v>
      </c>
      <c r="I28" s="30">
        <v>10.651999999999999</v>
      </c>
      <c r="J28" s="30">
        <v>13.542000000000002</v>
      </c>
      <c r="K28" s="32">
        <v>13.208</v>
      </c>
      <c r="L28" s="30">
        <v>15.625</v>
      </c>
      <c r="M28" s="30">
        <v>17.416</v>
      </c>
      <c r="N28" s="33">
        <v>18.040000000000006</v>
      </c>
      <c r="O28" s="30">
        <v>14.323</v>
      </c>
      <c r="P28" s="30">
        <v>12.081</v>
      </c>
      <c r="Q28" s="30">
        <v>9.4469999999999992</v>
      </c>
      <c r="R28" s="30">
        <v>7.0080000000000062</v>
      </c>
      <c r="S28" s="32">
        <v>6.1239999999999997</v>
      </c>
      <c r="T28" s="30">
        <v>5.7789999999999999</v>
      </c>
      <c r="U28" s="30">
        <v>5.444</v>
      </c>
      <c r="V28" s="33">
        <v>5.7679999999999998</v>
      </c>
      <c r="W28" s="30">
        <v>5.5709999999999997</v>
      </c>
      <c r="X28" s="30">
        <v>4.8049999999999997</v>
      </c>
      <c r="Y28" s="30">
        <v>4.22</v>
      </c>
      <c r="Z28" s="30">
        <v>4.4610000000000003</v>
      </c>
      <c r="AA28" s="32">
        <v>5.3129999999999997</v>
      </c>
      <c r="AB28" s="30">
        <v>5.266</v>
      </c>
      <c r="AC28" s="30">
        <v>4.3559999999999999</v>
      </c>
      <c r="AD28" s="33">
        <v>2.2599999999999998</v>
      </c>
      <c r="AE28" s="30">
        <v>5.1980000000000004</v>
      </c>
      <c r="AF28" s="30">
        <v>5.3159999999999998</v>
      </c>
      <c r="AG28" s="30">
        <v>4.7009999999999996</v>
      </c>
      <c r="AH28" s="30">
        <v>4.6930000000000014</v>
      </c>
      <c r="AI28" s="32">
        <v>5.0759999999999996</v>
      </c>
      <c r="AJ28" s="30">
        <v>3.8650000000000002</v>
      </c>
      <c r="AK28" s="30">
        <v>4.0220000000000002</v>
      </c>
      <c r="AL28" s="33">
        <v>4.1559999999999997</v>
      </c>
      <c r="AM28" s="32">
        <v>5.71</v>
      </c>
      <c r="AN28" s="30">
        <v>6.8289999999999997</v>
      </c>
      <c r="AO28" s="30">
        <v>7.4219999999999997</v>
      </c>
      <c r="AP28" s="33">
        <v>8.1289999999999996</v>
      </c>
      <c r="AQ28" s="32">
        <v>9</v>
      </c>
      <c r="AR28" s="30">
        <v>9</v>
      </c>
      <c r="AS28" s="30">
        <v>9</v>
      </c>
      <c r="AT28" s="33">
        <v>12</v>
      </c>
      <c r="AU28" s="32">
        <v>12</v>
      </c>
      <c r="AV28" s="30">
        <v>12</v>
      </c>
      <c r="AW28" s="30">
        <v>14</v>
      </c>
      <c r="AX28" s="33">
        <v>17</v>
      </c>
      <c r="AY28" s="32">
        <v>16</v>
      </c>
      <c r="AZ28" s="30">
        <v>15</v>
      </c>
      <c r="BA28" s="30">
        <v>17</v>
      </c>
      <c r="BB28" s="33">
        <v>20</v>
      </c>
      <c r="BC28" s="294">
        <f>BB28</f>
        <v>20</v>
      </c>
      <c r="BD28" s="53">
        <f t="shared" ref="BD28:BG28" si="87">BC28</f>
        <v>20</v>
      </c>
      <c r="BE28" s="53">
        <f t="shared" si="87"/>
        <v>20</v>
      </c>
      <c r="BF28" s="282">
        <f t="shared" si="87"/>
        <v>20</v>
      </c>
      <c r="BG28" s="294">
        <f t="shared" si="87"/>
        <v>20</v>
      </c>
      <c r="BH28" s="53">
        <f>BG28</f>
        <v>20</v>
      </c>
      <c r="BI28" s="53">
        <f>BH28</f>
        <v>20</v>
      </c>
      <c r="BJ28" s="282">
        <f>BI28</f>
        <v>20</v>
      </c>
      <c r="BK28" s="294">
        <f t="shared" ref="BK28:BN28" si="88">BK96</f>
        <v>28.806014424448026</v>
      </c>
      <c r="BL28" s="53">
        <f t="shared" si="88"/>
        <v>32.000794813218697</v>
      </c>
      <c r="BM28" s="53">
        <f t="shared" si="88"/>
        <v>34.84054581369076</v>
      </c>
      <c r="BN28" s="282">
        <f t="shared" si="88"/>
        <v>38.190483959651168</v>
      </c>
      <c r="BO28" s="131"/>
      <c r="BP28" s="59">
        <f>SUM(C28:F28)</f>
        <v>20.698</v>
      </c>
      <c r="BQ28" s="59">
        <f>SUM(G28:J28)</f>
        <v>41.82</v>
      </c>
      <c r="BR28" s="59">
        <f>SUM(K28:N28)</f>
        <v>64.289000000000001</v>
      </c>
      <c r="BS28" s="59">
        <f>SUM(O28:R28)</f>
        <v>42.859000000000009</v>
      </c>
      <c r="BT28" s="59">
        <f>SUM(S28:V28)</f>
        <v>23.114999999999998</v>
      </c>
      <c r="BU28" s="59">
        <f>SUM(W28:Z28)</f>
        <v>19.057000000000002</v>
      </c>
      <c r="BV28" s="59">
        <f>SUM(AA28:AD28)</f>
        <v>17.195</v>
      </c>
      <c r="BW28" s="59">
        <f>SUM(AE28:AH28)</f>
        <v>19.908000000000001</v>
      </c>
      <c r="BX28" s="59">
        <f>SUM(AI28:AL28)</f>
        <v>17.119</v>
      </c>
      <c r="BY28" s="176">
        <f>SUM(AM28:AP28)</f>
        <v>28.089999999999996</v>
      </c>
      <c r="BZ28" s="97">
        <f t="shared" ref="BZ28:BZ33" si="89">SUM(AQ28:AT28)</f>
        <v>39</v>
      </c>
      <c r="CA28" s="73">
        <f t="shared" si="86"/>
        <v>55</v>
      </c>
      <c r="CB28" s="73">
        <f>SUM(AY28:BB28)</f>
        <v>68</v>
      </c>
      <c r="CC28" s="73">
        <f>SUM(BC28:BF28)</f>
        <v>80</v>
      </c>
      <c r="CD28" s="73">
        <f>SUM(BG28:BJ28)</f>
        <v>80</v>
      </c>
      <c r="CE28" s="73">
        <f>SUM(BK28:BN28)</f>
        <v>133.83783901100867</v>
      </c>
      <c r="CF28" s="847"/>
      <c r="CG28" s="109"/>
      <c r="CY28"/>
      <c r="CZ28"/>
      <c r="DA28"/>
      <c r="DB28"/>
      <c r="DC28"/>
      <c r="DD28"/>
    </row>
    <row r="29" spans="1:108" s="5" customFormat="1">
      <c r="B29" s="5" t="s">
        <v>137</v>
      </c>
      <c r="C29" s="32">
        <v>-0.01</v>
      </c>
      <c r="D29" s="30">
        <v>-2E-3</v>
      </c>
      <c r="E29" s="30">
        <v>0</v>
      </c>
      <c r="F29" s="33">
        <v>-5.9999999999999991E-2</v>
      </c>
      <c r="G29" s="30">
        <v>-1E-3</v>
      </c>
      <c r="H29" s="30">
        <v>-6.0000000000000001E-3</v>
      </c>
      <c r="I29" s="30">
        <v>-2.1999999999999999E-2</v>
      </c>
      <c r="J29" s="30">
        <v>6.9999999999999975E-3</v>
      </c>
      <c r="K29" s="32">
        <v>0</v>
      </c>
      <c r="L29" s="30">
        <v>0</v>
      </c>
      <c r="M29" s="30">
        <v>0</v>
      </c>
      <c r="N29" s="33">
        <v>-5.3999999999999999E-2</v>
      </c>
      <c r="O29" s="30">
        <v>0</v>
      </c>
      <c r="P29" s="30">
        <v>0</v>
      </c>
      <c r="Q29" s="30">
        <v>0</v>
      </c>
      <c r="R29" s="30">
        <v>-0.40600000000000003</v>
      </c>
      <c r="S29" s="32">
        <v>0</v>
      </c>
      <c r="T29" s="30">
        <v>0</v>
      </c>
      <c r="U29" s="30">
        <v>0</v>
      </c>
      <c r="V29" s="33">
        <v>-3.32</v>
      </c>
      <c r="W29" s="30">
        <v>0</v>
      </c>
      <c r="X29" s="30">
        <v>0</v>
      </c>
      <c r="Y29" s="30">
        <v>0</v>
      </c>
      <c r="Z29" s="30">
        <v>-3.1269999999999998</v>
      </c>
      <c r="AA29" s="32">
        <v>0</v>
      </c>
      <c r="AB29" s="30">
        <v>0</v>
      </c>
      <c r="AC29" s="30">
        <v>0</v>
      </c>
      <c r="AD29" s="33">
        <v>0</v>
      </c>
      <c r="AE29" s="30">
        <v>0</v>
      </c>
      <c r="AF29" s="30">
        <v>0</v>
      </c>
      <c r="AG29" s="30">
        <v>0</v>
      </c>
      <c r="AH29" s="30">
        <v>-3.294</v>
      </c>
      <c r="AI29" s="32">
        <v>-0.85299999999999998</v>
      </c>
      <c r="AJ29" s="30">
        <v>0</v>
      </c>
      <c r="AK29" s="30">
        <v>0</v>
      </c>
      <c r="AL29" s="33">
        <v>-9.59</v>
      </c>
      <c r="AM29" s="32">
        <v>-11.471</v>
      </c>
      <c r="AN29" s="30">
        <v>-11.526</v>
      </c>
      <c r="AO29" s="30">
        <v>-11.542</v>
      </c>
      <c r="AP29" s="33">
        <v>-11.593999999999999</v>
      </c>
      <c r="AQ29" s="32">
        <v>-12</v>
      </c>
      <c r="AR29" s="30">
        <v>-12</v>
      </c>
      <c r="AS29" s="30">
        <v>-12</v>
      </c>
      <c r="AT29" s="33">
        <v>-11</v>
      </c>
      <c r="AU29" s="32">
        <v>-12</v>
      </c>
      <c r="AV29" s="30">
        <v>-12</v>
      </c>
      <c r="AW29" s="30">
        <v>-16</v>
      </c>
      <c r="AX29" s="33">
        <v>-18</v>
      </c>
      <c r="AY29" s="454">
        <v>-16</v>
      </c>
      <c r="AZ29" s="30">
        <v>-15</v>
      </c>
      <c r="BA29" s="30">
        <v>-15</v>
      </c>
      <c r="BB29" s="33">
        <v>-15</v>
      </c>
      <c r="BC29" s="374">
        <f t="shared" ref="BC29:BJ29" si="90">BC97</f>
        <v>-19.627499999999998</v>
      </c>
      <c r="BD29" s="53">
        <f t="shared" si="90"/>
        <v>-19.627499999999998</v>
      </c>
      <c r="BE29" s="53">
        <f t="shared" si="90"/>
        <v>-19.627499999999998</v>
      </c>
      <c r="BF29" s="282">
        <f t="shared" si="90"/>
        <v>-19.627499999999998</v>
      </c>
      <c r="BG29" s="374">
        <f t="shared" si="90"/>
        <v>-19.627499999999998</v>
      </c>
      <c r="BH29" s="53">
        <f t="shared" si="90"/>
        <v>-19.627499999999998</v>
      </c>
      <c r="BI29" s="53">
        <f t="shared" si="90"/>
        <v>-19.627499999999998</v>
      </c>
      <c r="BJ29" s="282">
        <f t="shared" si="90"/>
        <v>-19.627499999999998</v>
      </c>
      <c r="BK29" s="374">
        <f t="shared" ref="BK29:BN29" si="91">BK97</f>
        <v>-19.627499999999998</v>
      </c>
      <c r="BL29" s="53">
        <f t="shared" si="91"/>
        <v>-19.627499999999998</v>
      </c>
      <c r="BM29" s="53">
        <f t="shared" si="91"/>
        <v>-19.627499999999998</v>
      </c>
      <c r="BN29" s="282">
        <f t="shared" si="91"/>
        <v>-19.627499999999998</v>
      </c>
      <c r="BO29" s="131"/>
      <c r="BP29" s="59">
        <f>SUM(C29:F29)</f>
        <v>-7.1999999999999995E-2</v>
      </c>
      <c r="BQ29" s="59">
        <f>SUM(G29:J29)</f>
        <v>-2.1999999999999999E-2</v>
      </c>
      <c r="BR29" s="59">
        <f>SUM(K29:N29)</f>
        <v>-5.3999999999999999E-2</v>
      </c>
      <c r="BS29" s="59">
        <f>SUM(O29:R29)</f>
        <v>-0.40600000000000003</v>
      </c>
      <c r="BT29" s="59">
        <f>SUM(S29:V29)</f>
        <v>-3.32</v>
      </c>
      <c r="BU29" s="59">
        <f>SUM(W29:Z29)</f>
        <v>-3.1269999999999998</v>
      </c>
      <c r="BV29" s="59">
        <f>SUM(AA29:AD29)</f>
        <v>0</v>
      </c>
      <c r="BW29" s="59">
        <f>SUM(AE29:AH29)</f>
        <v>-3.294</v>
      </c>
      <c r="BX29" s="59">
        <f>SUM(AI29:AL29)</f>
        <v>-10.443</v>
      </c>
      <c r="BY29" s="176">
        <f>SUM(AM29:AP29)</f>
        <v>-46.133000000000003</v>
      </c>
      <c r="BZ29" s="97">
        <f t="shared" si="89"/>
        <v>-47</v>
      </c>
      <c r="CA29" s="73">
        <f t="shared" si="86"/>
        <v>-58</v>
      </c>
      <c r="CB29" s="73">
        <f>SUM(AY29:BB29)</f>
        <v>-61</v>
      </c>
      <c r="CC29" s="73">
        <f>SUM(BC29:BF29)</f>
        <v>-78.509999999999991</v>
      </c>
      <c r="CD29" s="73">
        <f>SUM(BG29:BJ29)</f>
        <v>-78.509999999999991</v>
      </c>
      <c r="CE29" s="73">
        <f>SUM(BK29:BN29)</f>
        <v>-78.509999999999991</v>
      </c>
      <c r="CF29" s="847"/>
      <c r="CG29" s="109"/>
      <c r="CY29"/>
      <c r="CZ29"/>
      <c r="DA29"/>
      <c r="DB29"/>
      <c r="DC29"/>
      <c r="DD29"/>
    </row>
    <row r="30" spans="1:108" s="9" customFormat="1">
      <c r="B30" s="249" t="s">
        <v>144</v>
      </c>
      <c r="C30" s="250">
        <f>C24+SUM(C27:C29)</f>
        <v>80.555000000000021</v>
      </c>
      <c r="D30" s="251">
        <f t="shared" ref="D30:BY30" si="92">D24+SUM(D27:D29)</f>
        <v>82.812000000000012</v>
      </c>
      <c r="E30" s="251">
        <f t="shared" si="92"/>
        <v>75.717999999999947</v>
      </c>
      <c r="F30" s="252">
        <f t="shared" si="92"/>
        <v>117.70300000000012</v>
      </c>
      <c r="G30" s="251">
        <f t="shared" si="92"/>
        <v>109.248</v>
      </c>
      <c r="H30" s="251">
        <f t="shared" si="92"/>
        <v>105.22599999999997</v>
      </c>
      <c r="I30" s="251">
        <f t="shared" si="92"/>
        <v>128.327</v>
      </c>
      <c r="J30" s="251">
        <f t="shared" si="92"/>
        <v>151.55900000000014</v>
      </c>
      <c r="K30" s="250">
        <f t="shared" si="92"/>
        <v>153.78899999999999</v>
      </c>
      <c r="L30" s="251">
        <f t="shared" si="92"/>
        <v>200.85100000000003</v>
      </c>
      <c r="M30" s="251">
        <f t="shared" si="92"/>
        <v>266.79900000000004</v>
      </c>
      <c r="N30" s="252">
        <f t="shared" si="92"/>
        <v>279.90199999999982</v>
      </c>
      <c r="O30" s="251">
        <f t="shared" si="92"/>
        <v>213.01799999999992</v>
      </c>
      <c r="P30" s="251">
        <f t="shared" si="92"/>
        <v>-146.59999999999994</v>
      </c>
      <c r="Q30" s="251">
        <f t="shared" si="92"/>
        <v>61.002999999999936</v>
      </c>
      <c r="R30" s="251">
        <f t="shared" si="92"/>
        <v>-170.37500000000043</v>
      </c>
      <c r="S30" s="250">
        <f t="shared" si="92"/>
        <v>-224.82100000000008</v>
      </c>
      <c r="T30" s="251">
        <f t="shared" si="92"/>
        <v>-107.10100000000003</v>
      </c>
      <c r="U30" s="251">
        <f t="shared" si="92"/>
        <v>110.20700000000002</v>
      </c>
      <c r="V30" s="252">
        <f t="shared" si="92"/>
        <v>139.42100000000028</v>
      </c>
      <c r="W30" s="251">
        <f t="shared" si="92"/>
        <v>150.72499999999997</v>
      </c>
      <c r="X30" s="251">
        <f t="shared" si="92"/>
        <v>-169.04700000000011</v>
      </c>
      <c r="Y30" s="251">
        <f t="shared" si="92"/>
        <v>103.58500000000001</v>
      </c>
      <c r="Z30" s="251">
        <f t="shared" si="92"/>
        <v>185.90599999999975</v>
      </c>
      <c r="AA30" s="250">
        <f t="shared" si="92"/>
        <v>156.48499999999996</v>
      </c>
      <c r="AB30" s="251">
        <f t="shared" si="92"/>
        <v>177.54700000000008</v>
      </c>
      <c r="AC30" s="251">
        <f t="shared" si="92"/>
        <v>204.78700000000009</v>
      </c>
      <c r="AD30" s="252">
        <f t="shared" si="92"/>
        <v>124.57699999999996</v>
      </c>
      <c r="AE30" s="251">
        <f t="shared" si="92"/>
        <v>77.09499999999997</v>
      </c>
      <c r="AF30" s="251">
        <f t="shared" si="92"/>
        <v>145.20800000000006</v>
      </c>
      <c r="AG30" s="251">
        <f t="shared" si="92"/>
        <v>253.62799999999987</v>
      </c>
      <c r="AH30" s="251">
        <f t="shared" si="92"/>
        <v>186.1080000000002</v>
      </c>
      <c r="AI30" s="250">
        <f>AI24+SUM(AI27:AI29)</f>
        <v>88.061999999999955</v>
      </c>
      <c r="AJ30" s="251">
        <f t="shared" si="92"/>
        <v>111.82</v>
      </c>
      <c r="AK30" s="251">
        <f t="shared" si="92"/>
        <v>141.48400000000012</v>
      </c>
      <c r="AL30" s="252">
        <f t="shared" si="92"/>
        <v>168.88800000000055</v>
      </c>
      <c r="AM30" s="250">
        <f t="shared" si="92"/>
        <v>163.28200000000004</v>
      </c>
      <c r="AN30" s="251">
        <f t="shared" si="92"/>
        <v>154.62500000000003</v>
      </c>
      <c r="AO30" s="251">
        <f t="shared" ref="AO30:AQ30" si="93">AO24+SUM(AO27:AO29)</f>
        <v>209.07000000000011</v>
      </c>
      <c r="AP30" s="252">
        <f t="shared" si="93"/>
        <v>227.85899999999998</v>
      </c>
      <c r="AQ30" s="250">
        <f t="shared" si="93"/>
        <v>172</v>
      </c>
      <c r="AR30" s="251">
        <f t="shared" ref="AR30:AS30" si="94">AR24+SUM(AR27:AR29)</f>
        <v>72</v>
      </c>
      <c r="AS30" s="251">
        <f t="shared" si="94"/>
        <v>245</v>
      </c>
      <c r="AT30" s="252">
        <f>AT24+SUM(AT27:AT29)</f>
        <v>254</v>
      </c>
      <c r="AU30" s="250">
        <f t="shared" ref="AU30:AW30" si="95">AU24+SUM(AU27:AU29)</f>
        <v>241</v>
      </c>
      <c r="AV30" s="251">
        <f t="shared" si="95"/>
        <v>317</v>
      </c>
      <c r="AW30" s="251">
        <f t="shared" si="95"/>
        <v>621</v>
      </c>
      <c r="AX30" s="252">
        <f>AX24+SUM(AX27:AX29)</f>
        <v>726</v>
      </c>
      <c r="AY30" s="869">
        <f t="shared" ref="AY30:AZ30" si="96">AY24+SUM(AY27:AY29)</f>
        <v>536</v>
      </c>
      <c r="AZ30" s="251">
        <f t="shared" si="96"/>
        <v>684</v>
      </c>
      <c r="BA30" s="251">
        <f t="shared" ref="BA30" si="97">BA24+SUM(BA27:BA29)</f>
        <v>896</v>
      </c>
      <c r="BB30" s="252">
        <f>BB24+SUM(BB27:BB29)</f>
        <v>1078</v>
      </c>
      <c r="BC30" s="869">
        <f t="shared" ref="BC30:BJ30" si="98">BC24+SUM(BC27:BC29)</f>
        <v>1065.9908651000774</v>
      </c>
      <c r="BD30" s="251">
        <f t="shared" si="98"/>
        <v>1172.3850746410958</v>
      </c>
      <c r="BE30" s="251">
        <f t="shared" si="98"/>
        <v>1287.6332195811956</v>
      </c>
      <c r="BF30" s="252">
        <f t="shared" si="98"/>
        <v>1339.7617369645618</v>
      </c>
      <c r="BG30" s="869">
        <f t="shared" si="98"/>
        <v>1174.7612747710614</v>
      </c>
      <c r="BH30" s="251">
        <f t="shared" si="98"/>
        <v>1398.5357485131694</v>
      </c>
      <c r="BI30" s="251">
        <f t="shared" si="98"/>
        <v>1560.9685979808296</v>
      </c>
      <c r="BJ30" s="252">
        <f t="shared" si="98"/>
        <v>1588.6419143783567</v>
      </c>
      <c r="BK30" s="869">
        <f t="shared" ref="BK30:BN30" si="99">BK24+SUM(BK27:BK29)</f>
        <v>1430.920651175584</v>
      </c>
      <c r="BL30" s="251">
        <f t="shared" si="99"/>
        <v>1698.7813327519534</v>
      </c>
      <c r="BM30" s="251">
        <f t="shared" si="99"/>
        <v>1874.464561008318</v>
      </c>
      <c r="BN30" s="252">
        <f t="shared" si="99"/>
        <v>1929.7494106202362</v>
      </c>
      <c r="BO30" s="89"/>
      <c r="BP30" s="251">
        <f t="shared" si="92"/>
        <v>356.78800000000012</v>
      </c>
      <c r="BQ30" s="251">
        <f t="shared" si="92"/>
        <v>494.36000000000013</v>
      </c>
      <c r="BR30" s="251">
        <f t="shared" si="92"/>
        <v>901.34099999999978</v>
      </c>
      <c r="BS30" s="251">
        <f t="shared" si="92"/>
        <v>-42.954000000000264</v>
      </c>
      <c r="BT30" s="251">
        <f t="shared" si="92"/>
        <v>-82.293999999999713</v>
      </c>
      <c r="BU30" s="251">
        <f t="shared" si="92"/>
        <v>271.16899999999964</v>
      </c>
      <c r="BV30" s="251">
        <f t="shared" si="92"/>
        <v>663.39600000000041</v>
      </c>
      <c r="BW30" s="251">
        <f t="shared" si="92"/>
        <v>662.03899999999999</v>
      </c>
      <c r="BX30" s="251">
        <f t="shared" si="92"/>
        <v>510.25400000000076</v>
      </c>
      <c r="BY30" s="559">
        <f t="shared" si="92"/>
        <v>754.83600000000001</v>
      </c>
      <c r="BZ30" s="559">
        <f t="shared" si="89"/>
        <v>743</v>
      </c>
      <c r="CA30" s="251">
        <f t="shared" si="86"/>
        <v>1905</v>
      </c>
      <c r="CB30" s="251">
        <f>SUM(AY30:BB30)</f>
        <v>3194</v>
      </c>
      <c r="CC30" s="251">
        <f>SUM(BC30:BF30)</f>
        <v>4865.770896286931</v>
      </c>
      <c r="CD30" s="251">
        <f>SUM(BG30:BJ30)</f>
        <v>5722.9075356434168</v>
      </c>
      <c r="CE30" s="251">
        <f>SUM(BK30:BN30)</f>
        <v>6933.9159555560909</v>
      </c>
      <c r="CF30" s="847"/>
      <c r="CG30" s="109"/>
      <c r="CY30"/>
      <c r="CZ30"/>
      <c r="DA30"/>
      <c r="DB30"/>
      <c r="DC30"/>
      <c r="DD30"/>
    </row>
    <row r="31" spans="1:108" s="5" customFormat="1">
      <c r="B31" s="5" t="s">
        <v>139</v>
      </c>
      <c r="C31" s="32">
        <v>16.111000000000001</v>
      </c>
      <c r="D31" s="30">
        <v>8.9789999999999992</v>
      </c>
      <c r="E31" s="30">
        <v>11.271000000000001</v>
      </c>
      <c r="F31" s="33">
        <v>19.251000000000001</v>
      </c>
      <c r="G31" s="30">
        <v>18.571999999999999</v>
      </c>
      <c r="H31" s="30">
        <v>17.768999999999998</v>
      </c>
      <c r="I31" s="30">
        <v>21.815999999999999</v>
      </c>
      <c r="J31" s="30">
        <v>-12.650999999999996</v>
      </c>
      <c r="K31" s="32">
        <v>21.53</v>
      </c>
      <c r="L31" s="30">
        <v>28.119</v>
      </c>
      <c r="M31" s="30">
        <v>31.138000000000002</v>
      </c>
      <c r="N31" s="33">
        <v>22.908999999999992</v>
      </c>
      <c r="O31" s="30">
        <v>36.213000000000001</v>
      </c>
      <c r="P31" s="30">
        <v>-25.670999999999999</v>
      </c>
      <c r="Q31" s="30">
        <v>-0.745</v>
      </c>
      <c r="R31" s="30">
        <v>-22.71</v>
      </c>
      <c r="S31" s="32">
        <v>-23.483000000000001</v>
      </c>
      <c r="T31" s="30">
        <v>-1.7989999999999999</v>
      </c>
      <c r="U31" s="30">
        <v>2.63</v>
      </c>
      <c r="V31" s="33">
        <v>8.3449999999999989</v>
      </c>
      <c r="W31" s="30">
        <v>13.131</v>
      </c>
      <c r="X31" s="30">
        <v>-28.085999999999999</v>
      </c>
      <c r="Y31" s="30">
        <v>18.722999999999999</v>
      </c>
      <c r="Z31" s="30">
        <v>14.254999999999999</v>
      </c>
      <c r="AA31" s="32">
        <v>21.265999999999998</v>
      </c>
      <c r="AB31" s="30">
        <v>25.974</v>
      </c>
      <c r="AC31" s="30">
        <v>26.513999999999999</v>
      </c>
      <c r="AD31" s="33">
        <v>8.5519999999999996</v>
      </c>
      <c r="AE31" s="30">
        <v>16.658000000000001</v>
      </c>
      <c r="AF31" s="30">
        <v>26.161999999999999</v>
      </c>
      <c r="AG31" s="30">
        <v>44.548000000000002</v>
      </c>
      <c r="AH31" s="30">
        <v>12.134999999999998</v>
      </c>
      <c r="AI31" s="32">
        <v>10.170999999999999</v>
      </c>
      <c r="AJ31" s="30">
        <v>15.372</v>
      </c>
      <c r="AK31" s="30">
        <v>22.75</v>
      </c>
      <c r="AL31" s="33">
        <v>21.970999999999997</v>
      </c>
      <c r="AM31" s="32">
        <v>26.765999999999998</v>
      </c>
      <c r="AN31" s="30">
        <v>26.649000000000001</v>
      </c>
      <c r="AO31" s="30">
        <v>36.103000000000002</v>
      </c>
      <c r="AP31" s="33">
        <v>34.731000000000002</v>
      </c>
      <c r="AQ31" s="32">
        <v>38</v>
      </c>
      <c r="AR31" s="30">
        <v>46</v>
      </c>
      <c r="AS31" s="30">
        <v>-1</v>
      </c>
      <c r="AT31" s="33">
        <v>46</v>
      </c>
      <c r="AU31" s="32">
        <v>45</v>
      </c>
      <c r="AV31" s="30">
        <v>64</v>
      </c>
      <c r="AW31" s="30">
        <v>79</v>
      </c>
      <c r="AX31" s="33">
        <v>71</v>
      </c>
      <c r="AY31" s="454">
        <v>29</v>
      </c>
      <c r="AZ31" s="30">
        <v>101</v>
      </c>
      <c r="BA31" s="30">
        <v>58</v>
      </c>
      <c r="BB31" s="33">
        <v>-40</v>
      </c>
      <c r="BC31" s="374">
        <f t="shared" ref="BC31:BJ31" si="100">BC30*BC32</f>
        <v>127.91890381200928</v>
      </c>
      <c r="BD31" s="53">
        <f t="shared" si="100"/>
        <v>140.68620895693149</v>
      </c>
      <c r="BE31" s="73">
        <f t="shared" si="100"/>
        <v>154.51598634974346</v>
      </c>
      <c r="BF31" s="238">
        <f t="shared" si="100"/>
        <v>160.77140843574742</v>
      </c>
      <c r="BG31" s="374">
        <f t="shared" si="100"/>
        <v>140.97135297252737</v>
      </c>
      <c r="BH31" s="53">
        <f t="shared" si="100"/>
        <v>167.82428982158032</v>
      </c>
      <c r="BI31" s="73">
        <f t="shared" si="100"/>
        <v>187.31623175769954</v>
      </c>
      <c r="BJ31" s="238">
        <f t="shared" si="100"/>
        <v>190.63702972540278</v>
      </c>
      <c r="BK31" s="374">
        <f t="shared" ref="BK31:BN31" si="101">BK30*BK32</f>
        <v>171.71047814107007</v>
      </c>
      <c r="BL31" s="53">
        <f t="shared" si="101"/>
        <v>203.85375993023439</v>
      </c>
      <c r="BM31" s="73">
        <f t="shared" si="101"/>
        <v>224.93574732099816</v>
      </c>
      <c r="BN31" s="238">
        <f t="shared" si="101"/>
        <v>231.56992927442832</v>
      </c>
      <c r="BO31" s="131"/>
      <c r="BP31" s="59">
        <f>SUM(C31:F31)</f>
        <v>55.612000000000009</v>
      </c>
      <c r="BQ31" s="59">
        <f>SUM(G31:J31)</f>
        <v>45.506</v>
      </c>
      <c r="BR31" s="59">
        <f>SUM(K31:N31)</f>
        <v>103.696</v>
      </c>
      <c r="BS31" s="59">
        <f>SUM(O31:R31)</f>
        <v>-12.912999999999998</v>
      </c>
      <c r="BT31" s="59">
        <f>SUM(S31:V31)</f>
        <v>-14.307000000000002</v>
      </c>
      <c r="BU31" s="59">
        <f>SUM(W31:Z31)</f>
        <v>18.023</v>
      </c>
      <c r="BV31" s="59">
        <f>SUM(AA31:AD31)</f>
        <v>82.305999999999983</v>
      </c>
      <c r="BW31" s="59">
        <f>SUM(AE31:AH31)</f>
        <v>99.502999999999986</v>
      </c>
      <c r="BX31" s="59">
        <f>SUM(AI31:AL31)</f>
        <v>70.263999999999996</v>
      </c>
      <c r="BY31" s="176">
        <f>SUM(AM31:AP31)</f>
        <v>124.249</v>
      </c>
      <c r="BZ31" s="97">
        <f t="shared" si="89"/>
        <v>129</v>
      </c>
      <c r="CA31" s="73">
        <f t="shared" si="86"/>
        <v>259</v>
      </c>
      <c r="CB31" s="73">
        <f>SUM(AY31:BB31)</f>
        <v>148</v>
      </c>
      <c r="CC31" s="73">
        <f>SUM(BC31:BF31)</f>
        <v>583.89250755443163</v>
      </c>
      <c r="CD31" s="73">
        <f>SUM(BG31:BJ31)</f>
        <v>686.74890427721004</v>
      </c>
      <c r="CE31" s="73">
        <f>SUM(BK31:BN31)</f>
        <v>832.06991466673094</v>
      </c>
      <c r="CF31" s="847"/>
      <c r="CG31" s="109"/>
      <c r="CY31"/>
      <c r="CZ31"/>
      <c r="DA31"/>
      <c r="DB31"/>
      <c r="DC31"/>
      <c r="DD31"/>
    </row>
    <row r="32" spans="1:108" s="5" customFormat="1">
      <c r="B32" s="91" t="s">
        <v>215</v>
      </c>
      <c r="C32" s="40">
        <f>C31/C30</f>
        <v>0.19999999999999996</v>
      </c>
      <c r="D32" s="41">
        <f t="shared" ref="D32:CA32" si="102">D31/D30</f>
        <v>0.10842631502680769</v>
      </c>
      <c r="E32" s="41">
        <f t="shared" si="102"/>
        <v>0.14885496183206118</v>
      </c>
      <c r="F32" s="42">
        <f t="shared" si="102"/>
        <v>0.16355572925074113</v>
      </c>
      <c r="G32" s="41">
        <f t="shared" si="102"/>
        <v>0.1699985354422964</v>
      </c>
      <c r="H32" s="41">
        <f t="shared" si="102"/>
        <v>0.16886510938361243</v>
      </c>
      <c r="I32" s="41">
        <f t="shared" si="102"/>
        <v>0.17000319496286828</v>
      </c>
      <c r="J32" s="41">
        <f t="shared" si="102"/>
        <v>-8.3472443074974007E-2</v>
      </c>
      <c r="K32" s="40">
        <f t="shared" si="102"/>
        <v>0.1399970088888022</v>
      </c>
      <c r="L32" s="41">
        <f t="shared" si="102"/>
        <v>0.13999930296588015</v>
      </c>
      <c r="M32" s="41">
        <f t="shared" si="102"/>
        <v>0.11670958286950101</v>
      </c>
      <c r="N32" s="42">
        <f t="shared" si="102"/>
        <v>8.1846503419053834E-2</v>
      </c>
      <c r="O32" s="41">
        <f t="shared" si="102"/>
        <v>0.16999971833366201</v>
      </c>
      <c r="P32" s="41">
        <f t="shared" si="102"/>
        <v>0.17510914051841753</v>
      </c>
      <c r="Q32" s="41">
        <f t="shared" si="102"/>
        <v>-1.2212514138648932E-2</v>
      </c>
      <c r="R32" s="41">
        <f t="shared" si="102"/>
        <v>0.13329420396184855</v>
      </c>
      <c r="S32" s="40">
        <f t="shared" si="102"/>
        <v>0.10445198624683634</v>
      </c>
      <c r="T32" s="41">
        <f t="shared" si="102"/>
        <v>1.6797228784044962E-2</v>
      </c>
      <c r="U32" s="41">
        <f t="shared" si="102"/>
        <v>2.386418285589844E-2</v>
      </c>
      <c r="V32" s="42">
        <f t="shared" si="102"/>
        <v>5.9854684731855186E-2</v>
      </c>
      <c r="W32" s="41">
        <f t="shared" si="102"/>
        <v>8.7118925194891381E-2</v>
      </c>
      <c r="X32" s="41">
        <f t="shared" si="102"/>
        <v>0.16614314362277935</v>
      </c>
      <c r="Y32" s="41">
        <f t="shared" si="102"/>
        <v>0.18075010860645843</v>
      </c>
      <c r="Z32" s="41">
        <f t="shared" si="102"/>
        <v>7.6678536464665034E-2</v>
      </c>
      <c r="AA32" s="40">
        <f t="shared" si="102"/>
        <v>0.13589800939387164</v>
      </c>
      <c r="AB32" s="41">
        <f t="shared" si="102"/>
        <v>0.14629365745408252</v>
      </c>
      <c r="AC32" s="41">
        <f t="shared" si="102"/>
        <v>0.12947110900594269</v>
      </c>
      <c r="AD32" s="42">
        <f t="shared" si="102"/>
        <v>6.864830586705413E-2</v>
      </c>
      <c r="AE32" s="41">
        <f t="shared" si="102"/>
        <v>0.21607108113366635</v>
      </c>
      <c r="AF32" s="41">
        <f t="shared" si="102"/>
        <v>0.18016913668668386</v>
      </c>
      <c r="AG32" s="41">
        <f t="shared" si="102"/>
        <v>0.17564306780008526</v>
      </c>
      <c r="AH32" s="41">
        <f t="shared" si="102"/>
        <v>6.5204075053194838E-2</v>
      </c>
      <c r="AI32" s="40">
        <f t="shared" si="102"/>
        <v>0.11549817174263592</v>
      </c>
      <c r="AJ32" s="41">
        <f t="shared" si="102"/>
        <v>0.13747093543194419</v>
      </c>
      <c r="AK32" s="41">
        <f t="shared" si="102"/>
        <v>0.16079556698990685</v>
      </c>
      <c r="AL32" s="42">
        <f t="shared" si="102"/>
        <v>0.13009213206385253</v>
      </c>
      <c r="AM32" s="40">
        <f t="shared" si="102"/>
        <v>0.16392498866990846</v>
      </c>
      <c r="AN32" s="41">
        <f t="shared" si="102"/>
        <v>0.1723459983831851</v>
      </c>
      <c r="AO32" s="41">
        <f>AO31/AO30</f>
        <v>0.17268379011814217</v>
      </c>
      <c r="AP32" s="42">
        <f>AP31/AP30</f>
        <v>0.1524232090898319</v>
      </c>
      <c r="AQ32" s="40">
        <f>AQ31/AQ30</f>
        <v>0.22093023255813954</v>
      </c>
      <c r="AR32" s="41">
        <f t="shared" ref="AR32" si="103">AR31/AR30</f>
        <v>0.63888888888888884</v>
      </c>
      <c r="AS32" s="41">
        <f>AS31/AS30</f>
        <v>-4.0816326530612249E-3</v>
      </c>
      <c r="AT32" s="42">
        <f>AT31/AT30</f>
        <v>0.18110236220472442</v>
      </c>
      <c r="AU32" s="40">
        <f>AU31/AU30</f>
        <v>0.18672199170124482</v>
      </c>
      <c r="AV32" s="41">
        <f t="shared" ref="AV32" si="104">AV31/AV30</f>
        <v>0.20189274447949526</v>
      </c>
      <c r="AW32" s="41">
        <f>AW31/AW30</f>
        <v>0.12721417069243157</v>
      </c>
      <c r="AX32" s="42">
        <f>AX31/AX30</f>
        <v>9.7796143250688708E-2</v>
      </c>
      <c r="AY32" s="870">
        <f>AY31/AY30</f>
        <v>5.4104477611940295E-2</v>
      </c>
      <c r="AZ32" s="41">
        <f t="shared" ref="AZ32:BA32" si="105">AZ31/AZ30</f>
        <v>0.1476608187134503</v>
      </c>
      <c r="BA32" s="41">
        <f t="shared" si="105"/>
        <v>6.4732142857142863E-2</v>
      </c>
      <c r="BB32" s="42">
        <f>BB31/BB30</f>
        <v>-3.7105751391465679E-2</v>
      </c>
      <c r="BC32" s="1008">
        <v>0.12</v>
      </c>
      <c r="BD32" s="1009">
        <f t="shared" ref="BD32:BF32" si="106">BC32</f>
        <v>0.12</v>
      </c>
      <c r="BE32" s="1009">
        <f t="shared" si="106"/>
        <v>0.12</v>
      </c>
      <c r="BF32" s="1009">
        <f t="shared" si="106"/>
        <v>0.12</v>
      </c>
      <c r="BG32" s="1008">
        <v>0.12</v>
      </c>
      <c r="BH32" s="1009">
        <f t="shared" ref="BH32:BJ32" si="107">BG32</f>
        <v>0.12</v>
      </c>
      <c r="BI32" s="1009">
        <f t="shared" si="107"/>
        <v>0.12</v>
      </c>
      <c r="BJ32" s="1009">
        <f t="shared" si="107"/>
        <v>0.12</v>
      </c>
      <c r="BK32" s="987">
        <v>0.12</v>
      </c>
      <c r="BL32" s="185">
        <f t="shared" ref="BE32:BN32" si="108">BK32</f>
        <v>0.12</v>
      </c>
      <c r="BM32" s="185">
        <f t="shared" si="108"/>
        <v>0.12</v>
      </c>
      <c r="BN32" s="185">
        <f t="shared" si="108"/>
        <v>0.12</v>
      </c>
      <c r="BO32" s="132"/>
      <c r="BP32" s="41">
        <f t="shared" si="102"/>
        <v>0.15586847091269884</v>
      </c>
      <c r="BQ32" s="41">
        <f t="shared" si="102"/>
        <v>9.2050327696415538E-2</v>
      </c>
      <c r="BR32" s="41">
        <f t="shared" si="102"/>
        <v>0.11504635870330987</v>
      </c>
      <c r="BS32" s="41">
        <f t="shared" si="102"/>
        <v>0.30062392326674858</v>
      </c>
      <c r="BT32" s="41">
        <f t="shared" si="102"/>
        <v>0.1738522857073426</v>
      </c>
      <c r="BU32" s="41">
        <f t="shared" si="102"/>
        <v>6.646408697159345E-2</v>
      </c>
      <c r="BV32" s="41">
        <f t="shared" si="102"/>
        <v>0.12406767601854689</v>
      </c>
      <c r="BW32" s="41">
        <f t="shared" si="102"/>
        <v>0.15029779212402894</v>
      </c>
      <c r="BX32" s="41">
        <f t="shared" si="102"/>
        <v>0.13770396704386423</v>
      </c>
      <c r="BY32" s="41">
        <f t="shared" si="102"/>
        <v>0.16460396695441129</v>
      </c>
      <c r="BZ32" s="41">
        <f t="shared" si="102"/>
        <v>0.17362045760430686</v>
      </c>
      <c r="CA32" s="41">
        <f t="shared" si="102"/>
        <v>0.13595800524934384</v>
      </c>
      <c r="CB32" s="41">
        <f t="shared" ref="CB32:CC32" si="109">CB31/CB30</f>
        <v>4.6336881653099564E-2</v>
      </c>
      <c r="CC32" s="41">
        <f t="shared" si="109"/>
        <v>0.11999999999999998</v>
      </c>
      <c r="CD32" s="41">
        <f t="shared" ref="CD32:CE32" si="110">CD31/CD30</f>
        <v>0.12000000000000001</v>
      </c>
      <c r="CE32" s="41">
        <f t="shared" si="110"/>
        <v>0.12000000000000001</v>
      </c>
      <c r="CF32" s="847"/>
      <c r="CG32" s="109"/>
      <c r="CH32" s="14"/>
      <c r="CY32"/>
      <c r="CZ32"/>
      <c r="DA32"/>
      <c r="DB32"/>
      <c r="DC32"/>
      <c r="DD32"/>
    </row>
    <row r="33" spans="1:108" s="5" customFormat="1">
      <c r="B33" s="249" t="s">
        <v>140</v>
      </c>
      <c r="C33" s="250">
        <f>C30-C31</f>
        <v>64.444000000000017</v>
      </c>
      <c r="D33" s="251">
        <f t="shared" ref="D33:AN33" si="111">D30-D31</f>
        <v>73.833000000000013</v>
      </c>
      <c r="E33" s="251">
        <f t="shared" si="111"/>
        <v>64.446999999999946</v>
      </c>
      <c r="F33" s="252">
        <f t="shared" si="111"/>
        <v>98.452000000000112</v>
      </c>
      <c r="G33" s="251">
        <f t="shared" si="111"/>
        <v>90.676000000000002</v>
      </c>
      <c r="H33" s="251">
        <f t="shared" si="111"/>
        <v>87.456999999999965</v>
      </c>
      <c r="I33" s="251">
        <f t="shared" si="111"/>
        <v>106.511</v>
      </c>
      <c r="J33" s="251">
        <f t="shared" si="111"/>
        <v>164.21000000000015</v>
      </c>
      <c r="K33" s="250">
        <f t="shared" si="111"/>
        <v>132.25899999999999</v>
      </c>
      <c r="L33" s="251">
        <f t="shared" si="111"/>
        <v>172.73200000000003</v>
      </c>
      <c r="M33" s="251">
        <f t="shared" si="111"/>
        <v>235.66100000000003</v>
      </c>
      <c r="N33" s="252">
        <f t="shared" si="111"/>
        <v>256.99299999999982</v>
      </c>
      <c r="O33" s="251">
        <f t="shared" si="111"/>
        <v>176.80499999999992</v>
      </c>
      <c r="P33" s="251">
        <f t="shared" si="111"/>
        <v>-120.92899999999995</v>
      </c>
      <c r="Q33" s="251">
        <f t="shared" si="111"/>
        <v>61.747999999999934</v>
      </c>
      <c r="R33" s="251">
        <f t="shared" si="111"/>
        <v>-147.66500000000042</v>
      </c>
      <c r="S33" s="250">
        <f t="shared" si="111"/>
        <v>-201.33800000000008</v>
      </c>
      <c r="T33" s="251">
        <f t="shared" si="111"/>
        <v>-105.30200000000002</v>
      </c>
      <c r="U33" s="251">
        <f t="shared" si="111"/>
        <v>107.57700000000003</v>
      </c>
      <c r="V33" s="252">
        <f t="shared" si="111"/>
        <v>131.07600000000028</v>
      </c>
      <c r="W33" s="251">
        <f t="shared" si="111"/>
        <v>137.59399999999997</v>
      </c>
      <c r="X33" s="251">
        <f t="shared" si="111"/>
        <v>-140.96100000000013</v>
      </c>
      <c r="Y33" s="251">
        <f t="shared" si="111"/>
        <v>84.862000000000009</v>
      </c>
      <c r="Z33" s="251">
        <f t="shared" si="111"/>
        <v>171.65099999999975</v>
      </c>
      <c r="AA33" s="250">
        <f t="shared" si="111"/>
        <v>135.21899999999997</v>
      </c>
      <c r="AB33" s="251">
        <f t="shared" si="111"/>
        <v>151.57300000000009</v>
      </c>
      <c r="AC33" s="251">
        <f t="shared" si="111"/>
        <v>178.27300000000008</v>
      </c>
      <c r="AD33" s="252">
        <f t="shared" si="111"/>
        <v>116.02499999999995</v>
      </c>
      <c r="AE33" s="251">
        <f t="shared" si="111"/>
        <v>60.436999999999969</v>
      </c>
      <c r="AF33" s="251">
        <f t="shared" si="111"/>
        <v>119.04600000000005</v>
      </c>
      <c r="AG33" s="251">
        <f t="shared" si="111"/>
        <v>209.07999999999987</v>
      </c>
      <c r="AH33" s="251">
        <f t="shared" si="111"/>
        <v>173.97300000000021</v>
      </c>
      <c r="AI33" s="250">
        <f t="shared" si="111"/>
        <v>77.890999999999963</v>
      </c>
      <c r="AJ33" s="251">
        <f t="shared" si="111"/>
        <v>96.447999999999993</v>
      </c>
      <c r="AK33" s="251">
        <f t="shared" si="111"/>
        <v>118.73400000000012</v>
      </c>
      <c r="AL33" s="252">
        <f t="shared" si="111"/>
        <v>146.91700000000054</v>
      </c>
      <c r="AM33" s="250">
        <f t="shared" si="111"/>
        <v>136.51600000000005</v>
      </c>
      <c r="AN33" s="251">
        <f t="shared" si="111"/>
        <v>127.97600000000003</v>
      </c>
      <c r="AO33" s="251">
        <f t="shared" ref="AO33:AT33" si="112">AO30-AO31</f>
        <v>172.9670000000001</v>
      </c>
      <c r="AP33" s="252">
        <f>AP30-AP31</f>
        <v>193.12799999999999</v>
      </c>
      <c r="AQ33" s="250">
        <f>AQ30-AQ31</f>
        <v>134</v>
      </c>
      <c r="AR33" s="251">
        <f t="shared" ref="AR33:AS33" si="113">AR30-AR31</f>
        <v>26</v>
      </c>
      <c r="AS33" s="251">
        <f t="shared" si="113"/>
        <v>246</v>
      </c>
      <c r="AT33" s="252">
        <f t="shared" si="112"/>
        <v>208</v>
      </c>
      <c r="AU33" s="250">
        <f>AU30-AU31</f>
        <v>196</v>
      </c>
      <c r="AV33" s="251">
        <f t="shared" ref="AV33:AX33" si="114">AV30-AV31</f>
        <v>253</v>
      </c>
      <c r="AW33" s="251">
        <f t="shared" si="114"/>
        <v>542</v>
      </c>
      <c r="AX33" s="252">
        <f t="shared" si="114"/>
        <v>655</v>
      </c>
      <c r="AY33" s="869">
        <f>AY30-AY31</f>
        <v>507</v>
      </c>
      <c r="AZ33" s="251">
        <f t="shared" ref="AZ33:BB33" si="115">AZ30-AZ31</f>
        <v>583</v>
      </c>
      <c r="BA33" s="251">
        <f t="shared" si="115"/>
        <v>838</v>
      </c>
      <c r="BB33" s="1000">
        <f t="shared" si="115"/>
        <v>1118</v>
      </c>
      <c r="BC33" s="869">
        <f t="shared" ref="BC33:BJ33" si="116">BC30-BC31</f>
        <v>938.07196128806811</v>
      </c>
      <c r="BD33" s="251">
        <f t="shared" si="116"/>
        <v>1031.6988656841643</v>
      </c>
      <c r="BE33" s="251">
        <f t="shared" si="116"/>
        <v>1133.1172332314522</v>
      </c>
      <c r="BF33" s="252">
        <f t="shared" si="116"/>
        <v>1178.9903285288144</v>
      </c>
      <c r="BG33" s="869">
        <f t="shared" si="116"/>
        <v>1033.7899217985341</v>
      </c>
      <c r="BH33" s="251">
        <f t="shared" si="116"/>
        <v>1230.7114586915891</v>
      </c>
      <c r="BI33" s="251">
        <f t="shared" si="116"/>
        <v>1373.65236622313</v>
      </c>
      <c r="BJ33" s="252">
        <f t="shared" si="116"/>
        <v>1398.0048846529539</v>
      </c>
      <c r="BK33" s="869">
        <f t="shared" ref="BK33:BN33" si="117">BK30-BK31</f>
        <v>1259.2101730345139</v>
      </c>
      <c r="BL33" s="251">
        <f t="shared" si="117"/>
        <v>1494.927572821719</v>
      </c>
      <c r="BM33" s="251">
        <f t="shared" si="117"/>
        <v>1649.5288136873198</v>
      </c>
      <c r="BN33" s="252">
        <f t="shared" si="117"/>
        <v>1698.1794813458077</v>
      </c>
      <c r="BO33" s="84"/>
      <c r="BP33" s="251">
        <f t="shared" ref="BP33:BX33" si="118">BP30-BP31</f>
        <v>301.1760000000001</v>
      </c>
      <c r="BQ33" s="251">
        <f t="shared" si="118"/>
        <v>448.85400000000016</v>
      </c>
      <c r="BR33" s="251">
        <f t="shared" si="118"/>
        <v>797.64499999999975</v>
      </c>
      <c r="BS33" s="251">
        <f t="shared" si="118"/>
        <v>-30.041000000000267</v>
      </c>
      <c r="BT33" s="251">
        <f t="shared" si="118"/>
        <v>-67.986999999999711</v>
      </c>
      <c r="BU33" s="251">
        <f t="shared" si="118"/>
        <v>253.14599999999965</v>
      </c>
      <c r="BV33" s="251">
        <f t="shared" si="118"/>
        <v>581.09000000000037</v>
      </c>
      <c r="BW33" s="251">
        <f t="shared" si="118"/>
        <v>562.53600000000006</v>
      </c>
      <c r="BX33" s="251">
        <f t="shared" si="118"/>
        <v>439.99000000000075</v>
      </c>
      <c r="BY33" s="251">
        <f t="shared" ref="BY33" si="119">BY30-BY31</f>
        <v>630.58699999999999</v>
      </c>
      <c r="BZ33" s="251">
        <f t="shared" si="89"/>
        <v>614</v>
      </c>
      <c r="CA33" s="251">
        <f t="shared" si="86"/>
        <v>1646</v>
      </c>
      <c r="CB33" s="251">
        <f>SUM(AY33:BB33)</f>
        <v>3046</v>
      </c>
      <c r="CC33" s="251">
        <f>SUM(BC33:BF33)</f>
        <v>4281.8783887324989</v>
      </c>
      <c r="CD33" s="251">
        <f>SUM(BG33:BJ33)</f>
        <v>5036.1586313662065</v>
      </c>
      <c r="CE33" s="251">
        <f>SUM(BK33:BN33)</f>
        <v>6101.8460408893607</v>
      </c>
      <c r="CF33" s="847"/>
      <c r="CG33" s="109"/>
      <c r="CY33"/>
      <c r="CZ33"/>
      <c r="DA33"/>
      <c r="DB33"/>
      <c r="DC33"/>
      <c r="DD33"/>
    </row>
    <row r="34" spans="1:108" s="5" customFormat="1">
      <c r="B34" s="84" t="s">
        <v>146</v>
      </c>
      <c r="C34" s="217">
        <f t="shared" ref="C34:AT34" si="120">C33/C85</f>
        <v>0.17852314784034756</v>
      </c>
      <c r="D34" s="92">
        <f t="shared" si="120"/>
        <v>0.2041424044858077</v>
      </c>
      <c r="E34" s="92">
        <f t="shared" si="120"/>
        <v>0.17567335501298856</v>
      </c>
      <c r="F34" s="218">
        <f t="shared" si="120"/>
        <v>0.26476196110807854</v>
      </c>
      <c r="G34" s="92">
        <f t="shared" si="120"/>
        <v>0.23284406873671129</v>
      </c>
      <c r="H34" s="92">
        <f t="shared" si="120"/>
        <v>0.22681404293172255</v>
      </c>
      <c r="I34" s="92">
        <f t="shared" si="120"/>
        <v>0.18153231538024964</v>
      </c>
      <c r="J34" s="92">
        <f t="shared" si="120"/>
        <v>0.27437338239004455</v>
      </c>
      <c r="K34" s="217">
        <f t="shared" si="120"/>
        <v>0.22105836713750146</v>
      </c>
      <c r="L34" s="92">
        <f t="shared" si="120"/>
        <v>0.28606064620836991</v>
      </c>
      <c r="M34" s="92">
        <f t="shared" si="120"/>
        <v>0.38444823282788326</v>
      </c>
      <c r="N34" s="218">
        <f t="shared" si="120"/>
        <v>0.42187194770615216</v>
      </c>
      <c r="O34" s="92">
        <f t="shared" si="120"/>
        <v>0.2986626440693998</v>
      </c>
      <c r="P34" s="92">
        <f t="shared" si="120"/>
        <v>-0.21772650098934662</v>
      </c>
      <c r="Q34" s="92">
        <f t="shared" si="120"/>
        <v>0.10937832131166116</v>
      </c>
      <c r="R34" s="92">
        <f t="shared" si="120"/>
        <v>-0.27467703382658026</v>
      </c>
      <c r="S34" s="217">
        <f t="shared" si="120"/>
        <v>-0.37126203423522114</v>
      </c>
      <c r="T34" s="92">
        <f t="shared" si="120"/>
        <v>-0.19263535898463158</v>
      </c>
      <c r="U34" s="92">
        <f t="shared" si="120"/>
        <v>0.18729205875542546</v>
      </c>
      <c r="V34" s="218">
        <f t="shared" si="120"/>
        <v>0.22518515464342639</v>
      </c>
      <c r="W34" s="92">
        <f t="shared" si="120"/>
        <v>0.2328167486467782</v>
      </c>
      <c r="X34" s="92">
        <f t="shared" si="120"/>
        <v>-0.24610659887842135</v>
      </c>
      <c r="Y34" s="92">
        <f t="shared" si="120"/>
        <v>0.14564883085499308</v>
      </c>
      <c r="Z34" s="92">
        <f t="shared" si="120"/>
        <v>0.28534358225876394</v>
      </c>
      <c r="AA34" s="217">
        <f t="shared" si="120"/>
        <v>0.22041520912051685</v>
      </c>
      <c r="AB34" s="92">
        <f t="shared" si="120"/>
        <v>0.24688810197838873</v>
      </c>
      <c r="AC34" s="92">
        <f t="shared" si="120"/>
        <v>0.29055512093356817</v>
      </c>
      <c r="AD34" s="218">
        <f t="shared" si="120"/>
        <v>0.18756092395881652</v>
      </c>
      <c r="AE34" s="92">
        <f t="shared" si="120"/>
        <v>9.6887394074249789E-2</v>
      </c>
      <c r="AF34" s="92">
        <f t="shared" si="120"/>
        <v>0.19104122167784929</v>
      </c>
      <c r="AG34" s="92">
        <f t="shared" si="120"/>
        <v>0.33248256724630054</v>
      </c>
      <c r="AH34" s="92">
        <f t="shared" si="120"/>
        <v>0.27969126295380553</v>
      </c>
      <c r="AI34" s="217">
        <f t="shared" si="120"/>
        <v>0.12577224036092238</v>
      </c>
      <c r="AJ34" s="92">
        <f t="shared" si="120"/>
        <v>0.16291726773039461</v>
      </c>
      <c r="AK34" s="92">
        <f t="shared" si="120"/>
        <v>0.20167065249884525</v>
      </c>
      <c r="AL34" s="218">
        <f t="shared" si="120"/>
        <v>0.25446518266026602</v>
      </c>
      <c r="AM34" s="217">
        <f t="shared" si="120"/>
        <v>0.23932457023046103</v>
      </c>
      <c r="AN34" s="92">
        <f t="shared" si="120"/>
        <v>0.22429421703133001</v>
      </c>
      <c r="AO34" s="92">
        <f t="shared" si="120"/>
        <v>0.30986508444090943</v>
      </c>
      <c r="AP34" s="218">
        <f t="shared" si="120"/>
        <v>0.34699491351538791</v>
      </c>
      <c r="AQ34" s="217">
        <f t="shared" si="120"/>
        <v>0.23591549295774647</v>
      </c>
      <c r="AR34" s="92">
        <f t="shared" si="120"/>
        <v>4.6762589928057555E-2</v>
      </c>
      <c r="AS34" s="92">
        <f t="shared" ref="AS34" si="121">AS33/AS85</f>
        <v>0.4353982300884956</v>
      </c>
      <c r="AT34" s="218">
        <f t="shared" si="120"/>
        <v>0.35075885328836426</v>
      </c>
      <c r="AU34" s="217">
        <f t="shared" ref="AU34:AX34" si="122">AU33/AU85</f>
        <v>0.32830820770519265</v>
      </c>
      <c r="AV34" s="92">
        <f t="shared" si="122"/>
        <v>0.40095087163232962</v>
      </c>
      <c r="AW34" s="92">
        <f t="shared" si="122"/>
        <v>0.83001531393568151</v>
      </c>
      <c r="AX34" s="218">
        <f t="shared" si="122"/>
        <v>0.99242424242424243</v>
      </c>
      <c r="AY34" s="868">
        <f t="shared" ref="AY34:AZ34" si="123">AY33/AY85</f>
        <v>0.7909516380655226</v>
      </c>
      <c r="AZ34" s="92">
        <f t="shared" si="123"/>
        <v>0.92101105845181674</v>
      </c>
      <c r="BA34" s="92">
        <f t="shared" ref="BA34:BB34" si="124">BA33/BA85</f>
        <v>1.3343949044585988</v>
      </c>
      <c r="BB34" s="1001">
        <f t="shared" si="124"/>
        <v>1.7802547770700636</v>
      </c>
      <c r="BC34" s="868">
        <f t="shared" ref="BC34:BJ34" si="125">BC33/BC85</f>
        <v>1.4888315258877629</v>
      </c>
      <c r="BD34" s="92">
        <f t="shared" si="125"/>
        <v>1.6320599159564673</v>
      </c>
      <c r="BE34" s="92">
        <f t="shared" si="125"/>
        <v>1.7866373260331065</v>
      </c>
      <c r="BF34" s="218">
        <f t="shared" si="125"/>
        <v>1.852912246852791</v>
      </c>
      <c r="BG34" s="868">
        <f t="shared" si="125"/>
        <v>1.6194388819637471</v>
      </c>
      <c r="BH34" s="92">
        <f t="shared" si="125"/>
        <v>1.9216785809141439</v>
      </c>
      <c r="BI34" s="92">
        <f t="shared" si="125"/>
        <v>2.1379528814752846</v>
      </c>
      <c r="BJ34" s="218">
        <f t="shared" si="125"/>
        <v>2.1688588283626116</v>
      </c>
      <c r="BK34" s="868">
        <f t="shared" ref="BK34:BN34" si="126">BK33/BK85</f>
        <v>1.9472719787556021</v>
      </c>
      <c r="BL34" s="92">
        <f t="shared" si="126"/>
        <v>2.3044049498635601</v>
      </c>
      <c r="BM34" s="92">
        <f t="shared" si="126"/>
        <v>2.5346222491138479</v>
      </c>
      <c r="BN34" s="218">
        <f t="shared" si="126"/>
        <v>2.6010938370628836</v>
      </c>
      <c r="BO34" s="133"/>
      <c r="BP34" s="92">
        <f t="shared" ref="BP34:CA34" si="127">BP33/BP85</f>
        <v>0.82436843336987475</v>
      </c>
      <c r="BQ34" s="92">
        <f t="shared" si="127"/>
        <v>0.91591595115090474</v>
      </c>
      <c r="BR34" s="92">
        <f t="shared" si="127"/>
        <v>1.3160900503941979</v>
      </c>
      <c r="BS34" s="92">
        <f t="shared" si="127"/>
        <v>-5.3417214297875985E-2</v>
      </c>
      <c r="BT34" s="92">
        <f t="shared" si="127"/>
        <v>-0.12111295586369998</v>
      </c>
      <c r="BU34" s="92">
        <f t="shared" si="127"/>
        <v>0.43125971052416329</v>
      </c>
      <c r="BV34" s="92">
        <f t="shared" si="127"/>
        <v>0.94502812893489041</v>
      </c>
      <c r="BW34" s="92">
        <f t="shared" si="127"/>
        <v>0.9008532335758942</v>
      </c>
      <c r="BX34" s="92">
        <f t="shared" si="127"/>
        <v>0.74028272712895127</v>
      </c>
      <c r="BY34" s="92">
        <f t="shared" si="127"/>
        <v>1.1181770465757117</v>
      </c>
      <c r="BZ34" s="92">
        <f t="shared" si="127"/>
        <v>1.0762489044697634</v>
      </c>
      <c r="CA34" s="92">
        <f t="shared" si="127"/>
        <v>2.5911058638331363</v>
      </c>
      <c r="CB34" s="92">
        <f t="shared" ref="CB34:CC34" si="128">CB33/CB85</f>
        <v>4.8158102766798416</v>
      </c>
      <c r="CC34" s="92">
        <f t="shared" si="128"/>
        <v>6.7624816359624873</v>
      </c>
      <c r="CD34" s="92">
        <f t="shared" ref="CD34" si="129">CD33/CD85</f>
        <v>7.8509413441855083</v>
      </c>
      <c r="CE34" s="92">
        <f>CE33/CE85</f>
        <v>9.3908885217722453</v>
      </c>
      <c r="CF34" s="25"/>
      <c r="CG34" s="25"/>
      <c r="CH34" s="25"/>
      <c r="CI34" s="25"/>
      <c r="CY34"/>
      <c r="CZ34"/>
      <c r="DA34"/>
      <c r="DB34"/>
      <c r="DC34"/>
      <c r="DD34"/>
    </row>
    <row r="35" spans="1:108" s="5" customFormat="1">
      <c r="B35" s="84" t="s">
        <v>404</v>
      </c>
      <c r="C35" s="217"/>
      <c r="D35" s="92"/>
      <c r="E35" s="92"/>
      <c r="F35" s="218"/>
      <c r="G35" s="92"/>
      <c r="H35" s="92"/>
      <c r="I35" s="92"/>
      <c r="J35" s="92"/>
      <c r="K35" s="217"/>
      <c r="L35" s="92"/>
      <c r="M35" s="92"/>
      <c r="N35" s="218"/>
      <c r="O35" s="92"/>
      <c r="P35" s="92"/>
      <c r="Q35" s="92"/>
      <c r="R35" s="92"/>
      <c r="S35" s="217"/>
      <c r="T35" s="92"/>
      <c r="U35" s="92"/>
      <c r="V35" s="218"/>
      <c r="W35" s="92"/>
      <c r="X35" s="92"/>
      <c r="Y35" s="92"/>
      <c r="Z35" s="92"/>
      <c r="AA35" s="217"/>
      <c r="AB35" s="92"/>
      <c r="AC35" s="92"/>
      <c r="AD35" s="218"/>
      <c r="AE35" s="92"/>
      <c r="AF35" s="92"/>
      <c r="AG35" s="92"/>
      <c r="AH35" s="92"/>
      <c r="AI35" s="217"/>
      <c r="AJ35" s="92"/>
      <c r="AK35" s="92"/>
      <c r="AL35" s="218"/>
      <c r="AM35" s="217">
        <f t="shared" ref="AM35:AT35" si="130">(AM33-66*0.7)/AM85</f>
        <v>0.15833190164474731</v>
      </c>
      <c r="AN35" s="92">
        <f t="shared" si="130"/>
        <v>0.14332284093856698</v>
      </c>
      <c r="AO35" s="92">
        <f t="shared" si="130"/>
        <v>0.22709919903403988</v>
      </c>
      <c r="AP35" s="218">
        <f t="shared" si="130"/>
        <v>0.26398693432847087</v>
      </c>
      <c r="AQ35" s="217">
        <f t="shared" si="130"/>
        <v>0.15457746478873241</v>
      </c>
      <c r="AR35" s="92">
        <f t="shared" si="130"/>
        <v>-3.6330935251798556E-2</v>
      </c>
      <c r="AS35" s="92">
        <f t="shared" ref="AS35" si="131">(AS33-66*0.7)/AS85</f>
        <v>0.35362831858407084</v>
      </c>
      <c r="AT35" s="218">
        <f t="shared" si="130"/>
        <v>0.27284991568296796</v>
      </c>
      <c r="AU35" s="217">
        <f t="shared" ref="AU35:AX35" si="132">(AU33-66*0.7)/AU85</f>
        <v>0.25092127303182582</v>
      </c>
      <c r="AV35" s="92">
        <f t="shared" si="132"/>
        <v>0.32773375594294774</v>
      </c>
      <c r="AW35" s="92">
        <f t="shared" si="132"/>
        <v>0.75926493108728943</v>
      </c>
      <c r="AX35" s="218">
        <f t="shared" si="132"/>
        <v>0.92242424242424237</v>
      </c>
      <c r="AY35" s="868">
        <f t="shared" ref="AY35:AZ35" si="133">(AY33-66*0.7)/AY85</f>
        <v>0.71887675507020288</v>
      </c>
      <c r="AZ35" s="92">
        <f t="shared" si="133"/>
        <v>0.84802527646129533</v>
      </c>
      <c r="BA35" s="92">
        <f t="shared" ref="BA35:BB35" si="134">(BA33-66*0.7)/BA85</f>
        <v>1.2608280254777069</v>
      </c>
      <c r="BB35" s="1001">
        <f t="shared" si="134"/>
        <v>1.706687898089172</v>
      </c>
      <c r="BC35" s="868">
        <f t="shared" ref="BC35:BJ35" si="135">BC34</f>
        <v>1.4888315258877629</v>
      </c>
      <c r="BD35" s="92">
        <f t="shared" si="135"/>
        <v>1.6320599159564673</v>
      </c>
      <c r="BE35" s="92">
        <f t="shared" si="135"/>
        <v>1.7866373260331065</v>
      </c>
      <c r="BF35" s="218">
        <f t="shared" si="135"/>
        <v>1.852912246852791</v>
      </c>
      <c r="BG35" s="868">
        <f t="shared" si="135"/>
        <v>1.6194388819637471</v>
      </c>
      <c r="BH35" s="92">
        <f t="shared" si="135"/>
        <v>1.9216785809141439</v>
      </c>
      <c r="BI35" s="92">
        <f t="shared" si="135"/>
        <v>2.1379528814752846</v>
      </c>
      <c r="BJ35" s="218">
        <f t="shared" si="135"/>
        <v>2.1688588283626116</v>
      </c>
      <c r="BK35" s="868">
        <f t="shared" ref="BK35" si="136">BK34</f>
        <v>1.9472719787556021</v>
      </c>
      <c r="BL35" s="92">
        <f t="shared" ref="BL35" si="137">BL34</f>
        <v>2.3044049498635601</v>
      </c>
      <c r="BM35" s="92">
        <f t="shared" ref="BM35" si="138">BM34</f>
        <v>2.5346222491138479</v>
      </c>
      <c r="BN35" s="218">
        <f t="shared" ref="BN35" si="139">BN34</f>
        <v>2.6010938370628836</v>
      </c>
      <c r="BO35" s="133"/>
      <c r="BP35" s="92"/>
      <c r="BQ35" s="92"/>
      <c r="BR35" s="92"/>
      <c r="BS35" s="92"/>
      <c r="BT35" s="92"/>
      <c r="BU35" s="92"/>
      <c r="BV35" s="92"/>
      <c r="BW35" s="92"/>
      <c r="BX35" s="92"/>
      <c r="BY35" s="92">
        <f>SUM(AM35:AP35)</f>
        <v>0.79274087594582499</v>
      </c>
      <c r="BZ35" s="92">
        <f>SUM(AQ35:AT35)</f>
        <v>0.74472476380397268</v>
      </c>
      <c r="CA35" s="92">
        <f>SUM(AU35:AX35)</f>
        <v>2.2603442024863054</v>
      </c>
      <c r="CB35" s="92">
        <f>SUM(AY35:BB35)</f>
        <v>4.5344179550983768</v>
      </c>
      <c r="CC35" s="92">
        <f>CC34</f>
        <v>6.7624816359624873</v>
      </c>
      <c r="CD35" s="92">
        <f t="shared" ref="CD35:CE35" si="140">CD34</f>
        <v>7.8509413441855083</v>
      </c>
      <c r="CE35" s="92">
        <f t="shared" si="140"/>
        <v>9.3908885217722453</v>
      </c>
      <c r="CF35" s="847"/>
      <c r="CG35" s="109"/>
      <c r="CY35"/>
      <c r="CZ35"/>
      <c r="DA35"/>
      <c r="DB35"/>
      <c r="DC35"/>
      <c r="DD35"/>
    </row>
    <row r="36" spans="1:108" s="5" customFormat="1">
      <c r="A36" s="5" t="s">
        <v>148</v>
      </c>
      <c r="B36" s="124" t="s">
        <v>147</v>
      </c>
      <c r="C36" s="219" t="str">
        <f>_xll.ThomsonONEAddinShim.SpreadsheetFormulas.TF($A$1,"TF.ES.EPS.Mean(period=#1)",,C$2)</f>
        <v>Manual Calculation</v>
      </c>
      <c r="D36" s="120" t="str">
        <f>_xll.ThomsonONEAddinShim.SpreadsheetFormulas.TF($A$1,"TF.ES.EPS.Mean(period=#1)",,D$2)</f>
        <v>Manual Calculation</v>
      </c>
      <c r="E36" s="120" t="str">
        <f>_xll.ThomsonONEAddinShim.SpreadsheetFormulas.TF($A$1,"TF.ES.EPS.Mean(period=#1)",,E$2)</f>
        <v>Manual Calculation</v>
      </c>
      <c r="F36" s="220" t="str">
        <f>_xll.ThomsonONEAddinShim.SpreadsheetFormulas.TF($A$1,"TF.ES.EPS.Mean(period=#1)",,F$2)</f>
        <v>Manual Calculation</v>
      </c>
      <c r="G36" s="120" t="str">
        <f>_xll.ThomsonONEAddinShim.SpreadsheetFormulas.TF($A$1,"TF.ES.EPS.Mean(period=#1)",,G$2)</f>
        <v>Manual Calculation</v>
      </c>
      <c r="H36" s="120" t="str">
        <f>_xll.ThomsonONEAddinShim.SpreadsheetFormulas.TF($A$1,"TF.ES.EPS.Mean(period=#1)",,H$2)</f>
        <v>Manual Calculation</v>
      </c>
      <c r="I36" s="120" t="str">
        <f>_xll.ThomsonONEAddinShim.SpreadsheetFormulas.TF($A$1,"TF.ES.EPS.Mean(period=#1)",,I$2)</f>
        <v>Manual Calculation</v>
      </c>
      <c r="J36" s="120" t="str">
        <f>_xll.ThomsonONEAddinShim.SpreadsheetFormulas.TF($A$1,"TF.ES.EPS.Mean(period=#1)",,J$2)</f>
        <v>Manual Calculation</v>
      </c>
      <c r="K36" s="219" t="str">
        <f>_xll.ThomsonONEAddinShim.SpreadsheetFormulas.TF($A$1,"TF.ES.EPS.Mean(period=#1)",,K$2)</f>
        <v>Manual Calculation</v>
      </c>
      <c r="L36" s="120" t="str">
        <f>_xll.ThomsonONEAddinShim.SpreadsheetFormulas.TF($A$1,"TF.ES.EPS.Mean(period=#1)",,L$2)</f>
        <v>Manual Calculation</v>
      </c>
      <c r="M36" s="120" t="str">
        <f>_xll.ThomsonONEAddinShim.SpreadsheetFormulas.TF($A$1,"TF.ES.EPS.Mean(period=#1)",,M$2)</f>
        <v>Manual Calculation</v>
      </c>
      <c r="N36" s="220" t="str">
        <f>_xll.ThomsonONEAddinShim.SpreadsheetFormulas.TF($A$1,"TF.ES.EPS.Mean(period=#1)",,N$2)</f>
        <v>Manual Calculation</v>
      </c>
      <c r="O36" s="120" t="str">
        <f>_xll.ThomsonONEAddinShim.SpreadsheetFormulas.TF($A$1,"TF.ES.EPS.Mean(period=#1)",,O$2)</f>
        <v>Manual Calculation</v>
      </c>
      <c r="P36" s="120" t="str">
        <f>_xll.ThomsonONEAddinShim.SpreadsheetFormulas.TF($A$1,"TF.ES.EPS.Mean(period=#1)",,P$2)</f>
        <v>Manual Calculation</v>
      </c>
      <c r="Q36" s="120" t="str">
        <f>_xll.ThomsonONEAddinShim.SpreadsheetFormulas.TF($A$1,"TF.ES.EPS.Mean(period=#1)",,Q$2)</f>
        <v>Manual Calculation</v>
      </c>
      <c r="R36" s="120" t="str">
        <f>_xll.ThomsonONEAddinShim.SpreadsheetFormulas.TF($A$1,"TF.ES.EPS.Mean(period=#1)",,R$2)</f>
        <v>Manual Calculation</v>
      </c>
      <c r="S36" s="219" t="str">
        <f>_xll.ThomsonONEAddinShim.SpreadsheetFormulas.TF($A$1,"TF.ES.EPS.Mean(period=#1)",,S$2)</f>
        <v>Manual Calculation</v>
      </c>
      <c r="T36" s="120" t="str">
        <f>_xll.ThomsonONEAddinShim.SpreadsheetFormulas.TF($A$1,"TF.ES.EPS.Mean(period=#1)",,T$2)</f>
        <v>Manual Calculation</v>
      </c>
      <c r="U36" s="120" t="str">
        <f>_xll.ThomsonONEAddinShim.SpreadsheetFormulas.TF($A$1,"TF.ES.EPS.Mean(period=#1)",,U$2)</f>
        <v>Manual Calculation</v>
      </c>
      <c r="V36" s="220" t="str">
        <f>_xll.ThomsonONEAddinShim.SpreadsheetFormulas.TF($A$1,"TF.ES.EPS.Mean(period=#1)",,V$2)</f>
        <v>Manual Calculation</v>
      </c>
      <c r="W36" s="120" t="str">
        <f>_xll.ThomsonONEAddinShim.SpreadsheetFormulas.TF($A$1,"TF.ES.EPS.Mean(period=#1)",,W$2)</f>
        <v>Manual Calculation</v>
      </c>
      <c r="X36" s="120" t="str">
        <f>_xll.ThomsonONEAddinShim.SpreadsheetFormulas.TF($A$1,"TF.ES.EPS.Mean(period=#1)",,X$2)</f>
        <v>Manual Calculation</v>
      </c>
      <c r="Y36" s="120" t="str">
        <f>_xll.ThomsonONEAddinShim.SpreadsheetFormulas.TF($A$1,"TF.ES.EPS.Mean(period=#1)",,Y$2)</f>
        <v>Manual Calculation</v>
      </c>
      <c r="Z36" s="120" t="str">
        <f>_xll.ThomsonONEAddinShim.SpreadsheetFormulas.TF($A$1,"TF.ES.EPS.Mean(period=#1)",,Z$2)</f>
        <v>Manual Calculation</v>
      </c>
      <c r="AA36" s="219" t="str">
        <f>_xll.ThomsonONEAddinShim.SpreadsheetFormulas.TF($A$1,"TF.ES.EPS.Mean(period=#1)",,AA$2)</f>
        <v>Manual Calculation</v>
      </c>
      <c r="AB36" s="120" t="str">
        <f>_xll.ThomsonONEAddinShim.SpreadsheetFormulas.TF($A$1,"TF.ES.EPS.Mean(period=#1)",,AB$2)</f>
        <v>Manual Calculation</v>
      </c>
      <c r="AC36" s="120" t="str">
        <f>_xll.ThomsonONEAddinShim.SpreadsheetFormulas.TF($A$1,"TF.ES.EPS.Mean(period=#1)",,AC$2)</f>
        <v>Manual Calculation</v>
      </c>
      <c r="AD36" s="220" t="str">
        <f>_xll.ThomsonONEAddinShim.SpreadsheetFormulas.TF($A$1,"TF.ES.EPS.Mean(period=#1)",,AD$2)</f>
        <v>Manual Calculation</v>
      </c>
      <c r="AE36" s="120" t="str">
        <f>_xll.ThomsonONEAddinShim.SpreadsheetFormulas.TF($A$1,"TF.ES.EPS.Mean(period=#1)",,AE$2)</f>
        <v>Manual Calculation</v>
      </c>
      <c r="AF36" s="120" t="str">
        <f>_xll.ThomsonONEAddinShim.SpreadsheetFormulas.TF($A$1,"TF.ES.EPS.Mean(period=#1)",,AF$2)</f>
        <v>Manual Calculation</v>
      </c>
      <c r="AG36" s="120" t="str">
        <f>_xll.ThomsonONEAddinShim.SpreadsheetFormulas.TF($A$1,"TF.ES.EPS.Mean(period=#1)",,AG$2)</f>
        <v>Manual Calculation</v>
      </c>
      <c r="AH36" s="120" t="str">
        <f>_xll.ThomsonONEAddinShim.SpreadsheetFormulas.TF($A$1,"TF.ES.EPS.Mean(period=#1)",,AH$2)</f>
        <v>Manual Calculation</v>
      </c>
      <c r="AI36" s="219" t="str">
        <f>_xll.ThomsonONEAddinShim.SpreadsheetFormulas.TF($A$1,"TF.ES.EPS.Mean(period=#1)",,AI$2)</f>
        <v>Manual Calculation</v>
      </c>
      <c r="AJ36" s="120" t="str">
        <f>_xll.ThomsonONEAddinShim.SpreadsheetFormulas.TF($A$1,"TF.ES.EPS.Mean(period=#1)",,AJ$2)</f>
        <v>Manual Calculation</v>
      </c>
      <c r="AK36" s="120" t="str">
        <f>_xll.ThomsonONEAddinShim.SpreadsheetFormulas.TF($A$1,"TF.ES.EPS.Mean(period=#1)",,AK$2)</f>
        <v>Manual Calculation</v>
      </c>
      <c r="AL36" s="220" t="str">
        <f>_xll.ThomsonONEAddinShim.SpreadsheetFormulas.TF($A$1,"TF.ES.EPS.Mean(period=#1)",,AL$2)</f>
        <v>Manual Calculation</v>
      </c>
      <c r="AM36" s="219" t="str">
        <f>_xll.ThomsonONEAddinShim.SpreadsheetFormulas.TF($A$1,"TF.ES.EPS.Mean(period=#1)",,AM$2)</f>
        <v>Manual Calculation</v>
      </c>
      <c r="AN36" s="120" t="str">
        <f>_xll.ThomsonONEAddinShim.SpreadsheetFormulas.TF($A$1,"TF.ES.EPS.Mean(period=#1)",,AN$2)</f>
        <v>Manual Calculation</v>
      </c>
      <c r="AO36" s="120" t="str">
        <f>_xll.ThomsonONEAddinShim.SpreadsheetFormulas.TF($A$1,"TF.ES.EPS.Mean(period=#1)",,AO$2)</f>
        <v>Manual Calculation</v>
      </c>
      <c r="AP36" s="220" t="str">
        <f>_xll.ThomsonONEAddinShim.SpreadsheetFormulas.TF($A$1,"TF.ES.EPS.Mean(period=#1)",,AP$2)</f>
        <v>Manual Calculation</v>
      </c>
      <c r="AQ36" s="219" t="str">
        <f>_xll.ThomsonONEAddinShim.SpreadsheetFormulas.TF($A$1,"TF.ES.EPS.Mean(period=#1)",,AQ$2)</f>
        <v>Manual Calculation</v>
      </c>
      <c r="AR36" s="120" t="str">
        <f>_xll.ThomsonONEAddinShim.SpreadsheetFormulas.TF($A$1,"TF.ES.EPS.Mean(period=#1)",,AR$2)</f>
        <v>Manual Calculation</v>
      </c>
      <c r="AS36" s="120" t="str">
        <f>_xll.ThomsonONEAddinShim.SpreadsheetFormulas.TF($A$1,"TF.ES.EPS.Mean(period=#1)",,AS$2)</f>
        <v>Manual Calculation</v>
      </c>
      <c r="AT36" s="220" t="str">
        <f>_xll.ThomsonONEAddinShim.SpreadsheetFormulas.TF($A$1,"TF.ES.EPS.Mean(period=#1)",,AT$2)</f>
        <v>Manual Calculation</v>
      </c>
      <c r="AU36" s="219" t="str">
        <f>_xll.ThomsonONEAddinShim.SpreadsheetFormulas.TF($A$1,"TF.ES.EPS.Mean(period=#1)",,AU$2)</f>
        <v>$0.32</v>
      </c>
      <c r="AV36" s="120" t="str">
        <f>_xll.ThomsonONEAddinShim.SpreadsheetFormulas.TF($A$1,"TF.ES.EPS.Mean(period=#1)",,AV$2)</f>
        <v>$0.37</v>
      </c>
      <c r="AW36" s="120" t="str">
        <f>_xll.ThomsonONEAddinShim.SpreadsheetFormulas.TF($A$1,"TF.ES.EPS.Mean(period=#1)",,AW$2)</f>
        <v>$0.57</v>
      </c>
      <c r="AX36" s="220" t="str">
        <f>_xll.ThomsonONEAddinShim.SpreadsheetFormulas.TF($A$1,"TF.ES.EPS.Mean(period=#1)",,AX$2)</f>
        <v>$0.83</v>
      </c>
      <c r="AY36" s="871" t="str">
        <f>_xll.ThomsonONEAddinShim.SpreadsheetFormulas.TF($A$1,"TF.ES.EPS.Mean(period=#1)",,AY$2)</f>
        <v>$0.67</v>
      </c>
      <c r="AZ36" s="120" t="str">
        <f>_xll.ThomsonONEAddinShim.SpreadsheetFormulas.TF($A$1,"TF.ES.EPS.Mean(period=#1)",,AZ$2)</f>
        <v>$0.70</v>
      </c>
      <c r="BA36" s="120" t="str">
        <f>_xll.ThomsonONEAddinShim.SpreadsheetFormulas.TF($A$1,"TF.ES.EPS.Mean(period=#1)",,BA$2)</f>
        <v>$0.94</v>
      </c>
      <c r="BB36" s="1002" t="str">
        <f>_xll.ThomsonONEAddinShim.SpreadsheetFormulas.TF($A$1,"TF.ES.EPS.Mean(period=#1)",,BB$2)</f>
        <v>$1.17</v>
      </c>
      <c r="BC36" s="871" t="str">
        <f>_xll.ThomsonONEAddinShim.SpreadsheetFormulas.TF($A$1,"TF.ES.EPS.Mean(period=#1)",,BC$2)</f>
        <v>$0.98</v>
      </c>
      <c r="BD36" s="120" t="str">
        <f>_xll.ThomsonONEAddinShim.SpreadsheetFormulas.TF($A$1,"TF.ES.EPS.Mean(period=#1)",,BD$2)</f>
        <v>$1.08</v>
      </c>
      <c r="BE36" s="120" t="str">
        <f>_xll.ThomsonONEAddinShim.SpreadsheetFormulas.TF($A$1,"TF.ES.EPS.Mean(period=#1)",,BE$2)</f>
        <v>$1.29</v>
      </c>
      <c r="BF36" s="220" t="str">
        <f>_xll.ThomsonONEAddinShim.SpreadsheetFormulas.TF($A$1,"TF.ES.EPS.Mean(period=#1)",,BF$2)</f>
        <v>$1.34</v>
      </c>
      <c r="BG36" s="871" t="str">
        <f>_xll.ThomsonONEAddinShim.SpreadsheetFormulas.TF($A$1,"TF.ES.EPS.Mean(period=#1)",,BG$2)</f>
        <v>$1.18</v>
      </c>
      <c r="BH36" s="120" t="str">
        <f>_xll.ThomsonONEAddinShim.SpreadsheetFormulas.TF($A$1,"TF.ES.EPS.Mean(period=#1)",,BH$2)</f>
        <v>$1.24</v>
      </c>
      <c r="BI36" s="120" t="str">
        <f>_xll.ThomsonONEAddinShim.SpreadsheetFormulas.TF($A$1,"TF.ES.EPS.Mean(period=#1)",,BI$2)</f>
        <v>$1.51</v>
      </c>
      <c r="BJ36" s="220" t="str">
        <f>_xll.ThomsonONEAddinShim.SpreadsheetFormulas.TF($A$1,"TF.ES.EPS.Mean(period=#1)",,BJ$2)</f>
        <v>$1.61</v>
      </c>
      <c r="BK36" s="871" t="str">
        <f>_xll.ThomsonONEAddinShim.SpreadsheetFormulas.TF($A$1,"TF.ES.EPS.Mean(period=#1)",,BK$2)</f>
        <v>N/A</v>
      </c>
      <c r="BL36" s="120" t="str">
        <f>_xll.ThomsonONEAddinShim.SpreadsheetFormulas.TF($A$1,"TF.ES.EPS.Mean(period=#1)",,BL$2)</f>
        <v>N/A</v>
      </c>
      <c r="BM36" s="120" t="str">
        <f>_xll.ThomsonONEAddinShim.SpreadsheetFormulas.TF($A$1,"TF.ES.EPS.Mean(period=#1)",,BM$2)</f>
        <v>N/A</v>
      </c>
      <c r="BN36" s="220" t="str">
        <f>_xll.ThomsonONEAddinShim.SpreadsheetFormulas.TF($A$1,"TF.ES.EPS.Mean(period=#1)",,BN$2)</f>
        <v>N/A</v>
      </c>
      <c r="BO36" s="134"/>
      <c r="BP36" s="120" t="str">
        <f>_xll.ThomsonONEAddinShim.SpreadsheetFormulas.TF($A$1,"TF.ES.EPS.Mean(period=#1)",,BP$2)</f>
        <v>Manual Calculation</v>
      </c>
      <c r="BQ36" s="120" t="str">
        <f>_xll.ThomsonONEAddinShim.SpreadsheetFormulas.TF($A$1,"TF.ES.EPS.Mean(period=#1)",,BQ$2)</f>
        <v>Manual Calculation</v>
      </c>
      <c r="BR36" s="120" t="str">
        <f>_xll.ThomsonONEAddinShim.SpreadsheetFormulas.TF($A$1,"TF.ES.EPS.Mean(period=#1)",,BR$2)</f>
        <v>Manual Calculation</v>
      </c>
      <c r="BS36" s="120" t="str">
        <f>_xll.ThomsonONEAddinShim.SpreadsheetFormulas.TF($A$1,"TF.ES.EPS.Mean(period=#1)",,BS$2)</f>
        <v>Manual Calculation</v>
      </c>
      <c r="BT36" s="120" t="str">
        <f>_xll.ThomsonONEAddinShim.SpreadsheetFormulas.TF($A$1,"TF.ES.EPS.Mean(period=#1)",,BT$2)</f>
        <v>Manual Calculation</v>
      </c>
      <c r="BU36" s="120" t="str">
        <f>_xll.ThomsonONEAddinShim.SpreadsheetFormulas.TF($A$1,"TF.ES.EPS.Mean(period=#1)",,BU$2)</f>
        <v>Manual Calculation</v>
      </c>
      <c r="BV36" s="120" t="str">
        <f>_xll.ThomsonONEAddinShim.SpreadsheetFormulas.TF($A$1,"TF.ES.EPS.Mean(period=#1)",,BV$2)</f>
        <v>Manual Calculation</v>
      </c>
      <c r="BW36" s="120" t="str">
        <f>_xll.ThomsonONEAddinShim.SpreadsheetFormulas.TF($A$1,"TF.ES.EPS.Mean(period=#1)",,BW$2)</f>
        <v>Manual Calculation</v>
      </c>
      <c r="BX36" s="120" t="str">
        <f>_xll.ThomsonONEAddinShim.SpreadsheetFormulas.TF($A$1,"TF.ES.EPS.Mean(period=#1)",,BX$2)</f>
        <v>Manual Calculation</v>
      </c>
      <c r="BY36" s="120" t="str">
        <f>_xll.ThomsonONEAddinShim.SpreadsheetFormulas.TF($A$1,"TF.ES.EPS.Mean(period=#1)",,BY$2)</f>
        <v>$1.06</v>
      </c>
      <c r="BZ36" s="120" t="str">
        <f>_xll.ThomsonONEAddinShim.SpreadsheetFormulas.TF($A$1,"TF.ES.EPS.Mean(period=#1)",,BZ$2)</f>
        <v>$1.06</v>
      </c>
      <c r="CA36" s="120" t="str">
        <f>_xll.ThomsonONEAddinShim.SpreadsheetFormulas.TF($A$1,"TF.ES.EPS.Mean(period=#1)",,CA$2)</f>
        <v>$2.41</v>
      </c>
      <c r="CB36" s="120" t="str">
        <f>_xll.ThomsonONEAddinShim.SpreadsheetFormulas.TF($A$1,"TF.ES.EPS.Mean(period=#1)",,CB$2)</f>
        <v>$4.23</v>
      </c>
      <c r="CC36" s="120" t="str">
        <f>_xll.ThomsonONEAddinShim.SpreadsheetFormulas.TF($A$1,"TF.ES.EPS.Mean(period=#1)",,CC$2)</f>
        <v>$4.71</v>
      </c>
      <c r="CD36" s="120" t="str">
        <f>_xll.ThomsonONEAddinShim.SpreadsheetFormulas.TF($A$1,"TF.ES.EPS.Mean(period=#1)",,CD$2)</f>
        <v>$5.88</v>
      </c>
      <c r="CE36" s="120" t="str">
        <f>_xll.ThomsonONEAddinShim.SpreadsheetFormulas.TF($A$1,"TF.ES.EPS.Mean(period=#1)",,CE$2)</f>
        <v>$8.17</v>
      </c>
      <c r="CF36" s="847"/>
      <c r="CG36" s="109"/>
      <c r="CY36"/>
      <c r="CZ36"/>
      <c r="DA36"/>
      <c r="DB36"/>
      <c r="DC36"/>
      <c r="DD36"/>
    </row>
    <row r="37" spans="1:108" s="5" customFormat="1">
      <c r="B37" s="84" t="s">
        <v>330</v>
      </c>
      <c r="C37" s="32">
        <v>0</v>
      </c>
      <c r="D37" s="30">
        <v>0</v>
      </c>
      <c r="E37" s="30">
        <v>0</v>
      </c>
      <c r="F37" s="33">
        <v>0</v>
      </c>
      <c r="G37" s="30">
        <v>0</v>
      </c>
      <c r="H37" s="30">
        <v>0</v>
      </c>
      <c r="I37" s="30">
        <v>0</v>
      </c>
      <c r="J37" s="30">
        <v>0</v>
      </c>
      <c r="K37" s="32">
        <v>0</v>
      </c>
      <c r="L37" s="30">
        <v>0</v>
      </c>
      <c r="M37" s="30">
        <v>0</v>
      </c>
      <c r="N37" s="33">
        <v>0</v>
      </c>
      <c r="O37" s="30">
        <v>0</v>
      </c>
      <c r="P37" s="30">
        <v>0</v>
      </c>
      <c r="Q37" s="30">
        <v>0</v>
      </c>
      <c r="R37" s="30">
        <v>0</v>
      </c>
      <c r="S37" s="32">
        <v>0</v>
      </c>
      <c r="T37" s="30">
        <v>0</v>
      </c>
      <c r="U37" s="30">
        <v>0</v>
      </c>
      <c r="V37" s="33">
        <v>0</v>
      </c>
      <c r="W37" s="30">
        <v>0</v>
      </c>
      <c r="X37" s="30">
        <v>0</v>
      </c>
      <c r="Y37" s="30">
        <v>0</v>
      </c>
      <c r="Z37" s="30">
        <v>0</v>
      </c>
      <c r="AA37" s="32">
        <v>0</v>
      </c>
      <c r="AB37" s="30">
        <v>0</v>
      </c>
      <c r="AC37" s="30">
        <v>0</v>
      </c>
      <c r="AD37" s="33">
        <v>0</v>
      </c>
      <c r="AE37" s="30">
        <v>0</v>
      </c>
      <c r="AF37" s="30">
        <v>0</v>
      </c>
      <c r="AG37" s="30">
        <v>0</v>
      </c>
      <c r="AH37" s="30">
        <v>-46.866</v>
      </c>
      <c r="AI37" s="32">
        <v>-46.267000000000003</v>
      </c>
      <c r="AJ37" s="30">
        <v>-43.342999999999996</v>
      </c>
      <c r="AK37" s="30">
        <v>-43.397000000000013</v>
      </c>
      <c r="AL37" s="33">
        <v>-48.329000000000001</v>
      </c>
      <c r="AM37" s="32">
        <v>-46.731000000000002</v>
      </c>
      <c r="AN37" s="30">
        <v>-47.431999999999995</v>
      </c>
      <c r="AO37" s="30">
        <v>-46.072000000000024</v>
      </c>
      <c r="AP37" s="33">
        <v>-46.216999999999977</v>
      </c>
      <c r="AQ37" s="32">
        <v>-46</v>
      </c>
      <c r="AR37" s="30">
        <v>-53</v>
      </c>
      <c r="AS37" s="30">
        <v>-53</v>
      </c>
      <c r="AT37" s="33">
        <v>-61</v>
      </c>
      <c r="AU37" s="32">
        <v>-62</v>
      </c>
      <c r="AV37" s="30">
        <v>-62</v>
      </c>
      <c r="AW37" s="30">
        <f>AV37</f>
        <v>-62</v>
      </c>
      <c r="AX37" s="33">
        <v>-76</v>
      </c>
      <c r="AY37" s="454">
        <v>-82</v>
      </c>
      <c r="AZ37" s="30">
        <v>-84</v>
      </c>
      <c r="BA37" s="30">
        <v>-84</v>
      </c>
      <c r="BB37" s="455">
        <v>-91</v>
      </c>
      <c r="BC37" s="374">
        <f t="shared" ref="BC37:BJ37" si="141">-BC38*BC84</f>
        <v>-91.300330033003306</v>
      </c>
      <c r="BD37" s="30">
        <f t="shared" si="141"/>
        <v>-91.600660066006611</v>
      </c>
      <c r="BE37" s="197">
        <f t="shared" si="141"/>
        <v>-91.900990099009903</v>
      </c>
      <c r="BF37" s="429">
        <f t="shared" si="141"/>
        <v>-92.201320132013208</v>
      </c>
      <c r="BG37" s="374">
        <f t="shared" si="141"/>
        <v>-92.501650165016514</v>
      </c>
      <c r="BH37" s="30">
        <f t="shared" si="141"/>
        <v>-92.801980198019805</v>
      </c>
      <c r="BI37" s="197">
        <f t="shared" si="141"/>
        <v>-93.102310231023111</v>
      </c>
      <c r="BJ37" s="429">
        <f t="shared" si="141"/>
        <v>-93.402640264026417</v>
      </c>
      <c r="BK37" s="374">
        <f t="shared" ref="BK37:BN37" si="142">-BK38*BK84</f>
        <v>-93.702970297029708</v>
      </c>
      <c r="BL37" s="30">
        <f t="shared" si="142"/>
        <v>-94.003300330033014</v>
      </c>
      <c r="BM37" s="197">
        <f t="shared" si="142"/>
        <v>-94.303630363036305</v>
      </c>
      <c r="BN37" s="429">
        <f t="shared" si="142"/>
        <v>-94.603960396039611</v>
      </c>
      <c r="BO37" s="134"/>
      <c r="BP37" s="120"/>
      <c r="BQ37" s="120"/>
      <c r="BR37" s="120"/>
      <c r="BS37" s="120"/>
      <c r="BT37" s="120"/>
      <c r="BU37" s="120"/>
      <c r="BV37" s="120"/>
      <c r="BW37" s="120"/>
      <c r="BX37" s="197">
        <f>SUM(AI37:AL37)</f>
        <v>-181.33600000000001</v>
      </c>
      <c r="BY37" s="197">
        <f>SUM(AM37:AP37)</f>
        <v>-186.452</v>
      </c>
      <c r="BZ37" s="197">
        <f>SUM(AQ37:AT37)</f>
        <v>-213</v>
      </c>
      <c r="CA37" s="197">
        <f>SUM(AU37:AX37)</f>
        <v>-262</v>
      </c>
      <c r="CB37" s="197">
        <f>SUM(AY37:BB37)</f>
        <v>-341</v>
      </c>
      <c r="CC37" s="197">
        <f>SUM(BC37:BF37)</f>
        <v>-367.00330033003303</v>
      </c>
      <c r="CD37" s="197">
        <f>SUM(BG37:BJ37)</f>
        <v>-371.80858085808586</v>
      </c>
      <c r="CE37" s="197">
        <f>SUM(BK37:BN37)</f>
        <v>-376.61386138613864</v>
      </c>
      <c r="CF37" s="14"/>
      <c r="CG37" s="82"/>
      <c r="CY37"/>
      <c r="CZ37"/>
      <c r="DA37"/>
      <c r="DB37"/>
      <c r="DC37"/>
      <c r="DD37"/>
    </row>
    <row r="38" spans="1:108" s="5" customFormat="1">
      <c r="B38" s="84" t="s">
        <v>333</v>
      </c>
      <c r="C38" s="217"/>
      <c r="D38" s="92"/>
      <c r="E38" s="92"/>
      <c r="F38" s="218"/>
      <c r="G38" s="92"/>
      <c r="H38" s="92"/>
      <c r="I38" s="92"/>
      <c r="J38" s="92"/>
      <c r="K38" s="217"/>
      <c r="L38" s="92"/>
      <c r="M38" s="92"/>
      <c r="N38" s="218"/>
      <c r="O38" s="92"/>
      <c r="P38" s="92"/>
      <c r="Q38" s="92"/>
      <c r="R38" s="92"/>
      <c r="S38" s="217"/>
      <c r="T38" s="92"/>
      <c r="U38" s="92"/>
      <c r="V38" s="218"/>
      <c r="W38" s="92"/>
      <c r="X38" s="92"/>
      <c r="Y38" s="92"/>
      <c r="Z38" s="92"/>
      <c r="AA38" s="217"/>
      <c r="AB38" s="92"/>
      <c r="AC38" s="92"/>
      <c r="AD38" s="218"/>
      <c r="AE38" s="92"/>
      <c r="AF38" s="92"/>
      <c r="AG38" s="92"/>
      <c r="AH38" s="92">
        <f t="shared" ref="AH38" si="143">AH37/-AH84</f>
        <v>7.5569723736594388E-2</v>
      </c>
      <c r="AI38" s="217">
        <f t="shared" ref="AI38" si="144">AI37/-AI84</f>
        <v>7.5002593730952305E-2</v>
      </c>
      <c r="AJ38" s="92">
        <f t="shared" ref="AJ38" si="145">AJ37/-AJ84</f>
        <v>7.4046929588533247E-2</v>
      </c>
      <c r="AK38" s="430">
        <f t="shared" ref="AK38" si="146">AK37/-AK84</f>
        <v>7.4710348270697419E-2</v>
      </c>
      <c r="AL38" s="431">
        <f t="shared" ref="AL38" si="147">AL37/-AL84</f>
        <v>8.501397579171234E-2</v>
      </c>
      <c r="AM38" s="570">
        <f t="shared" ref="AM38" si="148">AM37/-AM84</f>
        <v>8.358373934880127E-2</v>
      </c>
      <c r="AN38" s="430">
        <f t="shared" ref="AN38" si="149">AN37/-AN84</f>
        <v>8.4969626833720571E-2</v>
      </c>
      <c r="AO38" s="430">
        <f t="shared" ref="AO38" si="150">AO37/-AO84</f>
        <v>8.4105376340160215E-2</v>
      </c>
      <c r="AP38" s="431">
        <f t="shared" ref="AP38" si="151">AP37/-AP84</f>
        <v>8.4931179594611939E-2</v>
      </c>
      <c r="AQ38" s="570">
        <f t="shared" ref="AQ38:AS38" si="152">AQ37/-AQ84</f>
        <v>8.3788706739526417E-2</v>
      </c>
      <c r="AR38" s="637">
        <f t="shared" si="152"/>
        <v>9.7966728280961188E-2</v>
      </c>
      <c r="AS38" s="430">
        <f t="shared" si="152"/>
        <v>9.7785977859778592E-2</v>
      </c>
      <c r="AT38" s="431">
        <f>AT37/-AT84</f>
        <v>0.11317254174397032</v>
      </c>
      <c r="AU38" s="570">
        <f t="shared" ref="AU38:AW38" si="153">AU37/-AU84</f>
        <v>0.1154562383612663</v>
      </c>
      <c r="AV38" s="637">
        <f t="shared" si="153"/>
        <v>0.11610486891385768</v>
      </c>
      <c r="AW38" s="637">
        <f t="shared" si="153"/>
        <v>0.11524163568773234</v>
      </c>
      <c r="AX38" s="431">
        <f>AX37/-AX84</f>
        <v>0.13743218806509946</v>
      </c>
      <c r="AY38" s="872">
        <f>AY37/-AY84</f>
        <v>0.13851351351351351</v>
      </c>
      <c r="AZ38" s="637">
        <f t="shared" ref="AZ38:BA38" si="154">AZ37/-AZ84</f>
        <v>0.1407035175879397</v>
      </c>
      <c r="BA38" s="637">
        <f t="shared" si="154"/>
        <v>0.13930348258706468</v>
      </c>
      <c r="BB38" s="1003">
        <f>BB37/-BB84</f>
        <v>0.15016501650165018</v>
      </c>
      <c r="BC38" s="960">
        <f t="shared" ref="BC38:BJ38" si="155">BB38</f>
        <v>0.15016501650165018</v>
      </c>
      <c r="BD38" s="961">
        <f t="shared" si="155"/>
        <v>0.15016501650165018</v>
      </c>
      <c r="BE38" s="433">
        <f t="shared" si="155"/>
        <v>0.15016501650165018</v>
      </c>
      <c r="BF38" s="676">
        <f t="shared" si="155"/>
        <v>0.15016501650165018</v>
      </c>
      <c r="BG38" s="960">
        <f t="shared" si="155"/>
        <v>0.15016501650165018</v>
      </c>
      <c r="BH38" s="961">
        <f t="shared" si="155"/>
        <v>0.15016501650165018</v>
      </c>
      <c r="BI38" s="433">
        <f t="shared" si="155"/>
        <v>0.15016501650165018</v>
      </c>
      <c r="BJ38" s="676">
        <f t="shared" si="155"/>
        <v>0.15016501650165018</v>
      </c>
      <c r="BK38" s="960">
        <f t="shared" ref="BK38" si="156">BJ38</f>
        <v>0.15016501650165018</v>
      </c>
      <c r="BL38" s="961">
        <f t="shared" ref="BL38" si="157">BK38</f>
        <v>0.15016501650165018</v>
      </c>
      <c r="BM38" s="433">
        <f t="shared" ref="BM38" si="158">BL38</f>
        <v>0.15016501650165018</v>
      </c>
      <c r="BN38" s="676">
        <f t="shared" ref="BN38" si="159">BM38</f>
        <v>0.15016501650165018</v>
      </c>
      <c r="BO38" s="432"/>
      <c r="BP38" s="430"/>
      <c r="BQ38" s="430"/>
      <c r="BR38" s="430"/>
      <c r="BS38" s="430"/>
      <c r="BT38" s="430"/>
      <c r="BU38" s="430"/>
      <c r="BV38" s="430"/>
      <c r="BW38" s="430"/>
      <c r="BX38" s="430">
        <f t="shared" ref="BX38:CE38" si="160">BX37/-BX85</f>
        <v>0.30509763541593055</v>
      </c>
      <c r="BY38" s="430">
        <f t="shared" si="160"/>
        <v>0.33062265268414126</v>
      </c>
      <c r="BZ38" s="430">
        <f t="shared" si="160"/>
        <v>0.37335670464504822</v>
      </c>
      <c r="CA38" s="430">
        <f t="shared" si="160"/>
        <v>0.41243604879968515</v>
      </c>
      <c r="CB38" s="430">
        <f t="shared" si="160"/>
        <v>0.53913043478260869</v>
      </c>
      <c r="CC38" s="430">
        <f t="shared" si="160"/>
        <v>0.57961783439490444</v>
      </c>
      <c r="CD38" s="430">
        <f t="shared" si="160"/>
        <v>0.57961783439490455</v>
      </c>
      <c r="CE38" s="430">
        <f t="shared" si="160"/>
        <v>0.57961783439490444</v>
      </c>
      <c r="CF38" s="990"/>
      <c r="CG38" s="990"/>
      <c r="CH38" s="990"/>
      <c r="CY38"/>
      <c r="CZ38"/>
      <c r="DA38"/>
      <c r="DB38"/>
      <c r="DC38"/>
      <c r="DD38"/>
    </row>
    <row r="39" spans="1:108" s="5" customFormat="1">
      <c r="B39" s="84"/>
      <c r="C39" s="217"/>
      <c r="D39" s="92"/>
      <c r="E39" s="92"/>
      <c r="F39" s="218"/>
      <c r="G39" s="92"/>
      <c r="H39" s="92"/>
      <c r="I39" s="92"/>
      <c r="J39" s="92"/>
      <c r="K39" s="217"/>
      <c r="L39" s="92"/>
      <c r="M39" s="92"/>
      <c r="N39" s="218"/>
      <c r="O39" s="92"/>
      <c r="P39" s="92"/>
      <c r="Q39" s="92"/>
      <c r="R39" s="92"/>
      <c r="S39" s="217"/>
      <c r="T39" s="92"/>
      <c r="U39" s="92"/>
      <c r="V39" s="218"/>
      <c r="W39" s="92"/>
      <c r="X39" s="92"/>
      <c r="Y39" s="92"/>
      <c r="Z39" s="92"/>
      <c r="AA39" s="217"/>
      <c r="AB39" s="92"/>
      <c r="AC39" s="92"/>
      <c r="AD39" s="218"/>
      <c r="AE39" s="92"/>
      <c r="AF39" s="92"/>
      <c r="AG39" s="92"/>
      <c r="AH39" s="92"/>
      <c r="AI39" s="217"/>
      <c r="AJ39" s="92"/>
      <c r="AK39" s="430"/>
      <c r="AL39" s="431"/>
      <c r="AM39" s="217"/>
      <c r="AN39" s="430"/>
      <c r="AO39" s="499"/>
      <c r="AP39" s="431"/>
      <c r="AQ39" s="217"/>
      <c r="AR39" s="499" t="s">
        <v>383</v>
      </c>
      <c r="AS39" s="499" t="s">
        <v>383</v>
      </c>
      <c r="AT39" s="431"/>
      <c r="AU39" s="217"/>
      <c r="AV39" s="499" t="s">
        <v>383</v>
      </c>
      <c r="AW39" s="499" t="s">
        <v>383</v>
      </c>
      <c r="AX39" s="431"/>
      <c r="AY39" s="217"/>
      <c r="AZ39" s="499" t="s">
        <v>383</v>
      </c>
      <c r="BA39" s="499" t="s">
        <v>383</v>
      </c>
      <c r="BB39" s="431"/>
      <c r="BC39" s="1005"/>
      <c r="BD39" s="1006"/>
      <c r="BE39" s="1006"/>
      <c r="BF39" s="1007"/>
      <c r="BG39" s="1005"/>
      <c r="BH39" s="1006"/>
      <c r="BI39" s="1006"/>
      <c r="BJ39" s="1007"/>
      <c r="BK39" s="217"/>
      <c r="BL39" s="499"/>
      <c r="BM39" s="499"/>
      <c r="BN39" s="431"/>
      <c r="BO39" s="432"/>
      <c r="BP39" s="500"/>
      <c r="BQ39" s="500"/>
      <c r="BR39" s="500"/>
      <c r="BS39" s="500"/>
      <c r="BT39" s="500"/>
      <c r="BU39" s="500"/>
      <c r="BV39" s="500"/>
      <c r="BW39" s="500"/>
      <c r="BX39" s="500"/>
      <c r="BY39" s="500"/>
      <c r="BZ39" s="500"/>
      <c r="CA39" s="500"/>
      <c r="CB39" s="992"/>
      <c r="CC39" s="992"/>
      <c r="CD39" s="992"/>
      <c r="CE39" s="992"/>
      <c r="CF39" s="994"/>
      <c r="CG39" s="200"/>
      <c r="CY39"/>
      <c r="CZ39"/>
      <c r="DA39"/>
      <c r="DB39"/>
      <c r="DC39"/>
      <c r="DD39"/>
    </row>
    <row r="40" spans="1:108">
      <c r="A40" s="108"/>
      <c r="B40" s="415" t="s">
        <v>304</v>
      </c>
      <c r="C40" s="527"/>
      <c r="D40" s="528"/>
      <c r="E40" s="528"/>
      <c r="F40" s="529"/>
      <c r="G40" s="528"/>
      <c r="H40" s="528"/>
      <c r="I40" s="528"/>
      <c r="J40" s="528"/>
      <c r="K40" s="527"/>
      <c r="L40" s="528"/>
      <c r="M40" s="528"/>
      <c r="N40" s="529"/>
      <c r="O40" s="528"/>
      <c r="P40" s="528"/>
      <c r="Q40" s="528"/>
      <c r="R40" s="528"/>
      <c r="S40" s="527"/>
      <c r="T40" s="528"/>
      <c r="U40" s="528"/>
      <c r="V40" s="529"/>
      <c r="W40" s="528"/>
      <c r="X40" s="528"/>
      <c r="Y40" s="528"/>
      <c r="Z40" s="528"/>
      <c r="AA40" s="527"/>
      <c r="AB40" s="528"/>
      <c r="AC40" s="528"/>
      <c r="AD40" s="529"/>
      <c r="AE40" s="528"/>
      <c r="AF40" s="528"/>
      <c r="AG40" s="528"/>
      <c r="AH40" s="528"/>
      <c r="AI40" s="527"/>
      <c r="AJ40" s="528"/>
      <c r="AK40" s="528"/>
      <c r="AL40" s="529"/>
      <c r="AM40" s="527"/>
      <c r="AN40" s="528"/>
      <c r="AO40" s="528"/>
      <c r="AP40" s="529"/>
      <c r="AQ40" s="527"/>
      <c r="AR40" s="528"/>
      <c r="AS40" s="528"/>
      <c r="AT40" s="529"/>
      <c r="AU40" s="527"/>
      <c r="AV40" s="528"/>
      <c r="AW40" s="528"/>
      <c r="AX40" s="529"/>
      <c r="AY40" s="527"/>
      <c r="AZ40" s="528"/>
      <c r="BA40" s="528"/>
      <c r="BB40" s="529"/>
      <c r="BC40" s="527"/>
      <c r="BD40" s="528"/>
      <c r="BE40" s="528"/>
      <c r="BF40" s="529"/>
      <c r="BG40" s="527"/>
      <c r="BH40" s="528"/>
      <c r="BI40" s="528"/>
      <c r="BJ40" s="529"/>
      <c r="BK40" s="527"/>
      <c r="BL40" s="528"/>
      <c r="BM40" s="528"/>
      <c r="BN40" s="529"/>
      <c r="BO40" s="528"/>
      <c r="BP40" s="528"/>
      <c r="BQ40" s="528"/>
      <c r="BR40" s="528"/>
      <c r="BS40" s="528"/>
      <c r="BT40" s="528"/>
      <c r="BU40" s="528"/>
      <c r="BV40" s="528"/>
      <c r="BW40" s="528"/>
      <c r="BX40" s="528"/>
      <c r="BY40" s="528"/>
      <c r="BZ40" s="528"/>
      <c r="CA40" s="528"/>
      <c r="CB40" s="528"/>
      <c r="CC40" s="528"/>
      <c r="CD40" s="528"/>
      <c r="CE40" s="528"/>
      <c r="CF40" s="14"/>
    </row>
    <row r="41" spans="1:108">
      <c r="A41" s="108"/>
      <c r="B41" s="5" t="s">
        <v>1</v>
      </c>
      <c r="C41" s="221">
        <f t="shared" ref="C41:AT41" si="161">C7</f>
        <v>583.846</v>
      </c>
      <c r="D41" s="115">
        <f t="shared" si="161"/>
        <v>574.81200000000001</v>
      </c>
      <c r="E41" s="115">
        <f t="shared" si="161"/>
        <v>583.41499999999996</v>
      </c>
      <c r="F41" s="222">
        <f t="shared" si="161"/>
        <v>633.61400000000003</v>
      </c>
      <c r="G41" s="115">
        <f t="shared" si="161"/>
        <v>681.80700000000002</v>
      </c>
      <c r="H41" s="115">
        <f t="shared" si="161"/>
        <v>687.51900000000001</v>
      </c>
      <c r="I41" s="115">
        <f t="shared" si="161"/>
        <v>820.572</v>
      </c>
      <c r="J41" s="115">
        <f t="shared" si="161"/>
        <v>878.87300000000005</v>
      </c>
      <c r="K41" s="221">
        <f t="shared" si="161"/>
        <v>844.28</v>
      </c>
      <c r="L41" s="115">
        <f t="shared" si="161"/>
        <v>935.25300000000004</v>
      </c>
      <c r="M41" s="115">
        <f t="shared" si="161"/>
        <v>1115.597</v>
      </c>
      <c r="N41" s="222">
        <f t="shared" si="161"/>
        <v>1202.7299999999998</v>
      </c>
      <c r="O41" s="115">
        <f t="shared" si="161"/>
        <v>1153.3879999999999</v>
      </c>
      <c r="P41" s="115">
        <f t="shared" si="161"/>
        <v>892.67600000000004</v>
      </c>
      <c r="Q41" s="115">
        <f t="shared" si="161"/>
        <v>897.65499999999997</v>
      </c>
      <c r="R41" s="115">
        <f t="shared" si="161"/>
        <v>481.13999999999987</v>
      </c>
      <c r="S41" s="221">
        <f t="shared" si="161"/>
        <v>664.23099999999999</v>
      </c>
      <c r="T41" s="115">
        <f t="shared" si="161"/>
        <v>776.52</v>
      </c>
      <c r="U41" s="115">
        <f t="shared" si="161"/>
        <v>903.20600000000002</v>
      </c>
      <c r="V41" s="222">
        <f t="shared" si="161"/>
        <v>982.48800000000006</v>
      </c>
      <c r="W41" s="115">
        <f t="shared" si="161"/>
        <v>1001.813</v>
      </c>
      <c r="X41" s="115">
        <f t="shared" si="161"/>
        <v>811.20799999999997</v>
      </c>
      <c r="Y41" s="115">
        <f t="shared" si="161"/>
        <v>843.91200000000003</v>
      </c>
      <c r="Z41" s="115">
        <f t="shared" si="161"/>
        <v>886.37599999999986</v>
      </c>
      <c r="AA41" s="221">
        <f t="shared" si="161"/>
        <v>962.03899999999999</v>
      </c>
      <c r="AB41" s="115">
        <f t="shared" si="161"/>
        <v>1016.5170000000001</v>
      </c>
      <c r="AC41" s="115">
        <f t="shared" si="161"/>
        <v>1066.18</v>
      </c>
      <c r="AD41" s="222">
        <f t="shared" si="161"/>
        <v>953.19399999999996</v>
      </c>
      <c r="AE41" s="115">
        <f t="shared" si="161"/>
        <v>924.87699999999995</v>
      </c>
      <c r="AF41" s="115">
        <f t="shared" si="161"/>
        <v>1044.27</v>
      </c>
      <c r="AG41" s="115">
        <f t="shared" si="161"/>
        <v>1204.1099999999999</v>
      </c>
      <c r="AH41" s="115">
        <f t="shared" si="161"/>
        <v>1106.902</v>
      </c>
      <c r="AI41" s="221">
        <f t="shared" si="161"/>
        <v>954.73900000000003</v>
      </c>
      <c r="AJ41" s="115">
        <f t="shared" si="161"/>
        <v>977.23800000000006</v>
      </c>
      <c r="AK41" s="115">
        <f t="shared" si="161"/>
        <v>1053.9670000000001</v>
      </c>
      <c r="AL41" s="222">
        <f t="shared" si="161"/>
        <v>1144.2180000000003</v>
      </c>
      <c r="AM41" s="221">
        <f t="shared" si="161"/>
        <v>1102.787</v>
      </c>
      <c r="AN41" s="115">
        <f t="shared" si="161"/>
        <v>1102.8240000000001</v>
      </c>
      <c r="AO41" s="115">
        <f t="shared" si="161"/>
        <v>1225.3820000000001</v>
      </c>
      <c r="AP41" s="222">
        <f t="shared" si="161"/>
        <v>1250.5139999999999</v>
      </c>
      <c r="AQ41" s="221">
        <f t="shared" si="161"/>
        <v>1151</v>
      </c>
      <c r="AR41" s="115">
        <f t="shared" si="161"/>
        <v>1153</v>
      </c>
      <c r="AS41" s="115">
        <f t="shared" si="161"/>
        <v>1305</v>
      </c>
      <c r="AT41" s="222">
        <f t="shared" si="161"/>
        <v>1401</v>
      </c>
      <c r="AU41" s="221">
        <f t="shared" ref="AU41:AX41" si="162">AU7</f>
        <v>1305</v>
      </c>
      <c r="AV41" s="115">
        <f t="shared" si="162"/>
        <v>1428</v>
      </c>
      <c r="AW41" s="115">
        <f t="shared" si="162"/>
        <v>2004</v>
      </c>
      <c r="AX41" s="222">
        <f t="shared" si="162"/>
        <v>2173</v>
      </c>
      <c r="AY41" s="221">
        <f t="shared" ref="AY41:AZ41" si="163">AY7</f>
        <v>1937</v>
      </c>
      <c r="AZ41" s="115">
        <f t="shared" si="163"/>
        <v>2230</v>
      </c>
      <c r="BA41" s="115">
        <f t="shared" ref="BA41:BB41" si="164">BA7</f>
        <v>2636</v>
      </c>
      <c r="BB41" s="222">
        <f t="shared" si="164"/>
        <v>2911</v>
      </c>
      <c r="BC41" s="221">
        <f t="shared" ref="BC41:BJ41" si="165">BC7</f>
        <v>2921.4992061885541</v>
      </c>
      <c r="BD41" s="115">
        <f t="shared" si="165"/>
        <v>3157.7929861175189</v>
      </c>
      <c r="BE41" s="115">
        <f t="shared" si="165"/>
        <v>3408.76751356866</v>
      </c>
      <c r="BF41" s="222">
        <f t="shared" si="165"/>
        <v>3540.3997760779021</v>
      </c>
      <c r="BG41" s="221">
        <f t="shared" si="165"/>
        <v>3289.123932639282</v>
      </c>
      <c r="BH41" s="115">
        <f t="shared" si="165"/>
        <v>3683.0310512199744</v>
      </c>
      <c r="BI41" s="115">
        <f t="shared" si="165"/>
        <v>3983.4520978772739</v>
      </c>
      <c r="BJ41" s="222">
        <f t="shared" si="165"/>
        <v>4039.3637847652603</v>
      </c>
      <c r="BK41" s="221">
        <f t="shared" ref="BK41:BN41" si="166">BK7</f>
        <v>3778.7515910203692</v>
      </c>
      <c r="BL41" s="115">
        <f t="shared" si="166"/>
        <v>4237.0212800938998</v>
      </c>
      <c r="BM41" s="115">
        <f t="shared" si="166"/>
        <v>4549.6430580955694</v>
      </c>
      <c r="BN41" s="222">
        <f t="shared" si="166"/>
        <v>4637.8781018430618</v>
      </c>
      <c r="BO41" s="115"/>
      <c r="BP41" s="115">
        <f t="shared" ref="BP41:CA41" si="167">BP7</f>
        <v>2375.6869999999999</v>
      </c>
      <c r="BQ41" s="115">
        <f t="shared" si="167"/>
        <v>3068.7710000000002</v>
      </c>
      <c r="BR41" s="115">
        <f t="shared" si="167"/>
        <v>4097.8599999999997</v>
      </c>
      <c r="BS41" s="115">
        <f t="shared" si="167"/>
        <v>3424.8589999999999</v>
      </c>
      <c r="BT41" s="115">
        <f t="shared" si="167"/>
        <v>3326.4449999999997</v>
      </c>
      <c r="BU41" s="115">
        <f t="shared" si="167"/>
        <v>3543.3089999999997</v>
      </c>
      <c r="BV41" s="115">
        <f t="shared" si="167"/>
        <v>3997.93</v>
      </c>
      <c r="BW41" s="115">
        <f t="shared" si="167"/>
        <v>4280.1589999999997</v>
      </c>
      <c r="BX41" s="115">
        <f t="shared" si="167"/>
        <v>4130.1620000000003</v>
      </c>
      <c r="BY41" s="115">
        <f t="shared" si="167"/>
        <v>4681.5069999999996</v>
      </c>
      <c r="BZ41" s="115">
        <f t="shared" si="167"/>
        <v>5010</v>
      </c>
      <c r="CA41" s="115">
        <f t="shared" si="167"/>
        <v>6910</v>
      </c>
      <c r="CB41" s="115">
        <f t="shared" ref="CB41:CC41" si="168">CB7</f>
        <v>9714</v>
      </c>
      <c r="CC41" s="115">
        <f t="shared" si="168"/>
        <v>13028.459481952636</v>
      </c>
      <c r="CD41" s="115">
        <f t="shared" ref="CD41:CE41" si="169">CD7</f>
        <v>14994.970866501792</v>
      </c>
      <c r="CE41" s="115">
        <f t="shared" si="169"/>
        <v>17203.294031052901</v>
      </c>
      <c r="CF41" s="14"/>
    </row>
    <row r="42" spans="1:108" s="5" customFormat="1">
      <c r="B42" s="116" t="s">
        <v>212</v>
      </c>
      <c r="C42" s="223">
        <f t="shared" ref="C42:AT42" si="170">C11+C12</f>
        <v>373.69299999999998</v>
      </c>
      <c r="D42" s="52">
        <f t="shared" si="170"/>
        <v>357.43700000000001</v>
      </c>
      <c r="E42" s="52">
        <f t="shared" si="170"/>
        <v>355.42</v>
      </c>
      <c r="F42" s="224">
        <f t="shared" si="170"/>
        <v>379.10399999999993</v>
      </c>
      <c r="G42" s="52">
        <f t="shared" si="170"/>
        <v>393.05</v>
      </c>
      <c r="H42" s="52">
        <f t="shared" si="170"/>
        <v>395.39100000000002</v>
      </c>
      <c r="I42" s="52">
        <f t="shared" si="170"/>
        <v>470.63</v>
      </c>
      <c r="J42" s="52">
        <f t="shared" si="170"/>
        <v>493.16699999999992</v>
      </c>
      <c r="K42" s="223">
        <f t="shared" si="170"/>
        <v>464.142</v>
      </c>
      <c r="L42" s="52">
        <f t="shared" si="170"/>
        <v>511.26100000000002</v>
      </c>
      <c r="M42" s="52">
        <f t="shared" si="170"/>
        <v>600.04399999999998</v>
      </c>
      <c r="N42" s="224">
        <f t="shared" si="170"/>
        <v>653.13300000000004</v>
      </c>
      <c r="O42" s="52">
        <f t="shared" si="170"/>
        <v>638.54499999999996</v>
      </c>
      <c r="P42" s="52">
        <f t="shared" si="170"/>
        <v>546.80500000000006</v>
      </c>
      <c r="Q42" s="52">
        <f t="shared" si="170"/>
        <v>525.31200000000001</v>
      </c>
      <c r="R42" s="52">
        <f t="shared" si="170"/>
        <v>346.13900000000029</v>
      </c>
      <c r="S42" s="223">
        <f t="shared" si="170"/>
        <v>474.53500000000003</v>
      </c>
      <c r="T42" s="52">
        <f t="shared" si="170"/>
        <v>499.80400000000003</v>
      </c>
      <c r="U42" s="52">
        <f t="shared" si="170"/>
        <v>535.53800000000001</v>
      </c>
      <c r="V42" s="224">
        <f t="shared" si="170"/>
        <v>543.76699999999983</v>
      </c>
      <c r="W42" s="52">
        <f t="shared" si="170"/>
        <v>545.43600000000004</v>
      </c>
      <c r="X42" s="52">
        <f t="shared" si="170"/>
        <v>495.72300000000007</v>
      </c>
      <c r="Y42" s="52">
        <f t="shared" si="170"/>
        <v>451.85</v>
      </c>
      <c r="Z42" s="52">
        <f t="shared" si="170"/>
        <v>460.01700000000005</v>
      </c>
      <c r="AA42" s="223">
        <f t="shared" si="170"/>
        <v>477.536</v>
      </c>
      <c r="AB42" s="52">
        <f t="shared" si="170"/>
        <v>491.233</v>
      </c>
      <c r="AC42" s="52">
        <f t="shared" si="170"/>
        <v>509.46300000000002</v>
      </c>
      <c r="AD42" s="224">
        <f t="shared" si="170"/>
        <v>455.88099999999997</v>
      </c>
      <c r="AE42" s="52">
        <f t="shared" si="170"/>
        <v>461.51299999999998</v>
      </c>
      <c r="AF42" s="52">
        <f t="shared" si="170"/>
        <v>503.55099999999999</v>
      </c>
      <c r="AG42" s="52">
        <f t="shared" si="170"/>
        <v>567.452</v>
      </c>
      <c r="AH42" s="52">
        <f t="shared" si="170"/>
        <v>521.29999999999995</v>
      </c>
      <c r="AI42" s="223">
        <f t="shared" si="170"/>
        <v>436.17099999999999</v>
      </c>
      <c r="AJ42" s="52">
        <f t="shared" si="170"/>
        <v>429.40999999999997</v>
      </c>
      <c r="AK42" s="52">
        <f t="shared" si="170"/>
        <v>469.55200000000002</v>
      </c>
      <c r="AL42" s="224">
        <f t="shared" si="170"/>
        <v>531.30799999999965</v>
      </c>
      <c r="AM42" s="223">
        <f t="shared" si="170"/>
        <v>498.58499999999998</v>
      </c>
      <c r="AN42" s="52">
        <f t="shared" si="170"/>
        <v>483.85</v>
      </c>
      <c r="AO42" s="52">
        <f t="shared" si="170"/>
        <v>548.68399999999997</v>
      </c>
      <c r="AP42" s="224">
        <f t="shared" si="170"/>
        <v>550.91099999999994</v>
      </c>
      <c r="AQ42" s="223">
        <f t="shared" si="170"/>
        <v>498</v>
      </c>
      <c r="AR42" s="52">
        <f t="shared" si="170"/>
        <v>504</v>
      </c>
      <c r="AS42" s="52">
        <f t="shared" si="170"/>
        <v>571</v>
      </c>
      <c r="AT42" s="224">
        <f t="shared" si="170"/>
        <v>606</v>
      </c>
      <c r="AU42" s="223">
        <f t="shared" ref="AU42:AX42" si="171">AU11+AU12</f>
        <v>544</v>
      </c>
      <c r="AV42" s="52">
        <f t="shared" si="171"/>
        <v>602</v>
      </c>
      <c r="AW42" s="52">
        <f t="shared" si="171"/>
        <v>821</v>
      </c>
      <c r="AX42" s="224">
        <f t="shared" si="171"/>
        <v>870</v>
      </c>
      <c r="AY42" s="223">
        <f t="shared" ref="AY42:AZ42" si="172">AY11+AY12</f>
        <v>787</v>
      </c>
      <c r="AZ42" s="52">
        <f t="shared" si="172"/>
        <v>928</v>
      </c>
      <c r="BA42" s="52">
        <f t="shared" ref="BA42:BB42" si="173">BA11+BA12</f>
        <v>1067</v>
      </c>
      <c r="BB42" s="224">
        <f t="shared" si="173"/>
        <v>1109</v>
      </c>
      <c r="BC42" s="223">
        <f t="shared" ref="BC42:BJ42" si="174">BC11+BC12</f>
        <v>1085.8808410884767</v>
      </c>
      <c r="BD42" s="52">
        <f t="shared" si="174"/>
        <v>1189.580411476423</v>
      </c>
      <c r="BE42" s="52">
        <f t="shared" si="174"/>
        <v>1298.1507939874641</v>
      </c>
      <c r="BF42" s="224">
        <f t="shared" si="174"/>
        <v>1349.5061391133399</v>
      </c>
      <c r="BG42" s="223">
        <f t="shared" si="174"/>
        <v>1246.2006698682203</v>
      </c>
      <c r="BH42" s="52">
        <f t="shared" si="174"/>
        <v>1398.9626249468047</v>
      </c>
      <c r="BI42" s="52">
        <f t="shared" si="174"/>
        <v>1519.2327185812442</v>
      </c>
      <c r="BJ42" s="224">
        <f t="shared" si="174"/>
        <v>1529.3986234453996</v>
      </c>
      <c r="BK42" s="223">
        <f t="shared" ref="BK42:BN42" si="175">BK11+BK12</f>
        <v>1418.2007809066959</v>
      </c>
      <c r="BL42" s="52">
        <f t="shared" si="175"/>
        <v>1594.1010380018279</v>
      </c>
      <c r="BM42" s="52">
        <f t="shared" si="175"/>
        <v>1715.8388996238123</v>
      </c>
      <c r="BN42" s="224">
        <f t="shared" si="175"/>
        <v>1735.4160836363603</v>
      </c>
      <c r="BO42" s="135"/>
      <c r="BP42" s="52">
        <f t="shared" ref="BP42:CA42" si="176">BP11+BP12</f>
        <v>1465.654</v>
      </c>
      <c r="BQ42" s="52">
        <f t="shared" si="176"/>
        <v>1752.2379999999998</v>
      </c>
      <c r="BR42" s="52">
        <f t="shared" si="176"/>
        <v>2228.58</v>
      </c>
      <c r="BS42" s="52">
        <f t="shared" si="176"/>
        <v>2056.8009999999999</v>
      </c>
      <c r="BT42" s="52">
        <f t="shared" si="176"/>
        <v>2053.6439999999998</v>
      </c>
      <c r="BU42" s="52">
        <f t="shared" si="176"/>
        <v>1953.0260000000001</v>
      </c>
      <c r="BV42" s="52">
        <f t="shared" si="176"/>
        <v>1934.1130000000001</v>
      </c>
      <c r="BW42" s="52">
        <f t="shared" si="176"/>
        <v>2053.8159999999998</v>
      </c>
      <c r="BX42" s="52">
        <f t="shared" si="176"/>
        <v>1866.4409999999996</v>
      </c>
      <c r="BY42" s="52">
        <f t="shared" si="176"/>
        <v>2082.0299999999997</v>
      </c>
      <c r="BZ42" s="52">
        <f t="shared" si="176"/>
        <v>2179</v>
      </c>
      <c r="CA42" s="52">
        <f t="shared" si="176"/>
        <v>2837</v>
      </c>
      <c r="CB42" s="52">
        <f t="shared" ref="CB42:CC42" si="177">CB11+CB12</f>
        <v>3891</v>
      </c>
      <c r="CC42" s="52">
        <f t="shared" si="177"/>
        <v>4923.118185665704</v>
      </c>
      <c r="CD42" s="52">
        <f t="shared" ref="CD42:CE42" si="178">CD11+CD12</f>
        <v>5693.7946368416688</v>
      </c>
      <c r="CE42" s="52">
        <f t="shared" si="178"/>
        <v>6463.5568021686959</v>
      </c>
      <c r="CF42" s="14"/>
      <c r="CY42"/>
      <c r="CZ42"/>
      <c r="DA42"/>
      <c r="DB42"/>
      <c r="DC42"/>
      <c r="DD42"/>
    </row>
    <row r="43" spans="1:108" s="9" customFormat="1">
      <c r="B43" s="249" t="s">
        <v>213</v>
      </c>
      <c r="C43" s="255">
        <f t="shared" ref="C43:AN43" si="179">C41-C42</f>
        <v>210.15300000000002</v>
      </c>
      <c r="D43" s="256">
        <f t="shared" si="179"/>
        <v>217.375</v>
      </c>
      <c r="E43" s="256">
        <f t="shared" si="179"/>
        <v>227.99499999999995</v>
      </c>
      <c r="F43" s="257">
        <f t="shared" si="179"/>
        <v>254.5100000000001</v>
      </c>
      <c r="G43" s="256">
        <f t="shared" si="179"/>
        <v>288.75700000000001</v>
      </c>
      <c r="H43" s="256">
        <f t="shared" si="179"/>
        <v>292.12799999999999</v>
      </c>
      <c r="I43" s="256">
        <f t="shared" si="179"/>
        <v>349.94200000000001</v>
      </c>
      <c r="J43" s="256">
        <f t="shared" si="179"/>
        <v>385.70600000000013</v>
      </c>
      <c r="K43" s="255">
        <f t="shared" si="179"/>
        <v>380.13799999999998</v>
      </c>
      <c r="L43" s="256">
        <f t="shared" si="179"/>
        <v>423.99200000000002</v>
      </c>
      <c r="M43" s="256">
        <f t="shared" si="179"/>
        <v>515.553</v>
      </c>
      <c r="N43" s="257">
        <f t="shared" si="179"/>
        <v>549.59699999999975</v>
      </c>
      <c r="O43" s="256">
        <f t="shared" si="179"/>
        <v>514.84299999999996</v>
      </c>
      <c r="P43" s="256">
        <f t="shared" si="179"/>
        <v>345.87099999999998</v>
      </c>
      <c r="Q43" s="256">
        <f t="shared" si="179"/>
        <v>372.34299999999996</v>
      </c>
      <c r="R43" s="256">
        <f t="shared" si="179"/>
        <v>135.00099999999958</v>
      </c>
      <c r="S43" s="255">
        <f t="shared" si="179"/>
        <v>189.69599999999997</v>
      </c>
      <c r="T43" s="256">
        <f t="shared" si="179"/>
        <v>276.71599999999995</v>
      </c>
      <c r="U43" s="256">
        <f t="shared" si="179"/>
        <v>367.66800000000001</v>
      </c>
      <c r="V43" s="257">
        <f t="shared" si="179"/>
        <v>438.72100000000023</v>
      </c>
      <c r="W43" s="256">
        <f t="shared" si="179"/>
        <v>456.37699999999995</v>
      </c>
      <c r="X43" s="256">
        <f t="shared" si="179"/>
        <v>315.4849999999999</v>
      </c>
      <c r="Y43" s="256">
        <f t="shared" si="179"/>
        <v>392.06200000000001</v>
      </c>
      <c r="Z43" s="256">
        <f t="shared" si="179"/>
        <v>426.35899999999981</v>
      </c>
      <c r="AA43" s="255">
        <f t="shared" si="179"/>
        <v>484.50299999999999</v>
      </c>
      <c r="AB43" s="256">
        <f t="shared" si="179"/>
        <v>525.28400000000011</v>
      </c>
      <c r="AC43" s="256">
        <f t="shared" si="179"/>
        <v>556.7170000000001</v>
      </c>
      <c r="AD43" s="257">
        <f t="shared" si="179"/>
        <v>497.31299999999999</v>
      </c>
      <c r="AE43" s="256">
        <f t="shared" si="179"/>
        <v>463.36399999999998</v>
      </c>
      <c r="AF43" s="256">
        <f t="shared" si="179"/>
        <v>540.71900000000005</v>
      </c>
      <c r="AG43" s="256">
        <f t="shared" si="179"/>
        <v>636.6579999999999</v>
      </c>
      <c r="AH43" s="256">
        <f t="shared" si="179"/>
        <v>585.60200000000009</v>
      </c>
      <c r="AI43" s="255">
        <f t="shared" si="179"/>
        <v>518.56799999999998</v>
      </c>
      <c r="AJ43" s="256">
        <f t="shared" si="179"/>
        <v>547.82800000000009</v>
      </c>
      <c r="AK43" s="256">
        <f t="shared" si="179"/>
        <v>584.41500000000008</v>
      </c>
      <c r="AL43" s="257">
        <f t="shared" si="179"/>
        <v>612.91000000000065</v>
      </c>
      <c r="AM43" s="255">
        <f t="shared" si="179"/>
        <v>604.202</v>
      </c>
      <c r="AN43" s="256">
        <f t="shared" si="179"/>
        <v>618.97400000000005</v>
      </c>
      <c r="AO43" s="256">
        <f t="shared" ref="AO43:AT43" si="180">AO41-AO42</f>
        <v>676.69800000000009</v>
      </c>
      <c r="AP43" s="257">
        <f t="shared" si="180"/>
        <v>699.60299999999995</v>
      </c>
      <c r="AQ43" s="255">
        <f t="shared" si="180"/>
        <v>653</v>
      </c>
      <c r="AR43" s="256">
        <f t="shared" si="180"/>
        <v>649</v>
      </c>
      <c r="AS43" s="256">
        <f t="shared" si="180"/>
        <v>734</v>
      </c>
      <c r="AT43" s="257">
        <f t="shared" si="180"/>
        <v>795</v>
      </c>
      <c r="AU43" s="255">
        <f t="shared" ref="AU43:AX43" si="181">AU41-AU42</f>
        <v>761</v>
      </c>
      <c r="AV43" s="256">
        <f t="shared" si="181"/>
        <v>826</v>
      </c>
      <c r="AW43" s="256">
        <f t="shared" si="181"/>
        <v>1183</v>
      </c>
      <c r="AX43" s="257">
        <f t="shared" si="181"/>
        <v>1303</v>
      </c>
      <c r="AY43" s="255">
        <f t="shared" ref="AY43:AZ43" si="182">AY41-AY42</f>
        <v>1150</v>
      </c>
      <c r="AZ43" s="256">
        <f t="shared" si="182"/>
        <v>1302</v>
      </c>
      <c r="BA43" s="256">
        <f t="shared" ref="BA43:BB43" si="183">BA41-BA42</f>
        <v>1569</v>
      </c>
      <c r="BB43" s="257">
        <f t="shared" si="183"/>
        <v>1802</v>
      </c>
      <c r="BC43" s="255">
        <f t="shared" ref="BC43:BJ43" si="184">BC41-BC42</f>
        <v>1835.6183651000774</v>
      </c>
      <c r="BD43" s="256">
        <f t="shared" si="184"/>
        <v>1968.2125746410959</v>
      </c>
      <c r="BE43" s="256">
        <f t="shared" si="184"/>
        <v>2110.6167195811959</v>
      </c>
      <c r="BF43" s="257">
        <f t="shared" si="184"/>
        <v>2190.8936369645621</v>
      </c>
      <c r="BG43" s="255">
        <f t="shared" si="184"/>
        <v>2042.9232627710617</v>
      </c>
      <c r="BH43" s="256">
        <f t="shared" si="184"/>
        <v>2284.0684262731697</v>
      </c>
      <c r="BI43" s="256">
        <f t="shared" si="184"/>
        <v>2464.2193792960297</v>
      </c>
      <c r="BJ43" s="257">
        <f t="shared" si="184"/>
        <v>2509.9651613198607</v>
      </c>
      <c r="BK43" s="255">
        <f t="shared" ref="BK43:BN43" si="185">BK41-BK42</f>
        <v>2360.5508101136734</v>
      </c>
      <c r="BL43" s="256">
        <f t="shared" si="185"/>
        <v>2642.9202420920719</v>
      </c>
      <c r="BM43" s="256">
        <f t="shared" si="185"/>
        <v>2833.8041584717571</v>
      </c>
      <c r="BN43" s="257">
        <f t="shared" si="185"/>
        <v>2902.4620182067015</v>
      </c>
      <c r="BO43" s="136"/>
      <c r="BP43" s="256">
        <f t="shared" ref="BP43:BX43" si="186">BP41-BP42</f>
        <v>910.0329999999999</v>
      </c>
      <c r="BQ43" s="256">
        <f t="shared" si="186"/>
        <v>1316.5330000000004</v>
      </c>
      <c r="BR43" s="256">
        <f t="shared" si="186"/>
        <v>1869.2799999999997</v>
      </c>
      <c r="BS43" s="256">
        <f t="shared" si="186"/>
        <v>1368.058</v>
      </c>
      <c r="BT43" s="256">
        <f t="shared" si="186"/>
        <v>1272.8009999999999</v>
      </c>
      <c r="BU43" s="256">
        <f t="shared" si="186"/>
        <v>1590.2829999999997</v>
      </c>
      <c r="BV43" s="256">
        <f t="shared" si="186"/>
        <v>2063.817</v>
      </c>
      <c r="BW43" s="256">
        <f t="shared" si="186"/>
        <v>2226.3429999999998</v>
      </c>
      <c r="BX43" s="256">
        <f t="shared" si="186"/>
        <v>2263.7210000000005</v>
      </c>
      <c r="BY43" s="256">
        <f t="shared" ref="BY43:CA43" si="187">BY41-BY42</f>
        <v>2599.4769999999999</v>
      </c>
      <c r="BZ43" s="256">
        <f t="shared" si="187"/>
        <v>2831</v>
      </c>
      <c r="CA43" s="256">
        <f t="shared" si="187"/>
        <v>4073</v>
      </c>
      <c r="CB43" s="256">
        <f t="shared" ref="CB43:CC43" si="188">CB41-CB42</f>
        <v>5823</v>
      </c>
      <c r="CC43" s="256">
        <f t="shared" si="188"/>
        <v>8105.3412962869315</v>
      </c>
      <c r="CD43" s="256">
        <f t="shared" ref="CD43:CE43" si="189">CD41-CD42</f>
        <v>9301.1762296601228</v>
      </c>
      <c r="CE43" s="256">
        <f t="shared" si="189"/>
        <v>10739.737228884205</v>
      </c>
      <c r="CF43" s="14"/>
      <c r="CY43"/>
      <c r="CZ43"/>
      <c r="DA43"/>
      <c r="DB43"/>
      <c r="DC43"/>
      <c r="DD43"/>
    </row>
    <row r="44" spans="1:108" s="5" customFormat="1">
      <c r="B44" s="91" t="s">
        <v>214</v>
      </c>
      <c r="C44" s="225">
        <f t="shared" ref="C44:AN44" si="190">C43/C41</f>
        <v>0.3599459446497878</v>
      </c>
      <c r="D44" s="61">
        <f t="shared" si="190"/>
        <v>0.37816712246786777</v>
      </c>
      <c r="E44" s="61">
        <f t="shared" si="190"/>
        <v>0.39079386028813101</v>
      </c>
      <c r="F44" s="226">
        <f t="shared" si="190"/>
        <v>0.40167988712370639</v>
      </c>
      <c r="G44" s="61">
        <f t="shared" si="190"/>
        <v>0.42351721234894918</v>
      </c>
      <c r="H44" s="61">
        <f t="shared" si="190"/>
        <v>0.42490171180723729</v>
      </c>
      <c r="I44" s="61">
        <f t="shared" si="190"/>
        <v>0.42646105399648049</v>
      </c>
      <c r="J44" s="61">
        <f t="shared" si="190"/>
        <v>0.43886431828034322</v>
      </c>
      <c r="K44" s="225">
        <f t="shared" si="190"/>
        <v>0.45025110153029801</v>
      </c>
      <c r="L44" s="61">
        <f t="shared" si="190"/>
        <v>0.45334470993410342</v>
      </c>
      <c r="M44" s="61">
        <f t="shared" si="190"/>
        <v>0.46213193473987468</v>
      </c>
      <c r="N44" s="226">
        <f t="shared" si="190"/>
        <v>0.45695792073033836</v>
      </c>
      <c r="O44" s="61">
        <f t="shared" si="190"/>
        <v>0.44637450710428755</v>
      </c>
      <c r="P44" s="61">
        <f t="shared" si="190"/>
        <v>0.38745412669322349</v>
      </c>
      <c r="Q44" s="61">
        <f t="shared" si="190"/>
        <v>0.41479521642501849</v>
      </c>
      <c r="R44" s="61">
        <f t="shared" si="190"/>
        <v>0.28058569231408659</v>
      </c>
      <c r="S44" s="225">
        <f t="shared" si="190"/>
        <v>0.28558739354230678</v>
      </c>
      <c r="T44" s="61">
        <f t="shared" si="190"/>
        <v>0.35635398959460152</v>
      </c>
      <c r="U44" s="61">
        <f t="shared" si="190"/>
        <v>0.40706992646195883</v>
      </c>
      <c r="V44" s="226">
        <f t="shared" si="190"/>
        <v>0.44654082289045788</v>
      </c>
      <c r="W44" s="61">
        <f t="shared" si="190"/>
        <v>0.45555108588129717</v>
      </c>
      <c r="X44" s="61">
        <f t="shared" si="190"/>
        <v>0.38890765377067277</v>
      </c>
      <c r="Y44" s="61">
        <f t="shared" si="190"/>
        <v>0.46457687531401376</v>
      </c>
      <c r="Z44" s="61">
        <f t="shared" si="190"/>
        <v>0.48101370073196914</v>
      </c>
      <c r="AA44" s="225">
        <f t="shared" si="190"/>
        <v>0.50362095507562588</v>
      </c>
      <c r="AB44" s="61">
        <f t="shared" si="190"/>
        <v>0.51674885909433887</v>
      </c>
      <c r="AC44" s="61">
        <f t="shared" si="190"/>
        <v>0.52216042319308187</v>
      </c>
      <c r="AD44" s="226">
        <f t="shared" si="190"/>
        <v>0.52173324632761009</v>
      </c>
      <c r="AE44" s="61">
        <f t="shared" si="190"/>
        <v>0.50100067360308453</v>
      </c>
      <c r="AF44" s="61">
        <f t="shared" si="190"/>
        <v>0.51779616382736271</v>
      </c>
      <c r="AG44" s="61">
        <f t="shared" si="190"/>
        <v>0.52873740771192002</v>
      </c>
      <c r="AH44" s="61">
        <f t="shared" si="190"/>
        <v>0.52904593179884041</v>
      </c>
      <c r="AI44" s="225">
        <f t="shared" si="190"/>
        <v>0.54315158383600126</v>
      </c>
      <c r="AJ44" s="61">
        <f t="shared" si="190"/>
        <v>0.56058810647969082</v>
      </c>
      <c r="AK44" s="61">
        <f t="shared" si="190"/>
        <v>0.55449079525260281</v>
      </c>
      <c r="AL44" s="226">
        <f t="shared" si="190"/>
        <v>0.53565841474264564</v>
      </c>
      <c r="AM44" s="225">
        <f t="shared" si="190"/>
        <v>0.54788640054697779</v>
      </c>
      <c r="AN44" s="61">
        <f t="shared" si="190"/>
        <v>0.56126272188490645</v>
      </c>
      <c r="AO44" s="61">
        <f t="shared" ref="AO44:AT44" si="191">AO43/AO41</f>
        <v>0.55223432366396774</v>
      </c>
      <c r="AP44" s="226">
        <f t="shared" si="191"/>
        <v>0.5594523531923673</v>
      </c>
      <c r="AQ44" s="225">
        <f t="shared" si="191"/>
        <v>0.56733275412684625</v>
      </c>
      <c r="AR44" s="61">
        <f t="shared" si="191"/>
        <v>0.56287944492627928</v>
      </c>
      <c r="AS44" s="61">
        <f t="shared" si="191"/>
        <v>0.56245210727969353</v>
      </c>
      <c r="AT44" s="226">
        <f t="shared" si="191"/>
        <v>0.56745182012847961</v>
      </c>
      <c r="AU44" s="225">
        <f t="shared" ref="AU44:AX44" si="192">AU43/AU41</f>
        <v>0.58314176245210725</v>
      </c>
      <c r="AV44" s="61">
        <f t="shared" si="192"/>
        <v>0.57843137254901966</v>
      </c>
      <c r="AW44" s="61">
        <f t="shared" si="192"/>
        <v>0.59031936127744511</v>
      </c>
      <c r="AX44" s="226">
        <f t="shared" si="192"/>
        <v>0.59963184537505754</v>
      </c>
      <c r="AY44" s="225">
        <f t="shared" ref="AY44:AZ44" si="193">AY43/AY41</f>
        <v>0.59370160041300979</v>
      </c>
      <c r="AZ44" s="61">
        <f t="shared" si="193"/>
        <v>0.58385650224215246</v>
      </c>
      <c r="BA44" s="61">
        <f t="shared" ref="BA44:BB44" si="194">BA43/BA41</f>
        <v>0.59522003034901361</v>
      </c>
      <c r="BB44" s="226">
        <f t="shared" si="194"/>
        <v>0.61903126073514259</v>
      </c>
      <c r="BC44" s="225">
        <f t="shared" ref="BC44:BJ44" si="195">BC43/BC41</f>
        <v>0.62831383325784351</v>
      </c>
      <c r="BD44" s="61">
        <f t="shared" si="195"/>
        <v>0.62328739828540736</v>
      </c>
      <c r="BE44" s="61">
        <f t="shared" si="195"/>
        <v>0.61917297415557038</v>
      </c>
      <c r="BF44" s="226">
        <f t="shared" si="195"/>
        <v>0.61882662284869439</v>
      </c>
      <c r="BG44" s="225">
        <f t="shared" si="195"/>
        <v>0.62111471157967735</v>
      </c>
      <c r="BH44" s="61">
        <f t="shared" si="195"/>
        <v>0.62015997001073087</v>
      </c>
      <c r="BI44" s="61">
        <f t="shared" si="195"/>
        <v>0.61861403595368392</v>
      </c>
      <c r="BJ44" s="226">
        <f t="shared" si="195"/>
        <v>0.62137635901633015</v>
      </c>
      <c r="BK44" s="225">
        <f t="shared" ref="BK44:BN44" si="196">BK43/BK41</f>
        <v>0.62469065596245199</v>
      </c>
      <c r="BL44" s="61">
        <f t="shared" si="196"/>
        <v>0.62376846076012638</v>
      </c>
      <c r="BM44" s="61">
        <f t="shared" si="196"/>
        <v>0.6228629635965236</v>
      </c>
      <c r="BN44" s="226">
        <f t="shared" si="196"/>
        <v>0.62581679692126502</v>
      </c>
      <c r="BO44" s="137"/>
      <c r="BP44" s="61">
        <f t="shared" ref="BP44:BX44" si="197">BP43/BP41</f>
        <v>0.38306098404377342</v>
      </c>
      <c r="BQ44" s="61">
        <f t="shared" si="197"/>
        <v>0.4290098544335828</v>
      </c>
      <c r="BR44" s="61">
        <f t="shared" si="197"/>
        <v>0.45616004451103742</v>
      </c>
      <c r="BS44" s="61">
        <f t="shared" si="197"/>
        <v>0.39944943718850906</v>
      </c>
      <c r="BT44" s="61">
        <f t="shared" si="197"/>
        <v>0.38263100697591573</v>
      </c>
      <c r="BU44" s="61">
        <f t="shared" si="197"/>
        <v>0.44881295986322384</v>
      </c>
      <c r="BV44" s="61">
        <f t="shared" si="197"/>
        <v>0.51622139457169092</v>
      </c>
      <c r="BW44" s="61">
        <f t="shared" si="197"/>
        <v>0.52015427464260089</v>
      </c>
      <c r="BX44" s="61">
        <f t="shared" si="197"/>
        <v>0.54809496576647609</v>
      </c>
      <c r="BY44" s="61">
        <f t="shared" ref="BY44:CA44" si="198">BY43/BY41</f>
        <v>0.55526500334187268</v>
      </c>
      <c r="BZ44" s="61">
        <f t="shared" si="198"/>
        <v>0.56506986027944117</v>
      </c>
      <c r="CA44" s="61">
        <f t="shared" si="198"/>
        <v>0.58943560057887123</v>
      </c>
      <c r="CB44" s="61">
        <f t="shared" ref="CB44:CC44" si="199">CB43/CB41</f>
        <v>0.59944410129709702</v>
      </c>
      <c r="CC44" s="61">
        <f t="shared" si="199"/>
        <v>0.62212583978287406</v>
      </c>
      <c r="CD44" s="61">
        <f t="shared" ref="CD44:CE44" si="200">CD43/CD41</f>
        <v>0.62028638217888143</v>
      </c>
      <c r="CE44" s="61">
        <f t="shared" si="200"/>
        <v>0.62428376853283929</v>
      </c>
      <c r="CF44" s="14"/>
      <c r="CY44"/>
      <c r="CZ44"/>
      <c r="DA44"/>
      <c r="DB44"/>
      <c r="DC44"/>
      <c r="DD44"/>
    </row>
    <row r="45" spans="1:108" s="5" customFormat="1">
      <c r="B45" s="117" t="s">
        <v>221</v>
      </c>
      <c r="C45" s="227">
        <f t="shared" ref="C45:AT45" si="201">C16+C17</f>
        <v>85.912999999999997</v>
      </c>
      <c r="D45" s="62">
        <f t="shared" si="201"/>
        <v>87.113</v>
      </c>
      <c r="E45" s="62">
        <f t="shared" si="201"/>
        <v>88.828999999999994</v>
      </c>
      <c r="F45" s="228">
        <f t="shared" si="201"/>
        <v>95.267999999999986</v>
      </c>
      <c r="G45" s="62">
        <f t="shared" si="201"/>
        <v>122.404</v>
      </c>
      <c r="H45" s="62">
        <f t="shared" si="201"/>
        <v>127.25700000000001</v>
      </c>
      <c r="I45" s="62">
        <f t="shared" si="201"/>
        <v>140.732</v>
      </c>
      <c r="J45" s="62">
        <f t="shared" si="201"/>
        <v>162.27600000000001</v>
      </c>
      <c r="K45" s="227">
        <f t="shared" si="201"/>
        <v>158.321</v>
      </c>
      <c r="L45" s="62">
        <f t="shared" si="201"/>
        <v>157.952</v>
      </c>
      <c r="M45" s="62">
        <f t="shared" si="201"/>
        <v>179.529</v>
      </c>
      <c r="N45" s="228">
        <f t="shared" si="201"/>
        <v>195.83499999999995</v>
      </c>
      <c r="O45" s="62">
        <f t="shared" si="201"/>
        <v>218.83</v>
      </c>
      <c r="P45" s="62">
        <f t="shared" si="201"/>
        <v>212.91</v>
      </c>
      <c r="Q45" s="62">
        <f t="shared" si="201"/>
        <v>212.36</v>
      </c>
      <c r="R45" s="62">
        <f t="shared" si="201"/>
        <v>211.77900000000002</v>
      </c>
      <c r="S45" s="227">
        <f t="shared" si="201"/>
        <v>172.96800000000002</v>
      </c>
      <c r="T45" s="62">
        <f t="shared" si="201"/>
        <v>192.85499999999999</v>
      </c>
      <c r="U45" s="62">
        <f t="shared" si="201"/>
        <v>197.94800000000001</v>
      </c>
      <c r="V45" s="228">
        <f t="shared" si="201"/>
        <v>216.25099999999998</v>
      </c>
      <c r="W45" s="62">
        <f t="shared" si="201"/>
        <v>218.10499999999999</v>
      </c>
      <c r="X45" s="62">
        <f t="shared" si="201"/>
        <v>210.63499999999999</v>
      </c>
      <c r="Y45" s="62">
        <f t="shared" si="201"/>
        <v>204.52699999999999</v>
      </c>
      <c r="Z45" s="62">
        <f t="shared" si="201"/>
        <v>215.56300000000013</v>
      </c>
      <c r="AA45" s="227">
        <f t="shared" si="201"/>
        <v>231.524</v>
      </c>
      <c r="AB45" s="62">
        <f t="shared" si="201"/>
        <v>247.721</v>
      </c>
      <c r="AC45" s="62">
        <f t="shared" si="201"/>
        <v>256.49799999999999</v>
      </c>
      <c r="AD45" s="228">
        <f t="shared" si="201"/>
        <v>266.86200000000002</v>
      </c>
      <c r="AE45" s="62">
        <f t="shared" si="201"/>
        <v>283.90199999999999</v>
      </c>
      <c r="AF45" s="62">
        <f t="shared" si="201"/>
        <v>281.19299999999998</v>
      </c>
      <c r="AG45" s="62">
        <f t="shared" si="201"/>
        <v>284.18</v>
      </c>
      <c r="AH45" s="62">
        <f t="shared" si="201"/>
        <v>298.00699999999989</v>
      </c>
      <c r="AI45" s="227">
        <f t="shared" si="201"/>
        <v>327.161</v>
      </c>
      <c r="AJ45" s="62">
        <f t="shared" si="201"/>
        <v>331.738</v>
      </c>
      <c r="AK45" s="62">
        <f t="shared" si="201"/>
        <v>340.29399999999998</v>
      </c>
      <c r="AL45" s="228">
        <f t="shared" si="201"/>
        <v>336.64100000000013</v>
      </c>
      <c r="AM45" s="227">
        <f t="shared" si="201"/>
        <v>334.26299999999998</v>
      </c>
      <c r="AN45" s="62">
        <f t="shared" si="201"/>
        <v>337.12400000000002</v>
      </c>
      <c r="AO45" s="62">
        <f t="shared" si="201"/>
        <v>340.08499999999998</v>
      </c>
      <c r="AP45" s="228">
        <f t="shared" si="201"/>
        <v>348.25299999999999</v>
      </c>
      <c r="AQ45" s="227">
        <f t="shared" si="201"/>
        <v>339</v>
      </c>
      <c r="AR45" s="62">
        <f t="shared" si="201"/>
        <v>320</v>
      </c>
      <c r="AS45" s="62">
        <f t="shared" si="201"/>
        <v>329</v>
      </c>
      <c r="AT45" s="228">
        <f t="shared" si="201"/>
        <v>343</v>
      </c>
      <c r="AU45" s="227">
        <f t="shared" ref="AU45:AX45" si="202">AU16+AU17</f>
        <v>346</v>
      </c>
      <c r="AV45" s="62">
        <f t="shared" si="202"/>
        <v>350</v>
      </c>
      <c r="AW45" s="62">
        <f t="shared" si="202"/>
        <v>373</v>
      </c>
      <c r="AX45" s="228">
        <f t="shared" si="202"/>
        <v>394</v>
      </c>
      <c r="AY45" s="227">
        <f t="shared" ref="AY45:AZ45" si="203">AY16+AY17</f>
        <v>411</v>
      </c>
      <c r="AZ45" s="62">
        <f t="shared" si="203"/>
        <v>416</v>
      </c>
      <c r="BA45" s="62">
        <f t="shared" ref="BA45:BB45" si="204">BA16+BA17</f>
        <v>462</v>
      </c>
      <c r="BB45" s="228">
        <f t="shared" si="204"/>
        <v>508</v>
      </c>
      <c r="BC45" s="227">
        <f t="shared" ref="BC45:BJ45" si="205">BC16+BC17</f>
        <v>540</v>
      </c>
      <c r="BD45" s="62">
        <f t="shared" si="205"/>
        <v>561.6</v>
      </c>
      <c r="BE45" s="62">
        <f t="shared" si="205"/>
        <v>584.06400000000008</v>
      </c>
      <c r="BF45" s="228">
        <f t="shared" si="205"/>
        <v>607.42656000000011</v>
      </c>
      <c r="BG45" s="227">
        <f t="shared" si="205"/>
        <v>619.57509120000009</v>
      </c>
      <c r="BH45" s="62">
        <f t="shared" si="205"/>
        <v>631.96659302400008</v>
      </c>
      <c r="BI45" s="62">
        <f t="shared" si="205"/>
        <v>644.60592488448003</v>
      </c>
      <c r="BJ45" s="228">
        <f t="shared" si="205"/>
        <v>657.49804338216961</v>
      </c>
      <c r="BK45" s="227">
        <f t="shared" ref="BK45:BN45" si="206">BK16+BK17</f>
        <v>670.64800424981297</v>
      </c>
      <c r="BL45" s="62">
        <f t="shared" si="206"/>
        <v>684.06096433480923</v>
      </c>
      <c r="BM45" s="62">
        <f t="shared" si="206"/>
        <v>697.74218362150543</v>
      </c>
      <c r="BN45" s="228">
        <f t="shared" si="206"/>
        <v>711.69702729393555</v>
      </c>
      <c r="BO45" s="84"/>
      <c r="BP45" s="62">
        <f t="shared" ref="BP45:CA45" si="207">BP16+BP17</f>
        <v>357.12299999999999</v>
      </c>
      <c r="BQ45" s="62">
        <f t="shared" si="207"/>
        <v>552.6690000000001</v>
      </c>
      <c r="BR45" s="62">
        <f t="shared" si="207"/>
        <v>691.63699999999994</v>
      </c>
      <c r="BS45" s="62">
        <f t="shared" si="207"/>
        <v>855.87900000000002</v>
      </c>
      <c r="BT45" s="62">
        <f t="shared" si="207"/>
        <v>780.02199999999993</v>
      </c>
      <c r="BU45" s="62">
        <f t="shared" si="207"/>
        <v>848.83000000000015</v>
      </c>
      <c r="BV45" s="62">
        <f t="shared" si="207"/>
        <v>1002.605</v>
      </c>
      <c r="BW45" s="62">
        <f t="shared" si="207"/>
        <v>1147.2819999999999</v>
      </c>
      <c r="BX45" s="62">
        <f t="shared" si="207"/>
        <v>1335.8340000000001</v>
      </c>
      <c r="BY45" s="62">
        <f t="shared" si="207"/>
        <v>1359.7249999999999</v>
      </c>
      <c r="BZ45" s="62">
        <f t="shared" si="207"/>
        <v>1331</v>
      </c>
      <c r="CA45" s="62">
        <f t="shared" si="207"/>
        <v>1463</v>
      </c>
      <c r="CB45" s="62">
        <f t="shared" ref="CB45:CC45" si="208">CB16+CB17</f>
        <v>1797</v>
      </c>
      <c r="CC45" s="62">
        <f t="shared" si="208"/>
        <v>2293.0905600000001</v>
      </c>
      <c r="CD45" s="62">
        <f t="shared" ref="CD45:CE45" si="209">CD16+CD17</f>
        <v>2553.6456524906498</v>
      </c>
      <c r="CE45" s="62">
        <f t="shared" si="209"/>
        <v>2764.1481795000632</v>
      </c>
      <c r="CF45" s="14"/>
      <c r="CY45"/>
      <c r="CZ45"/>
      <c r="DA45"/>
      <c r="DB45"/>
      <c r="DC45"/>
      <c r="DD45"/>
    </row>
    <row r="46" spans="1:108" s="5" customFormat="1">
      <c r="B46" s="5" t="s">
        <v>223</v>
      </c>
      <c r="C46" s="227">
        <f t="shared" ref="C46:AT46" si="210">C19+C20</f>
        <v>48.058</v>
      </c>
      <c r="D46" s="62">
        <f t="shared" si="210"/>
        <v>52.668999999999997</v>
      </c>
      <c r="E46" s="62">
        <f t="shared" si="210"/>
        <v>69.593999999999994</v>
      </c>
      <c r="F46" s="228">
        <f t="shared" si="210"/>
        <v>45.92499999999999</v>
      </c>
      <c r="G46" s="62">
        <f t="shared" si="210"/>
        <v>65.668000000000006</v>
      </c>
      <c r="H46" s="62">
        <f t="shared" si="210"/>
        <v>69.055000000000007</v>
      </c>
      <c r="I46" s="62">
        <f t="shared" si="210"/>
        <v>75.596999999999994</v>
      </c>
      <c r="J46" s="62">
        <f t="shared" si="210"/>
        <v>84.915999999999983</v>
      </c>
      <c r="K46" s="227">
        <f t="shared" si="210"/>
        <v>80.570999999999998</v>
      </c>
      <c r="L46" s="62">
        <f t="shared" si="210"/>
        <v>81.28</v>
      </c>
      <c r="M46" s="62">
        <f t="shared" si="210"/>
        <v>88.183000000000007</v>
      </c>
      <c r="N46" s="228">
        <f t="shared" si="210"/>
        <v>91.263000000000034</v>
      </c>
      <c r="O46" s="62">
        <f t="shared" si="210"/>
        <v>93.034000000000006</v>
      </c>
      <c r="P46" s="62">
        <f t="shared" si="210"/>
        <v>92.399000000000001</v>
      </c>
      <c r="Q46" s="62">
        <f t="shared" si="210"/>
        <v>98.686999999999998</v>
      </c>
      <c r="R46" s="62">
        <f t="shared" si="210"/>
        <v>104.96999999999998</v>
      </c>
      <c r="S46" s="227">
        <f t="shared" si="210"/>
        <v>118.864</v>
      </c>
      <c r="T46" s="62">
        <f t="shared" si="210"/>
        <v>73.974999999999994</v>
      </c>
      <c r="U46" s="62">
        <f t="shared" si="210"/>
        <v>85.99</v>
      </c>
      <c r="V46" s="228">
        <f t="shared" si="210"/>
        <v>88.187999999999988</v>
      </c>
      <c r="W46" s="62">
        <f t="shared" si="210"/>
        <v>90.879000000000005</v>
      </c>
      <c r="X46" s="62">
        <f t="shared" si="210"/>
        <v>98.864000000000004</v>
      </c>
      <c r="Y46" s="62">
        <f t="shared" si="210"/>
        <v>83.751999999999995</v>
      </c>
      <c r="Z46" s="62">
        <f t="shared" si="210"/>
        <v>31.017999999999958</v>
      </c>
      <c r="AA46" s="227">
        <f t="shared" si="210"/>
        <v>98.117000000000004</v>
      </c>
      <c r="AB46" s="62">
        <f t="shared" si="210"/>
        <v>103.533</v>
      </c>
      <c r="AC46" s="62">
        <f t="shared" si="210"/>
        <v>103.129</v>
      </c>
      <c r="AD46" s="228">
        <f t="shared" si="210"/>
        <v>100.834</v>
      </c>
      <c r="AE46" s="62">
        <f t="shared" si="210"/>
        <v>106.636</v>
      </c>
      <c r="AF46" s="62">
        <f t="shared" si="210"/>
        <v>99.77600000000001</v>
      </c>
      <c r="AG46" s="62">
        <f t="shared" si="210"/>
        <v>100.261</v>
      </c>
      <c r="AH46" s="62">
        <f t="shared" si="210"/>
        <v>104.02200000000002</v>
      </c>
      <c r="AI46" s="227">
        <f t="shared" si="210"/>
        <v>108.626</v>
      </c>
      <c r="AJ46" s="62">
        <f t="shared" si="210"/>
        <v>108.26600000000001</v>
      </c>
      <c r="AK46" s="62">
        <f t="shared" si="210"/>
        <v>103.133</v>
      </c>
      <c r="AL46" s="228">
        <f t="shared" si="210"/>
        <v>104.58199999999999</v>
      </c>
      <c r="AM46" s="227">
        <f t="shared" si="210"/>
        <v>118.58</v>
      </c>
      <c r="AN46" s="62">
        <f t="shared" si="210"/>
        <v>118.67100000000001</v>
      </c>
      <c r="AO46" s="62">
        <f t="shared" si="210"/>
        <v>113.726</v>
      </c>
      <c r="AP46" s="228">
        <f t="shared" si="210"/>
        <v>111.045</v>
      </c>
      <c r="AQ46" s="227">
        <f t="shared" si="210"/>
        <v>138</v>
      </c>
      <c r="AR46" s="62">
        <f t="shared" si="210"/>
        <v>60</v>
      </c>
      <c r="AS46" s="62">
        <f t="shared" si="210"/>
        <v>140</v>
      </c>
      <c r="AT46" s="228">
        <f t="shared" si="210"/>
        <v>125</v>
      </c>
      <c r="AU46" s="227">
        <f t="shared" ref="AU46:AX46" si="211">AU19+AU20</f>
        <v>145</v>
      </c>
      <c r="AV46" s="62">
        <f t="shared" si="211"/>
        <v>150</v>
      </c>
      <c r="AW46" s="62">
        <f t="shared" si="211"/>
        <v>167</v>
      </c>
      <c r="AX46" s="228">
        <f t="shared" si="211"/>
        <v>171</v>
      </c>
      <c r="AY46" s="227">
        <f t="shared" ref="AY46:AZ46" si="212">AY19+AY20</f>
        <v>178</v>
      </c>
      <c r="AZ46" s="62">
        <f t="shared" si="212"/>
        <v>194</v>
      </c>
      <c r="BA46" s="62">
        <f t="shared" ref="BA46:BB46" si="213">BA19+BA20</f>
        <v>209</v>
      </c>
      <c r="BB46" s="228">
        <f t="shared" si="213"/>
        <v>218</v>
      </c>
      <c r="BC46" s="227">
        <f t="shared" ref="BC46:BJ46" si="214">BC19+BC20</f>
        <v>230</v>
      </c>
      <c r="BD46" s="62">
        <f t="shared" si="214"/>
        <v>234.6</v>
      </c>
      <c r="BE46" s="62">
        <f t="shared" si="214"/>
        <v>239.292</v>
      </c>
      <c r="BF46" s="228">
        <f t="shared" si="214"/>
        <v>244.07784000000001</v>
      </c>
      <c r="BG46" s="227">
        <f t="shared" si="214"/>
        <v>248.95939680000001</v>
      </c>
      <c r="BH46" s="62">
        <f t="shared" si="214"/>
        <v>253.93858473600002</v>
      </c>
      <c r="BI46" s="62">
        <f t="shared" si="214"/>
        <v>259.01735643072004</v>
      </c>
      <c r="BJ46" s="228">
        <f t="shared" si="214"/>
        <v>264.19770355933446</v>
      </c>
      <c r="BK46" s="227">
        <f t="shared" ref="BK46:BN46" si="215">BK19+BK20</f>
        <v>268.16066911272446</v>
      </c>
      <c r="BL46" s="62">
        <f t="shared" si="215"/>
        <v>272.45123981852805</v>
      </c>
      <c r="BM46" s="62">
        <f t="shared" si="215"/>
        <v>276.81045965562453</v>
      </c>
      <c r="BN46" s="228">
        <f t="shared" si="215"/>
        <v>279.5785642521808</v>
      </c>
      <c r="BO46" s="84"/>
      <c r="BP46" s="62">
        <f t="shared" ref="BP46:CA46" si="216">BP19+BP20</f>
        <v>216.24599999999998</v>
      </c>
      <c r="BQ46" s="62">
        <f t="shared" si="216"/>
        <v>295.23599999999999</v>
      </c>
      <c r="BR46" s="62">
        <f t="shared" si="216"/>
        <v>341.29700000000003</v>
      </c>
      <c r="BS46" s="62">
        <f t="shared" si="216"/>
        <v>389.09</v>
      </c>
      <c r="BT46" s="62">
        <f t="shared" si="216"/>
        <v>367.017</v>
      </c>
      <c r="BU46" s="62">
        <f t="shared" si="216"/>
        <v>304.51299999999998</v>
      </c>
      <c r="BV46" s="62">
        <f t="shared" si="216"/>
        <v>405.613</v>
      </c>
      <c r="BW46" s="62">
        <f t="shared" si="216"/>
        <v>410.69499999999999</v>
      </c>
      <c r="BX46" s="62">
        <f t="shared" si="216"/>
        <v>424.60699999999997</v>
      </c>
      <c r="BY46" s="62">
        <f t="shared" si="216"/>
        <v>462.02199999999999</v>
      </c>
      <c r="BZ46" s="62">
        <f t="shared" si="216"/>
        <v>463</v>
      </c>
      <c r="CA46" s="62">
        <f t="shared" si="216"/>
        <v>633</v>
      </c>
      <c r="CB46" s="62">
        <f t="shared" ref="CB46:CC46" si="217">CB19+CB20</f>
        <v>799</v>
      </c>
      <c r="CC46" s="62">
        <f t="shared" si="217"/>
        <v>947.96984000000009</v>
      </c>
      <c r="CD46" s="62">
        <f t="shared" ref="CD46:CE46" si="218">CD19+CD20</f>
        <v>1026.1130415260545</v>
      </c>
      <c r="CE46" s="62">
        <f t="shared" si="218"/>
        <v>1097.0009328390579</v>
      </c>
      <c r="CF46" s="14"/>
      <c r="CY46"/>
      <c r="CZ46"/>
      <c r="DA46"/>
      <c r="DB46"/>
      <c r="DC46"/>
      <c r="DD46"/>
    </row>
    <row r="47" spans="1:108" s="5" customFormat="1">
      <c r="B47" s="556" t="s">
        <v>220</v>
      </c>
      <c r="C47" s="227">
        <f t="shared" ref="C47:AQ47" si="219">-C67+C22</f>
        <v>0</v>
      </c>
      <c r="D47" s="62">
        <f t="shared" si="219"/>
        <v>0</v>
      </c>
      <c r="E47" s="62">
        <f t="shared" si="219"/>
        <v>0</v>
      </c>
      <c r="F47" s="228">
        <f t="shared" si="219"/>
        <v>0</v>
      </c>
      <c r="G47" s="62">
        <f t="shared" si="219"/>
        <v>0</v>
      </c>
      <c r="H47" s="62">
        <f t="shared" si="219"/>
        <v>0</v>
      </c>
      <c r="I47" s="62">
        <f t="shared" si="219"/>
        <v>0</v>
      </c>
      <c r="J47" s="62">
        <f t="shared" si="219"/>
        <v>0</v>
      </c>
      <c r="K47" s="227">
        <f t="shared" si="219"/>
        <v>0</v>
      </c>
      <c r="L47" s="62">
        <f t="shared" si="219"/>
        <v>0</v>
      </c>
      <c r="M47" s="62">
        <f t="shared" si="219"/>
        <v>0</v>
      </c>
      <c r="N47" s="228">
        <f t="shared" si="219"/>
        <v>0</v>
      </c>
      <c r="O47" s="62">
        <f t="shared" si="219"/>
        <v>0</v>
      </c>
      <c r="P47" s="62">
        <f t="shared" si="219"/>
        <v>0</v>
      </c>
      <c r="Q47" s="62">
        <f t="shared" si="219"/>
        <v>0</v>
      </c>
      <c r="R47" s="62">
        <f t="shared" si="219"/>
        <v>0</v>
      </c>
      <c r="S47" s="227">
        <f t="shared" si="219"/>
        <v>0</v>
      </c>
      <c r="T47" s="62">
        <f t="shared" si="219"/>
        <v>0</v>
      </c>
      <c r="U47" s="62">
        <f t="shared" si="219"/>
        <v>0</v>
      </c>
      <c r="V47" s="228">
        <f t="shared" si="219"/>
        <v>0</v>
      </c>
      <c r="W47" s="62">
        <f t="shared" si="219"/>
        <v>0</v>
      </c>
      <c r="X47" s="62">
        <f t="shared" si="219"/>
        <v>0</v>
      </c>
      <c r="Y47" s="62">
        <f t="shared" si="219"/>
        <v>0</v>
      </c>
      <c r="Z47" s="62">
        <f t="shared" si="219"/>
        <v>0</v>
      </c>
      <c r="AA47" s="227">
        <f t="shared" si="219"/>
        <v>0</v>
      </c>
      <c r="AB47" s="62">
        <f t="shared" si="219"/>
        <v>0</v>
      </c>
      <c r="AC47" s="62">
        <f t="shared" si="219"/>
        <v>0</v>
      </c>
      <c r="AD47" s="228">
        <f t="shared" si="219"/>
        <v>0</v>
      </c>
      <c r="AE47" s="62">
        <f t="shared" si="219"/>
        <v>-9.5129999999999999</v>
      </c>
      <c r="AF47" s="62">
        <f t="shared" si="219"/>
        <v>-8.859</v>
      </c>
      <c r="AG47" s="62">
        <f t="shared" si="219"/>
        <v>-9.0680000000000014</v>
      </c>
      <c r="AH47" s="62">
        <f t="shared" si="219"/>
        <v>-8.6980000000000075</v>
      </c>
      <c r="AI47" s="227">
        <f t="shared" si="219"/>
        <v>-8.8610000000000007</v>
      </c>
      <c r="AJ47" s="62">
        <f t="shared" si="219"/>
        <v>-8.9640000000000004</v>
      </c>
      <c r="AK47" s="62">
        <f t="shared" si="219"/>
        <v>-6.8119999999999994</v>
      </c>
      <c r="AL47" s="228">
        <f t="shared" si="219"/>
        <v>0</v>
      </c>
      <c r="AM47" s="227">
        <f t="shared" si="219"/>
        <v>-9.4410000000000007</v>
      </c>
      <c r="AN47" s="62">
        <f t="shared" si="219"/>
        <v>-9.173</v>
      </c>
      <c r="AO47" s="62">
        <f t="shared" si="219"/>
        <v>0</v>
      </c>
      <c r="AP47" s="228">
        <f t="shared" si="219"/>
        <v>0</v>
      </c>
      <c r="AQ47" s="227">
        <f t="shared" si="219"/>
        <v>-9</v>
      </c>
      <c r="AR47" s="62">
        <f>-AR67+AR22</f>
        <v>85</v>
      </c>
      <c r="AS47" s="62">
        <f t="shared" ref="AS47:CA47" si="220">-AS67+AS22</f>
        <v>8</v>
      </c>
      <c r="AT47" s="228">
        <f t="shared" si="220"/>
        <v>34</v>
      </c>
      <c r="AU47" s="227">
        <f t="shared" si="220"/>
        <v>1</v>
      </c>
      <c r="AV47" s="62">
        <f>-AV67+AV22</f>
        <v>2</v>
      </c>
      <c r="AW47" s="62">
        <f t="shared" ref="AW47:AY47" si="221">-AW67+AW22</f>
        <v>0</v>
      </c>
      <c r="AX47" s="228">
        <f t="shared" si="221"/>
        <v>0</v>
      </c>
      <c r="AY47" s="227">
        <f t="shared" si="221"/>
        <v>0</v>
      </c>
      <c r="AZ47" s="62">
        <f>-AZ67+AZ22</f>
        <v>0</v>
      </c>
      <c r="BA47" s="62">
        <f>-BA67+BA22</f>
        <v>0</v>
      </c>
      <c r="BB47" s="228">
        <f t="shared" ref="BB47" si="222">-BB67+BB22</f>
        <v>0</v>
      </c>
      <c r="BC47" s="227">
        <f t="shared" ref="BC47:BJ47" si="223">-BC67+BC22</f>
        <v>0</v>
      </c>
      <c r="BD47" s="62">
        <f t="shared" si="223"/>
        <v>0</v>
      </c>
      <c r="BE47" s="62">
        <f t="shared" si="223"/>
        <v>0</v>
      </c>
      <c r="BF47" s="228">
        <f t="shared" si="223"/>
        <v>0</v>
      </c>
      <c r="BG47" s="227">
        <f t="shared" si="223"/>
        <v>0</v>
      </c>
      <c r="BH47" s="62">
        <f t="shared" si="223"/>
        <v>0</v>
      </c>
      <c r="BI47" s="62">
        <f t="shared" si="223"/>
        <v>0</v>
      </c>
      <c r="BJ47" s="228">
        <f t="shared" si="223"/>
        <v>0</v>
      </c>
      <c r="BK47" s="227">
        <f t="shared" ref="BK47:BN47" si="224">-BK67+BK22</f>
        <v>0</v>
      </c>
      <c r="BL47" s="62">
        <f t="shared" si="224"/>
        <v>0</v>
      </c>
      <c r="BM47" s="62">
        <f t="shared" si="224"/>
        <v>0</v>
      </c>
      <c r="BN47" s="228">
        <f t="shared" si="224"/>
        <v>0</v>
      </c>
      <c r="BO47" s="84"/>
      <c r="BP47" s="62">
        <f t="shared" si="220"/>
        <v>0</v>
      </c>
      <c r="BQ47" s="62">
        <f t="shared" si="220"/>
        <v>0</v>
      </c>
      <c r="BR47" s="62">
        <f t="shared" si="220"/>
        <v>0</v>
      </c>
      <c r="BS47" s="62">
        <f t="shared" si="220"/>
        <v>0</v>
      </c>
      <c r="BT47" s="62">
        <f t="shared" si="220"/>
        <v>0</v>
      </c>
      <c r="BU47" s="62">
        <f t="shared" si="220"/>
        <v>0</v>
      </c>
      <c r="BV47" s="62">
        <f t="shared" si="220"/>
        <v>0</v>
      </c>
      <c r="BW47" s="62">
        <f t="shared" si="220"/>
        <v>-36.138000000000005</v>
      </c>
      <c r="BX47" s="62">
        <f t="shared" si="220"/>
        <v>-24.637</v>
      </c>
      <c r="BY47" s="62">
        <f t="shared" si="220"/>
        <v>-18.614000000000001</v>
      </c>
      <c r="BZ47" s="62">
        <f t="shared" si="220"/>
        <v>118</v>
      </c>
      <c r="CA47" s="62">
        <f t="shared" si="220"/>
        <v>3</v>
      </c>
      <c r="CB47" s="62">
        <f t="shared" ref="CB47:CC47" si="225">-CB67+CB22</f>
        <v>0</v>
      </c>
      <c r="CC47" s="62">
        <f t="shared" si="225"/>
        <v>0</v>
      </c>
      <c r="CD47" s="62">
        <f t="shared" ref="CD47:CE47" si="226">-CD67+CD22</f>
        <v>0</v>
      </c>
      <c r="CE47" s="62">
        <f t="shared" si="226"/>
        <v>0</v>
      </c>
      <c r="CF47" s="14"/>
      <c r="CY47"/>
      <c r="CZ47"/>
      <c r="DA47"/>
      <c r="DB47"/>
      <c r="DC47"/>
      <c r="DD47"/>
    </row>
    <row r="48" spans="1:108" s="9" customFormat="1">
      <c r="B48" s="9" t="s">
        <v>222</v>
      </c>
      <c r="C48" s="213">
        <f>SUM(C45:C47)</f>
        <v>133.971</v>
      </c>
      <c r="D48" s="28">
        <f t="shared" ref="D48:BX48" si="227">SUM(D45:D47)</f>
        <v>139.78199999999998</v>
      </c>
      <c r="E48" s="28">
        <f t="shared" si="227"/>
        <v>158.423</v>
      </c>
      <c r="F48" s="214">
        <f t="shared" si="227"/>
        <v>141.19299999999998</v>
      </c>
      <c r="G48" s="28">
        <f t="shared" si="227"/>
        <v>188.072</v>
      </c>
      <c r="H48" s="28">
        <f t="shared" si="227"/>
        <v>196.31200000000001</v>
      </c>
      <c r="I48" s="28">
        <f t="shared" si="227"/>
        <v>216.32900000000001</v>
      </c>
      <c r="J48" s="28">
        <f t="shared" si="227"/>
        <v>247.19200000000001</v>
      </c>
      <c r="K48" s="213">
        <f t="shared" si="227"/>
        <v>238.892</v>
      </c>
      <c r="L48" s="28">
        <f t="shared" si="227"/>
        <v>239.232</v>
      </c>
      <c r="M48" s="28">
        <f t="shared" si="227"/>
        <v>267.71199999999999</v>
      </c>
      <c r="N48" s="214">
        <f t="shared" si="227"/>
        <v>287.09799999999996</v>
      </c>
      <c r="O48" s="28">
        <f t="shared" si="227"/>
        <v>311.86400000000003</v>
      </c>
      <c r="P48" s="28">
        <f t="shared" si="227"/>
        <v>305.30899999999997</v>
      </c>
      <c r="Q48" s="28">
        <f t="shared" si="227"/>
        <v>311.04700000000003</v>
      </c>
      <c r="R48" s="28">
        <f t="shared" si="227"/>
        <v>316.74900000000002</v>
      </c>
      <c r="S48" s="213">
        <f t="shared" si="227"/>
        <v>291.83199999999999</v>
      </c>
      <c r="T48" s="28">
        <f t="shared" si="227"/>
        <v>266.83</v>
      </c>
      <c r="U48" s="28">
        <f t="shared" si="227"/>
        <v>283.93799999999999</v>
      </c>
      <c r="V48" s="214">
        <f t="shared" si="227"/>
        <v>304.43899999999996</v>
      </c>
      <c r="W48" s="28">
        <f t="shared" si="227"/>
        <v>308.98399999999998</v>
      </c>
      <c r="X48" s="28">
        <f t="shared" si="227"/>
        <v>309.49900000000002</v>
      </c>
      <c r="Y48" s="28">
        <f t="shared" si="227"/>
        <v>288.279</v>
      </c>
      <c r="Z48" s="28">
        <f t="shared" si="227"/>
        <v>246.58100000000007</v>
      </c>
      <c r="AA48" s="213">
        <f t="shared" si="227"/>
        <v>329.64100000000002</v>
      </c>
      <c r="AB48" s="28">
        <f t="shared" si="227"/>
        <v>351.25400000000002</v>
      </c>
      <c r="AC48" s="28">
        <f t="shared" si="227"/>
        <v>359.62700000000001</v>
      </c>
      <c r="AD48" s="214">
        <f t="shared" si="227"/>
        <v>367.69600000000003</v>
      </c>
      <c r="AE48" s="28">
        <f t="shared" si="227"/>
        <v>381.02500000000003</v>
      </c>
      <c r="AF48" s="28">
        <f t="shared" si="227"/>
        <v>372.11</v>
      </c>
      <c r="AG48" s="28">
        <f t="shared" si="227"/>
        <v>375.37300000000005</v>
      </c>
      <c r="AH48" s="28">
        <f t="shared" si="227"/>
        <v>393.3309999999999</v>
      </c>
      <c r="AI48" s="213">
        <f t="shared" si="227"/>
        <v>426.92600000000004</v>
      </c>
      <c r="AJ48" s="28">
        <f t="shared" si="227"/>
        <v>431.04</v>
      </c>
      <c r="AK48" s="28">
        <f t="shared" si="227"/>
        <v>436.61499999999995</v>
      </c>
      <c r="AL48" s="214">
        <f t="shared" si="227"/>
        <v>441.22300000000013</v>
      </c>
      <c r="AM48" s="213">
        <f t="shared" si="227"/>
        <v>443.40199999999999</v>
      </c>
      <c r="AN48" s="28">
        <f t="shared" si="227"/>
        <v>446.62200000000001</v>
      </c>
      <c r="AO48" s="28">
        <f t="shared" ref="AO48:AT48" si="228">SUM(AO45:AO47)</f>
        <v>453.81099999999998</v>
      </c>
      <c r="AP48" s="214">
        <f t="shared" si="228"/>
        <v>459.298</v>
      </c>
      <c r="AQ48" s="213">
        <f t="shared" si="228"/>
        <v>468</v>
      </c>
      <c r="AR48" s="28">
        <f t="shared" si="228"/>
        <v>465</v>
      </c>
      <c r="AS48" s="28">
        <f t="shared" si="228"/>
        <v>477</v>
      </c>
      <c r="AT48" s="214">
        <f t="shared" si="228"/>
        <v>502</v>
      </c>
      <c r="AU48" s="213">
        <f t="shared" ref="AU48:AX48" si="229">SUM(AU45:AU47)</f>
        <v>492</v>
      </c>
      <c r="AV48" s="28">
        <f t="shared" si="229"/>
        <v>502</v>
      </c>
      <c r="AW48" s="28">
        <f t="shared" si="229"/>
        <v>540</v>
      </c>
      <c r="AX48" s="214">
        <f t="shared" si="229"/>
        <v>565</v>
      </c>
      <c r="AY48" s="213">
        <f t="shared" ref="AY48:AZ48" si="230">SUM(AY45:AY47)</f>
        <v>589</v>
      </c>
      <c r="AZ48" s="28">
        <f t="shared" si="230"/>
        <v>610</v>
      </c>
      <c r="BA48" s="28">
        <f t="shared" ref="BA48:BB48" si="231">SUM(BA45:BA47)</f>
        <v>671</v>
      </c>
      <c r="BB48" s="214">
        <f t="shared" si="231"/>
        <v>726</v>
      </c>
      <c r="BC48" s="213">
        <f t="shared" ref="BC48:BJ48" si="232">SUM(BC45:BC47)</f>
        <v>770</v>
      </c>
      <c r="BD48" s="28">
        <f t="shared" si="232"/>
        <v>796.2</v>
      </c>
      <c r="BE48" s="28">
        <f t="shared" si="232"/>
        <v>823.35600000000011</v>
      </c>
      <c r="BF48" s="214">
        <f t="shared" si="232"/>
        <v>851.50440000000015</v>
      </c>
      <c r="BG48" s="213">
        <f t="shared" si="232"/>
        <v>868.53448800000012</v>
      </c>
      <c r="BH48" s="28">
        <f t="shared" si="232"/>
        <v>885.90517776000013</v>
      </c>
      <c r="BI48" s="28">
        <f t="shared" si="232"/>
        <v>903.62328131520007</v>
      </c>
      <c r="BJ48" s="214">
        <f t="shared" si="232"/>
        <v>921.69574694150401</v>
      </c>
      <c r="BK48" s="213">
        <f t="shared" ref="BK48:BN48" si="233">SUM(BK45:BK47)</f>
        <v>938.80867336253743</v>
      </c>
      <c r="BL48" s="28">
        <f t="shared" si="233"/>
        <v>956.51220415333728</v>
      </c>
      <c r="BM48" s="28">
        <f t="shared" si="233"/>
        <v>974.55264327712996</v>
      </c>
      <c r="BN48" s="214">
        <f t="shared" si="233"/>
        <v>991.2755915461164</v>
      </c>
      <c r="BO48" s="128"/>
      <c r="BP48" s="28">
        <f t="shared" si="227"/>
        <v>573.36899999999991</v>
      </c>
      <c r="BQ48" s="28">
        <f t="shared" si="227"/>
        <v>847.90500000000009</v>
      </c>
      <c r="BR48" s="28">
        <f t="shared" si="227"/>
        <v>1032.934</v>
      </c>
      <c r="BS48" s="28">
        <f t="shared" si="227"/>
        <v>1244.9690000000001</v>
      </c>
      <c r="BT48" s="28">
        <f t="shared" si="227"/>
        <v>1147.039</v>
      </c>
      <c r="BU48" s="28">
        <f t="shared" si="227"/>
        <v>1153.3430000000001</v>
      </c>
      <c r="BV48" s="28">
        <f t="shared" si="227"/>
        <v>1408.2180000000001</v>
      </c>
      <c r="BW48" s="28">
        <f t="shared" si="227"/>
        <v>1521.8389999999999</v>
      </c>
      <c r="BX48" s="28">
        <f t="shared" si="227"/>
        <v>1735.8040000000001</v>
      </c>
      <c r="BY48" s="28">
        <f t="shared" ref="BY48:CA48" si="234">SUM(BY45:BY47)</f>
        <v>1803.1329999999998</v>
      </c>
      <c r="BZ48" s="28">
        <f t="shared" si="234"/>
        <v>1912</v>
      </c>
      <c r="CA48" s="28">
        <f t="shared" si="234"/>
        <v>2099</v>
      </c>
      <c r="CB48" s="28">
        <f t="shared" ref="CB48:CC48" si="235">SUM(CB45:CB47)</f>
        <v>2596</v>
      </c>
      <c r="CC48" s="28">
        <f t="shared" si="235"/>
        <v>3241.0604000000003</v>
      </c>
      <c r="CD48" s="28">
        <f t="shared" ref="CD48:CE48" si="236">SUM(CD45:CD47)</f>
        <v>3579.7586940167043</v>
      </c>
      <c r="CE48" s="28">
        <f t="shared" si="236"/>
        <v>3861.1491123391211</v>
      </c>
      <c r="CF48" s="14"/>
      <c r="CY48"/>
      <c r="CZ48"/>
      <c r="DA48"/>
      <c r="DB48"/>
      <c r="DC48"/>
      <c r="DD48"/>
    </row>
    <row r="49" spans="1:108" s="9" customFormat="1">
      <c r="B49" s="258" t="s">
        <v>224</v>
      </c>
      <c r="C49" s="255">
        <f>C43-C48</f>
        <v>76.182000000000016</v>
      </c>
      <c r="D49" s="256">
        <f>D43-D48</f>
        <v>77.593000000000018</v>
      </c>
      <c r="E49" s="256">
        <f>E43-E48</f>
        <v>69.571999999999946</v>
      </c>
      <c r="F49" s="257">
        <f t="shared" ref="F49:X49" si="237">F43-F48</f>
        <v>113.31700000000012</v>
      </c>
      <c r="G49" s="256">
        <f t="shared" si="237"/>
        <v>100.685</v>
      </c>
      <c r="H49" s="256">
        <f t="shared" si="237"/>
        <v>95.815999999999974</v>
      </c>
      <c r="I49" s="256">
        <f t="shared" si="237"/>
        <v>133.613</v>
      </c>
      <c r="J49" s="256">
        <f t="shared" si="237"/>
        <v>138.51400000000012</v>
      </c>
      <c r="K49" s="255">
        <f t="shared" si="237"/>
        <v>141.24599999999998</v>
      </c>
      <c r="L49" s="256">
        <f t="shared" si="237"/>
        <v>184.76000000000002</v>
      </c>
      <c r="M49" s="256">
        <f t="shared" si="237"/>
        <v>247.84100000000001</v>
      </c>
      <c r="N49" s="257">
        <f t="shared" si="237"/>
        <v>262.4989999999998</v>
      </c>
      <c r="O49" s="256">
        <f t="shared" si="237"/>
        <v>202.97899999999993</v>
      </c>
      <c r="P49" s="256">
        <f t="shared" si="237"/>
        <v>40.562000000000012</v>
      </c>
      <c r="Q49" s="256">
        <f t="shared" si="237"/>
        <v>61.295999999999935</v>
      </c>
      <c r="R49" s="256">
        <f t="shared" si="237"/>
        <v>-181.74800000000045</v>
      </c>
      <c r="S49" s="255">
        <f t="shared" si="237"/>
        <v>-102.13600000000002</v>
      </c>
      <c r="T49" s="256">
        <f t="shared" si="237"/>
        <v>9.8859999999999673</v>
      </c>
      <c r="U49" s="256">
        <f t="shared" si="237"/>
        <v>83.730000000000018</v>
      </c>
      <c r="V49" s="257">
        <f t="shared" si="237"/>
        <v>134.28200000000027</v>
      </c>
      <c r="W49" s="256">
        <f t="shared" si="237"/>
        <v>147.39299999999997</v>
      </c>
      <c r="X49" s="256">
        <f t="shared" si="237"/>
        <v>5.9859999999998763</v>
      </c>
      <c r="Y49" s="256">
        <f t="shared" ref="Y49:AN49" si="238">Y43-Y48</f>
        <v>103.78300000000002</v>
      </c>
      <c r="Z49" s="256">
        <f t="shared" si="238"/>
        <v>179.77799999999974</v>
      </c>
      <c r="AA49" s="255">
        <f t="shared" si="238"/>
        <v>154.86199999999997</v>
      </c>
      <c r="AB49" s="256">
        <f t="shared" si="238"/>
        <v>174.03000000000009</v>
      </c>
      <c r="AC49" s="256">
        <f t="shared" si="238"/>
        <v>197.09000000000009</v>
      </c>
      <c r="AD49" s="257">
        <f t="shared" si="238"/>
        <v>129.61699999999996</v>
      </c>
      <c r="AE49" s="256">
        <f t="shared" si="238"/>
        <v>82.338999999999942</v>
      </c>
      <c r="AF49" s="256">
        <f t="shared" si="238"/>
        <v>168.60900000000004</v>
      </c>
      <c r="AG49" s="256">
        <f t="shared" si="238"/>
        <v>261.28499999999985</v>
      </c>
      <c r="AH49" s="256">
        <f t="shared" si="238"/>
        <v>192.27100000000019</v>
      </c>
      <c r="AI49" s="255">
        <f t="shared" si="238"/>
        <v>91.641999999999939</v>
      </c>
      <c r="AJ49" s="256">
        <f>AJ43-AJ48</f>
        <v>116.78800000000007</v>
      </c>
      <c r="AK49" s="256">
        <f t="shared" si="238"/>
        <v>147.80000000000013</v>
      </c>
      <c r="AL49" s="257">
        <f t="shared" si="238"/>
        <v>171.68700000000052</v>
      </c>
      <c r="AM49" s="255">
        <f t="shared" si="238"/>
        <v>160.80000000000001</v>
      </c>
      <c r="AN49" s="256">
        <f t="shared" si="238"/>
        <v>172.35200000000003</v>
      </c>
      <c r="AO49" s="256">
        <f t="shared" ref="AO49:AT49" si="239">AO43-AO48</f>
        <v>222.88700000000011</v>
      </c>
      <c r="AP49" s="257">
        <f t="shared" si="239"/>
        <v>240.30499999999995</v>
      </c>
      <c r="AQ49" s="255">
        <f t="shared" si="239"/>
        <v>185</v>
      </c>
      <c r="AR49" s="256">
        <f t="shared" si="239"/>
        <v>184</v>
      </c>
      <c r="AS49" s="256">
        <f t="shared" si="239"/>
        <v>257</v>
      </c>
      <c r="AT49" s="257">
        <f t="shared" si="239"/>
        <v>293</v>
      </c>
      <c r="AU49" s="255">
        <f t="shared" ref="AU49:AX49" si="240">AU43-AU48</f>
        <v>269</v>
      </c>
      <c r="AV49" s="256">
        <f t="shared" si="240"/>
        <v>324</v>
      </c>
      <c r="AW49" s="256">
        <f t="shared" si="240"/>
        <v>643</v>
      </c>
      <c r="AX49" s="257">
        <f t="shared" si="240"/>
        <v>738</v>
      </c>
      <c r="AY49" s="255">
        <f t="shared" ref="AY49:AZ49" si="241">AY43-AY48</f>
        <v>561</v>
      </c>
      <c r="AZ49" s="256">
        <f t="shared" si="241"/>
        <v>692</v>
      </c>
      <c r="BA49" s="256">
        <f t="shared" ref="BA49:BB49" si="242">BA43-BA48</f>
        <v>898</v>
      </c>
      <c r="BB49" s="257">
        <f t="shared" si="242"/>
        <v>1076</v>
      </c>
      <c r="BC49" s="255">
        <f t="shared" ref="BC49:BJ49" si="243">BC43-BC48</f>
        <v>1065.6183651000774</v>
      </c>
      <c r="BD49" s="256">
        <f t="shared" si="243"/>
        <v>1172.0125746410959</v>
      </c>
      <c r="BE49" s="256">
        <f t="shared" si="243"/>
        <v>1287.2607195811956</v>
      </c>
      <c r="BF49" s="257">
        <f t="shared" si="243"/>
        <v>1339.3892369645619</v>
      </c>
      <c r="BG49" s="255">
        <f t="shared" si="243"/>
        <v>1174.3887747710614</v>
      </c>
      <c r="BH49" s="256">
        <f t="shared" si="243"/>
        <v>1398.1632485131695</v>
      </c>
      <c r="BI49" s="256">
        <f t="shared" si="243"/>
        <v>1560.5960979808297</v>
      </c>
      <c r="BJ49" s="257">
        <f t="shared" si="243"/>
        <v>1588.2694143783567</v>
      </c>
      <c r="BK49" s="255">
        <f t="shared" ref="BK49:BN49" si="244">BK43-BK48</f>
        <v>1421.7421367511361</v>
      </c>
      <c r="BL49" s="256">
        <f t="shared" si="244"/>
        <v>1686.4080379387347</v>
      </c>
      <c r="BM49" s="256">
        <f t="shared" si="244"/>
        <v>1859.2515151946272</v>
      </c>
      <c r="BN49" s="257">
        <f t="shared" si="244"/>
        <v>1911.1864266605851</v>
      </c>
      <c r="BO49" s="136"/>
      <c r="BP49" s="256">
        <f t="shared" ref="BP49:BX49" si="245">BP43-BP48</f>
        <v>336.66399999999999</v>
      </c>
      <c r="BQ49" s="256">
        <f t="shared" si="245"/>
        <v>468.62800000000027</v>
      </c>
      <c r="BR49" s="256">
        <f t="shared" si="245"/>
        <v>836.34599999999978</v>
      </c>
      <c r="BS49" s="256">
        <f t="shared" si="245"/>
        <v>123.08899999999994</v>
      </c>
      <c r="BT49" s="256">
        <f t="shared" si="245"/>
        <v>125.76199999999994</v>
      </c>
      <c r="BU49" s="256">
        <f t="shared" si="245"/>
        <v>436.9399999999996</v>
      </c>
      <c r="BV49" s="256">
        <f t="shared" si="245"/>
        <v>655.59899999999993</v>
      </c>
      <c r="BW49" s="256">
        <f t="shared" si="245"/>
        <v>704.50399999999991</v>
      </c>
      <c r="BX49" s="256">
        <f t="shared" si="245"/>
        <v>527.91700000000037</v>
      </c>
      <c r="BY49" s="256">
        <f t="shared" ref="BY49:CA49" si="246">BY43-BY48</f>
        <v>796.34400000000005</v>
      </c>
      <c r="BZ49" s="256">
        <f t="shared" si="246"/>
        <v>919</v>
      </c>
      <c r="CA49" s="256">
        <f t="shared" si="246"/>
        <v>1974</v>
      </c>
      <c r="CB49" s="256">
        <f t="shared" ref="CB49:CC49" si="247">CB43-CB48</f>
        <v>3227</v>
      </c>
      <c r="CC49" s="256">
        <f t="shared" si="247"/>
        <v>4864.2808962869312</v>
      </c>
      <c r="CD49" s="256">
        <f t="shared" ref="CD49:CE49" si="248">CD43-CD48</f>
        <v>5721.4175356434189</v>
      </c>
      <c r="CE49" s="256">
        <f t="shared" si="248"/>
        <v>6878.5881165450846</v>
      </c>
      <c r="CF49" s="14"/>
      <c r="CY49"/>
      <c r="CZ49"/>
      <c r="DA49"/>
      <c r="DB49"/>
      <c r="DC49"/>
      <c r="DD49"/>
    </row>
    <row r="50" spans="1:108" s="5" customFormat="1">
      <c r="B50" s="117" t="s">
        <v>306</v>
      </c>
      <c r="C50" s="227">
        <f>C28+C29</f>
        <v>3.8850000000000002</v>
      </c>
      <c r="D50" s="62">
        <f t="shared" ref="D50:BX50" si="249">D28+D29</f>
        <v>4.8650000000000002</v>
      </c>
      <c r="E50" s="62">
        <f t="shared" si="249"/>
        <v>5.38</v>
      </c>
      <c r="F50" s="228">
        <f t="shared" si="249"/>
        <v>6.4960000000000013</v>
      </c>
      <c r="G50" s="62">
        <f t="shared" si="249"/>
        <v>8.8070000000000004</v>
      </c>
      <c r="H50" s="62">
        <f t="shared" si="249"/>
        <v>8.8119999999999994</v>
      </c>
      <c r="I50" s="62">
        <f t="shared" si="249"/>
        <v>10.629999999999999</v>
      </c>
      <c r="J50" s="62">
        <f t="shared" si="249"/>
        <v>13.549000000000001</v>
      </c>
      <c r="K50" s="227">
        <f t="shared" si="249"/>
        <v>13.208</v>
      </c>
      <c r="L50" s="62">
        <f t="shared" si="249"/>
        <v>15.625</v>
      </c>
      <c r="M50" s="62">
        <f t="shared" si="249"/>
        <v>17.416</v>
      </c>
      <c r="N50" s="228">
        <f t="shared" si="249"/>
        <v>17.986000000000008</v>
      </c>
      <c r="O50" s="62">
        <f t="shared" si="249"/>
        <v>14.323</v>
      </c>
      <c r="P50" s="62">
        <f t="shared" si="249"/>
        <v>12.081</v>
      </c>
      <c r="Q50" s="62">
        <f t="shared" si="249"/>
        <v>9.4469999999999992</v>
      </c>
      <c r="R50" s="62">
        <f t="shared" si="249"/>
        <v>6.6020000000000065</v>
      </c>
      <c r="S50" s="227">
        <f t="shared" si="249"/>
        <v>6.1239999999999997</v>
      </c>
      <c r="T50" s="62">
        <f t="shared" si="249"/>
        <v>5.7789999999999999</v>
      </c>
      <c r="U50" s="62">
        <f t="shared" si="249"/>
        <v>5.444</v>
      </c>
      <c r="V50" s="228">
        <f t="shared" si="249"/>
        <v>2.448</v>
      </c>
      <c r="W50" s="62">
        <f t="shared" si="249"/>
        <v>5.5709999999999997</v>
      </c>
      <c r="X50" s="62">
        <f t="shared" si="249"/>
        <v>4.8049999999999997</v>
      </c>
      <c r="Y50" s="62">
        <f t="shared" si="249"/>
        <v>4.22</v>
      </c>
      <c r="Z50" s="62">
        <f t="shared" si="249"/>
        <v>1.3340000000000005</v>
      </c>
      <c r="AA50" s="227">
        <f t="shared" si="249"/>
        <v>5.3129999999999997</v>
      </c>
      <c r="AB50" s="62">
        <f t="shared" si="249"/>
        <v>5.266</v>
      </c>
      <c r="AC50" s="62">
        <f t="shared" si="249"/>
        <v>4.3559999999999999</v>
      </c>
      <c r="AD50" s="228">
        <f t="shared" si="249"/>
        <v>2.2599999999999998</v>
      </c>
      <c r="AE50" s="62">
        <f t="shared" si="249"/>
        <v>5.1980000000000004</v>
      </c>
      <c r="AF50" s="62">
        <f t="shared" si="249"/>
        <v>5.3159999999999998</v>
      </c>
      <c r="AG50" s="62">
        <f t="shared" si="249"/>
        <v>4.7009999999999996</v>
      </c>
      <c r="AH50" s="62">
        <f t="shared" si="249"/>
        <v>1.3990000000000014</v>
      </c>
      <c r="AI50" s="227">
        <f t="shared" si="249"/>
        <v>4.2229999999999999</v>
      </c>
      <c r="AJ50" s="62">
        <f t="shared" si="249"/>
        <v>3.8650000000000002</v>
      </c>
      <c r="AK50" s="62">
        <f t="shared" si="249"/>
        <v>4.0220000000000002</v>
      </c>
      <c r="AL50" s="228">
        <f t="shared" si="249"/>
        <v>-5.4340000000000002</v>
      </c>
      <c r="AM50" s="227">
        <f t="shared" si="249"/>
        <v>-5.7610000000000001</v>
      </c>
      <c r="AN50" s="62">
        <f t="shared" si="249"/>
        <v>-4.6970000000000001</v>
      </c>
      <c r="AO50" s="62">
        <f t="shared" ref="AO50:AT50" si="250">AO28+AO29</f>
        <v>-4.12</v>
      </c>
      <c r="AP50" s="228">
        <f t="shared" si="250"/>
        <v>-3.4649999999999999</v>
      </c>
      <c r="AQ50" s="227">
        <f t="shared" si="250"/>
        <v>-3</v>
      </c>
      <c r="AR50" s="62">
        <f t="shared" si="250"/>
        <v>-3</v>
      </c>
      <c r="AS50" s="62">
        <f t="shared" si="250"/>
        <v>-3</v>
      </c>
      <c r="AT50" s="228">
        <f t="shared" si="250"/>
        <v>1</v>
      </c>
      <c r="AU50" s="227">
        <f t="shared" ref="AU50:AX50" si="251">AU28+AU29</f>
        <v>0</v>
      </c>
      <c r="AV50" s="62">
        <f t="shared" si="251"/>
        <v>0</v>
      </c>
      <c r="AW50" s="62">
        <f t="shared" si="251"/>
        <v>-2</v>
      </c>
      <c r="AX50" s="228">
        <f t="shared" si="251"/>
        <v>-1</v>
      </c>
      <c r="AY50" s="227">
        <f t="shared" ref="AY50:AZ50" si="252">AY28+AY29</f>
        <v>0</v>
      </c>
      <c r="AZ50" s="62">
        <f t="shared" si="252"/>
        <v>0</v>
      </c>
      <c r="BA50" s="62">
        <f t="shared" ref="BA50:BB50" si="253">BA28+BA29</f>
        <v>2</v>
      </c>
      <c r="BB50" s="228">
        <f t="shared" si="253"/>
        <v>5</v>
      </c>
      <c r="BC50" s="227">
        <f t="shared" ref="BC50:BJ50" si="254">BC28+BC29</f>
        <v>0.37250000000000227</v>
      </c>
      <c r="BD50" s="62">
        <f t="shared" si="254"/>
        <v>0.37250000000000227</v>
      </c>
      <c r="BE50" s="62">
        <f t="shared" si="254"/>
        <v>0.37250000000000227</v>
      </c>
      <c r="BF50" s="228">
        <f t="shared" si="254"/>
        <v>0.37250000000000227</v>
      </c>
      <c r="BG50" s="227">
        <f t="shared" si="254"/>
        <v>0.37250000000000227</v>
      </c>
      <c r="BH50" s="62">
        <f t="shared" si="254"/>
        <v>0.37250000000000227</v>
      </c>
      <c r="BI50" s="62">
        <f t="shared" si="254"/>
        <v>0.37250000000000227</v>
      </c>
      <c r="BJ50" s="228">
        <f t="shared" si="254"/>
        <v>0.37250000000000227</v>
      </c>
      <c r="BK50" s="227">
        <f t="shared" ref="BK50:BN50" si="255">BK28+BK29</f>
        <v>9.1785144244480286</v>
      </c>
      <c r="BL50" s="62">
        <f t="shared" si="255"/>
        <v>12.373294813218699</v>
      </c>
      <c r="BM50" s="62">
        <f t="shared" si="255"/>
        <v>15.213045813690762</v>
      </c>
      <c r="BN50" s="228">
        <f t="shared" si="255"/>
        <v>18.56298395965117</v>
      </c>
      <c r="BO50" s="138"/>
      <c r="BP50" s="62">
        <f t="shared" si="249"/>
        <v>20.626000000000001</v>
      </c>
      <c r="BQ50" s="62">
        <f t="shared" si="249"/>
        <v>41.798000000000002</v>
      </c>
      <c r="BR50" s="62">
        <f t="shared" si="249"/>
        <v>64.234999999999999</v>
      </c>
      <c r="BS50" s="62">
        <f t="shared" si="249"/>
        <v>42.45300000000001</v>
      </c>
      <c r="BT50" s="62">
        <f t="shared" si="249"/>
        <v>19.794999999999998</v>
      </c>
      <c r="BU50" s="62">
        <f t="shared" si="249"/>
        <v>15.930000000000003</v>
      </c>
      <c r="BV50" s="62">
        <f t="shared" si="249"/>
        <v>17.195</v>
      </c>
      <c r="BW50" s="62">
        <f t="shared" si="249"/>
        <v>16.614000000000001</v>
      </c>
      <c r="BX50" s="62">
        <f t="shared" si="249"/>
        <v>6.6760000000000002</v>
      </c>
      <c r="BY50" s="62">
        <f t="shared" ref="BY50:CA50" si="256">BY28+BY29</f>
        <v>-18.043000000000006</v>
      </c>
      <c r="BZ50" s="62">
        <f t="shared" si="256"/>
        <v>-8</v>
      </c>
      <c r="CA50" s="62">
        <f t="shared" si="256"/>
        <v>-3</v>
      </c>
      <c r="CB50" s="62">
        <f t="shared" ref="CB50:CC50" si="257">CB28+CB29</f>
        <v>7</v>
      </c>
      <c r="CC50" s="62">
        <f t="shared" si="257"/>
        <v>1.4900000000000091</v>
      </c>
      <c r="CD50" s="62">
        <f t="shared" ref="CD50:CE50" si="258">CD28+CD29</f>
        <v>1.4900000000000091</v>
      </c>
      <c r="CE50" s="62">
        <f t="shared" si="258"/>
        <v>55.327839011008678</v>
      </c>
      <c r="CF50" s="14"/>
      <c r="CY50"/>
      <c r="CZ50"/>
      <c r="DA50"/>
      <c r="DB50"/>
      <c r="DC50"/>
      <c r="DD50"/>
    </row>
    <row r="51" spans="1:108" s="9" customFormat="1">
      <c r="B51" s="249" t="s">
        <v>225</v>
      </c>
      <c r="C51" s="250">
        <f>C49+C50</f>
        <v>80.067000000000021</v>
      </c>
      <c r="D51" s="251">
        <f t="shared" ref="D51:BX51" si="259">D49+D50</f>
        <v>82.458000000000013</v>
      </c>
      <c r="E51" s="251">
        <f t="shared" si="259"/>
        <v>74.951999999999941</v>
      </c>
      <c r="F51" s="252">
        <f t="shared" si="259"/>
        <v>119.81300000000012</v>
      </c>
      <c r="G51" s="251">
        <f t="shared" si="259"/>
        <v>109.492</v>
      </c>
      <c r="H51" s="251">
        <f t="shared" si="259"/>
        <v>104.62799999999997</v>
      </c>
      <c r="I51" s="251">
        <f t="shared" si="259"/>
        <v>144.24299999999999</v>
      </c>
      <c r="J51" s="251">
        <f t="shared" si="259"/>
        <v>152.06300000000013</v>
      </c>
      <c r="K51" s="250">
        <f t="shared" si="259"/>
        <v>154.45399999999998</v>
      </c>
      <c r="L51" s="251">
        <f t="shared" si="259"/>
        <v>200.38500000000002</v>
      </c>
      <c r="M51" s="251">
        <f t="shared" si="259"/>
        <v>265.25700000000001</v>
      </c>
      <c r="N51" s="252">
        <f t="shared" si="259"/>
        <v>280.48499999999979</v>
      </c>
      <c r="O51" s="251">
        <f t="shared" si="259"/>
        <v>217.30199999999994</v>
      </c>
      <c r="P51" s="251">
        <f t="shared" si="259"/>
        <v>52.643000000000015</v>
      </c>
      <c r="Q51" s="251">
        <f t="shared" si="259"/>
        <v>70.742999999999938</v>
      </c>
      <c r="R51" s="251">
        <f t="shared" si="259"/>
        <v>-175.14600000000044</v>
      </c>
      <c r="S51" s="250">
        <f t="shared" si="259"/>
        <v>-96.012000000000029</v>
      </c>
      <c r="T51" s="251">
        <f t="shared" si="259"/>
        <v>15.664999999999967</v>
      </c>
      <c r="U51" s="251">
        <f t="shared" si="259"/>
        <v>89.174000000000021</v>
      </c>
      <c r="V51" s="252">
        <f t="shared" si="259"/>
        <v>136.73000000000027</v>
      </c>
      <c r="W51" s="251">
        <f t="shared" si="259"/>
        <v>152.96399999999997</v>
      </c>
      <c r="X51" s="251">
        <f t="shared" si="259"/>
        <v>10.790999999999876</v>
      </c>
      <c r="Y51" s="251">
        <f t="shared" si="259"/>
        <v>108.00300000000001</v>
      </c>
      <c r="Z51" s="251">
        <f t="shared" si="259"/>
        <v>181.11199999999974</v>
      </c>
      <c r="AA51" s="250">
        <f t="shared" si="259"/>
        <v>160.17499999999995</v>
      </c>
      <c r="AB51" s="251">
        <f t="shared" si="259"/>
        <v>179.29600000000008</v>
      </c>
      <c r="AC51" s="251">
        <f t="shared" si="259"/>
        <v>201.44600000000008</v>
      </c>
      <c r="AD51" s="252">
        <f t="shared" si="259"/>
        <v>131.87699999999995</v>
      </c>
      <c r="AE51" s="251">
        <f t="shared" si="259"/>
        <v>87.536999999999949</v>
      </c>
      <c r="AF51" s="251">
        <f t="shared" si="259"/>
        <v>173.92500000000004</v>
      </c>
      <c r="AG51" s="251">
        <f t="shared" si="259"/>
        <v>265.98599999999988</v>
      </c>
      <c r="AH51" s="251">
        <f t="shared" si="259"/>
        <v>193.67000000000019</v>
      </c>
      <c r="AI51" s="250">
        <f t="shared" si="259"/>
        <v>95.864999999999938</v>
      </c>
      <c r="AJ51" s="251">
        <f t="shared" si="259"/>
        <v>120.65300000000006</v>
      </c>
      <c r="AK51" s="251">
        <f t="shared" si="259"/>
        <v>151.82200000000012</v>
      </c>
      <c r="AL51" s="252">
        <f t="shared" si="259"/>
        <v>166.25300000000053</v>
      </c>
      <c r="AM51" s="250">
        <f t="shared" si="259"/>
        <v>155.03900000000002</v>
      </c>
      <c r="AN51" s="251">
        <f t="shared" si="259"/>
        <v>167.65500000000003</v>
      </c>
      <c r="AO51" s="251">
        <f t="shared" ref="AO51:AT51" si="260">AO49+AO50</f>
        <v>218.76700000000011</v>
      </c>
      <c r="AP51" s="252">
        <f t="shared" si="260"/>
        <v>236.83999999999995</v>
      </c>
      <c r="AQ51" s="250">
        <f t="shared" si="260"/>
        <v>182</v>
      </c>
      <c r="AR51" s="251">
        <f t="shared" si="260"/>
        <v>181</v>
      </c>
      <c r="AS51" s="251">
        <f t="shared" si="260"/>
        <v>254</v>
      </c>
      <c r="AT51" s="252">
        <f t="shared" si="260"/>
        <v>294</v>
      </c>
      <c r="AU51" s="250">
        <f t="shared" ref="AU51:AX51" si="261">AU49+AU50</f>
        <v>269</v>
      </c>
      <c r="AV51" s="251">
        <f t="shared" si="261"/>
        <v>324</v>
      </c>
      <c r="AW51" s="251">
        <f t="shared" si="261"/>
        <v>641</v>
      </c>
      <c r="AX51" s="252">
        <f t="shared" si="261"/>
        <v>737</v>
      </c>
      <c r="AY51" s="250">
        <f t="shared" ref="AY51:AZ51" si="262">AY49+AY50</f>
        <v>561</v>
      </c>
      <c r="AZ51" s="251">
        <f t="shared" si="262"/>
        <v>692</v>
      </c>
      <c r="BA51" s="251">
        <f t="shared" ref="BA51:BB51" si="263">BA49+BA50</f>
        <v>900</v>
      </c>
      <c r="BB51" s="252">
        <f t="shared" si="263"/>
        <v>1081</v>
      </c>
      <c r="BC51" s="250">
        <f t="shared" ref="BC51:BJ51" si="264">BC49+BC50</f>
        <v>1065.9908651000774</v>
      </c>
      <c r="BD51" s="251">
        <f t="shared" si="264"/>
        <v>1172.3850746410958</v>
      </c>
      <c r="BE51" s="251">
        <f t="shared" si="264"/>
        <v>1287.6332195811956</v>
      </c>
      <c r="BF51" s="252">
        <f t="shared" si="264"/>
        <v>1339.7617369645618</v>
      </c>
      <c r="BG51" s="250">
        <f t="shared" si="264"/>
        <v>1174.7612747710614</v>
      </c>
      <c r="BH51" s="251">
        <f t="shared" si="264"/>
        <v>1398.5357485131694</v>
      </c>
      <c r="BI51" s="251">
        <f t="shared" si="264"/>
        <v>1560.9685979808296</v>
      </c>
      <c r="BJ51" s="252">
        <f t="shared" si="264"/>
        <v>1588.6419143783567</v>
      </c>
      <c r="BK51" s="250">
        <f t="shared" ref="BK51:BN51" si="265">BK49+BK50</f>
        <v>1430.920651175584</v>
      </c>
      <c r="BL51" s="251">
        <f t="shared" si="265"/>
        <v>1698.7813327519534</v>
      </c>
      <c r="BM51" s="251">
        <f t="shared" si="265"/>
        <v>1874.464561008318</v>
      </c>
      <c r="BN51" s="252">
        <f t="shared" si="265"/>
        <v>1929.7494106202362</v>
      </c>
      <c r="BO51" s="89"/>
      <c r="BP51" s="251">
        <f t="shared" si="259"/>
        <v>357.28999999999996</v>
      </c>
      <c r="BQ51" s="251">
        <f t="shared" si="259"/>
        <v>510.42600000000027</v>
      </c>
      <c r="BR51" s="251">
        <f t="shared" si="259"/>
        <v>900.58099999999979</v>
      </c>
      <c r="BS51" s="251">
        <f t="shared" si="259"/>
        <v>165.54199999999994</v>
      </c>
      <c r="BT51" s="251">
        <f t="shared" si="259"/>
        <v>145.55699999999993</v>
      </c>
      <c r="BU51" s="251">
        <f t="shared" si="259"/>
        <v>452.86999999999961</v>
      </c>
      <c r="BV51" s="251">
        <f t="shared" si="259"/>
        <v>672.79399999999998</v>
      </c>
      <c r="BW51" s="251">
        <f t="shared" si="259"/>
        <v>721.11799999999994</v>
      </c>
      <c r="BX51" s="251">
        <f t="shared" si="259"/>
        <v>534.59300000000042</v>
      </c>
      <c r="BY51" s="251">
        <f t="shared" ref="BY51:CA51" si="266">BY49+BY50</f>
        <v>778.30100000000004</v>
      </c>
      <c r="BZ51" s="251">
        <f t="shared" si="266"/>
        <v>911</v>
      </c>
      <c r="CA51" s="251">
        <f t="shared" si="266"/>
        <v>1971</v>
      </c>
      <c r="CB51" s="251">
        <f t="shared" ref="CB51:CC51" si="267">CB49+CB50</f>
        <v>3234</v>
      </c>
      <c r="CC51" s="251">
        <f t="shared" si="267"/>
        <v>4865.770896286931</v>
      </c>
      <c r="CD51" s="251">
        <f t="shared" ref="CD51:CE51" si="268">CD49+CD50</f>
        <v>5722.9075356434187</v>
      </c>
      <c r="CE51" s="251">
        <f t="shared" si="268"/>
        <v>6933.9159555560936</v>
      </c>
      <c r="CF51" s="14"/>
      <c r="CY51"/>
      <c r="CZ51"/>
      <c r="DA51"/>
      <c r="DB51"/>
      <c r="DC51"/>
      <c r="DD51"/>
    </row>
    <row r="52" spans="1:108" s="5" customFormat="1">
      <c r="B52" s="116" t="s">
        <v>226</v>
      </c>
      <c r="C52" s="229">
        <f>C51*C32</f>
        <v>16.013400000000001</v>
      </c>
      <c r="D52" s="60">
        <f t="shared" ref="D52:AN52" si="269">D51*D32</f>
        <v>8.9406170844805093</v>
      </c>
      <c r="E52" s="60">
        <f t="shared" si="269"/>
        <v>11.156977099236641</v>
      </c>
      <c r="F52" s="230">
        <f t="shared" si="269"/>
        <v>19.596102588719067</v>
      </c>
      <c r="G52" s="60">
        <f t="shared" si="269"/>
        <v>18.613479642647917</v>
      </c>
      <c r="H52" s="60">
        <f t="shared" si="269"/>
        <v>17.668018664588597</v>
      </c>
      <c r="I52" s="60">
        <f t="shared" si="269"/>
        <v>24.521770851029007</v>
      </c>
      <c r="J52" s="60">
        <f t="shared" si="269"/>
        <v>-12.693070111309783</v>
      </c>
      <c r="K52" s="229">
        <f t="shared" si="269"/>
        <v>21.623098010911054</v>
      </c>
      <c r="L52" s="60">
        <f t="shared" si="269"/>
        <v>28.053760324817894</v>
      </c>
      <c r="M52" s="60">
        <f t="shared" si="269"/>
        <v>30.958033823215228</v>
      </c>
      <c r="N52" s="230">
        <f t="shared" si="269"/>
        <v>22.956716511493298</v>
      </c>
      <c r="O52" s="60">
        <f t="shared" si="269"/>
        <v>36.941278793341411</v>
      </c>
      <c r="P52" s="60">
        <f t="shared" si="269"/>
        <v>9.2182704843110557</v>
      </c>
      <c r="Q52" s="60">
        <f t="shared" si="269"/>
        <v>-0.86394988771044057</v>
      </c>
      <c r="R52" s="60">
        <f t="shared" si="269"/>
        <v>-23.345946647101986</v>
      </c>
      <c r="S52" s="229">
        <f t="shared" si="269"/>
        <v>-10.028644103531253</v>
      </c>
      <c r="T52" s="60">
        <f t="shared" si="269"/>
        <v>0.26312858890206375</v>
      </c>
      <c r="U52" s="60">
        <f t="shared" si="269"/>
        <v>2.1280646419918878</v>
      </c>
      <c r="V52" s="230">
        <f t="shared" si="269"/>
        <v>8.1839310433865755</v>
      </c>
      <c r="W52" s="60">
        <f t="shared" si="269"/>
        <v>13.326059273511362</v>
      </c>
      <c r="X52" s="60">
        <f t="shared" si="269"/>
        <v>1.7928506628333913</v>
      </c>
      <c r="Y52" s="60">
        <f t="shared" si="269"/>
        <v>19.521553979823331</v>
      </c>
      <c r="Z52" s="60">
        <f t="shared" si="269"/>
        <v>13.887403096188393</v>
      </c>
      <c r="AA52" s="229">
        <f t="shared" si="269"/>
        <v>21.767463654663384</v>
      </c>
      <c r="AB52" s="60">
        <f t="shared" si="269"/>
        <v>26.22986760688719</v>
      </c>
      <c r="AC52" s="60">
        <f t="shared" si="269"/>
        <v>26.081437024811141</v>
      </c>
      <c r="AD52" s="230">
        <f t="shared" si="269"/>
        <v>9.0531326328294934</v>
      </c>
      <c r="AE52" s="60">
        <f t="shared" si="269"/>
        <v>18.914214229197739</v>
      </c>
      <c r="AF52" s="60">
        <f t="shared" si="269"/>
        <v>31.335917098231498</v>
      </c>
      <c r="AG52" s="60">
        <f t="shared" si="269"/>
        <v>46.718597031873458</v>
      </c>
      <c r="AH52" s="60">
        <f t="shared" si="269"/>
        <v>12.628073215552256</v>
      </c>
      <c r="AI52" s="229">
        <f t="shared" si="269"/>
        <v>11.072232234107785</v>
      </c>
      <c r="AJ52" s="60">
        <f t="shared" si="269"/>
        <v>16.586280772670371</v>
      </c>
      <c r="AK52" s="60">
        <f t="shared" si="269"/>
        <v>24.412304571541657</v>
      </c>
      <c r="AL52" s="230">
        <f t="shared" si="269"/>
        <v>21.628207232011743</v>
      </c>
      <c r="AM52" s="229">
        <f t="shared" si="269"/>
        <v>25.414766318393941</v>
      </c>
      <c r="AN52" s="60">
        <f t="shared" si="269"/>
        <v>28.894668358932901</v>
      </c>
      <c r="AO52" s="60">
        <f t="shared" ref="AO52:AT52" si="270">AO51*AO32</f>
        <v>37.777514712775627</v>
      </c>
      <c r="AP52" s="230">
        <f t="shared" si="270"/>
        <v>36.099912840835778</v>
      </c>
      <c r="AQ52" s="229">
        <f t="shared" si="270"/>
        <v>40.209302325581397</v>
      </c>
      <c r="AR52" s="60">
        <f t="shared" si="270"/>
        <v>115.63888888888889</v>
      </c>
      <c r="AS52" s="60">
        <f t="shared" si="270"/>
        <v>-1.036734693877551</v>
      </c>
      <c r="AT52" s="230">
        <f t="shared" si="270"/>
        <v>53.244094488188978</v>
      </c>
      <c r="AU52" s="229">
        <f t="shared" ref="AU52:AX52" si="271">AU51*AU32</f>
        <v>50.228215767634858</v>
      </c>
      <c r="AV52" s="60">
        <f t="shared" si="271"/>
        <v>65.413249211356458</v>
      </c>
      <c r="AW52" s="60">
        <f t="shared" si="271"/>
        <v>81.544283413848632</v>
      </c>
      <c r="AX52" s="230">
        <f t="shared" si="271"/>
        <v>72.075757575757578</v>
      </c>
      <c r="AY52" s="229">
        <f t="shared" ref="AY52:AZ52" si="272">AY51*AY32</f>
        <v>30.352611940298505</v>
      </c>
      <c r="AZ52" s="60">
        <f t="shared" si="272"/>
        <v>102.18128654970761</v>
      </c>
      <c r="BA52" s="60">
        <f t="shared" ref="BA52:BB52" si="273">BA51*BA32</f>
        <v>58.258928571428577</v>
      </c>
      <c r="BB52" s="230">
        <f t="shared" si="273"/>
        <v>-40.111317254174402</v>
      </c>
      <c r="BC52" s="229">
        <f t="shared" ref="BC52:BJ52" si="274">BC51*BC32</f>
        <v>127.91890381200928</v>
      </c>
      <c r="BD52" s="60">
        <f t="shared" si="274"/>
        <v>140.68620895693149</v>
      </c>
      <c r="BE52" s="60">
        <f t="shared" si="274"/>
        <v>154.51598634974346</v>
      </c>
      <c r="BF52" s="230">
        <f t="shared" si="274"/>
        <v>160.77140843574742</v>
      </c>
      <c r="BG52" s="229">
        <f t="shared" si="274"/>
        <v>140.97135297252737</v>
      </c>
      <c r="BH52" s="60">
        <f t="shared" si="274"/>
        <v>167.82428982158032</v>
      </c>
      <c r="BI52" s="60">
        <f t="shared" si="274"/>
        <v>187.31623175769954</v>
      </c>
      <c r="BJ52" s="230">
        <f t="shared" si="274"/>
        <v>190.63702972540278</v>
      </c>
      <c r="BK52" s="229">
        <f t="shared" ref="BK52:BN52" si="275">BK51*BK32</f>
        <v>171.71047814107007</v>
      </c>
      <c r="BL52" s="60">
        <f t="shared" si="275"/>
        <v>203.85375993023439</v>
      </c>
      <c r="BM52" s="60">
        <f t="shared" si="275"/>
        <v>224.93574732099816</v>
      </c>
      <c r="BN52" s="230">
        <f t="shared" si="275"/>
        <v>231.56992927442832</v>
      </c>
      <c r="BO52" s="84"/>
      <c r="BP52" s="60">
        <f t="shared" ref="BP52:BY52" si="276">BP51*BP32</f>
        <v>55.690245972398166</v>
      </c>
      <c r="BQ52" s="60">
        <f t="shared" si="276"/>
        <v>46.98488056477062</v>
      </c>
      <c r="BR52" s="60">
        <f t="shared" si="276"/>
        <v>103.60856476738549</v>
      </c>
      <c r="BS52" s="60">
        <f t="shared" si="276"/>
        <v>49.76588550542408</v>
      </c>
      <c r="BT52" s="60">
        <f t="shared" si="276"/>
        <v>25.305417150703654</v>
      </c>
      <c r="BU52" s="60">
        <f t="shared" si="276"/>
        <v>30.0995910668255</v>
      </c>
      <c r="BV52" s="60">
        <f t="shared" si="276"/>
        <v>83.471988019222238</v>
      </c>
      <c r="BW52" s="60">
        <f t="shared" si="276"/>
        <v>108.38244326089549</v>
      </c>
      <c r="BX52" s="60">
        <f t="shared" si="276"/>
        <v>73.615576853880569</v>
      </c>
      <c r="BY52" s="60">
        <f t="shared" si="276"/>
        <v>128.11143208458526</v>
      </c>
      <c r="BZ52" s="60">
        <f t="shared" ref="BZ52:CE52" si="277">BZ51*BZ32</f>
        <v>158.16823687752355</v>
      </c>
      <c r="CA52" s="60">
        <f t="shared" si="277"/>
        <v>267.97322834645672</v>
      </c>
      <c r="CB52" s="60">
        <f t="shared" si="277"/>
        <v>149.85347526612398</v>
      </c>
      <c r="CC52" s="60">
        <f t="shared" si="277"/>
        <v>583.89250755443163</v>
      </c>
      <c r="CD52" s="60">
        <f t="shared" si="277"/>
        <v>686.74890427721027</v>
      </c>
      <c r="CE52" s="60">
        <f t="shared" si="277"/>
        <v>832.06991466673128</v>
      </c>
      <c r="CF52" s="14"/>
      <c r="CY52"/>
      <c r="CZ52"/>
      <c r="DA52"/>
      <c r="DB52"/>
      <c r="DC52"/>
      <c r="DD52"/>
    </row>
    <row r="53" spans="1:108" s="5" customFormat="1">
      <c r="B53" s="249" t="s">
        <v>216</v>
      </c>
      <c r="C53" s="250">
        <f>C51-C52</f>
        <v>64.053600000000017</v>
      </c>
      <c r="D53" s="251">
        <f t="shared" ref="D53:BX53" si="278">D51-D52</f>
        <v>73.517382915519505</v>
      </c>
      <c r="E53" s="251">
        <f t="shared" si="278"/>
        <v>63.7950229007633</v>
      </c>
      <c r="F53" s="252">
        <f t="shared" si="278"/>
        <v>100.21689741128105</v>
      </c>
      <c r="G53" s="251">
        <f t="shared" si="278"/>
        <v>90.878520357352087</v>
      </c>
      <c r="H53" s="251">
        <f t="shared" si="278"/>
        <v>86.959981335411371</v>
      </c>
      <c r="I53" s="251">
        <f t="shared" si="278"/>
        <v>119.72122914897099</v>
      </c>
      <c r="J53" s="251">
        <f t="shared" si="278"/>
        <v>164.75607011130992</v>
      </c>
      <c r="K53" s="250">
        <f t="shared" si="278"/>
        <v>132.83090198908891</v>
      </c>
      <c r="L53" s="251">
        <f t="shared" si="278"/>
        <v>172.33123967518213</v>
      </c>
      <c r="M53" s="251">
        <f t="shared" si="278"/>
        <v>234.29896617678477</v>
      </c>
      <c r="N53" s="252">
        <f t="shared" si="278"/>
        <v>257.52828348850647</v>
      </c>
      <c r="O53" s="251">
        <f t="shared" si="278"/>
        <v>180.36072120665852</v>
      </c>
      <c r="P53" s="251">
        <f t="shared" si="278"/>
        <v>43.424729515688959</v>
      </c>
      <c r="Q53" s="251">
        <f t="shared" si="278"/>
        <v>71.606949887710385</v>
      </c>
      <c r="R53" s="251">
        <f t="shared" si="278"/>
        <v>-151.80005335289846</v>
      </c>
      <c r="S53" s="250">
        <f t="shared" si="278"/>
        <v>-85.98335589646878</v>
      </c>
      <c r="T53" s="251">
        <f t="shared" si="278"/>
        <v>15.401871411097904</v>
      </c>
      <c r="U53" s="251">
        <f t="shared" si="278"/>
        <v>87.045935358008137</v>
      </c>
      <c r="V53" s="252">
        <f t="shared" si="278"/>
        <v>128.54606895661371</v>
      </c>
      <c r="W53" s="251">
        <f t="shared" si="278"/>
        <v>139.63794072648861</v>
      </c>
      <c r="X53" s="251">
        <f t="shared" si="278"/>
        <v>8.9981493371664847</v>
      </c>
      <c r="Y53" s="251">
        <f t="shared" si="278"/>
        <v>88.481446020176691</v>
      </c>
      <c r="Z53" s="251">
        <f t="shared" si="278"/>
        <v>167.22459690381135</v>
      </c>
      <c r="AA53" s="250">
        <f t="shared" si="278"/>
        <v>138.40753634533658</v>
      </c>
      <c r="AB53" s="251">
        <f t="shared" si="278"/>
        <v>153.06613239311289</v>
      </c>
      <c r="AC53" s="251">
        <f t="shared" si="278"/>
        <v>175.36456297518893</v>
      </c>
      <c r="AD53" s="252">
        <f t="shared" si="278"/>
        <v>122.82386736717046</v>
      </c>
      <c r="AE53" s="251">
        <f t="shared" si="278"/>
        <v>68.62278577080221</v>
      </c>
      <c r="AF53" s="251">
        <f t="shared" si="278"/>
        <v>142.58908290176853</v>
      </c>
      <c r="AG53" s="251">
        <f t="shared" si="278"/>
        <v>219.26740296812642</v>
      </c>
      <c r="AH53" s="251">
        <f t="shared" si="278"/>
        <v>181.04192678444792</v>
      </c>
      <c r="AI53" s="250">
        <f t="shared" si="278"/>
        <v>84.792767765892151</v>
      </c>
      <c r="AJ53" s="251">
        <f t="shared" si="278"/>
        <v>104.06671922732968</v>
      </c>
      <c r="AK53" s="251">
        <f t="shared" si="278"/>
        <v>127.40969542845846</v>
      </c>
      <c r="AL53" s="252">
        <f t="shared" si="278"/>
        <v>144.62479276798879</v>
      </c>
      <c r="AM53" s="250">
        <f t="shared" si="278"/>
        <v>129.62423368160609</v>
      </c>
      <c r="AN53" s="251">
        <f t="shared" si="278"/>
        <v>138.76033164106713</v>
      </c>
      <c r="AO53" s="251">
        <f t="shared" ref="AO53:AT53" si="279">AO51-AO52</f>
        <v>180.98948528722448</v>
      </c>
      <c r="AP53" s="252">
        <f t="shared" si="279"/>
        <v>200.74008715916418</v>
      </c>
      <c r="AQ53" s="250">
        <f t="shared" si="279"/>
        <v>141.7906976744186</v>
      </c>
      <c r="AR53" s="251">
        <f t="shared" si="279"/>
        <v>65.361111111111114</v>
      </c>
      <c r="AS53" s="251">
        <f t="shared" si="279"/>
        <v>255.03673469387755</v>
      </c>
      <c r="AT53" s="252">
        <f t="shared" si="279"/>
        <v>240.75590551181102</v>
      </c>
      <c r="AU53" s="250">
        <f t="shared" ref="AU53:AX53" si="280">AU51-AU52</f>
        <v>218.77178423236515</v>
      </c>
      <c r="AV53" s="251">
        <f t="shared" si="280"/>
        <v>258.58675078864354</v>
      </c>
      <c r="AW53" s="251">
        <f t="shared" si="280"/>
        <v>559.45571658615131</v>
      </c>
      <c r="AX53" s="252">
        <f t="shared" si="280"/>
        <v>664.92424242424238</v>
      </c>
      <c r="AY53" s="250">
        <f t="shared" ref="AY53:AZ53" si="281">AY51-AY52</f>
        <v>530.64738805970148</v>
      </c>
      <c r="AZ53" s="251">
        <f t="shared" si="281"/>
        <v>589.81871345029242</v>
      </c>
      <c r="BA53" s="251">
        <f t="shared" ref="BA53:BB53" si="282">BA51-BA52</f>
        <v>841.74107142857144</v>
      </c>
      <c r="BB53" s="252">
        <f t="shared" si="282"/>
        <v>1121.1113172541743</v>
      </c>
      <c r="BC53" s="250">
        <f t="shared" ref="BC53:BJ53" si="283">BC51-BC52</f>
        <v>938.07196128806811</v>
      </c>
      <c r="BD53" s="251">
        <f t="shared" si="283"/>
        <v>1031.6988656841643</v>
      </c>
      <c r="BE53" s="251">
        <f t="shared" si="283"/>
        <v>1133.1172332314522</v>
      </c>
      <c r="BF53" s="252">
        <f t="shared" si="283"/>
        <v>1178.9903285288144</v>
      </c>
      <c r="BG53" s="250">
        <f t="shared" si="283"/>
        <v>1033.7899217985341</v>
      </c>
      <c r="BH53" s="251">
        <f t="shared" si="283"/>
        <v>1230.7114586915891</v>
      </c>
      <c r="BI53" s="251">
        <f t="shared" si="283"/>
        <v>1373.65236622313</v>
      </c>
      <c r="BJ53" s="252">
        <f t="shared" si="283"/>
        <v>1398.0048846529539</v>
      </c>
      <c r="BK53" s="250">
        <f t="shared" ref="BK53:BN53" si="284">BK51-BK52</f>
        <v>1259.2101730345139</v>
      </c>
      <c r="BL53" s="251">
        <f t="shared" si="284"/>
        <v>1494.927572821719</v>
      </c>
      <c r="BM53" s="251">
        <f t="shared" si="284"/>
        <v>1649.5288136873198</v>
      </c>
      <c r="BN53" s="252">
        <f t="shared" si="284"/>
        <v>1698.1794813458077</v>
      </c>
      <c r="BO53" s="89"/>
      <c r="BP53" s="251">
        <f t="shared" si="278"/>
        <v>301.59975402760182</v>
      </c>
      <c r="BQ53" s="251">
        <f t="shared" si="278"/>
        <v>463.44111943522967</v>
      </c>
      <c r="BR53" s="251">
        <f t="shared" si="278"/>
        <v>796.97243523261432</v>
      </c>
      <c r="BS53" s="251">
        <f t="shared" si="278"/>
        <v>115.77611449457586</v>
      </c>
      <c r="BT53" s="251">
        <f t="shared" si="278"/>
        <v>120.25158284929628</v>
      </c>
      <c r="BU53" s="251">
        <f t="shared" si="278"/>
        <v>422.77040893317411</v>
      </c>
      <c r="BV53" s="251">
        <f t="shared" si="278"/>
        <v>589.32201198077769</v>
      </c>
      <c r="BW53" s="251">
        <f t="shared" si="278"/>
        <v>612.73555673910448</v>
      </c>
      <c r="BX53" s="251">
        <f t="shared" si="278"/>
        <v>460.97742314611986</v>
      </c>
      <c r="BY53" s="251">
        <f t="shared" ref="BY53:CA53" si="285">BY51-BY52</f>
        <v>650.18956791541473</v>
      </c>
      <c r="BZ53" s="251">
        <f t="shared" si="285"/>
        <v>752.83176312247645</v>
      </c>
      <c r="CA53" s="251">
        <f t="shared" si="285"/>
        <v>1703.0267716535432</v>
      </c>
      <c r="CB53" s="251">
        <f t="shared" ref="CB53:CC53" si="286">CB51-CB52</f>
        <v>3084.146524733876</v>
      </c>
      <c r="CC53" s="251">
        <f t="shared" si="286"/>
        <v>4281.8783887324989</v>
      </c>
      <c r="CD53" s="251">
        <f t="shared" ref="CD53:CE53" si="287">CD51-CD52</f>
        <v>5036.1586313662083</v>
      </c>
      <c r="CE53" s="251">
        <f t="shared" si="287"/>
        <v>6101.8460408893625</v>
      </c>
      <c r="CF53" s="14"/>
      <c r="CG53" s="82"/>
      <c r="CY53"/>
      <c r="CZ53"/>
      <c r="DA53"/>
      <c r="DB53"/>
      <c r="DC53"/>
      <c r="DD53"/>
    </row>
    <row r="54" spans="1:108" s="5" customFormat="1">
      <c r="B54" s="84" t="s">
        <v>227</v>
      </c>
      <c r="C54" s="217">
        <f t="shared" ref="C54:AT54" si="288">C53/C85</f>
        <v>0.17744165946413143</v>
      </c>
      <c r="D54" s="92">
        <f t="shared" si="288"/>
        <v>0.20326974821391505</v>
      </c>
      <c r="E54" s="92">
        <f t="shared" si="288"/>
        <v>0.17389615817815468</v>
      </c>
      <c r="F54" s="218">
        <f t="shared" si="288"/>
        <v>0.26950821003918518</v>
      </c>
      <c r="G54" s="92">
        <f t="shared" si="288"/>
        <v>0.23336411443797592</v>
      </c>
      <c r="H54" s="92">
        <f t="shared" si="288"/>
        <v>0.22552505734191425</v>
      </c>
      <c r="I54" s="92">
        <f t="shared" si="288"/>
        <v>0.20404720571191837</v>
      </c>
      <c r="J54" s="92">
        <f t="shared" si="288"/>
        <v>0.27528579395731922</v>
      </c>
      <c r="K54" s="217">
        <f t="shared" si="288"/>
        <v>0.22201424703883663</v>
      </c>
      <c r="L54" s="92">
        <f t="shared" si="288"/>
        <v>0.28539694893460432</v>
      </c>
      <c r="M54" s="92">
        <f t="shared" si="288"/>
        <v>0.38222626357379835</v>
      </c>
      <c r="N54" s="218">
        <f t="shared" si="288"/>
        <v>0.42275065291552066</v>
      </c>
      <c r="O54" s="92">
        <f t="shared" si="288"/>
        <v>0.30466904149681584</v>
      </c>
      <c r="P54" s="92">
        <f t="shared" si="288"/>
        <v>7.8184012220888013E-2</v>
      </c>
      <c r="Q54" s="92">
        <f t="shared" si="288"/>
        <v>0.12684213210089418</v>
      </c>
      <c r="R54" s="92">
        <f t="shared" si="288"/>
        <v>-0.28236879686920163</v>
      </c>
      <c r="S54" s="217">
        <f t="shared" si="288"/>
        <v>-0.15855107143457262</v>
      </c>
      <c r="T54" s="92">
        <f t="shared" si="288"/>
        <v>2.8175580979582327E-2</v>
      </c>
      <c r="U54" s="92">
        <f t="shared" si="288"/>
        <v>0.15154737945372174</v>
      </c>
      <c r="V54" s="218">
        <f t="shared" si="288"/>
        <v>0.2208387989929472</v>
      </c>
      <c r="W54" s="92">
        <f t="shared" si="288"/>
        <v>0.23627521074808944</v>
      </c>
      <c r="X54" s="92">
        <f t="shared" si="288"/>
        <v>1.5710046960295137E-2</v>
      </c>
      <c r="Y54" s="92">
        <f t="shared" si="288"/>
        <v>0.15186089374747136</v>
      </c>
      <c r="Z54" s="92">
        <f t="shared" si="288"/>
        <v>0.27798536287182363</v>
      </c>
      <c r="AA54" s="217">
        <f t="shared" si="288"/>
        <v>0.22561271764628424</v>
      </c>
      <c r="AB54" s="92">
        <f t="shared" si="288"/>
        <v>0.24932017512161389</v>
      </c>
      <c r="AC54" s="92">
        <f t="shared" si="288"/>
        <v>0.28581485588237326</v>
      </c>
      <c r="AD54" s="218">
        <f t="shared" si="288"/>
        <v>0.19855167461824291</v>
      </c>
      <c r="AE54" s="92">
        <f t="shared" si="288"/>
        <v>0.11001014093102797</v>
      </c>
      <c r="AF54" s="92">
        <f t="shared" si="288"/>
        <v>0.22882240978678814</v>
      </c>
      <c r="AG54" s="92">
        <f t="shared" si="288"/>
        <v>0.34868274848035113</v>
      </c>
      <c r="AH54" s="92">
        <f t="shared" si="288"/>
        <v>0.29105576813604739</v>
      </c>
      <c r="AI54" s="217">
        <f t="shared" si="288"/>
        <v>0.13691667032545052</v>
      </c>
      <c r="AJ54" s="92">
        <f t="shared" si="288"/>
        <v>0.17578659545229219</v>
      </c>
      <c r="AK54" s="92">
        <f t="shared" si="288"/>
        <v>0.21640639085465269</v>
      </c>
      <c r="AL54" s="218">
        <f t="shared" si="288"/>
        <v>0.25049500268116864</v>
      </c>
      <c r="AM54" s="217">
        <f t="shared" si="288"/>
        <v>0.22724269695349422</v>
      </c>
      <c r="AN54" s="92">
        <f t="shared" si="288"/>
        <v>0.2431951298715449</v>
      </c>
      <c r="AO54" s="92">
        <f t="shared" si="288"/>
        <v>0.32423712119330578</v>
      </c>
      <c r="AP54" s="218">
        <f t="shared" si="288"/>
        <v>0.36067162287635979</v>
      </c>
      <c r="AQ54" s="217">
        <f t="shared" si="288"/>
        <v>0.24963150999017358</v>
      </c>
      <c r="AR54" s="92">
        <f t="shared" si="288"/>
        <v>0.11755595523581136</v>
      </c>
      <c r="AS54" s="92">
        <f t="shared" si="288"/>
        <v>0.45139245078562396</v>
      </c>
      <c r="AT54" s="218">
        <f t="shared" si="288"/>
        <v>0.40599646797944522</v>
      </c>
      <c r="AU54" s="217">
        <f t="shared" ref="AU54:AX54" si="289">AU53/AU85</f>
        <v>0.36645189988670879</v>
      </c>
      <c r="AV54" s="92">
        <f t="shared" si="289"/>
        <v>0.40980467636869022</v>
      </c>
      <c r="AW54" s="92">
        <f t="shared" si="289"/>
        <v>0.85674688604311078</v>
      </c>
      <c r="AX54" s="218">
        <f t="shared" si="289"/>
        <v>1.0074609733700641</v>
      </c>
      <c r="AY54" s="217">
        <f t="shared" ref="AY54:AZ54" si="290">AY53/AY85</f>
        <v>0.82784303909469814</v>
      </c>
      <c r="AZ54" s="92">
        <f t="shared" si="290"/>
        <v>0.93178311761499588</v>
      </c>
      <c r="BA54" s="92">
        <f t="shared" ref="BA54:BB54" si="291">BA53/BA85</f>
        <v>1.3403520245677889</v>
      </c>
      <c r="BB54" s="218">
        <f t="shared" si="291"/>
        <v>1.785209103907921</v>
      </c>
      <c r="BC54" s="217">
        <f t="shared" ref="BC54:BJ54" si="292">BC53/BC85</f>
        <v>1.4888315258877629</v>
      </c>
      <c r="BD54" s="92">
        <f t="shared" si="292"/>
        <v>1.6320599159564673</v>
      </c>
      <c r="BE54" s="92">
        <f t="shared" si="292"/>
        <v>1.7866373260331065</v>
      </c>
      <c r="BF54" s="218">
        <f t="shared" si="292"/>
        <v>1.852912246852791</v>
      </c>
      <c r="BG54" s="217">
        <f t="shared" si="292"/>
        <v>1.6194388819637471</v>
      </c>
      <c r="BH54" s="92">
        <f t="shared" si="292"/>
        <v>1.9216785809141439</v>
      </c>
      <c r="BI54" s="92">
        <f t="shared" si="292"/>
        <v>2.1379528814752846</v>
      </c>
      <c r="BJ54" s="218">
        <f t="shared" si="292"/>
        <v>2.1688588283626116</v>
      </c>
      <c r="BK54" s="217">
        <f t="shared" ref="BK54:BN54" si="293">BK53/BK85</f>
        <v>1.9472719787556021</v>
      </c>
      <c r="BL54" s="92">
        <f t="shared" si="293"/>
        <v>2.3044049498635601</v>
      </c>
      <c r="BM54" s="92">
        <f t="shared" si="293"/>
        <v>2.5346222491138479</v>
      </c>
      <c r="BN54" s="218">
        <f t="shared" si="293"/>
        <v>2.6010938370628836</v>
      </c>
      <c r="BO54" s="139"/>
      <c r="BP54" s="139">
        <f t="shared" ref="BP54:CA54" si="294">BP53/BP85</f>
        <v>0.82552831810128835</v>
      </c>
      <c r="BQ54" s="139">
        <f t="shared" si="294"/>
        <v>0.94568192265181616</v>
      </c>
      <c r="BR54" s="139">
        <f t="shared" si="294"/>
        <v>1.3149803389328314</v>
      </c>
      <c r="BS54" s="139">
        <f t="shared" si="294"/>
        <v>0.20586656631044672</v>
      </c>
      <c r="BT54" s="139">
        <f t="shared" si="294"/>
        <v>0.21421778643221417</v>
      </c>
      <c r="BU54" s="139">
        <f t="shared" si="294"/>
        <v>0.72023197749402745</v>
      </c>
      <c r="BV54" s="139">
        <f t="shared" si="294"/>
        <v>0.95841587072973033</v>
      </c>
      <c r="BW54" s="139">
        <f t="shared" si="294"/>
        <v>0.98124352506390344</v>
      </c>
      <c r="BX54" s="139">
        <f t="shared" si="294"/>
        <v>0.77559404520894926</v>
      </c>
      <c r="BY54" s="139">
        <f t="shared" si="294"/>
        <v>1.1529369472665889</v>
      </c>
      <c r="BZ54" s="92">
        <f>BZ53/BZ85</f>
        <v>1.3195999353592927</v>
      </c>
      <c r="CA54" s="92">
        <f t="shared" si="294"/>
        <v>2.6808764606903472</v>
      </c>
      <c r="CB54" s="92">
        <f t="shared" ref="CB54:CC54" si="295">CB53/CB85</f>
        <v>4.876120987721543</v>
      </c>
      <c r="CC54" s="92">
        <f t="shared" si="295"/>
        <v>6.7624816359624873</v>
      </c>
      <c r="CD54" s="92">
        <f t="shared" ref="CD54:CE54" si="296">CD53/CD85</f>
        <v>7.8509413441855109</v>
      </c>
      <c r="CE54" s="92">
        <f t="shared" si="296"/>
        <v>9.3908885217722489</v>
      </c>
      <c r="CF54" s="14"/>
      <c r="CG54" s="82"/>
      <c r="CY54"/>
      <c r="CZ54"/>
      <c r="DA54"/>
      <c r="DB54"/>
      <c r="DC54"/>
      <c r="DD54"/>
    </row>
    <row r="55" spans="1:108" s="46" customFormat="1">
      <c r="B55" s="505"/>
      <c r="C55" s="506"/>
      <c r="D55" s="453"/>
      <c r="E55" s="453"/>
      <c r="F55" s="507"/>
      <c r="G55" s="453"/>
      <c r="H55" s="453"/>
      <c r="I55" s="453"/>
      <c r="J55" s="453"/>
      <c r="K55" s="506"/>
      <c r="L55" s="453"/>
      <c r="M55" s="453"/>
      <c r="N55" s="507"/>
      <c r="O55" s="453"/>
      <c r="P55" s="453"/>
      <c r="Q55" s="453"/>
      <c r="R55" s="453"/>
      <c r="S55" s="506"/>
      <c r="T55" s="453"/>
      <c r="U55" s="453"/>
      <c r="V55" s="507"/>
      <c r="W55" s="453"/>
      <c r="X55" s="453"/>
      <c r="Y55" s="453"/>
      <c r="Z55" s="453"/>
      <c r="AA55" s="506"/>
      <c r="AB55" s="453"/>
      <c r="AC55" s="453"/>
      <c r="AD55" s="507"/>
      <c r="AE55" s="453"/>
      <c r="AF55" s="453"/>
      <c r="AG55" s="453"/>
      <c r="AH55" s="453"/>
      <c r="AI55" s="506"/>
      <c r="AJ55" s="453"/>
      <c r="AK55" s="453"/>
      <c r="AL55" s="507"/>
      <c r="AM55" s="506"/>
      <c r="AN55" s="566"/>
      <c r="AO55" s="453"/>
      <c r="AP55" s="507"/>
      <c r="AQ55" s="453"/>
      <c r="AR55" s="453"/>
      <c r="AS55" s="453"/>
      <c r="AT55" s="507"/>
      <c r="AU55" s="453"/>
      <c r="AV55" s="453"/>
      <c r="AW55" s="453"/>
      <c r="AX55" s="507"/>
      <c r="AY55" s="453"/>
      <c r="AZ55" s="453"/>
      <c r="BA55" s="453"/>
      <c r="BB55" s="507"/>
      <c r="BC55" s="453"/>
      <c r="BD55" s="453"/>
      <c r="BE55" s="453"/>
      <c r="BF55" s="507"/>
      <c r="BG55" s="453"/>
      <c r="BH55" s="453"/>
      <c r="BI55" s="453"/>
      <c r="BJ55" s="507"/>
      <c r="BK55" s="453"/>
      <c r="BL55" s="453"/>
      <c r="BM55" s="453"/>
      <c r="BN55" s="507"/>
      <c r="BO55" s="178"/>
      <c r="BP55" s="453"/>
      <c r="BQ55" s="453"/>
      <c r="BR55" s="453"/>
      <c r="BS55" s="453"/>
      <c r="BT55" s="453"/>
      <c r="BU55" s="453">
        <f t="shared" ref="BU55:BX55" si="297">(BU53-264*0.7)/BU85</f>
        <v>0.40540656249688944</v>
      </c>
      <c r="BV55" s="453">
        <f t="shared" si="297"/>
        <v>0.65787516580077343</v>
      </c>
      <c r="BW55" s="453">
        <f t="shared" si="297"/>
        <v>0.68530214964113023</v>
      </c>
      <c r="BX55" s="453">
        <f t="shared" si="297"/>
        <v>0.46466823331906548</v>
      </c>
      <c r="BY55" s="453"/>
      <c r="BZ55" s="453"/>
      <c r="CA55" s="453"/>
      <c r="CB55" s="453"/>
      <c r="CC55" s="453"/>
      <c r="CD55" s="453"/>
      <c r="CE55" s="453"/>
      <c r="CY55"/>
      <c r="CZ55"/>
      <c r="DA55"/>
      <c r="DB55"/>
      <c r="DC55"/>
      <c r="DD55"/>
    </row>
    <row r="56" spans="1:108" s="5" customFormat="1">
      <c r="B56" s="415" t="s">
        <v>181</v>
      </c>
      <c r="C56" s="530"/>
      <c r="D56" s="531"/>
      <c r="E56" s="531"/>
      <c r="F56" s="532"/>
      <c r="G56" s="531"/>
      <c r="H56" s="531"/>
      <c r="I56" s="531"/>
      <c r="J56" s="531"/>
      <c r="K56" s="530"/>
      <c r="L56" s="531"/>
      <c r="M56" s="531"/>
      <c r="N56" s="532"/>
      <c r="O56" s="531"/>
      <c r="P56" s="531"/>
      <c r="Q56" s="531"/>
      <c r="R56" s="531"/>
      <c r="S56" s="530"/>
      <c r="T56" s="531"/>
      <c r="U56" s="531"/>
      <c r="V56" s="532"/>
      <c r="W56" s="531"/>
      <c r="X56" s="531"/>
      <c r="Y56" s="531"/>
      <c r="Z56" s="531"/>
      <c r="AA56" s="530"/>
      <c r="AB56" s="531"/>
      <c r="AC56" s="531"/>
      <c r="AD56" s="532"/>
      <c r="AE56" s="531"/>
      <c r="AF56" s="531"/>
      <c r="AG56" s="531"/>
      <c r="AH56" s="531"/>
      <c r="AI56" s="530"/>
      <c r="AJ56" s="531"/>
      <c r="AK56" s="531"/>
      <c r="AL56" s="670"/>
      <c r="AM56" s="672"/>
      <c r="AN56" s="531"/>
      <c r="AO56" s="669"/>
      <c r="AP56" s="670"/>
      <c r="AQ56" s="669"/>
      <c r="AR56" s="669"/>
      <c r="AS56" s="669"/>
      <c r="AT56" s="670"/>
      <c r="AU56" s="669"/>
      <c r="AV56" s="669"/>
      <c r="AW56" s="669"/>
      <c r="AX56" s="670"/>
      <c r="AY56" s="669"/>
      <c r="AZ56" s="669"/>
      <c r="BA56" s="669"/>
      <c r="BB56" s="670"/>
      <c r="BC56" s="669"/>
      <c r="BD56" s="669"/>
      <c r="BE56" s="669"/>
      <c r="BF56" s="670"/>
      <c r="BG56" s="669"/>
      <c r="BH56" s="669"/>
      <c r="BI56" s="669"/>
      <c r="BJ56" s="670"/>
      <c r="BK56" s="669"/>
      <c r="BL56" s="669"/>
      <c r="BM56" s="669"/>
      <c r="BN56" s="670"/>
      <c r="BO56" s="359"/>
      <c r="BP56" s="531"/>
      <c r="BQ56" s="531"/>
      <c r="BR56" s="531"/>
      <c r="BS56" s="531"/>
      <c r="BT56" s="531"/>
      <c r="BU56" s="531"/>
      <c r="BV56" s="531"/>
      <c r="BW56" s="531"/>
      <c r="BX56" s="531"/>
      <c r="BY56" s="531"/>
      <c r="BZ56" s="531"/>
      <c r="CA56" s="531"/>
      <c r="CB56" s="531"/>
      <c r="CC56" s="531"/>
      <c r="CD56" s="531"/>
      <c r="CE56" s="531"/>
      <c r="CF56" s="14"/>
      <c r="CY56"/>
      <c r="CZ56"/>
      <c r="DA56"/>
      <c r="DB56"/>
      <c r="DC56"/>
      <c r="DD56"/>
    </row>
    <row r="57" spans="1:108" s="5" customFormat="1">
      <c r="B57" s="5" t="s">
        <v>190</v>
      </c>
      <c r="C57" s="23">
        <f t="shared" ref="C57:AT57" si="298">C13</f>
        <v>210.15300000000002</v>
      </c>
      <c r="D57" s="14">
        <f t="shared" si="298"/>
        <v>217.375</v>
      </c>
      <c r="E57" s="14">
        <f t="shared" si="298"/>
        <v>227.99499999999995</v>
      </c>
      <c r="F57" s="24">
        <f t="shared" si="298"/>
        <v>254.5100000000001</v>
      </c>
      <c r="G57" s="14">
        <f t="shared" si="298"/>
        <v>288.75700000000001</v>
      </c>
      <c r="H57" s="14">
        <f t="shared" si="298"/>
        <v>292.12799999999999</v>
      </c>
      <c r="I57" s="14">
        <f t="shared" si="298"/>
        <v>333.94200000000001</v>
      </c>
      <c r="J57" s="14">
        <f t="shared" si="298"/>
        <v>385.70600000000013</v>
      </c>
      <c r="K57" s="23">
        <f t="shared" si="298"/>
        <v>380.13799999999998</v>
      </c>
      <c r="L57" s="14">
        <f t="shared" si="298"/>
        <v>423.99200000000002</v>
      </c>
      <c r="M57" s="14">
        <f t="shared" si="298"/>
        <v>515.553</v>
      </c>
      <c r="N57" s="24">
        <f t="shared" si="298"/>
        <v>549.59699999999975</v>
      </c>
      <c r="O57" s="14">
        <f t="shared" si="298"/>
        <v>514.84299999999996</v>
      </c>
      <c r="P57" s="14">
        <f t="shared" si="298"/>
        <v>149.91700000000003</v>
      </c>
      <c r="Q57" s="14">
        <f t="shared" si="298"/>
        <v>367.84299999999996</v>
      </c>
      <c r="R57" s="14">
        <f t="shared" si="298"/>
        <v>141.6659999999996</v>
      </c>
      <c r="S57" s="23">
        <f t="shared" si="298"/>
        <v>189.69599999999997</v>
      </c>
      <c r="T57" s="14">
        <f t="shared" si="298"/>
        <v>156.72299999999996</v>
      </c>
      <c r="U57" s="14">
        <f t="shared" si="298"/>
        <v>391.78300000000002</v>
      </c>
      <c r="V57" s="24">
        <f t="shared" si="298"/>
        <v>438.72100000000023</v>
      </c>
      <c r="W57" s="14">
        <f t="shared" si="298"/>
        <v>456.37699999999995</v>
      </c>
      <c r="X57" s="14">
        <f t="shared" si="298"/>
        <v>134.29199999999992</v>
      </c>
      <c r="Y57" s="14">
        <f t="shared" si="298"/>
        <v>392.06200000000001</v>
      </c>
      <c r="Z57" s="14">
        <f t="shared" si="298"/>
        <v>426.35899999999981</v>
      </c>
      <c r="AA57" s="23">
        <f t="shared" si="298"/>
        <v>484.50299999999999</v>
      </c>
      <c r="AB57" s="14">
        <f t="shared" si="298"/>
        <v>525.28400000000011</v>
      </c>
      <c r="AC57" s="14">
        <f t="shared" si="298"/>
        <v>556.7170000000001</v>
      </c>
      <c r="AD57" s="24">
        <f t="shared" si="298"/>
        <v>490.01299999999998</v>
      </c>
      <c r="AE57" s="14">
        <f t="shared" si="298"/>
        <v>463.36399999999998</v>
      </c>
      <c r="AF57" s="14">
        <f t="shared" si="298"/>
        <v>540.71900000000005</v>
      </c>
      <c r="AG57" s="14">
        <f t="shared" si="298"/>
        <v>636.6579999999999</v>
      </c>
      <c r="AH57" s="14">
        <f t="shared" si="298"/>
        <v>585.60200000000009</v>
      </c>
      <c r="AI57" s="23">
        <f t="shared" si="298"/>
        <v>518.56799999999998</v>
      </c>
      <c r="AJ57" s="14">
        <f t="shared" si="298"/>
        <v>545.53800000000001</v>
      </c>
      <c r="AK57" s="14">
        <f t="shared" si="298"/>
        <v>584.41500000000008</v>
      </c>
      <c r="AL57" s="24">
        <f t="shared" si="298"/>
        <v>619.24200000000064</v>
      </c>
      <c r="AM57" s="23">
        <f t="shared" si="298"/>
        <v>604.202</v>
      </c>
      <c r="AN57" s="14">
        <f t="shared" si="298"/>
        <v>618.97400000000005</v>
      </c>
      <c r="AO57" s="14">
        <f t="shared" si="298"/>
        <v>676.69800000000009</v>
      </c>
      <c r="AP57" s="24">
        <f t="shared" si="298"/>
        <v>699.60299999999995</v>
      </c>
      <c r="AQ57" s="14">
        <f t="shared" si="298"/>
        <v>653</v>
      </c>
      <c r="AR57" s="14">
        <f t="shared" si="298"/>
        <v>634</v>
      </c>
      <c r="AS57" s="14">
        <f t="shared" si="298"/>
        <v>734</v>
      </c>
      <c r="AT57" s="24">
        <f t="shared" si="298"/>
        <v>790</v>
      </c>
      <c r="AU57" s="14">
        <f t="shared" ref="AU57:AX57" si="299">AU13</f>
        <v>751</v>
      </c>
      <c r="AV57" s="14">
        <f t="shared" si="299"/>
        <v>826</v>
      </c>
      <c r="AW57" s="14">
        <f t="shared" si="299"/>
        <v>1183</v>
      </c>
      <c r="AX57" s="24">
        <f t="shared" si="299"/>
        <v>1303</v>
      </c>
      <c r="AY57" s="847">
        <f t="shared" ref="AY57:AZ57" si="300">AY13</f>
        <v>1150</v>
      </c>
      <c r="AZ57" s="847">
        <f t="shared" si="300"/>
        <v>1302</v>
      </c>
      <c r="BA57" s="980">
        <f t="shared" ref="BA57:BB57" si="301">BA13</f>
        <v>1569</v>
      </c>
      <c r="BB57" s="24">
        <f t="shared" si="301"/>
        <v>1801</v>
      </c>
      <c r="BC57" s="926">
        <f t="shared" ref="BC57:BJ57" si="302">BC13</f>
        <v>1835.6183651000774</v>
      </c>
      <c r="BD57" s="926">
        <f t="shared" si="302"/>
        <v>1968.2125746410959</v>
      </c>
      <c r="BE57" s="926">
        <f t="shared" si="302"/>
        <v>2110.6167195811959</v>
      </c>
      <c r="BF57" s="24">
        <f t="shared" si="302"/>
        <v>2190.8936369645621</v>
      </c>
      <c r="BG57" s="926">
        <f t="shared" si="302"/>
        <v>2042.9232627710617</v>
      </c>
      <c r="BH57" s="926">
        <f t="shared" si="302"/>
        <v>2284.0684262731697</v>
      </c>
      <c r="BI57" s="926">
        <f t="shared" si="302"/>
        <v>2464.2193792960297</v>
      </c>
      <c r="BJ57" s="24">
        <f t="shared" si="302"/>
        <v>2509.9651613198607</v>
      </c>
      <c r="BK57" s="926">
        <f t="shared" ref="BK57:BN57" si="303">BK13</f>
        <v>2360.5508101136734</v>
      </c>
      <c r="BL57" s="926">
        <f t="shared" si="303"/>
        <v>2642.9202420920719</v>
      </c>
      <c r="BM57" s="926">
        <f t="shared" si="303"/>
        <v>2833.8041584717571</v>
      </c>
      <c r="BN57" s="24">
        <f t="shared" si="303"/>
        <v>2902.4620182067015</v>
      </c>
      <c r="BO57" s="84"/>
      <c r="BP57" s="59">
        <f>SUM(C57:F57)</f>
        <v>910.03300000000002</v>
      </c>
      <c r="BQ57" s="59">
        <f>SUM(G57:J57)</f>
        <v>1300.5330000000001</v>
      </c>
      <c r="BR57" s="59">
        <f>SUM(K57:N57)</f>
        <v>1869.2799999999997</v>
      </c>
      <c r="BS57" s="59">
        <f>SUM(O57:R57)</f>
        <v>1174.2689999999998</v>
      </c>
      <c r="BT57" s="59">
        <f>SUM(S57:V57)</f>
        <v>1176.9230000000002</v>
      </c>
      <c r="BU57" s="59">
        <f>SUM(W57:Z57)</f>
        <v>1409.0899999999997</v>
      </c>
      <c r="BV57" s="59">
        <f>SUM(AA57:AD57)</f>
        <v>2056.5170000000003</v>
      </c>
      <c r="BW57" s="59">
        <f>SUM(AE57:AH57)</f>
        <v>2226.3429999999998</v>
      </c>
      <c r="BX57" s="59">
        <f>SUM(AI57:AL57)</f>
        <v>2267.7630000000008</v>
      </c>
      <c r="BY57" s="59">
        <f>SUM(AM57:AP57)</f>
        <v>2599.4769999999999</v>
      </c>
      <c r="BZ57" s="14">
        <f>SUM(AQ57:AT57)</f>
        <v>2811</v>
      </c>
      <c r="CA57" s="14">
        <f>SUM(AU57:AX57)</f>
        <v>4063</v>
      </c>
      <c r="CB57" s="14">
        <f>SUM(AY57:BB57)</f>
        <v>5822</v>
      </c>
      <c r="CC57" s="926">
        <f>SUM(BC57:BF57)</f>
        <v>8105.3412962869315</v>
      </c>
      <c r="CD57" s="926">
        <f>SUM(BG57:BJ57)</f>
        <v>9301.176229660121</v>
      </c>
      <c r="CE57" s="926">
        <f>SUM(BK57:BN57)</f>
        <v>10739.737228884203</v>
      </c>
      <c r="CF57" s="14"/>
      <c r="CG57" s="82"/>
      <c r="CY57"/>
      <c r="CZ57"/>
      <c r="DA57"/>
      <c r="DB57"/>
      <c r="DC57"/>
      <c r="DD57"/>
    </row>
    <row r="58" spans="1:108" s="5" customFormat="1">
      <c r="B58" s="91" t="s">
        <v>191</v>
      </c>
      <c r="C58" s="34">
        <f t="shared" ref="C58:AT58" si="304">C14</f>
        <v>0.3599459446497878</v>
      </c>
      <c r="D58" s="35">
        <f t="shared" si="304"/>
        <v>0.37816712246786777</v>
      </c>
      <c r="E58" s="35">
        <f t="shared" si="304"/>
        <v>0.39079386028813101</v>
      </c>
      <c r="F58" s="36">
        <f t="shared" si="304"/>
        <v>0.40167988712370639</v>
      </c>
      <c r="G58" s="35">
        <f t="shared" si="304"/>
        <v>0.42351721234894918</v>
      </c>
      <c r="H58" s="35">
        <f t="shared" si="304"/>
        <v>0.42490171180723729</v>
      </c>
      <c r="I58" s="35">
        <f t="shared" si="304"/>
        <v>0.40696246033254851</v>
      </c>
      <c r="J58" s="35">
        <f t="shared" si="304"/>
        <v>0.43886431828034322</v>
      </c>
      <c r="K58" s="34">
        <f t="shared" si="304"/>
        <v>0.45025110153029801</v>
      </c>
      <c r="L58" s="35">
        <f t="shared" si="304"/>
        <v>0.45334470993410342</v>
      </c>
      <c r="M58" s="35">
        <f t="shared" si="304"/>
        <v>0.46213193473987468</v>
      </c>
      <c r="N58" s="36">
        <f t="shared" si="304"/>
        <v>0.45695792073033836</v>
      </c>
      <c r="O58" s="35">
        <f t="shared" si="304"/>
        <v>0.44637450710428755</v>
      </c>
      <c r="P58" s="35">
        <f t="shared" si="304"/>
        <v>0.16794111189278083</v>
      </c>
      <c r="Q58" s="35">
        <f t="shared" si="304"/>
        <v>0.40978215461396633</v>
      </c>
      <c r="R58" s="35">
        <f t="shared" si="304"/>
        <v>0.29443820925302333</v>
      </c>
      <c r="S58" s="34">
        <f t="shared" si="304"/>
        <v>0.28558739354230678</v>
      </c>
      <c r="T58" s="35">
        <f t="shared" si="304"/>
        <v>0.20182738371194556</v>
      </c>
      <c r="U58" s="35">
        <f t="shared" si="304"/>
        <v>0.43376926194024401</v>
      </c>
      <c r="V58" s="36">
        <f t="shared" si="304"/>
        <v>0.44654082289045788</v>
      </c>
      <c r="W58" s="35">
        <f t="shared" si="304"/>
        <v>0.45555108588129717</v>
      </c>
      <c r="X58" s="35">
        <f t="shared" si="304"/>
        <v>0.16554570467746857</v>
      </c>
      <c r="Y58" s="35">
        <f t="shared" si="304"/>
        <v>0.46457687531401376</v>
      </c>
      <c r="Z58" s="35">
        <f t="shared" si="304"/>
        <v>0.48101370073196914</v>
      </c>
      <c r="AA58" s="34">
        <f t="shared" si="304"/>
        <v>0.50362095507562588</v>
      </c>
      <c r="AB58" s="35">
        <f t="shared" si="304"/>
        <v>0.51674885909433887</v>
      </c>
      <c r="AC58" s="35">
        <f t="shared" si="304"/>
        <v>0.52216042319308187</v>
      </c>
      <c r="AD58" s="36">
        <f t="shared" si="304"/>
        <v>0.51407478435659482</v>
      </c>
      <c r="AE58" s="35">
        <f t="shared" si="304"/>
        <v>0.50100067360308453</v>
      </c>
      <c r="AF58" s="35">
        <f t="shared" si="304"/>
        <v>0.51779616382736271</v>
      </c>
      <c r="AG58" s="35">
        <f t="shared" si="304"/>
        <v>0.52873740771192002</v>
      </c>
      <c r="AH58" s="35">
        <f t="shared" si="304"/>
        <v>0.52904593179884041</v>
      </c>
      <c r="AI58" s="34">
        <f t="shared" si="304"/>
        <v>0.54315158383600126</v>
      </c>
      <c r="AJ58" s="35">
        <f t="shared" si="304"/>
        <v>0.55824476739545537</v>
      </c>
      <c r="AK58" s="35">
        <f t="shared" si="304"/>
        <v>0.55449079525260281</v>
      </c>
      <c r="AL58" s="36">
        <f t="shared" si="304"/>
        <v>0.5411923252387224</v>
      </c>
      <c r="AM58" s="34">
        <f t="shared" si="304"/>
        <v>0.54788640054697779</v>
      </c>
      <c r="AN58" s="35">
        <f t="shared" si="304"/>
        <v>0.56126272188490645</v>
      </c>
      <c r="AO58" s="35">
        <f t="shared" si="304"/>
        <v>0.55223432366396774</v>
      </c>
      <c r="AP58" s="36">
        <f t="shared" si="304"/>
        <v>0.5594523531923673</v>
      </c>
      <c r="AQ58" s="35">
        <f t="shared" si="304"/>
        <v>0.56733275412684625</v>
      </c>
      <c r="AR58" s="35">
        <f t="shared" si="304"/>
        <v>0.54986990459670426</v>
      </c>
      <c r="AS58" s="35">
        <f t="shared" si="304"/>
        <v>0.56245210727969353</v>
      </c>
      <c r="AT58" s="36">
        <f t="shared" si="304"/>
        <v>0.56388294075660239</v>
      </c>
      <c r="AU58" s="35">
        <f t="shared" ref="AU58:AX58" si="305">AU14</f>
        <v>0.57547892720306515</v>
      </c>
      <c r="AV58" s="35">
        <f t="shared" si="305"/>
        <v>0.57843137254901966</v>
      </c>
      <c r="AW58" s="35">
        <f t="shared" si="305"/>
        <v>0.59031936127744511</v>
      </c>
      <c r="AX58" s="36">
        <f t="shared" si="305"/>
        <v>0.59963184537505754</v>
      </c>
      <c r="AY58" s="818">
        <f t="shared" ref="AY58:AZ58" si="306">AY14</f>
        <v>0.59370160041300979</v>
      </c>
      <c r="AZ58" s="818">
        <f t="shared" si="306"/>
        <v>0.58385650224215246</v>
      </c>
      <c r="BA58" s="818">
        <f t="shared" ref="BA58:BB58" si="307">BA14</f>
        <v>0.59522003034901361</v>
      </c>
      <c r="BB58" s="36">
        <f t="shared" si="307"/>
        <v>0.61868773617313633</v>
      </c>
      <c r="BC58" s="818">
        <f t="shared" ref="BC58:BJ58" si="308">BC14</f>
        <v>0.62831383325784351</v>
      </c>
      <c r="BD58" s="818">
        <f t="shared" si="308"/>
        <v>0.62328739828540736</v>
      </c>
      <c r="BE58" s="818">
        <f t="shared" si="308"/>
        <v>0.61917297415557038</v>
      </c>
      <c r="BF58" s="36">
        <f t="shared" si="308"/>
        <v>0.61882662284869439</v>
      </c>
      <c r="BG58" s="818">
        <f t="shared" si="308"/>
        <v>0.62111471157967735</v>
      </c>
      <c r="BH58" s="818">
        <f t="shared" si="308"/>
        <v>0.62015997001073087</v>
      </c>
      <c r="BI58" s="818">
        <f t="shared" si="308"/>
        <v>0.61861403595368392</v>
      </c>
      <c r="BJ58" s="36">
        <f t="shared" si="308"/>
        <v>0.62137635901633015</v>
      </c>
      <c r="BK58" s="818">
        <f t="shared" ref="BK58:BN58" si="309">BK14</f>
        <v>0.62469065596245199</v>
      </c>
      <c r="BL58" s="818">
        <f t="shared" si="309"/>
        <v>0.62376846076012638</v>
      </c>
      <c r="BM58" s="818">
        <f t="shared" si="309"/>
        <v>0.6228629635965236</v>
      </c>
      <c r="BN58" s="36">
        <f t="shared" si="309"/>
        <v>0.62581679692126502</v>
      </c>
      <c r="BO58" s="84"/>
      <c r="BP58" s="35">
        <f t="shared" ref="BP58:CA58" si="310">BP14</f>
        <v>0.38306098404377348</v>
      </c>
      <c r="BQ58" s="35">
        <f t="shared" si="310"/>
        <v>0.42379604082546402</v>
      </c>
      <c r="BR58" s="35">
        <f t="shared" si="310"/>
        <v>0.45616004451103742</v>
      </c>
      <c r="BS58" s="35">
        <f t="shared" si="310"/>
        <v>0.34286637785672341</v>
      </c>
      <c r="BT58" s="35">
        <f t="shared" si="310"/>
        <v>0.35380804432359481</v>
      </c>
      <c r="BU58" s="35">
        <f t="shared" si="310"/>
        <v>0.39767629636591101</v>
      </c>
      <c r="BV58" s="35">
        <f t="shared" si="310"/>
        <v>0.51439544964519146</v>
      </c>
      <c r="BW58" s="35">
        <f t="shared" si="310"/>
        <v>0.52015427464260089</v>
      </c>
      <c r="BX58" s="35">
        <f t="shared" si="310"/>
        <v>0.54907361987253789</v>
      </c>
      <c r="BY58" s="35">
        <f t="shared" si="310"/>
        <v>0.55526500334187268</v>
      </c>
      <c r="BZ58" s="35">
        <f t="shared" si="310"/>
        <v>0.56107784431137719</v>
      </c>
      <c r="CA58" s="35">
        <f t="shared" si="310"/>
        <v>0.58798842257597683</v>
      </c>
      <c r="CB58" s="35">
        <f t="shared" ref="CB58:CC58" si="311">CB14</f>
        <v>0.59934115709285563</v>
      </c>
      <c r="CC58" s="818">
        <f t="shared" si="311"/>
        <v>0.62212583978287406</v>
      </c>
      <c r="CD58" s="818">
        <f t="shared" ref="CD58:CE58" si="312">CD14</f>
        <v>0.62028638217888132</v>
      </c>
      <c r="CE58" s="818">
        <f t="shared" si="312"/>
        <v>0.62428376853283918</v>
      </c>
      <c r="CF58" s="14"/>
      <c r="CG58" s="82"/>
      <c r="CY58"/>
      <c r="CZ58"/>
      <c r="DA58"/>
      <c r="DB58"/>
      <c r="DC58"/>
      <c r="DD58"/>
    </row>
    <row r="59" spans="1:108" s="5" customFormat="1">
      <c r="B59" s="5" t="s">
        <v>403</v>
      </c>
      <c r="C59" s="32">
        <v>0</v>
      </c>
      <c r="D59" s="30">
        <v>0</v>
      </c>
      <c r="E59" s="30">
        <v>0</v>
      </c>
      <c r="F59" s="33">
        <v>0</v>
      </c>
      <c r="G59" s="30">
        <v>-1.2270000000000001</v>
      </c>
      <c r="H59" s="30">
        <v>-1.746</v>
      </c>
      <c r="I59" s="30">
        <v>-2.3050000000000002</v>
      </c>
      <c r="J59" s="30">
        <v>-2.9220000000000002</v>
      </c>
      <c r="K59" s="32">
        <v>-2.8090000000000002</v>
      </c>
      <c r="L59" s="30">
        <v>-2.702</v>
      </c>
      <c r="M59" s="30">
        <v>-2.5659999999999998</v>
      </c>
      <c r="N59" s="33">
        <v>-2.8090000000000002</v>
      </c>
      <c r="O59" s="30">
        <v>-3.1360000000000001</v>
      </c>
      <c r="P59" s="30">
        <v>-3.3330000000000002</v>
      </c>
      <c r="Q59" s="30">
        <v>-3.5579999999999998</v>
      </c>
      <c r="R59" s="30">
        <v>0</v>
      </c>
      <c r="S59" s="32">
        <v>-13.642000000000001</v>
      </c>
      <c r="T59" s="30">
        <v>0</v>
      </c>
      <c r="U59" s="30">
        <v>0</v>
      </c>
      <c r="V59" s="33">
        <v>0</v>
      </c>
      <c r="W59" s="30">
        <v>-1.8029999999999999</v>
      </c>
      <c r="X59" s="30">
        <v>-2.2890000000000001</v>
      </c>
      <c r="Y59" s="30">
        <v>-2.4900000000000002</v>
      </c>
      <c r="Z59" s="30">
        <v>-1.726</v>
      </c>
      <c r="AA59" s="32">
        <v>-2.4769999999999999</v>
      </c>
      <c r="AB59" s="30">
        <v>-2.7480000000000002</v>
      </c>
      <c r="AC59" s="30">
        <v>-3.0489999999999999</v>
      </c>
      <c r="AD59" s="33">
        <v>-3.048</v>
      </c>
      <c r="AE59" s="30">
        <v>-2.5259999999999998</v>
      </c>
      <c r="AF59" s="30">
        <v>-2.649</v>
      </c>
      <c r="AG59" s="30">
        <v>-2.4889999999999999</v>
      </c>
      <c r="AH59" s="30">
        <v>-2.8260000000000005</v>
      </c>
      <c r="AI59" s="32">
        <v>-2.653</v>
      </c>
      <c r="AJ59" s="30">
        <v>-2.1680000000000001</v>
      </c>
      <c r="AK59" s="30">
        <v>-3.09</v>
      </c>
      <c r="AL59" s="33">
        <v>-2.777000000000001</v>
      </c>
      <c r="AM59" s="32">
        <v>-2.919</v>
      </c>
      <c r="AN59" s="30">
        <v>-2.6560000000000001</v>
      </c>
      <c r="AO59" s="30">
        <v>-3.0209999999999999</v>
      </c>
      <c r="AP59" s="33">
        <v>-3.4260000000000002</v>
      </c>
      <c r="AQ59" s="30">
        <v>-2</v>
      </c>
      <c r="AR59" s="30">
        <v>-3</v>
      </c>
      <c r="AS59" s="30">
        <v>-4</v>
      </c>
      <c r="AT59" s="33">
        <v>-5</v>
      </c>
      <c r="AU59" s="30">
        <v>-4</v>
      </c>
      <c r="AV59" s="30">
        <v>-4</v>
      </c>
      <c r="AW59" s="30">
        <v>-3</v>
      </c>
      <c r="AX59" s="33">
        <v>-4</v>
      </c>
      <c r="AY59" s="30">
        <v>-4</v>
      </c>
      <c r="AZ59" s="30">
        <v>-4</v>
      </c>
      <c r="BA59" s="30">
        <v>-6</v>
      </c>
      <c r="BB59" s="455">
        <v>-7</v>
      </c>
      <c r="BC59" s="121">
        <f t="shared" ref="BC59:BJ59" si="313">BB59</f>
        <v>-7</v>
      </c>
      <c r="BD59" s="121">
        <f t="shared" si="313"/>
        <v>-7</v>
      </c>
      <c r="BE59" s="121">
        <f t="shared" si="313"/>
        <v>-7</v>
      </c>
      <c r="BF59" s="246">
        <f t="shared" si="313"/>
        <v>-7</v>
      </c>
      <c r="BG59" s="121">
        <f t="shared" si="313"/>
        <v>-7</v>
      </c>
      <c r="BH59" s="121">
        <f t="shared" si="313"/>
        <v>-7</v>
      </c>
      <c r="BI59" s="121">
        <f t="shared" si="313"/>
        <v>-7</v>
      </c>
      <c r="BJ59" s="246">
        <f t="shared" si="313"/>
        <v>-7</v>
      </c>
      <c r="BK59" s="121">
        <f t="shared" ref="BK59" si="314">BJ59</f>
        <v>-7</v>
      </c>
      <c r="BL59" s="121">
        <f t="shared" ref="BL59" si="315">BK59</f>
        <v>-7</v>
      </c>
      <c r="BM59" s="121">
        <f t="shared" ref="BM59" si="316">BL59</f>
        <v>-7</v>
      </c>
      <c r="BN59" s="246">
        <f t="shared" ref="BN59" si="317">BM59</f>
        <v>-7</v>
      </c>
      <c r="BO59" s="84"/>
      <c r="BP59" s="59">
        <f>SUM(C59:F59)</f>
        <v>0</v>
      </c>
      <c r="BQ59" s="59">
        <f>SUM(G59:J59)</f>
        <v>-8.2000000000000011</v>
      </c>
      <c r="BR59" s="59">
        <f>SUM(K59:N59)</f>
        <v>-10.885999999999999</v>
      </c>
      <c r="BS59" s="59">
        <f>SUM(O59:R59)</f>
        <v>-10.027000000000001</v>
      </c>
      <c r="BT59" s="59">
        <f>SUM(S59:V59)</f>
        <v>-13.642000000000001</v>
      </c>
      <c r="BU59" s="59">
        <f>SUM(W59:Z59)</f>
        <v>-8.3079999999999998</v>
      </c>
      <c r="BV59" s="59">
        <f>SUM(AA59:AD59)</f>
        <v>-11.321999999999999</v>
      </c>
      <c r="BW59" s="59">
        <f>SUM(AE59:AH59)</f>
        <v>-10.49</v>
      </c>
      <c r="BX59" s="59">
        <f>SUM(AI59:AL59)</f>
        <v>-10.688000000000001</v>
      </c>
      <c r="BY59" s="59">
        <f>SUM(AM59:AP59)</f>
        <v>-12.022</v>
      </c>
      <c r="BZ59" s="59">
        <f>SUM(AQ59:AT59)</f>
        <v>-14</v>
      </c>
      <c r="CA59" s="97">
        <f t="shared" ref="CA59:CA60" si="318">SUM(AU59:AX59)</f>
        <v>-15</v>
      </c>
      <c r="CB59" s="97">
        <f>SUM(AY59:BB59)</f>
        <v>-21</v>
      </c>
      <c r="CC59" s="97">
        <f>SUM(BC59:BF59)</f>
        <v>-28</v>
      </c>
      <c r="CD59" s="97">
        <f>SUM(BG59:BJ59)</f>
        <v>-28</v>
      </c>
      <c r="CE59" s="97">
        <f>SUM(BK59:BN59)</f>
        <v>-28</v>
      </c>
      <c r="CF59" s="14"/>
      <c r="CG59" s="82"/>
      <c r="CY59"/>
      <c r="CZ59"/>
      <c r="DA59"/>
      <c r="DB59"/>
      <c r="DC59"/>
      <c r="DD59"/>
    </row>
    <row r="60" spans="1:108" s="5" customFormat="1">
      <c r="B60" s="5" t="s">
        <v>395</v>
      </c>
      <c r="C60" s="32">
        <v>0</v>
      </c>
      <c r="D60" s="30">
        <v>0</v>
      </c>
      <c r="E60" s="30">
        <v>0</v>
      </c>
      <c r="F60" s="33">
        <v>0</v>
      </c>
      <c r="G60" s="30">
        <v>0</v>
      </c>
      <c r="H60" s="30">
        <v>0</v>
      </c>
      <c r="I60" s="30">
        <v>-16</v>
      </c>
      <c r="J60" s="30">
        <v>0</v>
      </c>
      <c r="K60" s="32">
        <v>0</v>
      </c>
      <c r="L60" s="30">
        <v>0</v>
      </c>
      <c r="M60" s="30">
        <v>0</v>
      </c>
      <c r="N60" s="33">
        <v>0</v>
      </c>
      <c r="O60" s="30">
        <v>0</v>
      </c>
      <c r="P60" s="30">
        <v>-195.95400000000001</v>
      </c>
      <c r="Q60" s="30">
        <v>-4.5</v>
      </c>
      <c r="R60" s="30">
        <v>6.665</v>
      </c>
      <c r="S60" s="32">
        <v>0</v>
      </c>
      <c r="T60" s="30">
        <v>-119.99299999999999</v>
      </c>
      <c r="U60" s="30">
        <v>24.114999999999998</v>
      </c>
      <c r="V60" s="33">
        <v>0</v>
      </c>
      <c r="W60" s="30">
        <v>0</v>
      </c>
      <c r="X60" s="30">
        <v>-181.19300000000001</v>
      </c>
      <c r="Y60" s="30">
        <v>0</v>
      </c>
      <c r="Z60" s="30">
        <v>0</v>
      </c>
      <c r="AA60" s="32">
        <v>0</v>
      </c>
      <c r="AB60" s="30">
        <v>0</v>
      </c>
      <c r="AC60" s="30">
        <v>0</v>
      </c>
      <c r="AD60" s="33">
        <v>-7.3</v>
      </c>
      <c r="AE60" s="30">
        <v>0</v>
      </c>
      <c r="AF60" s="30">
        <v>0</v>
      </c>
      <c r="AG60" s="30">
        <v>0</v>
      </c>
      <c r="AH60" s="30">
        <v>0</v>
      </c>
      <c r="AI60" s="32">
        <v>0</v>
      </c>
      <c r="AJ60" s="30">
        <v>-2.29</v>
      </c>
      <c r="AK60" s="30">
        <v>0</v>
      </c>
      <c r="AL60" s="33">
        <v>6.3319999999999999</v>
      </c>
      <c r="AM60" s="32">
        <v>0</v>
      </c>
      <c r="AN60" s="30">
        <v>0</v>
      </c>
      <c r="AO60" s="30">
        <v>0</v>
      </c>
      <c r="AP60" s="33">
        <v>0</v>
      </c>
      <c r="AQ60" s="30">
        <v>0</v>
      </c>
      <c r="AR60" s="30">
        <v>-15</v>
      </c>
      <c r="AS60" s="30">
        <v>0</v>
      </c>
      <c r="AT60" s="33">
        <v>-5</v>
      </c>
      <c r="AU60" s="30">
        <v>-10</v>
      </c>
      <c r="AV60" s="30">
        <v>0</v>
      </c>
      <c r="AW60" s="30">
        <v>0</v>
      </c>
      <c r="AX60" s="33">
        <v>0</v>
      </c>
      <c r="AY60" s="30">
        <v>0</v>
      </c>
      <c r="AZ60" s="30">
        <v>0</v>
      </c>
      <c r="BA60" s="30">
        <v>0</v>
      </c>
      <c r="BB60" s="455">
        <v>-1</v>
      </c>
      <c r="BC60" s="956"/>
      <c r="BD60" s="956"/>
      <c r="BE60" s="121"/>
      <c r="BF60" s="246"/>
      <c r="BG60" s="956"/>
      <c r="BH60" s="956"/>
      <c r="BI60" s="121"/>
      <c r="BJ60" s="246"/>
      <c r="BK60" s="956"/>
      <c r="BL60" s="956"/>
      <c r="BM60" s="121"/>
      <c r="BN60" s="246"/>
      <c r="BO60" s="84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>
        <f>SUM(AQ60:AT60)</f>
        <v>-20</v>
      </c>
      <c r="CA60" s="97">
        <f t="shared" si="318"/>
        <v>-10</v>
      </c>
      <c r="CB60" s="97">
        <f>SUM(AY60:BB60)</f>
        <v>-1</v>
      </c>
      <c r="CC60" s="97">
        <f>SUM(BC60:BF60)</f>
        <v>0</v>
      </c>
      <c r="CD60" s="97">
        <f>SUM(BG60:BJ60)</f>
        <v>0</v>
      </c>
      <c r="CE60" s="97">
        <f>SUM(BK60:BN60)</f>
        <v>0</v>
      </c>
      <c r="CF60" s="14"/>
      <c r="CG60" s="82"/>
      <c r="CY60"/>
      <c r="CZ60"/>
      <c r="DA60"/>
      <c r="DB60"/>
      <c r="DC60"/>
      <c r="DD60"/>
    </row>
    <row r="61" spans="1:108" s="5" customFormat="1">
      <c r="B61" s="249" t="s">
        <v>192</v>
      </c>
      <c r="C61" s="259">
        <f>C57-C59</f>
        <v>210.15300000000002</v>
      </c>
      <c r="D61" s="260">
        <f t="shared" ref="D61:AN61" si="319">D57-D59</f>
        <v>217.375</v>
      </c>
      <c r="E61" s="260">
        <f t="shared" si="319"/>
        <v>227.99499999999995</v>
      </c>
      <c r="F61" s="261">
        <f t="shared" si="319"/>
        <v>254.5100000000001</v>
      </c>
      <c r="G61" s="260">
        <f t="shared" si="319"/>
        <v>289.98399999999998</v>
      </c>
      <c r="H61" s="260">
        <f t="shared" si="319"/>
        <v>293.87399999999997</v>
      </c>
      <c r="I61" s="260">
        <f t="shared" si="319"/>
        <v>336.24700000000001</v>
      </c>
      <c r="J61" s="260">
        <f t="shared" si="319"/>
        <v>388.62800000000016</v>
      </c>
      <c r="K61" s="259">
        <f t="shared" si="319"/>
        <v>382.947</v>
      </c>
      <c r="L61" s="260">
        <f t="shared" si="319"/>
        <v>426.69400000000002</v>
      </c>
      <c r="M61" s="260">
        <f t="shared" si="319"/>
        <v>518.11900000000003</v>
      </c>
      <c r="N61" s="261">
        <f t="shared" si="319"/>
        <v>552.40599999999972</v>
      </c>
      <c r="O61" s="260">
        <f t="shared" si="319"/>
        <v>517.97899999999993</v>
      </c>
      <c r="P61" s="260">
        <f t="shared" si="319"/>
        <v>153.25000000000003</v>
      </c>
      <c r="Q61" s="260">
        <f t="shared" si="319"/>
        <v>371.40099999999995</v>
      </c>
      <c r="R61" s="260">
        <f t="shared" si="319"/>
        <v>141.6659999999996</v>
      </c>
      <c r="S61" s="259">
        <f t="shared" si="319"/>
        <v>203.33799999999997</v>
      </c>
      <c r="T61" s="260">
        <f t="shared" si="319"/>
        <v>156.72299999999996</v>
      </c>
      <c r="U61" s="260">
        <f t="shared" si="319"/>
        <v>391.78300000000002</v>
      </c>
      <c r="V61" s="261">
        <f t="shared" si="319"/>
        <v>438.72100000000023</v>
      </c>
      <c r="W61" s="260">
        <f t="shared" si="319"/>
        <v>458.17999999999995</v>
      </c>
      <c r="X61" s="260">
        <f t="shared" si="319"/>
        <v>136.5809999999999</v>
      </c>
      <c r="Y61" s="260">
        <f t="shared" si="319"/>
        <v>394.55200000000002</v>
      </c>
      <c r="Z61" s="260">
        <f t="shared" si="319"/>
        <v>428.08499999999981</v>
      </c>
      <c r="AA61" s="259">
        <f t="shared" si="319"/>
        <v>486.97999999999996</v>
      </c>
      <c r="AB61" s="260">
        <f t="shared" si="319"/>
        <v>528.03200000000015</v>
      </c>
      <c r="AC61" s="260">
        <f t="shared" si="319"/>
        <v>559.76600000000008</v>
      </c>
      <c r="AD61" s="261">
        <f t="shared" si="319"/>
        <v>493.06099999999998</v>
      </c>
      <c r="AE61" s="260">
        <f t="shared" si="319"/>
        <v>465.89</v>
      </c>
      <c r="AF61" s="260">
        <f t="shared" si="319"/>
        <v>543.36800000000005</v>
      </c>
      <c r="AG61" s="260">
        <f t="shared" si="319"/>
        <v>639.14699999999993</v>
      </c>
      <c r="AH61" s="260">
        <f t="shared" si="319"/>
        <v>588.42800000000011</v>
      </c>
      <c r="AI61" s="259">
        <f t="shared" si="319"/>
        <v>521.221</v>
      </c>
      <c r="AJ61" s="260">
        <f t="shared" si="319"/>
        <v>547.70600000000002</v>
      </c>
      <c r="AK61" s="260">
        <f t="shared" si="319"/>
        <v>587.50500000000011</v>
      </c>
      <c r="AL61" s="261">
        <f>AL57-AL59</f>
        <v>622.01900000000069</v>
      </c>
      <c r="AM61" s="259">
        <f t="shared" si="319"/>
        <v>607.12099999999998</v>
      </c>
      <c r="AN61" s="260">
        <f t="shared" si="319"/>
        <v>621.63</v>
      </c>
      <c r="AO61" s="260">
        <f t="shared" ref="AO61:AS61" si="320">AO57-AO59</f>
        <v>679.71900000000005</v>
      </c>
      <c r="AP61" s="261">
        <f>AP57-AP59</f>
        <v>703.029</v>
      </c>
      <c r="AQ61" s="260">
        <f>AQ57-AQ59</f>
        <v>655</v>
      </c>
      <c r="AR61" s="260">
        <f>AR57-AR59-AR60</f>
        <v>652</v>
      </c>
      <c r="AS61" s="260">
        <f t="shared" si="320"/>
        <v>738</v>
      </c>
      <c r="AT61" s="261">
        <f>AT57-AT59-AT60</f>
        <v>800</v>
      </c>
      <c r="AU61" s="260">
        <f t="shared" ref="AU61" si="321">AU57-AU59-AU60</f>
        <v>765</v>
      </c>
      <c r="AV61" s="260">
        <f>AV57-AV59-AV60</f>
        <v>830</v>
      </c>
      <c r="AW61" s="260">
        <f t="shared" ref="AW61" si="322">AW57-AW59</f>
        <v>1186</v>
      </c>
      <c r="AX61" s="261">
        <f>AX57-AX59-AX60</f>
        <v>1307</v>
      </c>
      <c r="AY61" s="866">
        <f t="shared" ref="AY61" si="323">AY57-AY59-AY60</f>
        <v>1154</v>
      </c>
      <c r="AZ61" s="260">
        <f>AZ57-AZ59-AZ60</f>
        <v>1306</v>
      </c>
      <c r="BA61" s="260">
        <f>BA57-BA59-BA60</f>
        <v>1575</v>
      </c>
      <c r="BB61" s="998">
        <f>BB57-BB59-BB60</f>
        <v>1809</v>
      </c>
      <c r="BC61" s="866">
        <f t="shared" ref="BC61:BJ61" si="324">BC57-BC59-BC60</f>
        <v>1842.6183651000774</v>
      </c>
      <c r="BD61" s="260">
        <f t="shared" si="324"/>
        <v>1975.2125746410959</v>
      </c>
      <c r="BE61" s="260">
        <f t="shared" si="324"/>
        <v>2117.6167195811959</v>
      </c>
      <c r="BF61" s="261">
        <f t="shared" si="324"/>
        <v>2197.8936369645621</v>
      </c>
      <c r="BG61" s="866">
        <f t="shared" si="324"/>
        <v>2049.9232627710617</v>
      </c>
      <c r="BH61" s="260">
        <f t="shared" si="324"/>
        <v>2291.0684262731697</v>
      </c>
      <c r="BI61" s="260">
        <f t="shared" si="324"/>
        <v>2471.2193792960297</v>
      </c>
      <c r="BJ61" s="261">
        <f t="shared" si="324"/>
        <v>2516.9651613198607</v>
      </c>
      <c r="BK61" s="866">
        <f t="shared" ref="BK61:BN61" si="325">BK57-BK59-BK60</f>
        <v>2367.5508101136734</v>
      </c>
      <c r="BL61" s="260">
        <f t="shared" si="325"/>
        <v>2649.9202420920719</v>
      </c>
      <c r="BM61" s="260">
        <f t="shared" si="325"/>
        <v>2840.8041584717571</v>
      </c>
      <c r="BN61" s="261">
        <f t="shared" si="325"/>
        <v>2909.4620182067015</v>
      </c>
      <c r="BO61" s="85"/>
      <c r="BP61" s="260">
        <f>BP57-BP59</f>
        <v>910.03300000000002</v>
      </c>
      <c r="BQ61" s="260">
        <f t="shared" ref="BQ61:BY61" si="326">BQ57-BQ59</f>
        <v>1308.7330000000002</v>
      </c>
      <c r="BR61" s="260">
        <f t="shared" si="326"/>
        <v>1880.1659999999997</v>
      </c>
      <c r="BS61" s="260">
        <f t="shared" si="326"/>
        <v>1184.2959999999998</v>
      </c>
      <c r="BT61" s="260">
        <f t="shared" si="326"/>
        <v>1190.5650000000003</v>
      </c>
      <c r="BU61" s="260">
        <f t="shared" si="326"/>
        <v>1417.3979999999997</v>
      </c>
      <c r="BV61" s="260">
        <f t="shared" si="326"/>
        <v>2067.8390000000004</v>
      </c>
      <c r="BW61" s="260">
        <f t="shared" si="326"/>
        <v>2236.8329999999996</v>
      </c>
      <c r="BX61" s="260">
        <f t="shared" si="326"/>
        <v>2278.4510000000009</v>
      </c>
      <c r="BY61" s="260">
        <f t="shared" si="326"/>
        <v>2611.4989999999998</v>
      </c>
      <c r="BZ61" s="260">
        <f>SUM(AQ61:AT61)</f>
        <v>2845</v>
      </c>
      <c r="CA61" s="260">
        <f t="shared" ref="CA61:CB61" si="327">CA57-CA59-CA60</f>
        <v>4088</v>
      </c>
      <c r="CB61" s="260">
        <f t="shared" si="327"/>
        <v>5844</v>
      </c>
      <c r="CC61" s="260">
        <f t="shared" ref="CC61" si="328">CC57-CC59-CC60</f>
        <v>8133.3412962869315</v>
      </c>
      <c r="CD61" s="260">
        <f t="shared" ref="CD61:CE61" si="329">CD57-CD59-CD60</f>
        <v>9329.176229660121</v>
      </c>
      <c r="CE61" s="260">
        <f t="shared" si="329"/>
        <v>10767.737228884203</v>
      </c>
      <c r="CF61" s="14"/>
      <c r="CG61" s="82"/>
      <c r="CY61"/>
      <c r="CZ61"/>
      <c r="DA61"/>
      <c r="DB61"/>
      <c r="DC61"/>
      <c r="DD61"/>
    </row>
    <row r="62" spans="1:108" s="5" customFormat="1">
      <c r="B62" s="91" t="s">
        <v>187</v>
      </c>
      <c r="C62" s="231">
        <f t="shared" ref="C62:AS62" si="330">C61/C7</f>
        <v>0.3599459446497878</v>
      </c>
      <c r="D62" s="54">
        <f t="shared" si="330"/>
        <v>0.37816712246786777</v>
      </c>
      <c r="E62" s="54">
        <f t="shared" si="330"/>
        <v>0.39079386028813101</v>
      </c>
      <c r="F62" s="232">
        <f t="shared" si="330"/>
        <v>0.40167988712370639</v>
      </c>
      <c r="G62" s="54">
        <f t="shared" si="330"/>
        <v>0.42531684186287316</v>
      </c>
      <c r="H62" s="54">
        <f t="shared" si="330"/>
        <v>0.42744127798649922</v>
      </c>
      <c r="I62" s="54">
        <f t="shared" si="330"/>
        <v>0.40977147648225876</v>
      </c>
      <c r="J62" s="54">
        <f t="shared" si="330"/>
        <v>0.44218903072457583</v>
      </c>
      <c r="K62" s="231">
        <f t="shared" si="330"/>
        <v>0.4535781968067466</v>
      </c>
      <c r="L62" s="54">
        <f t="shared" si="330"/>
        <v>0.45623376776123681</v>
      </c>
      <c r="M62" s="54">
        <f t="shared" si="330"/>
        <v>0.4644320484906288</v>
      </c>
      <c r="N62" s="232">
        <f t="shared" si="330"/>
        <v>0.45929344075561418</v>
      </c>
      <c r="O62" s="54">
        <f t="shared" si="330"/>
        <v>0.44909345337388629</v>
      </c>
      <c r="P62" s="54">
        <f t="shared" si="330"/>
        <v>0.17167482938938655</v>
      </c>
      <c r="Q62" s="54">
        <f t="shared" si="330"/>
        <v>0.41374581548590489</v>
      </c>
      <c r="R62" s="54">
        <f t="shared" si="330"/>
        <v>0.29443820925302333</v>
      </c>
      <c r="S62" s="231">
        <f t="shared" si="330"/>
        <v>0.30612542925578595</v>
      </c>
      <c r="T62" s="54">
        <f t="shared" si="330"/>
        <v>0.20182738371194556</v>
      </c>
      <c r="U62" s="54">
        <f t="shared" si="330"/>
        <v>0.43376926194024401</v>
      </c>
      <c r="V62" s="232">
        <f t="shared" si="330"/>
        <v>0.44654082289045788</v>
      </c>
      <c r="W62" s="54">
        <f t="shared" si="330"/>
        <v>0.45735082295797713</v>
      </c>
      <c r="X62" s="54">
        <f t="shared" si="330"/>
        <v>0.16836742241200767</v>
      </c>
      <c r="Y62" s="54">
        <f t="shared" si="330"/>
        <v>0.46752741992056046</v>
      </c>
      <c r="Z62" s="54">
        <f t="shared" si="330"/>
        <v>0.48296095562154195</v>
      </c>
      <c r="AA62" s="231">
        <f t="shared" si="330"/>
        <v>0.50619569476913095</v>
      </c>
      <c r="AB62" s="54">
        <f t="shared" si="330"/>
        <v>0.51945220788240642</v>
      </c>
      <c r="AC62" s="54">
        <f t="shared" si="330"/>
        <v>0.5250201654504868</v>
      </c>
      <c r="AD62" s="232">
        <f t="shared" si="330"/>
        <v>0.51727245450558856</v>
      </c>
      <c r="AE62" s="54">
        <f t="shared" si="330"/>
        <v>0.50373184758621958</v>
      </c>
      <c r="AF62" s="54">
        <f t="shared" si="330"/>
        <v>0.5203328641060263</v>
      </c>
      <c r="AG62" s="54">
        <f t="shared" si="330"/>
        <v>0.53080449460597456</v>
      </c>
      <c r="AH62" s="54">
        <f t="shared" si="330"/>
        <v>0.53159900334446963</v>
      </c>
      <c r="AI62" s="231">
        <f t="shared" si="330"/>
        <v>0.54593035374065579</v>
      </c>
      <c r="AJ62" s="54">
        <f t="shared" si="330"/>
        <v>0.56046326483415498</v>
      </c>
      <c r="AK62" s="54">
        <f t="shared" si="330"/>
        <v>0.557422575849149</v>
      </c>
      <c r="AL62" s="232">
        <f t="shared" si="330"/>
        <v>0.54361931030625332</v>
      </c>
      <c r="AM62" s="231">
        <f t="shared" si="330"/>
        <v>0.55053333055250009</v>
      </c>
      <c r="AN62" s="54">
        <f t="shared" si="330"/>
        <v>0.56367108441600833</v>
      </c>
      <c r="AO62" s="54">
        <f t="shared" si="330"/>
        <v>0.55469967732511172</v>
      </c>
      <c r="AP62" s="232">
        <f t="shared" si="330"/>
        <v>0.5621920266386462</v>
      </c>
      <c r="AQ62" s="54">
        <f t="shared" si="330"/>
        <v>0.56907037358818424</v>
      </c>
      <c r="AR62" s="54">
        <f t="shared" si="330"/>
        <v>0.56548135299219426</v>
      </c>
      <c r="AS62" s="54">
        <f t="shared" si="330"/>
        <v>0.56551724137931036</v>
      </c>
      <c r="AT62" s="232">
        <f>AT61/AT7</f>
        <v>0.57102069950035694</v>
      </c>
      <c r="AU62" s="54">
        <f t="shared" ref="AU62:AW62" si="331">AU61/AU7</f>
        <v>0.58620689655172409</v>
      </c>
      <c r="AV62" s="54">
        <f t="shared" si="331"/>
        <v>0.58123249299719892</v>
      </c>
      <c r="AW62" s="54">
        <f t="shared" si="331"/>
        <v>0.59181636726546905</v>
      </c>
      <c r="AX62" s="232">
        <f>AX61/AX7</f>
        <v>0.60147261849976985</v>
      </c>
      <c r="AY62" s="181">
        <f t="shared" ref="AY62:AZ62" si="332">AY61/AY7</f>
        <v>0.59576664945792468</v>
      </c>
      <c r="AZ62" s="54">
        <f t="shared" si="332"/>
        <v>0.5856502242152466</v>
      </c>
      <c r="BA62" s="54">
        <f t="shared" ref="BA62" si="333">BA61/BA7</f>
        <v>0.59749620637329282</v>
      </c>
      <c r="BB62" s="480">
        <f>BB61/BB7</f>
        <v>0.62143593266918584</v>
      </c>
      <c r="BC62" s="181">
        <f t="shared" ref="BC62:BJ62" si="334">BC61/BC7</f>
        <v>0.6307098633458107</v>
      </c>
      <c r="BD62" s="54">
        <f t="shared" si="334"/>
        <v>0.62550413637773128</v>
      </c>
      <c r="BE62" s="54">
        <f t="shared" si="334"/>
        <v>0.62122650229209964</v>
      </c>
      <c r="BF62" s="232">
        <f t="shared" si="334"/>
        <v>0.62080380069377794</v>
      </c>
      <c r="BG62" s="181">
        <f t="shared" si="334"/>
        <v>0.62324293786222518</v>
      </c>
      <c r="BH62" s="54">
        <f t="shared" si="334"/>
        <v>0.62206057847768392</v>
      </c>
      <c r="BI62" s="54">
        <f t="shared" si="334"/>
        <v>0.62037130573577326</v>
      </c>
      <c r="BJ62" s="232">
        <f t="shared" si="334"/>
        <v>0.62310930518631891</v>
      </c>
      <c r="BK62" s="181">
        <f t="shared" ref="BK62:BN62" si="335">BK61/BK7</f>
        <v>0.62654311962178177</v>
      </c>
      <c r="BL62" s="54">
        <f t="shared" si="335"/>
        <v>0.62542056480616615</v>
      </c>
      <c r="BM62" s="54">
        <f t="shared" si="335"/>
        <v>0.62440154583486962</v>
      </c>
      <c r="BN62" s="232">
        <f t="shared" si="335"/>
        <v>0.62732610782730591</v>
      </c>
      <c r="BO62" s="84"/>
      <c r="BP62" s="54">
        <f t="shared" ref="BP62:CA62" si="336">BP61/BP7</f>
        <v>0.38306098404377348</v>
      </c>
      <c r="BQ62" s="54">
        <f t="shared" si="336"/>
        <v>0.42646812029962489</v>
      </c>
      <c r="BR62" s="54">
        <f t="shared" si="336"/>
        <v>0.45881655303011815</v>
      </c>
      <c r="BS62" s="54">
        <f t="shared" si="336"/>
        <v>0.34579408962529545</v>
      </c>
      <c r="BT62" s="54">
        <f t="shared" si="336"/>
        <v>0.35790911919481622</v>
      </c>
      <c r="BU62" s="54">
        <f t="shared" si="336"/>
        <v>0.4000209973219947</v>
      </c>
      <c r="BV62" s="54">
        <f t="shared" si="336"/>
        <v>0.5172274151873596</v>
      </c>
      <c r="BW62" s="54">
        <f t="shared" si="336"/>
        <v>0.52260511817434818</v>
      </c>
      <c r="BX62" s="54">
        <f t="shared" si="336"/>
        <v>0.55166141182839823</v>
      </c>
      <c r="BY62" s="54">
        <f t="shared" si="336"/>
        <v>0.55783297985029179</v>
      </c>
      <c r="BZ62" s="54">
        <f t="shared" si="336"/>
        <v>0.56786427145708585</v>
      </c>
      <c r="CA62" s="54">
        <f t="shared" si="336"/>
        <v>0.59160636758321272</v>
      </c>
      <c r="CB62" s="54">
        <f t="shared" ref="CB62:CC62" si="337">CB61/CB7</f>
        <v>0.60160592958616432</v>
      </c>
      <c r="CC62" s="54">
        <f t="shared" si="337"/>
        <v>0.62427498105616019</v>
      </c>
      <c r="CD62" s="54">
        <f t="shared" ref="CD62:CE62" si="338">CD61/CD7</f>
        <v>0.62215367490317397</v>
      </c>
      <c r="CE62" s="54">
        <f t="shared" si="338"/>
        <v>0.6259113638032251</v>
      </c>
      <c r="CF62" s="14"/>
      <c r="CG62" s="82"/>
      <c r="CY62"/>
      <c r="CZ62"/>
      <c r="DA62"/>
      <c r="DB62"/>
      <c r="DC62"/>
      <c r="DD62"/>
    </row>
    <row r="63" spans="1:108" s="5" customFormat="1">
      <c r="A63" s="14"/>
      <c r="B63" s="9"/>
      <c r="C63" s="229"/>
      <c r="D63" s="60"/>
      <c r="E63" s="60"/>
      <c r="F63" s="230"/>
      <c r="G63" s="60"/>
      <c r="H63" s="60"/>
      <c r="I63" s="60"/>
      <c r="J63" s="60"/>
      <c r="K63" s="229"/>
      <c r="L63" s="60"/>
      <c r="M63" s="60"/>
      <c r="N63" s="230"/>
      <c r="O63" s="60"/>
      <c r="P63" s="60"/>
      <c r="Q63" s="60"/>
      <c r="R63" s="60"/>
      <c r="S63" s="229"/>
      <c r="T63" s="60"/>
      <c r="U63" s="60"/>
      <c r="V63" s="230"/>
      <c r="W63" s="60"/>
      <c r="X63" s="60"/>
      <c r="Y63" s="60"/>
      <c r="Z63" s="60"/>
      <c r="AA63" s="229"/>
      <c r="AB63" s="60"/>
      <c r="AC63" s="60"/>
      <c r="AD63" s="230"/>
      <c r="AE63" s="60"/>
      <c r="AF63" s="60"/>
      <c r="AG63" s="60"/>
      <c r="AH63" s="60"/>
      <c r="AI63" s="229"/>
      <c r="AJ63" s="60"/>
      <c r="AK63" s="60"/>
      <c r="AL63" s="230"/>
      <c r="AM63" s="229"/>
      <c r="AN63" s="60"/>
      <c r="AO63" s="60"/>
      <c r="AP63" s="230"/>
      <c r="AQ63" s="60"/>
      <c r="AR63" s="60"/>
      <c r="AS63" s="60"/>
      <c r="AT63" s="230"/>
      <c r="AU63" s="60"/>
      <c r="AV63" s="60"/>
      <c r="AW63" s="60"/>
      <c r="AX63" s="230"/>
      <c r="AY63" s="867"/>
      <c r="AZ63" s="60"/>
      <c r="BA63" s="60"/>
      <c r="BB63" s="999"/>
      <c r="BC63" s="867"/>
      <c r="BD63" s="60"/>
      <c r="BE63" s="60"/>
      <c r="BF63" s="230"/>
      <c r="BG63" s="867"/>
      <c r="BH63" s="60"/>
      <c r="BI63" s="60"/>
      <c r="BJ63" s="230"/>
      <c r="BK63" s="867"/>
      <c r="BL63" s="60"/>
      <c r="BM63" s="60"/>
      <c r="BN63" s="230"/>
      <c r="BO63" s="84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14"/>
      <c r="CY63"/>
      <c r="CZ63"/>
      <c r="DA63"/>
      <c r="DB63"/>
      <c r="DC63"/>
      <c r="DD63"/>
    </row>
    <row r="64" spans="1:108" s="5" customFormat="1">
      <c r="B64" s="5" t="s">
        <v>184</v>
      </c>
      <c r="C64" s="43">
        <f>C23</f>
        <v>133.971</v>
      </c>
      <c r="D64" s="29">
        <f t="shared" ref="D64:AM64" si="339">D23</f>
        <v>139.78199999999998</v>
      </c>
      <c r="E64" s="29">
        <f t="shared" si="339"/>
        <v>158.423</v>
      </c>
      <c r="F64" s="44">
        <f t="shared" si="339"/>
        <v>141.19299999999998</v>
      </c>
      <c r="G64" s="29">
        <f t="shared" si="339"/>
        <v>188.072</v>
      </c>
      <c r="H64" s="29">
        <f t="shared" si="339"/>
        <v>196.31200000000001</v>
      </c>
      <c r="I64" s="29">
        <f t="shared" si="339"/>
        <v>216.32900000000001</v>
      </c>
      <c r="J64" s="29">
        <f t="shared" si="339"/>
        <v>247.19200000000001</v>
      </c>
      <c r="K64" s="43">
        <f t="shared" si="339"/>
        <v>238.892</v>
      </c>
      <c r="L64" s="29">
        <f t="shared" si="339"/>
        <v>239.232</v>
      </c>
      <c r="M64" s="29">
        <f t="shared" si="339"/>
        <v>267.71199999999999</v>
      </c>
      <c r="N64" s="44">
        <f t="shared" si="339"/>
        <v>287.09799999999996</v>
      </c>
      <c r="O64" s="29">
        <f t="shared" si="339"/>
        <v>311.86400000000003</v>
      </c>
      <c r="P64" s="29">
        <f t="shared" si="339"/>
        <v>305.30899999999997</v>
      </c>
      <c r="Q64" s="29">
        <f t="shared" si="339"/>
        <v>311.04700000000003</v>
      </c>
      <c r="R64" s="29">
        <f t="shared" si="339"/>
        <v>316.74900000000002</v>
      </c>
      <c r="S64" s="43">
        <f t="shared" si="339"/>
        <v>420.66100000000006</v>
      </c>
      <c r="T64" s="29">
        <f t="shared" si="339"/>
        <v>266.83</v>
      </c>
      <c r="U64" s="29">
        <f t="shared" si="339"/>
        <v>283.93799999999999</v>
      </c>
      <c r="V64" s="44">
        <f t="shared" si="339"/>
        <v>304.43899999999996</v>
      </c>
      <c r="W64" s="29">
        <f t="shared" si="339"/>
        <v>308.98399999999998</v>
      </c>
      <c r="X64" s="29">
        <f t="shared" si="339"/>
        <v>309.49900000000002</v>
      </c>
      <c r="Y64" s="29">
        <f t="shared" si="339"/>
        <v>288.279</v>
      </c>
      <c r="Z64" s="29">
        <f t="shared" si="339"/>
        <v>246.58100000000007</v>
      </c>
      <c r="AA64" s="43">
        <f t="shared" si="339"/>
        <v>329.64100000000002</v>
      </c>
      <c r="AB64" s="29">
        <f t="shared" si="339"/>
        <v>351.25400000000002</v>
      </c>
      <c r="AC64" s="29">
        <f t="shared" si="339"/>
        <v>359.62700000000001</v>
      </c>
      <c r="AD64" s="44">
        <f t="shared" si="339"/>
        <v>367.69600000000003</v>
      </c>
      <c r="AE64" s="29">
        <f t="shared" si="339"/>
        <v>390.53800000000001</v>
      </c>
      <c r="AF64" s="29">
        <f t="shared" si="339"/>
        <v>401.096</v>
      </c>
      <c r="AG64" s="29">
        <f t="shared" si="339"/>
        <v>384.44100000000003</v>
      </c>
      <c r="AH64" s="29">
        <f t="shared" si="339"/>
        <v>402.02899999999988</v>
      </c>
      <c r="AI64" s="43">
        <f t="shared" si="339"/>
        <v>435.78700000000003</v>
      </c>
      <c r="AJ64" s="29">
        <f t="shared" si="339"/>
        <v>440.00400000000002</v>
      </c>
      <c r="AK64" s="29">
        <f t="shared" si="339"/>
        <v>443.42699999999996</v>
      </c>
      <c r="AL64" s="44">
        <f t="shared" si="339"/>
        <v>452.3180000000001</v>
      </c>
      <c r="AM64" s="43">
        <f t="shared" si="339"/>
        <v>452.84299999999996</v>
      </c>
      <c r="AN64" s="29">
        <f t="shared" ref="AN64:AS64" si="340">AN23</f>
        <v>455.79500000000002</v>
      </c>
      <c r="AO64" s="29">
        <f t="shared" si="340"/>
        <v>463.38299999999998</v>
      </c>
      <c r="AP64" s="44">
        <f t="shared" si="340"/>
        <v>468.46699999999998</v>
      </c>
      <c r="AQ64" s="29">
        <f t="shared" si="340"/>
        <v>477</v>
      </c>
      <c r="AR64" s="29">
        <f t="shared" ref="AR64" si="341">AR23</f>
        <v>558</v>
      </c>
      <c r="AS64" s="29">
        <f t="shared" si="340"/>
        <v>489</v>
      </c>
      <c r="AT64" s="44">
        <f>AT23</f>
        <v>540</v>
      </c>
      <c r="AU64" s="29">
        <f t="shared" ref="AU64:AW64" si="342">AU23</f>
        <v>506</v>
      </c>
      <c r="AV64" s="29">
        <f t="shared" si="342"/>
        <v>509</v>
      </c>
      <c r="AW64" s="29">
        <f t="shared" si="342"/>
        <v>544</v>
      </c>
      <c r="AX64" s="44">
        <f>AX23</f>
        <v>570</v>
      </c>
      <c r="AY64" s="88">
        <f t="shared" ref="AY64:AZ64" si="343">AY23</f>
        <v>596</v>
      </c>
      <c r="AZ64" s="29">
        <f t="shared" si="343"/>
        <v>614</v>
      </c>
      <c r="BA64" s="29">
        <f t="shared" ref="BA64" si="344">BA23</f>
        <v>674</v>
      </c>
      <c r="BB64" s="366">
        <f>BB23</f>
        <v>728</v>
      </c>
      <c r="BC64" s="88">
        <f t="shared" ref="BC64:BJ64" si="345">BC23</f>
        <v>770</v>
      </c>
      <c r="BD64" s="29">
        <f t="shared" si="345"/>
        <v>796.2</v>
      </c>
      <c r="BE64" s="29">
        <f t="shared" si="345"/>
        <v>823.35600000000011</v>
      </c>
      <c r="BF64" s="44">
        <f t="shared" si="345"/>
        <v>851.50440000000015</v>
      </c>
      <c r="BG64" s="88">
        <f t="shared" si="345"/>
        <v>868.53448800000012</v>
      </c>
      <c r="BH64" s="29">
        <f t="shared" si="345"/>
        <v>885.90517776000013</v>
      </c>
      <c r="BI64" s="29">
        <f t="shared" si="345"/>
        <v>903.62328131520007</v>
      </c>
      <c r="BJ64" s="44">
        <f t="shared" si="345"/>
        <v>921.69574694150401</v>
      </c>
      <c r="BK64" s="88">
        <f t="shared" ref="BK64:BN64" si="346">BK23</f>
        <v>938.80867336253743</v>
      </c>
      <c r="BL64" s="29">
        <f t="shared" si="346"/>
        <v>956.51220415333728</v>
      </c>
      <c r="BM64" s="29">
        <f t="shared" si="346"/>
        <v>974.55264327712996</v>
      </c>
      <c r="BN64" s="44">
        <f t="shared" si="346"/>
        <v>991.2755915461164</v>
      </c>
      <c r="BO64" s="84"/>
      <c r="BP64" s="59">
        <f>SUM(C64:F64)</f>
        <v>573.36899999999991</v>
      </c>
      <c r="BQ64" s="59">
        <f>SUM(G64:J64)</f>
        <v>847.90499999999997</v>
      </c>
      <c r="BR64" s="59">
        <f>SUM(K64:N64)</f>
        <v>1032.934</v>
      </c>
      <c r="BS64" s="59">
        <f>SUM(O64:R64)</f>
        <v>1244.9690000000001</v>
      </c>
      <c r="BT64" s="59">
        <f>SUM(S64:V64)</f>
        <v>1275.8679999999999</v>
      </c>
      <c r="BU64" s="59">
        <f>SUM(W64:Z64)</f>
        <v>1153.3430000000001</v>
      </c>
      <c r="BV64" s="59">
        <f>SUM(AA64:AD64)</f>
        <v>1408.2179999999998</v>
      </c>
      <c r="BW64" s="59">
        <f>SUM(AE64:AH64)</f>
        <v>1578.1039999999998</v>
      </c>
      <c r="BX64" s="59">
        <f>SUM(AI64:AL64)</f>
        <v>1771.5360000000001</v>
      </c>
      <c r="BY64" s="59">
        <f>SUM(AM64:AP64)</f>
        <v>1840.4879999999998</v>
      </c>
      <c r="BZ64" s="14">
        <f>SUM(AQ64:AT64)</f>
        <v>2064</v>
      </c>
      <c r="CA64" s="97">
        <f t="shared" ref="CA64:CA67" si="347">SUM(AU64:AX64)</f>
        <v>2129</v>
      </c>
      <c r="CB64" s="97">
        <f>SUM(AY64:BB64)</f>
        <v>2612</v>
      </c>
      <c r="CC64" s="97">
        <f>SUM(BC64:BF64)</f>
        <v>3241.0604000000003</v>
      </c>
      <c r="CD64" s="97">
        <f>SUM(BG64:BJ64)</f>
        <v>3579.7586940167039</v>
      </c>
      <c r="CE64" s="97">
        <f>SUM(BK64:BN64)</f>
        <v>3861.1491123391206</v>
      </c>
      <c r="CF64" s="14"/>
      <c r="CG64" s="82"/>
      <c r="CY64"/>
      <c r="CZ64"/>
      <c r="DA64"/>
      <c r="DB64"/>
      <c r="DC64"/>
      <c r="DD64"/>
    </row>
    <row r="65" spans="2:108" s="5" customFormat="1">
      <c r="B65" s="5" t="s">
        <v>185</v>
      </c>
      <c r="C65" s="32">
        <v>0</v>
      </c>
      <c r="D65" s="30">
        <v>0</v>
      </c>
      <c r="E65" s="30">
        <v>0</v>
      </c>
      <c r="F65" s="33">
        <v>0</v>
      </c>
      <c r="G65" s="30">
        <v>20.998000000000001</v>
      </c>
      <c r="H65" s="30">
        <v>27.12</v>
      </c>
      <c r="I65" s="30">
        <v>29.43</v>
      </c>
      <c r="J65" s="30">
        <v>30.986999999999998</v>
      </c>
      <c r="K65" s="32">
        <v>34.595999999999997</v>
      </c>
      <c r="L65" s="30">
        <v>26.757999999999999</v>
      </c>
      <c r="M65" s="30">
        <v>29.436999999999998</v>
      </c>
      <c r="N65" s="33">
        <v>31.688000000000002</v>
      </c>
      <c r="O65" s="30">
        <v>38.988</v>
      </c>
      <c r="P65" s="30">
        <v>37.031999999999996</v>
      </c>
      <c r="Q65" s="30">
        <v>0</v>
      </c>
      <c r="R65" s="30">
        <v>0</v>
      </c>
      <c r="S65" s="32">
        <v>31.882999999999999</v>
      </c>
      <c r="T65" s="30">
        <v>0</v>
      </c>
      <c r="U65" s="30">
        <v>0</v>
      </c>
      <c r="V65" s="33">
        <v>0</v>
      </c>
      <c r="W65" s="30">
        <v>23.374000000000002</v>
      </c>
      <c r="X65" s="30">
        <v>22.341999999999999</v>
      </c>
      <c r="Y65" s="30">
        <v>22.689</v>
      </c>
      <c r="Z65" s="30">
        <v>23.64</v>
      </c>
      <c r="AA65" s="32">
        <v>29.262</v>
      </c>
      <c r="AB65" s="30">
        <v>33.201999999999998</v>
      </c>
      <c r="AC65" s="30">
        <v>30.18</v>
      </c>
      <c r="AD65" s="33">
        <v>32.388000000000005</v>
      </c>
      <c r="AE65" s="30">
        <v>33.042999999999999</v>
      </c>
      <c r="AF65" s="30">
        <v>29.606000000000002</v>
      </c>
      <c r="AG65" s="30">
        <v>30.58</v>
      </c>
      <c r="AH65" s="30">
        <v>32.942999999999998</v>
      </c>
      <c r="AI65" s="32">
        <v>30.744</v>
      </c>
      <c r="AJ65" s="30">
        <v>30.227</v>
      </c>
      <c r="AK65" s="30">
        <v>31.209000000000003</v>
      </c>
      <c r="AL65" s="33">
        <v>33.427</v>
      </c>
      <c r="AM65" s="32">
        <v>32.602000000000004</v>
      </c>
      <c r="AN65" s="30">
        <v>35.759</v>
      </c>
      <c r="AO65" s="30">
        <v>38.414000000000001</v>
      </c>
      <c r="AP65" s="33">
        <v>39.043999999999997</v>
      </c>
      <c r="AQ65" s="30">
        <v>43</v>
      </c>
      <c r="AR65" s="30">
        <v>44</v>
      </c>
      <c r="AS65" s="30">
        <v>47</v>
      </c>
      <c r="AT65" s="33">
        <v>56</v>
      </c>
      <c r="AU65" s="30">
        <v>49</v>
      </c>
      <c r="AV65" s="30">
        <v>54</v>
      </c>
      <c r="AW65" s="30">
        <v>62</v>
      </c>
      <c r="AX65" s="33">
        <v>67</v>
      </c>
      <c r="AY65" s="131">
        <v>72</v>
      </c>
      <c r="AZ65" s="30">
        <v>77</v>
      </c>
      <c r="BA65" s="30">
        <v>101</v>
      </c>
      <c r="BB65" s="455">
        <v>119</v>
      </c>
      <c r="BC65" s="121">
        <v>125</v>
      </c>
      <c r="BD65" s="121">
        <f t="shared" ref="BD65:BN65" si="348">BC65</f>
        <v>125</v>
      </c>
      <c r="BE65" s="121">
        <f t="shared" si="348"/>
        <v>125</v>
      </c>
      <c r="BF65" s="246">
        <f t="shared" si="348"/>
        <v>125</v>
      </c>
      <c r="BG65" s="121">
        <f t="shared" si="348"/>
        <v>125</v>
      </c>
      <c r="BH65" s="121">
        <f t="shared" si="348"/>
        <v>125</v>
      </c>
      <c r="BI65" s="121">
        <f t="shared" si="348"/>
        <v>125</v>
      </c>
      <c r="BJ65" s="246">
        <f t="shared" si="348"/>
        <v>125</v>
      </c>
      <c r="BK65" s="121">
        <f t="shared" si="348"/>
        <v>125</v>
      </c>
      <c r="BL65" s="121">
        <f t="shared" si="348"/>
        <v>125</v>
      </c>
      <c r="BM65" s="121">
        <f t="shared" si="348"/>
        <v>125</v>
      </c>
      <c r="BN65" s="246">
        <f t="shared" si="348"/>
        <v>125</v>
      </c>
      <c r="BO65" s="84"/>
      <c r="BP65" s="59">
        <f>SUM(C65:F65)</f>
        <v>0</v>
      </c>
      <c r="BQ65" s="59">
        <f>SUM(G65:J65)</f>
        <v>108.535</v>
      </c>
      <c r="BR65" s="59">
        <f>SUM(K65:N65)</f>
        <v>122.479</v>
      </c>
      <c r="BS65" s="59">
        <f>SUM(O65:R65)</f>
        <v>76.02</v>
      </c>
      <c r="BT65" s="59">
        <f>SUM(S65:V65)</f>
        <v>31.882999999999999</v>
      </c>
      <c r="BU65" s="59">
        <f>SUM(W65:Z65)</f>
        <v>92.045000000000002</v>
      </c>
      <c r="BV65" s="59">
        <f>SUM(AA65:AD65)</f>
        <v>125.03200000000001</v>
      </c>
      <c r="BW65" s="59">
        <f>SUM(AE65:AH65)</f>
        <v>126.172</v>
      </c>
      <c r="BX65" s="59">
        <f>SUM(AI65:AL65)</f>
        <v>125.607</v>
      </c>
      <c r="BY65" s="59">
        <f>SUM(AM65:AP65)</f>
        <v>145.81900000000002</v>
      </c>
      <c r="BZ65" s="59">
        <f>SUM(AQ65:AT65)</f>
        <v>190</v>
      </c>
      <c r="CA65" s="97">
        <f t="shared" si="347"/>
        <v>232</v>
      </c>
      <c r="CB65" s="97">
        <f>SUM(AY65:BB65)</f>
        <v>369</v>
      </c>
      <c r="CC65" s="97">
        <f>SUM(BC65:BF65)</f>
        <v>500</v>
      </c>
      <c r="CD65" s="97">
        <f>SUM(BG65:BJ65)</f>
        <v>500</v>
      </c>
      <c r="CE65" s="97">
        <f>SUM(BK65:BN65)</f>
        <v>500</v>
      </c>
      <c r="CF65" s="14"/>
      <c r="CG65" s="82"/>
      <c r="CY65"/>
      <c r="CZ65"/>
      <c r="DA65"/>
      <c r="DB65"/>
      <c r="DC65"/>
      <c r="DD65"/>
    </row>
    <row r="66" spans="2:108" s="5" customFormat="1">
      <c r="B66" s="5" t="s">
        <v>395</v>
      </c>
      <c r="C66" s="32">
        <v>0</v>
      </c>
      <c r="D66" s="30">
        <v>0</v>
      </c>
      <c r="E66" s="30">
        <v>0</v>
      </c>
      <c r="F66" s="33">
        <v>0</v>
      </c>
      <c r="G66" s="30">
        <v>0</v>
      </c>
      <c r="H66" s="30">
        <v>0</v>
      </c>
      <c r="I66" s="30">
        <v>0</v>
      </c>
      <c r="J66" s="30">
        <v>0</v>
      </c>
      <c r="K66" s="32">
        <v>0</v>
      </c>
      <c r="L66" s="30">
        <v>0</v>
      </c>
      <c r="M66" s="30">
        <v>0</v>
      </c>
      <c r="N66" s="33">
        <v>0</v>
      </c>
      <c r="O66" s="30">
        <v>0</v>
      </c>
      <c r="P66" s="30">
        <v>0</v>
      </c>
      <c r="Q66" s="30">
        <v>0</v>
      </c>
      <c r="R66" s="30">
        <v>0</v>
      </c>
      <c r="S66" s="32">
        <v>128.82900000000001</v>
      </c>
      <c r="T66" s="30">
        <v>0</v>
      </c>
      <c r="U66" s="30">
        <v>0</v>
      </c>
      <c r="V66" s="33">
        <v>0</v>
      </c>
      <c r="W66" s="30">
        <v>0</v>
      </c>
      <c r="X66" s="30">
        <v>0</v>
      </c>
      <c r="Y66" s="30">
        <v>0</v>
      </c>
      <c r="Z66" s="30">
        <v>0</v>
      </c>
      <c r="AA66" s="32">
        <v>0</v>
      </c>
      <c r="AB66" s="30">
        <v>0</v>
      </c>
      <c r="AC66" s="30">
        <v>0</v>
      </c>
      <c r="AD66" s="33">
        <v>0</v>
      </c>
      <c r="AE66" s="30">
        <v>0</v>
      </c>
      <c r="AF66" s="30">
        <v>20.126999999999999</v>
      </c>
      <c r="AG66" s="30">
        <v>0</v>
      </c>
      <c r="AH66" s="30">
        <v>0</v>
      </c>
      <c r="AI66" s="32">
        <v>0</v>
      </c>
      <c r="AJ66" s="30">
        <v>0</v>
      </c>
      <c r="AK66" s="30">
        <v>0</v>
      </c>
      <c r="AL66" s="33">
        <v>11.095000000000001</v>
      </c>
      <c r="AM66" s="32">
        <v>0</v>
      </c>
      <c r="AN66" s="30">
        <v>0</v>
      </c>
      <c r="AO66" s="30">
        <v>9.5719999999999992</v>
      </c>
      <c r="AP66" s="33">
        <v>9.1690000000000005</v>
      </c>
      <c r="AQ66" s="30">
        <v>0</v>
      </c>
      <c r="AR66" s="30">
        <v>89</v>
      </c>
      <c r="AS66" s="30">
        <v>12</v>
      </c>
      <c r="AT66" s="33">
        <v>38</v>
      </c>
      <c r="AU66" s="30">
        <v>14</v>
      </c>
      <c r="AV66" s="30">
        <v>7</v>
      </c>
      <c r="AW66" s="30">
        <v>4</v>
      </c>
      <c r="AX66" s="33">
        <v>5</v>
      </c>
      <c r="AY66" s="131">
        <v>7</v>
      </c>
      <c r="AZ66" s="30">
        <v>4</v>
      </c>
      <c r="BA66" s="30">
        <v>3</v>
      </c>
      <c r="BB66" s="455">
        <v>2</v>
      </c>
      <c r="BC66" s="956"/>
      <c r="BD66" s="956"/>
      <c r="BE66" s="121"/>
      <c r="BF66" s="246"/>
      <c r="BG66" s="956"/>
      <c r="BH66" s="956"/>
      <c r="BI66" s="121"/>
      <c r="BJ66" s="246"/>
      <c r="BK66" s="956"/>
      <c r="BL66" s="956"/>
      <c r="BM66" s="121"/>
      <c r="BN66" s="246"/>
      <c r="BO66" s="84"/>
      <c r="BP66" s="59"/>
      <c r="BQ66" s="59"/>
      <c r="BR66" s="59"/>
      <c r="BS66" s="59"/>
      <c r="BT66" s="59"/>
      <c r="BU66" s="59"/>
      <c r="BV66" s="59"/>
      <c r="BW66" s="59">
        <f>SUM(AE66:AH66)</f>
        <v>20.126999999999999</v>
      </c>
      <c r="BX66" s="59">
        <f>SUM(AI66:AL66)</f>
        <v>11.095000000000001</v>
      </c>
      <c r="BY66" s="59">
        <f>SUM(AM66:AP66)</f>
        <v>18.741</v>
      </c>
      <c r="BZ66" s="59">
        <f>SUM(AQ66:AT66)</f>
        <v>139</v>
      </c>
      <c r="CA66" s="97">
        <f t="shared" si="347"/>
        <v>30</v>
      </c>
      <c r="CB66" s="97">
        <f>SUM(AY66:BB66)</f>
        <v>16</v>
      </c>
      <c r="CC66" s="97">
        <f>SUM(BC66:BF66)</f>
        <v>0</v>
      </c>
      <c r="CD66" s="97">
        <f>SUM(BG66:BJ66)</f>
        <v>0</v>
      </c>
      <c r="CE66" s="97">
        <f>SUM(BK66:BN66)</f>
        <v>0</v>
      </c>
      <c r="CF66" s="14"/>
      <c r="CG66" s="82"/>
      <c r="CY66"/>
      <c r="CZ66"/>
      <c r="DA66"/>
      <c r="DB66"/>
      <c r="DC66"/>
      <c r="DD66"/>
    </row>
    <row r="67" spans="2:108" s="5" customFormat="1">
      <c r="B67" s="5" t="s">
        <v>183</v>
      </c>
      <c r="C67" s="32">
        <v>0</v>
      </c>
      <c r="D67" s="30">
        <v>0</v>
      </c>
      <c r="E67" s="30">
        <v>0</v>
      </c>
      <c r="F67" s="33">
        <v>0</v>
      </c>
      <c r="G67" s="30">
        <v>0</v>
      </c>
      <c r="H67" s="30">
        <v>0</v>
      </c>
      <c r="I67" s="30">
        <v>0</v>
      </c>
      <c r="J67" s="30">
        <v>0</v>
      </c>
      <c r="K67" s="32">
        <v>0</v>
      </c>
      <c r="L67" s="30">
        <v>0</v>
      </c>
      <c r="M67" s="30">
        <v>0</v>
      </c>
      <c r="N67" s="33">
        <v>0</v>
      </c>
      <c r="O67" s="30">
        <v>0</v>
      </c>
      <c r="P67" s="30">
        <v>0</v>
      </c>
      <c r="Q67" s="30">
        <v>0</v>
      </c>
      <c r="R67" s="30">
        <v>0</v>
      </c>
      <c r="S67" s="32">
        <v>0</v>
      </c>
      <c r="T67" s="30">
        <v>0</v>
      </c>
      <c r="U67" s="30">
        <v>0</v>
      </c>
      <c r="V67" s="33">
        <v>0</v>
      </c>
      <c r="W67" s="30">
        <v>0</v>
      </c>
      <c r="X67" s="30">
        <v>0</v>
      </c>
      <c r="Y67" s="30">
        <v>0</v>
      </c>
      <c r="Z67" s="30">
        <v>0</v>
      </c>
      <c r="AA67" s="32">
        <v>0</v>
      </c>
      <c r="AB67" s="30">
        <v>0</v>
      </c>
      <c r="AC67" s="30">
        <v>0</v>
      </c>
      <c r="AD67" s="33">
        <v>0</v>
      </c>
      <c r="AE67" s="30">
        <v>9.5129999999999999</v>
      </c>
      <c r="AF67" s="30">
        <v>8.859</v>
      </c>
      <c r="AG67" s="30">
        <v>9.0680000000000014</v>
      </c>
      <c r="AH67" s="30">
        <v>8.6980000000000075</v>
      </c>
      <c r="AI67" s="32">
        <v>8.8610000000000007</v>
      </c>
      <c r="AJ67" s="30">
        <v>8.9640000000000004</v>
      </c>
      <c r="AK67" s="30">
        <v>6.8119999999999994</v>
      </c>
      <c r="AL67" s="33">
        <v>0</v>
      </c>
      <c r="AM67" s="32">
        <v>9.4410000000000007</v>
      </c>
      <c r="AN67" s="30">
        <v>9.173</v>
      </c>
      <c r="AO67" s="30">
        <v>0</v>
      </c>
      <c r="AP67" s="33">
        <v>0</v>
      </c>
      <c r="AQ67" s="30">
        <v>9</v>
      </c>
      <c r="AR67" s="30">
        <v>4</v>
      </c>
      <c r="AS67" s="30">
        <v>0</v>
      </c>
      <c r="AT67" s="33">
        <v>0</v>
      </c>
      <c r="AU67" s="30">
        <v>0</v>
      </c>
      <c r="AV67" s="30">
        <v>0</v>
      </c>
      <c r="AW67" s="30">
        <v>0</v>
      </c>
      <c r="AX67" s="33">
        <v>0</v>
      </c>
      <c r="AY67" s="131">
        <v>0</v>
      </c>
      <c r="AZ67" s="30">
        <v>0</v>
      </c>
      <c r="BA67" s="30">
        <v>0</v>
      </c>
      <c r="BB67" s="455">
        <v>0</v>
      </c>
      <c r="BC67" s="956">
        <f t="shared" ref="BC67:BJ67" si="349">BB67</f>
        <v>0</v>
      </c>
      <c r="BD67" s="956">
        <f t="shared" si="349"/>
        <v>0</v>
      </c>
      <c r="BE67" s="121">
        <f t="shared" si="349"/>
        <v>0</v>
      </c>
      <c r="BF67" s="434">
        <f t="shared" si="349"/>
        <v>0</v>
      </c>
      <c r="BG67" s="956">
        <f t="shared" si="349"/>
        <v>0</v>
      </c>
      <c r="BH67" s="956">
        <f t="shared" si="349"/>
        <v>0</v>
      </c>
      <c r="BI67" s="121">
        <f t="shared" si="349"/>
        <v>0</v>
      </c>
      <c r="BJ67" s="434">
        <f t="shared" si="349"/>
        <v>0</v>
      </c>
      <c r="BK67" s="956">
        <f t="shared" ref="BK67" si="350">BJ67</f>
        <v>0</v>
      </c>
      <c r="BL67" s="956">
        <f t="shared" ref="BL67" si="351">BK67</f>
        <v>0</v>
      </c>
      <c r="BM67" s="121">
        <f t="shared" ref="BM67" si="352">BL67</f>
        <v>0</v>
      </c>
      <c r="BN67" s="434">
        <f t="shared" ref="BN67" si="353">BM67</f>
        <v>0</v>
      </c>
      <c r="BO67" s="84"/>
      <c r="BP67" s="59">
        <f>SUM(C67:F67)</f>
        <v>0</v>
      </c>
      <c r="BQ67" s="59">
        <f>SUM(G67:J67)</f>
        <v>0</v>
      </c>
      <c r="BR67" s="59">
        <f>SUM(K67:N67)</f>
        <v>0</v>
      </c>
      <c r="BS67" s="59">
        <f>SUM(O67:R67)</f>
        <v>0</v>
      </c>
      <c r="BT67" s="59">
        <f>SUM(S67:V67)</f>
        <v>0</v>
      </c>
      <c r="BU67" s="59">
        <f>SUM(W67:Z67)</f>
        <v>0</v>
      </c>
      <c r="BV67" s="59">
        <f>SUM(AA67:AD67)</f>
        <v>0</v>
      </c>
      <c r="BW67" s="59">
        <f>SUM(AE67:AH67)</f>
        <v>36.138000000000005</v>
      </c>
      <c r="BX67" s="59">
        <f>SUM(AI67:AL67)</f>
        <v>24.637</v>
      </c>
      <c r="BY67" s="59">
        <f>SUM(AM67:AP67)</f>
        <v>18.614000000000001</v>
      </c>
      <c r="BZ67" s="59">
        <f>SUM(AQ67:AT67)</f>
        <v>13</v>
      </c>
      <c r="CA67" s="97">
        <f t="shared" si="347"/>
        <v>0</v>
      </c>
      <c r="CB67" s="97">
        <f>SUM(AY67:BB67)</f>
        <v>0</v>
      </c>
      <c r="CC67" s="97">
        <f>SUM(BC67:BF67)</f>
        <v>0</v>
      </c>
      <c r="CD67" s="97">
        <f>SUM(BG67:BJ67)</f>
        <v>0</v>
      </c>
      <c r="CE67" s="97">
        <f>SUM(BK67:BN67)</f>
        <v>0</v>
      </c>
      <c r="CF67" s="14"/>
      <c r="CG67" s="82"/>
      <c r="CY67"/>
      <c r="CZ67"/>
      <c r="DA67"/>
      <c r="DB67"/>
      <c r="DC67"/>
      <c r="DD67"/>
    </row>
    <row r="68" spans="2:108" s="5" customFormat="1">
      <c r="B68" s="249" t="s">
        <v>186</v>
      </c>
      <c r="C68" s="250">
        <f t="shared" ref="C68:V68" si="354">C64-SUM(C65:C67)</f>
        <v>133.971</v>
      </c>
      <c r="D68" s="251">
        <f t="shared" si="354"/>
        <v>139.78199999999998</v>
      </c>
      <c r="E68" s="251">
        <f t="shared" si="354"/>
        <v>158.423</v>
      </c>
      <c r="F68" s="252">
        <f t="shared" si="354"/>
        <v>141.19299999999998</v>
      </c>
      <c r="G68" s="251">
        <f t="shared" si="354"/>
        <v>167.07400000000001</v>
      </c>
      <c r="H68" s="251">
        <f t="shared" si="354"/>
        <v>169.19200000000001</v>
      </c>
      <c r="I68" s="251">
        <f t="shared" si="354"/>
        <v>186.899</v>
      </c>
      <c r="J68" s="251">
        <f t="shared" si="354"/>
        <v>216.20500000000001</v>
      </c>
      <c r="K68" s="250">
        <f t="shared" si="354"/>
        <v>204.29599999999999</v>
      </c>
      <c r="L68" s="251">
        <f t="shared" si="354"/>
        <v>212.47399999999999</v>
      </c>
      <c r="M68" s="251">
        <f t="shared" si="354"/>
        <v>238.27499999999998</v>
      </c>
      <c r="N68" s="252">
        <f t="shared" si="354"/>
        <v>255.40999999999997</v>
      </c>
      <c r="O68" s="251">
        <f t="shared" si="354"/>
        <v>272.87600000000003</v>
      </c>
      <c r="P68" s="251">
        <f t="shared" si="354"/>
        <v>268.27699999999999</v>
      </c>
      <c r="Q68" s="251">
        <f t="shared" si="354"/>
        <v>311.04700000000003</v>
      </c>
      <c r="R68" s="251">
        <f t="shared" si="354"/>
        <v>316.74900000000002</v>
      </c>
      <c r="S68" s="250">
        <f t="shared" si="354"/>
        <v>259.94900000000007</v>
      </c>
      <c r="T68" s="251">
        <f t="shared" si="354"/>
        <v>266.83</v>
      </c>
      <c r="U68" s="251">
        <f t="shared" si="354"/>
        <v>283.93799999999999</v>
      </c>
      <c r="V68" s="252">
        <f t="shared" si="354"/>
        <v>304.43899999999996</v>
      </c>
      <c r="W68" s="251">
        <f>W64-SUM(W65:W67)</f>
        <v>285.60999999999996</v>
      </c>
      <c r="X68" s="251">
        <f t="shared" ref="X68:AN68" si="355">X64-SUM(X65:X67)</f>
        <v>287.15700000000004</v>
      </c>
      <c r="Y68" s="251">
        <f t="shared" si="355"/>
        <v>265.58999999999997</v>
      </c>
      <c r="Z68" s="251">
        <f t="shared" si="355"/>
        <v>222.94100000000009</v>
      </c>
      <c r="AA68" s="250">
        <f t="shared" si="355"/>
        <v>300.37900000000002</v>
      </c>
      <c r="AB68" s="251">
        <f t="shared" si="355"/>
        <v>318.05200000000002</v>
      </c>
      <c r="AC68" s="251">
        <f t="shared" si="355"/>
        <v>329.447</v>
      </c>
      <c r="AD68" s="252">
        <f t="shared" si="355"/>
        <v>335.30799999999999</v>
      </c>
      <c r="AE68" s="251">
        <f t="shared" si="355"/>
        <v>347.98200000000003</v>
      </c>
      <c r="AF68" s="251">
        <f t="shared" si="355"/>
        <v>342.50400000000002</v>
      </c>
      <c r="AG68" s="251">
        <f t="shared" si="355"/>
        <v>344.79300000000001</v>
      </c>
      <c r="AH68" s="251">
        <f t="shared" si="355"/>
        <v>360.38799999999986</v>
      </c>
      <c r="AI68" s="250">
        <f t="shared" si="355"/>
        <v>396.18200000000002</v>
      </c>
      <c r="AJ68" s="251">
        <f t="shared" si="355"/>
        <v>400.81299999999999</v>
      </c>
      <c r="AK68" s="251">
        <f t="shared" si="355"/>
        <v>405.40599999999995</v>
      </c>
      <c r="AL68" s="252">
        <f>AL64-SUM(AL65:AL67)</f>
        <v>407.79600000000011</v>
      </c>
      <c r="AM68" s="250">
        <f t="shared" si="355"/>
        <v>410.79999999999995</v>
      </c>
      <c r="AN68" s="251">
        <f t="shared" si="355"/>
        <v>410.863</v>
      </c>
      <c r="AO68" s="251">
        <f t="shared" ref="AO68:AT68" si="356">AO64-SUM(AO65:AO67)</f>
        <v>415.39699999999999</v>
      </c>
      <c r="AP68" s="252">
        <f>AP64-SUM(AP65:AP67)</f>
        <v>420.25400000000002</v>
      </c>
      <c r="AQ68" s="251">
        <f>AQ64-SUM(AQ65:AQ67)</f>
        <v>425</v>
      </c>
      <c r="AR68" s="251">
        <f>AR64-SUM(AR65:AR67)</f>
        <v>421</v>
      </c>
      <c r="AS68" s="251">
        <f t="shared" si="356"/>
        <v>430</v>
      </c>
      <c r="AT68" s="252">
        <f t="shared" si="356"/>
        <v>446</v>
      </c>
      <c r="AU68" s="251">
        <f>AU64-SUM(AU65:AU67)</f>
        <v>443</v>
      </c>
      <c r="AV68" s="251">
        <f>AV64-SUM(AV65:AV67)</f>
        <v>448</v>
      </c>
      <c r="AW68" s="251">
        <f t="shared" ref="AW68:AX68" si="357">AW64-SUM(AW65:AW67)</f>
        <v>478</v>
      </c>
      <c r="AX68" s="252">
        <f t="shared" si="357"/>
        <v>498</v>
      </c>
      <c r="AY68" s="559">
        <f>AY64-SUM(AY65:AY67)</f>
        <v>517</v>
      </c>
      <c r="AZ68" s="251">
        <f>AZ64-SUM(AZ65:AZ67)</f>
        <v>533</v>
      </c>
      <c r="BA68" s="251">
        <f>BA64-SUM(BA65:BA67)</f>
        <v>570</v>
      </c>
      <c r="BB68" s="1000">
        <f t="shared" ref="BB68" si="358">BB64-SUM(BB65:BB67)</f>
        <v>607</v>
      </c>
      <c r="BC68" s="559">
        <f t="shared" ref="BC68:BJ68" si="359">BC64-SUM(BC65:BC67)</f>
        <v>645</v>
      </c>
      <c r="BD68" s="251">
        <f t="shared" si="359"/>
        <v>671.2</v>
      </c>
      <c r="BE68" s="251">
        <f t="shared" si="359"/>
        <v>698.35600000000011</v>
      </c>
      <c r="BF68" s="252">
        <f t="shared" si="359"/>
        <v>726.50440000000015</v>
      </c>
      <c r="BG68" s="559">
        <f t="shared" si="359"/>
        <v>743.53448800000012</v>
      </c>
      <c r="BH68" s="251">
        <f t="shared" si="359"/>
        <v>760.90517776000013</v>
      </c>
      <c r="BI68" s="251">
        <f t="shared" si="359"/>
        <v>778.62328131520007</v>
      </c>
      <c r="BJ68" s="252">
        <f t="shared" si="359"/>
        <v>796.69574694150401</v>
      </c>
      <c r="BK68" s="559">
        <f t="shared" ref="BK68:BN68" si="360">BK64-SUM(BK65:BK67)</f>
        <v>813.80867336253743</v>
      </c>
      <c r="BL68" s="251">
        <f t="shared" si="360"/>
        <v>831.51220415333728</v>
      </c>
      <c r="BM68" s="251">
        <f t="shared" si="360"/>
        <v>849.55264327712996</v>
      </c>
      <c r="BN68" s="252">
        <f t="shared" si="360"/>
        <v>866.2755915461164</v>
      </c>
      <c r="BO68" s="85"/>
      <c r="BP68" s="251">
        <f t="shared" ref="BP68:CA68" si="361">BP64-SUM(BP65:BP67)</f>
        <v>573.36899999999991</v>
      </c>
      <c r="BQ68" s="251">
        <f t="shared" si="361"/>
        <v>739.37</v>
      </c>
      <c r="BR68" s="251">
        <f t="shared" si="361"/>
        <v>910.45499999999993</v>
      </c>
      <c r="BS68" s="251">
        <f t="shared" si="361"/>
        <v>1168.9490000000001</v>
      </c>
      <c r="BT68" s="251">
        <f t="shared" si="361"/>
        <v>1243.9849999999999</v>
      </c>
      <c r="BU68" s="251">
        <f t="shared" si="361"/>
        <v>1061.298</v>
      </c>
      <c r="BV68" s="251">
        <f t="shared" si="361"/>
        <v>1283.1859999999999</v>
      </c>
      <c r="BW68" s="251">
        <f t="shared" si="361"/>
        <v>1395.6669999999999</v>
      </c>
      <c r="BX68" s="251">
        <f t="shared" si="361"/>
        <v>1610.1970000000001</v>
      </c>
      <c r="BY68" s="251">
        <f t="shared" si="361"/>
        <v>1657.3139999999999</v>
      </c>
      <c r="BZ68" s="251">
        <f>BZ64-SUM(BZ65:BZ67)</f>
        <v>1722</v>
      </c>
      <c r="CA68" s="251">
        <f t="shared" si="361"/>
        <v>1867</v>
      </c>
      <c r="CB68" s="251">
        <f t="shared" ref="CB68:CC68" si="362">CB64-SUM(CB65:CB67)</f>
        <v>2227</v>
      </c>
      <c r="CC68" s="251">
        <f t="shared" si="362"/>
        <v>2741.0604000000003</v>
      </c>
      <c r="CD68" s="251">
        <f t="shared" ref="CD68:CE68" si="363">CD64-SUM(CD65:CD67)</f>
        <v>3079.7586940167039</v>
      </c>
      <c r="CE68" s="251">
        <f t="shared" si="363"/>
        <v>3361.1491123391206</v>
      </c>
      <c r="CF68" s="14"/>
      <c r="CG68" s="82"/>
      <c r="CY68"/>
      <c r="CZ68"/>
      <c r="DA68"/>
      <c r="DB68"/>
      <c r="DC68"/>
      <c r="DD68"/>
    </row>
    <row r="69" spans="2:108" s="5" customFormat="1">
      <c r="B69" s="9"/>
      <c r="C69" s="229"/>
      <c r="D69" s="60"/>
      <c r="E69" s="60"/>
      <c r="F69" s="230"/>
      <c r="G69" s="60"/>
      <c r="H69" s="60"/>
      <c r="I69" s="60"/>
      <c r="J69" s="60"/>
      <c r="K69" s="229"/>
      <c r="L69" s="60"/>
      <c r="M69" s="60"/>
      <c r="N69" s="230"/>
      <c r="O69" s="60"/>
      <c r="P69" s="60"/>
      <c r="Q69" s="60"/>
      <c r="R69" s="60"/>
      <c r="S69" s="229"/>
      <c r="T69" s="60"/>
      <c r="U69" s="60"/>
      <c r="V69" s="230"/>
      <c r="W69" s="60"/>
      <c r="X69" s="60"/>
      <c r="Y69" s="60"/>
      <c r="Z69" s="60"/>
      <c r="AA69" s="229"/>
      <c r="AB69" s="60"/>
      <c r="AC69" s="60"/>
      <c r="AD69" s="230"/>
      <c r="AE69" s="60"/>
      <c r="AF69" s="60"/>
      <c r="AG69" s="60"/>
      <c r="AH69" s="60"/>
      <c r="AI69" s="229"/>
      <c r="AJ69" s="60"/>
      <c r="AK69" s="60"/>
      <c r="AL69" s="230"/>
      <c r="AM69" s="229"/>
      <c r="AN69" s="60"/>
      <c r="AO69" s="60"/>
      <c r="AP69" s="230"/>
      <c r="AQ69" s="60"/>
      <c r="AR69" s="60"/>
      <c r="AS69" s="60"/>
      <c r="AT69" s="230"/>
      <c r="AU69" s="60"/>
      <c r="AV69" s="60">
        <f>+AV61-AV68</f>
        <v>382</v>
      </c>
      <c r="AW69" s="60"/>
      <c r="AX69" s="230"/>
      <c r="AY69" s="867"/>
      <c r="AZ69" s="60">
        <f>+AZ61-AZ68</f>
        <v>773</v>
      </c>
      <c r="BA69" s="581" t="s">
        <v>383</v>
      </c>
      <c r="BB69" s="999"/>
      <c r="BC69" s="867"/>
      <c r="BD69" s="60"/>
      <c r="BE69" s="60"/>
      <c r="BF69" s="230"/>
      <c r="BG69" s="867"/>
      <c r="BH69" s="60"/>
      <c r="BI69" s="60"/>
      <c r="BJ69" s="230"/>
      <c r="BK69" s="867"/>
      <c r="BL69" s="60"/>
      <c r="BM69" s="60"/>
      <c r="BN69" s="230"/>
      <c r="BO69" s="84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14"/>
      <c r="CG69" s="14"/>
      <c r="CY69"/>
      <c r="CZ69"/>
      <c r="DA69"/>
      <c r="DB69"/>
      <c r="DC69"/>
      <c r="DD69"/>
    </row>
    <row r="70" spans="2:108" s="5" customFormat="1">
      <c r="B70" s="5" t="s">
        <v>193</v>
      </c>
      <c r="C70" s="43">
        <f>SUM(C27:C29)</f>
        <v>4.3730000000000002</v>
      </c>
      <c r="D70" s="29">
        <f t="shared" ref="D70:AN70" si="364">SUM(D27:D29)</f>
        <v>5.2190000000000003</v>
      </c>
      <c r="E70" s="29">
        <f t="shared" si="364"/>
        <v>6.1459999999999999</v>
      </c>
      <c r="F70" s="44">
        <f t="shared" si="364"/>
        <v>4.3860000000000019</v>
      </c>
      <c r="G70" s="29">
        <f t="shared" si="364"/>
        <v>8.5630000000000006</v>
      </c>
      <c r="H70" s="29">
        <f t="shared" si="364"/>
        <v>9.41</v>
      </c>
      <c r="I70" s="29">
        <f t="shared" si="364"/>
        <v>10.713999999999999</v>
      </c>
      <c r="J70" s="29">
        <f t="shared" si="364"/>
        <v>13.045000000000002</v>
      </c>
      <c r="K70" s="43">
        <f t="shared" si="364"/>
        <v>12.542999999999999</v>
      </c>
      <c r="L70" s="29">
        <f t="shared" si="364"/>
        <v>16.091000000000001</v>
      </c>
      <c r="M70" s="29">
        <f t="shared" si="364"/>
        <v>18.958000000000002</v>
      </c>
      <c r="N70" s="44">
        <f t="shared" si="364"/>
        <v>17.403000000000009</v>
      </c>
      <c r="O70" s="29">
        <f t="shared" si="364"/>
        <v>10.039000000000001</v>
      </c>
      <c r="P70" s="29">
        <f t="shared" si="364"/>
        <v>8.7919999999999998</v>
      </c>
      <c r="Q70" s="29">
        <f t="shared" si="364"/>
        <v>4.206999999999999</v>
      </c>
      <c r="R70" s="29">
        <f t="shared" si="364"/>
        <v>4.7080000000000055</v>
      </c>
      <c r="S70" s="43">
        <f t="shared" si="364"/>
        <v>6.1439999999999992</v>
      </c>
      <c r="T70" s="29">
        <f t="shared" si="364"/>
        <v>3.0059999999999998</v>
      </c>
      <c r="U70" s="29">
        <f t="shared" si="364"/>
        <v>2.3620000000000001</v>
      </c>
      <c r="V70" s="44">
        <f t="shared" si="364"/>
        <v>5.1389999999999993</v>
      </c>
      <c r="W70" s="29">
        <f>SUM(W27:W29)</f>
        <v>3.3319999999999999</v>
      </c>
      <c r="X70" s="29">
        <f t="shared" si="364"/>
        <v>6.16</v>
      </c>
      <c r="Y70" s="29">
        <f t="shared" si="364"/>
        <v>-0.1980000000000004</v>
      </c>
      <c r="Z70" s="29">
        <f t="shared" si="364"/>
        <v>6.128000000000001</v>
      </c>
      <c r="AA70" s="43">
        <f t="shared" si="364"/>
        <v>1.6229999999999998</v>
      </c>
      <c r="AB70" s="29">
        <f t="shared" si="364"/>
        <v>3.5169999999999999</v>
      </c>
      <c r="AC70" s="29">
        <f t="shared" si="364"/>
        <v>7.6970000000000001</v>
      </c>
      <c r="AD70" s="44">
        <f t="shared" si="364"/>
        <v>2.2599999999999998</v>
      </c>
      <c r="AE70" s="29">
        <f t="shared" si="364"/>
        <v>4.2690000000000001</v>
      </c>
      <c r="AF70" s="29">
        <f t="shared" si="364"/>
        <v>5.585</v>
      </c>
      <c r="AG70" s="29">
        <f t="shared" si="364"/>
        <v>1.4109999999999996</v>
      </c>
      <c r="AH70" s="29">
        <f t="shared" si="364"/>
        <v>2.5350000000000015</v>
      </c>
      <c r="AI70" s="43">
        <f t="shared" si="364"/>
        <v>5.2809999999999997</v>
      </c>
      <c r="AJ70" s="29">
        <f t="shared" si="364"/>
        <v>6.2859999999999996</v>
      </c>
      <c r="AK70" s="29">
        <f t="shared" si="364"/>
        <v>0.49600000000000044</v>
      </c>
      <c r="AL70" s="44">
        <f t="shared" si="364"/>
        <v>1.9639999999999986</v>
      </c>
      <c r="AM70" s="43">
        <f t="shared" si="364"/>
        <v>11.923000000000002</v>
      </c>
      <c r="AN70" s="29">
        <f t="shared" si="364"/>
        <v>-8.5540000000000003</v>
      </c>
      <c r="AO70" s="29">
        <f t="shared" ref="AO70:AT70" si="365">SUM(AO27:AO29)</f>
        <v>-4.2450000000000001</v>
      </c>
      <c r="AP70" s="44">
        <f t="shared" si="365"/>
        <v>-3.2769999999999992</v>
      </c>
      <c r="AQ70" s="29">
        <f>SUM(AQ27:AQ29)</f>
        <v>-4</v>
      </c>
      <c r="AR70" s="29">
        <f t="shared" ref="AR70" si="366">SUM(AR27:AR29)</f>
        <v>-4</v>
      </c>
      <c r="AS70" s="29">
        <f>SUM(AS27:AS29)</f>
        <v>0</v>
      </c>
      <c r="AT70" s="44">
        <f t="shared" si="365"/>
        <v>4</v>
      </c>
      <c r="AU70" s="29">
        <f t="shared" ref="AU70:AV70" si="367">SUM(AU27:AU29)</f>
        <v>-4</v>
      </c>
      <c r="AV70" s="29">
        <f t="shared" si="367"/>
        <v>0</v>
      </c>
      <c r="AW70" s="29">
        <f>SUM(AW27:AW29)</f>
        <v>-18</v>
      </c>
      <c r="AX70" s="44">
        <f t="shared" ref="AX70:AZ70" si="368">SUM(AX27:AX29)</f>
        <v>-7</v>
      </c>
      <c r="AY70" s="88">
        <f t="shared" si="368"/>
        <v>-18</v>
      </c>
      <c r="AZ70" s="29">
        <f t="shared" si="368"/>
        <v>-4</v>
      </c>
      <c r="BA70" s="29">
        <f t="shared" ref="BA70:BB70" si="369">SUM(BA27:BA29)</f>
        <v>1</v>
      </c>
      <c r="BB70" s="366">
        <f t="shared" si="369"/>
        <v>5</v>
      </c>
      <c r="BC70" s="88">
        <f t="shared" ref="BC70:BJ70" si="370">SUM(BC27:BC29)</f>
        <v>0.37250000000000227</v>
      </c>
      <c r="BD70" s="29">
        <f t="shared" si="370"/>
        <v>0.37250000000000227</v>
      </c>
      <c r="BE70" s="29">
        <f t="shared" si="370"/>
        <v>0.37250000000000227</v>
      </c>
      <c r="BF70" s="44">
        <f t="shared" si="370"/>
        <v>0.37250000000000227</v>
      </c>
      <c r="BG70" s="88">
        <f t="shared" si="370"/>
        <v>0.37250000000000227</v>
      </c>
      <c r="BH70" s="29">
        <f t="shared" si="370"/>
        <v>0.37250000000000227</v>
      </c>
      <c r="BI70" s="29">
        <f t="shared" si="370"/>
        <v>0.37250000000000227</v>
      </c>
      <c r="BJ70" s="44">
        <f t="shared" si="370"/>
        <v>0.37250000000000227</v>
      </c>
      <c r="BK70" s="88">
        <f t="shared" ref="BK70:BN70" si="371">SUM(BK27:BK29)</f>
        <v>9.1785144244480286</v>
      </c>
      <c r="BL70" s="29">
        <f t="shared" si="371"/>
        <v>12.373294813218699</v>
      </c>
      <c r="BM70" s="29">
        <f t="shared" si="371"/>
        <v>15.213045813690762</v>
      </c>
      <c r="BN70" s="44">
        <f t="shared" si="371"/>
        <v>18.56298395965117</v>
      </c>
      <c r="BO70" s="84"/>
      <c r="BP70" s="59">
        <f>SUM(C70:F70)</f>
        <v>20.124000000000002</v>
      </c>
      <c r="BQ70" s="59">
        <f>SUM(G70:J70)</f>
        <v>41.731999999999999</v>
      </c>
      <c r="BR70" s="59">
        <f>SUM(K70:N70)</f>
        <v>64.995000000000005</v>
      </c>
      <c r="BS70" s="59">
        <f>SUM(O70:R70)</f>
        <v>27.746000000000009</v>
      </c>
      <c r="BT70" s="59">
        <f>SUM(S70:V70)</f>
        <v>16.650999999999996</v>
      </c>
      <c r="BU70" s="59">
        <f>SUM(W70:Z70)</f>
        <v>15.422000000000001</v>
      </c>
      <c r="BV70" s="59">
        <f>SUM(AA70:AD70)</f>
        <v>15.097</v>
      </c>
      <c r="BW70" s="59">
        <f>SUM(AE70:AH70)</f>
        <v>13.8</v>
      </c>
      <c r="BX70" s="59">
        <f>SUM(AI70:AL70)</f>
        <v>14.026999999999999</v>
      </c>
      <c r="BY70" s="59">
        <f>SUM(AM70:AP70)</f>
        <v>-4.1529999999999978</v>
      </c>
      <c r="BZ70" s="29">
        <f>SUM(AQ70:AT70)</f>
        <v>-4</v>
      </c>
      <c r="CA70" s="97">
        <f t="shared" ref="CA70:CA73" si="372">SUM(AU70:AX70)</f>
        <v>-29</v>
      </c>
      <c r="CB70" s="97">
        <f>SUM(AY70:BB70)</f>
        <v>-16</v>
      </c>
      <c r="CC70" s="97">
        <f>SUM(BC70:BF70)</f>
        <v>1.4900000000000091</v>
      </c>
      <c r="CD70" s="97">
        <f>SUM(BG70:BJ70)</f>
        <v>1.4900000000000091</v>
      </c>
      <c r="CE70" s="97">
        <f>SUM(BK70:BN70)</f>
        <v>55.327839011008656</v>
      </c>
      <c r="CF70" s="14"/>
      <c r="CG70" s="82"/>
      <c r="CY70"/>
      <c r="CZ70"/>
      <c r="DA70"/>
      <c r="DB70"/>
      <c r="DC70"/>
      <c r="DD70"/>
    </row>
    <row r="71" spans="2:108" s="5" customFormat="1">
      <c r="B71" s="5" t="s">
        <v>112</v>
      </c>
      <c r="C71" s="32">
        <v>0</v>
      </c>
      <c r="D71" s="30">
        <v>0</v>
      </c>
      <c r="E71" s="30">
        <v>0</v>
      </c>
      <c r="F71" s="33">
        <v>0</v>
      </c>
      <c r="G71" s="30">
        <v>0</v>
      </c>
      <c r="H71" s="30">
        <v>0</v>
      </c>
      <c r="I71" s="30">
        <v>0</v>
      </c>
      <c r="J71" s="30">
        <v>0</v>
      </c>
      <c r="K71" s="32">
        <v>0</v>
      </c>
      <c r="L71" s="30">
        <v>0</v>
      </c>
      <c r="M71" s="30">
        <v>0</v>
      </c>
      <c r="N71" s="33">
        <v>0</v>
      </c>
      <c r="O71" s="30">
        <v>0</v>
      </c>
      <c r="P71" s="30">
        <v>0</v>
      </c>
      <c r="Q71" s="30">
        <v>0</v>
      </c>
      <c r="R71" s="30">
        <v>0</v>
      </c>
      <c r="S71" s="32">
        <v>0</v>
      </c>
      <c r="T71" s="30">
        <v>0</v>
      </c>
      <c r="U71" s="30">
        <v>0</v>
      </c>
      <c r="V71" s="33">
        <v>0</v>
      </c>
      <c r="W71" s="30">
        <v>0</v>
      </c>
      <c r="X71" s="30">
        <v>0</v>
      </c>
      <c r="Y71" s="30">
        <v>0</v>
      </c>
      <c r="Z71" s="30">
        <v>0</v>
      </c>
      <c r="AA71" s="32">
        <v>0</v>
      </c>
      <c r="AB71" s="30">
        <v>0</v>
      </c>
      <c r="AC71" s="30">
        <v>0</v>
      </c>
      <c r="AD71" s="33">
        <v>0</v>
      </c>
      <c r="AE71" s="30">
        <v>0</v>
      </c>
      <c r="AF71" s="30">
        <v>0</v>
      </c>
      <c r="AG71" s="30">
        <v>0</v>
      </c>
      <c r="AH71" s="30">
        <v>0</v>
      </c>
      <c r="AI71" s="32">
        <v>0</v>
      </c>
      <c r="AJ71" s="30">
        <v>0</v>
      </c>
      <c r="AK71" s="30">
        <v>0</v>
      </c>
      <c r="AL71" s="33">
        <v>-3.0739999999999998</v>
      </c>
      <c r="AM71" s="32">
        <v>-16.981999999999999</v>
      </c>
      <c r="AN71" s="30">
        <v>2.5</v>
      </c>
      <c r="AO71" s="30">
        <v>0</v>
      </c>
      <c r="AP71" s="33">
        <v>0</v>
      </c>
      <c r="AQ71" s="30">
        <v>0</v>
      </c>
      <c r="AR71" s="30">
        <v>0</v>
      </c>
      <c r="AS71" s="30">
        <v>-4</v>
      </c>
      <c r="AT71" s="33">
        <v>0</v>
      </c>
      <c r="AU71" s="30">
        <v>-3</v>
      </c>
      <c r="AV71" s="30">
        <v>0</v>
      </c>
      <c r="AW71" s="30">
        <v>0</v>
      </c>
      <c r="AX71" s="33">
        <v>0</v>
      </c>
      <c r="AY71" s="131">
        <v>0</v>
      </c>
      <c r="AZ71" s="30">
        <v>0</v>
      </c>
      <c r="BA71" s="30">
        <v>0</v>
      </c>
      <c r="BB71" s="455">
        <v>0</v>
      </c>
      <c r="BC71" s="131"/>
      <c r="BD71" s="30"/>
      <c r="BE71" s="30"/>
      <c r="BF71" s="33"/>
      <c r="BG71" s="131"/>
      <c r="BH71" s="30"/>
      <c r="BI71" s="30"/>
      <c r="BJ71" s="33"/>
      <c r="BK71" s="131"/>
      <c r="BL71" s="30"/>
      <c r="BM71" s="30"/>
      <c r="BN71" s="33"/>
      <c r="BO71" s="84"/>
      <c r="BP71" s="59">
        <f>SUM(C71:F71)</f>
        <v>0</v>
      </c>
      <c r="BQ71" s="59">
        <f>SUM(G71:J71)</f>
        <v>0</v>
      </c>
      <c r="BR71" s="59">
        <f>SUM(K71:N71)</f>
        <v>0</v>
      </c>
      <c r="BS71" s="59">
        <f>SUM(O71:R71)</f>
        <v>0</v>
      </c>
      <c r="BT71" s="59">
        <f>SUM(S71:V71)</f>
        <v>0</v>
      </c>
      <c r="BU71" s="59">
        <f>SUM(W71:Z71)</f>
        <v>0</v>
      </c>
      <c r="BV71" s="59">
        <f>SUM(AA71:AD71)</f>
        <v>0</v>
      </c>
      <c r="BW71" s="59">
        <f>SUM(AE71:AH71)</f>
        <v>0</v>
      </c>
      <c r="BX71" s="59">
        <f>SUM(AI71:AL71)</f>
        <v>-3.0739999999999998</v>
      </c>
      <c r="BY71" s="59">
        <f>SUM(AM71:AP71)</f>
        <v>-14.481999999999999</v>
      </c>
      <c r="BZ71" s="29">
        <f>SUM(AQ71:AT71)</f>
        <v>-4</v>
      </c>
      <c r="CA71" s="97">
        <f t="shared" si="372"/>
        <v>-3</v>
      </c>
      <c r="CB71" s="97">
        <f>SUM(AY71:BB71)</f>
        <v>0</v>
      </c>
      <c r="CC71" s="97">
        <f>SUM(BC71:BF71)</f>
        <v>0</v>
      </c>
      <c r="CD71" s="97">
        <f>SUM(BG71:BJ71)</f>
        <v>0</v>
      </c>
      <c r="CE71" s="97">
        <f>SUM(BK71:BN71)</f>
        <v>0</v>
      </c>
      <c r="CF71" s="14"/>
      <c r="CG71" s="82"/>
      <c r="CY71"/>
      <c r="CZ71"/>
      <c r="DA71"/>
      <c r="DB71"/>
      <c r="DC71"/>
      <c r="DD71"/>
    </row>
    <row r="72" spans="2:108" s="5" customFormat="1">
      <c r="B72" s="5" t="s">
        <v>394</v>
      </c>
      <c r="C72" s="32"/>
      <c r="D72" s="30"/>
      <c r="E72" s="30"/>
      <c r="F72" s="33"/>
      <c r="G72" s="30"/>
      <c r="H72" s="30"/>
      <c r="I72" s="30"/>
      <c r="J72" s="30"/>
      <c r="K72" s="32"/>
      <c r="L72" s="30"/>
      <c r="M72" s="30"/>
      <c r="N72" s="33"/>
      <c r="O72" s="30"/>
      <c r="P72" s="30"/>
      <c r="Q72" s="30"/>
      <c r="R72" s="30"/>
      <c r="S72" s="32"/>
      <c r="T72" s="30"/>
      <c r="U72" s="30"/>
      <c r="V72" s="33"/>
      <c r="W72" s="30"/>
      <c r="X72" s="30"/>
      <c r="Y72" s="30"/>
      <c r="Z72" s="30"/>
      <c r="AA72" s="32"/>
      <c r="AB72" s="30"/>
      <c r="AC72" s="30"/>
      <c r="AD72" s="33"/>
      <c r="AE72" s="30"/>
      <c r="AF72" s="30"/>
      <c r="AG72" s="30"/>
      <c r="AH72" s="30"/>
      <c r="AI72" s="32"/>
      <c r="AJ72" s="30"/>
      <c r="AK72" s="30"/>
      <c r="AL72" s="33"/>
      <c r="AM72" s="32"/>
      <c r="AN72" s="30"/>
      <c r="AO72" s="30"/>
      <c r="AP72" s="33"/>
      <c r="AQ72" s="30"/>
      <c r="AR72" s="30"/>
      <c r="AS72" s="30"/>
      <c r="AT72" s="33"/>
      <c r="AU72" s="30"/>
      <c r="AV72" s="30"/>
      <c r="AW72" s="30"/>
      <c r="AX72" s="33"/>
      <c r="AY72" s="131"/>
      <c r="AZ72" s="30"/>
      <c r="BA72" s="30"/>
      <c r="BB72" s="455"/>
      <c r="BC72" s="956">
        <f t="shared" ref="BC72:BJ72" si="373">BC17</f>
        <v>0</v>
      </c>
      <c r="BD72" s="956">
        <f t="shared" si="373"/>
        <v>0</v>
      </c>
      <c r="BE72" s="121">
        <f t="shared" si="373"/>
        <v>0</v>
      </c>
      <c r="BF72" s="246">
        <f t="shared" si="373"/>
        <v>0</v>
      </c>
      <c r="BG72" s="956">
        <f t="shared" si="373"/>
        <v>0</v>
      </c>
      <c r="BH72" s="956">
        <f t="shared" si="373"/>
        <v>0</v>
      </c>
      <c r="BI72" s="121">
        <f t="shared" si="373"/>
        <v>0</v>
      </c>
      <c r="BJ72" s="246">
        <f t="shared" si="373"/>
        <v>0</v>
      </c>
      <c r="BK72" s="956">
        <f t="shared" ref="BK72:BN72" si="374">BK17</f>
        <v>0</v>
      </c>
      <c r="BL72" s="956">
        <f t="shared" si="374"/>
        <v>0</v>
      </c>
      <c r="BM72" s="121">
        <f t="shared" si="374"/>
        <v>0</v>
      </c>
      <c r="BN72" s="246">
        <f t="shared" si="374"/>
        <v>0</v>
      </c>
      <c r="BO72" s="84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29"/>
      <c r="CA72" s="97">
        <f t="shared" si="372"/>
        <v>0</v>
      </c>
      <c r="CB72" s="97">
        <f>SUM(AY72:BB72)</f>
        <v>0</v>
      </c>
      <c r="CC72" s="97">
        <f>SUM(BC72:BF72)</f>
        <v>0</v>
      </c>
      <c r="CD72" s="97">
        <f>SUM(BG72:BJ72)</f>
        <v>0</v>
      </c>
      <c r="CE72" s="97">
        <f>SUM(BK72:BN72)</f>
        <v>0</v>
      </c>
      <c r="CF72" s="14"/>
      <c r="CG72" s="82"/>
      <c r="CY72"/>
      <c r="CZ72"/>
      <c r="DA72"/>
      <c r="DB72"/>
      <c r="DC72"/>
      <c r="DD72"/>
    </row>
    <row r="73" spans="2:108" s="5" customFormat="1">
      <c r="B73" s="5" t="s">
        <v>448</v>
      </c>
      <c r="C73" s="32">
        <v>0</v>
      </c>
      <c r="D73" s="30">
        <v>0</v>
      </c>
      <c r="E73" s="30">
        <v>0</v>
      </c>
      <c r="F73" s="33">
        <v>0</v>
      </c>
      <c r="G73" s="30">
        <v>0.255</v>
      </c>
      <c r="H73" s="30">
        <v>0</v>
      </c>
      <c r="I73" s="30">
        <v>0</v>
      </c>
      <c r="J73" s="30">
        <v>0</v>
      </c>
      <c r="K73" s="32">
        <v>0</v>
      </c>
      <c r="L73" s="30">
        <v>0</v>
      </c>
      <c r="M73" s="30">
        <v>0</v>
      </c>
      <c r="N73" s="33">
        <v>0</v>
      </c>
      <c r="O73" s="30">
        <v>0</v>
      </c>
      <c r="P73" s="30">
        <v>0</v>
      </c>
      <c r="Q73" s="30">
        <v>0</v>
      </c>
      <c r="R73" s="30">
        <v>0</v>
      </c>
      <c r="S73" s="32">
        <v>0</v>
      </c>
      <c r="T73" s="30">
        <v>0</v>
      </c>
      <c r="U73" s="30">
        <v>0</v>
      </c>
      <c r="V73" s="33">
        <v>0</v>
      </c>
      <c r="W73" s="30">
        <v>0</v>
      </c>
      <c r="X73" s="30">
        <v>0</v>
      </c>
      <c r="Y73" s="30">
        <v>0</v>
      </c>
      <c r="Z73" s="30">
        <v>0</v>
      </c>
      <c r="AA73" s="32">
        <v>0</v>
      </c>
      <c r="AB73" s="30">
        <v>0</v>
      </c>
      <c r="AC73" s="30">
        <v>0</v>
      </c>
      <c r="AD73" s="33">
        <v>0</v>
      </c>
      <c r="AE73" s="30">
        <v>0</v>
      </c>
      <c r="AF73" s="30">
        <v>0</v>
      </c>
      <c r="AG73" s="30">
        <v>0</v>
      </c>
      <c r="AH73" s="30">
        <v>0</v>
      </c>
      <c r="AI73" s="32">
        <v>0</v>
      </c>
      <c r="AJ73" s="30">
        <v>0</v>
      </c>
      <c r="AK73" s="30">
        <v>0</v>
      </c>
      <c r="AL73" s="33">
        <v>4.5999999999999996</v>
      </c>
      <c r="AM73" s="32">
        <v>6.9009999999999998</v>
      </c>
      <c r="AN73" s="30">
        <v>6.9730000000000008</v>
      </c>
      <c r="AO73" s="30">
        <v>7.01</v>
      </c>
      <c r="AP73" s="33">
        <v>7.0830000000000002</v>
      </c>
      <c r="AQ73" s="30">
        <v>7</v>
      </c>
      <c r="AR73" s="30">
        <v>7</v>
      </c>
      <c r="AS73" s="30">
        <v>8</v>
      </c>
      <c r="AT73" s="33">
        <v>7</v>
      </c>
      <c r="AU73" s="30">
        <v>7</v>
      </c>
      <c r="AV73" s="30">
        <v>6</v>
      </c>
      <c r="AW73" s="30">
        <f>6+15</f>
        <v>21</v>
      </c>
      <c r="AX73" s="33">
        <f>4+6-1</f>
        <v>9</v>
      </c>
      <c r="AY73" s="131">
        <v>16</v>
      </c>
      <c r="AZ73" s="30">
        <v>4</v>
      </c>
      <c r="BA73" s="30">
        <v>1</v>
      </c>
      <c r="BB73" s="455">
        <v>0</v>
      </c>
      <c r="BC73" s="956">
        <v>0</v>
      </c>
      <c r="BD73" s="956">
        <v>0</v>
      </c>
      <c r="BE73" s="121">
        <v>0</v>
      </c>
      <c r="BF73" s="434">
        <v>0</v>
      </c>
      <c r="BG73" s="956">
        <v>0</v>
      </c>
      <c r="BH73" s="956">
        <v>0</v>
      </c>
      <c r="BI73" s="121">
        <v>0</v>
      </c>
      <c r="BJ73" s="434">
        <v>0</v>
      </c>
      <c r="BK73" s="956">
        <v>0</v>
      </c>
      <c r="BL73" s="956">
        <v>0</v>
      </c>
      <c r="BM73" s="121">
        <v>0</v>
      </c>
      <c r="BN73" s="434">
        <v>0</v>
      </c>
      <c r="BO73" s="84"/>
      <c r="BP73" s="59">
        <f>SUM(C73:F73)</f>
        <v>0</v>
      </c>
      <c r="BQ73" s="59">
        <f>SUM(G73:J73)</f>
        <v>0.255</v>
      </c>
      <c r="BR73" s="59">
        <f>SUM(K73:N73)</f>
        <v>0</v>
      </c>
      <c r="BS73" s="59">
        <f>SUM(O73:R73)</f>
        <v>0</v>
      </c>
      <c r="BT73" s="59">
        <f>SUM(S73:V73)</f>
        <v>0</v>
      </c>
      <c r="BU73" s="59">
        <f>SUM(W73:Z73)</f>
        <v>0</v>
      </c>
      <c r="BV73" s="59">
        <f>SUM(AA73:AD73)</f>
        <v>0</v>
      </c>
      <c r="BW73" s="59">
        <f>SUM(AE73:AH73)</f>
        <v>0</v>
      </c>
      <c r="BX73" s="59">
        <f>SUM(AI73:AL73)</f>
        <v>4.5999999999999996</v>
      </c>
      <c r="BY73" s="59">
        <f>SUM(AM73:AP73)</f>
        <v>27.966999999999999</v>
      </c>
      <c r="BZ73" s="29">
        <f>SUM(AQ73:AT73)</f>
        <v>29</v>
      </c>
      <c r="CA73" s="97">
        <f t="shared" si="372"/>
        <v>43</v>
      </c>
      <c r="CB73" s="97">
        <f>SUM(AY73:BB73)</f>
        <v>21</v>
      </c>
      <c r="CC73" s="97">
        <f>SUM(BC73:BF73)</f>
        <v>0</v>
      </c>
      <c r="CD73" s="97">
        <f>SUM(BG73:BJ73)</f>
        <v>0</v>
      </c>
      <c r="CE73" s="97">
        <f>SUM(BK73:BN73)</f>
        <v>0</v>
      </c>
      <c r="CF73" s="14"/>
      <c r="CG73" s="82"/>
      <c r="CY73"/>
      <c r="CZ73"/>
      <c r="DA73"/>
      <c r="DB73"/>
      <c r="DC73"/>
      <c r="DD73"/>
    </row>
    <row r="74" spans="2:108" s="5" customFormat="1">
      <c r="B74" s="249" t="s">
        <v>188</v>
      </c>
      <c r="C74" s="250">
        <f>SUM(C70:C73)</f>
        <v>4.3730000000000002</v>
      </c>
      <c r="D74" s="251">
        <f t="shared" ref="D74:AN74" si="375">SUM(D70:D73)</f>
        <v>5.2190000000000003</v>
      </c>
      <c r="E74" s="251">
        <f t="shared" si="375"/>
        <v>6.1459999999999999</v>
      </c>
      <c r="F74" s="252">
        <f t="shared" si="375"/>
        <v>4.3860000000000019</v>
      </c>
      <c r="G74" s="251">
        <f t="shared" si="375"/>
        <v>8.8180000000000014</v>
      </c>
      <c r="H74" s="251">
        <f t="shared" si="375"/>
        <v>9.41</v>
      </c>
      <c r="I74" s="251">
        <f t="shared" si="375"/>
        <v>10.713999999999999</v>
      </c>
      <c r="J74" s="251">
        <f t="shared" si="375"/>
        <v>13.045000000000002</v>
      </c>
      <c r="K74" s="250">
        <f t="shared" si="375"/>
        <v>12.542999999999999</v>
      </c>
      <c r="L74" s="251">
        <f t="shared" si="375"/>
        <v>16.091000000000001</v>
      </c>
      <c r="M74" s="251">
        <f t="shared" si="375"/>
        <v>18.958000000000002</v>
      </c>
      <c r="N74" s="252">
        <f t="shared" si="375"/>
        <v>17.403000000000009</v>
      </c>
      <c r="O74" s="251">
        <f t="shared" si="375"/>
        <v>10.039000000000001</v>
      </c>
      <c r="P74" s="251">
        <f t="shared" si="375"/>
        <v>8.7919999999999998</v>
      </c>
      <c r="Q74" s="251">
        <f t="shared" si="375"/>
        <v>4.206999999999999</v>
      </c>
      <c r="R74" s="251">
        <f t="shared" si="375"/>
        <v>4.7080000000000055</v>
      </c>
      <c r="S74" s="250">
        <f t="shared" si="375"/>
        <v>6.1439999999999992</v>
      </c>
      <c r="T74" s="251">
        <f t="shared" si="375"/>
        <v>3.0059999999999998</v>
      </c>
      <c r="U74" s="251">
        <f t="shared" si="375"/>
        <v>2.3620000000000001</v>
      </c>
      <c r="V74" s="252">
        <f t="shared" si="375"/>
        <v>5.1389999999999993</v>
      </c>
      <c r="W74" s="251">
        <f t="shared" si="375"/>
        <v>3.3319999999999999</v>
      </c>
      <c r="X74" s="251">
        <f t="shared" si="375"/>
        <v>6.16</v>
      </c>
      <c r="Y74" s="251">
        <f t="shared" si="375"/>
        <v>-0.1980000000000004</v>
      </c>
      <c r="Z74" s="251">
        <f t="shared" si="375"/>
        <v>6.128000000000001</v>
      </c>
      <c r="AA74" s="250">
        <f t="shared" si="375"/>
        <v>1.6229999999999998</v>
      </c>
      <c r="AB74" s="251">
        <f t="shared" si="375"/>
        <v>3.5169999999999999</v>
      </c>
      <c r="AC74" s="251">
        <f t="shared" si="375"/>
        <v>7.6970000000000001</v>
      </c>
      <c r="AD74" s="252">
        <f t="shared" si="375"/>
        <v>2.2599999999999998</v>
      </c>
      <c r="AE74" s="251">
        <f t="shared" si="375"/>
        <v>4.2690000000000001</v>
      </c>
      <c r="AF74" s="251">
        <f t="shared" si="375"/>
        <v>5.585</v>
      </c>
      <c r="AG74" s="251">
        <f t="shared" si="375"/>
        <v>1.4109999999999996</v>
      </c>
      <c r="AH74" s="251">
        <f t="shared" si="375"/>
        <v>2.5350000000000015</v>
      </c>
      <c r="AI74" s="250">
        <f t="shared" si="375"/>
        <v>5.2809999999999997</v>
      </c>
      <c r="AJ74" s="251">
        <f t="shared" si="375"/>
        <v>6.2859999999999996</v>
      </c>
      <c r="AK74" s="251">
        <f t="shared" si="375"/>
        <v>0.49600000000000044</v>
      </c>
      <c r="AL74" s="252">
        <f t="shared" si="375"/>
        <v>3.4899999999999984</v>
      </c>
      <c r="AM74" s="250">
        <f t="shared" si="375"/>
        <v>1.8420000000000023</v>
      </c>
      <c r="AN74" s="251">
        <f t="shared" si="375"/>
        <v>0.91900000000000048</v>
      </c>
      <c r="AO74" s="251">
        <f t="shared" ref="AO74:AT74" si="376">SUM(AO70:AO73)</f>
        <v>2.7649999999999997</v>
      </c>
      <c r="AP74" s="252">
        <f t="shared" si="376"/>
        <v>3.8060000000000009</v>
      </c>
      <c r="AQ74" s="251">
        <f t="shared" si="376"/>
        <v>3</v>
      </c>
      <c r="AR74" s="251">
        <f>SUM(AR70:AR73)</f>
        <v>3</v>
      </c>
      <c r="AS74" s="251">
        <f t="shared" ref="AS74" si="377">SUM(AS70:AS73)</f>
        <v>4</v>
      </c>
      <c r="AT74" s="252">
        <f t="shared" si="376"/>
        <v>11</v>
      </c>
      <c r="AU74" s="251">
        <f t="shared" ref="AU74" si="378">SUM(AU70:AU73)</f>
        <v>0</v>
      </c>
      <c r="AV74" s="251">
        <f>SUM(AV70:AV73)</f>
        <v>6</v>
      </c>
      <c r="AW74" s="251">
        <f t="shared" ref="AW74:AY74" si="379">SUM(AW70:AW73)</f>
        <v>3</v>
      </c>
      <c r="AX74" s="252">
        <f t="shared" si="379"/>
        <v>2</v>
      </c>
      <c r="AY74" s="559">
        <f t="shared" si="379"/>
        <v>-2</v>
      </c>
      <c r="AZ74" s="251">
        <f>SUM(AZ70:AZ73)</f>
        <v>0</v>
      </c>
      <c r="BA74" s="251">
        <f>SUM(BA70:BA73)</f>
        <v>2</v>
      </c>
      <c r="BB74" s="1000">
        <f t="shared" ref="BB74" si="380">SUM(BB70:BB73)</f>
        <v>5</v>
      </c>
      <c r="BC74" s="559">
        <f t="shared" ref="BC74:BJ74" si="381">SUM(BC70:BC73)</f>
        <v>0.37250000000000227</v>
      </c>
      <c r="BD74" s="251">
        <f t="shared" si="381"/>
        <v>0.37250000000000227</v>
      </c>
      <c r="BE74" s="251">
        <f t="shared" si="381"/>
        <v>0.37250000000000227</v>
      </c>
      <c r="BF74" s="252">
        <f t="shared" si="381"/>
        <v>0.37250000000000227</v>
      </c>
      <c r="BG74" s="559">
        <f t="shared" si="381"/>
        <v>0.37250000000000227</v>
      </c>
      <c r="BH74" s="251">
        <f t="shared" si="381"/>
        <v>0.37250000000000227</v>
      </c>
      <c r="BI74" s="251">
        <f t="shared" si="381"/>
        <v>0.37250000000000227</v>
      </c>
      <c r="BJ74" s="252">
        <f t="shared" si="381"/>
        <v>0.37250000000000227</v>
      </c>
      <c r="BK74" s="559">
        <f t="shared" ref="BK74:BN74" si="382">SUM(BK70:BK73)</f>
        <v>9.1785144244480286</v>
      </c>
      <c r="BL74" s="251">
        <f t="shared" si="382"/>
        <v>12.373294813218699</v>
      </c>
      <c r="BM74" s="251">
        <f t="shared" si="382"/>
        <v>15.213045813690762</v>
      </c>
      <c r="BN74" s="252">
        <f t="shared" si="382"/>
        <v>18.56298395965117</v>
      </c>
      <c r="BO74" s="85"/>
      <c r="BP74" s="251">
        <f t="shared" ref="BP74:BX74" si="383">SUM(BP70:BP73)</f>
        <v>20.124000000000002</v>
      </c>
      <c r="BQ74" s="251">
        <f t="shared" si="383"/>
        <v>41.987000000000002</v>
      </c>
      <c r="BR74" s="251">
        <f t="shared" si="383"/>
        <v>64.995000000000005</v>
      </c>
      <c r="BS74" s="251">
        <f t="shared" si="383"/>
        <v>27.746000000000009</v>
      </c>
      <c r="BT74" s="251">
        <f t="shared" si="383"/>
        <v>16.650999999999996</v>
      </c>
      <c r="BU74" s="251">
        <f t="shared" si="383"/>
        <v>15.422000000000001</v>
      </c>
      <c r="BV74" s="251">
        <f t="shared" si="383"/>
        <v>15.097</v>
      </c>
      <c r="BW74" s="251">
        <f t="shared" si="383"/>
        <v>13.8</v>
      </c>
      <c r="BX74" s="251">
        <f t="shared" si="383"/>
        <v>15.552999999999999</v>
      </c>
      <c r="BY74" s="251">
        <f t="shared" ref="BY74:CA74" si="384">SUM(BY70:BY73)</f>
        <v>9.3320000000000007</v>
      </c>
      <c r="BZ74" s="251">
        <f t="shared" si="384"/>
        <v>21</v>
      </c>
      <c r="CA74" s="251">
        <f t="shared" si="384"/>
        <v>11</v>
      </c>
      <c r="CB74" s="251">
        <f t="shared" ref="CB74:CC74" si="385">SUM(CB70:CB73)</f>
        <v>5</v>
      </c>
      <c r="CC74" s="251">
        <f t="shared" si="385"/>
        <v>1.4900000000000091</v>
      </c>
      <c r="CD74" s="251">
        <f t="shared" ref="CD74:CE74" si="386">SUM(CD70:CD73)</f>
        <v>1.4900000000000091</v>
      </c>
      <c r="CE74" s="251">
        <f t="shared" si="386"/>
        <v>55.327839011008656</v>
      </c>
      <c r="CF74" s="14"/>
      <c r="CG74" s="82"/>
      <c r="CY74"/>
      <c r="CZ74"/>
      <c r="DA74"/>
      <c r="DB74"/>
      <c r="DC74"/>
      <c r="DD74"/>
    </row>
    <row r="75" spans="2:108" s="5" customFormat="1">
      <c r="B75" s="9"/>
      <c r="C75" s="229"/>
      <c r="D75" s="60"/>
      <c r="E75" s="60"/>
      <c r="F75" s="230"/>
      <c r="G75" s="60"/>
      <c r="H75" s="60"/>
      <c r="I75" s="60"/>
      <c r="J75" s="60"/>
      <c r="K75" s="229"/>
      <c r="L75" s="60"/>
      <c r="M75" s="60"/>
      <c r="N75" s="230"/>
      <c r="O75" s="60"/>
      <c r="P75" s="60"/>
      <c r="Q75" s="60"/>
      <c r="R75" s="60"/>
      <c r="S75" s="229"/>
      <c r="T75" s="60"/>
      <c r="U75" s="60"/>
      <c r="V75" s="230"/>
      <c r="W75" s="60"/>
      <c r="X75" s="60"/>
      <c r="Y75" s="60"/>
      <c r="Z75" s="60"/>
      <c r="AA75" s="229"/>
      <c r="AB75" s="60"/>
      <c r="AC75" s="60"/>
      <c r="AD75" s="230"/>
      <c r="AE75" s="60"/>
      <c r="AF75" s="60"/>
      <c r="AG75" s="60"/>
      <c r="AH75" s="60"/>
      <c r="AI75" s="229"/>
      <c r="AJ75" s="60"/>
      <c r="AK75" s="60"/>
      <c r="AL75" s="230"/>
      <c r="AM75" s="229"/>
      <c r="AN75" s="60"/>
      <c r="AO75" s="60"/>
      <c r="AP75" s="230"/>
      <c r="AQ75" s="60"/>
      <c r="AR75" s="60"/>
      <c r="AS75" s="60"/>
      <c r="AT75" s="230"/>
      <c r="AU75" s="60"/>
      <c r="AV75" s="60">
        <f>+AV76+AV77</f>
        <v>324</v>
      </c>
      <c r="AW75" s="60"/>
      <c r="AX75" s="230"/>
      <c r="AY75" s="867"/>
      <c r="AZ75" s="60"/>
      <c r="BA75" s="60"/>
      <c r="BB75" s="999"/>
      <c r="BC75" s="867"/>
      <c r="BD75" s="60"/>
      <c r="BE75" s="60"/>
      <c r="BF75" s="230"/>
      <c r="BG75" s="867"/>
      <c r="BH75" s="60"/>
      <c r="BI75" s="60"/>
      <c r="BJ75" s="230"/>
      <c r="BK75" s="867"/>
      <c r="BL75" s="60"/>
      <c r="BM75" s="60"/>
      <c r="BN75" s="230"/>
      <c r="BO75" s="84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14"/>
      <c r="CY75"/>
      <c r="CZ75"/>
      <c r="DA75"/>
      <c r="DB75"/>
      <c r="DC75"/>
      <c r="DD75"/>
    </row>
    <row r="76" spans="2:108" s="5" customFormat="1">
      <c r="B76" s="5" t="s">
        <v>189</v>
      </c>
      <c r="C76" s="23">
        <f t="shared" ref="C76:AT76" si="387">C33</f>
        <v>64.444000000000017</v>
      </c>
      <c r="D76" s="14">
        <f t="shared" si="387"/>
        <v>73.833000000000013</v>
      </c>
      <c r="E76" s="14">
        <f t="shared" si="387"/>
        <v>64.446999999999946</v>
      </c>
      <c r="F76" s="24">
        <f t="shared" si="387"/>
        <v>98.452000000000112</v>
      </c>
      <c r="G76" s="14">
        <f t="shared" si="387"/>
        <v>90.676000000000002</v>
      </c>
      <c r="H76" s="14">
        <f t="shared" si="387"/>
        <v>87.456999999999965</v>
      </c>
      <c r="I76" s="14">
        <f t="shared" si="387"/>
        <v>106.511</v>
      </c>
      <c r="J76" s="14">
        <f t="shared" si="387"/>
        <v>164.21000000000015</v>
      </c>
      <c r="K76" s="23">
        <f t="shared" si="387"/>
        <v>132.25899999999999</v>
      </c>
      <c r="L76" s="14">
        <f t="shared" si="387"/>
        <v>172.73200000000003</v>
      </c>
      <c r="M76" s="14">
        <f t="shared" si="387"/>
        <v>235.66100000000003</v>
      </c>
      <c r="N76" s="24">
        <f t="shared" si="387"/>
        <v>256.99299999999982</v>
      </c>
      <c r="O76" s="14">
        <f t="shared" si="387"/>
        <v>176.80499999999992</v>
      </c>
      <c r="P76" s="14">
        <f t="shared" si="387"/>
        <v>-120.92899999999995</v>
      </c>
      <c r="Q76" s="14">
        <f t="shared" si="387"/>
        <v>61.747999999999934</v>
      </c>
      <c r="R76" s="14">
        <f t="shared" si="387"/>
        <v>-147.66500000000042</v>
      </c>
      <c r="S76" s="23">
        <f t="shared" si="387"/>
        <v>-201.33800000000008</v>
      </c>
      <c r="T76" s="14">
        <f t="shared" si="387"/>
        <v>-105.30200000000002</v>
      </c>
      <c r="U76" s="14">
        <f t="shared" si="387"/>
        <v>107.57700000000003</v>
      </c>
      <c r="V76" s="24">
        <f t="shared" si="387"/>
        <v>131.07600000000028</v>
      </c>
      <c r="W76" s="14">
        <f t="shared" si="387"/>
        <v>137.59399999999997</v>
      </c>
      <c r="X76" s="14">
        <f t="shared" si="387"/>
        <v>-140.96100000000013</v>
      </c>
      <c r="Y76" s="14">
        <f t="shared" si="387"/>
        <v>84.862000000000009</v>
      </c>
      <c r="Z76" s="14">
        <f t="shared" si="387"/>
        <v>171.65099999999975</v>
      </c>
      <c r="AA76" s="23">
        <f t="shared" si="387"/>
        <v>135.21899999999997</v>
      </c>
      <c r="AB76" s="14">
        <f t="shared" si="387"/>
        <v>151.57300000000009</v>
      </c>
      <c r="AC76" s="14">
        <f t="shared" si="387"/>
        <v>178.27300000000008</v>
      </c>
      <c r="AD76" s="24">
        <f t="shared" si="387"/>
        <v>116.02499999999995</v>
      </c>
      <c r="AE76" s="14">
        <f t="shared" si="387"/>
        <v>60.436999999999969</v>
      </c>
      <c r="AF76" s="14">
        <f t="shared" si="387"/>
        <v>119.04600000000005</v>
      </c>
      <c r="AG76" s="14">
        <f t="shared" si="387"/>
        <v>209.07999999999987</v>
      </c>
      <c r="AH76" s="14">
        <f t="shared" si="387"/>
        <v>173.97300000000021</v>
      </c>
      <c r="AI76" s="23">
        <f t="shared" si="387"/>
        <v>77.890999999999963</v>
      </c>
      <c r="AJ76" s="90">
        <f t="shared" si="387"/>
        <v>96.447999999999993</v>
      </c>
      <c r="AK76" s="14">
        <f t="shared" si="387"/>
        <v>118.73400000000012</v>
      </c>
      <c r="AL76" s="24">
        <f t="shared" si="387"/>
        <v>146.91700000000054</v>
      </c>
      <c r="AM76" s="23">
        <f t="shared" si="387"/>
        <v>136.51600000000005</v>
      </c>
      <c r="AN76" s="14">
        <f t="shared" si="387"/>
        <v>127.97600000000003</v>
      </c>
      <c r="AO76" s="14">
        <f t="shared" si="387"/>
        <v>172.9670000000001</v>
      </c>
      <c r="AP76" s="24">
        <f t="shared" si="387"/>
        <v>193.12799999999999</v>
      </c>
      <c r="AQ76" s="14">
        <f t="shared" si="387"/>
        <v>134</v>
      </c>
      <c r="AR76" s="14">
        <f t="shared" si="387"/>
        <v>26</v>
      </c>
      <c r="AS76" s="14">
        <f t="shared" ref="AS76" si="388">AS33</f>
        <v>246</v>
      </c>
      <c r="AT76" s="24">
        <f t="shared" si="387"/>
        <v>208</v>
      </c>
      <c r="AU76" s="14">
        <f t="shared" ref="AU76" si="389">AU33</f>
        <v>196</v>
      </c>
      <c r="AV76" s="14">
        <f>AV33</f>
        <v>253</v>
      </c>
      <c r="AW76" s="14">
        <f t="shared" ref="AW76:AY76" si="390">AW33</f>
        <v>542</v>
      </c>
      <c r="AX76" s="24">
        <f t="shared" si="390"/>
        <v>655</v>
      </c>
      <c r="AY76" s="90">
        <f t="shared" si="390"/>
        <v>507</v>
      </c>
      <c r="AZ76" s="847">
        <f>AZ33</f>
        <v>583</v>
      </c>
      <c r="BA76" s="980">
        <f>BA33</f>
        <v>838</v>
      </c>
      <c r="BB76" s="482">
        <f t="shared" ref="BB76" si="391">BB33</f>
        <v>1118</v>
      </c>
      <c r="BC76" s="90">
        <f t="shared" ref="BC76:BJ76" si="392">BC33</f>
        <v>938.07196128806811</v>
      </c>
      <c r="BD76" s="926">
        <f t="shared" si="392"/>
        <v>1031.6988656841643</v>
      </c>
      <c r="BE76" s="926">
        <f t="shared" si="392"/>
        <v>1133.1172332314522</v>
      </c>
      <c r="BF76" s="24">
        <f t="shared" si="392"/>
        <v>1178.9903285288144</v>
      </c>
      <c r="BG76" s="90">
        <f t="shared" si="392"/>
        <v>1033.7899217985341</v>
      </c>
      <c r="BH76" s="926">
        <f t="shared" si="392"/>
        <v>1230.7114586915891</v>
      </c>
      <c r="BI76" s="926">
        <f t="shared" si="392"/>
        <v>1373.65236622313</v>
      </c>
      <c r="BJ76" s="24">
        <f t="shared" si="392"/>
        <v>1398.0048846529539</v>
      </c>
      <c r="BK76" s="90">
        <f t="shared" ref="BK76:BN76" si="393">BK33</f>
        <v>1259.2101730345139</v>
      </c>
      <c r="BL76" s="926">
        <f t="shared" si="393"/>
        <v>1494.927572821719</v>
      </c>
      <c r="BM76" s="926">
        <f t="shared" si="393"/>
        <v>1649.5288136873198</v>
      </c>
      <c r="BN76" s="24">
        <f t="shared" si="393"/>
        <v>1698.1794813458077</v>
      </c>
      <c r="BO76" s="84"/>
      <c r="BP76" s="59">
        <f>SUM(C76:F76)</f>
        <v>301.1760000000001</v>
      </c>
      <c r="BQ76" s="59">
        <f>SUM(G76:J76)</f>
        <v>448.85400000000016</v>
      </c>
      <c r="BR76" s="59">
        <f>SUM(K76:N76)</f>
        <v>797.64499999999987</v>
      </c>
      <c r="BS76" s="59">
        <f>SUM(O76:R76)</f>
        <v>-30.041000000000508</v>
      </c>
      <c r="BT76" s="59">
        <f>SUM(S76:V76)</f>
        <v>-67.986999999999796</v>
      </c>
      <c r="BU76" s="59">
        <f>SUM(W76:Z76)</f>
        <v>253.14599999999962</v>
      </c>
      <c r="BV76" s="59">
        <f>SUM(AA76:AD76)</f>
        <v>581.09</v>
      </c>
      <c r="BW76" s="59">
        <f>SUM(AE76:AH76)</f>
        <v>562.53600000000006</v>
      </c>
      <c r="BX76" s="59">
        <f>SUM(AI76:AL76)</f>
        <v>439.99000000000063</v>
      </c>
      <c r="BY76" s="59">
        <f>SUM(AM76:AP76)</f>
        <v>630.58700000000022</v>
      </c>
      <c r="BZ76" s="14">
        <f>SUM(AQ76:AT76)</f>
        <v>614</v>
      </c>
      <c r="CA76" s="184">
        <f t="shared" ref="CA76:CA78" si="394">SUM(AU76:AX76)</f>
        <v>1646</v>
      </c>
      <c r="CB76" s="184">
        <f>SUM(AY76:BB76)</f>
        <v>3046</v>
      </c>
      <c r="CC76" s="184">
        <f>SUM(BC76:BF76)</f>
        <v>4281.8783887324989</v>
      </c>
      <c r="CD76" s="184">
        <f>SUM(BG76:BJ76)</f>
        <v>5036.1586313662065</v>
      </c>
      <c r="CE76" s="184">
        <f>SUM(BK76:BN76)</f>
        <v>6101.8460408893607</v>
      </c>
      <c r="CF76" s="623"/>
      <c r="CG76" s="82"/>
      <c r="CY76"/>
      <c r="CZ76"/>
      <c r="DA76"/>
      <c r="DB76"/>
      <c r="DC76"/>
      <c r="DD76"/>
    </row>
    <row r="77" spans="2:108" s="5" customFormat="1">
      <c r="B77" s="5" t="s">
        <v>210</v>
      </c>
      <c r="C77" s="23">
        <f t="shared" ref="C77:AL77" si="395">C65+C67+C71+C73-C59+C66-C60</f>
        <v>0</v>
      </c>
      <c r="D77" s="14">
        <f t="shared" si="395"/>
        <v>0</v>
      </c>
      <c r="E77" s="14">
        <f t="shared" si="395"/>
        <v>0</v>
      </c>
      <c r="F77" s="24">
        <f t="shared" si="395"/>
        <v>0</v>
      </c>
      <c r="G77" s="14">
        <f t="shared" si="395"/>
        <v>22.48</v>
      </c>
      <c r="H77" s="14">
        <f t="shared" si="395"/>
        <v>28.866</v>
      </c>
      <c r="I77" s="14">
        <f t="shared" si="395"/>
        <v>47.734999999999999</v>
      </c>
      <c r="J77" s="14">
        <f t="shared" si="395"/>
        <v>33.908999999999999</v>
      </c>
      <c r="K77" s="23">
        <f t="shared" si="395"/>
        <v>37.404999999999994</v>
      </c>
      <c r="L77" s="14">
        <f t="shared" si="395"/>
        <v>29.46</v>
      </c>
      <c r="M77" s="14">
        <f t="shared" si="395"/>
        <v>32.003</v>
      </c>
      <c r="N77" s="24">
        <f t="shared" si="395"/>
        <v>34.497</v>
      </c>
      <c r="O77" s="14">
        <f t="shared" si="395"/>
        <v>42.124000000000002</v>
      </c>
      <c r="P77" s="14">
        <f t="shared" si="395"/>
        <v>236.31900000000002</v>
      </c>
      <c r="Q77" s="14">
        <f t="shared" si="395"/>
        <v>8.0579999999999998</v>
      </c>
      <c r="R77" s="14">
        <f t="shared" si="395"/>
        <v>-6.665</v>
      </c>
      <c r="S77" s="23">
        <f t="shared" si="395"/>
        <v>174.35400000000001</v>
      </c>
      <c r="T77" s="14">
        <f t="shared" si="395"/>
        <v>119.99299999999999</v>
      </c>
      <c r="U77" s="14">
        <f t="shared" si="395"/>
        <v>-24.114999999999998</v>
      </c>
      <c r="V77" s="24">
        <f t="shared" si="395"/>
        <v>0</v>
      </c>
      <c r="W77" s="14">
        <f t="shared" si="395"/>
        <v>25.177000000000003</v>
      </c>
      <c r="X77" s="14">
        <f t="shared" si="395"/>
        <v>205.82400000000001</v>
      </c>
      <c r="Y77" s="14">
        <f t="shared" si="395"/>
        <v>25.179000000000002</v>
      </c>
      <c r="Z77" s="14">
        <f t="shared" si="395"/>
        <v>25.366</v>
      </c>
      <c r="AA77" s="23">
        <f t="shared" si="395"/>
        <v>31.739000000000001</v>
      </c>
      <c r="AB77" s="14">
        <f t="shared" si="395"/>
        <v>35.949999999999996</v>
      </c>
      <c r="AC77" s="14">
        <f t="shared" si="395"/>
        <v>33.228999999999999</v>
      </c>
      <c r="AD77" s="24">
        <f t="shared" si="395"/>
        <v>42.736000000000004</v>
      </c>
      <c r="AE77" s="14">
        <f t="shared" si="395"/>
        <v>45.081999999999994</v>
      </c>
      <c r="AF77" s="14">
        <f t="shared" si="395"/>
        <v>61.241</v>
      </c>
      <c r="AG77" s="14">
        <f t="shared" si="395"/>
        <v>42.136999999999993</v>
      </c>
      <c r="AH77" s="14">
        <f t="shared" si="395"/>
        <v>44.467000000000006</v>
      </c>
      <c r="AI77" s="23">
        <f t="shared" si="395"/>
        <v>42.258000000000003</v>
      </c>
      <c r="AJ77" s="14">
        <f t="shared" si="395"/>
        <v>43.649000000000001</v>
      </c>
      <c r="AK77" s="14">
        <f t="shared" si="395"/>
        <v>41.111000000000004</v>
      </c>
      <c r="AL77" s="24">
        <f t="shared" si="395"/>
        <v>42.493000000000002</v>
      </c>
      <c r="AM77" s="23">
        <f t="shared" ref="AM77:AQ77" si="396">AM65+AM67+AM71+AM73-AM59+AM66-AM60</f>
        <v>34.881000000000007</v>
      </c>
      <c r="AN77" s="14">
        <f t="shared" si="396"/>
        <v>57.061</v>
      </c>
      <c r="AO77" s="14">
        <f t="shared" si="396"/>
        <v>58.016999999999996</v>
      </c>
      <c r="AP77" s="24">
        <f t="shared" si="396"/>
        <v>58.721999999999994</v>
      </c>
      <c r="AQ77" s="14">
        <f t="shared" si="396"/>
        <v>61</v>
      </c>
      <c r="AR77" s="14">
        <f>AR65+AR67+AR71+AR73-AR59+AR66-AR60</f>
        <v>162</v>
      </c>
      <c r="AS77" s="14">
        <f t="shared" ref="AS77:AU77" si="397">AS65+AS67+AS71+AS73-AS59+AS66-AS60</f>
        <v>67</v>
      </c>
      <c r="AT77" s="24">
        <f>AT65+AT67+AT71+AT73-AT59+AT66-AT60</f>
        <v>111</v>
      </c>
      <c r="AU77" s="14">
        <f t="shared" si="397"/>
        <v>81</v>
      </c>
      <c r="AV77" s="14">
        <f>AV65+AV67+AV71+AV73-AV59+AV66-AV60</f>
        <v>71</v>
      </c>
      <c r="AW77" s="14">
        <f t="shared" ref="AW77" si="398">AW65+AW67+AW71+AW73-AW59+AW66-AW60</f>
        <v>90</v>
      </c>
      <c r="AX77" s="24">
        <f>AX65+AX67+AX71+AX73-AX59+AX66-AX60</f>
        <v>85</v>
      </c>
      <c r="AY77" s="90">
        <f t="shared" ref="AY77" si="399">AY65+AY67+AY71+AY73-AY59+AY66-AY60</f>
        <v>99</v>
      </c>
      <c r="AZ77" s="847">
        <f>AZ65+AZ67+AZ71+AZ73-AZ59+AZ66-AZ60</f>
        <v>89</v>
      </c>
      <c r="BA77" s="980">
        <f>BA65+BA67+BA71+BA73-BA59+BA66-BA60</f>
        <v>111</v>
      </c>
      <c r="BB77" s="482">
        <f>BB65+BB67+BB71+BB73-BB59+BB66-BB60</f>
        <v>129</v>
      </c>
      <c r="BC77" s="90">
        <f t="shared" ref="BC77:BJ77" si="400">BC65+BC67+BC71+BC73-BC59+BC66-BC60</f>
        <v>132</v>
      </c>
      <c r="BD77" s="926">
        <f t="shared" si="400"/>
        <v>132</v>
      </c>
      <c r="BE77" s="90">
        <f t="shared" si="400"/>
        <v>132</v>
      </c>
      <c r="BF77" s="90">
        <f t="shared" si="400"/>
        <v>132</v>
      </c>
      <c r="BG77" s="90">
        <f t="shared" si="400"/>
        <v>132</v>
      </c>
      <c r="BH77" s="926">
        <f t="shared" si="400"/>
        <v>132</v>
      </c>
      <c r="BI77" s="90">
        <f t="shared" si="400"/>
        <v>132</v>
      </c>
      <c r="BJ77" s="90">
        <f t="shared" si="400"/>
        <v>132</v>
      </c>
      <c r="BK77" s="90">
        <f t="shared" ref="BK77:BN77" si="401">BK65+BK67+BK71+BK73-BK59+BK66-BK60</f>
        <v>132</v>
      </c>
      <c r="BL77" s="926">
        <f t="shared" si="401"/>
        <v>132</v>
      </c>
      <c r="BM77" s="90">
        <f t="shared" si="401"/>
        <v>132</v>
      </c>
      <c r="BN77" s="482">
        <f t="shared" si="401"/>
        <v>132</v>
      </c>
      <c r="BO77" s="84"/>
      <c r="BP77" s="59">
        <f>SUM(C77:F77)</f>
        <v>0</v>
      </c>
      <c r="BQ77" s="59">
        <f>SUM(G77:J77)</f>
        <v>132.99</v>
      </c>
      <c r="BR77" s="59">
        <f>SUM(K77:N77)</f>
        <v>133.36500000000001</v>
      </c>
      <c r="BS77" s="59">
        <f>SUM(O77:R77)</f>
        <v>279.83600000000001</v>
      </c>
      <c r="BT77" s="59">
        <f>SUM(S77:V77)</f>
        <v>270.23199999999997</v>
      </c>
      <c r="BU77" s="59">
        <f>SUM(W77:Z77)</f>
        <v>281.54599999999999</v>
      </c>
      <c r="BV77" s="59">
        <f>SUM(AA77:AD77)</f>
        <v>143.654</v>
      </c>
      <c r="BW77" s="59">
        <f>SUM(AE77:AH77)</f>
        <v>192.92699999999999</v>
      </c>
      <c r="BX77" s="59">
        <f>SUM(AI77:AL77)</f>
        <v>169.51100000000002</v>
      </c>
      <c r="BY77" s="59">
        <f>SUM(AM77:AP77)</f>
        <v>208.68099999999998</v>
      </c>
      <c r="BZ77" s="14">
        <f>SUM(AQ77:AT77)</f>
        <v>401</v>
      </c>
      <c r="CA77" s="184">
        <f t="shared" si="394"/>
        <v>327</v>
      </c>
      <c r="CB77" s="184">
        <f>SUM(AY77:BB77)</f>
        <v>428</v>
      </c>
      <c r="CC77" s="184">
        <f>SUM(BC77:BF77)</f>
        <v>528</v>
      </c>
      <c r="CD77" s="184">
        <f>SUM(BG77:BJ77)</f>
        <v>528</v>
      </c>
      <c r="CE77" s="184">
        <f>SUM(BK77:BN77)</f>
        <v>528</v>
      </c>
      <c r="CF77" s="14"/>
      <c r="CG77" s="82"/>
      <c r="CY77"/>
      <c r="CZ77"/>
      <c r="DA77"/>
      <c r="DB77"/>
      <c r="DC77"/>
      <c r="DD77"/>
    </row>
    <row r="78" spans="2:108" s="5" customFormat="1">
      <c r="B78" s="5" t="s">
        <v>211</v>
      </c>
      <c r="C78" s="32">
        <v>0</v>
      </c>
      <c r="D78" s="30">
        <v>0</v>
      </c>
      <c r="E78" s="30">
        <v>0</v>
      </c>
      <c r="F78" s="33">
        <v>0</v>
      </c>
      <c r="G78" s="30">
        <v>-2.456</v>
      </c>
      <c r="H78" s="30">
        <v>-3.573</v>
      </c>
      <c r="I78" s="30">
        <v>-6.5940000000000003</v>
      </c>
      <c r="J78" s="30">
        <v>-5.2389999999999999</v>
      </c>
      <c r="K78" s="32">
        <v>-5.2370000000000001</v>
      </c>
      <c r="L78" s="30">
        <v>-4.125</v>
      </c>
      <c r="M78" s="30">
        <v>-3.4910000000000001</v>
      </c>
      <c r="N78" s="33">
        <v>-2.9020000000000001</v>
      </c>
      <c r="O78" s="30">
        <v>-7.1609999999999996</v>
      </c>
      <c r="P78" s="30">
        <v>-40.923000000000002</v>
      </c>
      <c r="Q78" s="30">
        <v>-1.54</v>
      </c>
      <c r="R78" s="30">
        <v>-8.1319999999999997</v>
      </c>
      <c r="S78" s="32">
        <v>-19.690000000000001</v>
      </c>
      <c r="T78" s="30">
        <v>-3.08</v>
      </c>
      <c r="U78" s="30">
        <v>-5.0720000000000001</v>
      </c>
      <c r="V78" s="33">
        <v>0</v>
      </c>
      <c r="W78" s="30">
        <v>3.9</v>
      </c>
      <c r="X78" s="30">
        <v>-32.216999999999999</v>
      </c>
      <c r="Y78" s="30">
        <v>5.0339999999999998</v>
      </c>
      <c r="Z78" s="30">
        <v>0.11700000000000001</v>
      </c>
      <c r="AA78" s="32">
        <v>-4.7960000000000003</v>
      </c>
      <c r="AB78" s="30">
        <v>-5.9939999999999998</v>
      </c>
      <c r="AC78" s="30">
        <v>-6.3019999999999996</v>
      </c>
      <c r="AD78" s="33">
        <v>-10.718</v>
      </c>
      <c r="AE78" s="30">
        <v>-4.7960000000000003</v>
      </c>
      <c r="AF78" s="30">
        <v>-9.8390000000000004</v>
      </c>
      <c r="AG78" s="30">
        <v>-5.7549999999999999</v>
      </c>
      <c r="AH78" s="30">
        <v>-3.5070000000000001</v>
      </c>
      <c r="AI78" s="32">
        <v>-6.3479999999999999</v>
      </c>
      <c r="AJ78" s="30">
        <v>-6.7670000000000003</v>
      </c>
      <c r="AK78" s="30">
        <v>-6.0549999999999997</v>
      </c>
      <c r="AL78" s="33">
        <v>-1.9239999999999999</v>
      </c>
      <c r="AM78" s="32">
        <v>-5.3419999999999996</v>
      </c>
      <c r="AN78" s="30">
        <v>-11.606</v>
      </c>
      <c r="AO78" s="30">
        <v>-10.548999999999999</v>
      </c>
      <c r="AP78" s="33">
        <v>-10.782999999999999</v>
      </c>
      <c r="AQ78" s="30">
        <v>-10</v>
      </c>
      <c r="AR78" s="30">
        <v>2</v>
      </c>
      <c r="AS78" s="30">
        <v>-57</v>
      </c>
      <c r="AT78" s="33">
        <v>-21</v>
      </c>
      <c r="AU78" s="30">
        <v>-14</v>
      </c>
      <c r="AV78" s="30">
        <v>-12</v>
      </c>
      <c r="AW78" s="30">
        <v>-62</v>
      </c>
      <c r="AX78" s="33">
        <v>-36</v>
      </c>
      <c r="AY78" s="131">
        <v>-73</v>
      </c>
      <c r="AZ78" s="30">
        <v>-34</v>
      </c>
      <c r="BA78" s="30">
        <v>-116</v>
      </c>
      <c r="BB78" s="455">
        <v>-166</v>
      </c>
      <c r="BC78" s="131">
        <f t="shared" ref="BC78:BJ78" si="402">-BC77*0.17</f>
        <v>-22.44</v>
      </c>
      <c r="BD78" s="30">
        <f t="shared" si="402"/>
        <v>-22.44</v>
      </c>
      <c r="BE78" s="30">
        <f t="shared" si="402"/>
        <v>-22.44</v>
      </c>
      <c r="BF78" s="30">
        <f t="shared" si="402"/>
        <v>-22.44</v>
      </c>
      <c r="BG78" s="131">
        <f t="shared" si="402"/>
        <v>-22.44</v>
      </c>
      <c r="BH78" s="30">
        <f t="shared" si="402"/>
        <v>-22.44</v>
      </c>
      <c r="BI78" s="30">
        <f t="shared" si="402"/>
        <v>-22.44</v>
      </c>
      <c r="BJ78" s="30">
        <f t="shared" si="402"/>
        <v>-22.44</v>
      </c>
      <c r="BK78" s="131">
        <f t="shared" ref="BK78:BN78" si="403">-BK77*0.17</f>
        <v>-22.44</v>
      </c>
      <c r="BL78" s="30">
        <f t="shared" si="403"/>
        <v>-22.44</v>
      </c>
      <c r="BM78" s="30">
        <f t="shared" si="403"/>
        <v>-22.44</v>
      </c>
      <c r="BN78" s="988">
        <f t="shared" si="403"/>
        <v>-22.44</v>
      </c>
      <c r="BO78" s="84"/>
      <c r="BP78" s="59">
        <f>SUM(C78:F78)</f>
        <v>0</v>
      </c>
      <c r="BQ78" s="59">
        <f>SUM(G78:J78)</f>
        <v>-17.862000000000002</v>
      </c>
      <c r="BR78" s="59">
        <f>SUM(K78:N78)</f>
        <v>-15.754999999999999</v>
      </c>
      <c r="BS78" s="59">
        <f>SUM(O78:R78)</f>
        <v>-57.756</v>
      </c>
      <c r="BT78" s="59">
        <f>SUM(S78:V78)</f>
        <v>-27.842000000000002</v>
      </c>
      <c r="BU78" s="59">
        <f>SUM(W78:Z78)</f>
        <v>-23.166</v>
      </c>
      <c r="BV78" s="59">
        <f>SUM(AA78:AD78)</f>
        <v>-27.81</v>
      </c>
      <c r="BW78" s="59">
        <f>SUM(AE78:AH78)</f>
        <v>-23.897000000000002</v>
      </c>
      <c r="BX78" s="59">
        <f>SUM(AI78:AL78)</f>
        <v>-21.094000000000001</v>
      </c>
      <c r="BY78" s="59">
        <f>SUM(AM78:AP78)</f>
        <v>-38.28</v>
      </c>
      <c r="BZ78" s="59">
        <f>SUM(AQ78:AT78)</f>
        <v>-86</v>
      </c>
      <c r="CA78" s="174">
        <f t="shared" si="394"/>
        <v>-124</v>
      </c>
      <c r="CB78" s="174">
        <f>SUM(AY78:BB78)</f>
        <v>-389</v>
      </c>
      <c r="CC78" s="174">
        <f>SUM(BC78:BF78)</f>
        <v>-89.76</v>
      </c>
      <c r="CD78" s="174">
        <f>SUM(BG78:BJ78)</f>
        <v>-89.76</v>
      </c>
      <c r="CE78" s="174">
        <f>SUM(BK78:BN78)</f>
        <v>-89.76</v>
      </c>
      <c r="CF78" s="14"/>
      <c r="CG78" s="82"/>
      <c r="CY78"/>
      <c r="CZ78"/>
      <c r="DA78"/>
      <c r="DB78"/>
      <c r="DC78"/>
      <c r="DD78"/>
    </row>
    <row r="79" spans="2:108" s="5" customFormat="1">
      <c r="B79" s="249" t="s">
        <v>194</v>
      </c>
      <c r="C79" s="259">
        <f>SUM(C76:C78)</f>
        <v>64.444000000000017</v>
      </c>
      <c r="D79" s="260">
        <f t="shared" ref="D79:AN79" si="404">SUM(D76:D78)</f>
        <v>73.833000000000013</v>
      </c>
      <c r="E79" s="260">
        <f t="shared" si="404"/>
        <v>64.446999999999946</v>
      </c>
      <c r="F79" s="261">
        <f t="shared" si="404"/>
        <v>98.452000000000112</v>
      </c>
      <c r="G79" s="260">
        <f t="shared" si="404"/>
        <v>110.7</v>
      </c>
      <c r="H79" s="260">
        <f t="shared" si="404"/>
        <v>112.74999999999997</v>
      </c>
      <c r="I79" s="260">
        <f t="shared" si="404"/>
        <v>147.65199999999999</v>
      </c>
      <c r="J79" s="260">
        <f t="shared" si="404"/>
        <v>192.88000000000014</v>
      </c>
      <c r="K79" s="259">
        <f t="shared" si="404"/>
        <v>164.42699999999999</v>
      </c>
      <c r="L79" s="260">
        <f t="shared" si="404"/>
        <v>198.06700000000004</v>
      </c>
      <c r="M79" s="260">
        <f t="shared" si="404"/>
        <v>264.17300000000006</v>
      </c>
      <c r="N79" s="261">
        <f t="shared" si="404"/>
        <v>288.58799999999985</v>
      </c>
      <c r="O79" s="260">
        <f t="shared" si="404"/>
        <v>211.76799999999992</v>
      </c>
      <c r="P79" s="260">
        <f t="shared" si="404"/>
        <v>74.46700000000007</v>
      </c>
      <c r="Q79" s="260">
        <f t="shared" si="404"/>
        <v>68.26599999999992</v>
      </c>
      <c r="R79" s="260">
        <f t="shared" si="404"/>
        <v>-162.46200000000042</v>
      </c>
      <c r="S79" s="259">
        <f t="shared" si="404"/>
        <v>-46.674000000000063</v>
      </c>
      <c r="T79" s="260">
        <f t="shared" si="404"/>
        <v>11.610999999999974</v>
      </c>
      <c r="U79" s="260">
        <f t="shared" si="404"/>
        <v>78.390000000000029</v>
      </c>
      <c r="V79" s="261">
        <f t="shared" si="404"/>
        <v>131.07600000000028</v>
      </c>
      <c r="W79" s="260">
        <f t="shared" si="404"/>
        <v>166.67099999999996</v>
      </c>
      <c r="X79" s="260">
        <f t="shared" si="404"/>
        <v>32.645999999999887</v>
      </c>
      <c r="Y79" s="260">
        <f t="shared" si="404"/>
        <v>115.07500000000002</v>
      </c>
      <c r="Z79" s="260">
        <f t="shared" si="404"/>
        <v>197.13399999999976</v>
      </c>
      <c r="AA79" s="259">
        <f t="shared" si="404"/>
        <v>162.16199999999998</v>
      </c>
      <c r="AB79" s="260">
        <f t="shared" si="404"/>
        <v>181.52900000000008</v>
      </c>
      <c r="AC79" s="260">
        <f t="shared" si="404"/>
        <v>205.20000000000007</v>
      </c>
      <c r="AD79" s="261">
        <f t="shared" si="404"/>
        <v>148.04299999999998</v>
      </c>
      <c r="AE79" s="260">
        <f t="shared" si="404"/>
        <v>100.72299999999996</v>
      </c>
      <c r="AF79" s="260">
        <f t="shared" si="404"/>
        <v>170.44800000000004</v>
      </c>
      <c r="AG79" s="260">
        <f t="shared" si="404"/>
        <v>245.46199999999988</v>
      </c>
      <c r="AH79" s="260">
        <f t="shared" si="404"/>
        <v>214.93300000000022</v>
      </c>
      <c r="AI79" s="259">
        <f t="shared" si="404"/>
        <v>113.80099999999997</v>
      </c>
      <c r="AJ79" s="260">
        <f t="shared" si="404"/>
        <v>133.32999999999998</v>
      </c>
      <c r="AK79" s="260">
        <f t="shared" si="404"/>
        <v>153.79000000000013</v>
      </c>
      <c r="AL79" s="261">
        <f>SUM(AL76:AL78)</f>
        <v>187.48600000000053</v>
      </c>
      <c r="AM79" s="259">
        <f t="shared" si="404"/>
        <v>166.05500000000004</v>
      </c>
      <c r="AN79" s="260">
        <f t="shared" si="404"/>
        <v>173.43100000000004</v>
      </c>
      <c r="AO79" s="260">
        <f t="shared" ref="AO79:AT79" si="405">SUM(AO76:AO78)</f>
        <v>220.43500000000009</v>
      </c>
      <c r="AP79" s="261">
        <f>SUM(AP76:AP78)</f>
        <v>241.06699999999998</v>
      </c>
      <c r="AQ79" s="260">
        <f>SUM(AQ76:AQ78)</f>
        <v>185</v>
      </c>
      <c r="AR79" s="260">
        <f t="shared" ref="AR79" si="406">SUM(AR76:AR78)</f>
        <v>190</v>
      </c>
      <c r="AS79" s="260">
        <f t="shared" si="405"/>
        <v>256</v>
      </c>
      <c r="AT79" s="261">
        <f t="shared" si="405"/>
        <v>298</v>
      </c>
      <c r="AU79" s="260">
        <f>SUM(AU76:AU78)</f>
        <v>263</v>
      </c>
      <c r="AV79" s="260">
        <f>SUM(AV76:AV78)</f>
        <v>312</v>
      </c>
      <c r="AW79" s="260">
        <f t="shared" ref="AW79:AX79" si="407">SUM(AW76:AW78)</f>
        <v>570</v>
      </c>
      <c r="AX79" s="261">
        <f t="shared" si="407"/>
        <v>704</v>
      </c>
      <c r="AY79" s="866">
        <f>SUM(AY76:AY78)</f>
        <v>533</v>
      </c>
      <c r="AZ79" s="260">
        <f>SUM(AZ76:AZ78)</f>
        <v>638</v>
      </c>
      <c r="BA79" s="260">
        <f>SUM(BA76:BA78)</f>
        <v>833</v>
      </c>
      <c r="BB79" s="998">
        <f t="shared" ref="BB79" si="408">SUM(BB76:BB78)</f>
        <v>1081</v>
      </c>
      <c r="BC79" s="866">
        <f t="shared" ref="BC79:BJ79" si="409">SUM(BC76:BC78)</f>
        <v>1047.6319612880679</v>
      </c>
      <c r="BD79" s="260">
        <f t="shared" si="409"/>
        <v>1141.2588656841642</v>
      </c>
      <c r="BE79" s="260">
        <f t="shared" si="409"/>
        <v>1242.6772332314522</v>
      </c>
      <c r="BF79" s="261">
        <f t="shared" si="409"/>
        <v>1288.5503285288144</v>
      </c>
      <c r="BG79" s="866">
        <f t="shared" si="409"/>
        <v>1143.3499217985341</v>
      </c>
      <c r="BH79" s="260">
        <f t="shared" si="409"/>
        <v>1340.271458691589</v>
      </c>
      <c r="BI79" s="260">
        <f t="shared" si="409"/>
        <v>1483.2123662231299</v>
      </c>
      <c r="BJ79" s="261">
        <f t="shared" si="409"/>
        <v>1507.5648846529539</v>
      </c>
      <c r="BK79" s="866">
        <f t="shared" ref="BK79:BN79" si="410">SUM(BK76:BK78)</f>
        <v>1368.7701730345138</v>
      </c>
      <c r="BL79" s="260">
        <f t="shared" si="410"/>
        <v>1604.4875728217189</v>
      </c>
      <c r="BM79" s="260">
        <f t="shared" si="410"/>
        <v>1759.0888136873198</v>
      </c>
      <c r="BN79" s="261">
        <f t="shared" si="410"/>
        <v>1807.7394813458077</v>
      </c>
      <c r="BO79" s="85"/>
      <c r="BP79" s="260">
        <f>SUM(BP76:BP78)</f>
        <v>301.1760000000001</v>
      </c>
      <c r="BQ79" s="260">
        <f t="shared" ref="BQ79:CA79" si="411">SUM(BQ76:BQ78)</f>
        <v>563.9820000000002</v>
      </c>
      <c r="BR79" s="260">
        <f t="shared" si="411"/>
        <v>915.25499999999988</v>
      </c>
      <c r="BS79" s="260">
        <f t="shared" si="411"/>
        <v>192.0389999999995</v>
      </c>
      <c r="BT79" s="260">
        <f t="shared" si="411"/>
        <v>174.40300000000016</v>
      </c>
      <c r="BU79" s="260">
        <f t="shared" si="411"/>
        <v>511.52599999999956</v>
      </c>
      <c r="BV79" s="260">
        <f t="shared" si="411"/>
        <v>696.93400000000008</v>
      </c>
      <c r="BW79" s="260">
        <f t="shared" si="411"/>
        <v>731.56600000000003</v>
      </c>
      <c r="BX79" s="260">
        <f t="shared" si="411"/>
        <v>588.40700000000061</v>
      </c>
      <c r="BY79" s="260">
        <f t="shared" si="411"/>
        <v>800.98800000000028</v>
      </c>
      <c r="BZ79" s="260">
        <f t="shared" si="411"/>
        <v>929</v>
      </c>
      <c r="CA79" s="260">
        <f t="shared" si="411"/>
        <v>1849</v>
      </c>
      <c r="CB79" s="260">
        <f t="shared" ref="CB79:CC79" si="412">SUM(CB76:CB78)</f>
        <v>3085</v>
      </c>
      <c r="CC79" s="260">
        <f t="shared" si="412"/>
        <v>4720.1183887324987</v>
      </c>
      <c r="CD79" s="260">
        <f t="shared" ref="CD79:CE79" si="413">SUM(CD76:CD78)</f>
        <v>5474.3986313662062</v>
      </c>
      <c r="CE79" s="260">
        <f t="shared" si="413"/>
        <v>6540.0860408893604</v>
      </c>
      <c r="CF79" s="14"/>
      <c r="CG79" s="82"/>
      <c r="CY79"/>
      <c r="CZ79"/>
      <c r="DA79"/>
      <c r="DB79"/>
      <c r="DC79"/>
      <c r="DD79"/>
    </row>
    <row r="80" spans="2:108" s="5" customFormat="1">
      <c r="B80" s="5" t="s">
        <v>209</v>
      </c>
      <c r="C80" s="233">
        <f>C79/C86</f>
        <v>0.17852314784034756</v>
      </c>
      <c r="D80" s="140">
        <f t="shared" ref="D80:AQ80" si="414">D79/D86</f>
        <v>0.2041424044858077</v>
      </c>
      <c r="E80" s="140">
        <f t="shared" si="414"/>
        <v>0.17567335501298856</v>
      </c>
      <c r="F80" s="234">
        <f t="shared" si="414"/>
        <v>0.26476196110807854</v>
      </c>
      <c r="G80" s="140">
        <f t="shared" si="414"/>
        <v>0.28426307301991638</v>
      </c>
      <c r="H80" s="140">
        <f t="shared" si="414"/>
        <v>0.29240979384785348</v>
      </c>
      <c r="I80" s="140">
        <f t="shared" si="414"/>
        <v>0.25165109172315175</v>
      </c>
      <c r="J80" s="140">
        <f t="shared" si="414"/>
        <v>0.32227719380909681</v>
      </c>
      <c r="K80" s="233">
        <f t="shared" si="414"/>
        <v>0.27482412639833931</v>
      </c>
      <c r="L80" s="140">
        <f t="shared" si="414"/>
        <v>0.32801781958498255</v>
      </c>
      <c r="M80" s="140">
        <f t="shared" si="414"/>
        <v>0.4309616059120534</v>
      </c>
      <c r="N80" s="234">
        <f t="shared" si="414"/>
        <v>0.47373734554880115</v>
      </c>
      <c r="O80" s="140">
        <f t="shared" si="414"/>
        <v>0.35772286309373974</v>
      </c>
      <c r="P80" s="140">
        <f t="shared" si="414"/>
        <v>0.13407403806509355</v>
      </c>
      <c r="Q80" s="140">
        <f t="shared" si="414"/>
        <v>0.12092408632930393</v>
      </c>
      <c r="R80" s="140">
        <f t="shared" si="414"/>
        <v>-0.30220147136785203</v>
      </c>
      <c r="S80" s="233">
        <f t="shared" si="414"/>
        <v>-8.6065641785925795E-2</v>
      </c>
      <c r="T80" s="140">
        <f t="shared" si="414"/>
        <v>2.1240709133449998E-2</v>
      </c>
      <c r="U80" s="140">
        <f t="shared" si="414"/>
        <v>0.13647735562283578</v>
      </c>
      <c r="V80" s="234">
        <f t="shared" si="414"/>
        <v>0.22518515464342639</v>
      </c>
      <c r="W80" s="140">
        <f t="shared" si="414"/>
        <v>0.28201665998304554</v>
      </c>
      <c r="X80" s="140">
        <f t="shared" si="414"/>
        <v>5.699729731617191E-2</v>
      </c>
      <c r="Y80" s="140">
        <f t="shared" si="414"/>
        <v>0.19750346693029069</v>
      </c>
      <c r="Z80" s="140">
        <f t="shared" si="414"/>
        <v>0.32770517937558868</v>
      </c>
      <c r="AA80" s="233">
        <f t="shared" si="414"/>
        <v>0.26433394080270717</v>
      </c>
      <c r="AB80" s="140">
        <f t="shared" si="414"/>
        <v>0.29568162049992358</v>
      </c>
      <c r="AC80" s="140">
        <f t="shared" si="414"/>
        <v>0.33444161940152567</v>
      </c>
      <c r="AD80" s="234">
        <f t="shared" si="414"/>
        <v>0.2393198178464562</v>
      </c>
      <c r="AE80" s="140">
        <f t="shared" si="414"/>
        <v>0.16147044018301143</v>
      </c>
      <c r="AF80" s="140">
        <f t="shared" si="414"/>
        <v>0.27352951088273481</v>
      </c>
      <c r="AG80" s="140">
        <f t="shared" si="414"/>
        <v>0.39033784159848589</v>
      </c>
      <c r="AH80" s="140">
        <f t="shared" si="414"/>
        <v>0.34554144735361392</v>
      </c>
      <c r="AI80" s="233">
        <f t="shared" si="414"/>
        <v>0.18375687467503732</v>
      </c>
      <c r="AJ80" s="140">
        <f t="shared" si="414"/>
        <v>0.22521731198670283</v>
      </c>
      <c r="AK80" s="140">
        <f t="shared" si="414"/>
        <v>0.26121355001766472</v>
      </c>
      <c r="AL80" s="218">
        <f t="shared" si="414"/>
        <v>0.3247320543997127</v>
      </c>
      <c r="AM80" s="217">
        <f t="shared" si="414"/>
        <v>0.29110903857144366</v>
      </c>
      <c r="AN80" s="92">
        <f t="shared" si="414"/>
        <v>0.30395988586891759</v>
      </c>
      <c r="AO80" s="92">
        <f t="shared" si="414"/>
        <v>0.39490255302301513</v>
      </c>
      <c r="AP80" s="218">
        <f t="shared" si="414"/>
        <v>0.43312737053360473</v>
      </c>
      <c r="AQ80" s="217">
        <f t="shared" si="414"/>
        <v>0.3291814946619217</v>
      </c>
      <c r="AR80" s="92">
        <f>AR79/AR86</f>
        <v>0.34420289855072461</v>
      </c>
      <c r="AS80" s="92">
        <f t="shared" ref="AS80:AU80" si="415">AS79/AS86</f>
        <v>0.46126126126126127</v>
      </c>
      <c r="AT80" s="218">
        <f t="shared" si="415"/>
        <v>0.52557319223985888</v>
      </c>
      <c r="AU80" s="217">
        <f t="shared" si="415"/>
        <v>0.4630281690140845</v>
      </c>
      <c r="AV80" s="92">
        <f>AV79/AV86</f>
        <v>0.53061224489795922</v>
      </c>
      <c r="AW80" s="92">
        <f t="shared" ref="AW80:AY80" si="416">AW79/AW86</f>
        <v>0.9375</v>
      </c>
      <c r="AX80" s="218">
        <f t="shared" si="416"/>
        <v>1.1282051282051282</v>
      </c>
      <c r="AY80" s="868">
        <f t="shared" si="416"/>
        <v>0.85007974481658688</v>
      </c>
      <c r="AZ80" s="92">
        <f>AZ79/AZ86</f>
        <v>1.0143084260731319</v>
      </c>
      <c r="BA80" s="92">
        <f>BA79/BA86</f>
        <v>1.3306709265175718</v>
      </c>
      <c r="BB80" s="1001">
        <f t="shared" ref="BB80" si="417">BB79/BB86</f>
        <v>1.7240829346092503</v>
      </c>
      <c r="BC80" s="868">
        <f t="shared" ref="BC80:BJ80" si="418">BC79/BC86</f>
        <v>1.6653593705978444</v>
      </c>
      <c r="BD80" s="92">
        <f t="shared" si="418"/>
        <v>1.8082349979465362</v>
      </c>
      <c r="BE80" s="92">
        <f t="shared" si="418"/>
        <v>1.9624798773571521</v>
      </c>
      <c r="BF80" s="218">
        <f t="shared" si="418"/>
        <v>2.0282854417783018</v>
      </c>
      <c r="BG80" s="868">
        <f t="shared" si="418"/>
        <v>1.7938754786116258</v>
      </c>
      <c r="BH80" s="92">
        <f t="shared" si="418"/>
        <v>2.0960224413212529</v>
      </c>
      <c r="BI80" s="92">
        <f t="shared" si="418"/>
        <v>2.312070599739724</v>
      </c>
      <c r="BJ80" s="218">
        <f t="shared" si="418"/>
        <v>2.3424638345162685</v>
      </c>
      <c r="BK80" s="868">
        <f t="shared" ref="BK80:BN80" si="419">BK79/BK86</f>
        <v>2.1199764990030192</v>
      </c>
      <c r="BL80" s="92">
        <f t="shared" si="419"/>
        <v>2.4771082108263016</v>
      </c>
      <c r="BM80" s="92">
        <f t="shared" si="419"/>
        <v>2.7071289434516803</v>
      </c>
      <c r="BN80" s="218">
        <f t="shared" si="419"/>
        <v>2.7731540214147623</v>
      </c>
      <c r="BO80" s="139"/>
      <c r="BP80" s="139">
        <f t="shared" ref="BP80:BW80" si="420">BP79/BP85</f>
        <v>0.82436843336987475</v>
      </c>
      <c r="BQ80" s="139">
        <f t="shared" si="420"/>
        <v>1.1508421668560145</v>
      </c>
      <c r="BR80" s="139">
        <f t="shared" si="420"/>
        <v>1.5101429822459136</v>
      </c>
      <c r="BS80" s="139">
        <f t="shared" si="420"/>
        <v>0.34147293420823838</v>
      </c>
      <c r="BT80" s="139">
        <f t="shared" si="420"/>
        <v>0.31068384899314544</v>
      </c>
      <c r="BU80" s="139">
        <f t="shared" si="420"/>
        <v>0.87143606727178491</v>
      </c>
      <c r="BV80" s="139">
        <f t="shared" si="420"/>
        <v>1.1334255175809402</v>
      </c>
      <c r="BW80" s="139">
        <f t="shared" si="420"/>
        <v>1.1715403043968431</v>
      </c>
      <c r="BX80" s="139">
        <f>BX79/BX85</f>
        <v>0.9899941785535229</v>
      </c>
      <c r="BY80" s="139">
        <f t="shared" ref="BY80" si="421">BY79/BY85</f>
        <v>1.4203375524433368</v>
      </c>
      <c r="BZ80" s="92">
        <f>BZ79/BZ86</f>
        <v>1.661896243291592</v>
      </c>
      <c r="CA80" s="92">
        <f t="shared" ref="CA80" si="422">CA79/CA86</f>
        <v>3.0971524288107202</v>
      </c>
      <c r="CB80" s="92">
        <f t="shared" ref="CB80:CC80" si="423">CB79/CB86</f>
        <v>4.9182941410920682</v>
      </c>
      <c r="CC80" s="92">
        <f t="shared" si="423"/>
        <v>7.4663973134358317</v>
      </c>
      <c r="CD80" s="92">
        <f t="shared" ref="CD80:CE80" si="424">CD79/CD86</f>
        <v>8.5474448261851066</v>
      </c>
      <c r="CE80" s="92">
        <f t="shared" si="424"/>
        <v>10.080865167948499</v>
      </c>
      <c r="CF80" s="14"/>
      <c r="CG80" s="82"/>
      <c r="CY80"/>
      <c r="CZ80"/>
      <c r="DA80"/>
      <c r="DB80"/>
      <c r="DC80"/>
      <c r="DD80"/>
    </row>
    <row r="81" spans="1:108" s="5" customFormat="1">
      <c r="B81" s="84" t="s">
        <v>425</v>
      </c>
      <c r="C81" s="233"/>
      <c r="D81" s="140"/>
      <c r="E81" s="140"/>
      <c r="F81" s="234"/>
      <c r="G81" s="140"/>
      <c r="H81" s="140"/>
      <c r="I81" s="140"/>
      <c r="J81" s="140"/>
      <c r="K81" s="233"/>
      <c r="L81" s="140"/>
      <c r="M81" s="140"/>
      <c r="N81" s="234"/>
      <c r="O81" s="140"/>
      <c r="P81" s="140"/>
      <c r="Q81" s="140"/>
      <c r="R81" s="140"/>
      <c r="S81" s="233"/>
      <c r="T81" s="140"/>
      <c r="U81" s="140"/>
      <c r="V81" s="234"/>
      <c r="W81" s="140"/>
      <c r="X81" s="140"/>
      <c r="Y81" s="140"/>
      <c r="Z81" s="140"/>
      <c r="AA81" s="233"/>
      <c r="AB81" s="140"/>
      <c r="AC81" s="140"/>
      <c r="AD81" s="234"/>
      <c r="AE81" s="140"/>
      <c r="AF81" s="140"/>
      <c r="AG81" s="140"/>
      <c r="AH81" s="140"/>
      <c r="AI81" s="140"/>
      <c r="AJ81" s="140"/>
      <c r="AK81" s="140"/>
      <c r="AL81" s="218"/>
      <c r="AM81" s="217">
        <f>(AM79-66*0.7)/AM86</f>
        <v>0.21011636998572994</v>
      </c>
      <c r="AN81" s="92">
        <f t="shared" ref="AN81:AT81" si="425">(AN79-66*0.7)/AN86</f>
        <v>0.22298850977615453</v>
      </c>
      <c r="AO81" s="92">
        <f t="shared" si="425"/>
        <v>0.31213666761614561</v>
      </c>
      <c r="AP81" s="218">
        <f t="shared" si="425"/>
        <v>0.35011939134668768</v>
      </c>
      <c r="AQ81" s="217">
        <f t="shared" si="425"/>
        <v>0.24697508896797155</v>
      </c>
      <c r="AR81" s="92">
        <f t="shared" si="425"/>
        <v>0.26050724637681161</v>
      </c>
      <c r="AS81" s="92">
        <f t="shared" si="425"/>
        <v>0.37801801801801804</v>
      </c>
      <c r="AT81" s="218">
        <f t="shared" si="425"/>
        <v>0.44409171075837744</v>
      </c>
      <c r="AU81" s="217">
        <f t="shared" ref="AU81:AX81" si="426">(AU79-66*0.7)/AU86</f>
        <v>0.38169014084507047</v>
      </c>
      <c r="AV81" s="92">
        <f t="shared" si="426"/>
        <v>0.45204081632653065</v>
      </c>
      <c r="AW81" s="92">
        <f t="shared" si="426"/>
        <v>0.86151315789473681</v>
      </c>
      <c r="AX81" s="218">
        <f t="shared" si="426"/>
        <v>1.0541666666666667</v>
      </c>
      <c r="AY81" s="217">
        <f t="shared" ref="AY81:AZ81" si="427">(AY79-66*0.7)/AY86</f>
        <v>0.77639553429027119</v>
      </c>
      <c r="AZ81" s="92">
        <f t="shared" si="427"/>
        <v>0.94085850556438788</v>
      </c>
      <c r="BA81" s="92">
        <f t="shared" ref="BA81:BB81" si="428">(BA79-66*0.7)/BA86</f>
        <v>1.2568690095846644</v>
      </c>
      <c r="BB81" s="218">
        <f t="shared" si="428"/>
        <v>1.6503987240829345</v>
      </c>
      <c r="BC81" s="217">
        <f t="shared" ref="BC81:BJ81" si="429">BC80</f>
        <v>1.6653593705978444</v>
      </c>
      <c r="BD81" s="92">
        <f t="shared" si="429"/>
        <v>1.8082349979465362</v>
      </c>
      <c r="BE81" s="92">
        <f t="shared" si="429"/>
        <v>1.9624798773571521</v>
      </c>
      <c r="BF81" s="218">
        <f t="shared" si="429"/>
        <v>2.0282854417783018</v>
      </c>
      <c r="BG81" s="217">
        <f t="shared" si="429"/>
        <v>1.7938754786116258</v>
      </c>
      <c r="BH81" s="92">
        <f t="shared" si="429"/>
        <v>2.0960224413212529</v>
      </c>
      <c r="BI81" s="92">
        <f t="shared" si="429"/>
        <v>2.312070599739724</v>
      </c>
      <c r="BJ81" s="218">
        <f t="shared" si="429"/>
        <v>2.3424638345162685</v>
      </c>
      <c r="BK81" s="217">
        <f t="shared" ref="BK81" si="430">BK80</f>
        <v>2.1199764990030192</v>
      </c>
      <c r="BL81" s="92">
        <f t="shared" ref="BL81" si="431">BL80</f>
        <v>2.4771082108263016</v>
      </c>
      <c r="BM81" s="92">
        <f t="shared" ref="BM81" si="432">BM80</f>
        <v>2.7071289434516803</v>
      </c>
      <c r="BN81" s="218">
        <f t="shared" ref="BN81" si="433">BN80</f>
        <v>2.7731540214147623</v>
      </c>
      <c r="BO81" s="139"/>
      <c r="BP81" s="139"/>
      <c r="BQ81" s="139"/>
      <c r="BR81" s="139"/>
      <c r="BS81" s="139"/>
      <c r="BT81" s="139"/>
      <c r="BU81" s="139"/>
      <c r="BV81" s="139"/>
      <c r="BW81" s="139"/>
      <c r="BX81" s="139"/>
      <c r="BY81" s="139">
        <f>SUM(AM81:AP81)</f>
        <v>1.0953609387247178</v>
      </c>
      <c r="BZ81" s="92">
        <f>SUM(AQ81:AT81)</f>
        <v>1.3295920641211787</v>
      </c>
      <c r="CA81" s="92">
        <f>SUM(AU81:AX81)</f>
        <v>2.7494107817330047</v>
      </c>
      <c r="CB81" s="92">
        <f>SUM(AY81:BB81)</f>
        <v>4.6245217735222575</v>
      </c>
      <c r="CC81" s="92">
        <f>SUM(BC81:BF81)</f>
        <v>7.4643596876798348</v>
      </c>
      <c r="CD81" s="92">
        <f>SUM(BG81:BJ81)</f>
        <v>8.5444323541888707</v>
      </c>
      <c r="CE81" s="92">
        <f>SUM(BK81:BN81)</f>
        <v>10.077367674695765</v>
      </c>
      <c r="CF81" s="14"/>
      <c r="CG81" s="82"/>
      <c r="CY81"/>
      <c r="CZ81"/>
      <c r="DA81"/>
      <c r="DB81"/>
      <c r="DC81"/>
      <c r="DD81"/>
    </row>
    <row r="82" spans="1:108" s="5" customFormat="1">
      <c r="B82" s="116"/>
      <c r="C82" s="229"/>
      <c r="D82" s="60"/>
      <c r="E82" s="60"/>
      <c r="F82" s="230"/>
      <c r="G82" s="60"/>
      <c r="H82" s="60"/>
      <c r="I82" s="60"/>
      <c r="J82" s="60"/>
      <c r="K82" s="229"/>
      <c r="L82" s="60"/>
      <c r="M82" s="60"/>
      <c r="N82" s="230"/>
      <c r="O82" s="60"/>
      <c r="P82" s="60"/>
      <c r="Q82" s="60"/>
      <c r="R82" s="60"/>
      <c r="S82" s="229"/>
      <c r="T82" s="60"/>
      <c r="U82" s="60"/>
      <c r="V82" s="230"/>
      <c r="W82" s="60"/>
      <c r="X82" s="60"/>
      <c r="Y82" s="60"/>
      <c r="Z82" s="60"/>
      <c r="AA82" s="229"/>
      <c r="AB82" s="60"/>
      <c r="AC82" s="60"/>
      <c r="AD82" s="230"/>
      <c r="AE82" s="60"/>
      <c r="AF82" s="60"/>
      <c r="AG82" s="60"/>
      <c r="AH82" s="230"/>
      <c r="AI82" s="453"/>
      <c r="AJ82" s="448"/>
      <c r="AK82" s="453"/>
      <c r="AL82" s="507"/>
      <c r="AM82" s="506"/>
      <c r="AN82" s="453"/>
      <c r="AO82" s="453"/>
      <c r="AP82" s="507"/>
      <c r="AQ82" s="453"/>
      <c r="AR82" s="453"/>
      <c r="AS82" s="453"/>
      <c r="AT82" s="507"/>
      <c r="AU82" s="453"/>
      <c r="AV82" s="453"/>
      <c r="AW82" s="453"/>
      <c r="AX82" s="507"/>
      <c r="AY82" s="453"/>
      <c r="AZ82" s="453"/>
      <c r="BA82" s="453"/>
      <c r="BB82" s="507"/>
      <c r="BC82" s="453"/>
      <c r="BD82" s="453"/>
      <c r="BE82" s="453"/>
      <c r="BF82" s="507"/>
      <c r="BG82" s="453"/>
      <c r="BH82" s="453"/>
      <c r="BI82" s="453"/>
      <c r="BJ82" s="507"/>
      <c r="BK82" s="453"/>
      <c r="BL82" s="453"/>
      <c r="BM82" s="453"/>
      <c r="BN82" s="507"/>
      <c r="BO82" s="84"/>
      <c r="BP82" s="453"/>
      <c r="BQ82" s="453"/>
      <c r="BR82" s="453"/>
      <c r="BS82" s="453"/>
      <c r="BT82" s="453"/>
      <c r="BU82" s="453"/>
      <c r="BV82" s="453"/>
      <c r="BW82" s="453"/>
      <c r="BX82" s="453"/>
      <c r="BY82" s="453"/>
      <c r="BZ82" s="648"/>
      <c r="CA82" s="648"/>
      <c r="CB82" s="648"/>
      <c r="CC82" s="648"/>
      <c r="CD82" s="648"/>
      <c r="CE82" s="648"/>
      <c r="CF82" s="14"/>
      <c r="CY82"/>
      <c r="CZ82"/>
      <c r="DA82"/>
      <c r="DB82"/>
      <c r="DC82"/>
      <c r="DD82"/>
    </row>
    <row r="83" spans="1:108" s="5" customFormat="1">
      <c r="B83" s="415" t="s">
        <v>141</v>
      </c>
      <c r="C83" s="530"/>
      <c r="D83" s="531"/>
      <c r="E83" s="531"/>
      <c r="F83" s="532"/>
      <c r="G83" s="531"/>
      <c r="H83" s="531"/>
      <c r="I83" s="531"/>
      <c r="J83" s="531"/>
      <c r="K83" s="530"/>
      <c r="L83" s="531"/>
      <c r="M83" s="531"/>
      <c r="N83" s="532"/>
      <c r="O83" s="531"/>
      <c r="P83" s="531"/>
      <c r="Q83" s="531"/>
      <c r="R83" s="531"/>
      <c r="S83" s="530"/>
      <c r="T83" s="531"/>
      <c r="U83" s="531"/>
      <c r="V83" s="532"/>
      <c r="W83" s="531"/>
      <c r="X83" s="531"/>
      <c r="Y83" s="531"/>
      <c r="Z83" s="531"/>
      <c r="AA83" s="530"/>
      <c r="AB83" s="531"/>
      <c r="AC83" s="531"/>
      <c r="AD83" s="532"/>
      <c r="AE83" s="531"/>
      <c r="AF83" s="531"/>
      <c r="AG83" s="531"/>
      <c r="AH83" s="532"/>
      <c r="AI83" s="531"/>
      <c r="AJ83" s="531"/>
      <c r="AK83" s="531"/>
      <c r="AL83" s="532"/>
      <c r="AM83" s="530"/>
      <c r="AN83" s="531"/>
      <c r="AO83" s="531"/>
      <c r="AP83" s="532"/>
      <c r="AQ83" s="531"/>
      <c r="AR83" s="531"/>
      <c r="AS83" s="531"/>
      <c r="AT83" s="532"/>
      <c r="AU83" s="531"/>
      <c r="AV83" s="531"/>
      <c r="AW83" s="531"/>
      <c r="AX83" s="532"/>
      <c r="AY83" s="531"/>
      <c r="AZ83" s="531"/>
      <c r="BA83" s="531"/>
      <c r="BB83" s="532"/>
      <c r="BC83" s="531"/>
      <c r="BD83" s="531"/>
      <c r="BE83" s="531"/>
      <c r="BF83" s="532"/>
      <c r="BG83" s="531"/>
      <c r="BH83" s="531"/>
      <c r="BI83" s="531"/>
      <c r="BJ83" s="532"/>
      <c r="BK83" s="531"/>
      <c r="BL83" s="531"/>
      <c r="BM83" s="531"/>
      <c r="BN83" s="532"/>
      <c r="BO83" s="359"/>
      <c r="BP83" s="531"/>
      <c r="BQ83" s="531"/>
      <c r="BR83" s="531"/>
      <c r="BS83" s="531"/>
      <c r="BT83" s="531"/>
      <c r="BU83" s="531"/>
      <c r="BV83" s="531"/>
      <c r="BW83" s="531"/>
      <c r="BX83" s="531"/>
      <c r="BY83" s="531"/>
      <c r="BZ83" s="531"/>
      <c r="CA83" s="531"/>
      <c r="CB83" s="531"/>
      <c r="CC83" s="531"/>
      <c r="CD83" s="531"/>
      <c r="CE83" s="531"/>
      <c r="CF83" s="14"/>
      <c r="CY83"/>
      <c r="CZ83"/>
      <c r="DA83"/>
      <c r="DB83"/>
      <c r="DC83"/>
      <c r="DD83"/>
    </row>
    <row r="84" spans="1:108" s="5" customFormat="1">
      <c r="B84" s="5" t="s">
        <v>142</v>
      </c>
      <c r="C84" s="32">
        <v>337.29399999999998</v>
      </c>
      <c r="D84" s="30">
        <v>337.88600000000002</v>
      </c>
      <c r="E84" s="30">
        <v>340.25400000000002</v>
      </c>
      <c r="F84" s="33">
        <v>342.084</v>
      </c>
      <c r="G84" s="30">
        <v>347.93700000000001</v>
      </c>
      <c r="H84" s="30">
        <v>350.24400000000003</v>
      </c>
      <c r="I84" s="30">
        <v>528.98599999999999</v>
      </c>
      <c r="J84" s="30">
        <v>538.17200000000003</v>
      </c>
      <c r="K84" s="32">
        <v>541.24699999999996</v>
      </c>
      <c r="L84" s="30">
        <v>547.30499999999995</v>
      </c>
      <c r="M84" s="30">
        <v>554.96600000000001</v>
      </c>
      <c r="N84" s="33">
        <v>557.14300000000003</v>
      </c>
      <c r="O84" s="30">
        <v>555.673</v>
      </c>
      <c r="P84" s="30">
        <v>555.41700000000003</v>
      </c>
      <c r="Q84" s="30">
        <v>543.80700000000002</v>
      </c>
      <c r="R84" s="30">
        <v>537.59500000000003</v>
      </c>
      <c r="S84" s="32">
        <v>542.30700000000002</v>
      </c>
      <c r="T84" s="30">
        <v>546.63900000000001</v>
      </c>
      <c r="U84" s="30">
        <v>551.28300000000002</v>
      </c>
      <c r="V84" s="33">
        <v>557.47900000000004</v>
      </c>
      <c r="W84" s="30">
        <v>567.18299999999999</v>
      </c>
      <c r="X84" s="30">
        <v>572.76400000000001</v>
      </c>
      <c r="Y84" s="30">
        <v>577.32299999999998</v>
      </c>
      <c r="Z84" s="30">
        <v>583.43899999999996</v>
      </c>
      <c r="AA84" s="32">
        <v>594.80200000000002</v>
      </c>
      <c r="AB84" s="30">
        <v>601.34</v>
      </c>
      <c r="AC84" s="30">
        <v>607.06299999999999</v>
      </c>
      <c r="AD84" s="33">
        <v>611.43200000000002</v>
      </c>
      <c r="AE84" s="30">
        <v>615.78</v>
      </c>
      <c r="AF84" s="30">
        <v>618.99599999999998</v>
      </c>
      <c r="AG84" s="30">
        <v>622.35199999999998</v>
      </c>
      <c r="AH84" s="33">
        <v>620.16899999999998</v>
      </c>
      <c r="AI84" s="30">
        <v>616.87199999999996</v>
      </c>
      <c r="AJ84" s="30">
        <v>585.34500000000003</v>
      </c>
      <c r="AK84" s="30">
        <v>580.87</v>
      </c>
      <c r="AL84" s="33">
        <v>568.48299999999995</v>
      </c>
      <c r="AM84" s="30">
        <v>559.09199999999998</v>
      </c>
      <c r="AN84" s="30">
        <v>558.22299999999996</v>
      </c>
      <c r="AO84" s="30">
        <v>547.78899999999999</v>
      </c>
      <c r="AP84" s="33">
        <v>544.16999999999996</v>
      </c>
      <c r="AQ84" s="30">
        <v>549</v>
      </c>
      <c r="AR84" s="30">
        <v>541</v>
      </c>
      <c r="AS84" s="30">
        <v>542</v>
      </c>
      <c r="AT84" s="33">
        <v>539</v>
      </c>
      <c r="AU84" s="30">
        <v>537</v>
      </c>
      <c r="AV84" s="30">
        <v>534</v>
      </c>
      <c r="AW84" s="30">
        <v>538</v>
      </c>
      <c r="AX84" s="33">
        <v>553</v>
      </c>
      <c r="AY84" s="30">
        <v>592</v>
      </c>
      <c r="AZ84" s="30">
        <v>597</v>
      </c>
      <c r="BA84" s="30">
        <v>603</v>
      </c>
      <c r="BB84" s="33">
        <v>606</v>
      </c>
      <c r="BC84" s="53">
        <f t="shared" ref="BC84:BJ84" si="434">BB84-BC91+BC92</f>
        <v>608</v>
      </c>
      <c r="BD84" s="53">
        <f t="shared" si="434"/>
        <v>610</v>
      </c>
      <c r="BE84" s="73">
        <f t="shared" si="434"/>
        <v>612</v>
      </c>
      <c r="BF84" s="238">
        <f t="shared" si="434"/>
        <v>614</v>
      </c>
      <c r="BG84" s="53">
        <f t="shared" si="434"/>
        <v>616</v>
      </c>
      <c r="BH84" s="53">
        <f t="shared" si="434"/>
        <v>618</v>
      </c>
      <c r="BI84" s="73">
        <f t="shared" si="434"/>
        <v>620</v>
      </c>
      <c r="BJ84" s="238">
        <f t="shared" si="434"/>
        <v>622</v>
      </c>
      <c r="BK84" s="53">
        <f t="shared" ref="BK84" si="435">BJ84-BK91+BK92</f>
        <v>624</v>
      </c>
      <c r="BL84" s="53">
        <f t="shared" ref="BL84" si="436">BK84-BL91+BL92</f>
        <v>626</v>
      </c>
      <c r="BM84" s="73">
        <f t="shared" ref="BM84" si="437">BL84-BM91+BM92</f>
        <v>628</v>
      </c>
      <c r="BN84" s="238">
        <f t="shared" ref="BN84" si="438">BM84-BN91+BN92</f>
        <v>630</v>
      </c>
      <c r="BO84" s="84"/>
      <c r="BP84" s="53">
        <f>AVERAGE(C84:F84)</f>
        <v>339.37950000000001</v>
      </c>
      <c r="BQ84" s="53">
        <f>AVERAGE(G84:J84)</f>
        <v>441.33474999999999</v>
      </c>
      <c r="BR84" s="53">
        <f>AVERAGE(K84:N84)</f>
        <v>550.16525000000001</v>
      </c>
      <c r="BS84" s="53">
        <f>AVERAGE(O84:R84)</f>
        <v>548.12300000000005</v>
      </c>
      <c r="BT84" s="53">
        <f>AVERAGE(S84:V84)</f>
        <v>549.42699999999991</v>
      </c>
      <c r="BU84" s="53">
        <f>AVERAGE(W84:Z84)</f>
        <v>575.17724999999996</v>
      </c>
      <c r="BV84" s="53">
        <f>AVERAGE(AA84:AD84)</f>
        <v>603.65924999999993</v>
      </c>
      <c r="BW84" s="53">
        <f>AVERAGE(AE84:AH84)</f>
        <v>619.32424999999989</v>
      </c>
      <c r="BX84" s="53">
        <f>AVERAGE(AI84:AL84)</f>
        <v>587.89249999999993</v>
      </c>
      <c r="BY84" s="53">
        <f>AVERAGE(AM84:AP84)</f>
        <v>552.31849999999997</v>
      </c>
      <c r="BZ84" s="53">
        <f>AVERAGE(AQ84:AT84)</f>
        <v>542.75</v>
      </c>
      <c r="CA84" s="53">
        <f>AVERAGE(AU84:AX84)</f>
        <v>540.5</v>
      </c>
      <c r="CB84" s="53">
        <f>AVERAGE(AY84:BB84)</f>
        <v>599.5</v>
      </c>
      <c r="CC84" s="53">
        <f>AVERAGE(BC84:BF84)</f>
        <v>611</v>
      </c>
      <c r="CD84" s="53">
        <f>AVERAGE(BG84:BJ84)</f>
        <v>619</v>
      </c>
      <c r="CE84" s="53">
        <f>AVERAGE(BK84:BN84)</f>
        <v>627</v>
      </c>
      <c r="CF84" s="14"/>
      <c r="CG84" s="82"/>
      <c r="CY84"/>
      <c r="CZ84"/>
      <c r="DA84"/>
      <c r="DB84"/>
      <c r="DC84"/>
      <c r="DD84"/>
    </row>
    <row r="85" spans="1:108" s="5" customFormat="1">
      <c r="B85" s="5" t="s">
        <v>143</v>
      </c>
      <c r="C85" s="32">
        <v>360.98399999999998</v>
      </c>
      <c r="D85" s="30">
        <v>361.67399999999998</v>
      </c>
      <c r="E85" s="30">
        <v>366.85700000000003</v>
      </c>
      <c r="F85" s="33">
        <v>371.851</v>
      </c>
      <c r="G85" s="30">
        <v>389.428</v>
      </c>
      <c r="H85" s="30">
        <v>385.589</v>
      </c>
      <c r="I85" s="30">
        <v>586.73299999999995</v>
      </c>
      <c r="J85" s="30">
        <v>598.49099999999999</v>
      </c>
      <c r="K85" s="32">
        <v>598.29899999999998</v>
      </c>
      <c r="L85" s="30">
        <v>603.83000000000004</v>
      </c>
      <c r="M85" s="30">
        <v>612.98500000000001</v>
      </c>
      <c r="N85" s="33">
        <v>609.173</v>
      </c>
      <c r="O85" s="30">
        <v>591.98900000000003</v>
      </c>
      <c r="P85" s="30">
        <v>555.41700000000003</v>
      </c>
      <c r="Q85" s="30">
        <v>564.53599999999994</v>
      </c>
      <c r="R85" s="30">
        <v>537.59500000000003</v>
      </c>
      <c r="S85" s="32">
        <v>542.30700000000002</v>
      </c>
      <c r="T85" s="30">
        <v>546.63900000000001</v>
      </c>
      <c r="U85" s="30">
        <v>574.38099999999997</v>
      </c>
      <c r="V85" s="33">
        <v>582.08100000000002</v>
      </c>
      <c r="W85" s="30">
        <v>590.99699999999996</v>
      </c>
      <c r="X85" s="30">
        <v>572.76400000000001</v>
      </c>
      <c r="Y85" s="30">
        <v>582.64800000000002</v>
      </c>
      <c r="Z85" s="30">
        <v>601.55899999999997</v>
      </c>
      <c r="AA85" s="32">
        <v>613.47400000000005</v>
      </c>
      <c r="AB85" s="30">
        <v>613.93399999999997</v>
      </c>
      <c r="AC85" s="30">
        <v>613.55999999999995</v>
      </c>
      <c r="AD85" s="33">
        <v>618.59900000000005</v>
      </c>
      <c r="AE85" s="30">
        <v>623.78599999999994</v>
      </c>
      <c r="AF85" s="30">
        <v>623.14300000000003</v>
      </c>
      <c r="AG85" s="30">
        <v>628.84500000000003</v>
      </c>
      <c r="AH85" s="33">
        <v>622.01800000000003</v>
      </c>
      <c r="AI85" s="30">
        <v>619.30200000000002</v>
      </c>
      <c r="AJ85" s="30">
        <v>592.00599999999997</v>
      </c>
      <c r="AK85" s="30">
        <v>588.75199999999995</v>
      </c>
      <c r="AL85" s="33">
        <v>577.35599999999999</v>
      </c>
      <c r="AM85" s="30">
        <v>570.42200000000003</v>
      </c>
      <c r="AN85" s="30">
        <v>570.572</v>
      </c>
      <c r="AO85" s="30">
        <v>558.20100000000002</v>
      </c>
      <c r="AP85" s="33">
        <v>556.57299999999998</v>
      </c>
      <c r="AQ85" s="30">
        <v>568</v>
      </c>
      <c r="AR85" s="30">
        <v>556</v>
      </c>
      <c r="AS85" s="30">
        <v>565</v>
      </c>
      <c r="AT85" s="33">
        <v>593</v>
      </c>
      <c r="AU85" s="30">
        <v>597</v>
      </c>
      <c r="AV85" s="30">
        <v>631</v>
      </c>
      <c r="AW85" s="30">
        <v>653</v>
      </c>
      <c r="AX85" s="33">
        <v>660</v>
      </c>
      <c r="AY85" s="30">
        <v>641</v>
      </c>
      <c r="AZ85" s="30">
        <v>633</v>
      </c>
      <c r="BA85" s="30">
        <v>628</v>
      </c>
      <c r="BB85" s="33">
        <v>628</v>
      </c>
      <c r="BC85" s="53">
        <f t="shared" ref="BC85:BJ85" si="439">BC84*BC88</f>
        <v>630.07260726072616</v>
      </c>
      <c r="BD85" s="53">
        <f t="shared" si="439"/>
        <v>632.1452145214522</v>
      </c>
      <c r="BE85" s="73">
        <f t="shared" si="439"/>
        <v>634.21782178217825</v>
      </c>
      <c r="BF85" s="238">
        <f t="shared" si="439"/>
        <v>636.29042904290441</v>
      </c>
      <c r="BG85" s="53">
        <f t="shared" si="439"/>
        <v>638.36303630363045</v>
      </c>
      <c r="BH85" s="53">
        <f t="shared" si="439"/>
        <v>640.4356435643565</v>
      </c>
      <c r="BI85" s="73">
        <f t="shared" si="439"/>
        <v>642.50825082508254</v>
      </c>
      <c r="BJ85" s="238">
        <f t="shared" si="439"/>
        <v>644.5808580858087</v>
      </c>
      <c r="BK85" s="53">
        <f t="shared" ref="BK85:BN85" si="440">BK84*BK88</f>
        <v>646.65346534653474</v>
      </c>
      <c r="BL85" s="53">
        <f t="shared" si="440"/>
        <v>648.72607260726079</v>
      </c>
      <c r="BM85" s="73">
        <f t="shared" si="440"/>
        <v>650.79867986798683</v>
      </c>
      <c r="BN85" s="238">
        <f t="shared" si="440"/>
        <v>652.87128712871299</v>
      </c>
      <c r="BO85" s="84"/>
      <c r="BP85" s="53">
        <f>AVERAGE(C85:F85)</f>
        <v>365.3415</v>
      </c>
      <c r="BQ85" s="53">
        <f>AVERAGE(G85:J85)</f>
        <v>490.06025</v>
      </c>
      <c r="BR85" s="53">
        <f>AVERAGE(K85:N85)</f>
        <v>606.07175000000007</v>
      </c>
      <c r="BS85" s="53">
        <f>AVERAGE(O85:R85)</f>
        <v>562.38425000000007</v>
      </c>
      <c r="BT85" s="53">
        <f>AVERAGE(S85:V85)</f>
        <v>561.35199999999998</v>
      </c>
      <c r="BU85" s="53">
        <f>AVERAGE(W85:Z85)</f>
        <v>586.99199999999996</v>
      </c>
      <c r="BV85" s="53">
        <f>AVERAGE(AA85:AD85)</f>
        <v>614.89175</v>
      </c>
      <c r="BW85" s="53">
        <f>AVERAGE(AE85:AH85)</f>
        <v>624.44800000000009</v>
      </c>
      <c r="BX85" s="53">
        <f>AVERAGE(AI85:AL85)</f>
        <v>594.35400000000004</v>
      </c>
      <c r="BY85" s="53">
        <f>AVERAGE(AM85:AP85)</f>
        <v>563.94200000000001</v>
      </c>
      <c r="BZ85" s="53">
        <f>AVERAGE(AQ85:AT85)</f>
        <v>570.5</v>
      </c>
      <c r="CA85" s="53">
        <f t="shared" ref="CA85" si="441">AVERAGE(AU85:AX85)</f>
        <v>635.25</v>
      </c>
      <c r="CB85" s="53">
        <f>AVERAGE(AY85:BB85)</f>
        <v>632.5</v>
      </c>
      <c r="CC85" s="53">
        <f>AVERAGE(BC85:BF85)</f>
        <v>633.18151815181523</v>
      </c>
      <c r="CD85" s="53">
        <f>AVERAGE(BG85:BJ85)</f>
        <v>641.47194719471952</v>
      </c>
      <c r="CE85" s="53">
        <f>AVERAGE(BK85:BN85)</f>
        <v>649.76237623762381</v>
      </c>
      <c r="CF85" s="14"/>
      <c r="CG85" s="82"/>
      <c r="CY85"/>
      <c r="CZ85"/>
      <c r="DA85"/>
      <c r="DB85"/>
      <c r="DC85"/>
      <c r="DD85"/>
    </row>
    <row r="86" spans="1:108" s="5" customFormat="1">
      <c r="B86" s="5" t="s">
        <v>416</v>
      </c>
      <c r="C86" s="32">
        <f t="shared" ref="C86:J86" si="442">C85</f>
        <v>360.98399999999998</v>
      </c>
      <c r="D86" s="30">
        <f t="shared" si="442"/>
        <v>361.67399999999998</v>
      </c>
      <c r="E86" s="30">
        <f t="shared" si="442"/>
        <v>366.85700000000003</v>
      </c>
      <c r="F86" s="33">
        <f t="shared" si="442"/>
        <v>371.851</v>
      </c>
      <c r="G86" s="30">
        <f t="shared" si="442"/>
        <v>389.428</v>
      </c>
      <c r="H86" s="67">
        <f t="shared" si="442"/>
        <v>385.589</v>
      </c>
      <c r="I86" s="67">
        <f t="shared" si="442"/>
        <v>586.73299999999995</v>
      </c>
      <c r="J86" s="67">
        <f t="shared" si="442"/>
        <v>598.49099999999999</v>
      </c>
      <c r="K86" s="235">
        <f>K85</f>
        <v>598.29899999999998</v>
      </c>
      <c r="L86" s="67">
        <f t="shared" ref="L86:AP86" si="443">L85</f>
        <v>603.83000000000004</v>
      </c>
      <c r="M86" s="67">
        <f t="shared" si="443"/>
        <v>612.98500000000001</v>
      </c>
      <c r="N86" s="236">
        <f t="shared" si="443"/>
        <v>609.173</v>
      </c>
      <c r="O86" s="67">
        <f t="shared" si="443"/>
        <v>591.98900000000003</v>
      </c>
      <c r="P86" s="67">
        <f t="shared" si="443"/>
        <v>555.41700000000003</v>
      </c>
      <c r="Q86" s="67">
        <f t="shared" si="443"/>
        <v>564.53599999999994</v>
      </c>
      <c r="R86" s="67">
        <f t="shared" si="443"/>
        <v>537.59500000000003</v>
      </c>
      <c r="S86" s="235">
        <f t="shared" si="443"/>
        <v>542.30700000000002</v>
      </c>
      <c r="T86" s="67">
        <f t="shared" si="443"/>
        <v>546.63900000000001</v>
      </c>
      <c r="U86" s="67">
        <f t="shared" si="443"/>
        <v>574.38099999999997</v>
      </c>
      <c r="V86" s="236">
        <f t="shared" si="443"/>
        <v>582.08100000000002</v>
      </c>
      <c r="W86" s="67">
        <f t="shared" si="443"/>
        <v>590.99699999999996</v>
      </c>
      <c r="X86" s="67">
        <f t="shared" si="443"/>
        <v>572.76400000000001</v>
      </c>
      <c r="Y86" s="67">
        <f t="shared" si="443"/>
        <v>582.64800000000002</v>
      </c>
      <c r="Z86" s="67">
        <f t="shared" si="443"/>
        <v>601.55899999999997</v>
      </c>
      <c r="AA86" s="235">
        <f t="shared" si="443"/>
        <v>613.47400000000005</v>
      </c>
      <c r="AB86" s="67">
        <f t="shared" si="443"/>
        <v>613.93399999999997</v>
      </c>
      <c r="AC86" s="67">
        <f t="shared" si="443"/>
        <v>613.55999999999995</v>
      </c>
      <c r="AD86" s="236">
        <f t="shared" si="443"/>
        <v>618.59900000000005</v>
      </c>
      <c r="AE86" s="67">
        <f t="shared" si="443"/>
        <v>623.78599999999994</v>
      </c>
      <c r="AF86" s="67">
        <f t="shared" si="443"/>
        <v>623.14300000000003</v>
      </c>
      <c r="AG86" s="67">
        <f t="shared" si="443"/>
        <v>628.84500000000003</v>
      </c>
      <c r="AH86" s="236">
        <f t="shared" si="443"/>
        <v>622.01800000000003</v>
      </c>
      <c r="AI86" s="67">
        <f t="shared" si="443"/>
        <v>619.30200000000002</v>
      </c>
      <c r="AJ86" s="67">
        <f t="shared" si="443"/>
        <v>592.00599999999997</v>
      </c>
      <c r="AK86" s="67">
        <f t="shared" si="443"/>
        <v>588.75199999999995</v>
      </c>
      <c r="AL86" s="236">
        <f t="shared" si="443"/>
        <v>577.35599999999999</v>
      </c>
      <c r="AM86" s="30">
        <f t="shared" si="443"/>
        <v>570.42200000000003</v>
      </c>
      <c r="AN86" s="67">
        <f t="shared" si="443"/>
        <v>570.572</v>
      </c>
      <c r="AO86" s="67">
        <f t="shared" si="443"/>
        <v>558.20100000000002</v>
      </c>
      <c r="AP86" s="236">
        <f t="shared" si="443"/>
        <v>556.57299999999998</v>
      </c>
      <c r="AQ86" s="30">
        <v>562</v>
      </c>
      <c r="AR86" s="67">
        <v>552</v>
      </c>
      <c r="AS86" s="67">
        <v>555</v>
      </c>
      <c r="AT86" s="236">
        <v>567</v>
      </c>
      <c r="AU86" s="30">
        <v>568</v>
      </c>
      <c r="AV86" s="67">
        <v>588</v>
      </c>
      <c r="AW86" s="67">
        <v>608</v>
      </c>
      <c r="AX86" s="236">
        <v>624</v>
      </c>
      <c r="AY86" s="30">
        <v>627</v>
      </c>
      <c r="AZ86" s="67">
        <v>629</v>
      </c>
      <c r="BA86" s="67">
        <v>626</v>
      </c>
      <c r="BB86" s="236">
        <v>627</v>
      </c>
      <c r="BC86" s="53">
        <f t="shared" ref="BC86:BJ86" si="444">BB86+(BC85-BB85)</f>
        <v>629.07260726072616</v>
      </c>
      <c r="BD86" s="53">
        <f t="shared" si="444"/>
        <v>631.1452145214522</v>
      </c>
      <c r="BE86" s="73">
        <f t="shared" si="444"/>
        <v>633.21782178217825</v>
      </c>
      <c r="BF86" s="73">
        <f t="shared" si="444"/>
        <v>635.29042904290441</v>
      </c>
      <c r="BG86" s="53">
        <f t="shared" si="444"/>
        <v>637.36303630363045</v>
      </c>
      <c r="BH86" s="53">
        <f t="shared" si="444"/>
        <v>639.4356435643565</v>
      </c>
      <c r="BI86" s="73">
        <f t="shared" si="444"/>
        <v>641.50825082508254</v>
      </c>
      <c r="BJ86" s="238">
        <f t="shared" si="444"/>
        <v>643.5808580858087</v>
      </c>
      <c r="BK86" s="53">
        <f t="shared" ref="BK86" si="445">BJ86+(BK85-BJ85)</f>
        <v>645.65346534653474</v>
      </c>
      <c r="BL86" s="53">
        <f t="shared" ref="BL86" si="446">BK86+(BL85-BK85)</f>
        <v>647.72607260726079</v>
      </c>
      <c r="BM86" s="73">
        <f t="shared" ref="BM86" si="447">BL86+(BM85-BL85)</f>
        <v>649.79867986798683</v>
      </c>
      <c r="BN86" s="238">
        <f t="shared" ref="BN86" si="448">BM86+(BN85-BM85)</f>
        <v>651.87128712871299</v>
      </c>
      <c r="BO86" s="84"/>
      <c r="BP86" s="53"/>
      <c r="BQ86" s="53"/>
      <c r="BR86" s="53"/>
      <c r="BS86" s="53"/>
      <c r="BT86" s="53"/>
      <c r="BU86" s="53"/>
      <c r="BV86" s="53"/>
      <c r="BW86" s="53">
        <f>AVERAGE(AE86:AH86)</f>
        <v>624.44800000000009</v>
      </c>
      <c r="BX86" s="53">
        <f>AVERAGE(AI86:AL86)</f>
        <v>594.35400000000004</v>
      </c>
      <c r="BY86" s="53">
        <f>AVERAGE(AM86:AP86)</f>
        <v>563.94200000000001</v>
      </c>
      <c r="BZ86" s="53">
        <f>AVERAGE(AQ86:AT86)</f>
        <v>559</v>
      </c>
      <c r="CA86" s="53">
        <f>AVERAGE(AU86:AX86)</f>
        <v>597</v>
      </c>
      <c r="CB86" s="53">
        <f>AVERAGE(AY86:BB86)</f>
        <v>627.25</v>
      </c>
      <c r="CC86" s="53">
        <f>AVERAGE(BC86:BF86)</f>
        <v>632.18151815181523</v>
      </c>
      <c r="CD86" s="53">
        <f>AVERAGE(BG86:BJ86)</f>
        <v>640.47194719471952</v>
      </c>
      <c r="CE86" s="53">
        <f>AVERAGE(BK86:BN86)</f>
        <v>648.76237623762381</v>
      </c>
      <c r="CF86" s="14"/>
      <c r="CG86" s="82"/>
      <c r="CY86"/>
      <c r="CZ86"/>
      <c r="DA86"/>
      <c r="DB86"/>
      <c r="DC86"/>
      <c r="DD86"/>
    </row>
    <row r="87" spans="1:108" s="5" customFormat="1">
      <c r="B87" s="5" t="s">
        <v>280</v>
      </c>
      <c r="C87" s="43"/>
      <c r="D87" s="29">
        <f>D85-C85</f>
        <v>0.68999999999999773</v>
      </c>
      <c r="E87" s="29">
        <f t="shared" ref="E87:AY87" si="449">E85-D85</f>
        <v>5.1830000000000496</v>
      </c>
      <c r="F87" s="44">
        <f t="shared" si="449"/>
        <v>4.9939999999999714</v>
      </c>
      <c r="G87" s="29">
        <f t="shared" si="449"/>
        <v>17.576999999999998</v>
      </c>
      <c r="H87" s="29">
        <f t="shared" si="449"/>
        <v>-3.8389999999999986</v>
      </c>
      <c r="I87" s="29">
        <f t="shared" si="449"/>
        <v>201.14399999999995</v>
      </c>
      <c r="J87" s="29">
        <f t="shared" si="449"/>
        <v>11.758000000000038</v>
      </c>
      <c r="K87" s="43">
        <f t="shared" si="449"/>
        <v>-0.19200000000000728</v>
      </c>
      <c r="L87" s="29">
        <f t="shared" si="449"/>
        <v>5.5310000000000628</v>
      </c>
      <c r="M87" s="29">
        <f t="shared" si="449"/>
        <v>9.1549999999999727</v>
      </c>
      <c r="N87" s="44">
        <f t="shared" si="449"/>
        <v>-3.8120000000000118</v>
      </c>
      <c r="O87" s="29">
        <f t="shared" si="449"/>
        <v>-17.183999999999969</v>
      </c>
      <c r="P87" s="29">
        <f t="shared" si="449"/>
        <v>-36.572000000000003</v>
      </c>
      <c r="Q87" s="29">
        <f t="shared" si="449"/>
        <v>9.1189999999999145</v>
      </c>
      <c r="R87" s="29">
        <f t="shared" si="449"/>
        <v>-26.940999999999917</v>
      </c>
      <c r="S87" s="43">
        <f t="shared" si="449"/>
        <v>4.7119999999999891</v>
      </c>
      <c r="T87" s="29">
        <f t="shared" si="449"/>
        <v>4.3319999999999936</v>
      </c>
      <c r="U87" s="29">
        <f t="shared" si="449"/>
        <v>27.741999999999962</v>
      </c>
      <c r="V87" s="44">
        <f t="shared" si="449"/>
        <v>7.7000000000000455</v>
      </c>
      <c r="W87" s="29">
        <f t="shared" si="449"/>
        <v>8.91599999999994</v>
      </c>
      <c r="X87" s="29">
        <f t="shared" si="449"/>
        <v>-18.232999999999947</v>
      </c>
      <c r="Y87" s="29">
        <f t="shared" si="449"/>
        <v>9.8840000000000146</v>
      </c>
      <c r="Z87" s="29">
        <f t="shared" si="449"/>
        <v>18.910999999999945</v>
      </c>
      <c r="AA87" s="43">
        <f t="shared" si="449"/>
        <v>11.915000000000077</v>
      </c>
      <c r="AB87" s="29">
        <f t="shared" si="449"/>
        <v>0.45999999999992269</v>
      </c>
      <c r="AC87" s="29">
        <f t="shared" si="449"/>
        <v>-0.37400000000002365</v>
      </c>
      <c r="AD87" s="44">
        <f t="shared" si="449"/>
        <v>5.039000000000101</v>
      </c>
      <c r="AE87" s="29">
        <f t="shared" si="449"/>
        <v>5.1869999999998981</v>
      </c>
      <c r="AF87" s="29">
        <f t="shared" si="449"/>
        <v>-0.64299999999991542</v>
      </c>
      <c r="AG87" s="29">
        <f t="shared" si="449"/>
        <v>5.7019999999999982</v>
      </c>
      <c r="AH87" s="44">
        <f t="shared" si="449"/>
        <v>-6.8269999999999982</v>
      </c>
      <c r="AI87" s="29">
        <f t="shared" si="449"/>
        <v>-2.7160000000000082</v>
      </c>
      <c r="AJ87" s="29">
        <f t="shared" si="449"/>
        <v>-27.296000000000049</v>
      </c>
      <c r="AK87" s="29">
        <f t="shared" si="449"/>
        <v>-3.2540000000000191</v>
      </c>
      <c r="AL87" s="44">
        <f t="shared" si="449"/>
        <v>-11.395999999999958</v>
      </c>
      <c r="AM87" s="29">
        <f t="shared" si="449"/>
        <v>-6.9339999999999691</v>
      </c>
      <c r="AN87" s="29">
        <f t="shared" si="449"/>
        <v>0.14999999999997726</v>
      </c>
      <c r="AO87" s="29">
        <f t="shared" si="449"/>
        <v>-12.370999999999981</v>
      </c>
      <c r="AP87" s="44">
        <f t="shared" si="449"/>
        <v>-1.6280000000000427</v>
      </c>
      <c r="AQ87" s="29">
        <f t="shared" si="449"/>
        <v>11.427000000000021</v>
      </c>
      <c r="AR87" s="29">
        <f>AR85-AQ85</f>
        <v>-12</v>
      </c>
      <c r="AS87" s="29">
        <f t="shared" si="449"/>
        <v>9</v>
      </c>
      <c r="AT87" s="44">
        <f>AT85-AS85</f>
        <v>28</v>
      </c>
      <c r="AU87" s="29">
        <f t="shared" si="449"/>
        <v>4</v>
      </c>
      <c r="AV87" s="29">
        <f>AV85-AU85</f>
        <v>34</v>
      </c>
      <c r="AW87" s="29">
        <f t="shared" si="449"/>
        <v>22</v>
      </c>
      <c r="AX87" s="44">
        <f>AX85-AW85</f>
        <v>7</v>
      </c>
      <c r="AY87" s="29">
        <f t="shared" si="449"/>
        <v>-19</v>
      </c>
      <c r="AZ87" s="29">
        <f>AZ85-AY85</f>
        <v>-8</v>
      </c>
      <c r="BA87" s="29">
        <f>BA85-AZ85</f>
        <v>-5</v>
      </c>
      <c r="BB87" s="44">
        <f>BB85-BA85</f>
        <v>0</v>
      </c>
      <c r="BC87" s="53">
        <f t="shared" ref="BC87:BJ87" si="450">BC85-BB85</f>
        <v>2.0726072607261585</v>
      </c>
      <c r="BD87" s="53">
        <f t="shared" si="450"/>
        <v>2.0726072607260448</v>
      </c>
      <c r="BE87" s="29">
        <f t="shared" si="450"/>
        <v>2.0726072607260448</v>
      </c>
      <c r="BF87" s="44">
        <f t="shared" si="450"/>
        <v>2.0726072607261585</v>
      </c>
      <c r="BG87" s="53">
        <f t="shared" si="450"/>
        <v>2.0726072607260448</v>
      </c>
      <c r="BH87" s="53">
        <f t="shared" si="450"/>
        <v>2.0726072607260448</v>
      </c>
      <c r="BI87" s="29">
        <f t="shared" si="450"/>
        <v>2.0726072607260448</v>
      </c>
      <c r="BJ87" s="44">
        <f t="shared" si="450"/>
        <v>2.0726072607261585</v>
      </c>
      <c r="BK87" s="53">
        <f t="shared" ref="BK87" si="451">BK85-BJ85</f>
        <v>2.0726072607260448</v>
      </c>
      <c r="BL87" s="53">
        <f t="shared" ref="BL87" si="452">BL85-BK85</f>
        <v>2.0726072607260448</v>
      </c>
      <c r="BM87" s="29">
        <f t="shared" ref="BM87" si="453">BM85-BL85</f>
        <v>2.0726072607260448</v>
      </c>
      <c r="BN87" s="44">
        <f t="shared" ref="BN87" si="454">BN85-BM85</f>
        <v>2.0726072607261585</v>
      </c>
      <c r="BO87" s="84"/>
      <c r="BP87" s="59"/>
      <c r="BQ87" s="29">
        <f t="shared" ref="BQ87:BX87" si="455">BQ85-BP85</f>
        <v>124.71875</v>
      </c>
      <c r="BR87" s="29">
        <f t="shared" si="455"/>
        <v>116.01150000000007</v>
      </c>
      <c r="BS87" s="29">
        <f t="shared" si="455"/>
        <v>-43.6875</v>
      </c>
      <c r="BT87" s="29">
        <f t="shared" si="455"/>
        <v>-1.03225000000009</v>
      </c>
      <c r="BU87" s="29">
        <f t="shared" si="455"/>
        <v>25.639999999999986</v>
      </c>
      <c r="BV87" s="29">
        <f t="shared" si="455"/>
        <v>27.89975000000004</v>
      </c>
      <c r="BW87" s="29">
        <f t="shared" si="455"/>
        <v>9.5562500000000909</v>
      </c>
      <c r="BX87" s="29">
        <f t="shared" si="455"/>
        <v>-30.094000000000051</v>
      </c>
      <c r="BY87" s="29">
        <f t="shared" ref="BY87" si="456">BY85-BX85</f>
        <v>-30.412000000000035</v>
      </c>
      <c r="BZ87" s="29">
        <f t="shared" ref="BZ87:CE87" si="457">BZ85-BY85</f>
        <v>6.5579999999999927</v>
      </c>
      <c r="CA87" s="29">
        <f t="shared" si="457"/>
        <v>64.75</v>
      </c>
      <c r="CB87" s="29">
        <f t="shared" si="457"/>
        <v>-2.75</v>
      </c>
      <c r="CC87" s="29">
        <f t="shared" si="457"/>
        <v>0.68151815181522579</v>
      </c>
      <c r="CD87" s="29">
        <f t="shared" si="457"/>
        <v>8.2904290429042931</v>
      </c>
      <c r="CE87" s="29">
        <f t="shared" si="457"/>
        <v>8.2904290429042931</v>
      </c>
      <c r="CF87" s="14"/>
      <c r="CG87" s="82"/>
      <c r="CY87"/>
      <c r="CZ87"/>
      <c r="DA87"/>
      <c r="DB87"/>
      <c r="DC87"/>
      <c r="DD87"/>
    </row>
    <row r="88" spans="1:108" s="5" customFormat="1">
      <c r="B88" s="5" t="s">
        <v>281</v>
      </c>
      <c r="C88" s="265">
        <f>C85/C84</f>
        <v>1.0702354622376917</v>
      </c>
      <c r="D88" s="266">
        <f>D85/D84</f>
        <v>1.0704024434276649</v>
      </c>
      <c r="E88" s="266">
        <f t="shared" ref="E88:AN88" si="458">E85/E84</f>
        <v>1.0781857083237816</v>
      </c>
      <c r="F88" s="267">
        <f t="shared" si="458"/>
        <v>1.0870166391880356</v>
      </c>
      <c r="G88" s="266">
        <f t="shared" si="458"/>
        <v>1.1192485996028017</v>
      </c>
      <c r="H88" s="266">
        <f t="shared" si="458"/>
        <v>1.100915361862016</v>
      </c>
      <c r="I88" s="266">
        <f t="shared" si="458"/>
        <v>1.1091654599554619</v>
      </c>
      <c r="J88" s="266">
        <f t="shared" si="458"/>
        <v>1.1120812676988026</v>
      </c>
      <c r="K88" s="265">
        <f t="shared" si="458"/>
        <v>1.1054084364439896</v>
      </c>
      <c r="L88" s="266">
        <f t="shared" si="458"/>
        <v>1.1032787933601924</v>
      </c>
      <c r="M88" s="266">
        <f t="shared" si="458"/>
        <v>1.1045451433060764</v>
      </c>
      <c r="N88" s="267">
        <f t="shared" si="458"/>
        <v>1.0933871555417549</v>
      </c>
      <c r="O88" s="266">
        <f t="shared" si="458"/>
        <v>1.0653549839563916</v>
      </c>
      <c r="P88" s="266">
        <f t="shared" si="458"/>
        <v>1</v>
      </c>
      <c r="Q88" s="266">
        <f t="shared" si="458"/>
        <v>1.0381183030008807</v>
      </c>
      <c r="R88" s="266">
        <f t="shared" si="458"/>
        <v>1</v>
      </c>
      <c r="S88" s="265">
        <f t="shared" si="458"/>
        <v>1</v>
      </c>
      <c r="T88" s="266">
        <f t="shared" si="458"/>
        <v>1</v>
      </c>
      <c r="U88" s="266">
        <f t="shared" si="458"/>
        <v>1.0418986255698071</v>
      </c>
      <c r="V88" s="267">
        <f t="shared" si="458"/>
        <v>1.0441308103085496</v>
      </c>
      <c r="W88" s="266">
        <f t="shared" si="458"/>
        <v>1.0419864488181063</v>
      </c>
      <c r="X88" s="266">
        <f t="shared" si="458"/>
        <v>1</v>
      </c>
      <c r="Y88" s="266">
        <f t="shared" si="458"/>
        <v>1.0092236061961848</v>
      </c>
      <c r="Z88" s="266">
        <f t="shared" si="458"/>
        <v>1.0310572313472359</v>
      </c>
      <c r="AA88" s="265">
        <f t="shared" si="458"/>
        <v>1.0313919590048453</v>
      </c>
      <c r="AB88" s="266">
        <f t="shared" si="458"/>
        <v>1.0209432267934944</v>
      </c>
      <c r="AC88" s="266">
        <f t="shared" si="458"/>
        <v>1.0107023488501192</v>
      </c>
      <c r="AD88" s="267">
        <f t="shared" si="458"/>
        <v>1.0117216632430099</v>
      </c>
      <c r="AE88" s="266">
        <f t="shared" si="458"/>
        <v>1.0130013966026827</v>
      </c>
      <c r="AF88" s="266">
        <f t="shared" si="458"/>
        <v>1.0066995586401206</v>
      </c>
      <c r="AG88" s="266">
        <f t="shared" si="458"/>
        <v>1.0104330025451835</v>
      </c>
      <c r="AH88" s="267">
        <f t="shared" si="458"/>
        <v>1.0029814453802111</v>
      </c>
      <c r="AI88" s="266">
        <f t="shared" si="458"/>
        <v>1.0039392288837881</v>
      </c>
      <c r="AJ88" s="266">
        <f t="shared" si="458"/>
        <v>1.0113796137320725</v>
      </c>
      <c r="AK88" s="266">
        <f t="shared" si="458"/>
        <v>1.0135693012205829</v>
      </c>
      <c r="AL88" s="267">
        <f t="shared" si="458"/>
        <v>1.0156082064019505</v>
      </c>
      <c r="AM88" s="590">
        <f t="shared" si="458"/>
        <v>1.0202650011089409</v>
      </c>
      <c r="AN88" s="266">
        <f t="shared" si="458"/>
        <v>1.022121983508383</v>
      </c>
      <c r="AO88" s="266">
        <f>AO85/AO84</f>
        <v>1.0190073185113246</v>
      </c>
      <c r="AP88" s="267">
        <f>AP85/AP84</f>
        <v>1.0227925096936619</v>
      </c>
      <c r="AQ88" s="590">
        <f>AQ85/AQ84</f>
        <v>1.0346083788706739</v>
      </c>
      <c r="AR88" s="266">
        <f t="shared" ref="AR88" si="459">AR85/AR84</f>
        <v>1.0277264325323474</v>
      </c>
      <c r="AS88" s="266">
        <f>AS85/AS84</f>
        <v>1.0424354243542435</v>
      </c>
      <c r="AT88" s="267">
        <f>AT85/AT84</f>
        <v>1.1001855287569573</v>
      </c>
      <c r="AU88" s="590">
        <f>AU85/AU84</f>
        <v>1.1117318435754191</v>
      </c>
      <c r="AV88" s="266">
        <f t="shared" ref="AV88" si="460">AV85/AV84</f>
        <v>1.1816479400749065</v>
      </c>
      <c r="AW88" s="266">
        <f>AW85/AW84</f>
        <v>1.2137546468401488</v>
      </c>
      <c r="AX88" s="267">
        <f>AX85/AX84</f>
        <v>1.1934900542495479</v>
      </c>
      <c r="AY88" s="590">
        <f>AY85/AY84</f>
        <v>1.0827702702702702</v>
      </c>
      <c r="AZ88" s="266">
        <f t="shared" ref="AZ88:BA88" si="461">AZ85/AZ84</f>
        <v>1.0603015075376885</v>
      </c>
      <c r="BA88" s="266">
        <f t="shared" si="461"/>
        <v>1.0414593698175787</v>
      </c>
      <c r="BB88" s="267">
        <f>BB85/BB84</f>
        <v>1.0363036303630364</v>
      </c>
      <c r="BC88" s="677">
        <f t="shared" ref="BC88:BJ88" si="462">BB88</f>
        <v>1.0363036303630364</v>
      </c>
      <c r="BD88" s="962">
        <f t="shared" si="462"/>
        <v>1.0363036303630364</v>
      </c>
      <c r="BE88" s="677">
        <f t="shared" si="462"/>
        <v>1.0363036303630364</v>
      </c>
      <c r="BF88" s="678">
        <f t="shared" si="462"/>
        <v>1.0363036303630364</v>
      </c>
      <c r="BG88" s="677">
        <f t="shared" si="462"/>
        <v>1.0363036303630364</v>
      </c>
      <c r="BH88" s="962">
        <f t="shared" si="462"/>
        <v>1.0363036303630364</v>
      </c>
      <c r="BI88" s="677">
        <f t="shared" si="462"/>
        <v>1.0363036303630364</v>
      </c>
      <c r="BJ88" s="678">
        <f t="shared" si="462"/>
        <v>1.0363036303630364</v>
      </c>
      <c r="BK88" s="677">
        <f t="shared" ref="BK88" si="463">BJ88</f>
        <v>1.0363036303630364</v>
      </c>
      <c r="BL88" s="962">
        <f t="shared" ref="BL88" si="464">BK88</f>
        <v>1.0363036303630364</v>
      </c>
      <c r="BM88" s="677">
        <f t="shared" ref="BM88" si="465">BL88</f>
        <v>1.0363036303630364</v>
      </c>
      <c r="BN88" s="678">
        <f t="shared" ref="BN88" si="466">BM88</f>
        <v>1.0363036303630364</v>
      </c>
      <c r="BO88" s="126"/>
      <c r="BP88" s="266">
        <f>BP85/BP84</f>
        <v>1.076498433169947</v>
      </c>
      <c r="BQ88" s="266">
        <f t="shared" ref="BQ88:CA88" si="467">BQ85/BQ84</f>
        <v>1.1104048570841067</v>
      </c>
      <c r="BR88" s="266">
        <f t="shared" si="467"/>
        <v>1.1016176503332409</v>
      </c>
      <c r="BS88" s="266">
        <f t="shared" si="467"/>
        <v>1.0260183389494695</v>
      </c>
      <c r="BT88" s="266">
        <f t="shared" si="467"/>
        <v>1.0217044302518807</v>
      </c>
      <c r="BU88" s="266">
        <f t="shared" si="467"/>
        <v>1.0205410592995463</v>
      </c>
      <c r="BV88" s="266">
        <f t="shared" si="467"/>
        <v>1.0186073517468672</v>
      </c>
      <c r="BW88" s="266">
        <f t="shared" si="467"/>
        <v>1.0082731299476813</v>
      </c>
      <c r="BX88" s="266">
        <f t="shared" si="467"/>
        <v>1.0109909549790141</v>
      </c>
      <c r="BY88" s="266">
        <f t="shared" si="467"/>
        <v>1.0210449224496374</v>
      </c>
      <c r="BZ88" s="266">
        <f t="shared" si="467"/>
        <v>1.0511285122063565</v>
      </c>
      <c r="CA88" s="590">
        <f t="shared" si="467"/>
        <v>1.1753006475485661</v>
      </c>
      <c r="CB88" s="590">
        <f t="shared" ref="CB88:CC88" si="468">CB85/CB84</f>
        <v>1.0550458715596329</v>
      </c>
      <c r="CC88" s="590">
        <f t="shared" si="468"/>
        <v>1.0363036303630364</v>
      </c>
      <c r="CD88" s="590">
        <f t="shared" ref="CD88:CE88" si="469">CD85/CD84</f>
        <v>1.0363036303630364</v>
      </c>
      <c r="CE88" s="590">
        <f t="shared" si="469"/>
        <v>1.0363036303630364</v>
      </c>
      <c r="CF88" s="14"/>
      <c r="CG88" s="82"/>
      <c r="CY88"/>
      <c r="CZ88"/>
      <c r="DA88"/>
      <c r="DB88"/>
      <c r="DC88"/>
      <c r="DD88"/>
    </row>
    <row r="89" spans="1:108" s="5" customFormat="1">
      <c r="C89" s="229"/>
      <c r="D89" s="60"/>
      <c r="E89" s="60"/>
      <c r="F89" s="230"/>
      <c r="G89" s="60"/>
      <c r="H89" s="60"/>
      <c r="I89" s="60"/>
      <c r="J89" s="60"/>
      <c r="K89" s="229"/>
      <c r="L89" s="60"/>
      <c r="M89" s="60"/>
      <c r="N89" s="230"/>
      <c r="O89" s="60"/>
      <c r="P89" s="60"/>
      <c r="Q89" s="60"/>
      <c r="R89" s="60"/>
      <c r="S89" s="229"/>
      <c r="T89" s="60"/>
      <c r="U89" s="60"/>
      <c r="V89" s="230"/>
      <c r="W89" s="60"/>
      <c r="X89" s="60"/>
      <c r="Y89" s="60"/>
      <c r="Z89" s="60"/>
      <c r="AA89" s="229"/>
      <c r="AB89" s="60"/>
      <c r="AC89" s="60"/>
      <c r="AD89" s="230"/>
      <c r="AE89" s="60"/>
      <c r="AF89" s="60"/>
      <c r="AG89" s="60"/>
      <c r="AH89" s="230"/>
      <c r="AI89" s="60"/>
      <c r="AJ89" s="60"/>
      <c r="AK89" s="60"/>
      <c r="AL89" s="230"/>
      <c r="AM89" s="60"/>
      <c r="AN89" s="60"/>
      <c r="AO89" s="60"/>
      <c r="AP89" s="230"/>
      <c r="AQ89" s="60"/>
      <c r="AR89" s="60"/>
      <c r="AS89" s="60"/>
      <c r="AT89" s="230"/>
      <c r="AU89" s="60"/>
      <c r="AV89" s="60"/>
      <c r="AW89" s="60"/>
      <c r="AX89" s="230"/>
      <c r="AY89" s="60"/>
      <c r="AZ89" s="60"/>
      <c r="BA89" s="60"/>
      <c r="BB89" s="230"/>
      <c r="BC89" s="60"/>
      <c r="BD89" s="60"/>
      <c r="BE89" s="60"/>
      <c r="BF89" s="230"/>
      <c r="BG89" s="60"/>
      <c r="BH89" s="60"/>
      <c r="BI89" s="60"/>
      <c r="BJ89" s="230"/>
      <c r="BK89" s="60"/>
      <c r="BL89" s="60"/>
      <c r="BM89" s="60"/>
      <c r="BN89" s="230"/>
      <c r="BO89" s="84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14"/>
      <c r="CY89"/>
      <c r="CZ89"/>
      <c r="DA89"/>
      <c r="DB89"/>
      <c r="DC89"/>
      <c r="DD89"/>
    </row>
    <row r="90" spans="1:108" s="5" customFormat="1">
      <c r="B90" s="5" t="s">
        <v>67</v>
      </c>
      <c r="C90" s="235">
        <v>-48.466999999999999</v>
      </c>
      <c r="D90" s="67">
        <v>-50.042000000000002</v>
      </c>
      <c r="E90" s="67">
        <v>-39.508999999999972</v>
      </c>
      <c r="F90" s="236">
        <v>-50.491</v>
      </c>
      <c r="G90" s="67">
        <v>-50</v>
      </c>
      <c r="H90" s="67">
        <v>-124.97800000000001</v>
      </c>
      <c r="I90" s="67">
        <v>0</v>
      </c>
      <c r="J90" s="67">
        <v>-100</v>
      </c>
      <c r="K90" s="235">
        <v>-125</v>
      </c>
      <c r="L90" s="67">
        <v>-124.386</v>
      </c>
      <c r="M90" s="67">
        <v>-125.04100000000003</v>
      </c>
      <c r="N90" s="236">
        <v>-178.08499999999992</v>
      </c>
      <c r="O90" s="67">
        <v>-123.896</v>
      </c>
      <c r="P90" s="67">
        <v>0</v>
      </c>
      <c r="Q90" s="67">
        <v>-299.74</v>
      </c>
      <c r="R90" s="67">
        <v>0</v>
      </c>
      <c r="S90" s="235">
        <v>-78.075000000000003</v>
      </c>
      <c r="T90" s="67">
        <v>0</v>
      </c>
      <c r="U90" s="67">
        <v>0</v>
      </c>
      <c r="V90" s="236">
        <v>0</v>
      </c>
      <c r="W90" s="67">
        <v>0</v>
      </c>
      <c r="X90" s="67">
        <v>0</v>
      </c>
      <c r="Y90" s="67">
        <v>0</v>
      </c>
      <c r="Z90" s="67">
        <v>0</v>
      </c>
      <c r="AA90" s="235">
        <v>0</v>
      </c>
      <c r="AB90" s="67">
        <v>0</v>
      </c>
      <c r="AC90" s="67">
        <v>0</v>
      </c>
      <c r="AD90" s="236">
        <v>0</v>
      </c>
      <c r="AE90" s="67">
        <v>0</v>
      </c>
      <c r="AF90" s="67">
        <v>0</v>
      </c>
      <c r="AG90" s="67">
        <v>0</v>
      </c>
      <c r="AH90" s="236">
        <v>-100</v>
      </c>
      <c r="AI90" s="67">
        <v>-100</v>
      </c>
      <c r="AJ90" s="67">
        <v>-750</v>
      </c>
      <c r="AK90" s="67">
        <v>0</v>
      </c>
      <c r="AL90" s="236">
        <v>-37.303999999999974</v>
      </c>
      <c r="AM90" s="67">
        <v>-500</v>
      </c>
      <c r="AN90" s="459">
        <v>0</v>
      </c>
      <c r="AO90" s="67">
        <v>-310</v>
      </c>
      <c r="AP90" s="236">
        <v>-3.6000000000000227</v>
      </c>
      <c r="AQ90" s="67">
        <v>-53</v>
      </c>
      <c r="AR90" s="67">
        <v>-399</v>
      </c>
      <c r="AS90" s="67">
        <v>0</v>
      </c>
      <c r="AT90" s="236">
        <v>-135</v>
      </c>
      <c r="AU90" s="67">
        <v>-500</v>
      </c>
      <c r="AV90" s="67">
        <v>-9</v>
      </c>
      <c r="AW90" s="67">
        <v>0</v>
      </c>
      <c r="AX90" s="236">
        <v>-230</v>
      </c>
      <c r="AY90" s="67">
        <v>0</v>
      </c>
      <c r="AZ90" s="67">
        <v>-758</v>
      </c>
      <c r="BA90" s="67">
        <v>-151</v>
      </c>
      <c r="BB90" s="236">
        <v>0</v>
      </c>
      <c r="BC90" s="957">
        <f t="shared" ref="BC90:BJ90" si="470">BB90</f>
        <v>0</v>
      </c>
      <c r="BD90" s="957">
        <f t="shared" si="470"/>
        <v>0</v>
      </c>
      <c r="BE90" s="121">
        <f t="shared" si="470"/>
        <v>0</v>
      </c>
      <c r="BF90" s="246">
        <f t="shared" si="470"/>
        <v>0</v>
      </c>
      <c r="BG90" s="957">
        <f t="shared" si="470"/>
        <v>0</v>
      </c>
      <c r="BH90" s="957">
        <f t="shared" si="470"/>
        <v>0</v>
      </c>
      <c r="BI90" s="121">
        <f t="shared" si="470"/>
        <v>0</v>
      </c>
      <c r="BJ90" s="246">
        <f t="shared" si="470"/>
        <v>0</v>
      </c>
      <c r="BK90" s="957">
        <f t="shared" ref="BK90:BN90" si="471">BJ90</f>
        <v>0</v>
      </c>
      <c r="BL90" s="957">
        <f t="shared" si="471"/>
        <v>0</v>
      </c>
      <c r="BM90" s="121">
        <f t="shared" si="471"/>
        <v>0</v>
      </c>
      <c r="BN90" s="246">
        <f t="shared" si="471"/>
        <v>0</v>
      </c>
      <c r="BO90" s="84"/>
      <c r="BP90" s="78">
        <f>SUM(C90:F90)</f>
        <v>-188.50899999999996</v>
      </c>
      <c r="BQ90" s="78">
        <f>SUM(J90:M90)</f>
        <v>-474.42700000000002</v>
      </c>
      <c r="BR90" s="78">
        <f>SUM(K90:N90)</f>
        <v>-552.51199999999994</v>
      </c>
      <c r="BS90" s="78">
        <f>SUM(O90:R90)</f>
        <v>-423.63600000000002</v>
      </c>
      <c r="BT90" s="78">
        <f>SUM(S90:V90)</f>
        <v>-78.075000000000003</v>
      </c>
      <c r="BU90" s="78">
        <f>SUM(W90:Z90)</f>
        <v>0</v>
      </c>
      <c r="BV90" s="78">
        <f>SUM(AA90:AD90)</f>
        <v>0</v>
      </c>
      <c r="BW90" s="53">
        <f>SUM(AE90:AH90)</f>
        <v>-100</v>
      </c>
      <c r="BX90" s="53">
        <f>SUM(AI90:AL90)</f>
        <v>-887.30399999999997</v>
      </c>
      <c r="BY90" s="53">
        <f>SUM(AM90:AP90)</f>
        <v>-813.6</v>
      </c>
      <c r="BZ90" s="53">
        <f>SUM(AQ90:AT90)</f>
        <v>-587</v>
      </c>
      <c r="CA90" s="53">
        <f>SUM(AU90:AX90)</f>
        <v>-739</v>
      </c>
      <c r="CB90" s="53">
        <f>SUM(AY90:BB90)</f>
        <v>-909</v>
      </c>
      <c r="CC90" s="53">
        <f>SUM(BC90:BF90)</f>
        <v>0</v>
      </c>
      <c r="CD90" s="53">
        <f>SUM(BG90:BJ90)</f>
        <v>0</v>
      </c>
      <c r="CE90" s="53">
        <f>SUM(BK90:BN90)</f>
        <v>0</v>
      </c>
      <c r="CF90" s="14"/>
      <c r="CG90" s="82"/>
      <c r="CY90"/>
      <c r="CZ90"/>
      <c r="DA90"/>
      <c r="DB90"/>
      <c r="DC90"/>
      <c r="DD90"/>
    </row>
    <row r="91" spans="1:108" s="103" customFormat="1">
      <c r="A91" s="73"/>
      <c r="B91" s="5" t="s">
        <v>279</v>
      </c>
      <c r="C91" s="237"/>
      <c r="D91" s="73">
        <f>-D90/D93</f>
        <v>5.6673402708456626</v>
      </c>
      <c r="E91" s="73">
        <f t="shared" ref="E91:AN91" si="472">-E90/E93</f>
        <v>3.7865640019627618</v>
      </c>
      <c r="F91" s="238">
        <f t="shared" si="472"/>
        <v>3.9632366857174368</v>
      </c>
      <c r="G91" s="73">
        <f t="shared" si="472"/>
        <v>2.9162660835492513</v>
      </c>
      <c r="H91" s="73">
        <f t="shared" si="472"/>
        <v>8.2644282378046405</v>
      </c>
      <c r="I91" s="73">
        <f t="shared" si="472"/>
        <v>0</v>
      </c>
      <c r="J91" s="73">
        <f t="shared" si="472"/>
        <v>4.2733294424500263</v>
      </c>
      <c r="K91" s="237">
        <f t="shared" si="472"/>
        <v>6.0419381639733007</v>
      </c>
      <c r="L91" s="73">
        <f t="shared" si="472"/>
        <v>4.7694353454552338</v>
      </c>
      <c r="M91" s="73">
        <f t="shared" si="472"/>
        <v>3.6884838966115696</v>
      </c>
      <c r="N91" s="238">
        <f t="shared" si="472"/>
        <v>5.6943620335110303</v>
      </c>
      <c r="O91" s="73">
        <f t="shared" si="472"/>
        <v>5.9362453677897982</v>
      </c>
      <c r="P91" s="73">
        <f t="shared" si="472"/>
        <v>0</v>
      </c>
      <c r="Q91" s="73">
        <f t="shared" si="472"/>
        <v>29.105680971896767</v>
      </c>
      <c r="R91" s="73">
        <f t="shared" si="472"/>
        <v>0</v>
      </c>
      <c r="S91" s="237">
        <f t="shared" si="472"/>
        <v>8.0372088127997223</v>
      </c>
      <c r="T91" s="73">
        <f t="shared" si="472"/>
        <v>0</v>
      </c>
      <c r="U91" s="73">
        <f t="shared" si="472"/>
        <v>0</v>
      </c>
      <c r="V91" s="238">
        <f t="shared" si="472"/>
        <v>0</v>
      </c>
      <c r="W91" s="73">
        <f t="shared" si="472"/>
        <v>0</v>
      </c>
      <c r="X91" s="73">
        <f t="shared" si="472"/>
        <v>0</v>
      </c>
      <c r="Y91" s="73">
        <f t="shared" si="472"/>
        <v>0</v>
      </c>
      <c r="Z91" s="73">
        <f t="shared" si="472"/>
        <v>0</v>
      </c>
      <c r="AA91" s="237">
        <f t="shared" si="472"/>
        <v>0</v>
      </c>
      <c r="AB91" s="73">
        <f t="shared" si="472"/>
        <v>0</v>
      </c>
      <c r="AC91" s="73">
        <f t="shared" si="472"/>
        <v>0</v>
      </c>
      <c r="AD91" s="238">
        <f t="shared" si="472"/>
        <v>0</v>
      </c>
      <c r="AE91" s="73">
        <f t="shared" si="472"/>
        <v>0</v>
      </c>
      <c r="AF91" s="73">
        <f t="shared" si="472"/>
        <v>0</v>
      </c>
      <c r="AG91" s="73">
        <f t="shared" si="472"/>
        <v>0</v>
      </c>
      <c r="AH91" s="238">
        <f t="shared" si="472"/>
        <v>8.1614167597672704</v>
      </c>
      <c r="AI91" s="73">
        <f t="shared" si="472"/>
        <v>7.9108170215263529</v>
      </c>
      <c r="AJ91" s="73">
        <f t="shared" si="472"/>
        <v>52.364456618061709</v>
      </c>
      <c r="AK91" s="73">
        <f t="shared" si="472"/>
        <v>0</v>
      </c>
      <c r="AL91" s="238">
        <f>-AL90/AL93</f>
        <v>2.3905670824833214</v>
      </c>
      <c r="AM91" s="73">
        <f t="shared" si="472"/>
        <v>26.315789473684209</v>
      </c>
      <c r="AN91" s="73">
        <f t="shared" si="472"/>
        <v>0</v>
      </c>
      <c r="AO91" s="73">
        <v>16.8</v>
      </c>
      <c r="AP91" s="238">
        <v>0.2</v>
      </c>
      <c r="AQ91" s="73">
        <f t="shared" ref="AQ91:AV91" si="473">-AQ90/AQ93</f>
        <v>2.4090909090909092</v>
      </c>
      <c r="AR91" s="73">
        <f t="shared" si="473"/>
        <v>19</v>
      </c>
      <c r="AS91" s="73">
        <f t="shared" si="473"/>
        <v>0</v>
      </c>
      <c r="AT91" s="238">
        <f t="shared" si="473"/>
        <v>4.5</v>
      </c>
      <c r="AU91" s="73">
        <f t="shared" si="473"/>
        <v>15.625</v>
      </c>
      <c r="AV91" s="73">
        <f t="shared" si="473"/>
        <v>0.42857142857142855</v>
      </c>
      <c r="AW91" s="73">
        <f t="shared" ref="AW91:AZ91" si="474">-AW90/AW93</f>
        <v>0</v>
      </c>
      <c r="AX91" s="238">
        <f t="shared" si="474"/>
        <v>2.2999999999999998</v>
      </c>
      <c r="AY91" s="73">
        <f t="shared" si="474"/>
        <v>0</v>
      </c>
      <c r="AZ91" s="73">
        <f t="shared" si="474"/>
        <v>4.5939393939393938</v>
      </c>
      <c r="BA91" s="73">
        <f t="shared" ref="BA91:BB91" si="475">-BA90/BA93</f>
        <v>0.91515151515151516</v>
      </c>
      <c r="BB91" s="238">
        <f t="shared" si="475"/>
        <v>0</v>
      </c>
      <c r="BC91" s="73">
        <f t="shared" ref="BC91:BJ91" si="476">-BC90/BC93</f>
        <v>0</v>
      </c>
      <c r="BD91" s="73">
        <f t="shared" si="476"/>
        <v>0</v>
      </c>
      <c r="BE91" s="73">
        <f t="shared" si="476"/>
        <v>0</v>
      </c>
      <c r="BF91" s="238">
        <f t="shared" si="476"/>
        <v>0</v>
      </c>
      <c r="BG91" s="73">
        <f t="shared" si="476"/>
        <v>0</v>
      </c>
      <c r="BH91" s="73">
        <f t="shared" si="476"/>
        <v>0</v>
      </c>
      <c r="BI91" s="73">
        <f t="shared" si="476"/>
        <v>0</v>
      </c>
      <c r="BJ91" s="238">
        <f t="shared" si="476"/>
        <v>0</v>
      </c>
      <c r="BK91" s="73">
        <f t="shared" ref="BK91:BN91" si="477">-BK90/BK93</f>
        <v>0</v>
      </c>
      <c r="BL91" s="73">
        <f t="shared" si="477"/>
        <v>0</v>
      </c>
      <c r="BM91" s="73">
        <f t="shared" si="477"/>
        <v>0</v>
      </c>
      <c r="BN91" s="238">
        <f t="shared" si="477"/>
        <v>0</v>
      </c>
      <c r="BO91" s="97"/>
      <c r="BP91" s="78">
        <f>SUM(C91:F91)</f>
        <v>13.417140958525861</v>
      </c>
      <c r="BQ91" s="78">
        <f>SUM(J91:M91)</f>
        <v>18.773186848490131</v>
      </c>
      <c r="BR91" s="78">
        <f>SUM(K91:N91)</f>
        <v>20.194219439551134</v>
      </c>
      <c r="BS91" s="78">
        <f>SUM(O91:R91)</f>
        <v>35.041926339686569</v>
      </c>
      <c r="BT91" s="78">
        <f>SUM(S91:V91)</f>
        <v>8.0372088127997223</v>
      </c>
      <c r="BU91" s="78">
        <f>SUM(W91:Z91)</f>
        <v>0</v>
      </c>
      <c r="BV91" s="78">
        <f>SUM(AA91:AD91)</f>
        <v>0</v>
      </c>
      <c r="BW91" s="73"/>
      <c r="BX91" s="73">
        <f>SUM(AI91:AL91)</f>
        <v>62.665840722071387</v>
      </c>
      <c r="BY91" s="73">
        <f>SUM(AM91:AP91)</f>
        <v>43.315789473684212</v>
      </c>
      <c r="BZ91" s="73">
        <f>SUM(AQ91:AT91)</f>
        <v>25.90909090909091</v>
      </c>
      <c r="CA91" s="53">
        <f t="shared" ref="CA91" si="478">SUM(AU91:AX91)</f>
        <v>18.353571428571428</v>
      </c>
      <c r="CB91" s="53">
        <f>SUM(AY91:BB91)</f>
        <v>5.5090909090909088</v>
      </c>
      <c r="CC91" s="53">
        <f>SUM(BC91:BF91)</f>
        <v>0</v>
      </c>
      <c r="CD91" s="53">
        <f>SUM(BG91:BJ91)</f>
        <v>0</v>
      </c>
      <c r="CE91" s="53">
        <f>SUM(BK91:BN91)</f>
        <v>0</v>
      </c>
      <c r="CF91" s="14"/>
      <c r="CG91" s="73"/>
      <c r="CY91"/>
      <c r="CZ91"/>
      <c r="DA91"/>
      <c r="DB91"/>
      <c r="DC91"/>
      <c r="DD91"/>
    </row>
    <row r="92" spans="1:108" s="103" customFormat="1">
      <c r="A92" s="73"/>
      <c r="B92" s="5" t="s">
        <v>428</v>
      </c>
      <c r="C92" s="237"/>
      <c r="D92" s="73"/>
      <c r="E92" s="73"/>
      <c r="F92" s="238"/>
      <c r="G92" s="73"/>
      <c r="H92" s="73"/>
      <c r="I92" s="73"/>
      <c r="J92" s="73"/>
      <c r="K92" s="237"/>
      <c r="L92" s="73"/>
      <c r="M92" s="73"/>
      <c r="N92" s="238"/>
      <c r="O92" s="73"/>
      <c r="P92" s="73"/>
      <c r="Q92" s="73"/>
      <c r="R92" s="73"/>
      <c r="S92" s="237"/>
      <c r="T92" s="73"/>
      <c r="U92" s="73"/>
      <c r="V92" s="238"/>
      <c r="W92" s="73"/>
      <c r="X92" s="73"/>
      <c r="Y92" s="73"/>
      <c r="Z92" s="73"/>
      <c r="AA92" s="237"/>
      <c r="AB92" s="73"/>
      <c r="AC92" s="73"/>
      <c r="AD92" s="238"/>
      <c r="AE92" s="73"/>
      <c r="AF92" s="73"/>
      <c r="AG92" s="73"/>
      <c r="AH92" s="238"/>
      <c r="AI92" s="73"/>
      <c r="AJ92" s="73"/>
      <c r="AK92" s="73"/>
      <c r="AL92" s="238"/>
      <c r="AM92" s="73"/>
      <c r="AN92" s="73"/>
      <c r="AO92" s="73"/>
      <c r="AP92" s="238"/>
      <c r="AQ92" s="73"/>
      <c r="AR92" s="73"/>
      <c r="AS92" s="73"/>
      <c r="AT92" s="238"/>
      <c r="AU92" s="73"/>
      <c r="AV92" s="73"/>
      <c r="AW92" s="73"/>
      <c r="AX92" s="238"/>
      <c r="AY92" s="73"/>
      <c r="AZ92" s="73"/>
      <c r="BA92" s="73"/>
      <c r="BB92" s="238"/>
      <c r="BC92" s="121">
        <v>2</v>
      </c>
      <c r="BD92" s="121">
        <v>2</v>
      </c>
      <c r="BE92" s="121">
        <v>2</v>
      </c>
      <c r="BF92" s="246">
        <v>2</v>
      </c>
      <c r="BG92" s="121">
        <v>2</v>
      </c>
      <c r="BH92" s="121">
        <v>2</v>
      </c>
      <c r="BI92" s="121">
        <v>2</v>
      </c>
      <c r="BJ92" s="246">
        <v>2</v>
      </c>
      <c r="BK92" s="121">
        <v>2</v>
      </c>
      <c r="BL92" s="121">
        <v>2</v>
      </c>
      <c r="BM92" s="121">
        <v>2</v>
      </c>
      <c r="BN92" s="246">
        <v>2</v>
      </c>
      <c r="BO92" s="97"/>
      <c r="BP92" s="78"/>
      <c r="BQ92" s="78"/>
      <c r="BR92" s="78"/>
      <c r="BS92" s="78"/>
      <c r="BT92" s="78"/>
      <c r="BU92" s="78"/>
      <c r="BV92" s="78"/>
      <c r="BW92" s="73"/>
      <c r="BX92" s="73"/>
      <c r="BY92" s="73"/>
      <c r="BZ92" s="73"/>
      <c r="CA92" s="53"/>
      <c r="CB92" s="53"/>
      <c r="CC92" s="53"/>
      <c r="CD92" s="53"/>
      <c r="CE92" s="53"/>
      <c r="CF92" s="14"/>
      <c r="CG92" s="73"/>
      <c r="CY92"/>
      <c r="CZ92"/>
      <c r="DA92"/>
      <c r="DB92"/>
      <c r="DC92"/>
      <c r="DD92"/>
    </row>
    <row r="93" spans="1:108" s="5" customFormat="1">
      <c r="B93" s="5" t="s">
        <v>278</v>
      </c>
      <c r="C93" s="239"/>
      <c r="D93" s="537">
        <v>8.8298915555555464</v>
      </c>
      <c r="E93" s="537">
        <v>10.433997676923068</v>
      </c>
      <c r="F93" s="569">
        <v>12.739839682539669</v>
      </c>
      <c r="G93" s="537">
        <v>17.145211913978486</v>
      </c>
      <c r="H93" s="537">
        <v>15.12240126041667</v>
      </c>
      <c r="I93" s="537">
        <v>19.218177111111117</v>
      </c>
      <c r="J93" s="537">
        <v>23.400957344086031</v>
      </c>
      <c r="K93" s="647">
        <v>20.688725473118293</v>
      </c>
      <c r="L93" s="537">
        <v>26.079816789743603</v>
      </c>
      <c r="M93" s="537">
        <v>33.900378449494951</v>
      </c>
      <c r="N93" s="569">
        <v>31.273916015873027</v>
      </c>
      <c r="O93" s="537">
        <v>20.871104936507933</v>
      </c>
      <c r="P93" s="537">
        <v>18.761072215384615</v>
      </c>
      <c r="Q93" s="537">
        <v>10.298333177272728</v>
      </c>
      <c r="R93" s="537">
        <v>7.848741516129035</v>
      </c>
      <c r="S93" s="647">
        <v>9.714193299999998</v>
      </c>
      <c r="T93" s="537">
        <v>10.983384555384616</v>
      </c>
      <c r="U93" s="537">
        <v>14.057507046153846</v>
      </c>
      <c r="V93" s="569">
        <v>15.588602819672129</v>
      </c>
      <c r="W93" s="537">
        <v>16.971887272727272</v>
      </c>
      <c r="X93" s="537">
        <v>11.883437481250001</v>
      </c>
      <c r="Y93" s="537">
        <v>10.533537303124998</v>
      </c>
      <c r="Z93" s="537">
        <v>16.383347428571426</v>
      </c>
      <c r="AA93" s="647">
        <v>20.276468904761902</v>
      </c>
      <c r="AB93" s="537">
        <v>16.805917555555549</v>
      </c>
      <c r="AC93" s="537">
        <v>13.862307692307692</v>
      </c>
      <c r="AD93" s="569">
        <v>14.455952380952382</v>
      </c>
      <c r="AE93" s="537">
        <v>14.844761380952386</v>
      </c>
      <c r="AF93" s="537">
        <v>12.737615384615383</v>
      </c>
      <c r="AG93" s="537">
        <v>13.536965624999992</v>
      </c>
      <c r="AH93" s="569">
        <v>12.252774603174608</v>
      </c>
      <c r="AI93" s="537">
        <v>12.640919354838712</v>
      </c>
      <c r="AJ93" s="537">
        <v>14.322692307692307</v>
      </c>
      <c r="AK93" s="537">
        <v>15.243287878787875</v>
      </c>
      <c r="AL93" s="569">
        <v>15.604665634920636</v>
      </c>
      <c r="AM93" s="537">
        <v>19</v>
      </c>
      <c r="AN93" s="537">
        <v>19</v>
      </c>
      <c r="AO93" s="537">
        <f>-AO90/AO91</f>
        <v>18.452380952380953</v>
      </c>
      <c r="AP93" s="569">
        <v>22.08</v>
      </c>
      <c r="AQ93" s="537">
        <v>22</v>
      </c>
      <c r="AR93" s="537">
        <v>21</v>
      </c>
      <c r="AS93" s="537">
        <v>25</v>
      </c>
      <c r="AT93" s="569">
        <v>30</v>
      </c>
      <c r="AU93" s="537">
        <v>32</v>
      </c>
      <c r="AV93" s="537">
        <v>21</v>
      </c>
      <c r="AW93" s="537">
        <v>65</v>
      </c>
      <c r="AX93" s="569">
        <v>100</v>
      </c>
      <c r="AY93" s="537">
        <v>105</v>
      </c>
      <c r="AZ93" s="537">
        <v>165</v>
      </c>
      <c r="BA93" s="537">
        <v>165</v>
      </c>
      <c r="BB93" s="569">
        <v>100</v>
      </c>
      <c r="BC93" s="958">
        <f t="shared" ref="BC93:BJ93" si="479">BB93</f>
        <v>100</v>
      </c>
      <c r="BD93" s="958">
        <f t="shared" si="479"/>
        <v>100</v>
      </c>
      <c r="BE93" s="122">
        <f t="shared" si="479"/>
        <v>100</v>
      </c>
      <c r="BF93" s="247">
        <f t="shared" si="479"/>
        <v>100</v>
      </c>
      <c r="BG93" s="958">
        <f t="shared" si="479"/>
        <v>100</v>
      </c>
      <c r="BH93" s="958">
        <f t="shared" si="479"/>
        <v>100</v>
      </c>
      <c r="BI93" s="122">
        <f t="shared" si="479"/>
        <v>100</v>
      </c>
      <c r="BJ93" s="247">
        <f t="shared" si="479"/>
        <v>100</v>
      </c>
      <c r="BK93" s="958">
        <f t="shared" ref="BK93:BN93" si="480">BJ93</f>
        <v>100</v>
      </c>
      <c r="BL93" s="958">
        <f t="shared" si="480"/>
        <v>100</v>
      </c>
      <c r="BM93" s="122">
        <f t="shared" si="480"/>
        <v>100</v>
      </c>
      <c r="BN93" s="247">
        <f t="shared" si="480"/>
        <v>100</v>
      </c>
      <c r="BO93" s="84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53"/>
      <c r="CB93" s="53"/>
      <c r="CC93" s="53"/>
      <c r="CD93" s="53"/>
      <c r="CE93" s="53"/>
      <c r="CF93" s="14"/>
      <c r="CG93" s="82"/>
      <c r="CY93"/>
      <c r="CZ93"/>
      <c r="DA93"/>
      <c r="DB93"/>
      <c r="DC93"/>
      <c r="DD93"/>
    </row>
    <row r="94" spans="1:108" s="5" customFormat="1">
      <c r="B94" s="116"/>
      <c r="C94" s="229"/>
      <c r="D94" s="60"/>
      <c r="E94" s="60"/>
      <c r="F94" s="230"/>
      <c r="G94" s="60"/>
      <c r="H94" s="60"/>
      <c r="I94" s="60"/>
      <c r="J94" s="60"/>
      <c r="K94" s="229"/>
      <c r="L94" s="60"/>
      <c r="M94" s="60"/>
      <c r="N94" s="230"/>
      <c r="O94" s="60"/>
      <c r="P94" s="60"/>
      <c r="Q94" s="60"/>
      <c r="R94" s="60"/>
      <c r="S94" s="229"/>
      <c r="T94" s="60"/>
      <c r="U94" s="60"/>
      <c r="V94" s="230"/>
      <c r="W94" s="60"/>
      <c r="X94" s="60"/>
      <c r="Y94" s="60"/>
      <c r="Z94" s="60"/>
      <c r="AA94" s="229"/>
      <c r="AB94" s="60"/>
      <c r="AC94" s="60"/>
      <c r="AD94" s="230"/>
      <c r="AE94" s="60"/>
      <c r="AF94" s="60"/>
      <c r="AG94" s="60"/>
      <c r="AH94" s="230"/>
      <c r="AI94" s="60"/>
      <c r="AJ94" s="60"/>
      <c r="AK94" s="60"/>
      <c r="AL94" s="230"/>
      <c r="AM94" s="60"/>
      <c r="AN94" s="60"/>
      <c r="AO94" s="60"/>
      <c r="AP94" s="230"/>
      <c r="AQ94" s="60"/>
      <c r="AR94" s="60"/>
      <c r="AS94" s="60"/>
      <c r="AT94" s="230"/>
      <c r="AU94" s="60"/>
      <c r="AV94" s="60"/>
      <c r="AW94" s="60"/>
      <c r="AX94" s="230"/>
      <c r="AY94" s="60"/>
      <c r="AZ94" s="60"/>
      <c r="BA94" s="60"/>
      <c r="BB94" s="230"/>
      <c r="BC94" s="60"/>
      <c r="BD94" s="60"/>
      <c r="BE94" s="60"/>
      <c r="BF94" s="230"/>
      <c r="BG94" s="60"/>
      <c r="BH94" s="60"/>
      <c r="BI94" s="60"/>
      <c r="BJ94" s="230"/>
      <c r="BK94" s="60"/>
      <c r="BL94" s="60"/>
      <c r="BM94" s="60"/>
      <c r="BN94" s="230"/>
      <c r="BO94" s="84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14"/>
      <c r="CY94"/>
      <c r="CZ94"/>
      <c r="DA94"/>
      <c r="DB94"/>
      <c r="DC94"/>
      <c r="DD94"/>
    </row>
    <row r="95" spans="1:108">
      <c r="B95" s="415" t="s">
        <v>273</v>
      </c>
      <c r="C95" s="527"/>
      <c r="D95" s="528"/>
      <c r="E95" s="528"/>
      <c r="F95" s="529"/>
      <c r="G95" s="528"/>
      <c r="H95" s="528"/>
      <c r="I95" s="528"/>
      <c r="J95" s="528"/>
      <c r="K95" s="527"/>
      <c r="L95" s="528"/>
      <c r="M95" s="528"/>
      <c r="N95" s="529"/>
      <c r="O95" s="528"/>
      <c r="P95" s="528"/>
      <c r="Q95" s="528"/>
      <c r="R95" s="528"/>
      <c r="S95" s="527"/>
      <c r="T95" s="528"/>
      <c r="U95" s="528"/>
      <c r="V95" s="529"/>
      <c r="W95" s="528"/>
      <c r="X95" s="528"/>
      <c r="Y95" s="528"/>
      <c r="Z95" s="528"/>
      <c r="AA95" s="527"/>
      <c r="AB95" s="528"/>
      <c r="AC95" s="528"/>
      <c r="AD95" s="529"/>
      <c r="AE95" s="528"/>
      <c r="AF95" s="528"/>
      <c r="AG95" s="528"/>
      <c r="AH95" s="529"/>
      <c r="AI95" s="528"/>
      <c r="AJ95" s="528"/>
      <c r="AK95" s="528"/>
      <c r="AL95" s="529"/>
      <c r="AM95" s="528"/>
      <c r="AN95" s="528"/>
      <c r="AO95" s="528"/>
      <c r="AP95" s="529"/>
      <c r="AQ95" s="528"/>
      <c r="AR95" s="528"/>
      <c r="AS95" s="528"/>
      <c r="AT95" s="529"/>
      <c r="AU95" s="528"/>
      <c r="AV95" s="528"/>
      <c r="AW95" s="528"/>
      <c r="AX95" s="529"/>
      <c r="AY95" s="528"/>
      <c r="AZ95" s="528"/>
      <c r="BA95" s="528"/>
      <c r="BB95" s="997"/>
      <c r="BC95" s="528"/>
      <c r="BD95" s="528"/>
      <c r="BE95" s="528"/>
      <c r="BF95" s="529"/>
      <c r="BG95" s="528"/>
      <c r="BH95" s="528"/>
      <c r="BI95" s="528"/>
      <c r="BJ95" s="529"/>
      <c r="BK95" s="528"/>
      <c r="BL95" s="528"/>
      <c r="BM95" s="528"/>
      <c r="BN95" s="529"/>
      <c r="BO95" s="528"/>
      <c r="BP95" s="528"/>
      <c r="BQ95" s="528"/>
      <c r="BR95" s="528"/>
      <c r="BS95" s="528"/>
      <c r="BT95" s="528"/>
      <c r="BU95" s="528"/>
      <c r="BV95" s="528"/>
      <c r="BW95" s="528"/>
      <c r="BX95" s="528"/>
      <c r="BY95" s="528"/>
      <c r="BZ95" s="528"/>
      <c r="CA95" s="528"/>
      <c r="CB95" s="528"/>
      <c r="CC95" s="528"/>
      <c r="CD95" s="528"/>
      <c r="CE95" s="528"/>
      <c r="CF95" s="14"/>
    </row>
    <row r="96" spans="1:108" s="5" customFormat="1">
      <c r="B96" s="5" t="s">
        <v>138</v>
      </c>
      <c r="C96" s="43">
        <f t="shared" ref="C96:AO96" si="481">C28</f>
        <v>3.895</v>
      </c>
      <c r="D96" s="29">
        <f t="shared" si="481"/>
        <v>4.867</v>
      </c>
      <c r="E96" s="29">
        <f t="shared" si="481"/>
        <v>5.38</v>
      </c>
      <c r="F96" s="44">
        <f t="shared" si="481"/>
        <v>6.5560000000000009</v>
      </c>
      <c r="G96" s="29">
        <f t="shared" si="481"/>
        <v>8.8079999999999998</v>
      </c>
      <c r="H96" s="29">
        <f t="shared" si="481"/>
        <v>8.8179999999999996</v>
      </c>
      <c r="I96" s="29">
        <f t="shared" si="481"/>
        <v>10.651999999999999</v>
      </c>
      <c r="J96" s="29">
        <f t="shared" si="481"/>
        <v>13.542000000000002</v>
      </c>
      <c r="K96" s="43">
        <f t="shared" si="481"/>
        <v>13.208</v>
      </c>
      <c r="L96" s="29">
        <f t="shared" si="481"/>
        <v>15.625</v>
      </c>
      <c r="M96" s="29">
        <f t="shared" si="481"/>
        <v>17.416</v>
      </c>
      <c r="N96" s="44">
        <f t="shared" si="481"/>
        <v>18.040000000000006</v>
      </c>
      <c r="O96" s="29">
        <f t="shared" si="481"/>
        <v>14.323</v>
      </c>
      <c r="P96" s="29">
        <f t="shared" si="481"/>
        <v>12.081</v>
      </c>
      <c r="Q96" s="29">
        <f t="shared" si="481"/>
        <v>9.4469999999999992</v>
      </c>
      <c r="R96" s="29">
        <f t="shared" si="481"/>
        <v>7.0080000000000062</v>
      </c>
      <c r="S96" s="43">
        <f t="shared" si="481"/>
        <v>6.1239999999999997</v>
      </c>
      <c r="T96" s="29">
        <f t="shared" si="481"/>
        <v>5.7789999999999999</v>
      </c>
      <c r="U96" s="29">
        <f t="shared" si="481"/>
        <v>5.444</v>
      </c>
      <c r="V96" s="44">
        <f t="shared" si="481"/>
        <v>5.7679999999999998</v>
      </c>
      <c r="W96" s="29">
        <f t="shared" si="481"/>
        <v>5.5709999999999997</v>
      </c>
      <c r="X96" s="29">
        <f t="shared" si="481"/>
        <v>4.8049999999999997</v>
      </c>
      <c r="Y96" s="29">
        <f t="shared" si="481"/>
        <v>4.22</v>
      </c>
      <c r="Z96" s="29">
        <f t="shared" si="481"/>
        <v>4.4610000000000003</v>
      </c>
      <c r="AA96" s="43">
        <f t="shared" si="481"/>
        <v>5.3129999999999997</v>
      </c>
      <c r="AB96" s="29">
        <f t="shared" si="481"/>
        <v>5.266</v>
      </c>
      <c r="AC96" s="29">
        <f t="shared" si="481"/>
        <v>4.3559999999999999</v>
      </c>
      <c r="AD96" s="44">
        <f t="shared" si="481"/>
        <v>2.2599999999999998</v>
      </c>
      <c r="AE96" s="29">
        <f t="shared" si="481"/>
        <v>5.1980000000000004</v>
      </c>
      <c r="AF96" s="29">
        <f t="shared" si="481"/>
        <v>5.3159999999999998</v>
      </c>
      <c r="AG96" s="29">
        <f t="shared" si="481"/>
        <v>4.7009999999999996</v>
      </c>
      <c r="AH96" s="44">
        <f t="shared" si="481"/>
        <v>4.6930000000000014</v>
      </c>
      <c r="AI96" s="29">
        <f t="shared" si="481"/>
        <v>5.0759999999999996</v>
      </c>
      <c r="AJ96" s="29">
        <f t="shared" si="481"/>
        <v>3.8650000000000002</v>
      </c>
      <c r="AK96" s="29">
        <f t="shared" si="481"/>
        <v>4.0220000000000002</v>
      </c>
      <c r="AL96" s="44">
        <f t="shared" si="481"/>
        <v>4.1559999999999997</v>
      </c>
      <c r="AM96" s="29">
        <f t="shared" si="481"/>
        <v>5.71</v>
      </c>
      <c r="AN96" s="29">
        <f t="shared" si="481"/>
        <v>6.8289999999999997</v>
      </c>
      <c r="AO96" s="29">
        <f t="shared" si="481"/>
        <v>7.4219999999999997</v>
      </c>
      <c r="AP96" s="44">
        <f>AP98*AO100/4</f>
        <v>3.4534762500000005</v>
      </c>
      <c r="AQ96" s="29">
        <f>AQ28</f>
        <v>9</v>
      </c>
      <c r="AR96" s="29">
        <f>AR28</f>
        <v>9</v>
      </c>
      <c r="AS96" s="29">
        <f t="shared" ref="AS96:AT96" si="482">AS28</f>
        <v>9</v>
      </c>
      <c r="AT96" s="44">
        <f t="shared" si="482"/>
        <v>12</v>
      </c>
      <c r="AU96" s="29">
        <f>AU28</f>
        <v>12</v>
      </c>
      <c r="AV96" s="29">
        <f>AV28</f>
        <v>12</v>
      </c>
      <c r="AW96" s="29">
        <f t="shared" ref="AW96:AX96" si="483">AW28</f>
        <v>14</v>
      </c>
      <c r="AX96" s="44">
        <f t="shared" si="483"/>
        <v>17</v>
      </c>
      <c r="AY96" s="29">
        <f t="shared" ref="AY96:BB97" si="484">AY28</f>
        <v>16</v>
      </c>
      <c r="AZ96" s="29">
        <f t="shared" si="484"/>
        <v>15</v>
      </c>
      <c r="BA96" s="29">
        <f t="shared" si="484"/>
        <v>17</v>
      </c>
      <c r="BB96" s="44">
        <f t="shared" si="484"/>
        <v>20</v>
      </c>
      <c r="BC96" s="62">
        <f t="shared" ref="BC96" si="485">BC98*BB100/4</f>
        <v>10.005000000000001</v>
      </c>
      <c r="BD96" s="62">
        <f t="shared" ref="BD96" si="486">BD98*BC100/4</f>
        <v>12.404319077516449</v>
      </c>
      <c r="BE96" s="62">
        <f t="shared" ref="BE96" si="487">BE98*BD100/4</f>
        <v>14.687299123055524</v>
      </c>
      <c r="BF96" s="62">
        <f t="shared" ref="BF96" si="488">BF98*BE100/4</f>
        <v>17.193745948941977</v>
      </c>
      <c r="BG96" s="62">
        <f t="shared" ref="BG96" si="489">BG98*BF100/4</f>
        <v>19.977866530092825</v>
      </c>
      <c r="BH96" s="62">
        <f t="shared" ref="BH96" si="490">BH98*BG100/4</f>
        <v>20.649670654051967</v>
      </c>
      <c r="BI96" s="62">
        <f t="shared" ref="BI96" si="491">BI98*BH100/4</f>
        <v>22.968677218577469</v>
      </c>
      <c r="BJ96" s="62">
        <f t="shared" ref="BJ96" si="492">BJ98*BI100/4</f>
        <v>25.707682910318454</v>
      </c>
      <c r="BK96" s="62">
        <f t="shared" ref="BK96" si="493">BK98*BJ100/4</f>
        <v>28.806014424448026</v>
      </c>
      <c r="BL96" s="62">
        <f t="shared" ref="BL96" si="494">BL98*BK100/4</f>
        <v>32.000794813218697</v>
      </c>
      <c r="BM96" s="62">
        <f t="shared" ref="BM96" si="495">BM98*BL100/4</f>
        <v>34.84054581369076</v>
      </c>
      <c r="BN96" s="62">
        <f t="shared" ref="BN96" si="496">BN98*BM100/4</f>
        <v>38.190483959651168</v>
      </c>
      <c r="BO96" s="84"/>
      <c r="BP96" s="59">
        <f>SUM(C96:F96)</f>
        <v>20.698</v>
      </c>
      <c r="BQ96" s="59">
        <f>SUM(G96:J96)</f>
        <v>41.82</v>
      </c>
      <c r="BR96" s="59">
        <f>SUM(K96:N96)</f>
        <v>64.289000000000001</v>
      </c>
      <c r="BS96" s="59">
        <f>SUM(O96:R96)</f>
        <v>42.859000000000009</v>
      </c>
      <c r="BT96" s="59">
        <f>SUM(S96:V96)</f>
        <v>23.114999999999998</v>
      </c>
      <c r="BU96" s="59">
        <f>SUM(W96:Z96)</f>
        <v>19.057000000000002</v>
      </c>
      <c r="BV96" s="59">
        <f>SUM(AA96:AD96)</f>
        <v>17.195</v>
      </c>
      <c r="BW96" s="59">
        <f>SUM(AE96:AH96)</f>
        <v>19.908000000000001</v>
      </c>
      <c r="BX96" s="59">
        <f>SUM(AI96:AL96)</f>
        <v>17.119</v>
      </c>
      <c r="BY96" s="59">
        <f>SUM(AM96:AP96)</f>
        <v>23.41447625</v>
      </c>
      <c r="BZ96" s="59">
        <f>SUM(AQ96:AT96)</f>
        <v>39</v>
      </c>
      <c r="CA96" s="62">
        <f t="shared" ref="CA96:CA97" si="497">SUM(AU96:AX96)</f>
        <v>55</v>
      </c>
      <c r="CB96" s="62">
        <f>SUM(AY96:BB96)</f>
        <v>68</v>
      </c>
      <c r="CC96" s="62">
        <f>SUM(BC96:BF96)</f>
        <v>54.290364149513948</v>
      </c>
      <c r="CD96" s="62">
        <f>SUM(BG96:BJ96)</f>
        <v>89.303897313040721</v>
      </c>
      <c r="CE96" s="62">
        <f>SUM(BK96:BN96)</f>
        <v>133.83783901100867</v>
      </c>
      <c r="CF96" s="14"/>
      <c r="CG96" s="82"/>
      <c r="CY96"/>
      <c r="CZ96"/>
      <c r="DA96"/>
      <c r="DB96"/>
      <c r="DC96"/>
      <c r="DD96"/>
    </row>
    <row r="97" spans="1:108" s="84" customFormat="1">
      <c r="A97" s="5"/>
      <c r="B97" s="5" t="s">
        <v>137</v>
      </c>
      <c r="C97" s="43">
        <f t="shared" ref="C97:AO97" si="498">C29</f>
        <v>-0.01</v>
      </c>
      <c r="D97" s="29">
        <f t="shared" si="498"/>
        <v>-2E-3</v>
      </c>
      <c r="E97" s="29">
        <f t="shared" si="498"/>
        <v>0</v>
      </c>
      <c r="F97" s="44">
        <f t="shared" si="498"/>
        <v>-5.9999999999999991E-2</v>
      </c>
      <c r="G97" s="29">
        <f t="shared" si="498"/>
        <v>-1E-3</v>
      </c>
      <c r="H97" s="29">
        <f t="shared" si="498"/>
        <v>-6.0000000000000001E-3</v>
      </c>
      <c r="I97" s="29">
        <f t="shared" si="498"/>
        <v>-2.1999999999999999E-2</v>
      </c>
      <c r="J97" s="29">
        <f t="shared" si="498"/>
        <v>6.9999999999999975E-3</v>
      </c>
      <c r="K97" s="43">
        <f t="shared" si="498"/>
        <v>0</v>
      </c>
      <c r="L97" s="29">
        <f t="shared" si="498"/>
        <v>0</v>
      </c>
      <c r="M97" s="29">
        <f t="shared" si="498"/>
        <v>0</v>
      </c>
      <c r="N97" s="44">
        <f t="shared" si="498"/>
        <v>-5.3999999999999999E-2</v>
      </c>
      <c r="O97" s="29">
        <f t="shared" si="498"/>
        <v>0</v>
      </c>
      <c r="P97" s="29">
        <f t="shared" si="498"/>
        <v>0</v>
      </c>
      <c r="Q97" s="29">
        <f t="shared" si="498"/>
        <v>0</v>
      </c>
      <c r="R97" s="29">
        <f t="shared" si="498"/>
        <v>-0.40600000000000003</v>
      </c>
      <c r="S97" s="43">
        <f t="shared" si="498"/>
        <v>0</v>
      </c>
      <c r="T97" s="29">
        <f t="shared" si="498"/>
        <v>0</v>
      </c>
      <c r="U97" s="29">
        <f t="shared" si="498"/>
        <v>0</v>
      </c>
      <c r="V97" s="44">
        <f t="shared" si="498"/>
        <v>-3.32</v>
      </c>
      <c r="W97" s="29">
        <f t="shared" si="498"/>
        <v>0</v>
      </c>
      <c r="X97" s="29">
        <f t="shared" si="498"/>
        <v>0</v>
      </c>
      <c r="Y97" s="29">
        <f t="shared" si="498"/>
        <v>0</v>
      </c>
      <c r="Z97" s="29">
        <f t="shared" si="498"/>
        <v>-3.1269999999999998</v>
      </c>
      <c r="AA97" s="43">
        <f t="shared" si="498"/>
        <v>0</v>
      </c>
      <c r="AB97" s="29">
        <f t="shared" si="498"/>
        <v>0</v>
      </c>
      <c r="AC97" s="29">
        <f t="shared" si="498"/>
        <v>0</v>
      </c>
      <c r="AD97" s="44">
        <f t="shared" si="498"/>
        <v>0</v>
      </c>
      <c r="AE97" s="29">
        <f t="shared" si="498"/>
        <v>0</v>
      </c>
      <c r="AF97" s="29">
        <f t="shared" si="498"/>
        <v>0</v>
      </c>
      <c r="AG97" s="29">
        <f t="shared" si="498"/>
        <v>0</v>
      </c>
      <c r="AH97" s="44">
        <f t="shared" si="498"/>
        <v>-3.294</v>
      </c>
      <c r="AI97" s="29">
        <f t="shared" si="498"/>
        <v>-0.85299999999999998</v>
      </c>
      <c r="AJ97" s="29">
        <f t="shared" si="498"/>
        <v>0</v>
      </c>
      <c r="AK97" s="29">
        <f t="shared" si="498"/>
        <v>0</v>
      </c>
      <c r="AL97" s="44">
        <f t="shared" si="498"/>
        <v>-9.59</v>
      </c>
      <c r="AM97" s="29">
        <f t="shared" si="498"/>
        <v>-11.471</v>
      </c>
      <c r="AN97" s="29">
        <f t="shared" si="498"/>
        <v>-11.526</v>
      </c>
      <c r="AO97" s="29">
        <f t="shared" si="498"/>
        <v>-11.542</v>
      </c>
      <c r="AP97" s="44">
        <f>-AP99/4*AO101</f>
        <v>-10.827450000000001</v>
      </c>
      <c r="AQ97" s="29">
        <f>AQ29</f>
        <v>-12</v>
      </c>
      <c r="AR97" s="29">
        <f>AR29</f>
        <v>-12</v>
      </c>
      <c r="AS97" s="29">
        <f t="shared" ref="AS97:AT97" si="499">AS29</f>
        <v>-12</v>
      </c>
      <c r="AT97" s="44">
        <f t="shared" si="499"/>
        <v>-11</v>
      </c>
      <c r="AU97" s="29">
        <f>AU29</f>
        <v>-12</v>
      </c>
      <c r="AV97" s="29">
        <f>AV29</f>
        <v>-12</v>
      </c>
      <c r="AW97" s="29">
        <f t="shared" ref="AW97:AX97" si="500">AW29</f>
        <v>-16</v>
      </c>
      <c r="AX97" s="44">
        <f t="shared" si="500"/>
        <v>-18</v>
      </c>
      <c r="AY97" s="29">
        <f t="shared" si="484"/>
        <v>-16</v>
      </c>
      <c r="AZ97" s="29">
        <f t="shared" si="484"/>
        <v>-15</v>
      </c>
      <c r="BA97" s="29">
        <f t="shared" si="484"/>
        <v>-15</v>
      </c>
      <c r="BB97" s="44">
        <f t="shared" si="484"/>
        <v>-15</v>
      </c>
      <c r="BC97" s="29">
        <f t="shared" ref="BC97:BJ97" si="501">-BC99/4*BB101</f>
        <v>-19.627499999999998</v>
      </c>
      <c r="BD97" s="29">
        <f t="shared" si="501"/>
        <v>-19.627499999999998</v>
      </c>
      <c r="BE97" s="62">
        <f t="shared" si="501"/>
        <v>-19.627499999999998</v>
      </c>
      <c r="BF97" s="228">
        <f t="shared" si="501"/>
        <v>-19.627499999999998</v>
      </c>
      <c r="BG97" s="29">
        <f t="shared" si="501"/>
        <v>-19.627499999999998</v>
      </c>
      <c r="BH97" s="29">
        <f t="shared" si="501"/>
        <v>-19.627499999999998</v>
      </c>
      <c r="BI97" s="62">
        <f t="shared" si="501"/>
        <v>-19.627499999999998</v>
      </c>
      <c r="BJ97" s="228">
        <f t="shared" si="501"/>
        <v>-19.627499999999998</v>
      </c>
      <c r="BK97" s="29">
        <f t="shared" ref="BK97" si="502">-BK99/4*BJ101</f>
        <v>-19.627499999999998</v>
      </c>
      <c r="BL97" s="29">
        <f t="shared" ref="BL97" si="503">-BL99/4*BK101</f>
        <v>-19.627499999999998</v>
      </c>
      <c r="BM97" s="62">
        <f t="shared" ref="BM97" si="504">-BM99/4*BL101</f>
        <v>-19.627499999999998</v>
      </c>
      <c r="BN97" s="228">
        <f t="shared" ref="BN97" si="505">-BN99/4*BM101</f>
        <v>-19.627499999999998</v>
      </c>
      <c r="BP97" s="59">
        <f>SUM(C97:F97)</f>
        <v>-7.1999999999999995E-2</v>
      </c>
      <c r="BQ97" s="59">
        <f>SUM(G97:J97)</f>
        <v>-2.1999999999999999E-2</v>
      </c>
      <c r="BR97" s="59">
        <f>SUM(K97:N97)</f>
        <v>-5.3999999999999999E-2</v>
      </c>
      <c r="BS97" s="59">
        <f>SUM(O97:R97)</f>
        <v>-0.40600000000000003</v>
      </c>
      <c r="BT97" s="59">
        <f>SUM(S97:V97)</f>
        <v>-3.32</v>
      </c>
      <c r="BU97" s="59">
        <f>SUM(W97:Z97)</f>
        <v>-3.1269999999999998</v>
      </c>
      <c r="BV97" s="59">
        <f>SUM(AA97:AD97)</f>
        <v>0</v>
      </c>
      <c r="BW97" s="59">
        <f>SUM(AE97:AH97)</f>
        <v>-3.294</v>
      </c>
      <c r="BX97" s="59">
        <f>SUM(AI97:AL97)</f>
        <v>-10.443</v>
      </c>
      <c r="BY97" s="59">
        <f>SUM(AM97:AP97)</f>
        <v>-45.36645</v>
      </c>
      <c r="BZ97" s="59">
        <f>SUM(AQ97:AT97)</f>
        <v>-47</v>
      </c>
      <c r="CA97" s="62">
        <f t="shared" si="497"/>
        <v>-58</v>
      </c>
      <c r="CB97" s="62">
        <f>SUM(AY97:BB97)</f>
        <v>-61</v>
      </c>
      <c r="CC97" s="62">
        <f>SUM(BC97:BF97)</f>
        <v>-78.509999999999991</v>
      </c>
      <c r="CD97" s="62">
        <f>SUM(BG97:BJ97)</f>
        <v>-78.509999999999991</v>
      </c>
      <c r="CE97" s="62">
        <f>SUM(BK97:BN97)</f>
        <v>-78.509999999999991</v>
      </c>
      <c r="CF97" s="14"/>
      <c r="CG97" s="200"/>
      <c r="CY97"/>
      <c r="CZ97"/>
      <c r="DA97"/>
      <c r="DB97"/>
      <c r="DC97"/>
      <c r="DD97"/>
    </row>
    <row r="98" spans="1:108" s="84" customFormat="1">
      <c r="A98" s="5"/>
      <c r="B98" s="5" t="s">
        <v>276</v>
      </c>
      <c r="C98" s="15"/>
      <c r="D98" s="262">
        <f t="shared" ref="D98:AO98" si="506">D28*4/C100</f>
        <v>6.928015259569259E-2</v>
      </c>
      <c r="E98" s="262">
        <f t="shared" si="506"/>
        <v>8.8863195276045762E-2</v>
      </c>
      <c r="F98" s="263">
        <f t="shared" si="506"/>
        <v>7.1983047311615464E-2</v>
      </c>
      <c r="G98" s="262">
        <f t="shared" si="506"/>
        <v>6.3854312413458125E-2</v>
      </c>
      <c r="H98" s="262">
        <f t="shared" si="506"/>
        <v>7.2313808140428856E-2</v>
      </c>
      <c r="I98" s="262">
        <f t="shared" si="506"/>
        <v>0.10989402118544611</v>
      </c>
      <c r="J98" s="262">
        <f t="shared" si="506"/>
        <v>7.3097071421053053E-2</v>
      </c>
      <c r="K98" s="264">
        <f t="shared" si="506"/>
        <v>9.7043793877453557E-2</v>
      </c>
      <c r="L98" s="262">
        <f t="shared" si="506"/>
        <v>9.2053771185254901E-2</v>
      </c>
      <c r="M98" s="262">
        <f t="shared" si="506"/>
        <v>7.6156743136065241E-2</v>
      </c>
      <c r="N98" s="263">
        <f t="shared" si="506"/>
        <v>6.8287937374964774E-2</v>
      </c>
      <c r="O98" s="262">
        <f t="shared" si="506"/>
        <v>7.8809412781012667E-2</v>
      </c>
      <c r="P98" s="262">
        <f t="shared" si="506"/>
        <v>6.0156253890164171E-2</v>
      </c>
      <c r="Q98" s="262">
        <f t="shared" si="506"/>
        <v>5.2545877523663576E-2</v>
      </c>
      <c r="R98" s="262">
        <f t="shared" si="506"/>
        <v>6.0773588464465331E-2</v>
      </c>
      <c r="S98" s="264">
        <f t="shared" si="506"/>
        <v>5.8646645342935393E-2</v>
      </c>
      <c r="T98" s="262">
        <f t="shared" si="506"/>
        <v>4.5124288954739064E-2</v>
      </c>
      <c r="U98" s="262">
        <f t="shared" si="506"/>
        <v>4.1574310069971462E-2</v>
      </c>
      <c r="V98" s="263">
        <f t="shared" si="506"/>
        <v>3.7546583345538571E-2</v>
      </c>
      <c r="W98" s="262">
        <f t="shared" si="506"/>
        <v>4.9827713814870049E-2</v>
      </c>
      <c r="X98" s="262">
        <f t="shared" si="506"/>
        <v>4.2972575358514696E-2</v>
      </c>
      <c r="Y98" s="262">
        <f t="shared" si="506"/>
        <v>4.4774179515812869E-2</v>
      </c>
      <c r="Z98" s="262">
        <f t="shared" si="506"/>
        <v>3.9550151382836782E-2</v>
      </c>
      <c r="AA98" s="264">
        <f t="shared" si="506"/>
        <v>3.1940555578099709E-2</v>
      </c>
      <c r="AB98" s="262">
        <f t="shared" si="506"/>
        <v>3.0811853728535631E-2</v>
      </c>
      <c r="AC98" s="262">
        <f t="shared" si="506"/>
        <v>3.2714123173630434E-2</v>
      </c>
      <c r="AD98" s="263">
        <f t="shared" si="506"/>
        <v>1.5948738214870431E-2</v>
      </c>
      <c r="AE98" s="262">
        <f t="shared" si="506"/>
        <v>3.1131527409279571E-2</v>
      </c>
      <c r="AF98" s="262">
        <f t="shared" si="506"/>
        <v>5.7604941281644929E-2</v>
      </c>
      <c r="AG98" s="262">
        <f t="shared" si="506"/>
        <v>3.7636754480423043E-2</v>
      </c>
      <c r="AH98" s="263">
        <f t="shared" si="506"/>
        <v>3.5729784464053241E-2</v>
      </c>
      <c r="AI98" s="262">
        <f t="shared" si="506"/>
        <v>2.7707952935782071E-2</v>
      </c>
      <c r="AJ98" s="262">
        <f t="shared" si="506"/>
        <v>2.7537168943915731E-2</v>
      </c>
      <c r="AK98" s="262">
        <f t="shared" si="506"/>
        <v>2.7206880865046228E-2</v>
      </c>
      <c r="AL98" s="263">
        <f t="shared" si="506"/>
        <v>2.9575650614498902E-2</v>
      </c>
      <c r="AM98" s="54">
        <f t="shared" si="506"/>
        <v>1.9833499336133528E-2</v>
      </c>
      <c r="AN98" s="54">
        <f t="shared" si="506"/>
        <v>5.3648620781082748E-2</v>
      </c>
      <c r="AO98" s="54">
        <f t="shared" si="506"/>
        <v>5.7636305747322807E-2</v>
      </c>
      <c r="AP98" s="232">
        <v>3.5000000000000003E-2</v>
      </c>
      <c r="AQ98" s="54">
        <f>AQ28*4/AP100</f>
        <v>7.2485070089035833E-2</v>
      </c>
      <c r="AR98" s="54">
        <f>AR28*4/AQ100</f>
        <v>7.7586206896551727E-2</v>
      </c>
      <c r="AS98" s="54">
        <f t="shared" ref="AS98:AT98" si="507">AS28*4/AR100</f>
        <v>8.2758620689655171E-2</v>
      </c>
      <c r="AT98" s="232">
        <f t="shared" si="507"/>
        <v>0.10191082802547771</v>
      </c>
      <c r="AU98" s="54">
        <f>AU28*4/AT100</f>
        <v>8.0536912751677847E-2</v>
      </c>
      <c r="AV98" s="54">
        <f>AV28*4/AU100</f>
        <v>8.7751371115173671E-2</v>
      </c>
      <c r="AW98" s="54">
        <f t="shared" ref="AW98:AX98" si="508">AW28*4/AV100</f>
        <v>0.13145539906103287</v>
      </c>
      <c r="AX98" s="232">
        <f t="shared" si="508"/>
        <v>3.5051546391752578E-2</v>
      </c>
      <c r="AY98" s="54">
        <f>AY28*4/AX100</f>
        <v>3.6240090600226503E-2</v>
      </c>
      <c r="AZ98" s="54">
        <f>AZ28*4/AY100</f>
        <v>3.0165912518853696E-2</v>
      </c>
      <c r="BA98" s="54">
        <f>BA28*4/AZ100</f>
        <v>3.4205231388329982E-2</v>
      </c>
      <c r="BB98" s="232">
        <f t="shared" ref="BB98" si="509">BB28*4/BA100</f>
        <v>2.8551034975017844E-2</v>
      </c>
      <c r="BC98" s="149">
        <v>0.01</v>
      </c>
      <c r="BD98" s="149">
        <v>0.01</v>
      </c>
      <c r="BE98" s="149">
        <v>0.01</v>
      </c>
      <c r="BF98" s="248">
        <f t="shared" ref="BF98" si="510">BE98</f>
        <v>0.01</v>
      </c>
      <c r="BG98" s="149">
        <v>0.01</v>
      </c>
      <c r="BH98" s="1010">
        <v>8.9999999999999993E-3</v>
      </c>
      <c r="BI98" s="1010">
        <v>8.9999999999999993E-3</v>
      </c>
      <c r="BJ98" s="1010">
        <v>8.9999999999999993E-3</v>
      </c>
      <c r="BK98" s="1010">
        <v>8.9999999999999993E-3</v>
      </c>
      <c r="BL98" s="1010">
        <v>8.9999999999999993E-3</v>
      </c>
      <c r="BM98" s="1010">
        <v>8.9999999999999993E-3</v>
      </c>
      <c r="BN98" s="1010">
        <v>8.9999999999999993E-3</v>
      </c>
      <c r="BP98" s="100"/>
      <c r="BQ98" s="54">
        <f t="shared" ref="BQ98:CE98" si="511">BQ28/BP100</f>
        <v>7.5794372874966473E-2</v>
      </c>
      <c r="BR98" s="54">
        <f t="shared" si="511"/>
        <v>0.11808844004746388</v>
      </c>
      <c r="BS98" s="54">
        <f t="shared" si="511"/>
        <v>5.8955746393587631E-2</v>
      </c>
      <c r="BT98" s="54">
        <f t="shared" si="511"/>
        <v>5.5340349734730225E-2</v>
      </c>
      <c r="BU98" s="54">
        <f t="shared" si="511"/>
        <v>4.261204192110836E-2</v>
      </c>
      <c r="BV98" s="54">
        <f t="shared" si="511"/>
        <v>2.5843113738256377E-2</v>
      </c>
      <c r="BW98" s="54">
        <f t="shared" si="511"/>
        <v>2.9807928417850023E-2</v>
      </c>
      <c r="BX98" s="54">
        <f t="shared" si="511"/>
        <v>2.3361527103410822E-2</v>
      </c>
      <c r="BY98" s="54">
        <f t="shared" si="511"/>
        <v>2.4392425409456686E-2</v>
      </c>
      <c r="BZ98" s="54">
        <f t="shared" si="511"/>
        <v>7.8525492596455485E-2</v>
      </c>
      <c r="CA98" s="54">
        <f t="shared" si="511"/>
        <v>9.2281879194630878E-2</v>
      </c>
      <c r="CB98" s="54">
        <f t="shared" si="511"/>
        <v>3.8505096262740658E-2</v>
      </c>
      <c r="CC98" s="54">
        <f t="shared" si="511"/>
        <v>1.999000499750125E-2</v>
      </c>
      <c r="CD98" s="54">
        <f t="shared" si="511"/>
        <v>1.0011078995784576E-2</v>
      </c>
      <c r="CE98" s="54">
        <f t="shared" si="511"/>
        <v>1.0453898041486514E-2</v>
      </c>
      <c r="CF98" s="14"/>
      <c r="CG98" s="200"/>
      <c r="CY98"/>
      <c r="CZ98"/>
      <c r="DA98"/>
      <c r="DB98"/>
      <c r="DC98"/>
      <c r="DD98"/>
    </row>
    <row r="99" spans="1:108" s="84" customFormat="1">
      <c r="A99" s="5"/>
      <c r="B99" s="5" t="s">
        <v>277</v>
      </c>
      <c r="C99" s="15"/>
      <c r="D99" s="262">
        <f t="shared" ref="D99:AO99" si="512">-D29*4/C101</f>
        <v>9.7169925907931488E-4</v>
      </c>
      <c r="E99" s="262">
        <f t="shared" si="512"/>
        <v>0</v>
      </c>
      <c r="F99" s="263">
        <f t="shared" si="512"/>
        <v>2.9462312791554129E-2</v>
      </c>
      <c r="G99" s="262">
        <f t="shared" si="512"/>
        <v>1.9964064683569574E-4</v>
      </c>
      <c r="H99" s="262">
        <f t="shared" si="512"/>
        <v>2.3631350925561244E-3</v>
      </c>
      <c r="I99" s="262">
        <f t="shared" si="512"/>
        <v>3.6308123942732189E-3</v>
      </c>
      <c r="J99" s="262">
        <f t="shared" si="512"/>
        <v>-1.0120359995662699E-3</v>
      </c>
      <c r="K99" s="264">
        <f t="shared" si="512"/>
        <v>0</v>
      </c>
      <c r="L99" s="262">
        <f t="shared" si="512"/>
        <v>0</v>
      </c>
      <c r="M99" s="262">
        <f t="shared" si="512"/>
        <v>0</v>
      </c>
      <c r="N99" s="263">
        <f t="shared" si="512"/>
        <v>1.5330565314595973E-3</v>
      </c>
      <c r="O99" s="262">
        <f t="shared" si="512"/>
        <v>0</v>
      </c>
      <c r="P99" s="262">
        <f t="shared" si="512"/>
        <v>0</v>
      </c>
      <c r="Q99" s="262">
        <f t="shared" si="512"/>
        <v>0</v>
      </c>
      <c r="R99" s="262">
        <f t="shared" si="512"/>
        <v>1.0320415867003902E-2</v>
      </c>
      <c r="S99" s="264">
        <f t="shared" si="512"/>
        <v>0</v>
      </c>
      <c r="T99" s="262">
        <f t="shared" si="512"/>
        <v>0</v>
      </c>
      <c r="U99" s="262">
        <f t="shared" si="512"/>
        <v>0</v>
      </c>
      <c r="V99" s="263">
        <f t="shared" si="512"/>
        <v>0.10508573825105046</v>
      </c>
      <c r="W99" s="262">
        <f t="shared" si="512"/>
        <v>0</v>
      </c>
      <c r="X99" s="262">
        <f t="shared" si="512"/>
        <v>0</v>
      </c>
      <c r="Y99" s="262">
        <f t="shared" si="512"/>
        <v>0</v>
      </c>
      <c r="Z99" s="262">
        <f t="shared" si="512"/>
        <v>7.0328533435291329E-2</v>
      </c>
      <c r="AA99" s="264">
        <f t="shared" si="512"/>
        <v>0</v>
      </c>
      <c r="AB99" s="262">
        <f t="shared" si="512"/>
        <v>0</v>
      </c>
      <c r="AC99" s="262">
        <f t="shared" si="512"/>
        <v>0</v>
      </c>
      <c r="AD99" s="263">
        <f t="shared" si="512"/>
        <v>0</v>
      </c>
      <c r="AE99" s="262">
        <f t="shared" si="512"/>
        <v>0</v>
      </c>
      <c r="AF99" s="262">
        <f t="shared" si="512"/>
        <v>0</v>
      </c>
      <c r="AG99" s="262">
        <f t="shared" si="512"/>
        <v>0</v>
      </c>
      <c r="AH99" s="263">
        <f t="shared" si="512"/>
        <v>3.8603975248453028E-2</v>
      </c>
      <c r="AI99" s="262">
        <f t="shared" si="512"/>
        <v>5.7897139250086115E-3</v>
      </c>
      <c r="AJ99" s="262">
        <f t="shared" si="512"/>
        <v>0</v>
      </c>
      <c r="AK99" s="262">
        <f t="shared" si="512"/>
        <v>0</v>
      </c>
      <c r="AL99" s="263">
        <f t="shared" si="512"/>
        <v>9.8921048831308145E-2</v>
      </c>
      <c r="AM99" s="54">
        <f t="shared" si="512"/>
        <v>2.5052689052689054E-2</v>
      </c>
      <c r="AN99" s="54">
        <f t="shared" si="512"/>
        <v>2.5856818373012531E-2</v>
      </c>
      <c r="AO99" s="54">
        <f t="shared" si="512"/>
        <v>2.6466983344053584E-2</v>
      </c>
      <c r="AP99" s="232">
        <v>2.5000000000000001E-2</v>
      </c>
      <c r="AQ99" s="54">
        <f>-AQ29*4/AP101</f>
        <v>2.5623642080426206E-2</v>
      </c>
      <c r="AR99" s="54">
        <f>-AR29*4/AQ101</f>
        <v>2.6101141924959218E-2</v>
      </c>
      <c r="AS99" s="54">
        <f t="shared" ref="AS99:AT99" si="513">-AS29*4/AR101</f>
        <v>2.600216684723727E-2</v>
      </c>
      <c r="AT99" s="232">
        <f t="shared" si="513"/>
        <v>2.3874118285404231E-2</v>
      </c>
      <c r="AU99" s="54">
        <f>-AU29*4/AT101</f>
        <v>2.4577572964669739E-2</v>
      </c>
      <c r="AV99" s="54">
        <f>-AV29*4/AU101</f>
        <v>2.465331278890601E-2</v>
      </c>
      <c r="AW99" s="54">
        <f t="shared" ref="AW99:AX99" si="514">-AW29*4/AV101</f>
        <v>3.2096288866599799E-2</v>
      </c>
      <c r="AX99" s="232">
        <f t="shared" si="514"/>
        <v>3.214285714285714E-2</v>
      </c>
      <c r="AY99" s="54">
        <f>-AY29*4/AX101</f>
        <v>2.8393966282165041E-2</v>
      </c>
      <c r="AZ99" s="54">
        <f>-AZ29*4/AY101</f>
        <v>2.6269702276707531E-2</v>
      </c>
      <c r="BA99" s="54">
        <f>-BA29*4/AZ101</f>
        <v>2.508361204013378E-2</v>
      </c>
      <c r="BB99" s="232">
        <f t="shared" ref="BB99" si="515">-BB29*4/BA101</f>
        <v>2.4499795835034709E-2</v>
      </c>
      <c r="BC99" s="149">
        <v>0.03</v>
      </c>
      <c r="BD99" s="149">
        <v>0.03</v>
      </c>
      <c r="BE99" s="119">
        <v>0.03</v>
      </c>
      <c r="BF99" s="248">
        <v>0.03</v>
      </c>
      <c r="BG99" s="149">
        <v>0.03</v>
      </c>
      <c r="BH99" s="149">
        <v>0.03</v>
      </c>
      <c r="BI99" s="119">
        <v>0.03</v>
      </c>
      <c r="BJ99" s="248">
        <v>0.03</v>
      </c>
      <c r="BK99" s="149">
        <v>0.03</v>
      </c>
      <c r="BL99" s="149">
        <v>0.03</v>
      </c>
      <c r="BM99" s="119">
        <v>0.03</v>
      </c>
      <c r="BN99" s="248">
        <v>0.03</v>
      </c>
      <c r="BP99" s="100"/>
      <c r="BQ99" s="54">
        <f t="shared" ref="BQ99:CE99" si="516">-BQ29/BP101</f>
        <v>1.0980235575963264E-3</v>
      </c>
      <c r="BR99" s="54">
        <f t="shared" si="516"/>
        <v>1.8282154585773775E-3</v>
      </c>
      <c r="BS99" s="54">
        <f t="shared" si="516"/>
        <v>2.4969556821117112E-3</v>
      </c>
      <c r="BT99" s="54">
        <f t="shared" si="516"/>
        <v>2.1863681264405663E-2</v>
      </c>
      <c r="BU99" s="54">
        <f t="shared" si="516"/>
        <v>2.7932112550245643E-2</v>
      </c>
      <c r="BV99" s="54">
        <f t="shared" si="516"/>
        <v>0</v>
      </c>
      <c r="BW99" s="54">
        <f t="shared" si="516"/>
        <v>7.2267428977615521E-3</v>
      </c>
      <c r="BX99" s="54">
        <f t="shared" si="516"/>
        <v>1.772039346977284E-2</v>
      </c>
      <c r="BY99" s="54">
        <f t="shared" si="516"/>
        <v>2.5188643188643191E-2</v>
      </c>
      <c r="BZ99" s="54">
        <f t="shared" si="516"/>
        <v>2.508981620375066E-2</v>
      </c>
      <c r="CA99" s="54">
        <f t="shared" si="516"/>
        <v>2.9697900665642603E-2</v>
      </c>
      <c r="CB99" s="54">
        <f t="shared" si="516"/>
        <v>2.7062999112688554E-2</v>
      </c>
      <c r="CC99" s="54">
        <f t="shared" si="516"/>
        <v>2.9999999999999995E-2</v>
      </c>
      <c r="CD99" s="54">
        <f t="shared" si="516"/>
        <v>2.9999999999999995E-2</v>
      </c>
      <c r="CE99" s="54">
        <f t="shared" si="516"/>
        <v>2.9999999999999995E-2</v>
      </c>
      <c r="CF99" s="14"/>
      <c r="CG99" s="200"/>
      <c r="CY99"/>
      <c r="CZ99"/>
      <c r="DA99"/>
      <c r="DB99"/>
      <c r="DC99"/>
      <c r="DD99"/>
    </row>
    <row r="100" spans="1:108" s="84" customFormat="1">
      <c r="B100" s="84" t="s">
        <v>274</v>
      </c>
      <c r="C100" s="457">
        <f>BS!C8</f>
        <v>281.00400000000002</v>
      </c>
      <c r="D100" s="96">
        <f>BS!D8</f>
        <v>242.17</v>
      </c>
      <c r="E100" s="96">
        <f>BS!E8</f>
        <v>364.30799999999999</v>
      </c>
      <c r="F100" s="456">
        <f>BS!F8</f>
        <v>551.75599999999997</v>
      </c>
      <c r="G100" s="96">
        <f>BS!G8</f>
        <v>487.76299999999998</v>
      </c>
      <c r="H100" s="96">
        <f>BS!H8</f>
        <v>387.71900000000016</v>
      </c>
      <c r="I100" s="96">
        <f>BS!I8</f>
        <v>741.04200000000014</v>
      </c>
      <c r="J100" s="96">
        <f>BS!J8</f>
        <v>544.41399999999999</v>
      </c>
      <c r="K100" s="457">
        <f>BS!K8</f>
        <v>678.95100000000002</v>
      </c>
      <c r="L100" s="96">
        <f>BS!L8</f>
        <v>914.745</v>
      </c>
      <c r="M100" s="96">
        <f>BS!M8</f>
        <v>1056.702</v>
      </c>
      <c r="N100" s="456">
        <f>BS!N8</f>
        <v>726.96900000000005</v>
      </c>
      <c r="O100" s="96">
        <f>BS!O8</f>
        <v>803.30799999999999</v>
      </c>
      <c r="P100" s="96">
        <f>BS!P8</f>
        <v>719.14300000000003</v>
      </c>
      <c r="Q100" s="96">
        <f>BS!Q8</f>
        <v>461.25299999999999</v>
      </c>
      <c r="R100" s="96">
        <f>BS!R8</f>
        <v>417.68799999999999</v>
      </c>
      <c r="S100" s="457">
        <f>BS!S8</f>
        <v>512.274</v>
      </c>
      <c r="T100" s="96">
        <f>BS!T8</f>
        <v>523.78499999999997</v>
      </c>
      <c r="U100" s="96">
        <f>BS!U8</f>
        <v>614.49</v>
      </c>
      <c r="V100" s="456">
        <f>BS!V8</f>
        <v>447.221</v>
      </c>
      <c r="W100" s="96">
        <f>BS!W8</f>
        <v>447.262</v>
      </c>
      <c r="X100" s="96">
        <f>BS!X8</f>
        <v>377.00299999999999</v>
      </c>
      <c r="Y100" s="96">
        <f>BS!Y8</f>
        <v>451.17399999999998</v>
      </c>
      <c r="Z100" s="96">
        <f>BS!Z8</f>
        <v>665.36099999999999</v>
      </c>
      <c r="AA100" s="457">
        <f>BS!AA8</f>
        <v>683.63300000000004</v>
      </c>
      <c r="AB100" s="96">
        <f>BS!AB8</f>
        <v>532.61400000000003</v>
      </c>
      <c r="AC100" s="96">
        <f>BS!AC8</f>
        <v>566.81600000000003</v>
      </c>
      <c r="AD100" s="456">
        <f>BS!AD8</f>
        <v>667.87599999999998</v>
      </c>
      <c r="AE100" s="96">
        <f>BS!AE8</f>
        <v>369.13499999999999</v>
      </c>
      <c r="AF100" s="96">
        <f>BS!AF8</f>
        <v>499.61799999999999</v>
      </c>
      <c r="AG100" s="96">
        <f>BS!AG8</f>
        <v>525.38800000000003</v>
      </c>
      <c r="AH100" s="456">
        <f>BS!AH8</f>
        <v>732.78599999999994</v>
      </c>
      <c r="AI100" s="96">
        <f>BS!AI8</f>
        <v>561.423</v>
      </c>
      <c r="AJ100" s="96">
        <f>BS!AJ8</f>
        <v>591.32100000000003</v>
      </c>
      <c r="AK100" s="96">
        <f>BS!AK8</f>
        <v>562.08399999999995</v>
      </c>
      <c r="AL100" s="456">
        <f>BS!AL8</f>
        <v>1151.587</v>
      </c>
      <c r="AM100" s="96">
        <f>BS!AM8</f>
        <v>509.16500000000002</v>
      </c>
      <c r="AN100" s="96">
        <f>BS!AN8</f>
        <v>515.09199999999998</v>
      </c>
      <c r="AO100" s="96">
        <f>BS!AO8</f>
        <v>394.68299999999999</v>
      </c>
      <c r="AP100" s="456">
        <f>BS!AP8</f>
        <v>496.654</v>
      </c>
      <c r="AQ100" s="96">
        <f>BS!AQ8</f>
        <v>464</v>
      </c>
      <c r="AR100" s="96">
        <f>BS!AR8</f>
        <v>435</v>
      </c>
      <c r="AS100" s="96">
        <f>BS!AS8</f>
        <v>471</v>
      </c>
      <c r="AT100" s="456">
        <f>BS!AT8</f>
        <v>596</v>
      </c>
      <c r="AU100" s="96">
        <f>BS!AU8</f>
        <v>547</v>
      </c>
      <c r="AV100" s="96">
        <f>BS!AV8</f>
        <v>426</v>
      </c>
      <c r="AW100" s="96">
        <f>BS!AW8</f>
        <v>1940</v>
      </c>
      <c r="AX100" s="456">
        <f>BS!AX8</f>
        <v>1766</v>
      </c>
      <c r="AY100" s="96">
        <f>BS!AY8</f>
        <v>1989</v>
      </c>
      <c r="AZ100" s="96">
        <f>BS!AZ8</f>
        <v>1988</v>
      </c>
      <c r="BA100" s="96">
        <f>BS!BA8</f>
        <v>2802</v>
      </c>
      <c r="BB100" s="456">
        <f>BS!BB8</f>
        <v>4002</v>
      </c>
      <c r="BC100" s="96">
        <f>BS!BC8</f>
        <v>4961.7276310065799</v>
      </c>
      <c r="BD100" s="96">
        <f>BS!BD8</f>
        <v>5874.91964922221</v>
      </c>
      <c r="BE100" s="96">
        <f>BS!BE8</f>
        <v>6877.4983795767903</v>
      </c>
      <c r="BF100" s="456">
        <f>BS!BF8</f>
        <v>7991.1466120371306</v>
      </c>
      <c r="BG100" s="96">
        <f>BS!BG8</f>
        <v>9177.6314018008743</v>
      </c>
      <c r="BH100" s="96">
        <f>BS!BH8</f>
        <v>10208.300986034432</v>
      </c>
      <c r="BI100" s="96">
        <f>BS!BI8</f>
        <v>11425.636849030425</v>
      </c>
      <c r="BJ100" s="456">
        <f>BS!BJ8</f>
        <v>12802.673077532458</v>
      </c>
      <c r="BK100" s="96">
        <f>BS!BK8</f>
        <v>14222.575472541645</v>
      </c>
      <c r="BL100" s="96">
        <f>BS!BL8</f>
        <v>15484.687028307006</v>
      </c>
      <c r="BM100" s="96">
        <f>BS!BM8</f>
        <v>16973.548426511632</v>
      </c>
      <c r="BN100" s="456">
        <f>BS!BN8</f>
        <v>18635.230689071974</v>
      </c>
      <c r="BP100" s="53">
        <f>F100</f>
        <v>551.75599999999997</v>
      </c>
      <c r="BQ100" s="53">
        <f>J100</f>
        <v>544.41399999999999</v>
      </c>
      <c r="BR100" s="53">
        <f>N100</f>
        <v>726.96900000000005</v>
      </c>
      <c r="BS100" s="53">
        <f>R100</f>
        <v>417.68799999999999</v>
      </c>
      <c r="BT100" s="53">
        <f>V100</f>
        <v>447.221</v>
      </c>
      <c r="BU100" s="53">
        <f>Z100</f>
        <v>665.36099999999999</v>
      </c>
      <c r="BV100" s="53">
        <f>AD100</f>
        <v>667.87599999999998</v>
      </c>
      <c r="BW100" s="53">
        <f>AH100</f>
        <v>732.78599999999994</v>
      </c>
      <c r="BX100" s="53">
        <f>AL100</f>
        <v>1151.587</v>
      </c>
      <c r="BY100" s="53">
        <f>BS!BY8</f>
        <v>496.654</v>
      </c>
      <c r="BZ100" s="88">
        <f>BS!BZ8</f>
        <v>596</v>
      </c>
      <c r="CA100" s="88">
        <f>BS!CA8</f>
        <v>1766</v>
      </c>
      <c r="CB100" s="88">
        <f>BS!CB8</f>
        <v>4002</v>
      </c>
      <c r="CC100" s="88">
        <f>BS!CC8</f>
        <v>7991.1466120371306</v>
      </c>
      <c r="CD100" s="88">
        <f>BS!CD8</f>
        <v>12802.673077532458</v>
      </c>
      <c r="CE100" s="88">
        <f>BS!CF8</f>
        <v>0</v>
      </c>
      <c r="CF100" s="14"/>
      <c r="CG100" s="200"/>
      <c r="CY100"/>
      <c r="CZ100"/>
      <c r="DA100"/>
      <c r="DB100"/>
      <c r="DC100"/>
      <c r="DD100"/>
    </row>
    <row r="101" spans="1:108" s="84" customFormat="1">
      <c r="B101" s="84" t="s">
        <v>275</v>
      </c>
      <c r="C101" s="457">
        <f>BS!C25+BS!C26</f>
        <v>8.2330000000000005</v>
      </c>
      <c r="D101" s="96">
        <f>BS!D25+BS!D26</f>
        <v>6.7329999999999997</v>
      </c>
      <c r="E101" s="96">
        <f>BS!E25+BS!E26</f>
        <v>8.1460000000000008</v>
      </c>
      <c r="F101" s="456">
        <f>BS!F25+BS!F26</f>
        <v>20.036000000000001</v>
      </c>
      <c r="G101" s="96">
        <f>BS!G25+BS!G26</f>
        <v>10.156000000000001</v>
      </c>
      <c r="H101" s="96">
        <f>BS!H25+BS!H26</f>
        <v>24.236999999999998</v>
      </c>
      <c r="I101" s="96">
        <f>BS!I25+BS!I26</f>
        <v>27.667000000000002</v>
      </c>
      <c r="J101" s="96">
        <f>BS!J25+BS!J26</f>
        <v>29.536999999999999</v>
      </c>
      <c r="K101" s="457">
        <f>BS!K25+BS!K26</f>
        <v>81.106999999999999</v>
      </c>
      <c r="L101" s="96">
        <f>BS!L25+BS!L26</f>
        <v>95.191000000000003</v>
      </c>
      <c r="M101" s="96">
        <f>BS!M25+BS!M26</f>
        <v>140.89500000000001</v>
      </c>
      <c r="N101" s="456">
        <f>BS!N25+BS!N26</f>
        <v>162.59800000000001</v>
      </c>
      <c r="O101" s="96">
        <f>BS!O25+BS!O26</f>
        <v>193.72800000000001</v>
      </c>
      <c r="P101" s="96">
        <f>BS!P25+BS!P26</f>
        <v>162.11799999999999</v>
      </c>
      <c r="Q101" s="96">
        <f>BS!Q25+BS!Q26</f>
        <v>157.358</v>
      </c>
      <c r="R101" s="96">
        <f>BS!R25+BS!R26</f>
        <v>151.85</v>
      </c>
      <c r="S101" s="457">
        <f>BS!S25+BS!S26</f>
        <v>132.30500000000001</v>
      </c>
      <c r="T101" s="96">
        <f>BS!T25+BS!T26</f>
        <v>134.619</v>
      </c>
      <c r="U101" s="96">
        <f>BS!U25+BS!U26</f>
        <v>126.373</v>
      </c>
      <c r="V101" s="456">
        <f>BS!V25+BS!V26</f>
        <v>111.95</v>
      </c>
      <c r="W101" s="96">
        <f>BS!W25+BS!W26</f>
        <v>152.994</v>
      </c>
      <c r="X101" s="96">
        <f>BS!X25+BS!X26</f>
        <v>127.881</v>
      </c>
      <c r="Y101" s="96">
        <f>BS!Y25+BS!Y26</f>
        <v>177.851</v>
      </c>
      <c r="Z101" s="96">
        <f>BS!Z25+BS!Z26</f>
        <v>347.71300000000002</v>
      </c>
      <c r="AA101" s="457">
        <f>BS!AA25+BS!AA26</f>
        <v>284.81299999999999</v>
      </c>
      <c r="AB101" s="96">
        <f>BS!AB25+BS!AB26</f>
        <v>192.16300000000001</v>
      </c>
      <c r="AC101" s="96">
        <f>BS!AC25+BS!AC26</f>
        <v>206.96</v>
      </c>
      <c r="AD101" s="456">
        <f>BS!AD25+BS!AD26</f>
        <v>455.80700000000002</v>
      </c>
      <c r="AE101" s="96">
        <f>BS!AE25+BS!AE26</f>
        <v>452.505</v>
      </c>
      <c r="AF101" s="96">
        <f>BS!AF25+BS!AF26</f>
        <v>396.01900000000001</v>
      </c>
      <c r="AG101" s="96">
        <f>BS!AG25+BS!AG26</f>
        <v>341.31200000000001</v>
      </c>
      <c r="AH101" s="456">
        <f>BS!AH25+BS!AH26</f>
        <v>589.32100000000003</v>
      </c>
      <c r="AI101" s="96">
        <f>BS!AI25+BS!AI26</f>
        <v>510.68099999999998</v>
      </c>
      <c r="AJ101" s="96">
        <f>BS!AJ25+BS!AJ26</f>
        <v>443.94299999999998</v>
      </c>
      <c r="AK101" s="96">
        <f>BS!AK25+BS!AK26</f>
        <v>387.78399999999999</v>
      </c>
      <c r="AL101" s="456">
        <f>BS!AL25+BS!AL26</f>
        <v>1831.5</v>
      </c>
      <c r="AM101" s="96">
        <f>BS!AM25+BS!AM26</f>
        <v>1783.0500000000002</v>
      </c>
      <c r="AN101" s="96">
        <f>BS!AN25+BS!AN26</f>
        <v>1744.3620000000001</v>
      </c>
      <c r="AO101" s="96">
        <f>BS!AO25+BS!AO26</f>
        <v>1732.3920000000001</v>
      </c>
      <c r="AP101" s="456">
        <f>BS!AP25+BS!AP26</f>
        <v>1873.27</v>
      </c>
      <c r="AQ101" s="96">
        <f>BS!AQ25+BS!AQ26</f>
        <v>1839</v>
      </c>
      <c r="AR101" s="96">
        <f>BS!AR25+BS!AR26</f>
        <v>1846</v>
      </c>
      <c r="AS101" s="96">
        <f>BS!AS25+BS!AS26</f>
        <v>1843</v>
      </c>
      <c r="AT101" s="456">
        <f>BS!AT25+BS!AT26</f>
        <v>1953</v>
      </c>
      <c r="AU101" s="96">
        <f>BS!AU25+BS!AU26</f>
        <v>1947</v>
      </c>
      <c r="AV101" s="96">
        <f>BS!AV25+BS!AV26</f>
        <v>1994</v>
      </c>
      <c r="AW101" s="96">
        <f>BS!AW25+BS!AW26</f>
        <v>2240</v>
      </c>
      <c r="AX101" s="456">
        <f>BS!AX25+BS!AX26</f>
        <v>2254</v>
      </c>
      <c r="AY101" s="96">
        <f>BS!AY25+BS!AY26</f>
        <v>2284</v>
      </c>
      <c r="AZ101" s="96">
        <f>BS!AZ25+BS!AZ26</f>
        <v>2392</v>
      </c>
      <c r="BA101" s="96">
        <f>BS!BA25+BS!BA26</f>
        <v>2449</v>
      </c>
      <c r="BB101" s="456">
        <f>BS!BB25+BS!BB26</f>
        <v>2617</v>
      </c>
      <c r="BC101" s="96">
        <f>BS!BC25+BS!BC26</f>
        <v>2617</v>
      </c>
      <c r="BD101" s="96">
        <f>BS!BD25+BS!BD26</f>
        <v>2617</v>
      </c>
      <c r="BE101" s="96">
        <f>BS!BE25+BS!BE26</f>
        <v>2617</v>
      </c>
      <c r="BF101" s="456">
        <f>BS!BF25+BS!BF26</f>
        <v>2617</v>
      </c>
      <c r="BG101" s="96">
        <f>BS!BG25+BS!BG26</f>
        <v>2617</v>
      </c>
      <c r="BH101" s="96">
        <f>BS!BH25+BS!BH26</f>
        <v>2617</v>
      </c>
      <c r="BI101" s="96">
        <f>BS!BI25+BS!BI26</f>
        <v>2617</v>
      </c>
      <c r="BJ101" s="456">
        <f>BS!BJ25+BS!BJ26</f>
        <v>2617</v>
      </c>
      <c r="BK101" s="96">
        <f>BS!BK25+BS!BK26</f>
        <v>2617</v>
      </c>
      <c r="BL101" s="96">
        <f>BS!BL25+BS!BL26</f>
        <v>2617</v>
      </c>
      <c r="BM101" s="96">
        <f>BS!BM25+BS!BM26</f>
        <v>2617</v>
      </c>
      <c r="BN101" s="456">
        <f>BS!BN25+BS!BN26</f>
        <v>2617</v>
      </c>
      <c r="BP101" s="53">
        <f>F101</f>
        <v>20.036000000000001</v>
      </c>
      <c r="BQ101" s="53">
        <f>J101</f>
        <v>29.536999999999999</v>
      </c>
      <c r="BR101" s="53">
        <f>N101</f>
        <v>162.59800000000001</v>
      </c>
      <c r="BS101" s="53">
        <f>R101</f>
        <v>151.85</v>
      </c>
      <c r="BT101" s="53">
        <f>V101</f>
        <v>111.95</v>
      </c>
      <c r="BU101" s="53">
        <f>Z101</f>
        <v>347.71300000000002</v>
      </c>
      <c r="BV101" s="53">
        <f>AD101</f>
        <v>455.80700000000002</v>
      </c>
      <c r="BW101" s="53">
        <f>AH101</f>
        <v>589.32100000000003</v>
      </c>
      <c r="BX101" s="53">
        <f>AL101</f>
        <v>1831.5</v>
      </c>
      <c r="BY101" s="53">
        <f>BS!BY25+BS!BY26</f>
        <v>1873.27</v>
      </c>
      <c r="BZ101" s="88">
        <f>BS!BZ25+BS!BZ26</f>
        <v>1953</v>
      </c>
      <c r="CA101" s="88">
        <f>BS!CA25+BS!CA26</f>
        <v>2254</v>
      </c>
      <c r="CB101" s="88">
        <f>BS!CB25+BS!CB26</f>
        <v>2617</v>
      </c>
      <c r="CC101" s="88">
        <f>BS!CC25+BS!CC26</f>
        <v>2617</v>
      </c>
      <c r="CD101" s="88">
        <f>BS!CD25+BS!CD26</f>
        <v>2617</v>
      </c>
      <c r="CE101" s="88">
        <f>BS!CF25+BS!CF26</f>
        <v>0</v>
      </c>
      <c r="CF101" s="14"/>
      <c r="CG101" s="200"/>
      <c r="CY101"/>
      <c r="CZ101"/>
      <c r="DA101"/>
      <c r="DB101"/>
      <c r="DC101"/>
      <c r="DD101"/>
    </row>
    <row r="102" spans="1:108">
      <c r="BN102" s="204"/>
      <c r="CF102" s="14"/>
    </row>
    <row r="103" spans="1:108">
      <c r="A103" s="9"/>
      <c r="B103" s="415" t="s">
        <v>305</v>
      </c>
      <c r="C103" s="527"/>
      <c r="D103" s="528"/>
      <c r="E103" s="528"/>
      <c r="F103" s="529"/>
      <c r="G103" s="528"/>
      <c r="H103" s="528"/>
      <c r="I103" s="528"/>
      <c r="J103" s="528"/>
      <c r="K103" s="527"/>
      <c r="L103" s="528"/>
      <c r="M103" s="528"/>
      <c r="N103" s="529"/>
      <c r="O103" s="528"/>
      <c r="P103" s="528"/>
      <c r="Q103" s="528"/>
      <c r="R103" s="528"/>
      <c r="S103" s="527"/>
      <c r="T103" s="528"/>
      <c r="U103" s="528"/>
      <c r="V103" s="529"/>
      <c r="W103" s="528"/>
      <c r="X103" s="528"/>
      <c r="Y103" s="528"/>
      <c r="Z103" s="528"/>
      <c r="AA103" s="527"/>
      <c r="AB103" s="528"/>
      <c r="AC103" s="528"/>
      <c r="AD103" s="529"/>
      <c r="AE103" s="528"/>
      <c r="AF103" s="528"/>
      <c r="AG103" s="528"/>
      <c r="AH103" s="529"/>
      <c r="AI103" s="528"/>
      <c r="AJ103" s="528"/>
      <c r="AK103" s="528"/>
      <c r="AL103" s="529"/>
      <c r="AM103" s="528"/>
      <c r="AN103" s="528"/>
      <c r="AO103" s="528"/>
      <c r="AP103" s="529"/>
      <c r="AQ103" s="528"/>
      <c r="AR103" s="528"/>
      <c r="AS103" s="528"/>
      <c r="AT103" s="529"/>
      <c r="AU103" s="528"/>
      <c r="AV103" s="528"/>
      <c r="AW103" s="528"/>
      <c r="AX103" s="529"/>
      <c r="AY103" s="528"/>
      <c r="AZ103" s="528"/>
      <c r="BA103" s="528"/>
      <c r="BB103" s="997"/>
      <c r="BC103" s="528"/>
      <c r="BD103" s="528"/>
      <c r="BE103" s="528"/>
      <c r="BF103" s="529"/>
      <c r="BG103" s="528"/>
      <c r="BH103" s="528"/>
      <c r="BI103" s="528"/>
      <c r="BJ103" s="529"/>
      <c r="BK103" s="528"/>
      <c r="BL103" s="528"/>
      <c r="BM103" s="528"/>
      <c r="BN103" s="529"/>
      <c r="BO103" s="528"/>
      <c r="BP103" s="528"/>
      <c r="BQ103" s="528"/>
      <c r="BR103" s="528"/>
      <c r="BS103" s="528"/>
      <c r="BT103" s="528"/>
      <c r="BU103" s="528"/>
      <c r="BV103" s="528"/>
      <c r="BW103" s="528"/>
      <c r="BX103" s="528"/>
      <c r="BY103" s="528"/>
      <c r="BZ103" s="528"/>
      <c r="CA103" s="528"/>
      <c r="CB103" s="528"/>
      <c r="CC103" s="528"/>
      <c r="CD103" s="528"/>
      <c r="CE103" s="528"/>
      <c r="CF103" s="14"/>
    </row>
    <row r="104" spans="1:108">
      <c r="A104" s="9"/>
      <c r="B104" s="5" t="s">
        <v>4</v>
      </c>
      <c r="C104" s="240">
        <f t="shared" ref="C104:AT104" si="517">C16/C$7</f>
        <v>0.14715010465088396</v>
      </c>
      <c r="D104" s="118">
        <f t="shared" si="517"/>
        <v>0.15155041996339672</v>
      </c>
      <c r="E104" s="118">
        <f t="shared" si="517"/>
        <v>0.15225696973852232</v>
      </c>
      <c r="F104" s="241">
        <f t="shared" si="517"/>
        <v>0.15035652621312026</v>
      </c>
      <c r="G104" s="118">
        <f t="shared" si="517"/>
        <v>0.17952881093916606</v>
      </c>
      <c r="H104" s="118">
        <f t="shared" si="517"/>
        <v>0.18509597552940354</v>
      </c>
      <c r="I104" s="118">
        <f t="shared" si="517"/>
        <v>0.17150475521952979</v>
      </c>
      <c r="J104" s="118">
        <f t="shared" si="517"/>
        <v>0.1846410118413013</v>
      </c>
      <c r="K104" s="240">
        <f t="shared" si="517"/>
        <v>0.18752191216184205</v>
      </c>
      <c r="L104" s="118">
        <f t="shared" si="517"/>
        <v>0.16888692150680082</v>
      </c>
      <c r="M104" s="118">
        <f t="shared" si="517"/>
        <v>0.16092639187807067</v>
      </c>
      <c r="N104" s="241">
        <f t="shared" si="517"/>
        <v>0.16282540553573951</v>
      </c>
      <c r="O104" s="118">
        <f t="shared" si="517"/>
        <v>0.18972800133172882</v>
      </c>
      <c r="P104" s="118">
        <f t="shared" si="517"/>
        <v>0.23850758841953854</v>
      </c>
      <c r="Q104" s="118">
        <f t="shared" si="517"/>
        <v>0.23657195693222899</v>
      </c>
      <c r="R104" s="118">
        <f t="shared" si="517"/>
        <v>0.44016086793864589</v>
      </c>
      <c r="S104" s="240">
        <f t="shared" si="517"/>
        <v>0.45435548777458451</v>
      </c>
      <c r="T104" s="118">
        <f t="shared" si="517"/>
        <v>0.24835805903260702</v>
      </c>
      <c r="U104" s="118">
        <f t="shared" si="517"/>
        <v>0.21916152018476406</v>
      </c>
      <c r="V104" s="241">
        <f t="shared" si="517"/>
        <v>0.22010548729348345</v>
      </c>
      <c r="W104" s="118">
        <f t="shared" si="517"/>
        <v>0.2177102912419783</v>
      </c>
      <c r="X104" s="118">
        <f t="shared" si="517"/>
        <v>0.25965596986223016</v>
      </c>
      <c r="Y104" s="118">
        <f t="shared" si="517"/>
        <v>0.24235583804946484</v>
      </c>
      <c r="Z104" s="118">
        <f t="shared" si="517"/>
        <v>0.2431958897804094</v>
      </c>
      <c r="AA104" s="240">
        <f t="shared" si="517"/>
        <v>0.24065968219583614</v>
      </c>
      <c r="AB104" s="118">
        <f t="shared" si="517"/>
        <v>0.24369587522884514</v>
      </c>
      <c r="AC104" s="118">
        <f t="shared" si="517"/>
        <v>0.24057663809112906</v>
      </c>
      <c r="AD104" s="241">
        <f t="shared" si="517"/>
        <v>0.27996609294645164</v>
      </c>
      <c r="AE104" s="118">
        <f t="shared" si="517"/>
        <v>0.30696189871734297</v>
      </c>
      <c r="AF104" s="118">
        <f t="shared" si="517"/>
        <v>0.26927231463127349</v>
      </c>
      <c r="AG104" s="118">
        <f t="shared" si="517"/>
        <v>0.23600833810864458</v>
      </c>
      <c r="AH104" s="241">
        <f t="shared" si="517"/>
        <v>0.26922618262502002</v>
      </c>
      <c r="AI104" s="118">
        <f t="shared" si="517"/>
        <v>0.34267061469155441</v>
      </c>
      <c r="AJ104" s="118">
        <f t="shared" si="517"/>
        <v>0.33946490005505309</v>
      </c>
      <c r="AK104" s="118">
        <f t="shared" si="517"/>
        <v>0.32286969136604843</v>
      </c>
      <c r="AL104" s="241">
        <f t="shared" si="517"/>
        <v>0.29421054379497619</v>
      </c>
      <c r="AM104" s="118">
        <f t="shared" si="517"/>
        <v>0.30310749038572271</v>
      </c>
      <c r="AN104" s="118">
        <f t="shared" si="517"/>
        <v>0.30569157000573072</v>
      </c>
      <c r="AO104" s="118">
        <f t="shared" si="517"/>
        <v>0.27753386290968857</v>
      </c>
      <c r="AP104" s="241">
        <f t="shared" si="517"/>
        <v>0.27848788578136674</v>
      </c>
      <c r="AQ104" s="118">
        <f t="shared" si="517"/>
        <v>0.29452649869678538</v>
      </c>
      <c r="AR104" s="118">
        <f t="shared" si="517"/>
        <v>0.27753686036426711</v>
      </c>
      <c r="AS104" s="118">
        <f t="shared" si="517"/>
        <v>0.25210727969348656</v>
      </c>
      <c r="AT104" s="241">
        <f t="shared" si="517"/>
        <v>0.24482512491077801</v>
      </c>
      <c r="AU104" s="118">
        <f t="shared" ref="AU104:AX104" si="518">AU16/AU$7</f>
        <v>0.26513409961685824</v>
      </c>
      <c r="AV104" s="118">
        <f t="shared" si="518"/>
        <v>0.24509803921568626</v>
      </c>
      <c r="AW104" s="118">
        <f t="shared" si="518"/>
        <v>0.18612774451097805</v>
      </c>
      <c r="AX104" s="241">
        <f t="shared" si="518"/>
        <v>0.18131615278416935</v>
      </c>
      <c r="AY104" s="118">
        <f t="shared" ref="AY104:AZ104" si="519">AY16/AY$7</f>
        <v>0.2121837893649974</v>
      </c>
      <c r="AZ104" s="118">
        <f t="shared" si="519"/>
        <v>0.18654708520179372</v>
      </c>
      <c r="BA104" s="118">
        <f t="shared" ref="BA104:BB104" si="520">BA16/BA$7</f>
        <v>0.17526555386949924</v>
      </c>
      <c r="BB104" s="241">
        <f t="shared" si="520"/>
        <v>0.1745104774991412</v>
      </c>
      <c r="BC104" s="118">
        <f t="shared" ref="BC104:BJ104" si="521">BC16/BC$7</f>
        <v>0.18483660678603939</v>
      </c>
      <c r="BD104" s="118">
        <f t="shared" si="521"/>
        <v>0.1778457303784447</v>
      </c>
      <c r="BE104" s="118">
        <f t="shared" si="521"/>
        <v>0.17134169393340054</v>
      </c>
      <c r="BF104" s="241">
        <f t="shared" si="521"/>
        <v>0.1715700481353308</v>
      </c>
      <c r="BG104" s="118">
        <f t="shared" si="521"/>
        <v>0.18837085615768703</v>
      </c>
      <c r="BH104" s="118">
        <f t="shared" si="521"/>
        <v>0.17158872250470608</v>
      </c>
      <c r="BI104" s="118">
        <f t="shared" si="521"/>
        <v>0.16182093045074686</v>
      </c>
      <c r="BJ104" s="241">
        <f t="shared" si="521"/>
        <v>0.16277267372202744</v>
      </c>
      <c r="BK104" s="118">
        <f t="shared" ref="BK104:BN104" si="522">BK16/BK$7</f>
        <v>0.17747872229640774</v>
      </c>
      <c r="BL104" s="118">
        <f t="shared" si="522"/>
        <v>0.16144855527363536</v>
      </c>
      <c r="BM104" s="118">
        <f t="shared" si="522"/>
        <v>0.15336196152354262</v>
      </c>
      <c r="BN104" s="241">
        <f t="shared" si="522"/>
        <v>0.15345315501308926</v>
      </c>
      <c r="BO104" s="118"/>
      <c r="BP104" s="118">
        <f t="shared" ref="BP104:CA104" si="523">BP16/BP$7</f>
        <v>0.1503240957247314</v>
      </c>
      <c r="BQ104" s="118">
        <f t="shared" si="523"/>
        <v>0.18009457206158427</v>
      </c>
      <c r="BR104" s="118">
        <f t="shared" si="523"/>
        <v>0.16878004617044018</v>
      </c>
      <c r="BS104" s="118">
        <f t="shared" si="523"/>
        <v>0.24990196676709903</v>
      </c>
      <c r="BT104" s="118">
        <f t="shared" si="523"/>
        <v>0.27321990894182829</v>
      </c>
      <c r="BU104" s="118">
        <f t="shared" si="523"/>
        <v>0.23955855952726682</v>
      </c>
      <c r="BV104" s="118">
        <f t="shared" si="523"/>
        <v>0.25078102918260203</v>
      </c>
      <c r="BW104" s="118">
        <f t="shared" si="523"/>
        <v>0.26804658425072525</v>
      </c>
      <c r="BX104" s="118">
        <f t="shared" si="523"/>
        <v>0.32343380235448393</v>
      </c>
      <c r="BY104" s="118">
        <f t="shared" si="523"/>
        <v>0.29044600381885577</v>
      </c>
      <c r="BZ104" s="118">
        <f t="shared" si="523"/>
        <v>0.26566866267465072</v>
      </c>
      <c r="CA104" s="118">
        <f t="shared" si="523"/>
        <v>0.21172214182344429</v>
      </c>
      <c r="CB104" s="118">
        <f t="shared" ref="CB104:CC104" si="524">CB16/CB$7</f>
        <v>0.18499073502161828</v>
      </c>
      <c r="CC104" s="118">
        <f t="shared" si="524"/>
        <v>0.17600627020995455</v>
      </c>
      <c r="CD104" s="118">
        <f t="shared" ref="CD104:CE104" si="525">CD16/CD$7</f>
        <v>0.17030014097562532</v>
      </c>
      <c r="CE104" s="118">
        <f t="shared" si="525"/>
        <v>0.16067551798571961</v>
      </c>
      <c r="CF104" s="14"/>
    </row>
    <row r="105" spans="1:108">
      <c r="A105" s="108"/>
      <c r="B105" s="5" t="s">
        <v>5</v>
      </c>
      <c r="C105" s="240">
        <f t="shared" ref="C105:AT105" si="526">C19/C$7</f>
        <v>8.2312801663452353E-2</v>
      </c>
      <c r="D105" s="118">
        <f t="shared" si="526"/>
        <v>9.1628219313445086E-2</v>
      </c>
      <c r="E105" s="118">
        <f t="shared" si="526"/>
        <v>0.11928729977803107</v>
      </c>
      <c r="F105" s="241">
        <f t="shared" si="526"/>
        <v>7.2481037350816097E-2</v>
      </c>
      <c r="G105" s="118">
        <f t="shared" si="526"/>
        <v>9.6314646226864795E-2</v>
      </c>
      <c r="H105" s="118">
        <f t="shared" si="526"/>
        <v>0.10044086054349044</v>
      </c>
      <c r="I105" s="118">
        <f t="shared" si="526"/>
        <v>9.212719907576665E-2</v>
      </c>
      <c r="J105" s="118">
        <f t="shared" si="526"/>
        <v>9.6619192989203198E-2</v>
      </c>
      <c r="K105" s="240">
        <f t="shared" si="526"/>
        <v>9.5431610366229214E-2</v>
      </c>
      <c r="L105" s="118">
        <f t="shared" si="526"/>
        <v>8.6906965281052295E-2</v>
      </c>
      <c r="M105" s="118">
        <f t="shared" si="526"/>
        <v>7.9045569322972367E-2</v>
      </c>
      <c r="N105" s="241">
        <f t="shared" si="526"/>
        <v>7.5879873288269228E-2</v>
      </c>
      <c r="O105" s="118">
        <f t="shared" si="526"/>
        <v>8.0661494657478669E-2</v>
      </c>
      <c r="P105" s="118">
        <f t="shared" si="526"/>
        <v>0.10350787967862919</v>
      </c>
      <c r="Q105" s="118">
        <f t="shared" si="526"/>
        <v>0.1099386735438448</v>
      </c>
      <c r="R105" s="118">
        <f t="shared" si="526"/>
        <v>0.21816934779897745</v>
      </c>
      <c r="S105" s="240">
        <f t="shared" si="526"/>
        <v>0.17894979306897751</v>
      </c>
      <c r="T105" s="118">
        <f t="shared" si="526"/>
        <v>9.5264771029722348E-2</v>
      </c>
      <c r="U105" s="118">
        <f t="shared" si="526"/>
        <v>9.5205302001979603E-2</v>
      </c>
      <c r="V105" s="241">
        <f t="shared" si="526"/>
        <v>8.9759874929770112E-2</v>
      </c>
      <c r="W105" s="118">
        <f t="shared" si="526"/>
        <v>9.0714534548862913E-2</v>
      </c>
      <c r="X105" s="118">
        <f t="shared" si="526"/>
        <v>0.121872565359316</v>
      </c>
      <c r="Y105" s="118">
        <f t="shared" si="526"/>
        <v>9.9242575055219023E-2</v>
      </c>
      <c r="Z105" s="118">
        <f t="shared" si="526"/>
        <v>3.4994178542740284E-2</v>
      </c>
      <c r="AA105" s="240">
        <f t="shared" si="526"/>
        <v>0.10198858882020376</v>
      </c>
      <c r="AB105" s="118">
        <f t="shared" si="526"/>
        <v>0.10185073146833747</v>
      </c>
      <c r="AC105" s="118">
        <f t="shared" si="526"/>
        <v>9.6727569453563186E-2</v>
      </c>
      <c r="AD105" s="241">
        <f t="shared" si="526"/>
        <v>0.10578539101169332</v>
      </c>
      <c r="AE105" s="118">
        <f t="shared" si="526"/>
        <v>0.11529749361266417</v>
      </c>
      <c r="AF105" s="118">
        <f t="shared" si="526"/>
        <v>0.11481992205081062</v>
      </c>
      <c r="AG105" s="118">
        <f t="shared" si="526"/>
        <v>8.3265648487264463E-2</v>
      </c>
      <c r="AH105" s="241">
        <f t="shared" si="526"/>
        <v>9.397579912223486E-2</v>
      </c>
      <c r="AI105" s="118">
        <f t="shared" si="526"/>
        <v>0.1137755973098407</v>
      </c>
      <c r="AJ105" s="118">
        <f t="shared" si="526"/>
        <v>0.11078775078333016</v>
      </c>
      <c r="AK105" s="118">
        <f t="shared" si="526"/>
        <v>9.785220979404477E-2</v>
      </c>
      <c r="AL105" s="241">
        <f t="shared" si="526"/>
        <v>0.10109699375468657</v>
      </c>
      <c r="AM105" s="118">
        <f t="shared" si="526"/>
        <v>0.10752756425311506</v>
      </c>
      <c r="AN105" s="118">
        <f t="shared" si="526"/>
        <v>0.10760647211159713</v>
      </c>
      <c r="AO105" s="118">
        <f t="shared" si="526"/>
        <v>0.10062005154311063</v>
      </c>
      <c r="AP105" s="241">
        <f t="shared" si="526"/>
        <v>9.6131670657025839E-2</v>
      </c>
      <c r="AQ105" s="118">
        <f t="shared" si="526"/>
        <v>0.11989574283231973</v>
      </c>
      <c r="AR105" s="118">
        <f t="shared" si="526"/>
        <v>0.12922810060711187</v>
      </c>
      <c r="AS105" s="118">
        <f t="shared" si="526"/>
        <v>0.11647509578544062</v>
      </c>
      <c r="AT105" s="241">
        <f t="shared" si="526"/>
        <v>0.11634546752319772</v>
      </c>
      <c r="AU105" s="118">
        <f t="shared" ref="AU105:AX105" si="527">AU19/AU$7</f>
        <v>0.12183908045977011</v>
      </c>
      <c r="AV105" s="118">
        <f t="shared" si="527"/>
        <v>0.10994397759103641</v>
      </c>
      <c r="AW105" s="118">
        <f t="shared" si="527"/>
        <v>8.5329341317365276E-2</v>
      </c>
      <c r="AX105" s="241">
        <f t="shared" si="527"/>
        <v>8.099401748734468E-2</v>
      </c>
      <c r="AY105" s="118">
        <f t="shared" ref="AY105:AZ105" si="528">AY19/AY$7</f>
        <v>9.5508518327310277E-2</v>
      </c>
      <c r="AZ105" s="118">
        <f t="shared" si="528"/>
        <v>8.8789237668161436E-2</v>
      </c>
      <c r="BA105" s="118">
        <f t="shared" ref="BA105:BB105" si="529">BA19/BA$7</f>
        <v>8.042488619119878E-2</v>
      </c>
      <c r="BB105" s="241">
        <f t="shared" si="529"/>
        <v>7.5575403641360353E-2</v>
      </c>
      <c r="BC105" s="118">
        <f t="shared" ref="BC105:BJ105" si="530">BC19/BC$7</f>
        <v>7.8726702890350109E-2</v>
      </c>
      <c r="BD105" s="118">
        <f t="shared" si="530"/>
        <v>7.4292393779884475E-2</v>
      </c>
      <c r="BE105" s="118">
        <f t="shared" si="530"/>
        <v>7.0198979263764366E-2</v>
      </c>
      <c r="BF105" s="241">
        <f t="shared" si="530"/>
        <v>6.8940756817692614E-2</v>
      </c>
      <c r="BG105" s="118">
        <f t="shared" si="530"/>
        <v>7.56917045081449E-2</v>
      </c>
      <c r="BH105" s="118">
        <f t="shared" si="530"/>
        <v>6.894826060504837E-2</v>
      </c>
      <c r="BI105" s="118">
        <f t="shared" si="530"/>
        <v>6.5023339070337208E-2</v>
      </c>
      <c r="BJ105" s="241">
        <f t="shared" si="530"/>
        <v>6.5405771214708211E-2</v>
      </c>
      <c r="BK105" s="118">
        <f t="shared" ref="BK105:BN105" si="531">BK19/BK$7</f>
        <v>7.0965413484698939E-2</v>
      </c>
      <c r="BL105" s="118">
        <f t="shared" si="531"/>
        <v>6.4302542236108401E-2</v>
      </c>
      <c r="BM105" s="118">
        <f t="shared" si="531"/>
        <v>6.0842236659219229E-2</v>
      </c>
      <c r="BN105" s="241">
        <f t="shared" si="531"/>
        <v>6.028156801729613E-2</v>
      </c>
      <c r="BO105" s="118"/>
      <c r="BP105" s="118">
        <f t="shared" ref="BP105:CA105" si="532">BP19/BP$7</f>
        <v>9.1024617300174637E-2</v>
      </c>
      <c r="BQ105" s="118">
        <f t="shared" si="532"/>
        <v>9.6206592150408082E-2</v>
      </c>
      <c r="BR105" s="118">
        <f t="shared" si="532"/>
        <v>8.3286642296222915E-2</v>
      </c>
      <c r="BS105" s="118">
        <f t="shared" si="532"/>
        <v>0.11360759669230178</v>
      </c>
      <c r="BT105" s="118">
        <f t="shared" si="532"/>
        <v>0.1103331033580895</v>
      </c>
      <c r="BU105" s="118">
        <f t="shared" si="532"/>
        <v>8.5940289147799415E-2</v>
      </c>
      <c r="BV105" s="118">
        <f t="shared" si="532"/>
        <v>0.10145575335235985</v>
      </c>
      <c r="BW105" s="118">
        <f t="shared" si="532"/>
        <v>0.10065560648564692</v>
      </c>
      <c r="BX105" s="118">
        <f t="shared" si="532"/>
        <v>0.10549271432936529</v>
      </c>
      <c r="BY105" s="118">
        <f t="shared" si="532"/>
        <v>0.10269406838438991</v>
      </c>
      <c r="BZ105" s="118">
        <f t="shared" si="532"/>
        <v>0.12015968063872255</v>
      </c>
      <c r="CA105" s="118">
        <f t="shared" si="532"/>
        <v>9.5947901591895798E-2</v>
      </c>
      <c r="CB105" s="118">
        <f t="shared" ref="CB105:CC105" si="533">CB19/CB$7</f>
        <v>8.3899526456660489E-2</v>
      </c>
      <c r="CC105" s="118">
        <f t="shared" si="533"/>
        <v>7.2761468177657745E-2</v>
      </c>
      <c r="CD105" s="118">
        <f t="shared" ref="CD105:CE105" si="534">CD19/CD$7</f>
        <v>6.8430479169409586E-2</v>
      </c>
      <c r="CE105" s="118">
        <f t="shared" si="534"/>
        <v>6.3766911782063965E-2</v>
      </c>
      <c r="CF105" s="14"/>
    </row>
    <row r="106" spans="1:108">
      <c r="AO106" s="118"/>
      <c r="AR106" s="118"/>
      <c r="AS106" s="118"/>
      <c r="AW106" s="118"/>
      <c r="AZ106" s="118"/>
      <c r="BA106" s="118"/>
      <c r="BD106" s="118"/>
      <c r="BE106" s="118"/>
      <c r="BH106" s="118"/>
      <c r="BI106" s="118"/>
      <c r="BL106" s="118"/>
      <c r="BM106" s="118"/>
      <c r="BN106" s="204"/>
    </row>
    <row r="107" spans="1:108">
      <c r="BN107" s="204"/>
    </row>
    <row r="108" spans="1:108">
      <c r="C108" s="446"/>
      <c r="D108" s="426"/>
      <c r="E108" s="426"/>
      <c r="F108" s="447"/>
      <c r="G108" s="426"/>
      <c r="H108" s="426"/>
      <c r="I108" s="426"/>
      <c r="J108" s="426"/>
      <c r="K108" s="446"/>
      <c r="L108" s="426"/>
      <c r="M108" s="426"/>
      <c r="N108" s="447"/>
      <c r="O108" s="426"/>
      <c r="P108" s="426"/>
      <c r="Q108" s="426"/>
      <c r="R108" s="426"/>
      <c r="S108" s="446"/>
      <c r="T108" s="426"/>
      <c r="U108" s="426"/>
      <c r="V108" s="447"/>
      <c r="W108" s="426"/>
      <c r="X108" s="426"/>
      <c r="Y108" s="426"/>
      <c r="Z108" s="426"/>
      <c r="AA108" s="446"/>
      <c r="AB108" s="426"/>
      <c r="AC108" s="426"/>
      <c r="AD108" s="447"/>
      <c r="AE108" s="426"/>
      <c r="AF108" s="426"/>
      <c r="AG108" s="426"/>
      <c r="AH108" s="447"/>
      <c r="AI108" s="426"/>
      <c r="AJ108" s="426"/>
      <c r="AK108" s="426"/>
      <c r="AL108" s="447"/>
      <c r="AM108" s="426"/>
      <c r="AN108" s="426"/>
      <c r="AO108" s="426"/>
      <c r="AP108" s="447"/>
      <c r="AQ108" s="426"/>
      <c r="AR108" s="426"/>
      <c r="AS108" s="426"/>
      <c r="AT108" s="447"/>
      <c r="AU108" s="426"/>
      <c r="AV108" s="426"/>
      <c r="AW108" s="426"/>
      <c r="AX108" s="447"/>
      <c r="AY108" s="426"/>
      <c r="AZ108" s="426"/>
      <c r="BA108" s="426"/>
      <c r="BB108" s="447"/>
      <c r="BC108" s="426"/>
      <c r="BD108" s="426"/>
      <c r="BE108" s="426"/>
      <c r="BF108" s="447"/>
      <c r="BG108" s="426"/>
      <c r="BH108" s="426"/>
      <c r="BI108" s="426"/>
      <c r="BJ108" s="447"/>
      <c r="BK108" s="426"/>
      <c r="BL108" s="426"/>
      <c r="BM108" s="426"/>
      <c r="BN108" s="447"/>
    </row>
    <row r="109" spans="1:108">
      <c r="C109" s="446"/>
      <c r="D109" s="426"/>
      <c r="E109" s="426"/>
      <c r="F109" s="447"/>
      <c r="G109" s="426"/>
      <c r="H109" s="426"/>
      <c r="I109" s="426"/>
      <c r="J109" s="426"/>
      <c r="K109" s="446"/>
      <c r="L109" s="426"/>
      <c r="M109" s="426"/>
      <c r="N109" s="447"/>
      <c r="O109" s="426"/>
      <c r="P109" s="426"/>
      <c r="Q109" s="426"/>
      <c r="R109" s="426"/>
      <c r="S109" s="446"/>
      <c r="T109" s="426"/>
      <c r="U109" s="426"/>
      <c r="V109" s="447"/>
      <c r="W109" s="426"/>
      <c r="X109" s="426"/>
      <c r="Y109" s="426"/>
      <c r="Z109" s="426"/>
      <c r="AA109" s="446"/>
      <c r="AB109" s="426"/>
      <c r="AC109" s="426"/>
      <c r="AD109" s="447"/>
      <c r="AE109" s="426"/>
      <c r="AF109" s="426"/>
      <c r="AG109" s="426"/>
      <c r="AH109" s="447"/>
      <c r="AI109" s="426"/>
      <c r="AJ109" s="426"/>
      <c r="AK109" s="426"/>
      <c r="AL109" s="447"/>
      <c r="AM109" s="426"/>
      <c r="AN109" s="426"/>
      <c r="AO109" s="426"/>
      <c r="AP109" s="447"/>
      <c r="AQ109" s="426"/>
      <c r="AR109" s="426"/>
      <c r="AS109" s="426"/>
      <c r="AT109" s="447"/>
      <c r="AU109" s="426"/>
      <c r="AV109" s="426"/>
      <c r="AW109" s="426"/>
      <c r="AX109" s="447"/>
      <c r="AY109" s="426"/>
      <c r="AZ109" s="426"/>
      <c r="BA109" s="426"/>
      <c r="BB109" s="447"/>
      <c r="BC109" s="426"/>
      <c r="BD109" s="426"/>
      <c r="BE109" s="426"/>
      <c r="BF109" s="447"/>
      <c r="BG109" s="426"/>
      <c r="BH109" s="426"/>
      <c r="BI109" s="426"/>
      <c r="BJ109" s="447"/>
      <c r="BK109" s="426"/>
      <c r="BL109" s="426"/>
      <c r="BM109" s="426"/>
      <c r="BN109" s="447"/>
    </row>
    <row r="110" spans="1:108">
      <c r="BN110" s="204"/>
    </row>
    <row r="111" spans="1:108">
      <c r="BN111" s="204"/>
    </row>
    <row r="112" spans="1:108">
      <c r="B112" s="452" t="s">
        <v>343</v>
      </c>
      <c r="BN112" s="204"/>
    </row>
    <row r="113" spans="2:83" outlineLevel="1">
      <c r="B113" s="108" t="s">
        <v>344</v>
      </c>
      <c r="C113" s="446">
        <f t="shared" ref="C113:AI113" si="535">C85</f>
        <v>360.98399999999998</v>
      </c>
      <c r="D113" s="426">
        <f t="shared" si="535"/>
        <v>361.67399999999998</v>
      </c>
      <c r="E113" s="426">
        <f t="shared" si="535"/>
        <v>366.85700000000003</v>
      </c>
      <c r="F113" s="447">
        <f t="shared" si="535"/>
        <v>371.851</v>
      </c>
      <c r="G113" s="426">
        <f t="shared" si="535"/>
        <v>389.428</v>
      </c>
      <c r="H113" s="426">
        <f t="shared" si="535"/>
        <v>385.589</v>
      </c>
      <c r="I113" s="426">
        <f t="shared" si="535"/>
        <v>586.73299999999995</v>
      </c>
      <c r="J113" s="426">
        <f t="shared" si="535"/>
        <v>598.49099999999999</v>
      </c>
      <c r="K113" s="446">
        <f t="shared" si="535"/>
        <v>598.29899999999998</v>
      </c>
      <c r="L113" s="426">
        <f t="shared" si="535"/>
        <v>603.83000000000004</v>
      </c>
      <c r="M113" s="426">
        <f t="shared" si="535"/>
        <v>612.98500000000001</v>
      </c>
      <c r="N113" s="447">
        <f t="shared" si="535"/>
        <v>609.173</v>
      </c>
      <c r="O113" s="426">
        <f t="shared" si="535"/>
        <v>591.98900000000003</v>
      </c>
      <c r="P113" s="426">
        <f t="shared" si="535"/>
        <v>555.41700000000003</v>
      </c>
      <c r="Q113" s="426">
        <f t="shared" si="535"/>
        <v>564.53599999999994</v>
      </c>
      <c r="R113" s="426">
        <f t="shared" si="535"/>
        <v>537.59500000000003</v>
      </c>
      <c r="S113" s="446">
        <f t="shared" si="535"/>
        <v>542.30700000000002</v>
      </c>
      <c r="T113" s="426">
        <f t="shared" si="535"/>
        <v>546.63900000000001</v>
      </c>
      <c r="U113" s="426">
        <f t="shared" si="535"/>
        <v>574.38099999999997</v>
      </c>
      <c r="V113" s="447">
        <f t="shared" si="535"/>
        <v>582.08100000000002</v>
      </c>
      <c r="W113" s="426">
        <f t="shared" si="535"/>
        <v>590.99699999999996</v>
      </c>
      <c r="X113" s="426">
        <f t="shared" si="535"/>
        <v>572.76400000000001</v>
      </c>
      <c r="Y113" s="426">
        <f t="shared" si="535"/>
        <v>582.64800000000002</v>
      </c>
      <c r="Z113" s="426">
        <f t="shared" si="535"/>
        <v>601.55899999999997</v>
      </c>
      <c r="AA113" s="446">
        <f t="shared" si="535"/>
        <v>613.47400000000005</v>
      </c>
      <c r="AB113" s="426">
        <f t="shared" si="535"/>
        <v>613.93399999999997</v>
      </c>
      <c r="AC113" s="426">
        <f t="shared" si="535"/>
        <v>613.55999999999995</v>
      </c>
      <c r="AD113" s="447">
        <f t="shared" si="535"/>
        <v>618.59900000000005</v>
      </c>
      <c r="AE113" s="426">
        <f t="shared" si="535"/>
        <v>623.78599999999994</v>
      </c>
      <c r="AF113" s="426">
        <f t="shared" si="535"/>
        <v>623.14300000000003</v>
      </c>
      <c r="AG113" s="426">
        <f t="shared" si="535"/>
        <v>628.84500000000003</v>
      </c>
      <c r="AH113" s="447">
        <f t="shared" si="535"/>
        <v>622.01800000000003</v>
      </c>
      <c r="AI113" s="426">
        <f t="shared" si="535"/>
        <v>619.30200000000002</v>
      </c>
      <c r="AJ113" s="426">
        <f>AJ85</f>
        <v>592.00599999999997</v>
      </c>
      <c r="AK113" s="426">
        <f t="shared" ref="AK113:AP113" si="536">AK85</f>
        <v>588.75199999999995</v>
      </c>
      <c r="AL113" s="447">
        <f t="shared" si="536"/>
        <v>577.35599999999999</v>
      </c>
      <c r="AM113" s="426">
        <f t="shared" si="536"/>
        <v>570.42200000000003</v>
      </c>
      <c r="AN113" s="426">
        <f t="shared" si="536"/>
        <v>570.572</v>
      </c>
      <c r="AO113" s="426">
        <f t="shared" si="536"/>
        <v>558.20100000000002</v>
      </c>
      <c r="AP113" s="447">
        <f t="shared" si="536"/>
        <v>556.57299999999998</v>
      </c>
      <c r="AQ113" s="426">
        <f t="shared" ref="AQ113:BB113" si="537">AQ85</f>
        <v>568</v>
      </c>
      <c r="AR113" s="426">
        <f t="shared" si="537"/>
        <v>556</v>
      </c>
      <c r="AS113" s="426">
        <f t="shared" si="537"/>
        <v>565</v>
      </c>
      <c r="AT113" s="447">
        <f t="shared" si="537"/>
        <v>593</v>
      </c>
      <c r="AU113" s="426">
        <f t="shared" si="537"/>
        <v>597</v>
      </c>
      <c r="AV113" s="426">
        <f t="shared" si="537"/>
        <v>631</v>
      </c>
      <c r="AW113" s="426">
        <f t="shared" ref="AW113:AZ113" si="538">AW85</f>
        <v>653</v>
      </c>
      <c r="AX113" s="447">
        <f t="shared" si="538"/>
        <v>660</v>
      </c>
      <c r="AY113" s="426">
        <f t="shared" si="538"/>
        <v>641</v>
      </c>
      <c r="AZ113" s="426">
        <f t="shared" si="538"/>
        <v>633</v>
      </c>
      <c r="BA113" s="426">
        <f t="shared" ref="BA113" si="539">BA85</f>
        <v>628</v>
      </c>
      <c r="BB113" s="447">
        <f t="shared" si="537"/>
        <v>628</v>
      </c>
      <c r="BC113" s="426">
        <f t="shared" ref="BC113:BJ113" si="540">BC85</f>
        <v>630.07260726072616</v>
      </c>
      <c r="BD113" s="426">
        <f t="shared" si="540"/>
        <v>632.1452145214522</v>
      </c>
      <c r="BE113" s="426">
        <f t="shared" si="540"/>
        <v>634.21782178217825</v>
      </c>
      <c r="BF113" s="447">
        <f t="shared" si="540"/>
        <v>636.29042904290441</v>
      </c>
      <c r="BG113" s="426">
        <f t="shared" si="540"/>
        <v>638.36303630363045</v>
      </c>
      <c r="BH113" s="426">
        <f t="shared" si="540"/>
        <v>640.4356435643565</v>
      </c>
      <c r="BI113" s="426">
        <f t="shared" si="540"/>
        <v>642.50825082508254</v>
      </c>
      <c r="BJ113" s="447">
        <f t="shared" si="540"/>
        <v>644.5808580858087</v>
      </c>
      <c r="BK113" s="426">
        <f t="shared" ref="BK113:BN113" si="541">BK85</f>
        <v>646.65346534653474</v>
      </c>
      <c r="BL113" s="426">
        <f t="shared" si="541"/>
        <v>648.72607260726079</v>
      </c>
      <c r="BM113" s="426">
        <f t="shared" si="541"/>
        <v>650.79867986798683</v>
      </c>
      <c r="BN113" s="447">
        <f t="shared" si="541"/>
        <v>652.87128712871299</v>
      </c>
      <c r="BP113" s="426">
        <f t="shared" ref="BP113:CB113" si="542">BP85</f>
        <v>365.3415</v>
      </c>
      <c r="BQ113" s="426">
        <f t="shared" si="542"/>
        <v>490.06025</v>
      </c>
      <c r="BR113" s="426">
        <f t="shared" si="542"/>
        <v>606.07175000000007</v>
      </c>
      <c r="BS113" s="426">
        <f t="shared" si="542"/>
        <v>562.38425000000007</v>
      </c>
      <c r="BT113" s="426">
        <f t="shared" si="542"/>
        <v>561.35199999999998</v>
      </c>
      <c r="BU113" s="426">
        <f t="shared" si="542"/>
        <v>586.99199999999996</v>
      </c>
      <c r="BV113" s="426">
        <f t="shared" si="542"/>
        <v>614.89175</v>
      </c>
      <c r="BW113" s="426">
        <f t="shared" si="542"/>
        <v>624.44800000000009</v>
      </c>
      <c r="BX113" s="426">
        <f t="shared" si="542"/>
        <v>594.35400000000004</v>
      </c>
      <c r="BY113" s="426">
        <f t="shared" si="542"/>
        <v>563.94200000000001</v>
      </c>
      <c r="BZ113" s="426">
        <f t="shared" si="542"/>
        <v>570.5</v>
      </c>
      <c r="CA113" s="426">
        <f>CA85</f>
        <v>635.25</v>
      </c>
      <c r="CB113" s="426">
        <f t="shared" si="542"/>
        <v>632.5</v>
      </c>
      <c r="CC113" s="426">
        <f t="shared" ref="CC113" si="543">CC85</f>
        <v>633.18151815181523</v>
      </c>
      <c r="CD113" s="426">
        <f t="shared" ref="CD113:CE113" si="544">CD85</f>
        <v>641.47194719471952</v>
      </c>
      <c r="CE113" s="426">
        <f t="shared" si="544"/>
        <v>649.76237623762381</v>
      </c>
    </row>
    <row r="114" spans="2:83" outlineLevel="1">
      <c r="B114" s="108" t="s">
        <v>340</v>
      </c>
      <c r="C114" s="449">
        <v>0.35</v>
      </c>
      <c r="D114" s="450">
        <v>0.35</v>
      </c>
      <c r="E114" s="450">
        <v>0.35</v>
      </c>
      <c r="F114" s="451">
        <v>0.35</v>
      </c>
      <c r="G114" s="450">
        <v>0.35</v>
      </c>
      <c r="H114" s="450">
        <v>0.35</v>
      </c>
      <c r="I114" s="450">
        <v>0.35</v>
      </c>
      <c r="J114" s="450">
        <v>0.35</v>
      </c>
      <c r="K114" s="449">
        <v>0.35</v>
      </c>
      <c r="L114" s="450">
        <v>0.35</v>
      </c>
      <c r="M114" s="450">
        <v>0.35</v>
      </c>
      <c r="N114" s="451">
        <v>0.35</v>
      </c>
      <c r="O114" s="450">
        <v>0.35</v>
      </c>
      <c r="P114" s="450">
        <v>0.35</v>
      </c>
      <c r="Q114" s="450">
        <v>0.35</v>
      </c>
      <c r="R114" s="450">
        <v>0.35</v>
      </c>
      <c r="S114" s="449">
        <v>0.35</v>
      </c>
      <c r="T114" s="450">
        <v>0.35</v>
      </c>
      <c r="U114" s="450">
        <v>0.35</v>
      </c>
      <c r="V114" s="451">
        <v>0.35</v>
      </c>
      <c r="W114" s="450">
        <v>0.35</v>
      </c>
      <c r="X114" s="450">
        <v>0.35</v>
      </c>
      <c r="Y114" s="450">
        <v>0.35</v>
      </c>
      <c r="Z114" s="450">
        <v>0.35</v>
      </c>
      <c r="AA114" s="449">
        <v>0.35</v>
      </c>
      <c r="AB114" s="450">
        <v>0.35</v>
      </c>
      <c r="AC114" s="450">
        <v>0.35</v>
      </c>
      <c r="AD114" s="451">
        <v>0.35</v>
      </c>
      <c r="AE114" s="450">
        <v>0.35</v>
      </c>
      <c r="AF114" s="450">
        <v>0.35</v>
      </c>
      <c r="AG114" s="450">
        <v>0.35</v>
      </c>
      <c r="AH114" s="451">
        <v>0.35</v>
      </c>
      <c r="AI114" s="450">
        <v>0.35</v>
      </c>
      <c r="AJ114" s="450">
        <v>0.35</v>
      </c>
      <c r="AK114" s="450">
        <v>0.35</v>
      </c>
      <c r="AL114" s="451">
        <v>0.35</v>
      </c>
      <c r="AM114" s="450">
        <v>0.35</v>
      </c>
      <c r="AN114" s="450">
        <v>0.35</v>
      </c>
      <c r="AO114" s="450">
        <v>0.35</v>
      </c>
      <c r="AP114" s="451">
        <v>0.35</v>
      </c>
      <c r="AQ114" s="450">
        <v>0.35</v>
      </c>
      <c r="AR114" s="450">
        <v>0.35</v>
      </c>
      <c r="AS114" s="450">
        <v>0.35</v>
      </c>
      <c r="AT114" s="451">
        <v>0.35</v>
      </c>
      <c r="AU114" s="450">
        <v>0.35</v>
      </c>
      <c r="AV114" s="450">
        <v>0.35</v>
      </c>
      <c r="AW114" s="450">
        <v>0.35</v>
      </c>
      <c r="AX114" s="451">
        <v>0.35</v>
      </c>
      <c r="AY114" s="450">
        <v>0.35</v>
      </c>
      <c r="AZ114" s="450">
        <v>0.35</v>
      </c>
      <c r="BA114" s="450">
        <v>0.35</v>
      </c>
      <c r="BB114" s="451">
        <v>0.35</v>
      </c>
      <c r="BC114" s="450">
        <v>0.35</v>
      </c>
      <c r="BD114" s="450">
        <v>0.35</v>
      </c>
      <c r="BE114" s="450">
        <v>0.35</v>
      </c>
      <c r="BF114" s="451">
        <v>0.35</v>
      </c>
      <c r="BG114" s="450">
        <v>0.35</v>
      </c>
      <c r="BH114" s="450">
        <v>0.35</v>
      </c>
      <c r="BI114" s="450">
        <v>0.35</v>
      </c>
      <c r="BJ114" s="451">
        <v>0.35</v>
      </c>
      <c r="BK114" s="450">
        <v>0.35</v>
      </c>
      <c r="BL114" s="450">
        <v>0.35</v>
      </c>
      <c r="BM114" s="450">
        <v>0.35</v>
      </c>
      <c r="BN114" s="451">
        <v>0.35</v>
      </c>
      <c r="BO114" s="450"/>
      <c r="BP114" s="450">
        <v>0.35</v>
      </c>
      <c r="BQ114" s="450">
        <v>0.35</v>
      </c>
      <c r="BR114" s="450">
        <v>0.35</v>
      </c>
      <c r="BS114" s="450">
        <v>0.35</v>
      </c>
      <c r="BT114" s="450">
        <v>0.35</v>
      </c>
      <c r="BU114" s="450">
        <v>0.35</v>
      </c>
      <c r="BV114" s="450">
        <v>0.35</v>
      </c>
      <c r="BW114" s="450">
        <v>0.35</v>
      </c>
      <c r="BX114" s="450">
        <v>0.35</v>
      </c>
      <c r="BY114" s="450">
        <v>0.35</v>
      </c>
      <c r="BZ114" s="450">
        <v>0.35</v>
      </c>
      <c r="CA114" s="450">
        <v>0.35</v>
      </c>
      <c r="CB114" s="450">
        <v>0.35</v>
      </c>
      <c r="CC114" s="450">
        <v>0.35</v>
      </c>
      <c r="CD114" s="450">
        <v>0.35</v>
      </c>
      <c r="CE114" s="450">
        <v>0.35</v>
      </c>
    </row>
    <row r="115" spans="2:83" outlineLevel="1">
      <c r="B115" s="108" t="s">
        <v>346</v>
      </c>
      <c r="C115" s="446">
        <f t="shared" ref="C115:AT115" si="545">C31-C52</f>
        <v>9.7599999999999909E-2</v>
      </c>
      <c r="D115" s="426">
        <f t="shared" si="545"/>
        <v>3.8382915519489913E-2</v>
      </c>
      <c r="E115" s="426">
        <f t="shared" si="545"/>
        <v>0.1140229007633593</v>
      </c>
      <c r="F115" s="447">
        <f t="shared" si="545"/>
        <v>-0.3451025887190653</v>
      </c>
      <c r="G115" s="426">
        <f t="shared" si="545"/>
        <v>-4.1479642647917814E-2</v>
      </c>
      <c r="H115" s="426">
        <f t="shared" si="545"/>
        <v>0.10098133541140086</v>
      </c>
      <c r="I115" s="426">
        <f t="shared" si="545"/>
        <v>-2.7057708510290084</v>
      </c>
      <c r="J115" s="426">
        <f t="shared" si="545"/>
        <v>4.2070111309786995E-2</v>
      </c>
      <c r="K115" s="446">
        <f t="shared" si="545"/>
        <v>-9.3098010911052853E-2</v>
      </c>
      <c r="L115" s="426">
        <f t="shared" si="545"/>
        <v>6.5239675182105827E-2</v>
      </c>
      <c r="M115" s="426">
        <f t="shared" si="545"/>
        <v>0.17996617678477378</v>
      </c>
      <c r="N115" s="447">
        <f t="shared" si="545"/>
        <v>-4.7716511493305802E-2</v>
      </c>
      <c r="O115" s="426">
        <f t="shared" si="545"/>
        <v>-0.72827879334140988</v>
      </c>
      <c r="P115" s="426">
        <f t="shared" si="545"/>
        <v>-34.889270484311055</v>
      </c>
      <c r="Q115" s="426">
        <f t="shared" si="545"/>
        <v>0.11894988771044057</v>
      </c>
      <c r="R115" s="426">
        <f t="shared" si="545"/>
        <v>0.63594664710198501</v>
      </c>
      <c r="S115" s="446">
        <f t="shared" si="545"/>
        <v>-13.454355896468748</v>
      </c>
      <c r="T115" s="426">
        <f t="shared" si="545"/>
        <v>-2.0621285889020635</v>
      </c>
      <c r="U115" s="426">
        <f t="shared" si="545"/>
        <v>0.50193535800811206</v>
      </c>
      <c r="V115" s="447">
        <f t="shared" si="545"/>
        <v>0.16106895661342335</v>
      </c>
      <c r="W115" s="426">
        <f t="shared" si="545"/>
        <v>-0.19505927351136165</v>
      </c>
      <c r="X115" s="426">
        <f t="shared" si="545"/>
        <v>-29.87885066283339</v>
      </c>
      <c r="Y115" s="426">
        <f t="shared" si="545"/>
        <v>-0.79855397982333187</v>
      </c>
      <c r="Z115" s="426">
        <f t="shared" si="545"/>
        <v>0.36759690381160581</v>
      </c>
      <c r="AA115" s="446">
        <f t="shared" si="545"/>
        <v>-0.50146365466338594</v>
      </c>
      <c r="AB115" s="426">
        <f t="shared" si="545"/>
        <v>-0.25586760688718968</v>
      </c>
      <c r="AC115" s="426">
        <f t="shared" si="545"/>
        <v>0.43256297518885845</v>
      </c>
      <c r="AD115" s="447">
        <f t="shared" si="545"/>
        <v>-0.50113263282949383</v>
      </c>
      <c r="AE115" s="426">
        <f t="shared" si="545"/>
        <v>-2.2562142291977381</v>
      </c>
      <c r="AF115" s="426">
        <f t="shared" si="545"/>
        <v>-5.1739170982314988</v>
      </c>
      <c r="AG115" s="426">
        <f t="shared" si="545"/>
        <v>-2.1705970318734558</v>
      </c>
      <c r="AH115" s="447">
        <f t="shared" si="545"/>
        <v>-0.49307321555225769</v>
      </c>
      <c r="AI115" s="426">
        <f t="shared" si="545"/>
        <v>-0.90123223410778586</v>
      </c>
      <c r="AJ115" s="426">
        <f t="shared" si="545"/>
        <v>-1.2142807726703708</v>
      </c>
      <c r="AK115" s="426">
        <f t="shared" si="545"/>
        <v>-1.6623045715416573</v>
      </c>
      <c r="AL115" s="447">
        <f t="shared" si="545"/>
        <v>0.34279276798825364</v>
      </c>
      <c r="AM115" s="426">
        <f t="shared" si="545"/>
        <v>1.3512336816060575</v>
      </c>
      <c r="AN115" s="426">
        <f t="shared" si="545"/>
        <v>-2.2456683589328996</v>
      </c>
      <c r="AO115" s="426">
        <f t="shared" si="545"/>
        <v>-1.6745147127756255</v>
      </c>
      <c r="AP115" s="447">
        <f t="shared" si="545"/>
        <v>-1.368912840835776</v>
      </c>
      <c r="AQ115" s="426">
        <f t="shared" si="545"/>
        <v>-2.2093023255813975</v>
      </c>
      <c r="AR115" s="426">
        <f t="shared" si="545"/>
        <v>-69.638888888888886</v>
      </c>
      <c r="AS115" s="426">
        <f t="shared" si="545"/>
        <v>3.6734693877551017E-2</v>
      </c>
      <c r="AT115" s="447">
        <f t="shared" si="545"/>
        <v>-7.2440944881889777</v>
      </c>
      <c r="AU115" s="426">
        <f t="shared" ref="AU115:BB115" si="546">AU31-AU52</f>
        <v>-5.2282157676348575</v>
      </c>
      <c r="AV115" s="426">
        <f t="shared" si="546"/>
        <v>-1.4132492113564581</v>
      </c>
      <c r="AW115" s="426">
        <f t="shared" si="546"/>
        <v>-2.5442834138486319</v>
      </c>
      <c r="AX115" s="447">
        <f t="shared" si="546"/>
        <v>-1.0757575757575779</v>
      </c>
      <c r="AY115" s="426">
        <f t="shared" ref="AY115:AZ115" si="547">AY31-AY52</f>
        <v>-1.3526119402985053</v>
      </c>
      <c r="AZ115" s="426">
        <f t="shared" si="547"/>
        <v>-1.1812865497076075</v>
      </c>
      <c r="BA115" s="426">
        <f t="shared" ref="BA115" si="548">BA31-BA52</f>
        <v>-0.2589285714285765</v>
      </c>
      <c r="BB115" s="447">
        <f t="shared" si="546"/>
        <v>0.11131725417440208</v>
      </c>
      <c r="BC115" s="426">
        <f t="shared" ref="BC115:BJ115" si="549">BC31-BC52</f>
        <v>0</v>
      </c>
      <c r="BD115" s="426">
        <f t="shared" si="549"/>
        <v>0</v>
      </c>
      <c r="BE115" s="426">
        <f t="shared" si="549"/>
        <v>0</v>
      </c>
      <c r="BF115" s="447">
        <f t="shared" si="549"/>
        <v>0</v>
      </c>
      <c r="BG115" s="426">
        <f t="shared" si="549"/>
        <v>0</v>
      </c>
      <c r="BH115" s="426">
        <f t="shared" si="549"/>
        <v>0</v>
      </c>
      <c r="BI115" s="426">
        <f t="shared" si="549"/>
        <v>0</v>
      </c>
      <c r="BJ115" s="447">
        <f t="shared" si="549"/>
        <v>0</v>
      </c>
      <c r="BK115" s="426">
        <f t="shared" ref="BK115:BN115" si="550">BK31-BK52</f>
        <v>0</v>
      </c>
      <c r="BL115" s="426">
        <f t="shared" si="550"/>
        <v>0</v>
      </c>
      <c r="BM115" s="426">
        <f t="shared" si="550"/>
        <v>0</v>
      </c>
      <c r="BN115" s="447">
        <f t="shared" si="550"/>
        <v>0</v>
      </c>
      <c r="BP115" s="426">
        <f t="shared" ref="BP115:CB115" si="551">BP31-BP52</f>
        <v>-7.8245972398157448E-2</v>
      </c>
      <c r="BQ115" s="426">
        <f t="shared" si="551"/>
        <v>-1.4788805647706198</v>
      </c>
      <c r="BR115" s="426">
        <f t="shared" si="551"/>
        <v>8.7435232614510028E-2</v>
      </c>
      <c r="BS115" s="426">
        <f t="shared" si="551"/>
        <v>-62.678885505424077</v>
      </c>
      <c r="BT115" s="426">
        <f t="shared" si="551"/>
        <v>-39.612417150703656</v>
      </c>
      <c r="BU115" s="426">
        <f t="shared" si="551"/>
        <v>-12.0765910668255</v>
      </c>
      <c r="BV115" s="426">
        <f t="shared" si="551"/>
        <v>-1.1659880192222545</v>
      </c>
      <c r="BW115" s="426">
        <f t="shared" si="551"/>
        <v>-8.8794432608954992</v>
      </c>
      <c r="BX115" s="426">
        <f t="shared" si="551"/>
        <v>-3.351576853880573</v>
      </c>
      <c r="BY115" s="426">
        <f t="shared" si="551"/>
        <v>-3.8624320845852651</v>
      </c>
      <c r="BZ115" s="426">
        <f t="shared" si="551"/>
        <v>-29.168236877523555</v>
      </c>
      <c r="CA115" s="426">
        <f t="shared" si="551"/>
        <v>-8.9732283464567217</v>
      </c>
      <c r="CB115" s="426">
        <f t="shared" si="551"/>
        <v>-1.8534752661239793</v>
      </c>
      <c r="CC115" s="426">
        <f t="shared" ref="CC115" si="552">CC31-CC52</f>
        <v>0</v>
      </c>
      <c r="CD115" s="426">
        <f t="shared" ref="CD115:CE115" si="553">CD31-CD52</f>
        <v>0</v>
      </c>
      <c r="CE115" s="426">
        <f t="shared" si="553"/>
        <v>0</v>
      </c>
    </row>
    <row r="116" spans="2:83" outlineLevel="1">
      <c r="B116" s="557" t="s">
        <v>356</v>
      </c>
      <c r="C116" s="446">
        <f t="shared" ref="C116:AT116" si="554">C27+C47</f>
        <v>0.48799999999999999</v>
      </c>
      <c r="D116" s="426">
        <f t="shared" si="554"/>
        <v>0.35399999999999998</v>
      </c>
      <c r="E116" s="426">
        <f t="shared" si="554"/>
        <v>0.76600000000000001</v>
      </c>
      <c r="F116" s="447">
        <f t="shared" si="554"/>
        <v>-2.11</v>
      </c>
      <c r="G116" s="426">
        <f t="shared" si="554"/>
        <v>-0.24399999999999999</v>
      </c>
      <c r="H116" s="426">
        <f t="shared" si="554"/>
        <v>0.59799999999999998</v>
      </c>
      <c r="I116" s="426">
        <f t="shared" si="554"/>
        <v>8.4000000000000005E-2</v>
      </c>
      <c r="J116" s="426">
        <f t="shared" si="554"/>
        <v>-0.504</v>
      </c>
      <c r="K116" s="446">
        <f t="shared" si="554"/>
        <v>-0.66500000000000004</v>
      </c>
      <c r="L116" s="426">
        <f t="shared" si="554"/>
        <v>0.46600000000000003</v>
      </c>
      <c r="M116" s="426">
        <f t="shared" si="554"/>
        <v>1.542</v>
      </c>
      <c r="N116" s="447">
        <f t="shared" si="554"/>
        <v>-0.58299999999999996</v>
      </c>
      <c r="O116" s="426">
        <f t="shared" si="554"/>
        <v>-4.2839999999999998</v>
      </c>
      <c r="P116" s="426">
        <f t="shared" si="554"/>
        <v>-3.2890000000000001</v>
      </c>
      <c r="Q116" s="426">
        <f t="shared" si="554"/>
        <v>-5.24</v>
      </c>
      <c r="R116" s="426">
        <f t="shared" si="554"/>
        <v>-1.894000000000001</v>
      </c>
      <c r="S116" s="446">
        <f t="shared" si="554"/>
        <v>0.02</v>
      </c>
      <c r="T116" s="426">
        <f t="shared" si="554"/>
        <v>-2.7730000000000001</v>
      </c>
      <c r="U116" s="426">
        <f t="shared" si="554"/>
        <v>-3.0819999999999999</v>
      </c>
      <c r="V116" s="447">
        <f t="shared" si="554"/>
        <v>2.6909999999999998</v>
      </c>
      <c r="W116" s="426">
        <f t="shared" si="554"/>
        <v>-2.2389999999999999</v>
      </c>
      <c r="X116" s="426">
        <f t="shared" si="554"/>
        <v>1.355</v>
      </c>
      <c r="Y116" s="426">
        <f t="shared" si="554"/>
        <v>-4.4180000000000001</v>
      </c>
      <c r="Z116" s="426">
        <f t="shared" si="554"/>
        <v>4.7940000000000005</v>
      </c>
      <c r="AA116" s="446">
        <f t="shared" si="554"/>
        <v>-3.69</v>
      </c>
      <c r="AB116" s="426">
        <f t="shared" si="554"/>
        <v>-1.7490000000000001</v>
      </c>
      <c r="AC116" s="426">
        <f t="shared" si="554"/>
        <v>3.3410000000000002</v>
      </c>
      <c r="AD116" s="447">
        <f t="shared" si="554"/>
        <v>0</v>
      </c>
      <c r="AE116" s="426">
        <f t="shared" si="554"/>
        <v>-10.442</v>
      </c>
      <c r="AF116" s="426">
        <f t="shared" si="554"/>
        <v>-8.59</v>
      </c>
      <c r="AG116" s="426">
        <f t="shared" si="554"/>
        <v>-12.358000000000001</v>
      </c>
      <c r="AH116" s="447">
        <f t="shared" si="554"/>
        <v>-7.5620000000000074</v>
      </c>
      <c r="AI116" s="426">
        <f t="shared" si="554"/>
        <v>-7.8030000000000008</v>
      </c>
      <c r="AJ116" s="426">
        <f t="shared" si="554"/>
        <v>-6.543000000000001</v>
      </c>
      <c r="AK116" s="426">
        <f t="shared" si="554"/>
        <v>-10.337999999999999</v>
      </c>
      <c r="AL116" s="447">
        <f t="shared" si="554"/>
        <v>7.3979999999999997</v>
      </c>
      <c r="AM116" s="426">
        <f t="shared" si="554"/>
        <v>8.2430000000000003</v>
      </c>
      <c r="AN116" s="567">
        <f t="shared" si="554"/>
        <v>-13.030000000000001</v>
      </c>
      <c r="AO116" s="426">
        <f t="shared" si="554"/>
        <v>-0.125</v>
      </c>
      <c r="AP116" s="447">
        <f t="shared" si="554"/>
        <v>0.188</v>
      </c>
      <c r="AQ116" s="426">
        <f t="shared" si="554"/>
        <v>-10</v>
      </c>
      <c r="AR116" s="426">
        <f t="shared" si="554"/>
        <v>84</v>
      </c>
      <c r="AS116" s="426">
        <f t="shared" si="554"/>
        <v>11</v>
      </c>
      <c r="AT116" s="447">
        <f t="shared" si="554"/>
        <v>37</v>
      </c>
      <c r="AU116" s="426">
        <f t="shared" ref="AU116:BB116" si="555">AU27+AU47</f>
        <v>-3</v>
      </c>
      <c r="AV116" s="426">
        <f t="shared" si="555"/>
        <v>2</v>
      </c>
      <c r="AW116" s="426">
        <f t="shared" si="555"/>
        <v>-16</v>
      </c>
      <c r="AX116" s="447">
        <f t="shared" si="555"/>
        <v>-6</v>
      </c>
      <c r="AY116" s="426">
        <f t="shared" ref="AY116:AZ116" si="556">AY27+AY47</f>
        <v>-18</v>
      </c>
      <c r="AZ116" s="426">
        <f t="shared" si="556"/>
        <v>-4</v>
      </c>
      <c r="BA116" s="426">
        <f t="shared" ref="BA116" si="557">BA27+BA47</f>
        <v>-1</v>
      </c>
      <c r="BB116" s="447">
        <f t="shared" si="555"/>
        <v>0</v>
      </c>
      <c r="BC116" s="426">
        <f t="shared" ref="BC116:BJ116" si="558">BC27+BC47</f>
        <v>0</v>
      </c>
      <c r="BD116" s="426">
        <f t="shared" si="558"/>
        <v>0</v>
      </c>
      <c r="BE116" s="426">
        <f t="shared" si="558"/>
        <v>0</v>
      </c>
      <c r="BF116" s="447">
        <f t="shared" si="558"/>
        <v>0</v>
      </c>
      <c r="BG116" s="426">
        <f t="shared" si="558"/>
        <v>0</v>
      </c>
      <c r="BH116" s="426">
        <f t="shared" si="558"/>
        <v>0</v>
      </c>
      <c r="BI116" s="426">
        <f t="shared" si="558"/>
        <v>0</v>
      </c>
      <c r="BJ116" s="447">
        <f t="shared" si="558"/>
        <v>0</v>
      </c>
      <c r="BK116" s="426">
        <f t="shared" ref="BK116:BN116" si="559">BK27+BK47</f>
        <v>0</v>
      </c>
      <c r="BL116" s="426">
        <f t="shared" si="559"/>
        <v>0</v>
      </c>
      <c r="BM116" s="426">
        <f t="shared" si="559"/>
        <v>0</v>
      </c>
      <c r="BN116" s="447">
        <f t="shared" si="559"/>
        <v>0</v>
      </c>
      <c r="BP116" s="426">
        <f t="shared" ref="BP116:CB116" si="560">BP27+BP47</f>
        <v>-0.50199999999999978</v>
      </c>
      <c r="BQ116" s="426">
        <f t="shared" si="560"/>
        <v>-6.6000000000000003E-2</v>
      </c>
      <c r="BR116" s="426">
        <f t="shared" si="560"/>
        <v>0.76</v>
      </c>
      <c r="BS116" s="426">
        <f t="shared" si="560"/>
        <v>-14.707000000000001</v>
      </c>
      <c r="BT116" s="426">
        <f t="shared" si="560"/>
        <v>-3.1440000000000001</v>
      </c>
      <c r="BU116" s="426">
        <f t="shared" si="560"/>
        <v>-0.50799999999999912</v>
      </c>
      <c r="BV116" s="426">
        <f t="shared" si="560"/>
        <v>-2.0979999999999999</v>
      </c>
      <c r="BW116" s="426">
        <f t="shared" si="560"/>
        <v>-38.952000000000005</v>
      </c>
      <c r="BX116" s="426">
        <f t="shared" si="560"/>
        <v>-17.286000000000001</v>
      </c>
      <c r="BY116" s="426">
        <f t="shared" si="560"/>
        <v>-4.7239999999999984</v>
      </c>
      <c r="BZ116" s="426">
        <f t="shared" si="560"/>
        <v>122</v>
      </c>
      <c r="CA116" s="426">
        <f t="shared" si="560"/>
        <v>-23</v>
      </c>
      <c r="CB116" s="426">
        <f t="shared" si="560"/>
        <v>-23</v>
      </c>
      <c r="CC116" s="426">
        <f t="shared" ref="CC116" si="561">CC27+CC47</f>
        <v>0</v>
      </c>
      <c r="CD116" s="426">
        <f t="shared" ref="CD116:CE116" si="562">CD27+CD47</f>
        <v>0</v>
      </c>
      <c r="CE116" s="426">
        <f t="shared" si="562"/>
        <v>0</v>
      </c>
    </row>
    <row r="117" spans="2:83">
      <c r="BN117" s="204"/>
    </row>
    <row r="118" spans="2:83">
      <c r="BN118" s="204"/>
    </row>
    <row r="119" spans="2:83">
      <c r="BN119" s="204"/>
    </row>
    <row r="120" spans="2:83">
      <c r="BN120" s="204"/>
    </row>
    <row r="121" spans="2:83">
      <c r="BN121" s="204"/>
    </row>
    <row r="122" spans="2:83">
      <c r="BN122" s="204"/>
    </row>
    <row r="123" spans="2:83">
      <c r="BN123" s="204"/>
    </row>
    <row r="124" spans="2:83">
      <c r="BN124" s="204"/>
    </row>
    <row r="125" spans="2:83">
      <c r="BN125" s="204"/>
    </row>
    <row r="126" spans="2:83">
      <c r="BN126" s="204"/>
    </row>
    <row r="127" spans="2:83">
      <c r="BN127" s="204"/>
    </row>
    <row r="128" spans="2:83">
      <c r="BN128" s="204"/>
    </row>
    <row r="129" spans="66:66">
      <c r="BN129" s="204"/>
    </row>
    <row r="130" spans="66:66">
      <c r="BN130" s="204"/>
    </row>
    <row r="131" spans="66:66">
      <c r="BN131" s="204"/>
    </row>
    <row r="132" spans="66:66">
      <c r="BN132" s="204"/>
    </row>
    <row r="133" spans="66:66">
      <c r="BN133" s="204"/>
    </row>
    <row r="134" spans="66:66">
      <c r="BN134" s="204"/>
    </row>
    <row r="135" spans="66:66">
      <c r="BN135" s="204"/>
    </row>
    <row r="136" spans="66:66">
      <c r="BN136" s="204"/>
    </row>
    <row r="137" spans="66:66">
      <c r="BN137" s="204"/>
    </row>
    <row r="138" spans="66:66">
      <c r="BN138" s="204"/>
    </row>
    <row r="139" spans="66:66">
      <c r="BN139" s="204"/>
    </row>
    <row r="140" spans="66:66">
      <c r="BN140" s="204"/>
    </row>
    <row r="141" spans="66:66">
      <c r="BN141" s="204"/>
    </row>
    <row r="142" spans="66:66">
      <c r="BN142" s="204"/>
    </row>
    <row r="143" spans="66:66">
      <c r="BN143" s="204"/>
    </row>
    <row r="144" spans="66:66">
      <c r="BN144" s="204"/>
    </row>
    <row r="145" spans="66:66">
      <c r="BN145" s="204"/>
    </row>
    <row r="146" spans="66:66">
      <c r="BN146" s="204"/>
    </row>
    <row r="147" spans="66:66">
      <c r="BN147" s="204"/>
    </row>
    <row r="148" spans="66:66">
      <c r="BN148" s="204"/>
    </row>
    <row r="149" spans="66:66">
      <c r="BN149" s="204"/>
    </row>
    <row r="150" spans="66:66">
      <c r="BN150" s="204"/>
    </row>
    <row r="151" spans="66:66">
      <c r="BN151" s="204"/>
    </row>
    <row r="152" spans="66:66">
      <c r="BN152" s="204"/>
    </row>
    <row r="153" spans="66:66">
      <c r="BN153" s="204"/>
    </row>
    <row r="154" spans="66:66">
      <c r="BN154" s="204"/>
    </row>
    <row r="155" spans="66:66">
      <c r="BN155" s="204"/>
    </row>
    <row r="156" spans="66:66">
      <c r="BN156" s="204"/>
    </row>
    <row r="157" spans="66:66">
      <c r="BN157" s="204"/>
    </row>
    <row r="158" spans="66:66">
      <c r="BN158" s="204"/>
    </row>
    <row r="159" spans="66:66">
      <c r="BN159" s="204"/>
    </row>
    <row r="160" spans="66:66">
      <c r="BN160" s="204"/>
    </row>
    <row r="161" spans="66:66">
      <c r="BN161" s="204"/>
    </row>
    <row r="162" spans="66:66">
      <c r="BN162" s="204"/>
    </row>
    <row r="163" spans="66:66">
      <c r="BN163" s="204"/>
    </row>
    <row r="164" spans="66:66">
      <c r="BN164" s="204"/>
    </row>
    <row r="165" spans="66:66">
      <c r="BN165" s="204"/>
    </row>
    <row r="166" spans="66:66">
      <c r="BN166" s="204"/>
    </row>
    <row r="167" spans="66:66">
      <c r="BN167" s="204"/>
    </row>
    <row r="168" spans="66:66">
      <c r="BN168" s="204"/>
    </row>
    <row r="169" spans="66:66">
      <c r="BN169" s="204"/>
    </row>
    <row r="170" spans="66:66">
      <c r="BN170" s="204"/>
    </row>
    <row r="171" spans="66:66">
      <c r="BN171" s="204"/>
    </row>
    <row r="172" spans="66:66">
      <c r="BN172" s="204"/>
    </row>
    <row r="173" spans="66:66">
      <c r="BN173" s="204"/>
    </row>
    <row r="174" spans="66:66">
      <c r="BN174" s="204"/>
    </row>
    <row r="175" spans="66:66">
      <c r="BN175" s="204"/>
    </row>
    <row r="176" spans="66:66">
      <c r="BN176" s="204"/>
    </row>
    <row r="177" spans="66:66">
      <c r="BN177" s="204"/>
    </row>
    <row r="178" spans="66:66">
      <c r="BN178" s="204"/>
    </row>
    <row r="179" spans="66:66">
      <c r="BN179" s="204"/>
    </row>
    <row r="180" spans="66:66">
      <c r="BN180" s="204"/>
    </row>
    <row r="181" spans="66:66">
      <c r="BN181" s="204"/>
    </row>
    <row r="182" spans="66:66">
      <c r="BN182" s="204"/>
    </row>
    <row r="183" spans="66:66">
      <c r="BN183" s="204"/>
    </row>
    <row r="184" spans="66:66">
      <c r="BN184" s="204"/>
    </row>
    <row r="185" spans="66:66">
      <c r="BN185" s="204"/>
    </row>
    <row r="186" spans="66:66">
      <c r="BN186" s="204"/>
    </row>
    <row r="187" spans="66:66">
      <c r="BN187" s="204"/>
    </row>
    <row r="188" spans="66:66">
      <c r="BN188" s="204"/>
    </row>
    <row r="189" spans="66:66">
      <c r="BN189" s="204"/>
    </row>
    <row r="190" spans="66:66">
      <c r="BN190" s="204"/>
    </row>
    <row r="191" spans="66:66">
      <c r="BN191" s="204"/>
    </row>
    <row r="192" spans="66:66">
      <c r="BN192" s="204"/>
    </row>
    <row r="193" spans="66:66">
      <c r="BN193" s="204"/>
    </row>
    <row r="194" spans="66:66">
      <c r="BN194" s="204"/>
    </row>
    <row r="195" spans="66:66">
      <c r="BN195" s="204"/>
    </row>
    <row r="196" spans="66:66">
      <c r="BN196" s="204"/>
    </row>
    <row r="197" spans="66:66">
      <c r="BN197" s="204"/>
    </row>
    <row r="198" spans="66:66">
      <c r="BN198" s="204"/>
    </row>
    <row r="199" spans="66:66">
      <c r="BN199" s="204"/>
    </row>
    <row r="200" spans="66:66">
      <c r="BN200" s="204"/>
    </row>
    <row r="201" spans="66:66">
      <c r="BN201" s="204"/>
    </row>
    <row r="202" spans="66:66">
      <c r="BN202" s="204"/>
    </row>
    <row r="203" spans="66:66">
      <c r="BN203" s="204"/>
    </row>
    <row r="204" spans="66:66">
      <c r="BN204" s="204"/>
    </row>
    <row r="205" spans="66:66">
      <c r="BN205" s="204"/>
    </row>
    <row r="206" spans="66:66">
      <c r="BN206" s="204"/>
    </row>
    <row r="207" spans="66:66" customFormat="1"/>
  </sheetData>
  <conditionalFormatting sqref="BO18">
    <cfRule type="containsText" dxfId="2630" priority="7" stopIfTrue="1" operator="containsText" text="FALSE">
      <formula>NOT(ISERROR(SEARCH("FALSE",BO18)))</formula>
    </cfRule>
  </conditionalFormatting>
  <conditionalFormatting sqref="BO21:BO22">
    <cfRule type="containsText" dxfId="2629" priority="6" stopIfTrue="1" operator="containsText" text="FALSE">
      <formula>NOT(ISERROR(SEARCH("FALSE",BO21)))</formula>
    </cfRule>
  </conditionalFormatting>
  <conditionalFormatting sqref="BO6:CB6">
    <cfRule type="containsText" dxfId="2628" priority="3" stopIfTrue="1" operator="containsText" text="FALSE">
      <formula>NOT(ISERROR(SEARCH("FALSE",BO6)))</formula>
    </cfRule>
  </conditionalFormatting>
  <conditionalFormatting sqref="CC6:CE6">
    <cfRule type="containsText" dxfId="2627" priority="1" stopIfTrue="1" operator="containsText" text="FALSE">
      <formula>NOT(ISERROR(SEARCH("FALSE",CC6)))</formula>
    </cfRule>
  </conditionalFormatting>
  <pageMargins left="0" right="0" top="0" bottom="0" header="0" footer="0"/>
  <pageSetup paperSize="5" scale="2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E307"/>
  <sheetViews>
    <sheetView zoomScaleNormal="100" workbookViewId="0">
      <pane xSplit="2" ySplit="5" topLeftCell="AU6" activePane="bottomRight" state="frozen"/>
      <selection pane="topRight" activeCell="C1" sqref="C1"/>
      <selection pane="bottomLeft" activeCell="A6" sqref="A6"/>
      <selection pane="bottomRight" activeCell="BF37" sqref="A1:XFD1048576"/>
    </sheetView>
  </sheetViews>
  <sheetFormatPr defaultRowHeight="15" outlineLevelRow="1" outlineLevelCol="1"/>
  <cols>
    <col min="1" max="1" width="4" style="5" hidden="1" customWidth="1"/>
    <col min="2" max="2" width="36.85546875" style="141" customWidth="1"/>
    <col min="3" max="3" width="8.5703125" style="272" hidden="1" customWidth="1" outlineLevel="1"/>
    <col min="4" max="5" width="7.42578125" style="141" hidden="1" customWidth="1" outlineLevel="1"/>
    <col min="6" max="6" width="7.42578125" style="273" hidden="1" customWidth="1" outlineLevel="1"/>
    <col min="7" max="10" width="7.42578125" style="141" hidden="1" customWidth="1" outlineLevel="1"/>
    <col min="11" max="11" width="7.42578125" style="272" hidden="1" customWidth="1" outlineLevel="1"/>
    <col min="12" max="13" width="7.42578125" style="141" hidden="1" customWidth="1" outlineLevel="1"/>
    <col min="14" max="14" width="8.28515625" style="273" hidden="1" customWidth="1" outlineLevel="1"/>
    <col min="15" max="16" width="7.42578125" style="141" hidden="1" customWidth="1" outlineLevel="1"/>
    <col min="17" max="17" width="8.28515625" style="141" hidden="1" customWidth="1" outlineLevel="1"/>
    <col min="18" max="18" width="7.42578125" style="141" hidden="1" customWidth="1" outlineLevel="1"/>
    <col min="19" max="19" width="7.7109375" style="272" hidden="1" customWidth="1" outlineLevel="1"/>
    <col min="20" max="21" width="7.42578125" style="141" hidden="1" customWidth="1" outlineLevel="1"/>
    <col min="22" max="22" width="7.7109375" style="273" hidden="1" customWidth="1" outlineLevel="1"/>
    <col min="23" max="23" width="7.42578125" style="141" hidden="1" customWidth="1" outlineLevel="1" collapsed="1"/>
    <col min="24" max="25" width="7.42578125" style="141" hidden="1" customWidth="1" outlineLevel="1"/>
    <col min="26" max="26" width="7.7109375" style="141" hidden="1" customWidth="1" outlineLevel="1"/>
    <col min="27" max="27" width="7.7109375" style="272" hidden="1" customWidth="1" outlineLevel="1"/>
    <col min="28" max="28" width="7.42578125" style="141" hidden="1" customWidth="1" outlineLevel="1"/>
    <col min="29" max="29" width="7.7109375" style="141" hidden="1" customWidth="1" outlineLevel="1"/>
    <col min="30" max="30" width="7.42578125" style="273" hidden="1" customWidth="1" outlineLevel="1"/>
    <col min="31" max="31" width="8" style="141" hidden="1" customWidth="1" outlineLevel="1" collapsed="1"/>
    <col min="32" max="34" width="8" style="141" hidden="1" customWidth="1" outlineLevel="1"/>
    <col min="35" max="35" width="8.42578125" style="272" hidden="1" customWidth="1" outlineLevel="1" collapsed="1"/>
    <col min="36" max="37" width="8.42578125" style="141" hidden="1" customWidth="1" outlineLevel="1"/>
    <col min="38" max="38" width="8.42578125" style="273" hidden="1" customWidth="1" outlineLevel="1"/>
    <col min="39" max="39" width="8.42578125" style="272" hidden="1" customWidth="1" outlineLevel="1" collapsed="1"/>
    <col min="40" max="41" width="8.42578125" style="141" hidden="1" customWidth="1" outlineLevel="1"/>
    <col min="42" max="42" width="8.42578125" style="273" hidden="1" customWidth="1" outlineLevel="1"/>
    <col min="43" max="43" width="8.42578125" style="272" hidden="1" customWidth="1" outlineLevel="1" collapsed="1"/>
    <col min="44" max="45" width="8.42578125" style="141" hidden="1" customWidth="1" outlineLevel="1"/>
    <col min="46" max="46" width="8.42578125" style="273" hidden="1" customWidth="1" outlineLevel="1"/>
    <col min="47" max="47" width="8.42578125" style="272" customWidth="1" collapsed="1"/>
    <col min="48" max="48" width="8.42578125" style="141" customWidth="1"/>
    <col min="49" max="49" width="8.42578125" style="273" customWidth="1"/>
    <col min="50" max="50" width="8.42578125" style="141" customWidth="1"/>
    <col min="51" max="51" width="8.42578125" style="272" customWidth="1"/>
    <col min="52" max="54" width="8.42578125" style="141" customWidth="1"/>
    <col min="55" max="55" width="8.42578125" style="272" customWidth="1"/>
    <col min="56" max="58" width="8.42578125" style="141" customWidth="1"/>
    <col min="59" max="59" width="8.42578125" style="272" customWidth="1"/>
    <col min="60" max="62" width="8.42578125" style="141" customWidth="1"/>
    <col min="63" max="63" width="8.42578125" style="272" hidden="1" customWidth="1" outlineLevel="1"/>
    <col min="64" max="65" width="8.42578125" style="141" hidden="1" customWidth="1" outlineLevel="1"/>
    <col min="66" max="66" width="8.42578125" style="273" hidden="1" customWidth="1" outlineLevel="1"/>
    <col min="67" max="67" width="2.7109375" style="141" customWidth="1" collapsed="1"/>
    <col min="68" max="68" width="9.28515625" style="148" hidden="1" customWidth="1" outlineLevel="1"/>
    <col min="69" max="69" width="6.7109375" style="148" hidden="1" customWidth="1" outlineLevel="1"/>
    <col min="70" max="71" width="8.28515625" style="148" hidden="1" customWidth="1" outlineLevel="1"/>
    <col min="72" max="74" width="7.7109375" style="148" hidden="1" customWidth="1" outlineLevel="1"/>
    <col min="75" max="76" width="8.42578125" style="148" hidden="1" customWidth="1" outlineLevel="1" collapsed="1"/>
    <col min="77" max="77" width="8.42578125" style="148" customWidth="1" collapsed="1"/>
    <col min="78" max="79" width="8.42578125" style="141" customWidth="1"/>
    <col min="80" max="80" width="8" style="141" customWidth="1"/>
    <col min="81" max="83" width="8.5703125" style="141" customWidth="1" outlineLevel="1"/>
    <col min="84" max="85" width="9.140625" style="141"/>
    <col min="86" max="86" width="6.5703125" style="141" customWidth="1"/>
    <col min="87" max="103" width="9.140625" style="141"/>
    <col min="110" max="16384" width="9.140625" style="141"/>
  </cols>
  <sheetData>
    <row r="1" spans="1:109" s="5" customFormat="1" ht="18">
      <c r="A1" s="5" t="s">
        <v>116</v>
      </c>
      <c r="B1" s="12" t="s">
        <v>133</v>
      </c>
      <c r="C1" s="15"/>
      <c r="F1" s="16"/>
      <c r="K1" s="15"/>
      <c r="N1" s="16"/>
      <c r="S1" s="15"/>
      <c r="V1" s="16"/>
      <c r="AA1" s="15"/>
      <c r="AD1" s="16"/>
      <c r="AI1" s="15"/>
      <c r="AL1" s="16"/>
      <c r="AM1" s="15"/>
      <c r="AP1" s="16"/>
      <c r="AQ1" s="15"/>
      <c r="AT1" s="16"/>
      <c r="AU1" s="15"/>
      <c r="AW1" s="84"/>
      <c r="AX1" s="16"/>
      <c r="AY1" s="15"/>
      <c r="BA1" s="979"/>
      <c r="BB1" s="16"/>
      <c r="BC1" s="931"/>
      <c r="BD1" s="110"/>
      <c r="BE1" s="110"/>
      <c r="BF1" s="242"/>
      <c r="BG1" s="931"/>
      <c r="BH1" s="110"/>
      <c r="BI1" s="110"/>
      <c r="BJ1" s="242"/>
      <c r="BK1" s="931"/>
      <c r="BL1" s="110"/>
      <c r="BM1" s="110"/>
      <c r="BN1" s="242"/>
      <c r="BO1" s="84"/>
      <c r="BP1" s="58"/>
      <c r="BQ1" s="58"/>
      <c r="BR1" s="58"/>
      <c r="BS1" s="58"/>
      <c r="BT1" s="58"/>
      <c r="BU1" s="58"/>
      <c r="BV1" s="58"/>
      <c r="BW1" s="58"/>
      <c r="BX1" s="58"/>
      <c r="BY1" s="58"/>
      <c r="CE1" s="925"/>
      <c r="CZ1"/>
      <c r="DA1"/>
      <c r="DB1"/>
      <c r="DC1"/>
      <c r="DD1"/>
      <c r="DE1"/>
    </row>
    <row r="2" spans="1:109" s="5" customFormat="1">
      <c r="A2" s="9" t="s">
        <v>119</v>
      </c>
      <c r="B2" s="9" t="s">
        <v>423</v>
      </c>
      <c r="C2" s="201" t="s">
        <v>284</v>
      </c>
      <c r="D2" s="107" t="s">
        <v>285</v>
      </c>
      <c r="E2" s="107" t="s">
        <v>286</v>
      </c>
      <c r="F2" s="202" t="s">
        <v>287</v>
      </c>
      <c r="G2" s="107" t="s">
        <v>288</v>
      </c>
      <c r="H2" s="107" t="s">
        <v>289</v>
      </c>
      <c r="I2" s="107" t="s">
        <v>290</v>
      </c>
      <c r="J2" s="107" t="s">
        <v>291</v>
      </c>
      <c r="K2" s="201" t="s">
        <v>292</v>
      </c>
      <c r="L2" s="107" t="s">
        <v>293</v>
      </c>
      <c r="M2" s="107" t="s">
        <v>294</v>
      </c>
      <c r="N2" s="202" t="s">
        <v>295</v>
      </c>
      <c r="O2" s="107" t="s">
        <v>296</v>
      </c>
      <c r="P2" s="107" t="s">
        <v>297</v>
      </c>
      <c r="Q2" s="107" t="s">
        <v>298</v>
      </c>
      <c r="R2" s="107" t="s">
        <v>299</v>
      </c>
      <c r="S2" s="201" t="s">
        <v>300</v>
      </c>
      <c r="T2" s="107" t="s">
        <v>301</v>
      </c>
      <c r="U2" s="107" t="s">
        <v>302</v>
      </c>
      <c r="V2" s="202" t="s">
        <v>303</v>
      </c>
      <c r="W2" s="107" t="s">
        <v>238</v>
      </c>
      <c r="X2" s="107" t="s">
        <v>239</v>
      </c>
      <c r="Y2" s="107" t="s">
        <v>240</v>
      </c>
      <c r="Z2" s="107" t="s">
        <v>241</v>
      </c>
      <c r="AA2" s="201" t="s">
        <v>245</v>
      </c>
      <c r="AB2" s="107" t="s">
        <v>244</v>
      </c>
      <c r="AC2" s="107" t="s">
        <v>243</v>
      </c>
      <c r="AD2" s="202" t="s">
        <v>242</v>
      </c>
      <c r="AE2" s="107" t="s">
        <v>120</v>
      </c>
      <c r="AF2" s="107" t="s">
        <v>121</v>
      </c>
      <c r="AG2" s="107" t="s">
        <v>126</v>
      </c>
      <c r="AH2" s="107" t="s">
        <v>127</v>
      </c>
      <c r="AI2" s="201" t="s">
        <v>122</v>
      </c>
      <c r="AJ2" s="107" t="s">
        <v>123</v>
      </c>
      <c r="AK2" s="107" t="s">
        <v>124</v>
      </c>
      <c r="AL2" s="202" t="s">
        <v>125</v>
      </c>
      <c r="AM2" s="201" t="s">
        <v>129</v>
      </c>
      <c r="AN2" s="107" t="s">
        <v>128</v>
      </c>
      <c r="AO2" s="107" t="s">
        <v>130</v>
      </c>
      <c r="AP2" s="202" t="s">
        <v>131</v>
      </c>
      <c r="AQ2" s="201" t="s">
        <v>357</v>
      </c>
      <c r="AR2" s="107" t="s">
        <v>358</v>
      </c>
      <c r="AS2" s="107" t="s">
        <v>359</v>
      </c>
      <c r="AT2" s="202" t="s">
        <v>360</v>
      </c>
      <c r="AU2" s="201" t="s">
        <v>418</v>
      </c>
      <c r="AV2" s="107" t="s">
        <v>419</v>
      </c>
      <c r="AW2" s="125" t="s">
        <v>420</v>
      </c>
      <c r="AX2" s="202" t="s">
        <v>421</v>
      </c>
      <c r="AY2" s="201" t="s">
        <v>418</v>
      </c>
      <c r="AZ2" s="107" t="s">
        <v>419</v>
      </c>
      <c r="BA2" s="107" t="s">
        <v>420</v>
      </c>
      <c r="BB2" s="202" t="s">
        <v>421</v>
      </c>
      <c r="BC2" s="928" t="s">
        <v>454</v>
      </c>
      <c r="BD2" s="111" t="s">
        <v>455</v>
      </c>
      <c r="BE2" s="111" t="s">
        <v>456</v>
      </c>
      <c r="BF2" s="198" t="s">
        <v>457</v>
      </c>
      <c r="BG2" s="928" t="s">
        <v>458</v>
      </c>
      <c r="BH2" s="111" t="s">
        <v>459</v>
      </c>
      <c r="BI2" s="111" t="s">
        <v>460</v>
      </c>
      <c r="BJ2" s="198" t="s">
        <v>461</v>
      </c>
      <c r="BK2" s="928" t="s">
        <v>472</v>
      </c>
      <c r="BL2" s="111" t="s">
        <v>473</v>
      </c>
      <c r="BM2" s="111" t="s">
        <v>474</v>
      </c>
      <c r="BN2" s="198" t="s">
        <v>475</v>
      </c>
      <c r="BO2" s="125"/>
      <c r="BP2" s="144" t="s">
        <v>197</v>
      </c>
      <c r="BQ2" s="144" t="s">
        <v>198</v>
      </c>
      <c r="BR2" s="144" t="s">
        <v>199</v>
      </c>
      <c r="BS2" s="144" t="s">
        <v>200</v>
      </c>
      <c r="BT2" s="144" t="s">
        <v>201</v>
      </c>
      <c r="BU2" s="144" t="s">
        <v>202</v>
      </c>
      <c r="BV2" s="144" t="s">
        <v>151</v>
      </c>
      <c r="BW2" s="144" t="s">
        <v>152</v>
      </c>
      <c r="BX2" s="144" t="s">
        <v>153</v>
      </c>
      <c r="BY2" s="144" t="s">
        <v>203</v>
      </c>
      <c r="BZ2" s="107" t="s">
        <v>204</v>
      </c>
      <c r="CA2" s="107" t="s">
        <v>205</v>
      </c>
      <c r="CB2" s="107" t="s">
        <v>206</v>
      </c>
      <c r="CC2" s="107" t="s">
        <v>207</v>
      </c>
      <c r="CD2" s="107" t="s">
        <v>208</v>
      </c>
      <c r="CE2" s="107" t="s">
        <v>480</v>
      </c>
      <c r="CG2" s="979"/>
      <c r="CH2" s="979"/>
      <c r="CI2" s="979"/>
      <c r="CZ2"/>
      <c r="DA2"/>
      <c r="DB2"/>
      <c r="DC2"/>
      <c r="DD2"/>
      <c r="DE2"/>
    </row>
    <row r="3" spans="1:109" s="5" customFormat="1">
      <c r="A3" s="9" t="s">
        <v>182</v>
      </c>
      <c r="B3" s="9"/>
      <c r="C3" s="17">
        <v>38472</v>
      </c>
      <c r="D3" s="13">
        <v>38564</v>
      </c>
      <c r="E3" s="13">
        <v>38656</v>
      </c>
      <c r="F3" s="18">
        <v>38748</v>
      </c>
      <c r="G3" s="13">
        <v>38837</v>
      </c>
      <c r="H3" s="13">
        <v>38929</v>
      </c>
      <c r="I3" s="13">
        <v>39021</v>
      </c>
      <c r="J3" s="13">
        <v>39113</v>
      </c>
      <c r="K3" s="17">
        <v>39202</v>
      </c>
      <c r="L3" s="13">
        <v>39294</v>
      </c>
      <c r="M3" s="13">
        <v>39386</v>
      </c>
      <c r="N3" s="18">
        <v>39478</v>
      </c>
      <c r="O3" s="13">
        <v>39568</v>
      </c>
      <c r="P3" s="13">
        <v>39660</v>
      </c>
      <c r="Q3" s="13">
        <v>39752</v>
      </c>
      <c r="R3" s="13">
        <v>39844</v>
      </c>
      <c r="S3" s="17">
        <v>39933</v>
      </c>
      <c r="T3" s="13">
        <v>40025</v>
      </c>
      <c r="U3" s="13">
        <v>40117</v>
      </c>
      <c r="V3" s="18">
        <v>40209</v>
      </c>
      <c r="W3" s="13">
        <v>40298</v>
      </c>
      <c r="X3" s="13">
        <v>40390</v>
      </c>
      <c r="Y3" s="13">
        <v>40482</v>
      </c>
      <c r="Z3" s="13">
        <v>40574</v>
      </c>
      <c r="AA3" s="17">
        <v>40663</v>
      </c>
      <c r="AB3" s="13">
        <v>40755</v>
      </c>
      <c r="AC3" s="13">
        <v>40847</v>
      </c>
      <c r="AD3" s="18">
        <v>40939</v>
      </c>
      <c r="AE3" s="13">
        <v>41029</v>
      </c>
      <c r="AF3" s="13">
        <v>41121</v>
      </c>
      <c r="AG3" s="13">
        <v>41213</v>
      </c>
      <c r="AH3" s="13">
        <v>41305</v>
      </c>
      <c r="AI3" s="17">
        <v>41394</v>
      </c>
      <c r="AJ3" s="13">
        <v>41486</v>
      </c>
      <c r="AK3" s="13">
        <v>41578</v>
      </c>
      <c r="AL3" s="18">
        <v>41670</v>
      </c>
      <c r="AM3" s="17">
        <v>41759</v>
      </c>
      <c r="AN3" s="13">
        <v>41851</v>
      </c>
      <c r="AO3" s="13">
        <v>41943</v>
      </c>
      <c r="AP3" s="18">
        <v>42035</v>
      </c>
      <c r="AQ3" s="17">
        <v>42124</v>
      </c>
      <c r="AR3" s="13">
        <v>42216</v>
      </c>
      <c r="AS3" s="13">
        <v>42308</v>
      </c>
      <c r="AT3" s="18">
        <v>42400</v>
      </c>
      <c r="AU3" s="17">
        <v>42490</v>
      </c>
      <c r="AV3" s="13">
        <v>42582</v>
      </c>
      <c r="AW3" s="86">
        <v>42674</v>
      </c>
      <c r="AX3" s="18">
        <v>42766</v>
      </c>
      <c r="AY3" s="17">
        <v>42855</v>
      </c>
      <c r="AZ3" s="13">
        <v>42947</v>
      </c>
      <c r="BA3" s="13">
        <v>43039</v>
      </c>
      <c r="BB3" s="18">
        <v>43131</v>
      </c>
      <c r="BC3" s="929">
        <v>43220</v>
      </c>
      <c r="BD3" s="112">
        <v>43312</v>
      </c>
      <c r="BE3" s="112">
        <v>43404</v>
      </c>
      <c r="BF3" s="243">
        <v>43496</v>
      </c>
      <c r="BG3" s="929">
        <v>43585</v>
      </c>
      <c r="BH3" s="112">
        <v>43677</v>
      </c>
      <c r="BI3" s="112">
        <v>43769</v>
      </c>
      <c r="BJ3" s="243">
        <v>43861</v>
      </c>
      <c r="BK3" s="929">
        <v>43951</v>
      </c>
      <c r="BL3" s="112">
        <v>44043</v>
      </c>
      <c r="BM3" s="112">
        <v>44135</v>
      </c>
      <c r="BN3" s="243">
        <v>44227</v>
      </c>
      <c r="BO3" s="86"/>
      <c r="BP3" s="145"/>
      <c r="BQ3" s="145"/>
      <c r="BR3" s="145"/>
      <c r="BS3" s="145"/>
      <c r="BT3" s="145"/>
      <c r="BU3" s="145"/>
      <c r="BV3" s="145"/>
      <c r="BW3" s="13">
        <f>DATE(RIGHT(BW2,4),1,31)</f>
        <v>41305</v>
      </c>
      <c r="BX3" s="13">
        <f>DATE(RIGHT(BX2,4),1,31)</f>
        <v>41670</v>
      </c>
      <c r="BY3" s="13">
        <f t="shared" ref="BY3:CD3" si="0">DATE(RIGHT(BY2,4),1,31)</f>
        <v>42035</v>
      </c>
      <c r="BZ3" s="13">
        <f t="shared" si="0"/>
        <v>42400</v>
      </c>
      <c r="CA3" s="13">
        <f t="shared" si="0"/>
        <v>42766</v>
      </c>
      <c r="CB3" s="13">
        <f t="shared" si="0"/>
        <v>43131</v>
      </c>
      <c r="CC3" s="13">
        <f t="shared" si="0"/>
        <v>43496</v>
      </c>
      <c r="CD3" s="13">
        <f t="shared" si="0"/>
        <v>43861</v>
      </c>
      <c r="CE3" s="13">
        <f t="shared" ref="CE3" si="1">DATE(RIGHT(CE2,4),1,31)</f>
        <v>44227</v>
      </c>
      <c r="CG3" s="979"/>
      <c r="CH3" s="979"/>
      <c r="CI3" s="979"/>
      <c r="CZ3"/>
      <c r="DA3"/>
      <c r="DB3"/>
      <c r="DC3"/>
      <c r="DD3"/>
      <c r="DE3"/>
    </row>
    <row r="4" spans="1:109" s="5" customFormat="1">
      <c r="A4" s="9" t="s">
        <v>70</v>
      </c>
      <c r="B4" s="9"/>
      <c r="C4" s="19" t="s">
        <v>71</v>
      </c>
      <c r="D4" s="7" t="s">
        <v>72</v>
      </c>
      <c r="E4" s="7" t="s">
        <v>73</v>
      </c>
      <c r="F4" s="20" t="s">
        <v>74</v>
      </c>
      <c r="G4" s="7" t="s">
        <v>75</v>
      </c>
      <c r="H4" s="7" t="s">
        <v>76</v>
      </c>
      <c r="I4" s="7" t="s">
        <v>77</v>
      </c>
      <c r="J4" s="7" t="s">
        <v>78</v>
      </c>
      <c r="K4" s="19" t="s">
        <v>79</v>
      </c>
      <c r="L4" s="7" t="s">
        <v>80</v>
      </c>
      <c r="M4" s="7" t="s">
        <v>81</v>
      </c>
      <c r="N4" s="20" t="s">
        <v>82</v>
      </c>
      <c r="O4" s="7" t="s">
        <v>83</v>
      </c>
      <c r="P4" s="7" t="s">
        <v>84</v>
      </c>
      <c r="Q4" s="7" t="s">
        <v>85</v>
      </c>
      <c r="R4" s="7" t="s">
        <v>86</v>
      </c>
      <c r="S4" s="19" t="s">
        <v>87</v>
      </c>
      <c r="T4" s="7" t="s">
        <v>88</v>
      </c>
      <c r="U4" s="7" t="s">
        <v>89</v>
      </c>
      <c r="V4" s="20" t="s">
        <v>90</v>
      </c>
      <c r="W4" s="7" t="s">
        <v>91</v>
      </c>
      <c r="X4" s="7" t="s">
        <v>92</v>
      </c>
      <c r="Y4" s="7" t="s">
        <v>93</v>
      </c>
      <c r="Z4" s="7" t="s">
        <v>94</v>
      </c>
      <c r="AA4" s="19" t="s">
        <v>95</v>
      </c>
      <c r="AB4" s="7" t="s">
        <v>96</v>
      </c>
      <c r="AC4" s="7" t="s">
        <v>97</v>
      </c>
      <c r="AD4" s="20" t="s">
        <v>98</v>
      </c>
      <c r="AE4" s="7" t="s">
        <v>99</v>
      </c>
      <c r="AF4" s="7" t="s">
        <v>100</v>
      </c>
      <c r="AG4" s="7" t="s">
        <v>101</v>
      </c>
      <c r="AH4" s="7" t="s">
        <v>102</v>
      </c>
      <c r="AI4" s="19" t="s">
        <v>103</v>
      </c>
      <c r="AJ4" s="7" t="s">
        <v>104</v>
      </c>
      <c r="AK4" s="7" t="s">
        <v>105</v>
      </c>
      <c r="AL4" s="20" t="s">
        <v>106</v>
      </c>
      <c r="AM4" s="19" t="s">
        <v>107</v>
      </c>
      <c r="AN4" s="7" t="s">
        <v>108</v>
      </c>
      <c r="AO4" s="7" t="s">
        <v>109</v>
      </c>
      <c r="AP4" s="20" t="s">
        <v>110</v>
      </c>
      <c r="AQ4" s="19" t="s">
        <v>361</v>
      </c>
      <c r="AR4" s="7" t="s">
        <v>362</v>
      </c>
      <c r="AS4" s="7" t="s">
        <v>363</v>
      </c>
      <c r="AT4" s="20" t="s">
        <v>364</v>
      </c>
      <c r="AU4" s="19" t="s">
        <v>429</v>
      </c>
      <c r="AV4" s="7" t="s">
        <v>430</v>
      </c>
      <c r="AW4" s="87" t="s">
        <v>431</v>
      </c>
      <c r="AX4" s="20" t="s">
        <v>432</v>
      </c>
      <c r="AY4" s="19" t="s">
        <v>443</v>
      </c>
      <c r="AZ4" s="7" t="s">
        <v>451</v>
      </c>
      <c r="BA4" s="7" t="s">
        <v>470</v>
      </c>
      <c r="BB4" s="20" t="s">
        <v>471</v>
      </c>
      <c r="BC4" s="932" t="s">
        <v>483</v>
      </c>
      <c r="BD4" s="113" t="s">
        <v>484</v>
      </c>
      <c r="BE4" s="113" t="s">
        <v>485</v>
      </c>
      <c r="BF4" s="244" t="s">
        <v>482</v>
      </c>
      <c r="BG4" s="932" t="s">
        <v>465</v>
      </c>
      <c r="BH4" s="113" t="s">
        <v>466</v>
      </c>
      <c r="BI4" s="113" t="s">
        <v>467</v>
      </c>
      <c r="BJ4" s="244" t="s">
        <v>468</v>
      </c>
      <c r="BK4" s="932" t="s">
        <v>476</v>
      </c>
      <c r="BL4" s="113" t="s">
        <v>477</v>
      </c>
      <c r="BM4" s="113" t="s">
        <v>478</v>
      </c>
      <c r="BN4" s="244" t="s">
        <v>479</v>
      </c>
      <c r="BO4" s="87"/>
      <c r="BP4" s="146">
        <v>2006</v>
      </c>
      <c r="BQ4" s="146">
        <v>2007</v>
      </c>
      <c r="BR4" s="146">
        <v>2008</v>
      </c>
      <c r="BS4" s="146">
        <v>2009</v>
      </c>
      <c r="BT4" s="146">
        <v>2010</v>
      </c>
      <c r="BU4" s="146">
        <v>2011</v>
      </c>
      <c r="BV4" s="146">
        <v>2012</v>
      </c>
      <c r="BW4" s="146">
        <v>2013</v>
      </c>
      <c r="BX4" s="146">
        <v>2014</v>
      </c>
      <c r="BY4" s="146">
        <v>2015</v>
      </c>
      <c r="BZ4" s="7">
        <v>2016</v>
      </c>
      <c r="CA4" s="7">
        <v>2017</v>
      </c>
      <c r="CB4" s="7" t="s">
        <v>433</v>
      </c>
      <c r="CC4" s="7" t="s">
        <v>450</v>
      </c>
      <c r="CD4" s="7" t="s">
        <v>486</v>
      </c>
      <c r="CE4" s="7" t="s">
        <v>487</v>
      </c>
      <c r="CG4" s="979"/>
      <c r="CH4" s="979"/>
      <c r="CI4" s="979"/>
      <c r="CZ4"/>
      <c r="DA4"/>
      <c r="DB4"/>
      <c r="DC4"/>
      <c r="DD4"/>
      <c r="DE4"/>
    </row>
    <row r="5" spans="1:109" s="5" customFormat="1">
      <c r="B5" s="6" t="s">
        <v>0</v>
      </c>
      <c r="C5" s="15"/>
      <c r="F5" s="16"/>
      <c r="K5" s="15"/>
      <c r="N5" s="16"/>
      <c r="S5" s="15"/>
      <c r="V5" s="16"/>
      <c r="AA5" s="15"/>
      <c r="AD5" s="16"/>
      <c r="AI5" s="15"/>
      <c r="AL5" s="16"/>
      <c r="AM5" s="15"/>
      <c r="AP5" s="16"/>
      <c r="AQ5" s="15"/>
      <c r="AT5" s="16"/>
      <c r="AU5" s="15"/>
      <c r="AW5" s="84"/>
      <c r="AX5" s="16"/>
      <c r="BA5" s="979"/>
      <c r="BB5" s="16"/>
      <c r="BC5" s="931"/>
      <c r="BD5" s="110"/>
      <c r="BE5" s="110"/>
      <c r="BF5" s="242"/>
      <c r="BG5" s="931"/>
      <c r="BH5" s="110"/>
      <c r="BI5" s="110"/>
      <c r="BJ5" s="242"/>
      <c r="BK5" s="931"/>
      <c r="BL5" s="110"/>
      <c r="BM5" s="110"/>
      <c r="BN5" s="242"/>
      <c r="BO5" s="84"/>
      <c r="BP5" s="58"/>
      <c r="BQ5" s="58"/>
      <c r="BR5" s="58"/>
      <c r="BS5" s="58"/>
      <c r="BT5" s="58"/>
      <c r="BU5" s="58"/>
      <c r="BV5" s="58"/>
      <c r="BW5" s="58"/>
      <c r="BX5" s="58"/>
      <c r="BY5" s="58"/>
      <c r="CE5" s="925"/>
      <c r="CZ5"/>
      <c r="DA5"/>
      <c r="DB5"/>
      <c r="DC5"/>
      <c r="DD5"/>
      <c r="DE5"/>
    </row>
    <row r="6" spans="1:109" s="5" customFormat="1">
      <c r="B6" s="415" t="s">
        <v>6</v>
      </c>
      <c r="C6" s="358"/>
      <c r="D6" s="359"/>
      <c r="E6" s="359"/>
      <c r="F6" s="360"/>
      <c r="G6" s="359"/>
      <c r="H6" s="359"/>
      <c r="I6" s="359"/>
      <c r="J6" s="359"/>
      <c r="K6" s="358"/>
      <c r="L6" s="359"/>
      <c r="M6" s="359"/>
      <c r="N6" s="360"/>
      <c r="O6" s="359"/>
      <c r="P6" s="359"/>
      <c r="Q6" s="359"/>
      <c r="R6" s="359"/>
      <c r="S6" s="358"/>
      <c r="T6" s="359"/>
      <c r="U6" s="359"/>
      <c r="V6" s="360"/>
      <c r="W6" s="359"/>
      <c r="X6" s="359"/>
      <c r="Y6" s="359"/>
      <c r="Z6" s="359"/>
      <c r="AA6" s="358"/>
      <c r="AB6" s="359"/>
      <c r="AC6" s="359"/>
      <c r="AD6" s="360"/>
      <c r="AE6" s="359"/>
      <c r="AF6" s="359"/>
      <c r="AG6" s="359"/>
      <c r="AH6" s="359"/>
      <c r="AI6" s="358"/>
      <c r="AJ6" s="359"/>
      <c r="AK6" s="359"/>
      <c r="AL6" s="360"/>
      <c r="AM6" s="358"/>
      <c r="AN6" s="359"/>
      <c r="AO6" s="359"/>
      <c r="AP6" s="360"/>
      <c r="AQ6" s="358"/>
      <c r="AR6" s="359"/>
      <c r="AS6" s="359"/>
      <c r="AT6" s="360"/>
      <c r="AU6" s="358"/>
      <c r="AV6" s="359"/>
      <c r="AW6" s="359"/>
      <c r="AX6" s="360"/>
      <c r="AY6" s="358"/>
      <c r="AZ6" s="359"/>
      <c r="BA6" s="359"/>
      <c r="BB6" s="360"/>
      <c r="BC6" s="358"/>
      <c r="BD6" s="359"/>
      <c r="BE6" s="359"/>
      <c r="BF6" s="360"/>
      <c r="BG6" s="358"/>
      <c r="BH6" s="359"/>
      <c r="BI6" s="359"/>
      <c r="BJ6" s="360"/>
      <c r="BK6" s="358"/>
      <c r="BL6" s="359"/>
      <c r="BM6" s="359"/>
      <c r="BN6" s="360"/>
      <c r="BO6" s="359"/>
      <c r="BP6" s="533"/>
      <c r="BQ6" s="533"/>
      <c r="BR6" s="533"/>
      <c r="BS6" s="533"/>
      <c r="BT6" s="533"/>
      <c r="BU6" s="533"/>
      <c r="BV6" s="533"/>
      <c r="BW6" s="533"/>
      <c r="BX6" s="533"/>
      <c r="BY6" s="533"/>
      <c r="BZ6" s="359"/>
      <c r="CA6" s="359"/>
      <c r="CB6" s="359"/>
      <c r="CC6" s="359"/>
      <c r="CD6" s="359"/>
      <c r="CE6" s="359"/>
      <c r="CZ6"/>
      <c r="DA6"/>
      <c r="DB6"/>
      <c r="DC6"/>
      <c r="DD6"/>
      <c r="DE6"/>
    </row>
    <row r="7" spans="1:109" s="9" customFormat="1">
      <c r="B7" s="11" t="s">
        <v>29</v>
      </c>
      <c r="C7" s="268"/>
      <c r="F7" s="269"/>
      <c r="K7" s="268"/>
      <c r="N7" s="269"/>
      <c r="S7" s="268"/>
      <c r="V7" s="269"/>
      <c r="AA7" s="268"/>
      <c r="AD7" s="269"/>
      <c r="AI7" s="268"/>
      <c r="AL7" s="269"/>
      <c r="AM7" s="268"/>
      <c r="AP7" s="269"/>
      <c r="AQ7" s="268"/>
      <c r="AT7" s="269"/>
      <c r="AU7" s="268"/>
      <c r="AX7" s="269"/>
      <c r="BB7" s="269"/>
      <c r="BC7" s="268"/>
      <c r="BF7" s="269"/>
      <c r="BG7" s="268"/>
      <c r="BJ7" s="269"/>
      <c r="BK7" s="268"/>
      <c r="BN7" s="269"/>
      <c r="BO7" s="85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CZ7"/>
      <c r="DA7"/>
      <c r="DB7"/>
      <c r="DC7"/>
      <c r="DD7"/>
      <c r="DE7"/>
    </row>
    <row r="8" spans="1:109" s="5" customFormat="1">
      <c r="B8" s="10" t="s">
        <v>7</v>
      </c>
      <c r="C8" s="32">
        <v>281.00400000000002</v>
      </c>
      <c r="D8" s="30">
        <v>242.17</v>
      </c>
      <c r="E8" s="30">
        <v>364.30799999999999</v>
      </c>
      <c r="F8" s="33">
        <v>551.75599999999997</v>
      </c>
      <c r="G8" s="30">
        <v>487.76299999999998</v>
      </c>
      <c r="H8" s="30">
        <v>387.71900000000016</v>
      </c>
      <c r="I8" s="30">
        <v>741.04200000000014</v>
      </c>
      <c r="J8" s="30">
        <v>544.41399999999999</v>
      </c>
      <c r="K8" s="32">
        <v>678.95100000000002</v>
      </c>
      <c r="L8" s="30">
        <v>914.745</v>
      </c>
      <c r="M8" s="30">
        <v>1056.702</v>
      </c>
      <c r="N8" s="33">
        <v>726.96900000000005</v>
      </c>
      <c r="O8" s="30">
        <v>803.30799999999999</v>
      </c>
      <c r="P8" s="30">
        <v>719.14300000000003</v>
      </c>
      <c r="Q8" s="30">
        <v>461.25299999999999</v>
      </c>
      <c r="R8" s="30">
        <v>417.68799999999999</v>
      </c>
      <c r="S8" s="32">
        <v>512.274</v>
      </c>
      <c r="T8" s="30">
        <v>523.78499999999997</v>
      </c>
      <c r="U8" s="30">
        <v>614.49</v>
      </c>
      <c r="V8" s="33">
        <v>447.221</v>
      </c>
      <c r="W8" s="30">
        <v>447.262</v>
      </c>
      <c r="X8" s="30">
        <v>377.00299999999999</v>
      </c>
      <c r="Y8" s="30">
        <v>451.17399999999998</v>
      </c>
      <c r="Z8" s="30">
        <v>665.36099999999999</v>
      </c>
      <c r="AA8" s="32">
        <v>683.63300000000004</v>
      </c>
      <c r="AB8" s="30">
        <v>532.61400000000003</v>
      </c>
      <c r="AC8" s="30">
        <v>566.81600000000003</v>
      </c>
      <c r="AD8" s="33">
        <v>667.87599999999998</v>
      </c>
      <c r="AE8" s="30">
        <v>369.13499999999999</v>
      </c>
      <c r="AF8" s="30">
        <v>499.61799999999999</v>
      </c>
      <c r="AG8" s="30">
        <v>525.38800000000003</v>
      </c>
      <c r="AH8" s="30">
        <v>732.78599999999994</v>
      </c>
      <c r="AI8" s="32">
        <v>561.423</v>
      </c>
      <c r="AJ8" s="30">
        <v>591.32100000000003</v>
      </c>
      <c r="AK8" s="30">
        <v>562.08399999999995</v>
      </c>
      <c r="AL8" s="33">
        <v>1151.587</v>
      </c>
      <c r="AM8" s="32">
        <v>509.16500000000002</v>
      </c>
      <c r="AN8" s="30">
        <v>515.09199999999998</v>
      </c>
      <c r="AO8" s="30">
        <v>394.68299999999999</v>
      </c>
      <c r="AP8" s="33">
        <v>496.654</v>
      </c>
      <c r="AQ8" s="32">
        <v>464</v>
      </c>
      <c r="AR8" s="30">
        <v>435</v>
      </c>
      <c r="AS8" s="30">
        <v>471</v>
      </c>
      <c r="AT8" s="33">
        <v>596</v>
      </c>
      <c r="AU8" s="32">
        <v>547</v>
      </c>
      <c r="AV8" s="30">
        <v>426</v>
      </c>
      <c r="AW8" s="30">
        <v>1940</v>
      </c>
      <c r="AX8" s="33">
        <v>1766</v>
      </c>
      <c r="AY8" s="32">
        <v>1989</v>
      </c>
      <c r="AZ8" s="30">
        <v>1988</v>
      </c>
      <c r="BA8" s="30">
        <v>2802</v>
      </c>
      <c r="BB8" s="33">
        <v>4002</v>
      </c>
      <c r="BC8" s="294">
        <f>BS!BB8+CF!BC49</f>
        <v>4961.7276310065799</v>
      </c>
      <c r="BD8" s="53">
        <f>BS!BC8+CF!BD49</f>
        <v>5874.91964922221</v>
      </c>
      <c r="BE8" s="53">
        <f>BS!BD8+CF!BE49</f>
        <v>6877.4983795767903</v>
      </c>
      <c r="BF8" s="282">
        <f>BS!BE8+CF!BF49</f>
        <v>7991.1466120371306</v>
      </c>
      <c r="BG8" s="294">
        <f>BS!BF8+CF!BG49</f>
        <v>9177.6314018008743</v>
      </c>
      <c r="BH8" s="53">
        <f>BS!BG8+CF!BH49</f>
        <v>10208.300986034432</v>
      </c>
      <c r="BI8" s="53">
        <f>BS!BH8+CF!BI49</f>
        <v>11425.636849030425</v>
      </c>
      <c r="BJ8" s="282">
        <f>BS!BI8+CF!BJ49</f>
        <v>12802.673077532458</v>
      </c>
      <c r="BK8" s="294">
        <f>BS!BJ8+CF!BK49</f>
        <v>14222.575472541645</v>
      </c>
      <c r="BL8" s="53">
        <f>BS!BK8+CF!BL49</f>
        <v>15484.687028307006</v>
      </c>
      <c r="BM8" s="53">
        <f>BS!BL8+CF!BM49</f>
        <v>16973.548426511632</v>
      </c>
      <c r="BN8" s="282">
        <f>BS!BM8+CF!BN49</f>
        <v>18635.230689071974</v>
      </c>
      <c r="BO8" s="131"/>
      <c r="BP8" s="53">
        <f t="shared" ref="BP8:BP19" si="2">F8</f>
        <v>551.75599999999997</v>
      </c>
      <c r="BQ8" s="53">
        <f t="shared" ref="BQ8:BQ19" si="3">J8</f>
        <v>544.41399999999999</v>
      </c>
      <c r="BR8" s="53">
        <f t="shared" ref="BR8:BR19" si="4">N8</f>
        <v>726.96900000000005</v>
      </c>
      <c r="BS8" s="53">
        <f t="shared" ref="BS8:BS19" si="5">R8</f>
        <v>417.68799999999999</v>
      </c>
      <c r="BT8" s="53">
        <f t="shared" ref="BT8:BT19" si="6">V8</f>
        <v>447.221</v>
      </c>
      <c r="BU8" s="53">
        <f t="shared" ref="BU8:BU19" si="7">Z8</f>
        <v>665.36099999999999</v>
      </c>
      <c r="BV8" s="53">
        <f t="shared" ref="BV8:BV19" si="8">AD8</f>
        <v>667.87599999999998</v>
      </c>
      <c r="BW8" s="53">
        <f t="shared" ref="BW8:BW19" si="9">AH8</f>
        <v>732.78599999999994</v>
      </c>
      <c r="BX8" s="53">
        <f t="shared" ref="BX8:BX19" si="10">AL8</f>
        <v>1151.587</v>
      </c>
      <c r="BY8" s="53">
        <f>AP8</f>
        <v>496.654</v>
      </c>
      <c r="BZ8" s="53">
        <f>AT8</f>
        <v>596</v>
      </c>
      <c r="CA8" s="501">
        <f>AX8</f>
        <v>1766</v>
      </c>
      <c r="CB8" s="501">
        <f t="shared" ref="CB8:CB19" si="11">BB8</f>
        <v>4002</v>
      </c>
      <c r="CC8" s="501">
        <f>BF8</f>
        <v>7991.1466120371306</v>
      </c>
      <c r="CD8" s="501">
        <f>BJ8</f>
        <v>12802.673077532458</v>
      </c>
      <c r="CE8" s="501">
        <f>BN8</f>
        <v>18635.230689071974</v>
      </c>
      <c r="CF8" s="9"/>
      <c r="CG8" s="9"/>
      <c r="CH8" s="9"/>
      <c r="CK8" s="926"/>
      <c r="CL8" s="10"/>
      <c r="CZ8"/>
      <c r="DA8"/>
      <c r="DB8"/>
      <c r="DC8"/>
      <c r="DD8"/>
      <c r="DE8"/>
    </row>
    <row r="9" spans="1:109" s="5" customFormat="1">
      <c r="B9" s="10" t="s">
        <v>8</v>
      </c>
      <c r="C9" s="32">
        <v>450.50799999999998</v>
      </c>
      <c r="D9" s="30">
        <v>475.37599999999998</v>
      </c>
      <c r="E9" s="30">
        <v>421.87</v>
      </c>
      <c r="F9" s="33">
        <v>398.41800000000001</v>
      </c>
      <c r="G9" s="30">
        <v>467.29</v>
      </c>
      <c r="H9" s="30">
        <v>462.74400000000003</v>
      </c>
      <c r="I9" s="30">
        <v>431.84899999999999</v>
      </c>
      <c r="J9" s="30">
        <v>573.43600000000004</v>
      </c>
      <c r="K9" s="32">
        <v>628.07299999999998</v>
      </c>
      <c r="L9" s="30">
        <v>656.81799999999998</v>
      </c>
      <c r="M9" s="30">
        <v>796.25099999999998</v>
      </c>
      <c r="N9" s="33">
        <v>1082.509</v>
      </c>
      <c r="O9" s="30">
        <v>818.33100000000002</v>
      </c>
      <c r="P9" s="30">
        <v>938.08699999999999</v>
      </c>
      <c r="Q9" s="30">
        <v>843.63499999999999</v>
      </c>
      <c r="R9" s="30">
        <v>837.702</v>
      </c>
      <c r="S9" s="32">
        <v>825.87300000000005</v>
      </c>
      <c r="T9" s="30">
        <v>942.32</v>
      </c>
      <c r="U9" s="30">
        <v>1019.5890000000001</v>
      </c>
      <c r="V9" s="33">
        <v>1281.0060000000001</v>
      </c>
      <c r="W9" s="30">
        <v>1317.634</v>
      </c>
      <c r="X9" s="30">
        <v>1395.4970000000001</v>
      </c>
      <c r="Y9" s="30">
        <v>1536.046</v>
      </c>
      <c r="Z9" s="30">
        <v>1825.202</v>
      </c>
      <c r="AA9" s="32">
        <v>2042.9079999999999</v>
      </c>
      <c r="AB9" s="30">
        <v>1941.8820000000001</v>
      </c>
      <c r="AC9" s="30">
        <v>2181.538</v>
      </c>
      <c r="AD9" s="33">
        <v>2461.6999999999998</v>
      </c>
      <c r="AE9" s="30">
        <v>2761.6770000000001</v>
      </c>
      <c r="AF9" s="30">
        <v>2778.482</v>
      </c>
      <c r="AG9" s="30">
        <v>2909.384</v>
      </c>
      <c r="AH9" s="30">
        <v>2995.0970000000002</v>
      </c>
      <c r="AI9" s="32">
        <v>3151.9279999999999</v>
      </c>
      <c r="AJ9" s="30">
        <v>2344.5720000000001</v>
      </c>
      <c r="AK9" s="30">
        <v>2470.87</v>
      </c>
      <c r="AL9" s="33">
        <v>3520.223</v>
      </c>
      <c r="AM9" s="32">
        <v>3838.652</v>
      </c>
      <c r="AN9" s="30">
        <v>3870.962</v>
      </c>
      <c r="AO9" s="30">
        <v>3846.114</v>
      </c>
      <c r="AP9" s="33">
        <v>4126.6850000000004</v>
      </c>
      <c r="AQ9" s="32">
        <v>4328</v>
      </c>
      <c r="AR9" s="30">
        <v>4070</v>
      </c>
      <c r="AS9" s="30">
        <v>4257</v>
      </c>
      <c r="AT9" s="33">
        <v>4441</v>
      </c>
      <c r="AU9" s="32">
        <v>4207</v>
      </c>
      <c r="AV9" s="30">
        <v>4453</v>
      </c>
      <c r="AW9" s="30">
        <v>4731</v>
      </c>
      <c r="AX9" s="33">
        <v>5032</v>
      </c>
      <c r="AY9" s="32">
        <v>4217</v>
      </c>
      <c r="AZ9" s="30">
        <v>3889</v>
      </c>
      <c r="BA9" s="30">
        <v>3518</v>
      </c>
      <c r="BB9" s="33">
        <v>3106</v>
      </c>
      <c r="BC9" s="294">
        <f t="shared" ref="BC9" si="12">BB9</f>
        <v>3106</v>
      </c>
      <c r="BD9" s="53">
        <f t="shared" ref="BD9" si="13">BC9</f>
        <v>3106</v>
      </c>
      <c r="BE9" s="73">
        <f t="shared" ref="BE9" si="14">BD9</f>
        <v>3106</v>
      </c>
      <c r="BF9" s="238">
        <f t="shared" ref="BF9" si="15">BE9</f>
        <v>3106</v>
      </c>
      <c r="BG9" s="294">
        <f t="shared" ref="BG9" si="16">BF9</f>
        <v>3106</v>
      </c>
      <c r="BH9" s="53">
        <f t="shared" ref="BH9" si="17">BG9</f>
        <v>3106</v>
      </c>
      <c r="BI9" s="73">
        <f t="shared" ref="BI9" si="18">BH9</f>
        <v>3106</v>
      </c>
      <c r="BJ9" s="238">
        <f t="shared" ref="BJ9" si="19">BI9</f>
        <v>3106</v>
      </c>
      <c r="BK9" s="294">
        <f t="shared" ref="BK9" si="20">BJ9</f>
        <v>3106</v>
      </c>
      <c r="BL9" s="53">
        <f t="shared" ref="BL9" si="21">BK9</f>
        <v>3106</v>
      </c>
      <c r="BM9" s="73">
        <f t="shared" ref="BM9" si="22">BL9</f>
        <v>3106</v>
      </c>
      <c r="BN9" s="238">
        <f t="shared" ref="BN9" si="23">BM9</f>
        <v>3106</v>
      </c>
      <c r="BO9" s="131"/>
      <c r="BP9" s="53">
        <f t="shared" si="2"/>
        <v>398.41800000000001</v>
      </c>
      <c r="BQ9" s="53">
        <f t="shared" si="3"/>
        <v>573.43600000000004</v>
      </c>
      <c r="BR9" s="53">
        <f t="shared" si="4"/>
        <v>1082.509</v>
      </c>
      <c r="BS9" s="53">
        <f t="shared" si="5"/>
        <v>837.702</v>
      </c>
      <c r="BT9" s="53">
        <f t="shared" si="6"/>
        <v>1281.0060000000001</v>
      </c>
      <c r="BU9" s="53">
        <f t="shared" si="7"/>
        <v>1825.202</v>
      </c>
      <c r="BV9" s="53">
        <f t="shared" si="8"/>
        <v>2461.6999999999998</v>
      </c>
      <c r="BW9" s="53">
        <f t="shared" si="9"/>
        <v>2995.0970000000002</v>
      </c>
      <c r="BX9" s="53">
        <f t="shared" si="10"/>
        <v>3520.223</v>
      </c>
      <c r="BY9" s="53">
        <f t="shared" ref="BY9:BY19" si="24">AP9</f>
        <v>4126.6850000000004</v>
      </c>
      <c r="BZ9" s="53">
        <f t="shared" ref="BZ9:BZ19" si="25">AT9</f>
        <v>4441</v>
      </c>
      <c r="CA9" s="501">
        <f t="shared" ref="CA9:CA19" si="26">AX9</f>
        <v>5032</v>
      </c>
      <c r="CB9" s="501">
        <f t="shared" si="11"/>
        <v>3106</v>
      </c>
      <c r="CC9" s="501">
        <f t="shared" ref="CC9:CC19" si="27">BF9</f>
        <v>3106</v>
      </c>
      <c r="CD9" s="501">
        <f t="shared" ref="CD9:CD28" si="28">BJ9</f>
        <v>3106</v>
      </c>
      <c r="CE9" s="501">
        <f t="shared" ref="CE9:CE28" si="29">BN9</f>
        <v>3106</v>
      </c>
      <c r="CF9" s="9"/>
      <c r="CG9" s="9"/>
      <c r="CH9" s="9"/>
      <c r="CK9" s="926"/>
      <c r="CL9" s="10"/>
      <c r="CZ9"/>
      <c r="DA9"/>
      <c r="DB9"/>
      <c r="DC9"/>
      <c r="DD9"/>
      <c r="DE9"/>
    </row>
    <row r="10" spans="1:109" s="5" customFormat="1">
      <c r="B10" s="10" t="s">
        <v>30</v>
      </c>
      <c r="C10" s="32">
        <v>255.25200000000001</v>
      </c>
      <c r="D10" s="30">
        <v>355.39299999999997</v>
      </c>
      <c r="E10" s="30">
        <v>351.73700000000002</v>
      </c>
      <c r="F10" s="33">
        <v>318.18599999999998</v>
      </c>
      <c r="G10" s="30">
        <v>391.27</v>
      </c>
      <c r="H10" s="30">
        <v>459.63600000000002</v>
      </c>
      <c r="I10" s="30">
        <v>439.25200000000001</v>
      </c>
      <c r="J10" s="30">
        <v>518.67999999999995</v>
      </c>
      <c r="K10" s="32">
        <v>471.51900000000001</v>
      </c>
      <c r="L10" s="30">
        <v>508.435</v>
      </c>
      <c r="M10" s="30">
        <v>552.40700000000004</v>
      </c>
      <c r="N10" s="33">
        <v>666.49400000000003</v>
      </c>
      <c r="O10" s="30">
        <v>651.79999999999995</v>
      </c>
      <c r="P10" s="30">
        <v>679.41600000000005</v>
      </c>
      <c r="Q10" s="30">
        <v>607.83399999999995</v>
      </c>
      <c r="R10" s="30">
        <v>318.435</v>
      </c>
      <c r="S10" s="32">
        <v>304.39299999999997</v>
      </c>
      <c r="T10" s="30">
        <v>351.96</v>
      </c>
      <c r="U10" s="30">
        <v>397.82</v>
      </c>
      <c r="V10" s="33">
        <v>374.96300000000002</v>
      </c>
      <c r="W10" s="30">
        <v>529.66300000000001</v>
      </c>
      <c r="X10" s="30">
        <v>395.93400000000003</v>
      </c>
      <c r="Y10" s="30">
        <v>399.50200000000001</v>
      </c>
      <c r="Z10" s="30">
        <v>348.77</v>
      </c>
      <c r="AA10" s="32">
        <v>343.202</v>
      </c>
      <c r="AB10" s="30">
        <v>419.94400000000002</v>
      </c>
      <c r="AC10" s="30">
        <v>371.26100000000002</v>
      </c>
      <c r="AD10" s="33">
        <v>336.14299999999997</v>
      </c>
      <c r="AE10" s="30">
        <v>411.15499999999997</v>
      </c>
      <c r="AF10" s="30">
        <v>445.31200000000001</v>
      </c>
      <c r="AG10" s="30">
        <v>444.94400000000002</v>
      </c>
      <c r="AH10" s="30">
        <v>454.25200000000001</v>
      </c>
      <c r="AI10" s="32">
        <v>346.99799999999999</v>
      </c>
      <c r="AJ10" s="30">
        <v>418.12299999999999</v>
      </c>
      <c r="AK10" s="30">
        <v>447.63099999999997</v>
      </c>
      <c r="AL10" s="33">
        <v>426.35700000000003</v>
      </c>
      <c r="AM10" s="32">
        <v>396.43799999999999</v>
      </c>
      <c r="AN10" s="30">
        <v>469.625</v>
      </c>
      <c r="AO10" s="30">
        <v>563.4</v>
      </c>
      <c r="AP10" s="33">
        <v>473.637</v>
      </c>
      <c r="AQ10" s="32">
        <v>455</v>
      </c>
      <c r="AR10" s="30">
        <v>514</v>
      </c>
      <c r="AS10" s="30">
        <v>536</v>
      </c>
      <c r="AT10" s="33">
        <v>505</v>
      </c>
      <c r="AU10" s="32">
        <v>523</v>
      </c>
      <c r="AV10" s="30">
        <v>644</v>
      </c>
      <c r="AW10" s="30">
        <v>833</v>
      </c>
      <c r="AX10" s="33">
        <v>826</v>
      </c>
      <c r="AY10" s="32">
        <v>976</v>
      </c>
      <c r="AZ10" s="30">
        <v>1213</v>
      </c>
      <c r="BA10" s="30">
        <v>1167</v>
      </c>
      <c r="BB10" s="33">
        <v>1265</v>
      </c>
      <c r="BC10" s="294">
        <f t="shared" ref="BC10:BJ10" si="30">BC42/$A$42*BC47*4</f>
        <v>1136.1385801844378</v>
      </c>
      <c r="BD10" s="53">
        <f t="shared" si="30"/>
        <v>1228.0306057123685</v>
      </c>
      <c r="BE10" s="73">
        <f t="shared" si="30"/>
        <v>1325.6318108322566</v>
      </c>
      <c r="BF10" s="238">
        <f t="shared" si="30"/>
        <v>1376.8221351414063</v>
      </c>
      <c r="BG10" s="294">
        <f t="shared" si="30"/>
        <v>1279.103751581943</v>
      </c>
      <c r="BH10" s="53">
        <f t="shared" si="30"/>
        <v>1432.2898532522122</v>
      </c>
      <c r="BI10" s="73">
        <f t="shared" si="30"/>
        <v>1549.1202602856065</v>
      </c>
      <c r="BJ10" s="238">
        <f t="shared" si="30"/>
        <v>1570.863694075379</v>
      </c>
      <c r="BK10" s="294">
        <f t="shared" ref="BK10:BN10" si="31">BK42/$A$42*BK47*4</f>
        <v>1469.5145076190324</v>
      </c>
      <c r="BL10" s="53">
        <f t="shared" si="31"/>
        <v>1647.7304978142945</v>
      </c>
      <c r="BM10" s="73">
        <f t="shared" si="31"/>
        <v>1769.3056337038327</v>
      </c>
      <c r="BN10" s="238">
        <f t="shared" si="31"/>
        <v>1803.6192618278574</v>
      </c>
      <c r="BO10" s="131"/>
      <c r="BP10" s="53">
        <f t="shared" si="2"/>
        <v>318.18599999999998</v>
      </c>
      <c r="BQ10" s="53">
        <f t="shared" si="3"/>
        <v>518.67999999999995</v>
      </c>
      <c r="BR10" s="53">
        <f t="shared" si="4"/>
        <v>666.49400000000003</v>
      </c>
      <c r="BS10" s="53">
        <f t="shared" si="5"/>
        <v>318.435</v>
      </c>
      <c r="BT10" s="53">
        <f t="shared" si="6"/>
        <v>374.96300000000002</v>
      </c>
      <c r="BU10" s="53">
        <f t="shared" si="7"/>
        <v>348.77</v>
      </c>
      <c r="BV10" s="53">
        <f t="shared" si="8"/>
        <v>336.14299999999997</v>
      </c>
      <c r="BW10" s="53">
        <f t="shared" si="9"/>
        <v>454.25200000000001</v>
      </c>
      <c r="BX10" s="53">
        <f t="shared" si="10"/>
        <v>426.35700000000003</v>
      </c>
      <c r="BY10" s="53">
        <f t="shared" si="24"/>
        <v>473.637</v>
      </c>
      <c r="BZ10" s="53">
        <f t="shared" si="25"/>
        <v>505</v>
      </c>
      <c r="CA10" s="73">
        <f t="shared" si="26"/>
        <v>826</v>
      </c>
      <c r="CB10" s="73">
        <f t="shared" si="11"/>
        <v>1265</v>
      </c>
      <c r="CC10" s="73">
        <f t="shared" si="27"/>
        <v>1376.8221351414063</v>
      </c>
      <c r="CD10" s="73">
        <f t="shared" si="28"/>
        <v>1570.863694075379</v>
      </c>
      <c r="CE10" s="73">
        <f t="shared" si="29"/>
        <v>1803.6192618278574</v>
      </c>
      <c r="CF10" s="9"/>
      <c r="CG10" s="9"/>
      <c r="CH10" s="9"/>
      <c r="CK10" s="926"/>
      <c r="CL10" s="10"/>
      <c r="CZ10"/>
      <c r="DA10"/>
      <c r="DB10"/>
      <c r="DC10"/>
      <c r="DD10"/>
      <c r="DE10"/>
    </row>
    <row r="11" spans="1:109" s="5" customFormat="1">
      <c r="B11" s="10" t="s">
        <v>9</v>
      </c>
      <c r="C11" s="32">
        <v>307.75900000000001</v>
      </c>
      <c r="D11" s="30">
        <v>300.95499999999998</v>
      </c>
      <c r="E11" s="30">
        <v>284.84699999999998</v>
      </c>
      <c r="F11" s="33">
        <v>254.87</v>
      </c>
      <c r="G11" s="30">
        <v>346.36599999999999</v>
      </c>
      <c r="H11" s="30">
        <v>378.661</v>
      </c>
      <c r="I11" s="30">
        <v>373.55799999999999</v>
      </c>
      <c r="J11" s="30">
        <v>354.68</v>
      </c>
      <c r="K11" s="32">
        <v>332.63499999999999</v>
      </c>
      <c r="L11" s="30">
        <v>276.30500000000001</v>
      </c>
      <c r="M11" s="30">
        <v>306.14299999999997</v>
      </c>
      <c r="N11" s="33">
        <v>358.52100000000002</v>
      </c>
      <c r="O11" s="30">
        <v>420.12599999999998</v>
      </c>
      <c r="P11" s="30">
        <v>432.279</v>
      </c>
      <c r="Q11" s="30">
        <v>523.98800000000006</v>
      </c>
      <c r="R11" s="30">
        <v>537.83399999999995</v>
      </c>
      <c r="S11" s="32">
        <v>327.25900000000001</v>
      </c>
      <c r="T11" s="30">
        <v>279.21600000000001</v>
      </c>
      <c r="U11" s="30">
        <v>277.64299999999997</v>
      </c>
      <c r="V11" s="33">
        <v>330.67399999999998</v>
      </c>
      <c r="W11" s="30">
        <v>388.13900000000001</v>
      </c>
      <c r="X11" s="30">
        <v>434.22699999999998</v>
      </c>
      <c r="Y11" s="30">
        <v>377.81200000000001</v>
      </c>
      <c r="Z11" s="30">
        <v>345.52499999999998</v>
      </c>
      <c r="AA11" s="32">
        <v>380.964</v>
      </c>
      <c r="AB11" s="30">
        <v>361.911</v>
      </c>
      <c r="AC11" s="30">
        <v>319.60199999999998</v>
      </c>
      <c r="AD11" s="33">
        <v>340.29700000000003</v>
      </c>
      <c r="AE11" s="30">
        <v>342.70699999999999</v>
      </c>
      <c r="AF11" s="30">
        <v>387.185</v>
      </c>
      <c r="AG11" s="30">
        <v>428.983</v>
      </c>
      <c r="AH11" s="30">
        <v>412.46699999999998</v>
      </c>
      <c r="AI11" s="32">
        <v>377.59699999999998</v>
      </c>
      <c r="AJ11" s="30">
        <v>378.28</v>
      </c>
      <c r="AK11" s="30">
        <v>380.31900000000002</v>
      </c>
      <c r="AL11" s="33">
        <v>387.76499999999999</v>
      </c>
      <c r="AM11" s="32">
        <v>393.28</v>
      </c>
      <c r="AN11" s="30">
        <v>387.43400000000003</v>
      </c>
      <c r="AO11" s="30">
        <v>408.08100000000002</v>
      </c>
      <c r="AP11" s="33">
        <v>482.89299999999997</v>
      </c>
      <c r="AQ11" s="32">
        <v>438</v>
      </c>
      <c r="AR11" s="30">
        <v>441</v>
      </c>
      <c r="AS11" s="30">
        <v>425</v>
      </c>
      <c r="AT11" s="33">
        <v>418</v>
      </c>
      <c r="AU11" s="32">
        <v>394</v>
      </c>
      <c r="AV11" s="30">
        <v>521</v>
      </c>
      <c r="AW11" s="30">
        <v>679</v>
      </c>
      <c r="AX11" s="33">
        <v>794</v>
      </c>
      <c r="AY11" s="32">
        <v>821</v>
      </c>
      <c r="AZ11" s="30">
        <v>855</v>
      </c>
      <c r="BA11" s="30">
        <v>857</v>
      </c>
      <c r="BB11" s="33">
        <v>796</v>
      </c>
      <c r="BC11" s="294">
        <f t="shared" ref="BC11:BJ11" si="32">BC43/$A$42*BC48*4</f>
        <v>844.57398751325968</v>
      </c>
      <c r="BD11" s="53">
        <f t="shared" si="32"/>
        <v>925.22920892610682</v>
      </c>
      <c r="BE11" s="73">
        <f t="shared" si="32"/>
        <v>1009.6728397680276</v>
      </c>
      <c r="BF11" s="238">
        <f t="shared" si="32"/>
        <v>1049.6158859770421</v>
      </c>
      <c r="BG11" s="294">
        <f t="shared" si="32"/>
        <v>969.26718767528246</v>
      </c>
      <c r="BH11" s="53">
        <f t="shared" si="32"/>
        <v>1088.0820416252925</v>
      </c>
      <c r="BI11" s="73">
        <f t="shared" si="32"/>
        <v>1181.6254477854122</v>
      </c>
      <c r="BJ11" s="238">
        <f t="shared" si="32"/>
        <v>1189.5322626797554</v>
      </c>
      <c r="BK11" s="294">
        <f t="shared" ref="BK11:BN11" si="33">BK43/$A$42*BK48*4</f>
        <v>1103.0450518163191</v>
      </c>
      <c r="BL11" s="53">
        <f t="shared" si="33"/>
        <v>1239.8563628903105</v>
      </c>
      <c r="BM11" s="73">
        <f t="shared" si="33"/>
        <v>1334.5413663740762</v>
      </c>
      <c r="BN11" s="238">
        <f t="shared" si="33"/>
        <v>1349.7680650505024</v>
      </c>
      <c r="BO11" s="131"/>
      <c r="BP11" s="53">
        <f t="shared" si="2"/>
        <v>254.87</v>
      </c>
      <c r="BQ11" s="53">
        <f t="shared" si="3"/>
        <v>354.68</v>
      </c>
      <c r="BR11" s="53">
        <f t="shared" si="4"/>
        <v>358.52100000000002</v>
      </c>
      <c r="BS11" s="53">
        <f t="shared" si="5"/>
        <v>537.83399999999995</v>
      </c>
      <c r="BT11" s="53">
        <f t="shared" si="6"/>
        <v>330.67399999999998</v>
      </c>
      <c r="BU11" s="53">
        <f t="shared" si="7"/>
        <v>345.52499999999998</v>
      </c>
      <c r="BV11" s="53">
        <f t="shared" si="8"/>
        <v>340.29700000000003</v>
      </c>
      <c r="BW11" s="53">
        <f t="shared" si="9"/>
        <v>412.46699999999998</v>
      </c>
      <c r="BX11" s="53">
        <f t="shared" si="10"/>
        <v>387.76499999999999</v>
      </c>
      <c r="BY11" s="53">
        <f t="shared" si="24"/>
        <v>482.89299999999997</v>
      </c>
      <c r="BZ11" s="53">
        <f t="shared" si="25"/>
        <v>418</v>
      </c>
      <c r="CA11" s="73">
        <f t="shared" si="26"/>
        <v>794</v>
      </c>
      <c r="CB11" s="73">
        <f t="shared" si="11"/>
        <v>796</v>
      </c>
      <c r="CC11" s="73">
        <f t="shared" si="27"/>
        <v>1049.6158859770421</v>
      </c>
      <c r="CD11" s="73">
        <f t="shared" si="28"/>
        <v>1189.5322626797554</v>
      </c>
      <c r="CE11" s="73">
        <f t="shared" si="29"/>
        <v>1349.7680650505024</v>
      </c>
      <c r="CF11" s="9"/>
      <c r="CG11" s="9"/>
      <c r="CH11" s="9"/>
      <c r="CK11" s="926"/>
      <c r="CL11" s="10"/>
      <c r="CZ11"/>
      <c r="DA11"/>
      <c r="DB11"/>
      <c r="DC11"/>
      <c r="DD11"/>
      <c r="DE11"/>
    </row>
    <row r="12" spans="1:109" s="5" customFormat="1">
      <c r="B12" s="10" t="s">
        <v>10</v>
      </c>
      <c r="C12" s="32">
        <v>21.869</v>
      </c>
      <c r="D12" s="30">
        <v>24.756</v>
      </c>
      <c r="E12" s="30">
        <v>23.949000000000002</v>
      </c>
      <c r="F12" s="33">
        <v>24.387</v>
      </c>
      <c r="G12" s="30">
        <v>28.545000000000002</v>
      </c>
      <c r="H12" s="30">
        <v>34.143000000000001</v>
      </c>
      <c r="I12" s="30">
        <v>36.801000000000002</v>
      </c>
      <c r="J12" s="30">
        <v>40.56</v>
      </c>
      <c r="K12" s="32">
        <v>43.055</v>
      </c>
      <c r="L12" s="30">
        <v>41.101999999999997</v>
      </c>
      <c r="M12" s="30">
        <v>44.551000000000002</v>
      </c>
      <c r="N12" s="33">
        <v>54.335999999999999</v>
      </c>
      <c r="O12" s="30">
        <v>55.427999999999997</v>
      </c>
      <c r="P12" s="30">
        <v>45.293999999999997</v>
      </c>
      <c r="Q12" s="30">
        <v>43.389000000000003</v>
      </c>
      <c r="R12" s="30">
        <v>39.793999999999997</v>
      </c>
      <c r="S12" s="32">
        <v>50.884999999999998</v>
      </c>
      <c r="T12" s="30">
        <v>50.548000000000002</v>
      </c>
      <c r="U12" s="30">
        <v>31.669</v>
      </c>
      <c r="V12" s="33">
        <v>38.213999999999999</v>
      </c>
      <c r="W12" s="30">
        <v>35.53</v>
      </c>
      <c r="X12" s="30">
        <v>44.548999999999999</v>
      </c>
      <c r="Y12" s="30">
        <v>34.415999999999997</v>
      </c>
      <c r="Z12" s="30">
        <v>32.636000000000003</v>
      </c>
      <c r="AA12" s="32">
        <v>36.6</v>
      </c>
      <c r="AB12" s="30">
        <v>34.924999999999997</v>
      </c>
      <c r="AC12" s="30">
        <v>34.573</v>
      </c>
      <c r="AD12" s="33">
        <v>49.411000000000001</v>
      </c>
      <c r="AE12" s="30">
        <v>97.510999999999996</v>
      </c>
      <c r="AF12" s="30">
        <v>53.323</v>
      </c>
      <c r="AG12" s="30">
        <v>66.197000000000003</v>
      </c>
      <c r="AH12" s="30">
        <v>76.92</v>
      </c>
      <c r="AI12" s="32">
        <v>62.334000000000003</v>
      </c>
      <c r="AJ12" s="30">
        <v>81.876000000000005</v>
      </c>
      <c r="AK12" s="30">
        <v>81.700999999999993</v>
      </c>
      <c r="AL12" s="33">
        <v>70.284999999999997</v>
      </c>
      <c r="AM12" s="32">
        <v>71.066999999999993</v>
      </c>
      <c r="AN12" s="30">
        <v>67.775999999999996</v>
      </c>
      <c r="AO12" s="30">
        <v>67.332999999999998</v>
      </c>
      <c r="AP12" s="33">
        <v>70.174000000000007</v>
      </c>
      <c r="AQ12" s="32">
        <v>89</v>
      </c>
      <c r="AR12" s="30">
        <v>89</v>
      </c>
      <c r="AS12" s="30">
        <v>93</v>
      </c>
      <c r="AT12" s="33">
        <v>93</v>
      </c>
      <c r="AU12" s="32">
        <v>119</v>
      </c>
      <c r="AV12" s="30">
        <v>112</v>
      </c>
      <c r="AW12" s="30">
        <v>124</v>
      </c>
      <c r="AX12" s="33">
        <v>118</v>
      </c>
      <c r="AY12" s="32">
        <v>113</v>
      </c>
      <c r="AZ12" s="30">
        <v>125</v>
      </c>
      <c r="BA12" s="30">
        <v>135</v>
      </c>
      <c r="BB12" s="33">
        <v>86</v>
      </c>
      <c r="BC12" s="294">
        <f t="shared" ref="BC12:BJ12" si="34">BC45*BC47</f>
        <v>146.07496030942772</v>
      </c>
      <c r="BD12" s="53">
        <f t="shared" si="34"/>
        <v>157.88964930587596</v>
      </c>
      <c r="BE12" s="73">
        <f t="shared" si="34"/>
        <v>170.438375678433</v>
      </c>
      <c r="BF12" s="238">
        <f t="shared" si="34"/>
        <v>177.0199888038951</v>
      </c>
      <c r="BG12" s="294">
        <f t="shared" si="34"/>
        <v>164.4561966319641</v>
      </c>
      <c r="BH12" s="53">
        <f t="shared" si="34"/>
        <v>184.15155256099874</v>
      </c>
      <c r="BI12" s="73">
        <f t="shared" si="34"/>
        <v>199.17260489386371</v>
      </c>
      <c r="BJ12" s="238">
        <f t="shared" si="34"/>
        <v>201.96818923826302</v>
      </c>
      <c r="BK12" s="294">
        <f t="shared" ref="BK12:BN12" si="35">BK45*BK47</f>
        <v>188.93757955101847</v>
      </c>
      <c r="BL12" s="53">
        <f t="shared" si="35"/>
        <v>211.85106400469499</v>
      </c>
      <c r="BM12" s="73">
        <f t="shared" si="35"/>
        <v>227.48215290477847</v>
      </c>
      <c r="BN12" s="238">
        <f t="shared" si="35"/>
        <v>231.89390509215309</v>
      </c>
      <c r="BO12" s="131"/>
      <c r="BP12" s="53">
        <f t="shared" si="2"/>
        <v>24.387</v>
      </c>
      <c r="BQ12" s="53">
        <f t="shared" si="3"/>
        <v>40.56</v>
      </c>
      <c r="BR12" s="53">
        <f t="shared" si="4"/>
        <v>54.335999999999999</v>
      </c>
      <c r="BS12" s="53">
        <f t="shared" si="5"/>
        <v>39.793999999999997</v>
      </c>
      <c r="BT12" s="53">
        <f t="shared" si="6"/>
        <v>38.213999999999999</v>
      </c>
      <c r="BU12" s="53">
        <f t="shared" si="7"/>
        <v>32.636000000000003</v>
      </c>
      <c r="BV12" s="53">
        <f t="shared" si="8"/>
        <v>49.411000000000001</v>
      </c>
      <c r="BW12" s="53">
        <f t="shared" si="9"/>
        <v>76.92</v>
      </c>
      <c r="BX12" s="53">
        <f t="shared" si="10"/>
        <v>70.284999999999997</v>
      </c>
      <c r="BY12" s="53">
        <f t="shared" si="24"/>
        <v>70.174000000000007</v>
      </c>
      <c r="BZ12" s="53">
        <f t="shared" si="25"/>
        <v>93</v>
      </c>
      <c r="CA12" s="73">
        <f t="shared" si="26"/>
        <v>118</v>
      </c>
      <c r="CB12" s="73">
        <f t="shared" si="11"/>
        <v>86</v>
      </c>
      <c r="CC12" s="73">
        <f t="shared" si="27"/>
        <v>177.0199888038951</v>
      </c>
      <c r="CD12" s="73">
        <f t="shared" si="28"/>
        <v>201.96818923826302</v>
      </c>
      <c r="CE12" s="73">
        <f t="shared" si="29"/>
        <v>231.89390509215309</v>
      </c>
      <c r="CF12" s="9"/>
      <c r="CG12" s="9"/>
      <c r="CH12" s="9"/>
      <c r="CK12" s="926"/>
      <c r="CL12" s="10"/>
      <c r="CZ12"/>
      <c r="DA12"/>
      <c r="DB12"/>
      <c r="DC12"/>
      <c r="DD12"/>
      <c r="DE12"/>
    </row>
    <row r="13" spans="1:109" s="5" customFormat="1">
      <c r="B13" s="10" t="s">
        <v>11</v>
      </c>
      <c r="C13" s="32">
        <v>3.2650000000000001</v>
      </c>
      <c r="D13" s="30">
        <v>3.2650000000000001</v>
      </c>
      <c r="E13" s="30">
        <v>3.2650000000000001</v>
      </c>
      <c r="F13" s="33">
        <v>2.6819999999999999</v>
      </c>
      <c r="G13" s="30">
        <v>1.393</v>
      </c>
      <c r="H13" s="30">
        <v>2.6819999999999999</v>
      </c>
      <c r="I13" s="30">
        <v>2.6819999999999999</v>
      </c>
      <c r="J13" s="30">
        <v>0</v>
      </c>
      <c r="K13" s="32">
        <v>0</v>
      </c>
      <c r="L13" s="30">
        <v>0</v>
      </c>
      <c r="M13" s="30">
        <v>0</v>
      </c>
      <c r="N13" s="33">
        <v>0</v>
      </c>
      <c r="O13" s="30">
        <v>0</v>
      </c>
      <c r="P13" s="30">
        <v>0</v>
      </c>
      <c r="Q13" s="30">
        <v>0</v>
      </c>
      <c r="R13" s="30">
        <v>16.504999999999999</v>
      </c>
      <c r="S13" s="32">
        <v>0</v>
      </c>
      <c r="T13" s="30">
        <v>20.076000000000001</v>
      </c>
      <c r="U13" s="30">
        <v>16.504999999999999</v>
      </c>
      <c r="V13" s="33">
        <v>8.7520000000000007</v>
      </c>
      <c r="W13" s="30">
        <v>8.7520000000000007</v>
      </c>
      <c r="X13" s="30">
        <v>8.7520000000000007</v>
      </c>
      <c r="Y13" s="30">
        <v>8.7520000000000007</v>
      </c>
      <c r="Z13" s="30">
        <v>9.4559999999999995</v>
      </c>
      <c r="AA13" s="32">
        <v>9.4559999999999995</v>
      </c>
      <c r="AB13" s="30">
        <v>26.280999999999999</v>
      </c>
      <c r="AC13" s="30">
        <v>26.280999999999999</v>
      </c>
      <c r="AD13" s="33">
        <v>49.930999999999997</v>
      </c>
      <c r="AE13" s="30">
        <v>49.930999999999997</v>
      </c>
      <c r="AF13" s="30">
        <v>49.930999999999997</v>
      </c>
      <c r="AG13" s="30">
        <v>49.930999999999997</v>
      </c>
      <c r="AH13" s="30">
        <v>103.736</v>
      </c>
      <c r="AI13" s="32">
        <v>106.336</v>
      </c>
      <c r="AJ13" s="30">
        <v>108.43600000000001</v>
      </c>
      <c r="AK13" s="30">
        <v>107.236</v>
      </c>
      <c r="AL13" s="33">
        <v>68.494</v>
      </c>
      <c r="AM13" s="32">
        <v>65.195999999999998</v>
      </c>
      <c r="AN13" s="30">
        <v>66.697000000000003</v>
      </c>
      <c r="AO13" s="30">
        <v>61.497999999999998</v>
      </c>
      <c r="AP13" s="33">
        <v>63.253999999999998</v>
      </c>
      <c r="AQ13" s="32">
        <v>58</v>
      </c>
      <c r="AR13" s="30">
        <v>59</v>
      </c>
      <c r="AS13" s="30">
        <v>52</v>
      </c>
      <c r="AT13" s="33">
        <v>0</v>
      </c>
      <c r="AU13" s="32">
        <v>0</v>
      </c>
      <c r="AV13" s="30">
        <v>0</v>
      </c>
      <c r="AW13" s="30">
        <v>0</v>
      </c>
      <c r="AX13" s="33">
        <v>0</v>
      </c>
      <c r="AY13" s="32">
        <v>0</v>
      </c>
      <c r="AZ13" s="30">
        <v>0</v>
      </c>
      <c r="BA13" s="30">
        <v>0</v>
      </c>
      <c r="BB13" s="33">
        <v>0</v>
      </c>
      <c r="BC13" s="294">
        <f t="shared" ref="BC13" si="36">BB13</f>
        <v>0</v>
      </c>
      <c r="BD13" s="53">
        <f t="shared" ref="BD13" si="37">BC13</f>
        <v>0</v>
      </c>
      <c r="BE13" s="73">
        <f t="shared" ref="BE13" si="38">BD13</f>
        <v>0</v>
      </c>
      <c r="BF13" s="238">
        <f t="shared" ref="BF13" si="39">BE13</f>
        <v>0</v>
      </c>
      <c r="BG13" s="294">
        <f t="shared" ref="BG13" si="40">BF13</f>
        <v>0</v>
      </c>
      <c r="BH13" s="53">
        <f t="shared" ref="BH13" si="41">BG13</f>
        <v>0</v>
      </c>
      <c r="BI13" s="73">
        <f t="shared" ref="BI13" si="42">BH13</f>
        <v>0</v>
      </c>
      <c r="BJ13" s="238">
        <f t="shared" ref="BJ13" si="43">BI13</f>
        <v>0</v>
      </c>
      <c r="BK13" s="294">
        <f t="shared" ref="BK13" si="44">BJ13</f>
        <v>0</v>
      </c>
      <c r="BL13" s="53">
        <f t="shared" ref="BL13" si="45">BK13</f>
        <v>0</v>
      </c>
      <c r="BM13" s="73">
        <f t="shared" ref="BM13" si="46">BL13</f>
        <v>0</v>
      </c>
      <c r="BN13" s="238">
        <f t="shared" ref="BN13" si="47">BM13</f>
        <v>0</v>
      </c>
      <c r="BO13" s="131"/>
      <c r="BP13" s="53">
        <f t="shared" si="2"/>
        <v>2.6819999999999999</v>
      </c>
      <c r="BQ13" s="53">
        <f t="shared" si="3"/>
        <v>0</v>
      </c>
      <c r="BR13" s="53">
        <f t="shared" si="4"/>
        <v>0</v>
      </c>
      <c r="BS13" s="53">
        <f t="shared" si="5"/>
        <v>16.504999999999999</v>
      </c>
      <c r="BT13" s="53">
        <f t="shared" si="6"/>
        <v>8.7520000000000007</v>
      </c>
      <c r="BU13" s="53">
        <f t="shared" si="7"/>
        <v>9.4559999999999995</v>
      </c>
      <c r="BV13" s="53">
        <f t="shared" si="8"/>
        <v>49.930999999999997</v>
      </c>
      <c r="BW13" s="53">
        <f t="shared" si="9"/>
        <v>103.736</v>
      </c>
      <c r="BX13" s="53">
        <f t="shared" si="10"/>
        <v>68.494</v>
      </c>
      <c r="BY13" s="53">
        <f t="shared" si="24"/>
        <v>63.253999999999998</v>
      </c>
      <c r="BZ13" s="53">
        <f t="shared" si="25"/>
        <v>0</v>
      </c>
      <c r="CA13" s="73">
        <f t="shared" si="26"/>
        <v>0</v>
      </c>
      <c r="CB13" s="73">
        <f t="shared" si="11"/>
        <v>0</v>
      </c>
      <c r="CC13" s="73">
        <f t="shared" si="27"/>
        <v>0</v>
      </c>
      <c r="CD13" s="73">
        <f t="shared" si="28"/>
        <v>0</v>
      </c>
      <c r="CE13" s="73">
        <f t="shared" si="29"/>
        <v>0</v>
      </c>
      <c r="CF13" s="9"/>
      <c r="CG13" s="9"/>
      <c r="CH13" s="9"/>
      <c r="CK13" s="926"/>
      <c r="CL13" s="10"/>
      <c r="CZ13"/>
      <c r="DA13"/>
      <c r="DB13"/>
      <c r="DC13"/>
      <c r="DD13"/>
      <c r="DE13"/>
    </row>
    <row r="14" spans="1:109" s="9" customFormat="1">
      <c r="A14" s="5"/>
      <c r="B14" s="276" t="s">
        <v>12</v>
      </c>
      <c r="C14" s="277">
        <v>1319.6569999999999</v>
      </c>
      <c r="D14" s="278">
        <v>1401.915</v>
      </c>
      <c r="E14" s="278">
        <v>1449.9760000000001</v>
      </c>
      <c r="F14" s="279">
        <v>1550.299</v>
      </c>
      <c r="G14" s="278">
        <v>1722.627</v>
      </c>
      <c r="H14" s="278">
        <v>1726.2890000000002</v>
      </c>
      <c r="I14" s="278">
        <v>2025.8879999999999</v>
      </c>
      <c r="J14" s="278">
        <v>2031.7699999999998</v>
      </c>
      <c r="K14" s="277">
        <v>2154.2329999999997</v>
      </c>
      <c r="L14" s="278">
        <v>2397.4049999999997</v>
      </c>
      <c r="M14" s="278">
        <v>2756.0540000000001</v>
      </c>
      <c r="N14" s="279">
        <v>2888.8290000000002</v>
      </c>
      <c r="O14" s="278">
        <v>2748.9930000000004</v>
      </c>
      <c r="P14" s="278">
        <v>2814.2190000000001</v>
      </c>
      <c r="Q14" s="278">
        <v>2480.0990000000002</v>
      </c>
      <c r="R14" s="278">
        <v>2167.9579999999996</v>
      </c>
      <c r="S14" s="277">
        <v>2020.684</v>
      </c>
      <c r="T14" s="278">
        <v>2167.9049999999997</v>
      </c>
      <c r="U14" s="278">
        <v>2357.7159999999999</v>
      </c>
      <c r="V14" s="279">
        <v>2480.83</v>
      </c>
      <c r="W14" s="278">
        <v>2726.9800000000005</v>
      </c>
      <c r="X14" s="278">
        <v>2655.962</v>
      </c>
      <c r="Y14" s="278">
        <v>2807.7020000000002</v>
      </c>
      <c r="Z14" s="278">
        <v>3226.9500000000003</v>
      </c>
      <c r="AA14" s="277">
        <v>3496.7630000000004</v>
      </c>
      <c r="AB14" s="278">
        <v>3317.5570000000002</v>
      </c>
      <c r="AC14" s="278">
        <v>3500.0709999999999</v>
      </c>
      <c r="AD14" s="279">
        <v>3905.3580000000002</v>
      </c>
      <c r="AE14" s="278">
        <v>4032.116</v>
      </c>
      <c r="AF14" s="278">
        <v>4213.8509999999997</v>
      </c>
      <c r="AG14" s="278">
        <v>4424.8270000000002</v>
      </c>
      <c r="AH14" s="278">
        <v>4775.2579999999998</v>
      </c>
      <c r="AI14" s="277">
        <v>4606.616</v>
      </c>
      <c r="AJ14" s="278">
        <v>3922.6080000000002</v>
      </c>
      <c r="AK14" s="278">
        <v>4049.8409999999999</v>
      </c>
      <c r="AL14" s="279">
        <v>5624.7110000000002</v>
      </c>
      <c r="AM14" s="277">
        <v>5273.7979999999998</v>
      </c>
      <c r="AN14" s="278">
        <v>5377.5860000000002</v>
      </c>
      <c r="AO14" s="278">
        <v>5341.1090000000004</v>
      </c>
      <c r="AP14" s="279">
        <v>5713.2969999999996</v>
      </c>
      <c r="AQ14" s="277">
        <v>5832</v>
      </c>
      <c r="AR14" s="278">
        <v>5608</v>
      </c>
      <c r="AS14" s="278">
        <v>5834</v>
      </c>
      <c r="AT14" s="279">
        <v>6053</v>
      </c>
      <c r="AU14" s="277">
        <v>5790</v>
      </c>
      <c r="AV14" s="278">
        <v>6156</v>
      </c>
      <c r="AW14" s="278">
        <v>8307</v>
      </c>
      <c r="AX14" s="279">
        <v>8536</v>
      </c>
      <c r="AY14" s="277">
        <v>8116</v>
      </c>
      <c r="AZ14" s="278">
        <v>8070</v>
      </c>
      <c r="BA14" s="278">
        <v>8479</v>
      </c>
      <c r="BB14" s="279">
        <v>9255</v>
      </c>
      <c r="BC14" s="394">
        <f t="shared" ref="BC14:BJ14" si="48">SUM(BC8:BC13)</f>
        <v>10194.515159013707</v>
      </c>
      <c r="BD14" s="55">
        <f t="shared" si="48"/>
        <v>11292.069113166563</v>
      </c>
      <c r="BE14" s="280">
        <f t="shared" si="48"/>
        <v>12489.241405855508</v>
      </c>
      <c r="BF14" s="281">
        <f t="shared" si="48"/>
        <v>13700.604621959474</v>
      </c>
      <c r="BG14" s="394">
        <f t="shared" si="48"/>
        <v>14696.458537690063</v>
      </c>
      <c r="BH14" s="55">
        <f t="shared" si="48"/>
        <v>16018.824433472935</v>
      </c>
      <c r="BI14" s="280">
        <f t="shared" si="48"/>
        <v>17461.555161995308</v>
      </c>
      <c r="BJ14" s="281">
        <f t="shared" si="48"/>
        <v>18871.037223525855</v>
      </c>
      <c r="BK14" s="394">
        <f t="shared" ref="BK14:BN14" si="49">SUM(BK8:BK13)</f>
        <v>20090.072611528012</v>
      </c>
      <c r="BL14" s="55">
        <f t="shared" si="49"/>
        <v>21690.124953016304</v>
      </c>
      <c r="BM14" s="280">
        <f t="shared" si="49"/>
        <v>23410.877579494318</v>
      </c>
      <c r="BN14" s="281">
        <f t="shared" si="49"/>
        <v>25126.511921042489</v>
      </c>
      <c r="BO14" s="131"/>
      <c r="BP14" s="55">
        <f t="shared" si="2"/>
        <v>1550.299</v>
      </c>
      <c r="BQ14" s="55">
        <f t="shared" si="3"/>
        <v>2031.7699999999998</v>
      </c>
      <c r="BR14" s="55">
        <f t="shared" si="4"/>
        <v>2888.8290000000002</v>
      </c>
      <c r="BS14" s="55">
        <f t="shared" si="5"/>
        <v>2167.9579999999996</v>
      </c>
      <c r="BT14" s="55">
        <f t="shared" si="6"/>
        <v>2480.83</v>
      </c>
      <c r="BU14" s="55">
        <f t="shared" si="7"/>
        <v>3226.9500000000003</v>
      </c>
      <c r="BV14" s="55">
        <f t="shared" si="8"/>
        <v>3905.3580000000002</v>
      </c>
      <c r="BW14" s="55">
        <f t="shared" si="9"/>
        <v>4775.2579999999998</v>
      </c>
      <c r="BX14" s="55">
        <f t="shared" si="10"/>
        <v>5624.7110000000002</v>
      </c>
      <c r="BY14" s="55">
        <f t="shared" si="24"/>
        <v>5713.2969999999996</v>
      </c>
      <c r="BZ14" s="55">
        <f t="shared" si="25"/>
        <v>6053</v>
      </c>
      <c r="CA14" s="280">
        <f t="shared" si="26"/>
        <v>8536</v>
      </c>
      <c r="CB14" s="280">
        <f t="shared" si="11"/>
        <v>9255</v>
      </c>
      <c r="CC14" s="280">
        <f t="shared" si="27"/>
        <v>13700.604621959474</v>
      </c>
      <c r="CD14" s="280">
        <f t="shared" si="28"/>
        <v>18871.037223525855</v>
      </c>
      <c r="CE14" s="280">
        <f t="shared" si="29"/>
        <v>25126.511921042489</v>
      </c>
      <c r="CK14" s="926"/>
      <c r="CZ14"/>
      <c r="DA14"/>
      <c r="DB14"/>
      <c r="DC14"/>
      <c r="DD14"/>
      <c r="DE14"/>
    </row>
    <row r="15" spans="1:109" s="84" customFormat="1">
      <c r="B15" s="83" t="s">
        <v>13</v>
      </c>
      <c r="C15" s="454">
        <v>169.23599999999999</v>
      </c>
      <c r="D15" s="131">
        <v>178.95099999999999</v>
      </c>
      <c r="E15" s="131">
        <v>178.505</v>
      </c>
      <c r="F15" s="455">
        <v>178.15199999999999</v>
      </c>
      <c r="G15" s="131">
        <v>180.20599999999999</v>
      </c>
      <c r="H15" s="131">
        <v>177.14400000000001</v>
      </c>
      <c r="I15" s="131">
        <v>220.54</v>
      </c>
      <c r="J15" s="131">
        <v>260.82799999999997</v>
      </c>
      <c r="K15" s="454">
        <v>271.19</v>
      </c>
      <c r="L15" s="131">
        <v>264.83199999999999</v>
      </c>
      <c r="M15" s="131">
        <v>322.94600000000003</v>
      </c>
      <c r="N15" s="455">
        <v>359.80799999999999</v>
      </c>
      <c r="O15" s="131">
        <v>522.05600000000004</v>
      </c>
      <c r="P15" s="131">
        <v>599.47799999999995</v>
      </c>
      <c r="Q15" s="131">
        <v>609.67399999999998</v>
      </c>
      <c r="R15" s="131">
        <v>625.798</v>
      </c>
      <c r="S15" s="454">
        <v>601.053</v>
      </c>
      <c r="T15" s="131">
        <v>582.91399999999999</v>
      </c>
      <c r="U15" s="131">
        <v>565.29600000000005</v>
      </c>
      <c r="V15" s="455">
        <v>571.85799999999995</v>
      </c>
      <c r="W15" s="131">
        <v>548.91600000000005</v>
      </c>
      <c r="X15" s="131">
        <v>542.21600000000001</v>
      </c>
      <c r="Y15" s="131">
        <v>585.67200000000003</v>
      </c>
      <c r="Z15" s="131">
        <v>568.85699999999997</v>
      </c>
      <c r="AA15" s="454">
        <v>553.36599999999999</v>
      </c>
      <c r="AB15" s="131">
        <v>550.89599999999996</v>
      </c>
      <c r="AC15" s="131">
        <v>551.75699999999995</v>
      </c>
      <c r="AD15" s="455">
        <v>560.072</v>
      </c>
      <c r="AE15" s="131">
        <v>553.54100000000005</v>
      </c>
      <c r="AF15" s="131">
        <v>574.05600000000004</v>
      </c>
      <c r="AG15" s="131">
        <v>566.54</v>
      </c>
      <c r="AH15" s="131">
        <v>576.14400000000001</v>
      </c>
      <c r="AI15" s="454">
        <v>588.02300000000002</v>
      </c>
      <c r="AJ15" s="131">
        <v>578.94799999999998</v>
      </c>
      <c r="AK15" s="131">
        <v>595.41800000000001</v>
      </c>
      <c r="AL15" s="455">
        <v>582.74</v>
      </c>
      <c r="AM15" s="454">
        <v>570.80200000000002</v>
      </c>
      <c r="AN15" s="131">
        <v>556.91099999999994</v>
      </c>
      <c r="AO15" s="131">
        <v>566.601</v>
      </c>
      <c r="AP15" s="455">
        <v>557.28200000000004</v>
      </c>
      <c r="AQ15" s="454">
        <v>547</v>
      </c>
      <c r="AR15" s="131">
        <v>497</v>
      </c>
      <c r="AS15" s="131">
        <v>477</v>
      </c>
      <c r="AT15" s="455">
        <v>466</v>
      </c>
      <c r="AU15" s="454">
        <v>479</v>
      </c>
      <c r="AV15" s="131">
        <v>485</v>
      </c>
      <c r="AW15" s="131">
        <v>503</v>
      </c>
      <c r="AX15" s="455">
        <v>521</v>
      </c>
      <c r="AY15" s="454">
        <v>539</v>
      </c>
      <c r="AZ15" s="131">
        <v>578</v>
      </c>
      <c r="BA15" s="131">
        <v>600</v>
      </c>
      <c r="BB15" s="455">
        <v>997</v>
      </c>
      <c r="BC15" s="374">
        <v>1023.3060049339106</v>
      </c>
      <c r="BD15" s="150">
        <v>1053.5303860849926</v>
      </c>
      <c r="BE15" s="96">
        <v>1087.8697851560387</v>
      </c>
      <c r="BF15" s="456">
        <v>1122.8701591561003</v>
      </c>
      <c r="BG15" s="374">
        <v>1144.83599283372</v>
      </c>
      <c r="BH15" s="150">
        <v>1174.403111784811</v>
      </c>
      <c r="BI15" s="96">
        <v>1208.7998949357398</v>
      </c>
      <c r="BJ15" s="456">
        <v>1241.3785276130707</v>
      </c>
      <c r="BK15" s="374">
        <v>1260.1441133816684</v>
      </c>
      <c r="BL15" s="150">
        <v>1287.4633896361436</v>
      </c>
      <c r="BM15" s="96">
        <v>1319.3015010109734</v>
      </c>
      <c r="BN15" s="456">
        <v>1349.7543936301236</v>
      </c>
      <c r="BO15" s="131"/>
      <c r="BP15" s="150">
        <f t="shared" si="2"/>
        <v>178.15199999999999</v>
      </c>
      <c r="BQ15" s="150">
        <f t="shared" si="3"/>
        <v>260.82799999999997</v>
      </c>
      <c r="BR15" s="150">
        <f t="shared" si="4"/>
        <v>359.80799999999999</v>
      </c>
      <c r="BS15" s="150">
        <f t="shared" si="5"/>
        <v>625.798</v>
      </c>
      <c r="BT15" s="150">
        <f t="shared" si="6"/>
        <v>571.85799999999995</v>
      </c>
      <c r="BU15" s="150">
        <f t="shared" si="7"/>
        <v>568.85699999999997</v>
      </c>
      <c r="BV15" s="150">
        <f t="shared" si="8"/>
        <v>560.072</v>
      </c>
      <c r="BW15" s="150">
        <f t="shared" si="9"/>
        <v>576.14400000000001</v>
      </c>
      <c r="BX15" s="150">
        <f t="shared" si="10"/>
        <v>582.74</v>
      </c>
      <c r="BY15" s="150">
        <f>AP15</f>
        <v>557.28200000000004</v>
      </c>
      <c r="BZ15" s="150">
        <f>AT15</f>
        <v>466</v>
      </c>
      <c r="CA15" s="97">
        <f t="shared" si="26"/>
        <v>521</v>
      </c>
      <c r="CB15" s="97">
        <f t="shared" si="11"/>
        <v>997</v>
      </c>
      <c r="CC15" s="97">
        <f t="shared" si="27"/>
        <v>1122.8701591561003</v>
      </c>
      <c r="CD15" s="97">
        <f t="shared" si="28"/>
        <v>1241.3785276130707</v>
      </c>
      <c r="CE15" s="97">
        <f t="shared" si="29"/>
        <v>1349.7543936301236</v>
      </c>
      <c r="CF15" s="9"/>
      <c r="CG15" s="9"/>
      <c r="CH15" s="9"/>
      <c r="CL15" s="83"/>
      <c r="CZ15"/>
      <c r="DA15"/>
      <c r="DB15"/>
      <c r="DC15"/>
      <c r="DD15"/>
      <c r="DE15"/>
    </row>
    <row r="16" spans="1:109" s="5" customFormat="1">
      <c r="B16" s="8" t="s">
        <v>14</v>
      </c>
      <c r="C16" s="32">
        <v>108.107</v>
      </c>
      <c r="D16" s="30">
        <v>108.107</v>
      </c>
      <c r="E16" s="30">
        <v>133.107</v>
      </c>
      <c r="F16" s="33">
        <v>145.31700000000001</v>
      </c>
      <c r="G16" s="30">
        <v>204.60300000000001</v>
      </c>
      <c r="H16" s="30">
        <v>203.65700000000001</v>
      </c>
      <c r="I16" s="30">
        <v>203.679</v>
      </c>
      <c r="J16" s="30">
        <v>301.42500000000001</v>
      </c>
      <c r="K16" s="32">
        <v>291.077</v>
      </c>
      <c r="L16" s="30">
        <v>293.38299999999998</v>
      </c>
      <c r="M16" s="30">
        <v>292.93400000000003</v>
      </c>
      <c r="N16" s="33">
        <v>354.05700000000002</v>
      </c>
      <c r="O16" s="30">
        <v>371.01900000000001</v>
      </c>
      <c r="P16" s="30">
        <v>365.8</v>
      </c>
      <c r="Q16" s="30">
        <v>366.286</v>
      </c>
      <c r="R16" s="30">
        <v>369.84399999999999</v>
      </c>
      <c r="S16" s="32">
        <v>369.84399999999999</v>
      </c>
      <c r="T16" s="30">
        <v>369.84399999999999</v>
      </c>
      <c r="U16" s="30">
        <v>369.84399999999999</v>
      </c>
      <c r="V16" s="33">
        <v>369.84399999999999</v>
      </c>
      <c r="W16" s="30">
        <v>369.84399999999999</v>
      </c>
      <c r="X16" s="30">
        <v>369.84399999999999</v>
      </c>
      <c r="Y16" s="30">
        <v>369.84399999999999</v>
      </c>
      <c r="Z16" s="30">
        <v>369.84399999999999</v>
      </c>
      <c r="AA16" s="32">
        <v>369.84399999999999</v>
      </c>
      <c r="AB16" s="30">
        <v>593.51300000000003</v>
      </c>
      <c r="AC16" s="30">
        <v>648.053</v>
      </c>
      <c r="AD16" s="33">
        <v>641.03</v>
      </c>
      <c r="AE16" s="30">
        <v>641.03</v>
      </c>
      <c r="AF16" s="30">
        <v>641.03</v>
      </c>
      <c r="AG16" s="30">
        <v>641.03</v>
      </c>
      <c r="AH16" s="30">
        <v>641.03</v>
      </c>
      <c r="AI16" s="32">
        <v>641.03</v>
      </c>
      <c r="AJ16" s="30">
        <v>641.03</v>
      </c>
      <c r="AK16" s="30">
        <v>643.17899999999997</v>
      </c>
      <c r="AL16" s="33">
        <v>643.17899999999997</v>
      </c>
      <c r="AM16" s="32">
        <v>643.17899999999997</v>
      </c>
      <c r="AN16" s="30">
        <v>643.17899999999997</v>
      </c>
      <c r="AO16" s="30">
        <v>643.17899999999997</v>
      </c>
      <c r="AP16" s="33">
        <v>618.17899999999997</v>
      </c>
      <c r="AQ16" s="32">
        <v>618</v>
      </c>
      <c r="AR16" s="30">
        <v>618</v>
      </c>
      <c r="AS16" s="30">
        <v>618</v>
      </c>
      <c r="AT16" s="33">
        <v>618</v>
      </c>
      <c r="AU16" s="32">
        <v>618</v>
      </c>
      <c r="AV16" s="30">
        <v>618</v>
      </c>
      <c r="AW16" s="30">
        <v>618</v>
      </c>
      <c r="AX16" s="33">
        <v>618</v>
      </c>
      <c r="AY16" s="32">
        <v>618</v>
      </c>
      <c r="AZ16" s="30">
        <v>618</v>
      </c>
      <c r="BA16" s="30">
        <v>618</v>
      </c>
      <c r="BB16" s="33">
        <v>618</v>
      </c>
      <c r="BC16" s="294">
        <f t="shared" ref="BC16:BC18" si="50">BB16</f>
        <v>618</v>
      </c>
      <c r="BD16" s="53">
        <f t="shared" ref="BD16:BD18" si="51">BC16</f>
        <v>618</v>
      </c>
      <c r="BE16" s="73">
        <f t="shared" ref="BE16:BE18" si="52">BD16</f>
        <v>618</v>
      </c>
      <c r="BF16" s="238">
        <f t="shared" ref="BF16:BF18" si="53">BE16</f>
        <v>618</v>
      </c>
      <c r="BG16" s="294">
        <f t="shared" ref="BG16:BG18" si="54">BF16</f>
        <v>618</v>
      </c>
      <c r="BH16" s="53">
        <f t="shared" ref="BH16:BH18" si="55">BG16</f>
        <v>618</v>
      </c>
      <c r="BI16" s="73">
        <f t="shared" ref="BI16:BI18" si="56">BH16</f>
        <v>618</v>
      </c>
      <c r="BJ16" s="238">
        <f t="shared" ref="BJ16:BJ18" si="57">BI16</f>
        <v>618</v>
      </c>
      <c r="BK16" s="294">
        <f t="shared" ref="BK16:BK18" si="58">BJ16</f>
        <v>618</v>
      </c>
      <c r="BL16" s="53">
        <f t="shared" ref="BL16:BL18" si="59">BK16</f>
        <v>618</v>
      </c>
      <c r="BM16" s="73">
        <f t="shared" ref="BM16:BM18" si="60">BL16</f>
        <v>618</v>
      </c>
      <c r="BN16" s="238">
        <f t="shared" ref="BN16:BN18" si="61">BM16</f>
        <v>618</v>
      </c>
      <c r="BO16" s="131"/>
      <c r="BP16" s="53">
        <f t="shared" si="2"/>
        <v>145.31700000000001</v>
      </c>
      <c r="BQ16" s="53">
        <f t="shared" si="3"/>
        <v>301.42500000000001</v>
      </c>
      <c r="BR16" s="53">
        <f t="shared" si="4"/>
        <v>354.05700000000002</v>
      </c>
      <c r="BS16" s="53">
        <f t="shared" si="5"/>
        <v>369.84399999999999</v>
      </c>
      <c r="BT16" s="53">
        <f t="shared" si="6"/>
        <v>369.84399999999999</v>
      </c>
      <c r="BU16" s="53">
        <f t="shared" si="7"/>
        <v>369.84399999999999</v>
      </c>
      <c r="BV16" s="53">
        <f t="shared" si="8"/>
        <v>641.03</v>
      </c>
      <c r="BW16" s="53">
        <f t="shared" si="9"/>
        <v>641.03</v>
      </c>
      <c r="BX16" s="53">
        <f t="shared" si="10"/>
        <v>643.17899999999997</v>
      </c>
      <c r="BY16" s="53">
        <f t="shared" si="24"/>
        <v>618.17899999999997</v>
      </c>
      <c r="BZ16" s="53">
        <f t="shared" si="25"/>
        <v>618</v>
      </c>
      <c r="CA16" s="501">
        <f t="shared" si="26"/>
        <v>618</v>
      </c>
      <c r="CB16" s="501">
        <f t="shared" si="11"/>
        <v>618</v>
      </c>
      <c r="CC16" s="501">
        <f t="shared" si="27"/>
        <v>618</v>
      </c>
      <c r="CD16" s="501">
        <f t="shared" si="28"/>
        <v>618</v>
      </c>
      <c r="CE16" s="501">
        <f t="shared" si="29"/>
        <v>618</v>
      </c>
      <c r="CF16" s="9"/>
      <c r="CG16" s="9"/>
      <c r="CH16" s="9"/>
      <c r="CL16" s="8"/>
      <c r="CZ16"/>
      <c r="DA16"/>
      <c r="DB16"/>
      <c r="DC16"/>
      <c r="DD16"/>
      <c r="DE16"/>
    </row>
    <row r="17" spans="1:109" s="5" customFormat="1">
      <c r="B17" s="8" t="s">
        <v>15</v>
      </c>
      <c r="C17" s="32">
        <v>27.416</v>
      </c>
      <c r="D17" s="30">
        <v>23.268000000000001</v>
      </c>
      <c r="E17" s="30">
        <v>19.207000000000001</v>
      </c>
      <c r="F17" s="33">
        <v>15.420999999999999</v>
      </c>
      <c r="G17" s="30">
        <v>22.989000000000001</v>
      </c>
      <c r="H17" s="30">
        <v>29.428000000000001</v>
      </c>
      <c r="I17" s="30">
        <v>26.538</v>
      </c>
      <c r="J17" s="30">
        <v>45.511000000000003</v>
      </c>
      <c r="K17" s="32">
        <v>50.914000000000001</v>
      </c>
      <c r="L17" s="30">
        <v>54.734999999999999</v>
      </c>
      <c r="M17" s="30">
        <v>78.173000000000002</v>
      </c>
      <c r="N17" s="33">
        <v>106.926</v>
      </c>
      <c r="O17" s="30">
        <v>125.001</v>
      </c>
      <c r="P17" s="30">
        <v>145.148</v>
      </c>
      <c r="Q17" s="30">
        <v>155.64599999999999</v>
      </c>
      <c r="R17" s="30">
        <v>147.101</v>
      </c>
      <c r="S17" s="32">
        <v>142.446</v>
      </c>
      <c r="T17" s="30">
        <v>135.678</v>
      </c>
      <c r="U17" s="30">
        <v>127.81699999999999</v>
      </c>
      <c r="V17" s="33">
        <v>120.458</v>
      </c>
      <c r="W17" s="30">
        <v>115.423</v>
      </c>
      <c r="X17" s="30">
        <v>118.879</v>
      </c>
      <c r="Y17" s="30">
        <v>112.642</v>
      </c>
      <c r="Z17" s="30">
        <v>288.745</v>
      </c>
      <c r="AA17" s="32">
        <v>278.76100000000002</v>
      </c>
      <c r="AB17" s="30">
        <v>358.13600000000002</v>
      </c>
      <c r="AC17" s="30">
        <v>342.839</v>
      </c>
      <c r="AD17" s="33">
        <v>326.13600000000002</v>
      </c>
      <c r="AE17" s="30">
        <v>363.39499999999998</v>
      </c>
      <c r="AF17" s="30">
        <v>346.93799999999999</v>
      </c>
      <c r="AG17" s="30">
        <v>331.24799999999999</v>
      </c>
      <c r="AH17" s="30">
        <v>312.33199999999999</v>
      </c>
      <c r="AI17" s="32">
        <v>336.733</v>
      </c>
      <c r="AJ17" s="30">
        <v>322.52</v>
      </c>
      <c r="AK17" s="30">
        <v>320.589</v>
      </c>
      <c r="AL17" s="33">
        <v>296.012</v>
      </c>
      <c r="AM17" s="32">
        <v>277.52999999999997</v>
      </c>
      <c r="AN17" s="30">
        <v>260.613</v>
      </c>
      <c r="AO17" s="30">
        <v>241.30099999999999</v>
      </c>
      <c r="AP17" s="33">
        <v>221.714</v>
      </c>
      <c r="AQ17" s="32">
        <v>205</v>
      </c>
      <c r="AR17" s="30">
        <v>190</v>
      </c>
      <c r="AS17" s="30">
        <v>172</v>
      </c>
      <c r="AT17" s="33">
        <v>166</v>
      </c>
      <c r="AU17" s="32">
        <v>155</v>
      </c>
      <c r="AV17" s="30">
        <v>138</v>
      </c>
      <c r="AW17" s="30">
        <v>120</v>
      </c>
      <c r="AX17" s="33">
        <v>104</v>
      </c>
      <c r="AY17" s="32">
        <v>90</v>
      </c>
      <c r="AZ17" s="30">
        <v>76</v>
      </c>
      <c r="BA17" s="30">
        <v>63</v>
      </c>
      <c r="BB17" s="33">
        <v>52</v>
      </c>
      <c r="BC17" s="294">
        <f t="shared" si="50"/>
        <v>52</v>
      </c>
      <c r="BD17" s="53">
        <f t="shared" si="51"/>
        <v>52</v>
      </c>
      <c r="BE17" s="73">
        <f t="shared" si="52"/>
        <v>52</v>
      </c>
      <c r="BF17" s="238">
        <f t="shared" si="53"/>
        <v>52</v>
      </c>
      <c r="BG17" s="294">
        <f t="shared" si="54"/>
        <v>52</v>
      </c>
      <c r="BH17" s="53">
        <f t="shared" si="55"/>
        <v>52</v>
      </c>
      <c r="BI17" s="73">
        <f t="shared" si="56"/>
        <v>52</v>
      </c>
      <c r="BJ17" s="238">
        <f t="shared" si="57"/>
        <v>52</v>
      </c>
      <c r="BK17" s="294">
        <f t="shared" si="58"/>
        <v>52</v>
      </c>
      <c r="BL17" s="53">
        <f t="shared" si="59"/>
        <v>52</v>
      </c>
      <c r="BM17" s="73">
        <f t="shared" si="60"/>
        <v>52</v>
      </c>
      <c r="BN17" s="238">
        <f t="shared" si="61"/>
        <v>52</v>
      </c>
      <c r="BO17" s="131"/>
      <c r="BP17" s="53">
        <f t="shared" si="2"/>
        <v>15.420999999999999</v>
      </c>
      <c r="BQ17" s="53">
        <f t="shared" si="3"/>
        <v>45.511000000000003</v>
      </c>
      <c r="BR17" s="53">
        <f t="shared" si="4"/>
        <v>106.926</v>
      </c>
      <c r="BS17" s="53">
        <f t="shared" si="5"/>
        <v>147.101</v>
      </c>
      <c r="BT17" s="53">
        <f t="shared" si="6"/>
        <v>120.458</v>
      </c>
      <c r="BU17" s="53">
        <f t="shared" si="7"/>
        <v>288.745</v>
      </c>
      <c r="BV17" s="53">
        <f t="shared" si="8"/>
        <v>326.13600000000002</v>
      </c>
      <c r="BW17" s="53">
        <f t="shared" si="9"/>
        <v>312.33199999999999</v>
      </c>
      <c r="BX17" s="53">
        <f t="shared" si="10"/>
        <v>296.012</v>
      </c>
      <c r="BY17" s="53">
        <f t="shared" si="24"/>
        <v>221.714</v>
      </c>
      <c r="BZ17" s="53">
        <f t="shared" si="25"/>
        <v>166</v>
      </c>
      <c r="CA17" s="501">
        <f t="shared" si="26"/>
        <v>104</v>
      </c>
      <c r="CB17" s="501">
        <f t="shared" si="11"/>
        <v>52</v>
      </c>
      <c r="CC17" s="501">
        <f t="shared" si="27"/>
        <v>52</v>
      </c>
      <c r="CD17" s="501">
        <f t="shared" si="28"/>
        <v>52</v>
      </c>
      <c r="CE17" s="501">
        <f t="shared" si="29"/>
        <v>52</v>
      </c>
      <c r="CF17" s="9"/>
      <c r="CG17" s="9"/>
      <c r="CH17" s="9"/>
      <c r="CL17" s="8"/>
      <c r="CZ17"/>
      <c r="DA17"/>
      <c r="DB17"/>
      <c r="DC17"/>
      <c r="DD17"/>
      <c r="DE17"/>
    </row>
    <row r="18" spans="1:109" s="5" customFormat="1">
      <c r="B18" s="8" t="s">
        <v>16</v>
      </c>
      <c r="C18" s="32">
        <v>10.678000000000001</v>
      </c>
      <c r="D18" s="30">
        <v>15.977</v>
      </c>
      <c r="E18" s="30">
        <v>24.713000000000001</v>
      </c>
      <c r="F18" s="33">
        <v>65.498000000000005</v>
      </c>
      <c r="G18" s="30">
        <v>31.027999999999999</v>
      </c>
      <c r="H18" s="30">
        <v>47.311</v>
      </c>
      <c r="I18" s="30">
        <v>54.507999999999996</v>
      </c>
      <c r="J18" s="30">
        <v>35.728999999999999</v>
      </c>
      <c r="K18" s="32">
        <v>33.454000000000001</v>
      </c>
      <c r="L18" s="30">
        <v>25.911999999999999</v>
      </c>
      <c r="M18" s="30">
        <v>25.155999999999999</v>
      </c>
      <c r="N18" s="33">
        <v>38.051000000000002</v>
      </c>
      <c r="O18" s="30">
        <v>40.389000000000003</v>
      </c>
      <c r="P18" s="30">
        <v>35.404000000000003</v>
      </c>
      <c r="Q18" s="30">
        <v>37.192999999999998</v>
      </c>
      <c r="R18" s="30">
        <v>40.026000000000003</v>
      </c>
      <c r="S18" s="32">
        <v>44.677</v>
      </c>
      <c r="T18" s="30">
        <v>42.067999999999998</v>
      </c>
      <c r="U18" s="30">
        <v>42.901000000000003</v>
      </c>
      <c r="V18" s="33">
        <v>42.927999999999997</v>
      </c>
      <c r="W18" s="30">
        <v>41.866999999999997</v>
      </c>
      <c r="X18" s="30">
        <v>44.366999999999997</v>
      </c>
      <c r="Y18" s="30">
        <v>39.719000000000001</v>
      </c>
      <c r="Z18" s="30">
        <v>40.85</v>
      </c>
      <c r="AA18" s="32">
        <v>38.01</v>
      </c>
      <c r="AB18" s="30">
        <v>44.322000000000003</v>
      </c>
      <c r="AC18" s="30">
        <v>46.323</v>
      </c>
      <c r="AD18" s="33">
        <v>120.33199999999999</v>
      </c>
      <c r="AE18" s="30">
        <v>118.08499999999999</v>
      </c>
      <c r="AF18" s="30">
        <v>116.006</v>
      </c>
      <c r="AG18" s="30">
        <v>111.499</v>
      </c>
      <c r="AH18" s="30">
        <v>107.48099999999999</v>
      </c>
      <c r="AI18" s="32">
        <v>107.125</v>
      </c>
      <c r="AJ18" s="30">
        <v>104.486</v>
      </c>
      <c r="AK18" s="30">
        <v>102.346</v>
      </c>
      <c r="AL18" s="33">
        <v>104.252</v>
      </c>
      <c r="AM18" s="32">
        <v>99.353999999999999</v>
      </c>
      <c r="AN18" s="30">
        <v>95.43</v>
      </c>
      <c r="AO18" s="30">
        <v>93.679000000000002</v>
      </c>
      <c r="AP18" s="33">
        <v>90.896000000000001</v>
      </c>
      <c r="AQ18" s="32">
        <v>89</v>
      </c>
      <c r="AR18" s="30">
        <v>66</v>
      </c>
      <c r="AS18" s="30">
        <v>73</v>
      </c>
      <c r="AT18" s="33">
        <v>67</v>
      </c>
      <c r="AU18" s="32">
        <v>66</v>
      </c>
      <c r="AV18" s="30">
        <v>64</v>
      </c>
      <c r="AW18" s="30">
        <v>64</v>
      </c>
      <c r="AX18" s="33">
        <v>62</v>
      </c>
      <c r="AY18" s="32">
        <v>47</v>
      </c>
      <c r="AZ18" s="30">
        <v>60</v>
      </c>
      <c r="BA18" s="30">
        <v>70</v>
      </c>
      <c r="BB18" s="33">
        <v>319</v>
      </c>
      <c r="BC18" s="294">
        <f t="shared" si="50"/>
        <v>319</v>
      </c>
      <c r="BD18" s="53">
        <f t="shared" si="51"/>
        <v>319</v>
      </c>
      <c r="BE18" s="73">
        <f t="shared" si="52"/>
        <v>319</v>
      </c>
      <c r="BF18" s="238">
        <f t="shared" si="53"/>
        <v>319</v>
      </c>
      <c r="BG18" s="294">
        <f t="shared" si="54"/>
        <v>319</v>
      </c>
      <c r="BH18" s="53">
        <f t="shared" si="55"/>
        <v>319</v>
      </c>
      <c r="BI18" s="73">
        <f t="shared" si="56"/>
        <v>319</v>
      </c>
      <c r="BJ18" s="238">
        <f t="shared" si="57"/>
        <v>319</v>
      </c>
      <c r="BK18" s="294">
        <f t="shared" si="58"/>
        <v>319</v>
      </c>
      <c r="BL18" s="53">
        <f t="shared" si="59"/>
        <v>319</v>
      </c>
      <c r="BM18" s="73">
        <f t="shared" si="60"/>
        <v>319</v>
      </c>
      <c r="BN18" s="238">
        <f t="shared" si="61"/>
        <v>319</v>
      </c>
      <c r="BO18" s="131"/>
      <c r="BP18" s="53">
        <f t="shared" si="2"/>
        <v>65.498000000000005</v>
      </c>
      <c r="BQ18" s="53">
        <f t="shared" si="3"/>
        <v>35.728999999999999</v>
      </c>
      <c r="BR18" s="53">
        <f t="shared" si="4"/>
        <v>38.051000000000002</v>
      </c>
      <c r="BS18" s="53">
        <f t="shared" si="5"/>
        <v>40.026000000000003</v>
      </c>
      <c r="BT18" s="53">
        <f t="shared" si="6"/>
        <v>42.927999999999997</v>
      </c>
      <c r="BU18" s="53">
        <f t="shared" si="7"/>
        <v>40.85</v>
      </c>
      <c r="BV18" s="53">
        <f t="shared" si="8"/>
        <v>120.33199999999999</v>
      </c>
      <c r="BW18" s="53">
        <f t="shared" si="9"/>
        <v>107.48099999999999</v>
      </c>
      <c r="BX18" s="53">
        <f t="shared" si="10"/>
        <v>104.252</v>
      </c>
      <c r="BY18" s="53">
        <f t="shared" si="24"/>
        <v>90.896000000000001</v>
      </c>
      <c r="BZ18" s="53">
        <f t="shared" si="25"/>
        <v>67</v>
      </c>
      <c r="CA18" s="501">
        <f t="shared" si="26"/>
        <v>62</v>
      </c>
      <c r="CB18" s="501">
        <f t="shared" si="11"/>
        <v>319</v>
      </c>
      <c r="CC18" s="501">
        <f t="shared" si="27"/>
        <v>319</v>
      </c>
      <c r="CD18" s="501">
        <f t="shared" si="28"/>
        <v>319</v>
      </c>
      <c r="CE18" s="501">
        <f t="shared" si="29"/>
        <v>319</v>
      </c>
      <c r="CF18" s="9"/>
      <c r="CG18" s="9"/>
      <c r="CH18" s="9"/>
      <c r="CL18" s="8"/>
      <c r="CZ18"/>
      <c r="DA18"/>
      <c r="DB18"/>
      <c r="DC18"/>
      <c r="DD18"/>
      <c r="DE18"/>
    </row>
    <row r="19" spans="1:109" s="9" customFormat="1">
      <c r="A19" s="5"/>
      <c r="B19" s="276" t="s">
        <v>17</v>
      </c>
      <c r="C19" s="277">
        <v>1635.0939999999998</v>
      </c>
      <c r="D19" s="278">
        <v>1728.2179999999998</v>
      </c>
      <c r="E19" s="278">
        <v>1805.508</v>
      </c>
      <c r="F19" s="279">
        <v>1954.6869999999999</v>
      </c>
      <c r="G19" s="278">
        <v>2161.453</v>
      </c>
      <c r="H19" s="278">
        <v>2183.8290000000002</v>
      </c>
      <c r="I19" s="278">
        <v>2531.1529999999998</v>
      </c>
      <c r="J19" s="278">
        <v>2675.2629999999999</v>
      </c>
      <c r="K19" s="277">
        <v>2800.8679999999995</v>
      </c>
      <c r="L19" s="278">
        <v>3036.2669999999998</v>
      </c>
      <c r="M19" s="278">
        <v>3475.2629999999999</v>
      </c>
      <c r="N19" s="279">
        <v>3747.6710000000003</v>
      </c>
      <c r="O19" s="278">
        <v>3807.4580000000005</v>
      </c>
      <c r="P19" s="278">
        <v>3960.049</v>
      </c>
      <c r="Q19" s="278">
        <v>3648.8980000000001</v>
      </c>
      <c r="R19" s="278">
        <v>3350.7269999999999</v>
      </c>
      <c r="S19" s="277">
        <v>3178.7039999999997</v>
      </c>
      <c r="T19" s="278">
        <v>3298.4089999999997</v>
      </c>
      <c r="U19" s="278">
        <v>3463.5740000000001</v>
      </c>
      <c r="V19" s="279">
        <v>3585.9180000000001</v>
      </c>
      <c r="W19" s="278">
        <v>3803.0300000000007</v>
      </c>
      <c r="X19" s="278">
        <v>3731.268</v>
      </c>
      <c r="Y19" s="278">
        <v>3915.5790000000006</v>
      </c>
      <c r="Z19" s="278">
        <v>4495.2460000000001</v>
      </c>
      <c r="AA19" s="277">
        <v>4736.7440000000006</v>
      </c>
      <c r="AB19" s="278">
        <v>4864.4240000000009</v>
      </c>
      <c r="AC19" s="278">
        <v>5089.0429999999997</v>
      </c>
      <c r="AD19" s="279">
        <v>5552.9279999999999</v>
      </c>
      <c r="AE19" s="278">
        <v>5708.1670000000004</v>
      </c>
      <c r="AF19" s="278">
        <v>5891.8810000000003</v>
      </c>
      <c r="AG19" s="278">
        <v>6075.1440000000002</v>
      </c>
      <c r="AH19" s="278">
        <v>6412.2449999999999</v>
      </c>
      <c r="AI19" s="277">
        <v>6279.527</v>
      </c>
      <c r="AJ19" s="278">
        <v>5569.5919999999996</v>
      </c>
      <c r="AK19" s="278">
        <v>5711.3729999999996</v>
      </c>
      <c r="AL19" s="279">
        <v>7250.8940000000002</v>
      </c>
      <c r="AM19" s="277">
        <v>6864.6629999999996</v>
      </c>
      <c r="AN19" s="278">
        <v>6933.7190000000001</v>
      </c>
      <c r="AO19" s="278">
        <v>6885.8689999999997</v>
      </c>
      <c r="AP19" s="279">
        <v>7201.3680000000004</v>
      </c>
      <c r="AQ19" s="277">
        <v>7291</v>
      </c>
      <c r="AR19" s="278">
        <v>6979</v>
      </c>
      <c r="AS19" s="278">
        <v>7174</v>
      </c>
      <c r="AT19" s="279">
        <v>7370</v>
      </c>
      <c r="AU19" s="277">
        <v>7108</v>
      </c>
      <c r="AV19" s="278">
        <v>7461</v>
      </c>
      <c r="AW19" s="278">
        <v>9612</v>
      </c>
      <c r="AX19" s="279">
        <v>9841</v>
      </c>
      <c r="AY19" s="277">
        <v>9410</v>
      </c>
      <c r="AZ19" s="278">
        <v>9402</v>
      </c>
      <c r="BA19" s="278">
        <v>9830</v>
      </c>
      <c r="BB19" s="279">
        <v>11241</v>
      </c>
      <c r="BC19" s="394">
        <f t="shared" ref="BC19:BJ19" si="62">SUM(BC14:BC18)</f>
        <v>12206.821163947618</v>
      </c>
      <c r="BD19" s="55">
        <f t="shared" si="62"/>
        <v>13334.599499251555</v>
      </c>
      <c r="BE19" s="280">
        <f t="shared" si="62"/>
        <v>14566.111191011547</v>
      </c>
      <c r="BF19" s="281">
        <f t="shared" si="62"/>
        <v>15812.474781115574</v>
      </c>
      <c r="BG19" s="394">
        <f t="shared" si="62"/>
        <v>16830.294530523781</v>
      </c>
      <c r="BH19" s="55">
        <f t="shared" si="62"/>
        <v>18182.227545257745</v>
      </c>
      <c r="BI19" s="280">
        <f t="shared" si="62"/>
        <v>19659.355056931046</v>
      </c>
      <c r="BJ19" s="281">
        <f t="shared" si="62"/>
        <v>21101.415751138924</v>
      </c>
      <c r="BK19" s="394">
        <f t="shared" ref="BK19:BN19" si="63">SUM(BK14:BK18)</f>
        <v>22339.216724909682</v>
      </c>
      <c r="BL19" s="55">
        <f t="shared" si="63"/>
        <v>23966.588342652449</v>
      </c>
      <c r="BM19" s="280">
        <f t="shared" si="63"/>
        <v>25719.179080505291</v>
      </c>
      <c r="BN19" s="281">
        <f t="shared" si="63"/>
        <v>27465.266314672612</v>
      </c>
      <c r="BO19" s="131"/>
      <c r="BP19" s="55">
        <f t="shared" si="2"/>
        <v>1954.6869999999999</v>
      </c>
      <c r="BQ19" s="55">
        <f t="shared" si="3"/>
        <v>2675.2629999999999</v>
      </c>
      <c r="BR19" s="55">
        <f t="shared" si="4"/>
        <v>3747.6710000000003</v>
      </c>
      <c r="BS19" s="55">
        <f t="shared" si="5"/>
        <v>3350.7269999999999</v>
      </c>
      <c r="BT19" s="55">
        <f t="shared" si="6"/>
        <v>3585.9180000000001</v>
      </c>
      <c r="BU19" s="55">
        <f t="shared" si="7"/>
        <v>4495.2460000000001</v>
      </c>
      <c r="BV19" s="55">
        <f t="shared" si="8"/>
        <v>5552.9279999999999</v>
      </c>
      <c r="BW19" s="55">
        <f t="shared" si="9"/>
        <v>6412.2449999999999</v>
      </c>
      <c r="BX19" s="55">
        <f t="shared" si="10"/>
        <v>7250.8940000000002</v>
      </c>
      <c r="BY19" s="55">
        <f t="shared" si="24"/>
        <v>7201.3680000000004</v>
      </c>
      <c r="BZ19" s="55">
        <f t="shared" si="25"/>
        <v>7370</v>
      </c>
      <c r="CA19" s="280">
        <f t="shared" si="26"/>
        <v>9841</v>
      </c>
      <c r="CB19" s="280">
        <f t="shared" si="11"/>
        <v>11241</v>
      </c>
      <c r="CC19" s="280">
        <f t="shared" si="27"/>
        <v>15812.474781115574</v>
      </c>
      <c r="CD19" s="280">
        <f t="shared" si="28"/>
        <v>21101.415751138924</v>
      </c>
      <c r="CE19" s="280">
        <f t="shared" si="29"/>
        <v>27465.266314672612</v>
      </c>
      <c r="CZ19"/>
      <c r="DA19"/>
      <c r="DB19"/>
      <c r="DC19"/>
      <c r="DD19"/>
      <c r="DE19"/>
    </row>
    <row r="20" spans="1:109" s="5" customFormat="1">
      <c r="B20" s="11"/>
      <c r="C20" s="32"/>
      <c r="D20" s="30"/>
      <c r="E20" s="30"/>
      <c r="F20" s="33"/>
      <c r="G20" s="30"/>
      <c r="H20" s="30"/>
      <c r="I20" s="30"/>
      <c r="J20" s="30"/>
      <c r="K20" s="32"/>
      <c r="L20" s="30"/>
      <c r="M20" s="30"/>
      <c r="N20" s="33"/>
      <c r="O20" s="30"/>
      <c r="P20" s="30"/>
      <c r="Q20" s="30"/>
      <c r="R20" s="30"/>
      <c r="S20" s="32"/>
      <c r="T20" s="30"/>
      <c r="U20" s="30"/>
      <c r="V20" s="33"/>
      <c r="W20" s="30"/>
      <c r="X20" s="30"/>
      <c r="Y20" s="30"/>
      <c r="Z20" s="30"/>
      <c r="AA20" s="32"/>
      <c r="AB20" s="30"/>
      <c r="AC20" s="30"/>
      <c r="AD20" s="33"/>
      <c r="AE20" s="30"/>
      <c r="AF20" s="30"/>
      <c r="AG20" s="30"/>
      <c r="AH20" s="30"/>
      <c r="AI20" s="32"/>
      <c r="AJ20" s="30"/>
      <c r="AK20" s="30"/>
      <c r="AL20" s="33"/>
      <c r="AM20" s="32"/>
      <c r="AN20" s="30"/>
      <c r="AO20" s="30"/>
      <c r="AP20" s="33"/>
      <c r="AQ20" s="32"/>
      <c r="AR20" s="30"/>
      <c r="AS20" s="30"/>
      <c r="AT20" s="33"/>
      <c r="AU20" s="32"/>
      <c r="AV20" s="30"/>
      <c r="AW20" s="30"/>
      <c r="AX20" s="33"/>
      <c r="AY20" s="32"/>
      <c r="AZ20" s="30"/>
      <c r="BA20" s="30"/>
      <c r="BB20" s="33"/>
      <c r="BC20" s="294"/>
      <c r="BD20" s="53"/>
      <c r="BE20" s="73"/>
      <c r="BF20" s="238"/>
      <c r="BG20" s="294"/>
      <c r="BH20" s="53"/>
      <c r="BI20" s="73"/>
      <c r="BJ20" s="238"/>
      <c r="BK20" s="294"/>
      <c r="BL20" s="53"/>
      <c r="BM20" s="73"/>
      <c r="BN20" s="238"/>
      <c r="BO20" s="131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C20" s="925"/>
      <c r="CD20" s="925"/>
      <c r="CE20" s="925"/>
      <c r="CF20" s="9"/>
      <c r="CG20" s="9"/>
      <c r="CH20" s="9"/>
      <c r="CZ20"/>
      <c r="DA20"/>
      <c r="DB20"/>
      <c r="DC20"/>
      <c r="DD20"/>
      <c r="DE20"/>
    </row>
    <row r="21" spans="1:109" s="9" customFormat="1">
      <c r="A21" s="5"/>
      <c r="B21" s="11" t="s">
        <v>31</v>
      </c>
      <c r="C21" s="270"/>
      <c r="D21" s="45"/>
      <c r="E21" s="45"/>
      <c r="F21" s="271"/>
      <c r="G21" s="45"/>
      <c r="H21" s="45"/>
      <c r="I21" s="45"/>
      <c r="J21" s="45"/>
      <c r="K21" s="270"/>
      <c r="L21" s="45"/>
      <c r="M21" s="45"/>
      <c r="N21" s="271"/>
      <c r="O21" s="45"/>
      <c r="P21" s="45"/>
      <c r="Q21" s="45"/>
      <c r="R21" s="45"/>
      <c r="S21" s="270"/>
      <c r="T21" s="45"/>
      <c r="U21" s="45"/>
      <c r="V21" s="271"/>
      <c r="W21" s="45"/>
      <c r="X21" s="45"/>
      <c r="Y21" s="45"/>
      <c r="Z21" s="45"/>
      <c r="AA21" s="270"/>
      <c r="AB21" s="45"/>
      <c r="AC21" s="45"/>
      <c r="AD21" s="271"/>
      <c r="AE21" s="45"/>
      <c r="AF21" s="45"/>
      <c r="AG21" s="45"/>
      <c r="AH21" s="45"/>
      <c r="AI21" s="270"/>
      <c r="AJ21" s="45"/>
      <c r="AK21" s="45"/>
      <c r="AL21" s="271"/>
      <c r="AM21" s="270"/>
      <c r="AN21" s="45"/>
      <c r="AO21" s="45"/>
      <c r="AP21" s="271"/>
      <c r="AQ21" s="270"/>
      <c r="AR21" s="45"/>
      <c r="AS21" s="45"/>
      <c r="AT21" s="271"/>
      <c r="AU21" s="270"/>
      <c r="AV21" s="45"/>
      <c r="AW21" s="45"/>
      <c r="AX21" s="271"/>
      <c r="AY21" s="270"/>
      <c r="AZ21" s="45"/>
      <c r="BA21" s="45"/>
      <c r="BB21" s="271"/>
      <c r="BC21" s="963"/>
      <c r="BD21" s="70"/>
      <c r="BE21" s="93"/>
      <c r="BF21" s="274"/>
      <c r="BG21" s="963"/>
      <c r="BH21" s="70"/>
      <c r="BI21" s="93"/>
      <c r="BJ21" s="274"/>
      <c r="BK21" s="963"/>
      <c r="BL21" s="70"/>
      <c r="BM21" s="93"/>
      <c r="BN21" s="274"/>
      <c r="BO21" s="131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Z21"/>
      <c r="DA21"/>
      <c r="DB21"/>
      <c r="DC21"/>
      <c r="DD21"/>
      <c r="DE21"/>
    </row>
    <row r="22" spans="1:109" s="5" customFormat="1">
      <c r="B22" s="10" t="s">
        <v>18</v>
      </c>
      <c r="C22" s="32">
        <v>182.14599999999999</v>
      </c>
      <c r="D22" s="30">
        <v>221.047</v>
      </c>
      <c r="E22" s="30">
        <v>179.77699999999999</v>
      </c>
      <c r="F22" s="33">
        <v>179.39500000000001</v>
      </c>
      <c r="G22" s="30">
        <v>298.14699999999999</v>
      </c>
      <c r="H22" s="30">
        <v>230.916</v>
      </c>
      <c r="I22" s="30">
        <v>324.39600000000002</v>
      </c>
      <c r="J22" s="30">
        <v>272.07499999999999</v>
      </c>
      <c r="K22" s="32">
        <v>334.04599999999999</v>
      </c>
      <c r="L22" s="30">
        <v>323.38099999999997</v>
      </c>
      <c r="M22" s="30">
        <v>449.79199999999997</v>
      </c>
      <c r="N22" s="33">
        <v>492.09899999999999</v>
      </c>
      <c r="O22" s="30">
        <v>427.85500000000002</v>
      </c>
      <c r="P22" s="30">
        <v>438.892</v>
      </c>
      <c r="Q22" s="30">
        <v>387.25200000000001</v>
      </c>
      <c r="R22" s="30">
        <v>218.864</v>
      </c>
      <c r="S22" s="32">
        <v>226.114</v>
      </c>
      <c r="T22" s="30">
        <v>275.97800000000001</v>
      </c>
      <c r="U22" s="30">
        <v>321.52999999999997</v>
      </c>
      <c r="V22" s="33">
        <v>344.52699999999999</v>
      </c>
      <c r="W22" s="30">
        <v>362.74</v>
      </c>
      <c r="X22" s="30">
        <v>280.041</v>
      </c>
      <c r="Y22" s="30">
        <v>324.77</v>
      </c>
      <c r="Z22" s="30">
        <v>286.13799999999998</v>
      </c>
      <c r="AA22" s="32">
        <v>346.29500000000002</v>
      </c>
      <c r="AB22" s="30">
        <v>297.81299999999999</v>
      </c>
      <c r="AC22" s="30">
        <v>307.94299999999998</v>
      </c>
      <c r="AD22" s="33">
        <v>335.072</v>
      </c>
      <c r="AE22" s="30">
        <v>395.57799999999997</v>
      </c>
      <c r="AF22" s="30">
        <v>417.25</v>
      </c>
      <c r="AG22" s="30">
        <v>390.26499999999999</v>
      </c>
      <c r="AH22" s="30">
        <v>356.428</v>
      </c>
      <c r="AI22" s="32">
        <v>328.25900000000001</v>
      </c>
      <c r="AJ22" s="30">
        <v>310.27100000000002</v>
      </c>
      <c r="AK22" s="30">
        <v>333.28300000000002</v>
      </c>
      <c r="AL22" s="33">
        <v>324.39100000000002</v>
      </c>
      <c r="AM22" s="32">
        <v>309.00799999999998</v>
      </c>
      <c r="AN22" s="30">
        <v>261.62700000000001</v>
      </c>
      <c r="AO22" s="30">
        <v>328.09699999999998</v>
      </c>
      <c r="AP22" s="33">
        <v>293.22300000000001</v>
      </c>
      <c r="AQ22" s="32">
        <v>222</v>
      </c>
      <c r="AR22" s="30">
        <v>277</v>
      </c>
      <c r="AS22" s="30">
        <v>295</v>
      </c>
      <c r="AT22" s="33">
        <v>296</v>
      </c>
      <c r="AU22" s="32">
        <v>320</v>
      </c>
      <c r="AV22" s="30">
        <v>423</v>
      </c>
      <c r="AW22" s="30">
        <v>523</v>
      </c>
      <c r="AX22" s="33">
        <v>485</v>
      </c>
      <c r="AY22" s="32">
        <v>348</v>
      </c>
      <c r="AZ22" s="30">
        <v>431</v>
      </c>
      <c r="BA22" s="30">
        <v>511</v>
      </c>
      <c r="BB22" s="33">
        <v>596</v>
      </c>
      <c r="BC22" s="294">
        <f t="shared" ref="BC22:BJ22" si="64">BC44/$A$42*BC48*4</f>
        <v>583.04953269255145</v>
      </c>
      <c r="BD22" s="53">
        <f t="shared" si="64"/>
        <v>638.72966237833157</v>
      </c>
      <c r="BE22" s="73">
        <f t="shared" si="64"/>
        <v>697.02511100588163</v>
      </c>
      <c r="BF22" s="238">
        <f t="shared" si="64"/>
        <v>724.59969271310854</v>
      </c>
      <c r="BG22" s="294">
        <f t="shared" si="64"/>
        <v>669.13117048780111</v>
      </c>
      <c r="BH22" s="53">
        <f t="shared" si="64"/>
        <v>751.15470672819413</v>
      </c>
      <c r="BI22" s="73">
        <f t="shared" si="64"/>
        <v>815.73216240938871</v>
      </c>
      <c r="BJ22" s="238">
        <f t="shared" si="64"/>
        <v>821.19061222834057</v>
      </c>
      <c r="BK22" s="294">
        <f t="shared" ref="BK22:BN22" si="65">BK44/$A$42*BK48*4</f>
        <v>761.48438326161317</v>
      </c>
      <c r="BL22" s="53">
        <f t="shared" si="65"/>
        <v>855.9317285126931</v>
      </c>
      <c r="BM22" s="73">
        <f t="shared" si="65"/>
        <v>921.2972830412541</v>
      </c>
      <c r="BN22" s="238">
        <f t="shared" si="65"/>
        <v>931.80899625880238</v>
      </c>
      <c r="BO22" s="131"/>
      <c r="BP22" s="53">
        <f t="shared" ref="BP22:BP28" si="66">F22</f>
        <v>179.39500000000001</v>
      </c>
      <c r="BQ22" s="53">
        <f t="shared" ref="BQ22:BQ28" si="67">J22</f>
        <v>272.07499999999999</v>
      </c>
      <c r="BR22" s="53">
        <f t="shared" ref="BR22:BR28" si="68">N22</f>
        <v>492.09899999999999</v>
      </c>
      <c r="BS22" s="53">
        <f t="shared" ref="BS22:BS28" si="69">R22</f>
        <v>218.864</v>
      </c>
      <c r="BT22" s="53">
        <f t="shared" ref="BT22:BT28" si="70">V22</f>
        <v>344.52699999999999</v>
      </c>
      <c r="BU22" s="53">
        <f t="shared" ref="BU22:BU28" si="71">Z22</f>
        <v>286.13799999999998</v>
      </c>
      <c r="BV22" s="53">
        <f t="shared" ref="BV22:BV28" si="72">AD22</f>
        <v>335.072</v>
      </c>
      <c r="BW22" s="53">
        <f t="shared" ref="BW22:BW28" si="73">AH22</f>
        <v>356.428</v>
      </c>
      <c r="BX22" s="53">
        <f t="shared" ref="BX22:BX28" si="74">AL22</f>
        <v>324.39100000000002</v>
      </c>
      <c r="BY22" s="53">
        <f t="shared" ref="BY22:BY28" si="75">AP22</f>
        <v>293.22300000000001</v>
      </c>
      <c r="BZ22" s="53">
        <f t="shared" ref="BZ22:BZ28" si="76">AT22</f>
        <v>296</v>
      </c>
      <c r="CA22" s="73">
        <f t="shared" ref="CA22:CA28" si="77">AX22</f>
        <v>485</v>
      </c>
      <c r="CB22" s="73">
        <f t="shared" ref="CB22:CB28" si="78">BB22</f>
        <v>596</v>
      </c>
      <c r="CC22" s="73">
        <f>BF22</f>
        <v>724.59969271310854</v>
      </c>
      <c r="CD22" s="73">
        <f t="shared" si="28"/>
        <v>821.19061222834057</v>
      </c>
      <c r="CE22" s="73">
        <f t="shared" si="29"/>
        <v>931.80899625880238</v>
      </c>
      <c r="CF22" s="9"/>
      <c r="CG22" s="9"/>
      <c r="CH22" s="9"/>
      <c r="CK22" s="925"/>
      <c r="CL22" s="10"/>
      <c r="CZ22"/>
      <c r="DA22"/>
      <c r="DB22"/>
      <c r="DC22"/>
      <c r="DD22"/>
      <c r="DE22"/>
    </row>
    <row r="23" spans="1:109" s="5" customFormat="1">
      <c r="B23" s="10" t="s">
        <v>19</v>
      </c>
      <c r="C23" s="32">
        <v>193.374</v>
      </c>
      <c r="D23" s="30">
        <v>204.45099999999999</v>
      </c>
      <c r="E23" s="30">
        <v>247.39</v>
      </c>
      <c r="F23" s="33">
        <v>259.26400000000001</v>
      </c>
      <c r="G23" s="30">
        <v>236.239</v>
      </c>
      <c r="H23" s="30">
        <v>274.12799999999999</v>
      </c>
      <c r="I23" s="30">
        <v>333.37299999999999</v>
      </c>
      <c r="J23" s="30">
        <v>366.73200000000003</v>
      </c>
      <c r="K23" s="32">
        <v>289.82100000000003</v>
      </c>
      <c r="L23" s="30">
        <v>357.41699999999997</v>
      </c>
      <c r="M23" s="30">
        <v>406.65</v>
      </c>
      <c r="N23" s="33">
        <v>475.06200000000001</v>
      </c>
      <c r="O23" s="30">
        <v>448.697</v>
      </c>
      <c r="P23" s="30">
        <v>696.12400000000002</v>
      </c>
      <c r="Q23" s="30">
        <v>617.21299999999997</v>
      </c>
      <c r="R23" s="30">
        <v>559.72699999999998</v>
      </c>
      <c r="S23" s="32">
        <v>476.05799999999999</v>
      </c>
      <c r="T23" s="30">
        <v>615.34299999999996</v>
      </c>
      <c r="U23" s="30">
        <v>567.27599999999995</v>
      </c>
      <c r="V23" s="33">
        <v>439.851</v>
      </c>
      <c r="W23" s="30">
        <v>402.553</v>
      </c>
      <c r="X23" s="30">
        <v>539.09799999999996</v>
      </c>
      <c r="Y23" s="30">
        <v>491.71899999999999</v>
      </c>
      <c r="Z23" s="30">
        <v>656.54399999999998</v>
      </c>
      <c r="AA23" s="32">
        <v>634.87099999999998</v>
      </c>
      <c r="AB23" s="30">
        <v>662.48599999999999</v>
      </c>
      <c r="AC23" s="30">
        <v>578.74099999999999</v>
      </c>
      <c r="AD23" s="33">
        <v>594.88599999999997</v>
      </c>
      <c r="AE23" s="30">
        <v>551.82600000000002</v>
      </c>
      <c r="AF23" s="30">
        <v>604.71</v>
      </c>
      <c r="AG23" s="30">
        <v>601.09400000000005</v>
      </c>
      <c r="AH23" s="30">
        <v>619.79499999999996</v>
      </c>
      <c r="AI23" s="32">
        <v>597.31799999999998</v>
      </c>
      <c r="AJ23" s="30">
        <v>625.52</v>
      </c>
      <c r="AK23" s="30">
        <v>652.64400000000001</v>
      </c>
      <c r="AL23" s="33">
        <v>621.10500000000002</v>
      </c>
      <c r="AM23" s="32">
        <v>588.93700000000001</v>
      </c>
      <c r="AN23" s="30">
        <v>607.10199999999998</v>
      </c>
      <c r="AO23" s="30">
        <v>605.80999999999995</v>
      </c>
      <c r="AP23" s="33">
        <v>602.80700000000002</v>
      </c>
      <c r="AQ23" s="32">
        <v>661</v>
      </c>
      <c r="AR23" s="30">
        <v>659</v>
      </c>
      <c r="AS23" s="30">
        <v>560</v>
      </c>
      <c r="AT23" s="33">
        <v>642</v>
      </c>
      <c r="AU23" s="32">
        <v>636</v>
      </c>
      <c r="AV23" s="30">
        <v>556</v>
      </c>
      <c r="AW23" s="30">
        <v>1518</v>
      </c>
      <c r="AX23" s="33">
        <v>1303</v>
      </c>
      <c r="AY23" s="32">
        <v>635</v>
      </c>
      <c r="AZ23" s="30">
        <v>601</v>
      </c>
      <c r="BA23" s="30">
        <v>516</v>
      </c>
      <c r="BB23" s="33">
        <v>557</v>
      </c>
      <c r="BC23" s="294">
        <f t="shared" ref="BC23" si="79">BB23</f>
        <v>557</v>
      </c>
      <c r="BD23" s="53">
        <f t="shared" ref="BD23" si="80">BC23</f>
        <v>557</v>
      </c>
      <c r="BE23" s="73">
        <f t="shared" ref="BE23" si="81">BD23</f>
        <v>557</v>
      </c>
      <c r="BF23" s="238">
        <f t="shared" ref="BF23" si="82">BE23</f>
        <v>557</v>
      </c>
      <c r="BG23" s="294">
        <f t="shared" ref="BG23" si="83">BF23</f>
        <v>557</v>
      </c>
      <c r="BH23" s="53">
        <f t="shared" ref="BH23" si="84">BG23</f>
        <v>557</v>
      </c>
      <c r="BI23" s="73">
        <f t="shared" ref="BI23" si="85">BH23</f>
        <v>557</v>
      </c>
      <c r="BJ23" s="238">
        <f t="shared" ref="BJ23" si="86">BI23</f>
        <v>557</v>
      </c>
      <c r="BK23" s="294">
        <f t="shared" ref="BK23" si="87">BJ23</f>
        <v>557</v>
      </c>
      <c r="BL23" s="53">
        <f t="shared" ref="BL23" si="88">BK23</f>
        <v>557</v>
      </c>
      <c r="BM23" s="73">
        <f t="shared" ref="BM23" si="89">BL23</f>
        <v>557</v>
      </c>
      <c r="BN23" s="238">
        <f t="shared" ref="BN23" si="90">BM23</f>
        <v>557</v>
      </c>
      <c r="BO23" s="131"/>
      <c r="BP23" s="53">
        <f t="shared" si="66"/>
        <v>259.26400000000001</v>
      </c>
      <c r="BQ23" s="53">
        <f t="shared" si="67"/>
        <v>366.73200000000003</v>
      </c>
      <c r="BR23" s="53">
        <f t="shared" si="68"/>
        <v>475.06200000000001</v>
      </c>
      <c r="BS23" s="53">
        <f t="shared" si="69"/>
        <v>559.72699999999998</v>
      </c>
      <c r="BT23" s="53">
        <f t="shared" si="70"/>
        <v>439.851</v>
      </c>
      <c r="BU23" s="53">
        <f t="shared" si="71"/>
        <v>656.54399999999998</v>
      </c>
      <c r="BV23" s="53">
        <f t="shared" si="72"/>
        <v>594.88599999999997</v>
      </c>
      <c r="BW23" s="53">
        <f t="shared" si="73"/>
        <v>619.79499999999996</v>
      </c>
      <c r="BX23" s="53">
        <f t="shared" si="74"/>
        <v>621.10500000000002</v>
      </c>
      <c r="BY23" s="53">
        <f t="shared" si="75"/>
        <v>602.80700000000002</v>
      </c>
      <c r="BZ23" s="53">
        <f t="shared" si="76"/>
        <v>642</v>
      </c>
      <c r="CA23" s="501">
        <f t="shared" si="77"/>
        <v>1303</v>
      </c>
      <c r="CB23" s="501">
        <f t="shared" si="78"/>
        <v>557</v>
      </c>
      <c r="CC23" s="501">
        <f t="shared" ref="CC23:CC28" si="91">BF23</f>
        <v>557</v>
      </c>
      <c r="CD23" s="501">
        <f t="shared" si="28"/>
        <v>557</v>
      </c>
      <c r="CE23" s="501">
        <f t="shared" si="29"/>
        <v>557</v>
      </c>
      <c r="CF23" s="9"/>
      <c r="CG23" s="9"/>
      <c r="CH23" s="9"/>
      <c r="CL23" s="10"/>
      <c r="CZ23"/>
      <c r="DA23"/>
      <c r="DB23"/>
      <c r="DC23"/>
      <c r="DD23"/>
      <c r="DE23"/>
    </row>
    <row r="24" spans="1:109" s="9" customFormat="1">
      <c r="A24" s="5"/>
      <c r="B24" s="276" t="s">
        <v>20</v>
      </c>
      <c r="C24" s="277">
        <v>375.52</v>
      </c>
      <c r="D24" s="278">
        <v>425.49799999999999</v>
      </c>
      <c r="E24" s="278">
        <v>427.16699999999997</v>
      </c>
      <c r="F24" s="279">
        <v>438.65899999999999</v>
      </c>
      <c r="G24" s="278">
        <v>534.38599999999997</v>
      </c>
      <c r="H24" s="278">
        <v>505.04399999999998</v>
      </c>
      <c r="I24" s="278">
        <v>657.76900000000012</v>
      </c>
      <c r="J24" s="278">
        <v>638.80700000000002</v>
      </c>
      <c r="K24" s="277">
        <v>623.86699999999996</v>
      </c>
      <c r="L24" s="278">
        <v>680.798</v>
      </c>
      <c r="M24" s="278">
        <v>856.44200000000001</v>
      </c>
      <c r="N24" s="279">
        <v>967.16100000000006</v>
      </c>
      <c r="O24" s="278">
        <v>876.55200000000002</v>
      </c>
      <c r="P24" s="278">
        <v>1135.0160000000001</v>
      </c>
      <c r="Q24" s="278">
        <v>1004.4649999999999</v>
      </c>
      <c r="R24" s="278">
        <v>778.59100000000001</v>
      </c>
      <c r="S24" s="277">
        <v>702.17200000000003</v>
      </c>
      <c r="T24" s="278">
        <v>891.32099999999991</v>
      </c>
      <c r="U24" s="278">
        <v>888.80599999999993</v>
      </c>
      <c r="V24" s="279">
        <v>784.37799999999993</v>
      </c>
      <c r="W24" s="278">
        <v>765.29300000000001</v>
      </c>
      <c r="X24" s="278">
        <v>819.1389999999999</v>
      </c>
      <c r="Y24" s="278">
        <v>816.48900000000003</v>
      </c>
      <c r="Z24" s="278">
        <v>942.68200000000002</v>
      </c>
      <c r="AA24" s="277">
        <v>981.16599999999994</v>
      </c>
      <c r="AB24" s="278">
        <v>960.29899999999998</v>
      </c>
      <c r="AC24" s="278">
        <v>886.68399999999997</v>
      </c>
      <c r="AD24" s="279">
        <v>929.95799999999997</v>
      </c>
      <c r="AE24" s="278">
        <v>947.404</v>
      </c>
      <c r="AF24" s="278">
        <v>1021.96</v>
      </c>
      <c r="AG24" s="278">
        <v>991.35900000000004</v>
      </c>
      <c r="AH24" s="278">
        <v>976.22299999999996</v>
      </c>
      <c r="AI24" s="277">
        <v>925.577</v>
      </c>
      <c r="AJ24" s="278">
        <v>935.79100000000005</v>
      </c>
      <c r="AK24" s="278">
        <v>985.92700000000002</v>
      </c>
      <c r="AL24" s="279">
        <v>945.49599999999998</v>
      </c>
      <c r="AM24" s="277">
        <v>897.94500000000005</v>
      </c>
      <c r="AN24" s="278">
        <v>868.72900000000004</v>
      </c>
      <c r="AO24" s="278">
        <v>933.90700000000004</v>
      </c>
      <c r="AP24" s="279">
        <v>896.03</v>
      </c>
      <c r="AQ24" s="277">
        <v>883</v>
      </c>
      <c r="AR24" s="278">
        <v>936</v>
      </c>
      <c r="AS24" s="278">
        <v>855</v>
      </c>
      <c r="AT24" s="279">
        <v>938</v>
      </c>
      <c r="AU24" s="277">
        <v>956</v>
      </c>
      <c r="AV24" s="278">
        <v>979</v>
      </c>
      <c r="AW24" s="278">
        <v>2041</v>
      </c>
      <c r="AX24" s="279">
        <v>1788</v>
      </c>
      <c r="AY24" s="277">
        <v>983</v>
      </c>
      <c r="AZ24" s="278">
        <v>1032</v>
      </c>
      <c r="BA24" s="278">
        <v>1027</v>
      </c>
      <c r="BB24" s="279">
        <v>1153</v>
      </c>
      <c r="BC24" s="394">
        <f t="shared" ref="BC24:BJ24" si="92">SUM(BC22:BC23)</f>
        <v>1140.0495326925516</v>
      </c>
      <c r="BD24" s="55">
        <f t="shared" si="92"/>
        <v>1195.7296623783316</v>
      </c>
      <c r="BE24" s="280">
        <f t="shared" si="92"/>
        <v>1254.0251110058816</v>
      </c>
      <c r="BF24" s="281">
        <f t="shared" si="92"/>
        <v>1281.5996927131087</v>
      </c>
      <c r="BG24" s="394">
        <f t="shared" si="92"/>
        <v>1226.1311704878012</v>
      </c>
      <c r="BH24" s="55">
        <f t="shared" si="92"/>
        <v>1308.154706728194</v>
      </c>
      <c r="BI24" s="280">
        <f t="shared" si="92"/>
        <v>1372.7321624093888</v>
      </c>
      <c r="BJ24" s="281">
        <f t="shared" si="92"/>
        <v>1378.1906122283406</v>
      </c>
      <c r="BK24" s="394">
        <f t="shared" ref="BK24:BN24" si="93">SUM(BK22:BK23)</f>
        <v>1318.4843832616132</v>
      </c>
      <c r="BL24" s="55">
        <f t="shared" si="93"/>
        <v>1412.9317285126931</v>
      </c>
      <c r="BM24" s="280">
        <f t="shared" si="93"/>
        <v>1478.2972830412541</v>
      </c>
      <c r="BN24" s="281">
        <f t="shared" si="93"/>
        <v>1488.8089962588024</v>
      </c>
      <c r="BO24" s="131"/>
      <c r="BP24" s="55">
        <f t="shared" si="66"/>
        <v>438.65899999999999</v>
      </c>
      <c r="BQ24" s="55">
        <f t="shared" si="67"/>
        <v>638.80700000000002</v>
      </c>
      <c r="BR24" s="55">
        <f t="shared" si="68"/>
        <v>967.16100000000006</v>
      </c>
      <c r="BS24" s="55">
        <f t="shared" si="69"/>
        <v>778.59100000000001</v>
      </c>
      <c r="BT24" s="55">
        <f t="shared" si="70"/>
        <v>784.37799999999993</v>
      </c>
      <c r="BU24" s="55">
        <f t="shared" si="71"/>
        <v>942.68200000000002</v>
      </c>
      <c r="BV24" s="55">
        <f t="shared" si="72"/>
        <v>929.95799999999997</v>
      </c>
      <c r="BW24" s="55">
        <f t="shared" si="73"/>
        <v>976.22299999999996</v>
      </c>
      <c r="BX24" s="55">
        <f t="shared" si="74"/>
        <v>945.49599999999998</v>
      </c>
      <c r="BY24" s="55">
        <f t="shared" si="75"/>
        <v>896.03</v>
      </c>
      <c r="BZ24" s="55">
        <f t="shared" si="76"/>
        <v>938</v>
      </c>
      <c r="CA24" s="280">
        <f t="shared" si="77"/>
        <v>1788</v>
      </c>
      <c r="CB24" s="280">
        <f t="shared" si="78"/>
        <v>1153</v>
      </c>
      <c r="CC24" s="280">
        <f t="shared" si="91"/>
        <v>1281.5996927131087</v>
      </c>
      <c r="CD24" s="280">
        <f t="shared" si="28"/>
        <v>1378.1906122283406</v>
      </c>
      <c r="CE24" s="280">
        <f t="shared" si="29"/>
        <v>1488.8089962588024</v>
      </c>
      <c r="CZ24"/>
      <c r="DA24"/>
      <c r="DB24"/>
      <c r="DC24"/>
      <c r="DD24"/>
      <c r="DE24"/>
    </row>
    <row r="25" spans="1:109" s="5" customFormat="1">
      <c r="B25" s="8" t="s">
        <v>21</v>
      </c>
      <c r="C25" s="32">
        <v>0</v>
      </c>
      <c r="D25" s="30">
        <v>0</v>
      </c>
      <c r="E25" s="30">
        <v>0</v>
      </c>
      <c r="F25" s="33">
        <v>0</v>
      </c>
      <c r="G25" s="30">
        <v>0</v>
      </c>
      <c r="H25" s="30">
        <v>0</v>
      </c>
      <c r="I25" s="30">
        <v>0</v>
      </c>
      <c r="J25" s="30">
        <v>0</v>
      </c>
      <c r="K25" s="32">
        <v>0</v>
      </c>
      <c r="L25" s="30">
        <v>0</v>
      </c>
      <c r="M25" s="30">
        <v>0</v>
      </c>
      <c r="N25" s="33">
        <v>0</v>
      </c>
      <c r="O25" s="30">
        <v>0</v>
      </c>
      <c r="P25" s="30">
        <v>0</v>
      </c>
      <c r="Q25" s="30">
        <v>0</v>
      </c>
      <c r="R25" s="30">
        <v>0</v>
      </c>
      <c r="S25" s="32">
        <v>0</v>
      </c>
      <c r="T25" s="30">
        <v>0</v>
      </c>
      <c r="U25" s="30">
        <v>0</v>
      </c>
      <c r="V25" s="33">
        <v>0</v>
      </c>
      <c r="W25" s="30">
        <v>0</v>
      </c>
      <c r="X25" s="30">
        <v>0</v>
      </c>
      <c r="Y25" s="30">
        <v>0</v>
      </c>
      <c r="Z25" s="30">
        <v>0</v>
      </c>
      <c r="AA25" s="32">
        <v>0</v>
      </c>
      <c r="AB25" s="30">
        <v>0</v>
      </c>
      <c r="AC25" s="30">
        <v>0</v>
      </c>
      <c r="AD25" s="33">
        <v>0</v>
      </c>
      <c r="AE25" s="30">
        <v>0</v>
      </c>
      <c r="AF25" s="30">
        <v>0</v>
      </c>
      <c r="AG25" s="30">
        <v>0</v>
      </c>
      <c r="AH25" s="30">
        <v>0</v>
      </c>
      <c r="AI25" s="32">
        <v>0</v>
      </c>
      <c r="AJ25" s="30">
        <v>0</v>
      </c>
      <c r="AK25" s="30">
        <v>0</v>
      </c>
      <c r="AL25" s="33">
        <v>1356.375</v>
      </c>
      <c r="AM25" s="32">
        <v>1363.2760000000001</v>
      </c>
      <c r="AN25" s="30">
        <v>1370.249</v>
      </c>
      <c r="AO25" s="30">
        <v>1377.259</v>
      </c>
      <c r="AP25" s="33">
        <v>1384.3420000000001</v>
      </c>
      <c r="AQ25" s="32">
        <v>1391</v>
      </c>
      <c r="AR25" s="30">
        <v>1399</v>
      </c>
      <c r="AS25" s="30">
        <v>1406</v>
      </c>
      <c r="AT25" s="33">
        <v>1500</v>
      </c>
      <c r="AU25" s="32">
        <v>1500</v>
      </c>
      <c r="AV25" s="30">
        <v>1500</v>
      </c>
      <c r="AW25" s="30">
        <v>1982</v>
      </c>
      <c r="AX25" s="33">
        <v>1983</v>
      </c>
      <c r="AY25" s="32">
        <v>1984</v>
      </c>
      <c r="AZ25" s="30">
        <v>1984</v>
      </c>
      <c r="BA25" s="30">
        <v>1985</v>
      </c>
      <c r="BB25" s="33">
        <v>1985</v>
      </c>
      <c r="BC25" s="294">
        <f t="shared" ref="BC25:BC28" si="94">BB25</f>
        <v>1985</v>
      </c>
      <c r="BD25" s="53">
        <f t="shared" ref="BD25:BD28" si="95">BC25</f>
        <v>1985</v>
      </c>
      <c r="BE25" s="73">
        <f t="shared" ref="BE25:BE28" si="96">BD25</f>
        <v>1985</v>
      </c>
      <c r="BF25" s="238">
        <f t="shared" ref="BF25:BF28" si="97">BE25</f>
        <v>1985</v>
      </c>
      <c r="BG25" s="294">
        <f t="shared" ref="BG25:BG28" si="98">BF25</f>
        <v>1985</v>
      </c>
      <c r="BH25" s="53">
        <f t="shared" ref="BH25:BH28" si="99">BG25</f>
        <v>1985</v>
      </c>
      <c r="BI25" s="73">
        <f t="shared" ref="BI25:BI28" si="100">BH25</f>
        <v>1985</v>
      </c>
      <c r="BJ25" s="238">
        <f t="shared" ref="BJ25:BJ28" si="101">BI25</f>
        <v>1985</v>
      </c>
      <c r="BK25" s="294">
        <f t="shared" ref="BK25:BK28" si="102">BJ25</f>
        <v>1985</v>
      </c>
      <c r="BL25" s="53">
        <f t="shared" ref="BL25:BL28" si="103">BK25</f>
        <v>1985</v>
      </c>
      <c r="BM25" s="73">
        <f t="shared" ref="BM25:BM28" si="104">BL25</f>
        <v>1985</v>
      </c>
      <c r="BN25" s="238">
        <f t="shared" ref="BN25:BN28" si="105">BM25</f>
        <v>1985</v>
      </c>
      <c r="BO25" s="131"/>
      <c r="BP25" s="53">
        <f t="shared" si="66"/>
        <v>0</v>
      </c>
      <c r="BQ25" s="53">
        <f t="shared" si="67"/>
        <v>0</v>
      </c>
      <c r="BR25" s="53">
        <f t="shared" si="68"/>
        <v>0</v>
      </c>
      <c r="BS25" s="53">
        <f t="shared" si="69"/>
        <v>0</v>
      </c>
      <c r="BT25" s="53">
        <f t="shared" si="70"/>
        <v>0</v>
      </c>
      <c r="BU25" s="53">
        <f t="shared" si="71"/>
        <v>0</v>
      </c>
      <c r="BV25" s="53">
        <f t="shared" si="72"/>
        <v>0</v>
      </c>
      <c r="BW25" s="53">
        <f t="shared" si="73"/>
        <v>0</v>
      </c>
      <c r="BX25" s="53">
        <f t="shared" si="74"/>
        <v>1356.375</v>
      </c>
      <c r="BY25" s="53">
        <f t="shared" si="75"/>
        <v>1384.3420000000001</v>
      </c>
      <c r="BZ25" s="53">
        <f t="shared" si="76"/>
        <v>1500</v>
      </c>
      <c r="CA25" s="501">
        <f t="shared" si="77"/>
        <v>1983</v>
      </c>
      <c r="CB25" s="501">
        <f t="shared" si="78"/>
        <v>1985</v>
      </c>
      <c r="CC25" s="501">
        <f t="shared" si="91"/>
        <v>1985</v>
      </c>
      <c r="CD25" s="501">
        <f t="shared" si="28"/>
        <v>1985</v>
      </c>
      <c r="CE25" s="501">
        <f t="shared" si="29"/>
        <v>1985</v>
      </c>
      <c r="CF25" s="9"/>
      <c r="CG25" s="9"/>
      <c r="CH25" s="9"/>
      <c r="CL25" s="8"/>
      <c r="CZ25"/>
      <c r="DA25"/>
      <c r="DB25"/>
      <c r="DC25"/>
      <c r="DD25"/>
      <c r="DE25"/>
    </row>
    <row r="26" spans="1:109" s="5" customFormat="1">
      <c r="B26" s="8" t="s">
        <v>22</v>
      </c>
      <c r="C26" s="32">
        <v>8.2330000000000005</v>
      </c>
      <c r="D26" s="30">
        <v>6.7329999999999997</v>
      </c>
      <c r="E26" s="30">
        <v>8.1460000000000008</v>
      </c>
      <c r="F26" s="33">
        <v>20.036000000000001</v>
      </c>
      <c r="G26" s="30">
        <v>10.156000000000001</v>
      </c>
      <c r="H26" s="30">
        <v>24.236999999999998</v>
      </c>
      <c r="I26" s="30">
        <v>27.667000000000002</v>
      </c>
      <c r="J26" s="30">
        <v>29.536999999999999</v>
      </c>
      <c r="K26" s="32">
        <v>81.106999999999999</v>
      </c>
      <c r="L26" s="30">
        <v>95.191000000000003</v>
      </c>
      <c r="M26" s="30">
        <v>140.89500000000001</v>
      </c>
      <c r="N26" s="33">
        <v>162.59800000000001</v>
      </c>
      <c r="O26" s="30">
        <v>193.72800000000001</v>
      </c>
      <c r="P26" s="30">
        <v>162.11799999999999</v>
      </c>
      <c r="Q26" s="30">
        <v>157.358</v>
      </c>
      <c r="R26" s="30">
        <v>151.85</v>
      </c>
      <c r="S26" s="32">
        <v>132.30500000000001</v>
      </c>
      <c r="T26" s="30">
        <v>134.619</v>
      </c>
      <c r="U26" s="30">
        <v>126.373</v>
      </c>
      <c r="V26" s="33">
        <v>111.95</v>
      </c>
      <c r="W26" s="30">
        <v>152.994</v>
      </c>
      <c r="X26" s="30">
        <v>127.881</v>
      </c>
      <c r="Y26" s="30">
        <v>177.851</v>
      </c>
      <c r="Z26" s="30">
        <v>347.71300000000002</v>
      </c>
      <c r="AA26" s="32">
        <v>284.81299999999999</v>
      </c>
      <c r="AB26" s="30">
        <v>192.16300000000001</v>
      </c>
      <c r="AC26" s="30">
        <v>206.96</v>
      </c>
      <c r="AD26" s="33">
        <v>455.80700000000002</v>
      </c>
      <c r="AE26" s="30">
        <v>452.505</v>
      </c>
      <c r="AF26" s="30">
        <v>396.01900000000001</v>
      </c>
      <c r="AG26" s="30">
        <v>341.31200000000001</v>
      </c>
      <c r="AH26" s="30">
        <v>589.32100000000003</v>
      </c>
      <c r="AI26" s="32">
        <v>510.68099999999998</v>
      </c>
      <c r="AJ26" s="30">
        <v>443.94299999999998</v>
      </c>
      <c r="AK26" s="30">
        <v>387.78399999999999</v>
      </c>
      <c r="AL26" s="33">
        <v>475.125</v>
      </c>
      <c r="AM26" s="32">
        <v>419.774</v>
      </c>
      <c r="AN26" s="30">
        <v>374.113</v>
      </c>
      <c r="AO26" s="30">
        <v>355.13299999999998</v>
      </c>
      <c r="AP26" s="33">
        <v>488.928</v>
      </c>
      <c r="AQ26" s="32">
        <v>448</v>
      </c>
      <c r="AR26" s="30">
        <v>447</v>
      </c>
      <c r="AS26" s="30">
        <v>437</v>
      </c>
      <c r="AT26" s="33">
        <v>453</v>
      </c>
      <c r="AU26" s="32">
        <v>447</v>
      </c>
      <c r="AV26" s="30">
        <v>494</v>
      </c>
      <c r="AW26" s="30">
        <v>258</v>
      </c>
      <c r="AX26" s="33">
        <v>271</v>
      </c>
      <c r="AY26" s="32">
        <v>300</v>
      </c>
      <c r="AZ26" s="30">
        <v>408</v>
      </c>
      <c r="BA26" s="30">
        <v>464</v>
      </c>
      <c r="BB26" s="33">
        <v>632</v>
      </c>
      <c r="BC26" s="294">
        <f t="shared" si="94"/>
        <v>632</v>
      </c>
      <c r="BD26" s="53">
        <f t="shared" si="95"/>
        <v>632</v>
      </c>
      <c r="BE26" s="73">
        <f t="shared" si="96"/>
        <v>632</v>
      </c>
      <c r="BF26" s="238">
        <f t="shared" si="97"/>
        <v>632</v>
      </c>
      <c r="BG26" s="294">
        <f t="shared" si="98"/>
        <v>632</v>
      </c>
      <c r="BH26" s="53">
        <f t="shared" si="99"/>
        <v>632</v>
      </c>
      <c r="BI26" s="73">
        <f t="shared" si="100"/>
        <v>632</v>
      </c>
      <c r="BJ26" s="238">
        <f t="shared" si="101"/>
        <v>632</v>
      </c>
      <c r="BK26" s="294">
        <f t="shared" si="102"/>
        <v>632</v>
      </c>
      <c r="BL26" s="53">
        <f t="shared" si="103"/>
        <v>632</v>
      </c>
      <c r="BM26" s="73">
        <f t="shared" si="104"/>
        <v>632</v>
      </c>
      <c r="BN26" s="238">
        <f t="shared" si="105"/>
        <v>632</v>
      </c>
      <c r="BO26" s="131"/>
      <c r="BP26" s="53">
        <f t="shared" si="66"/>
        <v>20.036000000000001</v>
      </c>
      <c r="BQ26" s="53">
        <f t="shared" si="67"/>
        <v>29.536999999999999</v>
      </c>
      <c r="BR26" s="53">
        <f t="shared" si="68"/>
        <v>162.59800000000001</v>
      </c>
      <c r="BS26" s="53">
        <f t="shared" si="69"/>
        <v>151.85</v>
      </c>
      <c r="BT26" s="53">
        <f t="shared" si="70"/>
        <v>111.95</v>
      </c>
      <c r="BU26" s="53">
        <f t="shared" si="71"/>
        <v>347.71300000000002</v>
      </c>
      <c r="BV26" s="53">
        <f t="shared" si="72"/>
        <v>455.80700000000002</v>
      </c>
      <c r="BW26" s="53">
        <f t="shared" si="73"/>
        <v>589.32100000000003</v>
      </c>
      <c r="BX26" s="53">
        <f t="shared" si="74"/>
        <v>475.125</v>
      </c>
      <c r="BY26" s="53">
        <f t="shared" si="75"/>
        <v>488.928</v>
      </c>
      <c r="BZ26" s="53">
        <f t="shared" si="76"/>
        <v>453</v>
      </c>
      <c r="CA26" s="501">
        <f t="shared" si="77"/>
        <v>271</v>
      </c>
      <c r="CB26" s="501">
        <f t="shared" si="78"/>
        <v>632</v>
      </c>
      <c r="CC26" s="501">
        <f t="shared" si="91"/>
        <v>632</v>
      </c>
      <c r="CD26" s="501">
        <f t="shared" si="28"/>
        <v>632</v>
      </c>
      <c r="CE26" s="501">
        <f t="shared" si="29"/>
        <v>632</v>
      </c>
      <c r="CF26" s="9"/>
      <c r="CG26" s="9"/>
      <c r="CH26" s="9"/>
      <c r="CL26" s="8"/>
      <c r="CZ26"/>
      <c r="DA26"/>
      <c r="DB26"/>
      <c r="DC26"/>
      <c r="DD26"/>
      <c r="DE26"/>
    </row>
    <row r="27" spans="1:109" s="5" customFormat="1">
      <c r="B27" s="8" t="s">
        <v>23</v>
      </c>
      <c r="C27" s="32">
        <v>0</v>
      </c>
      <c r="D27" s="30">
        <v>0</v>
      </c>
      <c r="E27" s="30">
        <v>0</v>
      </c>
      <c r="F27" s="33">
        <v>0</v>
      </c>
      <c r="G27" s="30">
        <v>0</v>
      </c>
      <c r="H27" s="30">
        <v>0</v>
      </c>
      <c r="I27" s="30">
        <v>0</v>
      </c>
      <c r="J27" s="30">
        <v>0</v>
      </c>
      <c r="K27" s="32">
        <v>0</v>
      </c>
      <c r="L27" s="30">
        <v>0</v>
      </c>
      <c r="M27" s="30">
        <v>0</v>
      </c>
      <c r="N27" s="33">
        <v>0</v>
      </c>
      <c r="O27" s="30">
        <v>0</v>
      </c>
      <c r="P27" s="30">
        <v>0</v>
      </c>
      <c r="Q27" s="30">
        <v>0</v>
      </c>
      <c r="R27" s="30">
        <v>25.634</v>
      </c>
      <c r="S27" s="32">
        <v>25.350999999999999</v>
      </c>
      <c r="T27" s="30">
        <v>25.06</v>
      </c>
      <c r="U27" s="30">
        <v>24.76</v>
      </c>
      <c r="V27" s="33">
        <v>24.45</v>
      </c>
      <c r="W27" s="30">
        <v>24.097999999999999</v>
      </c>
      <c r="X27" s="30">
        <v>23.734000000000002</v>
      </c>
      <c r="Y27" s="30">
        <v>23.359000000000002</v>
      </c>
      <c r="Z27" s="30">
        <v>23.388999999999999</v>
      </c>
      <c r="AA27" s="32">
        <v>22.957000000000001</v>
      </c>
      <c r="AB27" s="30">
        <v>22.492999999999999</v>
      </c>
      <c r="AC27" s="30">
        <v>21.949000000000002</v>
      </c>
      <c r="AD27" s="33">
        <v>21.439</v>
      </c>
      <c r="AE27" s="30">
        <v>20.83</v>
      </c>
      <c r="AF27" s="30">
        <v>20.236999999999998</v>
      </c>
      <c r="AG27" s="30">
        <v>19.626999999999999</v>
      </c>
      <c r="AH27" s="30">
        <v>18.998000000000001</v>
      </c>
      <c r="AI27" s="32">
        <v>18.332999999999998</v>
      </c>
      <c r="AJ27" s="30">
        <v>17.684999999999999</v>
      </c>
      <c r="AK27" s="30">
        <v>17.015000000000001</v>
      </c>
      <c r="AL27" s="33">
        <v>17.5</v>
      </c>
      <c r="AM27" s="32">
        <v>16.683</v>
      </c>
      <c r="AN27" s="30">
        <v>15.842000000000001</v>
      </c>
      <c r="AO27" s="30">
        <v>14.977</v>
      </c>
      <c r="AP27" s="33">
        <v>14.086</v>
      </c>
      <c r="AQ27" s="32">
        <v>13</v>
      </c>
      <c r="AR27" s="30">
        <v>12</v>
      </c>
      <c r="AS27" s="30">
        <v>11</v>
      </c>
      <c r="AT27" s="33">
        <v>10</v>
      </c>
      <c r="AU27" s="32">
        <v>9</v>
      </c>
      <c r="AV27" s="30">
        <v>8</v>
      </c>
      <c r="AW27" s="30">
        <v>7</v>
      </c>
      <c r="AX27" s="33">
        <v>37</v>
      </c>
      <c r="AY27" s="32">
        <v>11</v>
      </c>
      <c r="AZ27" s="30">
        <v>5</v>
      </c>
      <c r="BA27" s="30">
        <v>2</v>
      </c>
      <c r="BB27" s="33">
        <v>0</v>
      </c>
      <c r="BC27" s="294">
        <f t="shared" si="94"/>
        <v>0</v>
      </c>
      <c r="BD27" s="53">
        <f t="shared" si="95"/>
        <v>0</v>
      </c>
      <c r="BE27" s="73">
        <f t="shared" si="96"/>
        <v>0</v>
      </c>
      <c r="BF27" s="238">
        <f t="shared" si="97"/>
        <v>0</v>
      </c>
      <c r="BG27" s="294">
        <f t="shared" si="98"/>
        <v>0</v>
      </c>
      <c r="BH27" s="53">
        <f t="shared" si="99"/>
        <v>0</v>
      </c>
      <c r="BI27" s="73">
        <f t="shared" si="100"/>
        <v>0</v>
      </c>
      <c r="BJ27" s="238">
        <f t="shared" si="101"/>
        <v>0</v>
      </c>
      <c r="BK27" s="294">
        <f t="shared" si="102"/>
        <v>0</v>
      </c>
      <c r="BL27" s="53">
        <f t="shared" si="103"/>
        <v>0</v>
      </c>
      <c r="BM27" s="73">
        <f t="shared" si="104"/>
        <v>0</v>
      </c>
      <c r="BN27" s="238">
        <f t="shared" si="105"/>
        <v>0</v>
      </c>
      <c r="BO27" s="131"/>
      <c r="BP27" s="53">
        <f t="shared" si="66"/>
        <v>0</v>
      </c>
      <c r="BQ27" s="53">
        <f t="shared" si="67"/>
        <v>0</v>
      </c>
      <c r="BR27" s="53">
        <f t="shared" si="68"/>
        <v>0</v>
      </c>
      <c r="BS27" s="53">
        <f t="shared" si="69"/>
        <v>25.634</v>
      </c>
      <c r="BT27" s="53">
        <f t="shared" si="70"/>
        <v>24.45</v>
      </c>
      <c r="BU27" s="53">
        <f t="shared" si="71"/>
        <v>23.388999999999999</v>
      </c>
      <c r="BV27" s="53">
        <f t="shared" si="72"/>
        <v>21.439</v>
      </c>
      <c r="BW27" s="53">
        <f t="shared" si="73"/>
        <v>18.998000000000001</v>
      </c>
      <c r="BX27" s="53">
        <f t="shared" si="74"/>
        <v>17.5</v>
      </c>
      <c r="BY27" s="53">
        <f t="shared" si="75"/>
        <v>14.086</v>
      </c>
      <c r="BZ27" s="53">
        <f t="shared" si="76"/>
        <v>10</v>
      </c>
      <c r="CA27" s="501">
        <f t="shared" si="77"/>
        <v>37</v>
      </c>
      <c r="CB27" s="501">
        <f t="shared" si="78"/>
        <v>0</v>
      </c>
      <c r="CC27" s="501">
        <f t="shared" si="91"/>
        <v>0</v>
      </c>
      <c r="CD27" s="501">
        <f t="shared" si="28"/>
        <v>0</v>
      </c>
      <c r="CE27" s="501">
        <f t="shared" si="29"/>
        <v>0</v>
      </c>
      <c r="CF27" s="9"/>
      <c r="CG27" s="9"/>
      <c r="CH27" s="9"/>
      <c r="CL27" s="8"/>
      <c r="CZ27"/>
      <c r="DA27"/>
      <c r="DB27"/>
      <c r="DC27"/>
      <c r="DD27"/>
      <c r="DE27"/>
    </row>
    <row r="28" spans="1:109" s="5" customFormat="1">
      <c r="B28" s="8" t="s">
        <v>32</v>
      </c>
      <c r="C28" s="32">
        <v>20.754000000000001</v>
      </c>
      <c r="D28" s="30">
        <v>20.754000000000001</v>
      </c>
      <c r="E28" s="30">
        <v>20.754000000000001</v>
      </c>
      <c r="F28" s="33">
        <v>0</v>
      </c>
      <c r="G28" s="30">
        <v>8.26</v>
      </c>
      <c r="H28" s="30">
        <v>0</v>
      </c>
      <c r="I28" s="30">
        <v>0</v>
      </c>
      <c r="J28" s="30">
        <v>0</v>
      </c>
      <c r="K28" s="32">
        <v>0</v>
      </c>
      <c r="L28" s="30">
        <v>0</v>
      </c>
      <c r="M28" s="30">
        <v>0</v>
      </c>
      <c r="N28" s="33">
        <v>0</v>
      </c>
      <c r="O28" s="30">
        <v>0</v>
      </c>
      <c r="P28" s="30">
        <v>0</v>
      </c>
      <c r="Q28" s="30">
        <v>0</v>
      </c>
      <c r="R28" s="30">
        <v>0</v>
      </c>
      <c r="S28" s="32">
        <v>0</v>
      </c>
      <c r="T28" s="30">
        <v>0</v>
      </c>
      <c r="U28" s="30">
        <v>0</v>
      </c>
      <c r="V28" s="33">
        <v>0</v>
      </c>
      <c r="W28" s="30">
        <v>0</v>
      </c>
      <c r="X28" s="30">
        <v>0</v>
      </c>
      <c r="Y28" s="30">
        <v>0</v>
      </c>
      <c r="Z28" s="30">
        <v>0</v>
      </c>
      <c r="AA28" s="32">
        <v>0</v>
      </c>
      <c r="AB28" s="30">
        <v>0</v>
      </c>
      <c r="AC28" s="30">
        <v>0</v>
      </c>
      <c r="AD28" s="33">
        <v>0</v>
      </c>
      <c r="AE28" s="30">
        <v>0</v>
      </c>
      <c r="AF28" s="30">
        <v>0</v>
      </c>
      <c r="AG28" s="30">
        <v>0</v>
      </c>
      <c r="AH28" s="30">
        <v>0</v>
      </c>
      <c r="AI28" s="32">
        <v>0</v>
      </c>
      <c r="AJ28" s="30">
        <v>0</v>
      </c>
      <c r="AK28" s="30">
        <v>0</v>
      </c>
      <c r="AL28" s="33">
        <v>0</v>
      </c>
      <c r="AM28" s="32">
        <v>0</v>
      </c>
      <c r="AN28" s="30">
        <v>0</v>
      </c>
      <c r="AO28" s="30">
        <v>0</v>
      </c>
      <c r="AP28" s="33">
        <v>0</v>
      </c>
      <c r="AQ28" s="32">
        <v>0</v>
      </c>
      <c r="AR28" s="30">
        <v>0</v>
      </c>
      <c r="AS28" s="30">
        <v>0</v>
      </c>
      <c r="AT28" s="33">
        <v>0</v>
      </c>
      <c r="AU28" s="32">
        <v>0</v>
      </c>
      <c r="AV28" s="30">
        <v>0</v>
      </c>
      <c r="AW28" s="30">
        <v>0</v>
      </c>
      <c r="AX28" s="33">
        <v>0</v>
      </c>
      <c r="AY28" s="32">
        <v>0</v>
      </c>
      <c r="AZ28" s="30">
        <v>0</v>
      </c>
      <c r="BA28" s="30">
        <v>0</v>
      </c>
      <c r="BB28" s="33">
        <v>0</v>
      </c>
      <c r="BC28" s="294">
        <f t="shared" si="94"/>
        <v>0</v>
      </c>
      <c r="BD28" s="53">
        <f t="shared" si="95"/>
        <v>0</v>
      </c>
      <c r="BE28" s="73">
        <f t="shared" si="96"/>
        <v>0</v>
      </c>
      <c r="BF28" s="238">
        <f t="shared" si="97"/>
        <v>0</v>
      </c>
      <c r="BG28" s="294">
        <f t="shared" si="98"/>
        <v>0</v>
      </c>
      <c r="BH28" s="53">
        <f t="shared" si="99"/>
        <v>0</v>
      </c>
      <c r="BI28" s="73">
        <f t="shared" si="100"/>
        <v>0</v>
      </c>
      <c r="BJ28" s="238">
        <f t="shared" si="101"/>
        <v>0</v>
      </c>
      <c r="BK28" s="294">
        <f t="shared" si="102"/>
        <v>0</v>
      </c>
      <c r="BL28" s="53">
        <f t="shared" si="103"/>
        <v>0</v>
      </c>
      <c r="BM28" s="73">
        <f t="shared" si="104"/>
        <v>0</v>
      </c>
      <c r="BN28" s="238">
        <f t="shared" si="105"/>
        <v>0</v>
      </c>
      <c r="BO28" s="131"/>
      <c r="BP28" s="53">
        <f t="shared" si="66"/>
        <v>0</v>
      </c>
      <c r="BQ28" s="53">
        <f t="shared" si="67"/>
        <v>0</v>
      </c>
      <c r="BR28" s="53">
        <f t="shared" si="68"/>
        <v>0</v>
      </c>
      <c r="BS28" s="53">
        <f t="shared" si="69"/>
        <v>0</v>
      </c>
      <c r="BT28" s="53">
        <f t="shared" si="70"/>
        <v>0</v>
      </c>
      <c r="BU28" s="53">
        <f t="shared" si="71"/>
        <v>0</v>
      </c>
      <c r="BV28" s="53">
        <f t="shared" si="72"/>
        <v>0</v>
      </c>
      <c r="BW28" s="53">
        <f t="shared" si="73"/>
        <v>0</v>
      </c>
      <c r="BX28" s="53">
        <f t="shared" si="74"/>
        <v>0</v>
      </c>
      <c r="BY28" s="53">
        <f t="shared" si="75"/>
        <v>0</v>
      </c>
      <c r="BZ28" s="53">
        <f t="shared" si="76"/>
        <v>0</v>
      </c>
      <c r="CA28" s="501">
        <f t="shared" si="77"/>
        <v>0</v>
      </c>
      <c r="CB28" s="501">
        <f t="shared" si="78"/>
        <v>0</v>
      </c>
      <c r="CC28" s="501">
        <f t="shared" si="91"/>
        <v>0</v>
      </c>
      <c r="CD28" s="501">
        <f t="shared" si="28"/>
        <v>0</v>
      </c>
      <c r="CE28" s="501">
        <f t="shared" si="29"/>
        <v>0</v>
      </c>
      <c r="CF28" s="9"/>
      <c r="CG28" s="9"/>
      <c r="CH28" s="9"/>
      <c r="CL28" s="8"/>
      <c r="CZ28"/>
      <c r="DA28"/>
      <c r="DB28"/>
      <c r="DC28"/>
      <c r="DD28"/>
      <c r="DE28"/>
    </row>
    <row r="29" spans="1:109" s="5" customFormat="1">
      <c r="B29" s="8"/>
      <c r="C29" s="32"/>
      <c r="D29" s="30"/>
      <c r="E29" s="30"/>
      <c r="F29" s="33"/>
      <c r="G29" s="30"/>
      <c r="H29" s="30"/>
      <c r="I29" s="30"/>
      <c r="J29" s="30"/>
      <c r="K29" s="32"/>
      <c r="L29" s="30"/>
      <c r="M29" s="30"/>
      <c r="N29" s="33"/>
      <c r="O29" s="30"/>
      <c r="P29" s="30"/>
      <c r="Q29" s="30"/>
      <c r="R29" s="30"/>
      <c r="S29" s="32"/>
      <c r="T29" s="30"/>
      <c r="U29" s="30"/>
      <c r="V29" s="33"/>
      <c r="W29" s="30"/>
      <c r="X29" s="30"/>
      <c r="Y29" s="30"/>
      <c r="Z29" s="30"/>
      <c r="AA29" s="32"/>
      <c r="AB29" s="30"/>
      <c r="AC29" s="30"/>
      <c r="AD29" s="33"/>
      <c r="AE29" s="30"/>
      <c r="AF29" s="30"/>
      <c r="AG29" s="30"/>
      <c r="AH29" s="30"/>
      <c r="AI29" s="32"/>
      <c r="AJ29" s="30"/>
      <c r="AK29" s="30"/>
      <c r="AL29" s="33"/>
      <c r="AM29" s="32"/>
      <c r="AN29" s="30"/>
      <c r="AO29" s="30"/>
      <c r="AP29" s="33"/>
      <c r="AQ29" s="32"/>
      <c r="AR29" s="30"/>
      <c r="AS29" s="30"/>
      <c r="AT29" s="33"/>
      <c r="AU29" s="32"/>
      <c r="AV29" s="30"/>
      <c r="AW29" s="30"/>
      <c r="AX29" s="33"/>
      <c r="AY29" s="32"/>
      <c r="AZ29" s="30"/>
      <c r="BA29" s="30"/>
      <c r="BB29" s="33"/>
      <c r="BC29" s="294"/>
      <c r="BD29" s="53"/>
      <c r="BE29" s="73"/>
      <c r="BF29" s="238"/>
      <c r="BG29" s="294"/>
      <c r="BH29" s="53"/>
      <c r="BI29" s="73"/>
      <c r="BJ29" s="238"/>
      <c r="BK29" s="294"/>
      <c r="BL29" s="53"/>
      <c r="BM29" s="73"/>
      <c r="BN29" s="238"/>
      <c r="BO29" s="131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C29" s="925"/>
      <c r="CD29" s="925"/>
      <c r="CE29" s="925"/>
      <c r="CF29" s="9"/>
      <c r="CG29" s="9"/>
      <c r="CH29" s="9"/>
      <c r="CZ29"/>
      <c r="DA29"/>
      <c r="DB29"/>
      <c r="DC29"/>
      <c r="DD29"/>
      <c r="DE29"/>
    </row>
    <row r="30" spans="1:109" s="5" customFormat="1" outlineLevel="1">
      <c r="B30" s="11" t="s">
        <v>37</v>
      </c>
      <c r="C30" s="32"/>
      <c r="D30" s="30"/>
      <c r="E30" s="30"/>
      <c r="F30" s="33"/>
      <c r="G30" s="30"/>
      <c r="H30" s="30"/>
      <c r="I30" s="30"/>
      <c r="J30" s="30"/>
      <c r="K30" s="32"/>
      <c r="L30" s="30"/>
      <c r="M30" s="30"/>
      <c r="N30" s="33"/>
      <c r="O30" s="30"/>
      <c r="P30" s="30"/>
      <c r="Q30" s="30"/>
      <c r="R30" s="30"/>
      <c r="S30" s="32"/>
      <c r="T30" s="30"/>
      <c r="U30" s="30"/>
      <c r="V30" s="33"/>
      <c r="W30" s="30"/>
      <c r="X30" s="30"/>
      <c r="Y30" s="30"/>
      <c r="Z30" s="30"/>
      <c r="AA30" s="32"/>
      <c r="AB30" s="30"/>
      <c r="AC30" s="30"/>
      <c r="AD30" s="33"/>
      <c r="AE30" s="30"/>
      <c r="AF30" s="30"/>
      <c r="AG30" s="30"/>
      <c r="AH30" s="30"/>
      <c r="AI30" s="32"/>
      <c r="AJ30" s="30"/>
      <c r="AK30" s="30"/>
      <c r="AL30" s="33"/>
      <c r="AM30" s="32"/>
      <c r="AN30" s="30"/>
      <c r="AO30" s="30"/>
      <c r="AP30" s="33"/>
      <c r="AQ30" s="32"/>
      <c r="AR30" s="30"/>
      <c r="AS30" s="30"/>
      <c r="AT30" s="33"/>
      <c r="AU30" s="32"/>
      <c r="AV30" s="30"/>
      <c r="AW30" s="30"/>
      <c r="AX30" s="33"/>
      <c r="AY30" s="32"/>
      <c r="AZ30" s="30"/>
      <c r="BA30" s="30"/>
      <c r="BB30" s="33"/>
      <c r="BC30" s="294"/>
      <c r="BD30" s="53"/>
      <c r="BE30" s="73"/>
      <c r="BF30" s="238"/>
      <c r="BG30" s="294"/>
      <c r="BH30" s="53"/>
      <c r="BI30" s="73"/>
      <c r="BJ30" s="238"/>
      <c r="BK30" s="294"/>
      <c r="BL30" s="53"/>
      <c r="BM30" s="73"/>
      <c r="BN30" s="238"/>
      <c r="BO30" s="131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C30" s="925"/>
      <c r="CD30" s="925"/>
      <c r="CE30" s="925"/>
      <c r="CF30" s="9"/>
      <c r="CG30" s="9"/>
      <c r="CH30" s="9"/>
      <c r="CZ30"/>
      <c r="DA30"/>
      <c r="DB30"/>
      <c r="DC30"/>
      <c r="DD30"/>
      <c r="DE30"/>
    </row>
    <row r="31" spans="1:109" s="5" customFormat="1" outlineLevel="1">
      <c r="B31" s="8" t="s">
        <v>33</v>
      </c>
      <c r="C31" s="32">
        <v>0</v>
      </c>
      <c r="D31" s="30">
        <v>0</v>
      </c>
      <c r="E31" s="30">
        <v>0</v>
      </c>
      <c r="F31" s="33">
        <v>0</v>
      </c>
      <c r="G31" s="30">
        <v>0</v>
      </c>
      <c r="H31" s="30">
        <v>0</v>
      </c>
      <c r="I31" s="30">
        <v>0</v>
      </c>
      <c r="J31" s="30">
        <v>0</v>
      </c>
      <c r="K31" s="32">
        <v>0</v>
      </c>
      <c r="L31" s="30">
        <v>0</v>
      </c>
      <c r="M31" s="30">
        <v>0</v>
      </c>
      <c r="N31" s="33">
        <v>0</v>
      </c>
      <c r="O31" s="30">
        <v>0</v>
      </c>
      <c r="P31" s="30">
        <v>0</v>
      </c>
      <c r="Q31" s="30">
        <v>0</v>
      </c>
      <c r="R31" s="30">
        <v>0</v>
      </c>
      <c r="S31" s="32">
        <v>0</v>
      </c>
      <c r="T31" s="30">
        <v>0</v>
      </c>
      <c r="U31" s="30">
        <v>0</v>
      </c>
      <c r="V31" s="33">
        <v>0</v>
      </c>
      <c r="W31" s="30">
        <v>0</v>
      </c>
      <c r="X31" s="30">
        <v>0</v>
      </c>
      <c r="Y31" s="30">
        <v>0</v>
      </c>
      <c r="Z31" s="30">
        <v>0</v>
      </c>
      <c r="AA31" s="32">
        <v>0</v>
      </c>
      <c r="AB31" s="30">
        <v>0</v>
      </c>
      <c r="AC31" s="30">
        <v>0</v>
      </c>
      <c r="AD31" s="33">
        <v>0</v>
      </c>
      <c r="AE31" s="30">
        <v>0</v>
      </c>
      <c r="AF31" s="30">
        <v>0</v>
      </c>
      <c r="AG31" s="30">
        <v>0</v>
      </c>
      <c r="AH31" s="30">
        <v>0</v>
      </c>
      <c r="AI31" s="32">
        <v>0</v>
      </c>
      <c r="AJ31" s="30">
        <v>0</v>
      </c>
      <c r="AK31" s="30">
        <v>0</v>
      </c>
      <c r="AL31" s="33">
        <v>0</v>
      </c>
      <c r="AM31" s="32">
        <v>0</v>
      </c>
      <c r="AN31" s="30">
        <v>0</v>
      </c>
      <c r="AO31" s="30">
        <v>0</v>
      </c>
      <c r="AP31" s="33">
        <v>0</v>
      </c>
      <c r="AQ31" s="32">
        <v>0</v>
      </c>
      <c r="AR31" s="30">
        <v>0</v>
      </c>
      <c r="AS31" s="30">
        <v>0</v>
      </c>
      <c r="AT31" s="33">
        <v>0</v>
      </c>
      <c r="AU31" s="32">
        <v>0</v>
      </c>
      <c r="AV31" s="30">
        <v>0</v>
      </c>
      <c r="AW31" s="30">
        <v>0</v>
      </c>
      <c r="AX31" s="33">
        <v>0</v>
      </c>
      <c r="AY31" s="32">
        <v>0</v>
      </c>
      <c r="AZ31" s="30">
        <v>0</v>
      </c>
      <c r="BA31" s="30">
        <v>0</v>
      </c>
      <c r="BB31" s="33">
        <v>0</v>
      </c>
      <c r="BC31" s="294">
        <f t="shared" ref="BC31:BC32" si="106">BB31</f>
        <v>0</v>
      </c>
      <c r="BD31" s="53">
        <f t="shared" ref="BD31:BD32" si="107">BC31</f>
        <v>0</v>
      </c>
      <c r="BE31" s="73">
        <f t="shared" ref="BE31:BE32" si="108">BD31</f>
        <v>0</v>
      </c>
      <c r="BF31" s="238">
        <f t="shared" ref="BF31:BF32" si="109">BE31</f>
        <v>0</v>
      </c>
      <c r="BG31" s="294">
        <f t="shared" ref="BG31:BG32" si="110">BF31</f>
        <v>0</v>
      </c>
      <c r="BH31" s="53">
        <f t="shared" ref="BH31:BH32" si="111">BG31</f>
        <v>0</v>
      </c>
      <c r="BI31" s="73">
        <f t="shared" ref="BI31:BI32" si="112">BH31</f>
        <v>0</v>
      </c>
      <c r="BJ31" s="238">
        <f t="shared" ref="BJ31:BJ32" si="113">BI31</f>
        <v>0</v>
      </c>
      <c r="BK31" s="294">
        <f t="shared" ref="BK31:BK32" si="114">BJ31</f>
        <v>0</v>
      </c>
      <c r="BL31" s="53">
        <f t="shared" ref="BL31:BL32" si="115">BK31</f>
        <v>0</v>
      </c>
      <c r="BM31" s="73">
        <f t="shared" ref="BM31:BM32" si="116">BL31</f>
        <v>0</v>
      </c>
      <c r="BN31" s="238">
        <f t="shared" ref="BN31:BN32" si="117">BM31</f>
        <v>0</v>
      </c>
      <c r="BO31" s="131"/>
      <c r="BP31" s="53">
        <f t="shared" ref="BP31:BP38" si="118">F31</f>
        <v>0</v>
      </c>
      <c r="BQ31" s="53">
        <f t="shared" ref="BQ31:BQ38" si="119">J31</f>
        <v>0</v>
      </c>
      <c r="BR31" s="53">
        <f t="shared" ref="BR31:BR38" si="120">N31</f>
        <v>0</v>
      </c>
      <c r="BS31" s="53">
        <f t="shared" ref="BS31:BS38" si="121">R31</f>
        <v>0</v>
      </c>
      <c r="BT31" s="53">
        <f t="shared" ref="BT31:BT38" si="122">V31</f>
        <v>0</v>
      </c>
      <c r="BU31" s="53">
        <f t="shared" ref="BU31:BU38" si="123">Z31</f>
        <v>0</v>
      </c>
      <c r="BV31" s="53">
        <f t="shared" ref="BV31:BV38" si="124">AD31</f>
        <v>0</v>
      </c>
      <c r="BW31" s="53">
        <f t="shared" ref="BW31:BW38" si="125">AH31</f>
        <v>0</v>
      </c>
      <c r="BX31" s="53">
        <f t="shared" ref="BX31:BX38" si="126">AL31</f>
        <v>0</v>
      </c>
      <c r="BY31" s="53">
        <f t="shared" ref="BY31:BY38" si="127">AP31</f>
        <v>0</v>
      </c>
      <c r="BZ31" s="53"/>
      <c r="CA31" s="14"/>
      <c r="CB31" s="14"/>
      <c r="CC31" s="926"/>
      <c r="CD31" s="926"/>
      <c r="CE31" s="926"/>
      <c r="CF31" s="9"/>
      <c r="CG31" s="9"/>
      <c r="CH31" s="9"/>
      <c r="CZ31"/>
      <c r="DA31"/>
      <c r="DB31"/>
      <c r="DC31"/>
      <c r="DD31"/>
      <c r="DE31"/>
    </row>
    <row r="32" spans="1:109" s="5" customFormat="1" outlineLevel="1">
      <c r="B32" s="8" t="s">
        <v>34</v>
      </c>
      <c r="C32" s="32">
        <v>0.17299999999999999</v>
      </c>
      <c r="D32" s="30">
        <v>0.17399999999999999</v>
      </c>
      <c r="E32" s="30">
        <v>0.17799999999999999</v>
      </c>
      <c r="F32" s="33">
        <v>0.36</v>
      </c>
      <c r="G32" s="30">
        <v>0.371</v>
      </c>
      <c r="H32" s="30">
        <v>0.373</v>
      </c>
      <c r="I32" s="30">
        <v>0.38</v>
      </c>
      <c r="J32" s="30">
        <v>0.58299999999999996</v>
      </c>
      <c r="K32" s="32">
        <v>0.39300000000000002</v>
      </c>
      <c r="L32" s="30">
        <v>0.40200000000000002</v>
      </c>
      <c r="M32" s="30">
        <v>0.61499999999999999</v>
      </c>
      <c r="N32" s="33">
        <v>0.61899999999999999</v>
      </c>
      <c r="O32" s="30">
        <v>0.623</v>
      </c>
      <c r="P32" s="30">
        <v>0.625</v>
      </c>
      <c r="Q32" s="30">
        <v>0.629</v>
      </c>
      <c r="R32" s="30">
        <v>0.629</v>
      </c>
      <c r="S32" s="32">
        <v>0.63600000000000001</v>
      </c>
      <c r="T32" s="30">
        <v>0.63800000000000001</v>
      </c>
      <c r="U32" s="30">
        <v>0.64600000000000002</v>
      </c>
      <c r="V32" s="33">
        <v>0.65300000000000002</v>
      </c>
      <c r="W32" s="30">
        <v>0.66300000000000003</v>
      </c>
      <c r="X32" s="30">
        <v>0.66500000000000004</v>
      </c>
      <c r="Y32" s="30">
        <v>0.67100000000000004</v>
      </c>
      <c r="Z32" s="30">
        <v>0.67700000000000005</v>
      </c>
      <c r="AA32" s="32">
        <v>0.68799999999999994</v>
      </c>
      <c r="AB32" s="30">
        <v>0.69099999999999995</v>
      </c>
      <c r="AC32" s="30">
        <v>0.69799999999999995</v>
      </c>
      <c r="AD32" s="33">
        <v>0.7</v>
      </c>
      <c r="AE32" s="30">
        <v>0.70699999999999996</v>
      </c>
      <c r="AF32" s="30">
        <v>0.71299999999999997</v>
      </c>
      <c r="AG32" s="30">
        <v>0.71899999999999997</v>
      </c>
      <c r="AH32" s="30">
        <v>0.72</v>
      </c>
      <c r="AI32" s="32">
        <v>0.72499999999999998</v>
      </c>
      <c r="AJ32" s="30">
        <v>0.72599999999999998</v>
      </c>
      <c r="AK32" s="30">
        <v>0.73199999999999998</v>
      </c>
      <c r="AL32" s="33">
        <v>0.73199999999999998</v>
      </c>
      <c r="AM32" s="32">
        <v>0.74299999999999999</v>
      </c>
      <c r="AN32" s="30">
        <v>0.74399999999999999</v>
      </c>
      <c r="AO32" s="30">
        <v>0.752</v>
      </c>
      <c r="AP32" s="33">
        <v>0.754</v>
      </c>
      <c r="AQ32" s="32">
        <v>1</v>
      </c>
      <c r="AR32" s="30">
        <v>1</v>
      </c>
      <c r="AS32" s="30">
        <v>1</v>
      </c>
      <c r="AT32" s="33">
        <v>1</v>
      </c>
      <c r="AU32" s="32">
        <v>1</v>
      </c>
      <c r="AV32" s="30">
        <v>1</v>
      </c>
      <c r="AW32" s="30">
        <v>1</v>
      </c>
      <c r="AX32" s="33">
        <v>1</v>
      </c>
      <c r="AY32" s="32">
        <v>1</v>
      </c>
      <c r="AZ32" s="30">
        <v>1</v>
      </c>
      <c r="BA32" s="30">
        <v>1</v>
      </c>
      <c r="BB32" s="33">
        <v>1</v>
      </c>
      <c r="BC32" s="294">
        <f t="shared" si="106"/>
        <v>1</v>
      </c>
      <c r="BD32" s="53">
        <f t="shared" si="107"/>
        <v>1</v>
      </c>
      <c r="BE32" s="73">
        <f t="shared" si="108"/>
        <v>1</v>
      </c>
      <c r="BF32" s="238">
        <f t="shared" si="109"/>
        <v>1</v>
      </c>
      <c r="BG32" s="294">
        <f t="shared" si="110"/>
        <v>1</v>
      </c>
      <c r="BH32" s="53">
        <f t="shared" si="111"/>
        <v>1</v>
      </c>
      <c r="BI32" s="73">
        <f t="shared" si="112"/>
        <v>1</v>
      </c>
      <c r="BJ32" s="238">
        <f t="shared" si="113"/>
        <v>1</v>
      </c>
      <c r="BK32" s="294">
        <f t="shared" si="114"/>
        <v>1</v>
      </c>
      <c r="BL32" s="53">
        <f t="shared" si="115"/>
        <v>1</v>
      </c>
      <c r="BM32" s="73">
        <f t="shared" si="116"/>
        <v>1</v>
      </c>
      <c r="BN32" s="238">
        <f t="shared" si="117"/>
        <v>1</v>
      </c>
      <c r="BO32" s="131"/>
      <c r="BP32" s="53">
        <f t="shared" si="118"/>
        <v>0.36</v>
      </c>
      <c r="BQ32" s="53">
        <f t="shared" si="119"/>
        <v>0.58299999999999996</v>
      </c>
      <c r="BR32" s="53">
        <f t="shared" si="120"/>
        <v>0.61899999999999999</v>
      </c>
      <c r="BS32" s="53">
        <f t="shared" si="121"/>
        <v>0.629</v>
      </c>
      <c r="BT32" s="53">
        <f t="shared" si="122"/>
        <v>0.65300000000000002</v>
      </c>
      <c r="BU32" s="53">
        <f t="shared" si="123"/>
        <v>0.67700000000000005</v>
      </c>
      <c r="BV32" s="53">
        <f t="shared" si="124"/>
        <v>0.7</v>
      </c>
      <c r="BW32" s="53">
        <f t="shared" si="125"/>
        <v>0.72</v>
      </c>
      <c r="BX32" s="53">
        <f t="shared" si="126"/>
        <v>0.73199999999999998</v>
      </c>
      <c r="BY32" s="53">
        <f t="shared" si="127"/>
        <v>0.754</v>
      </c>
      <c r="BZ32" s="53">
        <f t="shared" ref="BZ32:BZ38" si="128">AT32</f>
        <v>1</v>
      </c>
      <c r="CA32" s="501">
        <f t="shared" ref="CA32:CA38" si="129">AX32</f>
        <v>1</v>
      </c>
      <c r="CB32" s="501">
        <f t="shared" ref="CB32:CB38" si="130">BB32</f>
        <v>1</v>
      </c>
      <c r="CC32" s="501">
        <f t="shared" ref="CC32:CC38" si="131">BF32</f>
        <v>1</v>
      </c>
      <c r="CD32" s="501">
        <f t="shared" ref="CD32:CD38" si="132">BJ32</f>
        <v>1</v>
      </c>
      <c r="CE32" s="501">
        <f t="shared" ref="CE32:CE38" si="133">BN32</f>
        <v>1</v>
      </c>
      <c r="CF32" s="9"/>
      <c r="CG32" s="9"/>
      <c r="CH32" s="9"/>
      <c r="CZ32"/>
      <c r="DA32"/>
      <c r="DB32"/>
      <c r="DC32"/>
      <c r="DD32"/>
      <c r="DE32"/>
    </row>
    <row r="33" spans="1:109" s="5" customFormat="1" outlineLevel="1">
      <c r="B33" s="8" t="s">
        <v>24</v>
      </c>
      <c r="C33" s="32">
        <v>672.10199999999998</v>
      </c>
      <c r="D33" s="30">
        <v>691.91399999999999</v>
      </c>
      <c r="E33" s="30">
        <v>740.66499999999996</v>
      </c>
      <c r="F33" s="33">
        <v>965.60400000000004</v>
      </c>
      <c r="G33" s="30">
        <v>907.09699999999998</v>
      </c>
      <c r="H33" s="30">
        <v>1117.1210000000001</v>
      </c>
      <c r="I33" s="30">
        <v>1200.723</v>
      </c>
      <c r="J33" s="30">
        <v>1295.4549999999999</v>
      </c>
      <c r="K33" s="32">
        <v>1377.5129999999999</v>
      </c>
      <c r="L33" s="30">
        <v>1493.24</v>
      </c>
      <c r="M33" s="30">
        <v>1598.2909999999999</v>
      </c>
      <c r="N33" s="33">
        <v>1654.681</v>
      </c>
      <c r="O33" s="30">
        <v>1727.519</v>
      </c>
      <c r="P33" s="30">
        <v>1776.6980000000001</v>
      </c>
      <c r="Q33" s="30">
        <v>1841.85</v>
      </c>
      <c r="R33" s="30">
        <v>1889.2570000000001</v>
      </c>
      <c r="S33" s="32">
        <v>2013.7460000000001</v>
      </c>
      <c r="T33" s="30">
        <v>2043.84</v>
      </c>
      <c r="U33" s="30">
        <v>2111.5059999999999</v>
      </c>
      <c r="V33" s="33">
        <v>2219.4009999999998</v>
      </c>
      <c r="W33" s="30">
        <v>2288.989</v>
      </c>
      <c r="X33" s="30">
        <v>2329.4560000000001</v>
      </c>
      <c r="Y33" s="30">
        <v>2386.2570000000001</v>
      </c>
      <c r="Z33" s="30">
        <v>2500.5770000000002</v>
      </c>
      <c r="AA33" s="32">
        <v>2638.5309999999999</v>
      </c>
      <c r="AB33" s="30">
        <v>2725.317</v>
      </c>
      <c r="AC33" s="30">
        <v>2846.2660000000001</v>
      </c>
      <c r="AD33" s="33">
        <v>2900.8960000000002</v>
      </c>
      <c r="AE33" s="30">
        <v>2994.5070000000001</v>
      </c>
      <c r="AF33" s="30">
        <v>3040.9789999999998</v>
      </c>
      <c r="AG33" s="30">
        <v>3114.9949999999999</v>
      </c>
      <c r="AH33" s="30">
        <v>3193.623</v>
      </c>
      <c r="AI33" s="32">
        <v>3273.23</v>
      </c>
      <c r="AJ33" s="30">
        <v>3104.5010000000002</v>
      </c>
      <c r="AK33" s="30">
        <v>3407.8890000000001</v>
      </c>
      <c r="AL33" s="33">
        <v>3483.3420000000001</v>
      </c>
      <c r="AM33" s="32">
        <v>3492.14</v>
      </c>
      <c r="AN33" s="30">
        <v>3682.7420000000002</v>
      </c>
      <c r="AO33" s="30">
        <v>3783.0990000000002</v>
      </c>
      <c r="AP33" s="33">
        <v>3855.0920000000001</v>
      </c>
      <c r="AQ33" s="32">
        <v>3986</v>
      </c>
      <c r="AR33" s="30">
        <v>3938</v>
      </c>
      <c r="AS33" s="30">
        <v>4177</v>
      </c>
      <c r="AT33" s="33">
        <v>4170</v>
      </c>
      <c r="AU33" s="32">
        <v>4218</v>
      </c>
      <c r="AV33" s="30">
        <v>4408</v>
      </c>
      <c r="AW33" s="30">
        <v>4408</v>
      </c>
      <c r="AX33" s="33">
        <v>4708</v>
      </c>
      <c r="AY33" s="32">
        <v>4936</v>
      </c>
      <c r="AZ33" s="30">
        <v>5048</v>
      </c>
      <c r="BA33" s="30">
        <v>5219</v>
      </c>
      <c r="BB33" s="33">
        <v>5351</v>
      </c>
      <c r="BC33" s="294">
        <f>BB33+CF!BC10</f>
        <v>5483</v>
      </c>
      <c r="BD33" s="53">
        <f>BC33+CF!BD10</f>
        <v>5615</v>
      </c>
      <c r="BE33" s="73">
        <f>BD33+CF!BE10</f>
        <v>5747</v>
      </c>
      <c r="BF33" s="238">
        <f>BE33+CF!BF10</f>
        <v>5879</v>
      </c>
      <c r="BG33" s="294">
        <f>BF33+CF!BG10</f>
        <v>6011</v>
      </c>
      <c r="BH33" s="53">
        <f>BG33+CF!BH10</f>
        <v>6143</v>
      </c>
      <c r="BI33" s="73">
        <f>BH33+CF!BI10</f>
        <v>6275</v>
      </c>
      <c r="BJ33" s="238">
        <f>BI33+CF!BJ10</f>
        <v>6407</v>
      </c>
      <c r="BK33" s="294">
        <f>BJ33+CF!BK10</f>
        <v>6539</v>
      </c>
      <c r="BL33" s="53">
        <f>BK33+CF!BL10</f>
        <v>6671</v>
      </c>
      <c r="BM33" s="73">
        <f>BL33+CF!BM10</f>
        <v>6803</v>
      </c>
      <c r="BN33" s="238">
        <f>BM33+CF!BN10</f>
        <v>6935</v>
      </c>
      <c r="BO33" s="131"/>
      <c r="BP33" s="53">
        <f t="shared" si="118"/>
        <v>965.60400000000004</v>
      </c>
      <c r="BQ33" s="53">
        <f t="shared" si="119"/>
        <v>1295.4549999999999</v>
      </c>
      <c r="BR33" s="53">
        <f t="shared" si="120"/>
        <v>1654.681</v>
      </c>
      <c r="BS33" s="53">
        <f t="shared" si="121"/>
        <v>1889.2570000000001</v>
      </c>
      <c r="BT33" s="53">
        <f t="shared" si="122"/>
        <v>2219.4009999999998</v>
      </c>
      <c r="BU33" s="53">
        <f t="shared" si="123"/>
        <v>2500.5770000000002</v>
      </c>
      <c r="BV33" s="53">
        <f t="shared" si="124"/>
        <v>2900.8960000000002</v>
      </c>
      <c r="BW33" s="53">
        <f t="shared" si="125"/>
        <v>3193.623</v>
      </c>
      <c r="BX33" s="53">
        <f t="shared" si="126"/>
        <v>3483.3420000000001</v>
      </c>
      <c r="BY33" s="53">
        <f t="shared" si="127"/>
        <v>3855.0920000000001</v>
      </c>
      <c r="BZ33" s="53">
        <f t="shared" si="128"/>
        <v>4170</v>
      </c>
      <c r="CA33" s="501">
        <f t="shared" si="129"/>
        <v>4708</v>
      </c>
      <c r="CB33" s="501">
        <f t="shared" si="130"/>
        <v>5351</v>
      </c>
      <c r="CC33" s="501">
        <f t="shared" si="131"/>
        <v>5879</v>
      </c>
      <c r="CD33" s="501">
        <f t="shared" si="132"/>
        <v>6407</v>
      </c>
      <c r="CE33" s="501">
        <f t="shared" si="133"/>
        <v>6935</v>
      </c>
      <c r="CF33" s="9"/>
      <c r="CG33" s="9"/>
      <c r="CH33" s="9"/>
      <c r="CI33" s="14"/>
      <c r="CZ33"/>
      <c r="DA33"/>
      <c r="DB33"/>
      <c r="DC33"/>
      <c r="DD33"/>
      <c r="DE33"/>
    </row>
    <row r="34" spans="1:109" s="5" customFormat="1" outlineLevel="1">
      <c r="B34" s="8" t="s">
        <v>35</v>
      </c>
      <c r="C34" s="32">
        <v>-72.099999999999994</v>
      </c>
      <c r="D34" s="30">
        <v>-122.142</v>
      </c>
      <c r="E34" s="30">
        <v>-162.142</v>
      </c>
      <c r="F34" s="33">
        <v>-212.142</v>
      </c>
      <c r="G34" s="30">
        <v>-262.142</v>
      </c>
      <c r="H34" s="30">
        <v>-387.12</v>
      </c>
      <c r="I34" s="30">
        <v>-387.12</v>
      </c>
      <c r="J34" s="30">
        <v>-487.12</v>
      </c>
      <c r="K34" s="32">
        <v>-612.12</v>
      </c>
      <c r="L34" s="30">
        <v>-736.50599999999997</v>
      </c>
      <c r="M34" s="30">
        <v>-861.54700000000003</v>
      </c>
      <c r="N34" s="33">
        <v>-1039.6320000000001</v>
      </c>
      <c r="O34" s="30">
        <v>-1163.528</v>
      </c>
      <c r="P34" s="30">
        <v>-1163.528</v>
      </c>
      <c r="Q34" s="30">
        <v>-1463.268</v>
      </c>
      <c r="R34" s="30">
        <v>-1463.268</v>
      </c>
      <c r="S34" s="32">
        <v>-1463.268</v>
      </c>
      <c r="T34" s="30">
        <v>-1463.268</v>
      </c>
      <c r="U34" s="30">
        <v>-1463.268</v>
      </c>
      <c r="V34" s="33">
        <v>-1463.268</v>
      </c>
      <c r="W34" s="30">
        <v>-1473.655</v>
      </c>
      <c r="X34" s="30">
        <v>-1473.6559999999999</v>
      </c>
      <c r="Y34" s="30">
        <v>-1479.3920000000001</v>
      </c>
      <c r="Z34" s="30">
        <v>-1479.3920000000001</v>
      </c>
      <c r="AA34" s="32">
        <v>-1487.079</v>
      </c>
      <c r="AB34" s="30">
        <v>-1487.0930000000001</v>
      </c>
      <c r="AC34" s="30">
        <v>-1496.904</v>
      </c>
      <c r="AD34" s="33">
        <v>-1496.904</v>
      </c>
      <c r="AE34" s="30">
        <v>-1509.088</v>
      </c>
      <c r="AF34" s="30">
        <v>-1509.087</v>
      </c>
      <c r="AG34" s="30">
        <v>-1522.7090000000001</v>
      </c>
      <c r="AH34" s="30">
        <v>-1622.7090000000001</v>
      </c>
      <c r="AI34" s="32">
        <v>-1737.0250000000001</v>
      </c>
      <c r="AJ34" s="30">
        <v>-2269.7660000000001</v>
      </c>
      <c r="AK34" s="30">
        <v>-2499.9899999999998</v>
      </c>
      <c r="AL34" s="33">
        <v>-2537.2950000000001</v>
      </c>
      <c r="AM34" s="32">
        <v>-2926.7890000000002</v>
      </c>
      <c r="AN34" s="30">
        <v>-3058.1489999999999</v>
      </c>
      <c r="AO34" s="30">
        <v>-3390.9850000000001</v>
      </c>
      <c r="AP34" s="33">
        <v>-3394.585</v>
      </c>
      <c r="AQ34" s="32">
        <v>-3476</v>
      </c>
      <c r="AR34" s="30">
        <v>-3765</v>
      </c>
      <c r="AS34" s="30">
        <v>-3917</v>
      </c>
      <c r="AT34" s="33">
        <v>-4048</v>
      </c>
      <c r="AU34" s="32">
        <v>-4508</v>
      </c>
      <c r="AV34" s="30">
        <v>-4608</v>
      </c>
      <c r="AW34" s="30">
        <v>-4608</v>
      </c>
      <c r="AX34" s="33">
        <v>-5039</v>
      </c>
      <c r="AY34" s="32">
        <v>-5297</v>
      </c>
      <c r="AZ34" s="30">
        <v>-6070</v>
      </c>
      <c r="BA34" s="30">
        <v>-6614</v>
      </c>
      <c r="BB34" s="33">
        <v>-6650</v>
      </c>
      <c r="BC34" s="294">
        <f>BB34+IS!BC90</f>
        <v>-6650</v>
      </c>
      <c r="BD34" s="53">
        <f>BC34+IS!BD90</f>
        <v>-6650</v>
      </c>
      <c r="BE34" s="73">
        <f>BD34+IS!BE90</f>
        <v>-6650</v>
      </c>
      <c r="BF34" s="238">
        <f>BE34+IS!BF90</f>
        <v>-6650</v>
      </c>
      <c r="BG34" s="294">
        <f>BF34+IS!BG90</f>
        <v>-6650</v>
      </c>
      <c r="BH34" s="53">
        <f>BG34+IS!BH90</f>
        <v>-6650</v>
      </c>
      <c r="BI34" s="73">
        <f>BH34+IS!BI90</f>
        <v>-6650</v>
      </c>
      <c r="BJ34" s="238">
        <f>BI34+IS!BJ90</f>
        <v>-6650</v>
      </c>
      <c r="BK34" s="294">
        <f>BJ34+IS!BK90</f>
        <v>-6650</v>
      </c>
      <c r="BL34" s="53">
        <f>BK34+IS!BL90</f>
        <v>-6650</v>
      </c>
      <c r="BM34" s="73">
        <f>BL34+IS!BM90</f>
        <v>-6650</v>
      </c>
      <c r="BN34" s="238">
        <f>BM34+IS!BN90</f>
        <v>-6650</v>
      </c>
      <c r="BO34" s="131"/>
      <c r="BP34" s="53">
        <f t="shared" si="118"/>
        <v>-212.142</v>
      </c>
      <c r="BQ34" s="53">
        <f t="shared" si="119"/>
        <v>-487.12</v>
      </c>
      <c r="BR34" s="53">
        <f t="shared" si="120"/>
        <v>-1039.6320000000001</v>
      </c>
      <c r="BS34" s="53">
        <f t="shared" si="121"/>
        <v>-1463.268</v>
      </c>
      <c r="BT34" s="53">
        <f t="shared" si="122"/>
        <v>-1463.268</v>
      </c>
      <c r="BU34" s="53">
        <f t="shared" si="123"/>
        <v>-1479.3920000000001</v>
      </c>
      <c r="BV34" s="53">
        <f t="shared" si="124"/>
        <v>-1496.904</v>
      </c>
      <c r="BW34" s="53">
        <f t="shared" si="125"/>
        <v>-1622.7090000000001</v>
      </c>
      <c r="BX34" s="53">
        <f t="shared" si="126"/>
        <v>-2537.2950000000001</v>
      </c>
      <c r="BY34" s="53">
        <f t="shared" si="127"/>
        <v>-3394.585</v>
      </c>
      <c r="BZ34" s="53">
        <f t="shared" si="128"/>
        <v>-4048</v>
      </c>
      <c r="CA34" s="73">
        <f t="shared" si="129"/>
        <v>-5039</v>
      </c>
      <c r="CB34" s="73">
        <f t="shared" si="130"/>
        <v>-6650</v>
      </c>
      <c r="CC34" s="73">
        <f t="shared" si="131"/>
        <v>-6650</v>
      </c>
      <c r="CD34" s="73">
        <f t="shared" si="132"/>
        <v>-6650</v>
      </c>
      <c r="CE34" s="73">
        <f t="shared" si="133"/>
        <v>-6650</v>
      </c>
      <c r="CF34" s="9"/>
      <c r="CG34" s="9"/>
      <c r="CH34" s="9"/>
      <c r="CZ34"/>
      <c r="DA34"/>
      <c r="DB34"/>
      <c r="DC34"/>
      <c r="DD34"/>
      <c r="DE34"/>
    </row>
    <row r="35" spans="1:109" s="5" customFormat="1" outlineLevel="1">
      <c r="B35" s="8" t="s">
        <v>25</v>
      </c>
      <c r="C35" s="32">
        <v>-6.5459999999999994</v>
      </c>
      <c r="D35" s="30">
        <v>-6.508</v>
      </c>
      <c r="E35" s="30">
        <v>-6.3079999999999998</v>
      </c>
      <c r="F35" s="33">
        <v>-5.5609999999999999</v>
      </c>
      <c r="G35" s="30">
        <v>-2.4510000000000001</v>
      </c>
      <c r="H35" s="30">
        <v>-2.3740000000000001</v>
      </c>
      <c r="I35" s="30">
        <v>-1.325</v>
      </c>
      <c r="J35" s="30">
        <v>1.4359999999999999</v>
      </c>
      <c r="K35" s="32">
        <v>1.284</v>
      </c>
      <c r="L35" s="30">
        <v>1.5860000000000001</v>
      </c>
      <c r="M35" s="30">
        <v>3.35</v>
      </c>
      <c r="N35" s="33">
        <v>8.0340000000000007</v>
      </c>
      <c r="O35" s="30">
        <v>1.5489999999999999</v>
      </c>
      <c r="P35" s="30">
        <v>-0.96599999999999997</v>
      </c>
      <c r="Q35" s="30">
        <v>-3.97</v>
      </c>
      <c r="R35" s="30">
        <v>3.8650000000000002</v>
      </c>
      <c r="S35" s="32">
        <v>4.931</v>
      </c>
      <c r="T35" s="30">
        <v>8.67</v>
      </c>
      <c r="U35" s="30">
        <v>9.6449999999999996</v>
      </c>
      <c r="V35" s="33">
        <v>12.172000000000001</v>
      </c>
      <c r="W35" s="30">
        <v>10.872</v>
      </c>
      <c r="X35" s="30">
        <v>11.234</v>
      </c>
      <c r="Y35" s="30">
        <v>12.667</v>
      </c>
      <c r="Z35" s="30">
        <v>10.272</v>
      </c>
      <c r="AA35" s="32">
        <v>11.121</v>
      </c>
      <c r="AB35" s="30">
        <v>14.433999999999999</v>
      </c>
      <c r="AC35" s="30">
        <v>8.9969999999999999</v>
      </c>
      <c r="AD35" s="33">
        <v>10.614000000000001</v>
      </c>
      <c r="AE35" s="30">
        <v>10.446999999999999</v>
      </c>
      <c r="AF35" s="30">
        <v>11.159000000000001</v>
      </c>
      <c r="AG35" s="30">
        <v>10.86</v>
      </c>
      <c r="AH35" s="30">
        <v>9.9809999999999999</v>
      </c>
      <c r="AI35" s="32">
        <v>10.292999999999999</v>
      </c>
      <c r="AJ35" s="30">
        <v>5.8970000000000002</v>
      </c>
      <c r="AK35" s="30">
        <v>5.8620000000000001</v>
      </c>
      <c r="AL35" s="33">
        <v>4.8769999999999998</v>
      </c>
      <c r="AM35" s="32">
        <v>6.3639999999999999</v>
      </c>
      <c r="AN35" s="30">
        <v>4.3780000000000001</v>
      </c>
      <c r="AO35" s="30">
        <v>9.7609999999999992</v>
      </c>
      <c r="AP35" s="33">
        <v>7.8440000000000003</v>
      </c>
      <c r="AQ35" s="32">
        <v>8</v>
      </c>
      <c r="AR35" s="30">
        <v>1</v>
      </c>
      <c r="AS35" s="30">
        <v>1</v>
      </c>
      <c r="AT35" s="33">
        <v>-4</v>
      </c>
      <c r="AU35" s="32">
        <v>1</v>
      </c>
      <c r="AV35" s="30">
        <v>4</v>
      </c>
      <c r="AW35" s="30">
        <v>4</v>
      </c>
      <c r="AX35" s="33">
        <v>-16</v>
      </c>
      <c r="AY35" s="32">
        <v>-14</v>
      </c>
      <c r="AZ35" s="30">
        <v>-12</v>
      </c>
      <c r="BA35" s="30">
        <v>-14</v>
      </c>
      <c r="BB35" s="33">
        <v>-18</v>
      </c>
      <c r="BC35" s="294">
        <f t="shared" ref="BC35" si="134">BB35</f>
        <v>-18</v>
      </c>
      <c r="BD35" s="53">
        <f t="shared" ref="BD35" si="135">BC35</f>
        <v>-18</v>
      </c>
      <c r="BE35" s="73">
        <f t="shared" ref="BE35" si="136">BD35</f>
        <v>-18</v>
      </c>
      <c r="BF35" s="238">
        <f t="shared" ref="BF35" si="137">BE35</f>
        <v>-18</v>
      </c>
      <c r="BG35" s="294">
        <f t="shared" ref="BG35" si="138">BF35</f>
        <v>-18</v>
      </c>
      <c r="BH35" s="53">
        <f t="shared" ref="BH35" si="139">BG35</f>
        <v>-18</v>
      </c>
      <c r="BI35" s="73">
        <f t="shared" ref="BI35" si="140">BH35</f>
        <v>-18</v>
      </c>
      <c r="BJ35" s="238">
        <f t="shared" ref="BJ35" si="141">BI35</f>
        <v>-18</v>
      </c>
      <c r="BK35" s="294">
        <f t="shared" ref="BK35" si="142">BJ35</f>
        <v>-18</v>
      </c>
      <c r="BL35" s="53">
        <f t="shared" ref="BL35" si="143">BK35</f>
        <v>-18</v>
      </c>
      <c r="BM35" s="73">
        <f t="shared" ref="BM35" si="144">BL35</f>
        <v>-18</v>
      </c>
      <c r="BN35" s="238">
        <f t="shared" ref="BN35" si="145">BM35</f>
        <v>-18</v>
      </c>
      <c r="BO35" s="131"/>
      <c r="BP35" s="53">
        <f t="shared" si="118"/>
        <v>-5.5609999999999999</v>
      </c>
      <c r="BQ35" s="53">
        <f t="shared" si="119"/>
        <v>1.4359999999999999</v>
      </c>
      <c r="BR35" s="53">
        <f t="shared" si="120"/>
        <v>8.0340000000000007</v>
      </c>
      <c r="BS35" s="53">
        <f t="shared" si="121"/>
        <v>3.8650000000000002</v>
      </c>
      <c r="BT35" s="53">
        <f t="shared" si="122"/>
        <v>12.172000000000001</v>
      </c>
      <c r="BU35" s="53">
        <f t="shared" si="123"/>
        <v>10.272</v>
      </c>
      <c r="BV35" s="53">
        <f t="shared" si="124"/>
        <v>10.614000000000001</v>
      </c>
      <c r="BW35" s="53">
        <f t="shared" si="125"/>
        <v>9.9809999999999999</v>
      </c>
      <c r="BX35" s="53">
        <f t="shared" si="126"/>
        <v>4.8769999999999998</v>
      </c>
      <c r="BY35" s="53">
        <f t="shared" si="127"/>
        <v>7.8440000000000003</v>
      </c>
      <c r="BZ35" s="53">
        <f t="shared" si="128"/>
        <v>-4</v>
      </c>
      <c r="CA35" s="501">
        <f t="shared" si="129"/>
        <v>-16</v>
      </c>
      <c r="CB35" s="501">
        <f t="shared" si="130"/>
        <v>-18</v>
      </c>
      <c r="CC35" s="501">
        <f t="shared" si="131"/>
        <v>-18</v>
      </c>
      <c r="CD35" s="501">
        <f t="shared" si="132"/>
        <v>-18</v>
      </c>
      <c r="CE35" s="501">
        <f t="shared" si="133"/>
        <v>-18</v>
      </c>
      <c r="CF35" s="9"/>
      <c r="CG35" s="9"/>
      <c r="CH35" s="9"/>
      <c r="CZ35"/>
      <c r="DA35"/>
      <c r="DB35"/>
      <c r="DC35"/>
      <c r="DD35"/>
      <c r="DE35"/>
    </row>
    <row r="36" spans="1:109" s="5" customFormat="1" outlineLevel="1">
      <c r="B36" s="8" t="s">
        <v>26</v>
      </c>
      <c r="C36" s="32">
        <v>636.95799999999997</v>
      </c>
      <c r="D36" s="30">
        <v>711.79499999999996</v>
      </c>
      <c r="E36" s="30">
        <v>777.048</v>
      </c>
      <c r="F36" s="33">
        <v>747.73099999999999</v>
      </c>
      <c r="G36" s="30">
        <v>965.77599999999995</v>
      </c>
      <c r="H36" s="30">
        <v>926.548</v>
      </c>
      <c r="I36" s="30">
        <v>1033.059</v>
      </c>
      <c r="J36" s="30">
        <v>1196.5650000000001</v>
      </c>
      <c r="K36" s="32">
        <v>1328.8240000000001</v>
      </c>
      <c r="L36" s="30">
        <v>1501.556</v>
      </c>
      <c r="M36" s="30">
        <v>1737.2170000000001</v>
      </c>
      <c r="N36" s="33">
        <v>1994.21</v>
      </c>
      <c r="O36" s="30">
        <v>2171.0149999999999</v>
      </c>
      <c r="P36" s="30">
        <v>2050.0859999999998</v>
      </c>
      <c r="Q36" s="30">
        <v>2111.8339999999998</v>
      </c>
      <c r="R36" s="30">
        <v>1964.1690000000001</v>
      </c>
      <c r="S36" s="32">
        <v>1762.8309999999999</v>
      </c>
      <c r="T36" s="30">
        <v>1657.529</v>
      </c>
      <c r="U36" s="30">
        <v>1765.106</v>
      </c>
      <c r="V36" s="33">
        <v>1896.182</v>
      </c>
      <c r="W36" s="30">
        <v>2033.7760000000001</v>
      </c>
      <c r="X36" s="30">
        <v>1892.8150000000001</v>
      </c>
      <c r="Y36" s="30">
        <v>1977.6769999999999</v>
      </c>
      <c r="Z36" s="30">
        <v>2149.328</v>
      </c>
      <c r="AA36" s="32">
        <v>2284.547</v>
      </c>
      <c r="AB36" s="30">
        <v>2436.12</v>
      </c>
      <c r="AC36" s="30">
        <v>2614.393</v>
      </c>
      <c r="AD36" s="33">
        <v>2730.4180000000001</v>
      </c>
      <c r="AE36" s="30">
        <v>2790.855</v>
      </c>
      <c r="AF36" s="30">
        <v>2909.9009999999998</v>
      </c>
      <c r="AG36" s="30">
        <v>3118.9810000000002</v>
      </c>
      <c r="AH36" s="30">
        <v>3246.0880000000002</v>
      </c>
      <c r="AI36" s="32">
        <v>3277.7130000000002</v>
      </c>
      <c r="AJ36" s="30">
        <v>3330.8150000000001</v>
      </c>
      <c r="AK36" s="30">
        <v>3406.154</v>
      </c>
      <c r="AL36" s="33">
        <v>3504.7420000000002</v>
      </c>
      <c r="AM36" s="32">
        <v>3594.527</v>
      </c>
      <c r="AN36" s="30">
        <v>3675.0709999999999</v>
      </c>
      <c r="AO36" s="30">
        <v>3801.9659999999999</v>
      </c>
      <c r="AP36" s="33">
        <v>3948.877</v>
      </c>
      <c r="AQ36" s="32">
        <v>4037</v>
      </c>
      <c r="AR36" s="30">
        <v>4010</v>
      </c>
      <c r="AS36" s="30">
        <v>4203</v>
      </c>
      <c r="AT36" s="33">
        <v>4350</v>
      </c>
      <c r="AU36" s="32">
        <v>4484</v>
      </c>
      <c r="AV36" s="30">
        <v>4675</v>
      </c>
      <c r="AW36" s="30">
        <v>5519</v>
      </c>
      <c r="AX36" s="33">
        <v>6108</v>
      </c>
      <c r="AY36" s="32">
        <v>6506</v>
      </c>
      <c r="AZ36" s="30">
        <v>7006</v>
      </c>
      <c r="BA36" s="30">
        <v>7760</v>
      </c>
      <c r="BB36" s="33">
        <v>8787</v>
      </c>
      <c r="BC36" s="294">
        <f>BB36+IS!BC33+IS!BC37</f>
        <v>9633.7716312550638</v>
      </c>
      <c r="BD36" s="53">
        <f>BC36+IS!BD33+IS!BD37</f>
        <v>10573.869836873222</v>
      </c>
      <c r="BE36" s="73">
        <f>BD36+IS!BE33+IS!BE37</f>
        <v>11615.086080005665</v>
      </c>
      <c r="BF36" s="238">
        <f>BE36+IS!BF33+IS!BF37</f>
        <v>12701.875088402467</v>
      </c>
      <c r="BG36" s="294">
        <f>BF36+IS!BG33+IS!BG37</f>
        <v>13643.163360035984</v>
      </c>
      <c r="BH36" s="53">
        <f>BG36+IS!BH33+IS!BH37</f>
        <v>14781.072838529553</v>
      </c>
      <c r="BI36" s="73">
        <f>BH36+IS!BI33+IS!BI37</f>
        <v>16061.622894521661</v>
      </c>
      <c r="BJ36" s="238">
        <f>BI36+IS!BJ33+IS!BJ37</f>
        <v>17366.225138910588</v>
      </c>
      <c r="BK36" s="294">
        <f>BJ36+IS!BK33+IS!BK37</f>
        <v>18531.732341648072</v>
      </c>
      <c r="BL36" s="53">
        <f>BK36+IS!BL33+IS!BL37</f>
        <v>19932.656614139756</v>
      </c>
      <c r="BM36" s="73">
        <f>BL36+IS!BM33+IS!BM37</f>
        <v>21487.881797464041</v>
      </c>
      <c r="BN36" s="238">
        <f>BM36+IS!BN33+IS!BN37</f>
        <v>23091.45731841381</v>
      </c>
      <c r="BO36" s="131"/>
      <c r="BP36" s="53">
        <f t="shared" si="118"/>
        <v>747.73099999999999</v>
      </c>
      <c r="BQ36" s="53">
        <f t="shared" si="119"/>
        <v>1196.5650000000001</v>
      </c>
      <c r="BR36" s="53">
        <f t="shared" si="120"/>
        <v>1994.21</v>
      </c>
      <c r="BS36" s="53">
        <f t="shared" si="121"/>
        <v>1964.1690000000001</v>
      </c>
      <c r="BT36" s="53">
        <f t="shared" si="122"/>
        <v>1896.182</v>
      </c>
      <c r="BU36" s="53">
        <f t="shared" si="123"/>
        <v>2149.328</v>
      </c>
      <c r="BV36" s="53">
        <f t="shared" si="124"/>
        <v>2730.4180000000001</v>
      </c>
      <c r="BW36" s="53">
        <f t="shared" si="125"/>
        <v>3246.0880000000002</v>
      </c>
      <c r="BX36" s="53">
        <f t="shared" si="126"/>
        <v>3504.7420000000002</v>
      </c>
      <c r="BY36" s="53">
        <f t="shared" si="127"/>
        <v>3948.877</v>
      </c>
      <c r="BZ36" s="53">
        <f t="shared" si="128"/>
        <v>4350</v>
      </c>
      <c r="CA36" s="73">
        <f t="shared" si="129"/>
        <v>6108</v>
      </c>
      <c r="CB36" s="73">
        <f t="shared" si="130"/>
        <v>8787</v>
      </c>
      <c r="CC36" s="73">
        <f t="shared" si="131"/>
        <v>12701.875088402467</v>
      </c>
      <c r="CD36" s="73">
        <f t="shared" si="132"/>
        <v>17366.225138910588</v>
      </c>
      <c r="CE36" s="73">
        <f t="shared" si="133"/>
        <v>23091.45731841381</v>
      </c>
      <c r="CF36" s="9"/>
      <c r="CG36" s="9"/>
      <c r="CH36" s="9"/>
      <c r="CL36" s="925"/>
      <c r="CZ36"/>
      <c r="DA36"/>
      <c r="DB36"/>
      <c r="DC36"/>
      <c r="DD36"/>
      <c r="DE36"/>
    </row>
    <row r="37" spans="1:109" s="9" customFormat="1">
      <c r="B37" s="276" t="s">
        <v>27</v>
      </c>
      <c r="C37" s="277">
        <v>1230.587</v>
      </c>
      <c r="D37" s="278">
        <v>1275.2329999999999</v>
      </c>
      <c r="E37" s="278">
        <v>1349.441</v>
      </c>
      <c r="F37" s="279">
        <v>1495.992</v>
      </c>
      <c r="G37" s="278">
        <v>1608.6510000000001</v>
      </c>
      <c r="H37" s="278">
        <v>1654.548</v>
      </c>
      <c r="I37" s="278">
        <v>1845.7170000000001</v>
      </c>
      <c r="J37" s="278">
        <v>2006.9190000000001</v>
      </c>
      <c r="K37" s="277">
        <v>2095.8939999999998</v>
      </c>
      <c r="L37" s="278">
        <v>2260.2779999999998</v>
      </c>
      <c r="M37" s="278">
        <v>2477.9259999999999</v>
      </c>
      <c r="N37" s="279">
        <v>2617.9119999999998</v>
      </c>
      <c r="O37" s="278">
        <v>2737.1779999999999</v>
      </c>
      <c r="P37" s="278">
        <v>2662.915</v>
      </c>
      <c r="Q37" s="278">
        <v>2487.0749999999998</v>
      </c>
      <c r="R37" s="278">
        <v>2394.652</v>
      </c>
      <c r="S37" s="277">
        <v>2318.8760000000002</v>
      </c>
      <c r="T37" s="278">
        <v>2247.4090000000001</v>
      </c>
      <c r="U37" s="278">
        <v>2423.6350000000002</v>
      </c>
      <c r="V37" s="279">
        <v>2665.14</v>
      </c>
      <c r="W37" s="278">
        <v>2860.645</v>
      </c>
      <c r="X37" s="278">
        <v>2760.5140000000001</v>
      </c>
      <c r="Y37" s="278">
        <v>2897.88</v>
      </c>
      <c r="Z37" s="278">
        <v>3181.462</v>
      </c>
      <c r="AA37" s="277">
        <v>3447.808</v>
      </c>
      <c r="AB37" s="278">
        <v>3689.4690000000001</v>
      </c>
      <c r="AC37" s="278">
        <v>3973.45</v>
      </c>
      <c r="AD37" s="279">
        <v>4145.7240000000002</v>
      </c>
      <c r="AE37" s="278">
        <v>4287.4279999999999</v>
      </c>
      <c r="AF37" s="278">
        <v>4453.665</v>
      </c>
      <c r="AG37" s="278">
        <v>4722.8459999999995</v>
      </c>
      <c r="AH37" s="278">
        <v>4827.7030000000004</v>
      </c>
      <c r="AI37" s="277">
        <v>4824.9359999999997</v>
      </c>
      <c r="AJ37" s="278">
        <v>4172.1729999999998</v>
      </c>
      <c r="AK37" s="278">
        <v>4320.6469999999999</v>
      </c>
      <c r="AL37" s="279">
        <v>4456.3980000000001</v>
      </c>
      <c r="AM37" s="277">
        <v>4166.9849999999997</v>
      </c>
      <c r="AN37" s="278">
        <v>4304.7860000000001</v>
      </c>
      <c r="AO37" s="278">
        <v>4204.5929999999998</v>
      </c>
      <c r="AP37" s="279">
        <v>4417.982</v>
      </c>
      <c r="AQ37" s="277">
        <v>4556</v>
      </c>
      <c r="AR37" s="278">
        <v>4185</v>
      </c>
      <c r="AS37" s="278">
        <v>4465</v>
      </c>
      <c r="AT37" s="279">
        <v>4469</v>
      </c>
      <c r="AU37" s="277">
        <v>4196</v>
      </c>
      <c r="AV37" s="278">
        <v>4480</v>
      </c>
      <c r="AW37" s="278">
        <v>5324</v>
      </c>
      <c r="AX37" s="279">
        <v>5762</v>
      </c>
      <c r="AY37" s="277">
        <v>6132</v>
      </c>
      <c r="AZ37" s="278">
        <v>5973</v>
      </c>
      <c r="BA37" s="278">
        <v>6352</v>
      </c>
      <c r="BB37" s="279">
        <v>7471</v>
      </c>
      <c r="BC37" s="394">
        <f t="shared" ref="BC37:BJ37" si="146">SUM(BC31:BC36)</f>
        <v>8449.7716312550638</v>
      </c>
      <c r="BD37" s="55">
        <f t="shared" si="146"/>
        <v>9521.8698368732221</v>
      </c>
      <c r="BE37" s="280">
        <f t="shared" si="146"/>
        <v>10695.086080005665</v>
      </c>
      <c r="BF37" s="281">
        <f t="shared" si="146"/>
        <v>11913.875088402467</v>
      </c>
      <c r="BG37" s="394">
        <f t="shared" si="146"/>
        <v>12987.163360035984</v>
      </c>
      <c r="BH37" s="55">
        <f t="shared" si="146"/>
        <v>14257.072838529553</v>
      </c>
      <c r="BI37" s="280">
        <f t="shared" si="146"/>
        <v>15669.622894521661</v>
      </c>
      <c r="BJ37" s="281">
        <f t="shared" si="146"/>
        <v>17106.225138910588</v>
      </c>
      <c r="BK37" s="394">
        <f t="shared" ref="BK37:BN37" si="147">SUM(BK31:BK36)</f>
        <v>18403.732341648072</v>
      </c>
      <c r="BL37" s="55">
        <f t="shared" si="147"/>
        <v>19936.656614139756</v>
      </c>
      <c r="BM37" s="280">
        <f t="shared" si="147"/>
        <v>21623.881797464041</v>
      </c>
      <c r="BN37" s="281">
        <f t="shared" si="147"/>
        <v>23359.45731841381</v>
      </c>
      <c r="BO37" s="131"/>
      <c r="BP37" s="55">
        <f t="shared" si="118"/>
        <v>1495.992</v>
      </c>
      <c r="BQ37" s="55">
        <f t="shared" si="119"/>
        <v>2006.9190000000001</v>
      </c>
      <c r="BR37" s="55">
        <f t="shared" si="120"/>
        <v>2617.9119999999998</v>
      </c>
      <c r="BS37" s="55">
        <f t="shared" si="121"/>
        <v>2394.652</v>
      </c>
      <c r="BT37" s="55">
        <f t="shared" si="122"/>
        <v>2665.14</v>
      </c>
      <c r="BU37" s="55">
        <f t="shared" si="123"/>
        <v>3181.462</v>
      </c>
      <c r="BV37" s="55">
        <f t="shared" si="124"/>
        <v>4145.7240000000002</v>
      </c>
      <c r="BW37" s="55">
        <f t="shared" si="125"/>
        <v>4827.7030000000004</v>
      </c>
      <c r="BX37" s="55">
        <f t="shared" si="126"/>
        <v>4456.3980000000001</v>
      </c>
      <c r="BY37" s="55">
        <f t="shared" si="127"/>
        <v>4417.982</v>
      </c>
      <c r="BZ37" s="55">
        <f t="shared" si="128"/>
        <v>4469</v>
      </c>
      <c r="CA37" s="280">
        <f t="shared" si="129"/>
        <v>5762</v>
      </c>
      <c r="CB37" s="280">
        <f t="shared" si="130"/>
        <v>7471</v>
      </c>
      <c r="CC37" s="280">
        <f t="shared" si="131"/>
        <v>11913.875088402467</v>
      </c>
      <c r="CD37" s="280">
        <f t="shared" si="132"/>
        <v>17106.225138910588</v>
      </c>
      <c r="CE37" s="280">
        <f t="shared" si="133"/>
        <v>23359.45731841381</v>
      </c>
      <c r="CL37" s="11"/>
      <c r="CZ37"/>
      <c r="DA37"/>
      <c r="DB37"/>
      <c r="DC37"/>
      <c r="DD37"/>
      <c r="DE37"/>
    </row>
    <row r="38" spans="1:109" s="9" customFormat="1">
      <c r="B38" s="276" t="s">
        <v>28</v>
      </c>
      <c r="C38" s="277">
        <v>1635.0940000000001</v>
      </c>
      <c r="D38" s="278">
        <v>1728.2180000000001</v>
      </c>
      <c r="E38" s="278">
        <v>1805.508</v>
      </c>
      <c r="F38" s="279">
        <v>1954.6869999999999</v>
      </c>
      <c r="G38" s="278">
        <v>2161.4530000000004</v>
      </c>
      <c r="H38" s="278">
        <v>2183.8290000000002</v>
      </c>
      <c r="I38" s="278">
        <v>2531.1530000000002</v>
      </c>
      <c r="J38" s="278">
        <v>2675.2629999999999</v>
      </c>
      <c r="K38" s="277">
        <v>2800.8679999999995</v>
      </c>
      <c r="L38" s="278">
        <v>3036.2669999999998</v>
      </c>
      <c r="M38" s="278">
        <v>3475.2629999999999</v>
      </c>
      <c r="N38" s="279">
        <v>3747.6709999999998</v>
      </c>
      <c r="O38" s="278">
        <v>3807.4580000000001</v>
      </c>
      <c r="P38" s="278">
        <v>3960.049</v>
      </c>
      <c r="Q38" s="278">
        <v>3648.8980000000001</v>
      </c>
      <c r="R38" s="278">
        <v>3350.7269999999999</v>
      </c>
      <c r="S38" s="277">
        <v>3178.7040000000002</v>
      </c>
      <c r="T38" s="278">
        <v>3298.4090000000001</v>
      </c>
      <c r="U38" s="278">
        <v>3463.5740000000001</v>
      </c>
      <c r="V38" s="279">
        <v>3585.9180000000001</v>
      </c>
      <c r="W38" s="278">
        <v>3803.03</v>
      </c>
      <c r="X38" s="278">
        <v>3731.268</v>
      </c>
      <c r="Y38" s="278">
        <v>3915.5790000000002</v>
      </c>
      <c r="Z38" s="278">
        <v>4495.2460000000001</v>
      </c>
      <c r="AA38" s="277">
        <v>4736.7440000000006</v>
      </c>
      <c r="AB38" s="278">
        <v>4864.424</v>
      </c>
      <c r="AC38" s="278">
        <v>5089.0429999999997</v>
      </c>
      <c r="AD38" s="279">
        <v>5552.9279999999999</v>
      </c>
      <c r="AE38" s="278">
        <v>5708.1670000000004</v>
      </c>
      <c r="AF38" s="278">
        <v>5891.8810000000003</v>
      </c>
      <c r="AG38" s="278">
        <v>6075.1440000000002</v>
      </c>
      <c r="AH38" s="278">
        <v>6412.2449999999999</v>
      </c>
      <c r="AI38" s="277">
        <v>6279.527</v>
      </c>
      <c r="AJ38" s="278">
        <v>5569.5919999999996</v>
      </c>
      <c r="AK38" s="278">
        <v>5711.3729999999996</v>
      </c>
      <c r="AL38" s="279">
        <v>7250.8940000000002</v>
      </c>
      <c r="AM38" s="277">
        <v>6864.6629999999996</v>
      </c>
      <c r="AN38" s="278">
        <v>6933.7190000000001</v>
      </c>
      <c r="AO38" s="278">
        <v>6885.8689999999997</v>
      </c>
      <c r="AP38" s="279">
        <v>7201.3680000000004</v>
      </c>
      <c r="AQ38" s="277">
        <v>7291</v>
      </c>
      <c r="AR38" s="278">
        <v>6979</v>
      </c>
      <c r="AS38" s="278">
        <v>7174</v>
      </c>
      <c r="AT38" s="279">
        <v>7370</v>
      </c>
      <c r="AU38" s="277">
        <v>7108</v>
      </c>
      <c r="AV38" s="278">
        <v>7461</v>
      </c>
      <c r="AW38" s="278">
        <v>9612</v>
      </c>
      <c r="AX38" s="279">
        <v>9841</v>
      </c>
      <c r="AY38" s="277">
        <v>9410</v>
      </c>
      <c r="AZ38" s="278">
        <v>9402</v>
      </c>
      <c r="BA38" s="278">
        <v>9830</v>
      </c>
      <c r="BB38" s="279">
        <v>11241</v>
      </c>
      <c r="BC38" s="394">
        <f t="shared" ref="BC38:BJ38" si="148">SUM(BC37,BC24:BC28)</f>
        <v>12206.821163947616</v>
      </c>
      <c r="BD38" s="55">
        <f t="shared" si="148"/>
        <v>13334.599499251553</v>
      </c>
      <c r="BE38" s="280">
        <f t="shared" si="148"/>
        <v>14566.111191011547</v>
      </c>
      <c r="BF38" s="281">
        <f t="shared" si="148"/>
        <v>15812.474781115576</v>
      </c>
      <c r="BG38" s="394">
        <f t="shared" si="148"/>
        <v>16830.294530523784</v>
      </c>
      <c r="BH38" s="55">
        <f t="shared" si="148"/>
        <v>18182.227545257745</v>
      </c>
      <c r="BI38" s="280">
        <f t="shared" si="148"/>
        <v>19659.35505693105</v>
      </c>
      <c r="BJ38" s="281">
        <f t="shared" si="148"/>
        <v>21101.415751138928</v>
      </c>
      <c r="BK38" s="394">
        <f t="shared" ref="BK38:BN38" si="149">SUM(BK37,BK24:BK28)</f>
        <v>22339.216724909686</v>
      </c>
      <c r="BL38" s="55">
        <f t="shared" si="149"/>
        <v>23966.588342652449</v>
      </c>
      <c r="BM38" s="280">
        <f t="shared" si="149"/>
        <v>25719.179080505295</v>
      </c>
      <c r="BN38" s="281">
        <f t="shared" si="149"/>
        <v>27465.266314672612</v>
      </c>
      <c r="BO38" s="131"/>
      <c r="BP38" s="55">
        <f t="shared" si="118"/>
        <v>1954.6869999999999</v>
      </c>
      <c r="BQ38" s="55">
        <f t="shared" si="119"/>
        <v>2675.2629999999999</v>
      </c>
      <c r="BR38" s="55">
        <f t="shared" si="120"/>
        <v>3747.6709999999998</v>
      </c>
      <c r="BS38" s="55">
        <f t="shared" si="121"/>
        <v>3350.7269999999999</v>
      </c>
      <c r="BT38" s="55">
        <f t="shared" si="122"/>
        <v>3585.9180000000001</v>
      </c>
      <c r="BU38" s="55">
        <f t="shared" si="123"/>
        <v>4495.2460000000001</v>
      </c>
      <c r="BV38" s="55">
        <f t="shared" si="124"/>
        <v>5552.9279999999999</v>
      </c>
      <c r="BW38" s="55">
        <f t="shared" si="125"/>
        <v>6412.2449999999999</v>
      </c>
      <c r="BX38" s="55">
        <f t="shared" si="126"/>
        <v>7250.8940000000002</v>
      </c>
      <c r="BY38" s="55">
        <f t="shared" si="127"/>
        <v>7201.3680000000004</v>
      </c>
      <c r="BZ38" s="55">
        <f t="shared" si="128"/>
        <v>7370</v>
      </c>
      <c r="CA38" s="280">
        <f t="shared" si="129"/>
        <v>9841</v>
      </c>
      <c r="CB38" s="280">
        <f t="shared" si="130"/>
        <v>11241</v>
      </c>
      <c r="CC38" s="280">
        <f t="shared" si="131"/>
        <v>15812.474781115576</v>
      </c>
      <c r="CD38" s="280">
        <f t="shared" si="132"/>
        <v>21101.415751138928</v>
      </c>
      <c r="CE38" s="280">
        <f t="shared" si="133"/>
        <v>27465.266314672612</v>
      </c>
      <c r="CF38" s="14"/>
      <c r="CG38" s="14"/>
      <c r="CH38" s="14"/>
      <c r="CZ38"/>
      <c r="DA38"/>
      <c r="DB38"/>
      <c r="DC38"/>
      <c r="DD38"/>
      <c r="DE38"/>
    </row>
    <row r="39" spans="1:109" s="511" customFormat="1" outlineLevel="1">
      <c r="B39" s="511" t="s">
        <v>111</v>
      </c>
      <c r="C39" s="512">
        <f t="shared" ref="C39:AS39" si="150">C38-C19</f>
        <v>0</v>
      </c>
      <c r="D39" s="513">
        <f t="shared" si="150"/>
        <v>0</v>
      </c>
      <c r="E39" s="513">
        <f t="shared" si="150"/>
        <v>0</v>
      </c>
      <c r="F39" s="514">
        <f t="shared" si="150"/>
        <v>0</v>
      </c>
      <c r="G39" s="513">
        <f t="shared" si="150"/>
        <v>0</v>
      </c>
      <c r="H39" s="513">
        <f t="shared" si="150"/>
        <v>0</v>
      </c>
      <c r="I39" s="513">
        <f t="shared" si="150"/>
        <v>0</v>
      </c>
      <c r="J39" s="513">
        <f t="shared" si="150"/>
        <v>0</v>
      </c>
      <c r="K39" s="512">
        <f t="shared" si="150"/>
        <v>0</v>
      </c>
      <c r="L39" s="513">
        <f t="shared" si="150"/>
        <v>0</v>
      </c>
      <c r="M39" s="513">
        <f t="shared" si="150"/>
        <v>0</v>
      </c>
      <c r="N39" s="514">
        <f t="shared" si="150"/>
        <v>0</v>
      </c>
      <c r="O39" s="513">
        <f t="shared" si="150"/>
        <v>0</v>
      </c>
      <c r="P39" s="513">
        <f t="shared" si="150"/>
        <v>0</v>
      </c>
      <c r="Q39" s="513">
        <f t="shared" si="150"/>
        <v>0</v>
      </c>
      <c r="R39" s="513">
        <f t="shared" si="150"/>
        <v>0</v>
      </c>
      <c r="S39" s="512">
        <f t="shared" si="150"/>
        <v>0</v>
      </c>
      <c r="T39" s="513">
        <f t="shared" si="150"/>
        <v>0</v>
      </c>
      <c r="U39" s="513">
        <f t="shared" si="150"/>
        <v>0</v>
      </c>
      <c r="V39" s="514">
        <f t="shared" si="150"/>
        <v>0</v>
      </c>
      <c r="W39" s="513">
        <f t="shared" si="150"/>
        <v>0</v>
      </c>
      <c r="X39" s="513">
        <f t="shared" si="150"/>
        <v>0</v>
      </c>
      <c r="Y39" s="513">
        <f t="shared" si="150"/>
        <v>0</v>
      </c>
      <c r="Z39" s="513">
        <f t="shared" si="150"/>
        <v>0</v>
      </c>
      <c r="AA39" s="512">
        <f t="shared" si="150"/>
        <v>0</v>
      </c>
      <c r="AB39" s="513">
        <f t="shared" si="150"/>
        <v>0</v>
      </c>
      <c r="AC39" s="513">
        <f t="shared" si="150"/>
        <v>0</v>
      </c>
      <c r="AD39" s="514">
        <f t="shared" si="150"/>
        <v>0</v>
      </c>
      <c r="AE39" s="513">
        <f t="shared" si="150"/>
        <v>0</v>
      </c>
      <c r="AF39" s="513">
        <f t="shared" si="150"/>
        <v>0</v>
      </c>
      <c r="AG39" s="513">
        <f t="shared" si="150"/>
        <v>0</v>
      </c>
      <c r="AH39" s="513">
        <f t="shared" si="150"/>
        <v>0</v>
      </c>
      <c r="AI39" s="512">
        <f t="shared" si="150"/>
        <v>0</v>
      </c>
      <c r="AJ39" s="513">
        <f t="shared" si="150"/>
        <v>0</v>
      </c>
      <c r="AK39" s="513">
        <f t="shared" si="150"/>
        <v>0</v>
      </c>
      <c r="AL39" s="514">
        <f t="shared" si="150"/>
        <v>0</v>
      </c>
      <c r="AM39" s="512">
        <f t="shared" si="150"/>
        <v>0</v>
      </c>
      <c r="AN39" s="513">
        <f t="shared" si="150"/>
        <v>0</v>
      </c>
      <c r="AO39" s="513">
        <f t="shared" si="150"/>
        <v>0</v>
      </c>
      <c r="AP39" s="514">
        <f>AP38-AP19</f>
        <v>0</v>
      </c>
      <c r="AQ39" s="512">
        <f>AQ38-AQ19</f>
        <v>0</v>
      </c>
      <c r="AR39" s="513">
        <f t="shared" ref="AR39" si="151">AR38-AR19</f>
        <v>0</v>
      </c>
      <c r="AS39" s="513">
        <f t="shared" si="150"/>
        <v>0</v>
      </c>
      <c r="AT39" s="514">
        <f>AT38-AT19</f>
        <v>0</v>
      </c>
      <c r="AU39" s="512">
        <f>AU38-AU19</f>
        <v>0</v>
      </c>
      <c r="AV39" s="513">
        <f t="shared" ref="AV39:AW39" si="152">AV38-AV19</f>
        <v>0</v>
      </c>
      <c r="AW39" s="513">
        <f t="shared" si="152"/>
        <v>0</v>
      </c>
      <c r="AX39" s="514">
        <f>AX38-AX19</f>
        <v>0</v>
      </c>
      <c r="AY39" s="512">
        <f>AY38-AY19</f>
        <v>0</v>
      </c>
      <c r="AZ39" s="513">
        <f t="shared" ref="AZ39:BA39" si="153">AZ38-AZ19</f>
        <v>0</v>
      </c>
      <c r="BA39" s="513">
        <f t="shared" si="153"/>
        <v>0</v>
      </c>
      <c r="BB39" s="514">
        <f>BB38-BB19</f>
        <v>0</v>
      </c>
      <c r="BC39" s="1004">
        <f t="shared" ref="BC39:BJ39" si="154">BC38-BC19</f>
        <v>0</v>
      </c>
      <c r="BD39" s="518">
        <f t="shared" si="154"/>
        <v>0</v>
      </c>
      <c r="BE39" s="438">
        <f t="shared" si="154"/>
        <v>0</v>
      </c>
      <c r="BF39" s="440">
        <f t="shared" si="154"/>
        <v>0</v>
      </c>
      <c r="BG39" s="1004">
        <f t="shared" si="154"/>
        <v>0</v>
      </c>
      <c r="BH39" s="518">
        <f t="shared" si="154"/>
        <v>0</v>
      </c>
      <c r="BI39" s="438">
        <f t="shared" si="154"/>
        <v>0</v>
      </c>
      <c r="BJ39" s="440">
        <f t="shared" si="154"/>
        <v>0</v>
      </c>
      <c r="BK39" s="1004">
        <f t="shared" ref="BK39:BN39" si="155">BK38-BK19</f>
        <v>0</v>
      </c>
      <c r="BL39" s="518">
        <f t="shared" si="155"/>
        <v>0</v>
      </c>
      <c r="BM39" s="438">
        <f t="shared" si="155"/>
        <v>0</v>
      </c>
      <c r="BN39" s="440">
        <f t="shared" si="155"/>
        <v>0</v>
      </c>
      <c r="BO39" s="495"/>
      <c r="BP39" s="438">
        <f t="shared" ref="BP39:BZ39" si="156">BP38-BP19</f>
        <v>0</v>
      </c>
      <c r="BQ39" s="438">
        <f t="shared" si="156"/>
        <v>0</v>
      </c>
      <c r="BR39" s="438">
        <f t="shared" si="156"/>
        <v>0</v>
      </c>
      <c r="BS39" s="438">
        <f t="shared" si="156"/>
        <v>0</v>
      </c>
      <c r="BT39" s="438">
        <f t="shared" si="156"/>
        <v>0</v>
      </c>
      <c r="BU39" s="438">
        <f t="shared" si="156"/>
        <v>0</v>
      </c>
      <c r="BV39" s="438">
        <f t="shared" si="156"/>
        <v>0</v>
      </c>
      <c r="BW39" s="438">
        <f t="shared" si="156"/>
        <v>0</v>
      </c>
      <c r="BX39" s="438">
        <f t="shared" si="156"/>
        <v>0</v>
      </c>
      <c r="BY39" s="438">
        <f t="shared" si="156"/>
        <v>0</v>
      </c>
      <c r="BZ39" s="438">
        <f t="shared" si="156"/>
        <v>0</v>
      </c>
      <c r="CA39" s="438">
        <f>CA38-CA19</f>
        <v>0</v>
      </c>
      <c r="CB39" s="438">
        <f>CB38-CB19</f>
        <v>0</v>
      </c>
      <c r="CC39" s="438">
        <f t="shared" ref="CC39:CD39" si="157">CC38-CC19</f>
        <v>0</v>
      </c>
      <c r="CD39" s="438">
        <f t="shared" si="157"/>
        <v>0</v>
      </c>
      <c r="CE39" s="438">
        <f t="shared" ref="CE39" si="158">CE38-CE19</f>
        <v>0</v>
      </c>
      <c r="CF39" s="14"/>
      <c r="CG39" s="14"/>
      <c r="CH39" s="14"/>
      <c r="CZ39"/>
      <c r="DA39"/>
      <c r="DB39"/>
      <c r="DC39"/>
      <c r="DD39"/>
      <c r="DE39"/>
    </row>
    <row r="40" spans="1:109">
      <c r="AN40" s="194"/>
      <c r="AO40" s="194"/>
      <c r="AR40" s="194"/>
      <c r="AS40" s="194"/>
      <c r="AT40" s="275"/>
      <c r="AV40" s="194"/>
      <c r="AW40" s="194"/>
      <c r="AX40" s="275"/>
      <c r="AZ40" s="194"/>
      <c r="BA40" s="194"/>
      <c r="BB40" s="275"/>
      <c r="BD40" s="194"/>
      <c r="BE40" s="194"/>
      <c r="BF40" s="275"/>
      <c r="BH40" s="194"/>
      <c r="BI40" s="194"/>
      <c r="BJ40" s="275"/>
      <c r="BL40" s="194"/>
      <c r="BM40" s="194"/>
      <c r="BN40" s="275"/>
      <c r="CF40" s="14"/>
      <c r="CG40" s="14"/>
      <c r="CH40" s="14"/>
    </row>
    <row r="41" spans="1:109" s="5" customFormat="1">
      <c r="A41" s="7" t="s">
        <v>159</v>
      </c>
      <c r="B41" s="415" t="s">
        <v>158</v>
      </c>
      <c r="C41" s="358"/>
      <c r="D41" s="359"/>
      <c r="E41" s="359"/>
      <c r="F41" s="360"/>
      <c r="G41" s="359"/>
      <c r="H41" s="359"/>
      <c r="I41" s="359"/>
      <c r="J41" s="359"/>
      <c r="K41" s="358"/>
      <c r="L41" s="359"/>
      <c r="M41" s="359"/>
      <c r="N41" s="360"/>
      <c r="O41" s="359"/>
      <c r="P41" s="359"/>
      <c r="Q41" s="359"/>
      <c r="R41" s="359"/>
      <c r="S41" s="358"/>
      <c r="T41" s="359"/>
      <c r="U41" s="359"/>
      <c r="V41" s="360"/>
      <c r="W41" s="359"/>
      <c r="X41" s="359"/>
      <c r="Y41" s="359"/>
      <c r="Z41" s="359"/>
      <c r="AA41" s="358"/>
      <c r="AB41" s="359"/>
      <c r="AC41" s="359"/>
      <c r="AD41" s="360"/>
      <c r="AE41" s="359"/>
      <c r="AF41" s="359"/>
      <c r="AG41" s="359"/>
      <c r="AH41" s="359"/>
      <c r="AI41" s="358"/>
      <c r="AJ41" s="359"/>
      <c r="AK41" s="359"/>
      <c r="AL41" s="360"/>
      <c r="AM41" s="358"/>
      <c r="AN41" s="359"/>
      <c r="AO41" s="359"/>
      <c r="AP41" s="360"/>
      <c r="AQ41" s="358"/>
      <c r="AR41" s="359"/>
      <c r="AS41" s="359"/>
      <c r="AT41" s="360"/>
      <c r="AU41" s="358"/>
      <c r="AV41" s="359"/>
      <c r="AW41" s="359"/>
      <c r="AX41" s="360"/>
      <c r="AY41" s="358"/>
      <c r="AZ41" s="359"/>
      <c r="BA41" s="359"/>
      <c r="BB41" s="360"/>
      <c r="BC41" s="358"/>
      <c r="BD41" s="359"/>
      <c r="BE41" s="359"/>
      <c r="BF41" s="360"/>
      <c r="BG41" s="358"/>
      <c r="BH41" s="359"/>
      <c r="BI41" s="359"/>
      <c r="BJ41" s="360"/>
      <c r="BK41" s="358"/>
      <c r="BL41" s="359"/>
      <c r="BM41" s="359"/>
      <c r="BN41" s="360"/>
      <c r="BO41" s="359"/>
      <c r="BP41" s="359"/>
      <c r="BQ41" s="359"/>
      <c r="BR41" s="359"/>
      <c r="BS41" s="359"/>
      <c r="BT41" s="359"/>
      <c r="BU41" s="359"/>
      <c r="BV41" s="359"/>
      <c r="BW41" s="359"/>
      <c r="BX41" s="359"/>
      <c r="BY41" s="359"/>
      <c r="BZ41" s="359"/>
      <c r="CA41" s="359"/>
      <c r="CB41" s="359"/>
      <c r="CC41" s="359"/>
      <c r="CD41" s="359"/>
      <c r="CE41" s="359"/>
      <c r="CG41" s="14"/>
      <c r="CZ41"/>
      <c r="DA41"/>
      <c r="DB41"/>
      <c r="DC41"/>
      <c r="DD41"/>
      <c r="DE41"/>
    </row>
    <row r="42" spans="1:109" s="5" customFormat="1">
      <c r="A42" s="142">
        <v>360</v>
      </c>
      <c r="B42" s="5" t="s">
        <v>154</v>
      </c>
      <c r="C42" s="43">
        <f t="shared" ref="C42:AO42" si="159">C10/(C47*4)*$A$42</f>
        <v>39.347156613216505</v>
      </c>
      <c r="D42" s="29">
        <f t="shared" si="159"/>
        <v>55.644923905555196</v>
      </c>
      <c r="E42" s="29">
        <f t="shared" si="159"/>
        <v>54.260397830018093</v>
      </c>
      <c r="F42" s="44">
        <f t="shared" si="159"/>
        <v>45.195876353742186</v>
      </c>
      <c r="G42" s="29">
        <f t="shared" si="159"/>
        <v>51.648487035187379</v>
      </c>
      <c r="H42" s="29">
        <f t="shared" si="159"/>
        <v>60.168868060373612</v>
      </c>
      <c r="I42" s="29">
        <f t="shared" si="159"/>
        <v>48.176978985390676</v>
      </c>
      <c r="J42" s="29">
        <f t="shared" si="159"/>
        <v>53.114841393466399</v>
      </c>
      <c r="K42" s="43">
        <f t="shared" si="159"/>
        <v>50.263786895342783</v>
      </c>
      <c r="L42" s="29">
        <f t="shared" si="159"/>
        <v>48.927028301432877</v>
      </c>
      <c r="M42" s="29">
        <f t="shared" si="159"/>
        <v>44.56504454565583</v>
      </c>
      <c r="N42" s="44">
        <f t="shared" si="159"/>
        <v>49.873587588236774</v>
      </c>
      <c r="O42" s="29">
        <f t="shared" si="159"/>
        <v>50.86059504693997</v>
      </c>
      <c r="P42" s="29">
        <f t="shared" si="159"/>
        <v>68.4990298831827</v>
      </c>
      <c r="Q42" s="29">
        <f t="shared" si="159"/>
        <v>60.942188257181208</v>
      </c>
      <c r="R42" s="29">
        <f t="shared" si="159"/>
        <v>59.565095398428753</v>
      </c>
      <c r="S42" s="43">
        <f t="shared" si="159"/>
        <v>41.243739000438097</v>
      </c>
      <c r="T42" s="29">
        <f t="shared" si="159"/>
        <v>40.792767732962446</v>
      </c>
      <c r="U42" s="29">
        <f t="shared" si="159"/>
        <v>39.640790694481659</v>
      </c>
      <c r="V42" s="44">
        <f t="shared" si="159"/>
        <v>34.348175244888488</v>
      </c>
      <c r="W42" s="29">
        <f t="shared" si="159"/>
        <v>47.583401293454969</v>
      </c>
      <c r="X42" s="29">
        <f t="shared" si="159"/>
        <v>43.92715555073422</v>
      </c>
      <c r="Y42" s="29">
        <f t="shared" si="159"/>
        <v>42.605366436310895</v>
      </c>
      <c r="Z42" s="29">
        <f t="shared" si="159"/>
        <v>35.413075263770686</v>
      </c>
      <c r="AA42" s="43">
        <f t="shared" si="159"/>
        <v>32.106993583420213</v>
      </c>
      <c r="AB42" s="29">
        <f t="shared" si="159"/>
        <v>37.180843999657654</v>
      </c>
      <c r="AC42" s="29">
        <f t="shared" si="159"/>
        <v>31.339445497008011</v>
      </c>
      <c r="AD42" s="44">
        <f t="shared" si="159"/>
        <v>31.738418412201504</v>
      </c>
      <c r="AE42" s="29">
        <f t="shared" si="159"/>
        <v>40.009590464461759</v>
      </c>
      <c r="AF42" s="29">
        <f t="shared" si="159"/>
        <v>38.379039903473242</v>
      </c>
      <c r="AG42" s="29">
        <f t="shared" si="159"/>
        <v>33.256895134165489</v>
      </c>
      <c r="AH42" s="29">
        <f t="shared" si="159"/>
        <v>36.934326616087063</v>
      </c>
      <c r="AI42" s="43">
        <f t="shared" si="159"/>
        <v>32.710321878544811</v>
      </c>
      <c r="AJ42" s="29">
        <f t="shared" si="159"/>
        <v>38.507579525151499</v>
      </c>
      <c r="AK42" s="29">
        <f t="shared" si="159"/>
        <v>38.223957676094216</v>
      </c>
      <c r="AL42" s="44">
        <f t="shared" si="159"/>
        <v>33.535681137685295</v>
      </c>
      <c r="AM42" s="43">
        <f t="shared" si="159"/>
        <v>32.353863438723884</v>
      </c>
      <c r="AN42" s="29">
        <f t="shared" si="159"/>
        <v>38.325471698113205</v>
      </c>
      <c r="AO42" s="29">
        <f t="shared" si="159"/>
        <v>41.379749335309313</v>
      </c>
      <c r="AP42" s="44">
        <f>AP10/(AP47*4)*$A$42</f>
        <v>34.087847077281822</v>
      </c>
      <c r="AQ42" s="43">
        <f>AQ10/(AQ47*4)*$A$42</f>
        <v>35.577758470894871</v>
      </c>
      <c r="AR42" s="29">
        <f t="shared" ref="AR42:AS42" si="160">AR10/(AR47*4)*$A$42</f>
        <v>40.12142237640937</v>
      </c>
      <c r="AS42" s="29">
        <f t="shared" si="160"/>
        <v>36.96551724137931</v>
      </c>
      <c r="AT42" s="44">
        <f>AT10/(AT47*4)*$A$42</f>
        <v>32.441113490364025</v>
      </c>
      <c r="AU42" s="43">
        <f>AU10/(AU47*4)*$A$42</f>
        <v>36.068965517241381</v>
      </c>
      <c r="AV42" s="29">
        <f t="shared" ref="AV42:AW42" si="161">AV10/(AV47*4)*$A$42</f>
        <v>40.588235294117645</v>
      </c>
      <c r="AW42" s="29">
        <f t="shared" si="161"/>
        <v>37.41017964071856</v>
      </c>
      <c r="AX42" s="44">
        <f>AX10/(AX47*4)*$A$42</f>
        <v>34.210768522779567</v>
      </c>
      <c r="AY42" s="43">
        <f>AY10/(AY47*4)*$A$42</f>
        <v>45.348477026329377</v>
      </c>
      <c r="AZ42" s="29">
        <f t="shared" ref="AZ42:BA42" si="162">AZ10/(AZ47*4)*$A$42</f>
        <v>48.955156950672652</v>
      </c>
      <c r="BA42" s="29">
        <f t="shared" si="162"/>
        <v>39.844461305007584</v>
      </c>
      <c r="BB42" s="44">
        <f>BB10/(BB47*4)*$A$42</f>
        <v>39.110271384403987</v>
      </c>
      <c r="BC42" s="964">
        <v>35</v>
      </c>
      <c r="BD42" s="121">
        <v>35</v>
      </c>
      <c r="BE42" s="714">
        <v>35</v>
      </c>
      <c r="BF42" s="673">
        <v>35</v>
      </c>
      <c r="BG42" s="964">
        <v>35</v>
      </c>
      <c r="BH42" s="121">
        <v>35</v>
      </c>
      <c r="BI42" s="714">
        <v>35</v>
      </c>
      <c r="BJ42" s="673">
        <v>35</v>
      </c>
      <c r="BK42" s="964">
        <v>35</v>
      </c>
      <c r="BL42" s="121">
        <v>35</v>
      </c>
      <c r="BM42" s="714">
        <v>35</v>
      </c>
      <c r="BN42" s="673">
        <v>35</v>
      </c>
      <c r="BO42" s="88"/>
      <c r="BP42" s="29">
        <f t="shared" ref="BP42:BZ42" si="163">BP10/BP47*$A$42</f>
        <v>48.216351733203908</v>
      </c>
      <c r="BQ42" s="29">
        <f t="shared" si="163"/>
        <v>60.846768950827538</v>
      </c>
      <c r="BR42" s="29">
        <f t="shared" si="163"/>
        <v>58.551985670569522</v>
      </c>
      <c r="BS42" s="29">
        <f t="shared" si="163"/>
        <v>33.471918114001191</v>
      </c>
      <c r="BT42" s="29">
        <f t="shared" si="163"/>
        <v>40.579862285412808</v>
      </c>
      <c r="BU42" s="29">
        <f t="shared" si="163"/>
        <v>35.43501286509305</v>
      </c>
      <c r="BV42" s="29">
        <f t="shared" si="163"/>
        <v>30.268533966327574</v>
      </c>
      <c r="BW42" s="29">
        <f t="shared" si="163"/>
        <v>38.206692788749208</v>
      </c>
      <c r="BX42" s="29">
        <f t="shared" si="163"/>
        <v>37.162832838033957</v>
      </c>
      <c r="BY42" s="29">
        <f t="shared" si="163"/>
        <v>36.421887225630549</v>
      </c>
      <c r="BZ42" s="29">
        <f t="shared" si="163"/>
        <v>36.287425149700596</v>
      </c>
      <c r="CA42" s="29">
        <f t="shared" ref="CA42:CB42" si="164">CA10/CA47*$A$42</f>
        <v>43.033285094066571</v>
      </c>
      <c r="CB42" s="29">
        <f t="shared" si="164"/>
        <v>46.880790611488571</v>
      </c>
      <c r="CC42" s="29">
        <f t="shared" ref="CC42:CD42" si="165">CC10/CC47*$A$42</f>
        <v>38.044096413509358</v>
      </c>
      <c r="CD42" s="29">
        <f t="shared" si="165"/>
        <v>37.713373030318245</v>
      </c>
      <c r="CE42" s="29">
        <f t="shared" ref="CE42" si="166">CE10/CE47*$A$42</f>
        <v>37.742942315930939</v>
      </c>
      <c r="CG42" s="14"/>
      <c r="CZ42"/>
      <c r="DA42"/>
      <c r="DB42"/>
      <c r="DC42"/>
      <c r="DD42"/>
      <c r="DE42"/>
    </row>
    <row r="43" spans="1:109" s="5" customFormat="1">
      <c r="B43" s="5" t="s">
        <v>155</v>
      </c>
      <c r="C43" s="43">
        <f t="shared" ref="C43:AO43" si="167">C11/(C48*4)*$A$42</f>
        <v>74.120494630619262</v>
      </c>
      <c r="D43" s="29">
        <f t="shared" si="167"/>
        <v>75.778249034095509</v>
      </c>
      <c r="E43" s="29">
        <f t="shared" si="167"/>
        <v>72.129396207304026</v>
      </c>
      <c r="F43" s="44">
        <f t="shared" si="167"/>
        <v>60.506615598885809</v>
      </c>
      <c r="G43" s="29">
        <f t="shared" si="167"/>
        <v>79.310367637705127</v>
      </c>
      <c r="H43" s="29">
        <f t="shared" si="167"/>
        <v>86.191870831657766</v>
      </c>
      <c r="I43" s="29">
        <f t="shared" si="167"/>
        <v>69.087849084520073</v>
      </c>
      <c r="J43" s="29">
        <f t="shared" si="167"/>
        <v>64.72695861645245</v>
      </c>
      <c r="K43" s="43">
        <f t="shared" si="167"/>
        <v>64.499980609382476</v>
      </c>
      <c r="L43" s="29">
        <f t="shared" si="167"/>
        <v>48.639442476543294</v>
      </c>
      <c r="M43" s="29">
        <f t="shared" si="167"/>
        <v>45.918082673937242</v>
      </c>
      <c r="N43" s="44">
        <f t="shared" si="167"/>
        <v>49.403245587039706</v>
      </c>
      <c r="O43" s="29">
        <f t="shared" si="167"/>
        <v>59.214839987784735</v>
      </c>
      <c r="P43" s="29">
        <f t="shared" si="167"/>
        <v>52.379183557520001</v>
      </c>
      <c r="Q43" s="29">
        <f t="shared" si="167"/>
        <v>89.010667935041113</v>
      </c>
      <c r="R43" s="29">
        <f t="shared" si="167"/>
        <v>142.58841619682201</v>
      </c>
      <c r="S43" s="43">
        <f t="shared" si="167"/>
        <v>62.067729461472808</v>
      </c>
      <c r="T43" s="29">
        <f t="shared" si="167"/>
        <v>40.544629935285265</v>
      </c>
      <c r="U43" s="29">
        <f t="shared" si="167"/>
        <v>48.859495955402856</v>
      </c>
      <c r="V43" s="44">
        <f t="shared" si="167"/>
        <v>54.73053716021753</v>
      </c>
      <c r="W43" s="29">
        <f t="shared" si="167"/>
        <v>64.045112533826142</v>
      </c>
      <c r="X43" s="29">
        <f t="shared" si="167"/>
        <v>57.733056981959344</v>
      </c>
      <c r="Y43" s="29">
        <f t="shared" si="167"/>
        <v>75.253026446829693</v>
      </c>
      <c r="Z43" s="29">
        <f t="shared" si="167"/>
        <v>67.600219122336767</v>
      </c>
      <c r="AA43" s="43">
        <f t="shared" si="167"/>
        <v>71.799319841854853</v>
      </c>
      <c r="AB43" s="29">
        <f t="shared" si="167"/>
        <v>66.306599923050769</v>
      </c>
      <c r="AC43" s="29">
        <f t="shared" si="167"/>
        <v>56.459801791297885</v>
      </c>
      <c r="AD43" s="44">
        <f t="shared" si="167"/>
        <v>66.122595702328042</v>
      </c>
      <c r="AE43" s="29">
        <f t="shared" si="167"/>
        <v>66.831551873945045</v>
      </c>
      <c r="AF43" s="29">
        <f t="shared" si="167"/>
        <v>69.201828613189136</v>
      </c>
      <c r="AG43" s="29">
        <f t="shared" si="167"/>
        <v>68.038301036915897</v>
      </c>
      <c r="AH43" s="29">
        <f t="shared" si="167"/>
        <v>71.210492998273551</v>
      </c>
      <c r="AI43" s="43">
        <f t="shared" si="167"/>
        <v>77.913776936109926</v>
      </c>
      <c r="AJ43" s="29">
        <f t="shared" si="167"/>
        <v>78.863099374565664</v>
      </c>
      <c r="AK43" s="29">
        <f t="shared" si="167"/>
        <v>72.896526902238733</v>
      </c>
      <c r="AL43" s="44">
        <f t="shared" si="167"/>
        <v>66.477038950352053</v>
      </c>
      <c r="AM43" s="43">
        <f t="shared" si="167"/>
        <v>70.99130539426578</v>
      </c>
      <c r="AN43" s="29">
        <f t="shared" si="167"/>
        <v>72.065846853363638</v>
      </c>
      <c r="AO43" s="29">
        <f t="shared" si="167"/>
        <v>66.937053021411245</v>
      </c>
      <c r="AP43" s="44">
        <f>AP11/(AP48*4)*$A$42</f>
        <v>78.888187021134087</v>
      </c>
      <c r="AQ43" s="43">
        <f>AQ11/(AQ48*4)*$A$42</f>
        <v>79.156626506024097</v>
      </c>
      <c r="AR43" s="29">
        <f t="shared" ref="AR43:AS43" si="168">AR11/(AR48*4)*$A$42</f>
        <v>76.473988439306353</v>
      </c>
      <c r="AS43" s="29">
        <f t="shared" si="168"/>
        <v>66.987740805604204</v>
      </c>
      <c r="AT43" s="44">
        <f>AT11/(AT48*4)*$A$42</f>
        <v>61.571194762684129</v>
      </c>
      <c r="AU43" s="43">
        <f>AU11/(AU48*4)*$A$42</f>
        <v>64.007220216606498</v>
      </c>
      <c r="AV43" s="29">
        <f t="shared" ref="AV43:AW43" si="169">AV11/(AV48*4)*$A$42</f>
        <v>77.89036544850498</v>
      </c>
      <c r="AW43" s="29">
        <f t="shared" si="169"/>
        <v>74.433617539585867</v>
      </c>
      <c r="AX43" s="44">
        <f>AX11/(AX48*4)*$A$42</f>
        <v>82.137931034482762</v>
      </c>
      <c r="AY43" s="43">
        <f>AY11/(AY48*4)*$A$42</f>
        <v>93.88818297331639</v>
      </c>
      <c r="AZ43" s="29">
        <f t="shared" ref="AZ43:BA43" si="170">AZ11/(AZ48*4)*$A$42</f>
        <v>82.920258620689651</v>
      </c>
      <c r="BA43" s="29">
        <f t="shared" si="170"/>
        <v>72.286785379568883</v>
      </c>
      <c r="BB43" s="44">
        <f>BB11/(BB48*4)*$A$42</f>
        <v>64.540540540540547</v>
      </c>
      <c r="BC43" s="964">
        <v>70</v>
      </c>
      <c r="BD43" s="121">
        <f t="shared" ref="BD43:BN43" si="171">BC43</f>
        <v>70</v>
      </c>
      <c r="BE43" s="714">
        <f t="shared" si="171"/>
        <v>70</v>
      </c>
      <c r="BF43" s="673">
        <f t="shared" si="171"/>
        <v>70</v>
      </c>
      <c r="BG43" s="964">
        <f t="shared" si="171"/>
        <v>70</v>
      </c>
      <c r="BH43" s="121">
        <f t="shared" si="171"/>
        <v>70</v>
      </c>
      <c r="BI43" s="714">
        <f t="shared" si="171"/>
        <v>70</v>
      </c>
      <c r="BJ43" s="673">
        <f t="shared" si="171"/>
        <v>70</v>
      </c>
      <c r="BK43" s="964">
        <f t="shared" si="171"/>
        <v>70</v>
      </c>
      <c r="BL43" s="121">
        <f t="shared" si="171"/>
        <v>70</v>
      </c>
      <c r="BM43" s="714">
        <f t="shared" si="171"/>
        <v>70</v>
      </c>
      <c r="BN43" s="673">
        <f t="shared" si="171"/>
        <v>70</v>
      </c>
      <c r="BO43" s="88"/>
      <c r="BP43" s="29">
        <f t="shared" ref="BP43:BZ43" si="172">BP11/BP48*$A$42</f>
        <v>62.602223990109536</v>
      </c>
      <c r="BQ43" s="29">
        <f t="shared" si="172"/>
        <v>72.210188899910548</v>
      </c>
      <c r="BR43" s="29">
        <f t="shared" si="172"/>
        <v>57.914708020353778</v>
      </c>
      <c r="BS43" s="29">
        <f t="shared" si="172"/>
        <v>86.030880791259165</v>
      </c>
      <c r="BT43" s="29">
        <f t="shared" si="172"/>
        <v>55.380982376546967</v>
      </c>
      <c r="BU43" s="29">
        <f t="shared" si="172"/>
        <v>58.283147137196316</v>
      </c>
      <c r="BV43" s="29">
        <f t="shared" si="172"/>
        <v>63.101936579182279</v>
      </c>
      <c r="BW43" s="29">
        <f t="shared" si="172"/>
        <v>72.298647980150122</v>
      </c>
      <c r="BX43" s="29">
        <f t="shared" si="172"/>
        <v>74.95461498851752</v>
      </c>
      <c r="BY43" s="29">
        <f t="shared" si="172"/>
        <v>83.496145588680292</v>
      </c>
      <c r="BZ43" s="29">
        <f t="shared" si="172"/>
        <v>68.431105047748972</v>
      </c>
      <c r="CA43" s="29">
        <f t="shared" ref="CA43:CB43" si="173">CA11/CA48*$A$42</f>
        <v>100.40042149631191</v>
      </c>
      <c r="CB43" s="29">
        <f t="shared" si="173"/>
        <v>73.627954779033914</v>
      </c>
      <c r="CC43" s="29">
        <f t="shared" ref="CC43:CD43" si="174">CC11/CC48*$A$42</f>
        <v>76.752518363651816</v>
      </c>
      <c r="CD43" s="29">
        <f t="shared" si="174"/>
        <v>75.210231818661228</v>
      </c>
      <c r="CE43" s="29">
        <f t="shared" ref="CE43" si="175">CE11/CE48*$A$42</f>
        <v>75.177880892938532</v>
      </c>
      <c r="CG43" s="14"/>
      <c r="CZ43"/>
      <c r="DA43"/>
      <c r="DB43"/>
      <c r="DC43"/>
      <c r="DD43"/>
      <c r="DE43"/>
    </row>
    <row r="44" spans="1:109" s="5" customFormat="1">
      <c r="B44" s="5" t="s">
        <v>156</v>
      </c>
      <c r="C44" s="43">
        <f t="shared" ref="C44:AO44" si="176">C22/(C48*4)*$A$42</f>
        <v>43.867934373937963</v>
      </c>
      <c r="D44" s="29">
        <f t="shared" si="176"/>
        <v>55.658004067849717</v>
      </c>
      <c r="E44" s="29">
        <f t="shared" si="176"/>
        <v>45.523408924652522</v>
      </c>
      <c r="F44" s="44">
        <f t="shared" si="176"/>
        <v>42.588709166877699</v>
      </c>
      <c r="G44" s="29">
        <f t="shared" si="176"/>
        <v>68.269253275664667</v>
      </c>
      <c r="H44" s="29">
        <f t="shared" si="176"/>
        <v>52.561742680030648</v>
      </c>
      <c r="I44" s="29">
        <f t="shared" si="176"/>
        <v>59.995561309413723</v>
      </c>
      <c r="J44" s="29">
        <f t="shared" si="176"/>
        <v>49.652044844849726</v>
      </c>
      <c r="K44" s="43">
        <f t="shared" si="176"/>
        <v>64.773582222681853</v>
      </c>
      <c r="L44" s="29">
        <f t="shared" si="176"/>
        <v>56.92648177740918</v>
      </c>
      <c r="M44" s="29">
        <f t="shared" si="176"/>
        <v>67.463852650805606</v>
      </c>
      <c r="N44" s="44">
        <f t="shared" si="176"/>
        <v>67.809940701204795</v>
      </c>
      <c r="O44" s="29">
        <f t="shared" si="176"/>
        <v>60.304207221104235</v>
      </c>
      <c r="P44" s="29">
        <f t="shared" si="176"/>
        <v>53.180479805697402</v>
      </c>
      <c r="Q44" s="29">
        <f t="shared" si="176"/>
        <v>65.783107970374388</v>
      </c>
      <c r="R44" s="29">
        <f t="shared" si="176"/>
        <v>58.024355326181052</v>
      </c>
      <c r="S44" s="43">
        <f t="shared" si="176"/>
        <v>42.884634431601462</v>
      </c>
      <c r="T44" s="29">
        <f t="shared" si="176"/>
        <v>40.074443729156485</v>
      </c>
      <c r="U44" s="29">
        <f t="shared" si="176"/>
        <v>56.582711375906051</v>
      </c>
      <c r="V44" s="44">
        <f t="shared" si="176"/>
        <v>57.023375820893897</v>
      </c>
      <c r="W44" s="29">
        <f t="shared" si="176"/>
        <v>59.85413504059138</v>
      </c>
      <c r="X44" s="29">
        <f t="shared" si="176"/>
        <v>37.233113118909877</v>
      </c>
      <c r="Y44" s="29">
        <f t="shared" si="176"/>
        <v>64.68806019696801</v>
      </c>
      <c r="Z44" s="29">
        <f t="shared" si="176"/>
        <v>55.981452859350838</v>
      </c>
      <c r="AA44" s="43">
        <f t="shared" si="176"/>
        <v>65.26534125175904</v>
      </c>
      <c r="AB44" s="29">
        <f t="shared" si="176"/>
        <v>54.563048492263341</v>
      </c>
      <c r="AC44" s="29">
        <f t="shared" si="176"/>
        <v>54.400162524069451</v>
      </c>
      <c r="AD44" s="44">
        <f t="shared" si="176"/>
        <v>65.107333850049983</v>
      </c>
      <c r="AE44" s="29">
        <f t="shared" si="176"/>
        <v>77.141965665105857</v>
      </c>
      <c r="AF44" s="29">
        <f t="shared" si="176"/>
        <v>74.575365752426279</v>
      </c>
      <c r="AG44" s="29">
        <f t="shared" si="176"/>
        <v>61.897482077779259</v>
      </c>
      <c r="AH44" s="29">
        <f t="shared" si="176"/>
        <v>61.535622482255903</v>
      </c>
      <c r="AI44" s="43">
        <f t="shared" si="176"/>
        <v>67.733320188641613</v>
      </c>
      <c r="AJ44" s="29">
        <f t="shared" si="176"/>
        <v>64.68471160528145</v>
      </c>
      <c r="AK44" s="29">
        <f t="shared" si="176"/>
        <v>63.881039799638806</v>
      </c>
      <c r="AL44" s="44">
        <f t="shared" si="176"/>
        <v>55.612427996708462</v>
      </c>
      <c r="AM44" s="43">
        <f t="shared" si="176"/>
        <v>55.779295405998973</v>
      </c>
      <c r="AN44" s="29">
        <f t="shared" si="176"/>
        <v>48.664730805001547</v>
      </c>
      <c r="AO44" s="29">
        <f t="shared" si="176"/>
        <v>53.817370289638482</v>
      </c>
      <c r="AP44" s="44">
        <f>AP22/(AP48*4)*$A$42</f>
        <v>47.902601327619166</v>
      </c>
      <c r="AQ44" s="43">
        <f>AQ22/(AQ48*4)*$A$42</f>
        <v>40.120481927710841</v>
      </c>
      <c r="AR44" s="29">
        <f t="shared" ref="AR44:AS44" si="177">AR22/(AR48*4)*$A$42</f>
        <v>48.034682080924853</v>
      </c>
      <c r="AS44" s="29">
        <f t="shared" si="177"/>
        <v>46.497373029772326</v>
      </c>
      <c r="AT44" s="44">
        <f>AT22/(AT48*4)*$A$42</f>
        <v>43.600654664484452</v>
      </c>
      <c r="AU44" s="43">
        <f>AU22/(AU48*4)*$A$42</f>
        <v>51.985559566787003</v>
      </c>
      <c r="AV44" s="29">
        <f t="shared" ref="AV44:AW44" si="178">AV22/(AV48*4)*$A$42</f>
        <v>63.239202657807311</v>
      </c>
      <c r="AW44" s="29">
        <f t="shared" si="178"/>
        <v>57.332521315468938</v>
      </c>
      <c r="AX44" s="44">
        <f>AX22/(AX48*4)*$A$42</f>
        <v>50.172413793103452</v>
      </c>
      <c r="AY44" s="43">
        <f>AY22/(AY48*4)*$A$42</f>
        <v>39.796696315120712</v>
      </c>
      <c r="AZ44" s="29">
        <f t="shared" ref="AZ44:BA44" si="179">AZ22/(AZ48*4)*$A$42</f>
        <v>41.799568965517246</v>
      </c>
      <c r="BA44" s="29">
        <f t="shared" si="179"/>
        <v>43.10215557638238</v>
      </c>
      <c r="BB44" s="44">
        <f>BB22/(BB48*4)*$A$42</f>
        <v>48.324324324324323</v>
      </c>
      <c r="BC44" s="964">
        <f t="shared" ref="BC44" si="180">BB44</f>
        <v>48.324324324324323</v>
      </c>
      <c r="BD44" s="121">
        <f t="shared" ref="BD44:BD45" si="181">BC44</f>
        <v>48.324324324324323</v>
      </c>
      <c r="BE44" s="714">
        <f t="shared" ref="BE44:BE45" si="182">BD44</f>
        <v>48.324324324324323</v>
      </c>
      <c r="BF44" s="673">
        <f t="shared" ref="BF44:BF45" si="183">BE44</f>
        <v>48.324324324324323</v>
      </c>
      <c r="BG44" s="964">
        <f t="shared" ref="BG44:BG45" si="184">BF44</f>
        <v>48.324324324324323</v>
      </c>
      <c r="BH44" s="121">
        <f t="shared" ref="BH44:BH45" si="185">BG44</f>
        <v>48.324324324324323</v>
      </c>
      <c r="BI44" s="714">
        <f t="shared" ref="BI44:BI45" si="186">BH44</f>
        <v>48.324324324324323</v>
      </c>
      <c r="BJ44" s="673">
        <f t="shared" ref="BJ44:BJ45" si="187">BI44</f>
        <v>48.324324324324323</v>
      </c>
      <c r="BK44" s="964">
        <f t="shared" ref="BK44:BK45" si="188">BJ44</f>
        <v>48.324324324324323</v>
      </c>
      <c r="BL44" s="121">
        <f t="shared" ref="BL44:BL45" si="189">BK44</f>
        <v>48.324324324324323</v>
      </c>
      <c r="BM44" s="714">
        <f t="shared" ref="BM44:BM45" si="190">BL44</f>
        <v>48.324324324324323</v>
      </c>
      <c r="BN44" s="673">
        <f t="shared" ref="BN44:BN45" si="191">BM44</f>
        <v>48.324324324324323</v>
      </c>
      <c r="BO44" s="88"/>
      <c r="BP44" s="29">
        <f t="shared" ref="BP44:BZ44" si="192">BP22/BP48*$A$42</f>
        <v>44.063742192905011</v>
      </c>
      <c r="BQ44" s="29">
        <f t="shared" si="192"/>
        <v>55.392430204531294</v>
      </c>
      <c r="BR44" s="29">
        <f t="shared" si="192"/>
        <v>79.492609643809061</v>
      </c>
      <c r="BS44" s="29">
        <f t="shared" si="192"/>
        <v>35.009059846529134</v>
      </c>
      <c r="BT44" s="29">
        <f t="shared" si="192"/>
        <v>57.701070284463242</v>
      </c>
      <c r="BU44" s="29">
        <f t="shared" si="192"/>
        <v>48.265749672362574</v>
      </c>
      <c r="BV44" s="29">
        <f t="shared" si="192"/>
        <v>62.13305463597905</v>
      </c>
      <c r="BW44" s="29">
        <f t="shared" si="192"/>
        <v>62.475937474437835</v>
      </c>
      <c r="BX44" s="29">
        <f t="shared" si="192"/>
        <v>62.70447954493104</v>
      </c>
      <c r="BY44" s="29">
        <f t="shared" si="192"/>
        <v>50.700652728346867</v>
      </c>
      <c r="BZ44" s="29">
        <f t="shared" si="192"/>
        <v>48.458390177353337</v>
      </c>
      <c r="CA44" s="29">
        <f t="shared" ref="CA44:CB44" si="193">CA22/CA48*$A$42</f>
        <v>61.327713382507902</v>
      </c>
      <c r="CB44" s="29">
        <f t="shared" si="193"/>
        <v>55.128468653648511</v>
      </c>
      <c r="CC44" s="29">
        <f t="shared" ref="CC44:CD44" si="194">CC22/CC48*$A$42</f>
        <v>52.985908430196687</v>
      </c>
      <c r="CD44" s="29">
        <f t="shared" si="194"/>
        <v>51.921194784465733</v>
      </c>
      <c r="CE44" s="29">
        <f t="shared" ref="CE44" si="195">CE22/CE48*$A$42</f>
        <v>51.898861404082659</v>
      </c>
      <c r="CG44" s="14"/>
      <c r="CZ44"/>
      <c r="DA44"/>
      <c r="DB44"/>
      <c r="DC44"/>
      <c r="DD44"/>
      <c r="DE44"/>
    </row>
    <row r="45" spans="1:109" s="5" customFormat="1">
      <c r="B45" s="5" t="s">
        <v>157</v>
      </c>
      <c r="C45" s="34">
        <f t="shared" ref="C45:AO45" si="196">C12/C47</f>
        <v>3.745679511378E-2</v>
      </c>
      <c r="D45" s="35">
        <f t="shared" si="196"/>
        <v>4.3067994405127243E-2</v>
      </c>
      <c r="E45" s="35">
        <f t="shared" si="196"/>
        <v>4.1049681616002337E-2</v>
      </c>
      <c r="F45" s="36">
        <f t="shared" si="196"/>
        <v>3.8488732887846544E-2</v>
      </c>
      <c r="G45" s="35">
        <f t="shared" si="196"/>
        <v>4.1866686613660463E-2</v>
      </c>
      <c r="H45" s="35">
        <f t="shared" si="196"/>
        <v>4.9661173000309811E-2</v>
      </c>
      <c r="I45" s="35">
        <f t="shared" si="196"/>
        <v>4.4847984089147572E-2</v>
      </c>
      <c r="J45" s="35">
        <f t="shared" si="196"/>
        <v>4.6150012572920091E-2</v>
      </c>
      <c r="K45" s="34">
        <f t="shared" si="196"/>
        <v>5.0996115032927468E-2</v>
      </c>
      <c r="L45" s="35">
        <f t="shared" si="196"/>
        <v>4.3947466621331338E-2</v>
      </c>
      <c r="M45" s="35">
        <f t="shared" si="196"/>
        <v>3.9934671749744757E-2</v>
      </c>
      <c r="N45" s="36">
        <f t="shared" si="196"/>
        <v>4.5177221820358687E-2</v>
      </c>
      <c r="O45" s="35">
        <f t="shared" si="196"/>
        <v>4.8056681706416228E-2</v>
      </c>
      <c r="P45" s="35">
        <f t="shared" si="196"/>
        <v>5.0739574044782201E-2</v>
      </c>
      <c r="Q45" s="35">
        <f t="shared" si="196"/>
        <v>4.8335941982164642E-2</v>
      </c>
      <c r="R45" s="35">
        <f t="shared" si="196"/>
        <v>8.2707735794155565E-2</v>
      </c>
      <c r="S45" s="34">
        <f t="shared" si="196"/>
        <v>7.6607385081394877E-2</v>
      </c>
      <c r="T45" s="35">
        <f t="shared" si="196"/>
        <v>6.5095554525318094E-2</v>
      </c>
      <c r="U45" s="35">
        <f t="shared" si="196"/>
        <v>3.5062876021638475E-2</v>
      </c>
      <c r="V45" s="36">
        <f t="shared" si="196"/>
        <v>3.8895131543591366E-2</v>
      </c>
      <c r="W45" s="35">
        <f t="shared" si="196"/>
        <v>3.5465700684658714E-2</v>
      </c>
      <c r="X45" s="35">
        <f t="shared" si="196"/>
        <v>5.4916864725199951E-2</v>
      </c>
      <c r="Y45" s="35">
        <f t="shared" si="196"/>
        <v>4.0781503284702668E-2</v>
      </c>
      <c r="Z45" s="35">
        <f t="shared" si="196"/>
        <v>3.6819588978040933E-2</v>
      </c>
      <c r="AA45" s="34">
        <f t="shared" si="196"/>
        <v>3.8044195713479396E-2</v>
      </c>
      <c r="AB45" s="35">
        <f t="shared" si="196"/>
        <v>3.4357516893470545E-2</v>
      </c>
      <c r="AC45" s="35">
        <f t="shared" si="196"/>
        <v>3.2426982310679246E-2</v>
      </c>
      <c r="AD45" s="36">
        <f t="shared" si="196"/>
        <v>5.1837296499977974E-2</v>
      </c>
      <c r="AE45" s="35">
        <f t="shared" si="196"/>
        <v>0.10543131681293837</v>
      </c>
      <c r="AF45" s="35">
        <f t="shared" si="196"/>
        <v>5.1062464688251125E-2</v>
      </c>
      <c r="AG45" s="35">
        <f t="shared" si="196"/>
        <v>5.4975874297198767E-2</v>
      </c>
      <c r="AH45" s="35">
        <f t="shared" si="196"/>
        <v>6.9491246740903886E-2</v>
      </c>
      <c r="AI45" s="34">
        <f t="shared" si="196"/>
        <v>6.5289047582637774E-2</v>
      </c>
      <c r="AJ45" s="35">
        <f t="shared" si="196"/>
        <v>8.3783070244914756E-2</v>
      </c>
      <c r="AK45" s="35">
        <f t="shared" si="196"/>
        <v>7.7517607287514681E-2</v>
      </c>
      <c r="AL45" s="36">
        <f t="shared" si="196"/>
        <v>6.142623171458584E-2</v>
      </c>
      <c r="AM45" s="34">
        <f t="shared" si="196"/>
        <v>6.4443088284500988E-2</v>
      </c>
      <c r="AN45" s="35">
        <f t="shared" si="196"/>
        <v>6.1456769167156311E-2</v>
      </c>
      <c r="AO45" s="35">
        <f t="shared" si="196"/>
        <v>5.4948579300169248E-2</v>
      </c>
      <c r="AP45" s="36">
        <f>AP12/AP47</f>
        <v>5.6116125049379705E-2</v>
      </c>
      <c r="AQ45" s="34">
        <f>AQ12/AQ47</f>
        <v>7.7324066029539534E-2</v>
      </c>
      <c r="AR45" s="35">
        <f t="shared" ref="AR45" si="197">AR12/AR47</f>
        <v>7.7189939288811793E-2</v>
      </c>
      <c r="AS45" s="35">
        <f>AS12/AS47</f>
        <v>7.1264367816091953E-2</v>
      </c>
      <c r="AT45" s="36">
        <f>AT12/AT47</f>
        <v>6.638115631691649E-2</v>
      </c>
      <c r="AU45" s="34">
        <f>AU12/AU47</f>
        <v>9.1187739463601536E-2</v>
      </c>
      <c r="AV45" s="35">
        <f t="shared" ref="AV45" si="198">AV12/AV47</f>
        <v>7.8431372549019607E-2</v>
      </c>
      <c r="AW45" s="35">
        <f>AW12/AW47</f>
        <v>6.1876247504990017E-2</v>
      </c>
      <c r="AX45" s="36">
        <f>AX12/AX47</f>
        <v>5.4302807179015186E-2</v>
      </c>
      <c r="AY45" s="34">
        <f>AY12/AY47</f>
        <v>5.8337635518843571E-2</v>
      </c>
      <c r="AZ45" s="818">
        <f t="shared" ref="AZ45:BA45" si="199">AZ12/AZ47</f>
        <v>5.6053811659192827E-2</v>
      </c>
      <c r="BA45" s="818">
        <f t="shared" si="199"/>
        <v>5.1213960546282244E-2</v>
      </c>
      <c r="BB45" s="36">
        <f>BB12/BB47</f>
        <v>2.9543112332531776E-2</v>
      </c>
      <c r="BC45" s="965">
        <v>0.05</v>
      </c>
      <c r="BD45" s="816">
        <f t="shared" si="181"/>
        <v>0.05</v>
      </c>
      <c r="BE45" s="816">
        <f t="shared" si="182"/>
        <v>0.05</v>
      </c>
      <c r="BF45" s="817">
        <f t="shared" si="183"/>
        <v>0.05</v>
      </c>
      <c r="BG45" s="965">
        <f t="shared" si="184"/>
        <v>0.05</v>
      </c>
      <c r="BH45" s="816">
        <f t="shared" si="185"/>
        <v>0.05</v>
      </c>
      <c r="BI45" s="816">
        <f t="shared" si="186"/>
        <v>0.05</v>
      </c>
      <c r="BJ45" s="817">
        <f t="shared" si="187"/>
        <v>0.05</v>
      </c>
      <c r="BK45" s="965">
        <f t="shared" si="188"/>
        <v>0.05</v>
      </c>
      <c r="BL45" s="816">
        <f t="shared" si="189"/>
        <v>0.05</v>
      </c>
      <c r="BM45" s="816">
        <f t="shared" si="190"/>
        <v>0.05</v>
      </c>
      <c r="BN45" s="817">
        <f t="shared" si="191"/>
        <v>0.05</v>
      </c>
      <c r="BO45" s="127"/>
      <c r="BP45" s="35">
        <f t="shared" ref="BP45:BZ45" si="200">BP12/BP47</f>
        <v>1.0265241170238335E-2</v>
      </c>
      <c r="BQ45" s="35">
        <f t="shared" si="200"/>
        <v>1.3217017496580878E-2</v>
      </c>
      <c r="BR45" s="35">
        <f t="shared" si="200"/>
        <v>1.3259603793199378E-2</v>
      </c>
      <c r="BS45" s="35">
        <f t="shared" si="200"/>
        <v>1.1619164467792688E-2</v>
      </c>
      <c r="BT45" s="35">
        <f t="shared" si="200"/>
        <v>1.1487939827653847E-2</v>
      </c>
      <c r="BU45" s="35">
        <f t="shared" si="200"/>
        <v>9.2105994707207314E-3</v>
      </c>
      <c r="BV45" s="35">
        <f t="shared" si="200"/>
        <v>1.2359145857981505E-2</v>
      </c>
      <c r="BW45" s="35">
        <f t="shared" si="200"/>
        <v>1.7971294991611295E-2</v>
      </c>
      <c r="BX45" s="35">
        <f t="shared" si="200"/>
        <v>1.7017492292069898E-2</v>
      </c>
      <c r="BY45" s="35">
        <f t="shared" si="200"/>
        <v>1.4989617659441717E-2</v>
      </c>
      <c r="BZ45" s="35">
        <f t="shared" si="200"/>
        <v>1.8562874251497007E-2</v>
      </c>
      <c r="CA45" s="35">
        <f t="shared" ref="CA45:CB45" si="201">CA12/CA47</f>
        <v>1.7076700434153401E-2</v>
      </c>
      <c r="CB45" s="35">
        <f t="shared" si="201"/>
        <v>8.8532015647519047E-3</v>
      </c>
      <c r="CC45" s="818">
        <f t="shared" ref="CC45:CD45" si="202">CC12/CC47</f>
        <v>1.3587177290539057E-2</v>
      </c>
      <c r="CD45" s="818">
        <f t="shared" si="202"/>
        <v>1.3469061796542231E-2</v>
      </c>
      <c r="CE45" s="818">
        <f t="shared" ref="CE45" si="203">CE12/CE47</f>
        <v>1.3479622255689621E-2</v>
      </c>
      <c r="CG45" s="14"/>
      <c r="CZ45"/>
      <c r="DA45"/>
      <c r="DB45"/>
      <c r="DC45"/>
      <c r="DD45"/>
      <c r="DE45"/>
    </row>
    <row r="46" spans="1:109" s="5" customFormat="1">
      <c r="C46" s="15"/>
      <c r="F46" s="16"/>
      <c r="K46" s="15"/>
      <c r="N46" s="16"/>
      <c r="S46" s="15"/>
      <c r="V46" s="16"/>
      <c r="AA46" s="15"/>
      <c r="AD46" s="16"/>
      <c r="AI46" s="15"/>
      <c r="AL46" s="16"/>
      <c r="AM46" s="15"/>
      <c r="AP46" s="16"/>
      <c r="AQ46" s="15"/>
      <c r="AT46" s="16"/>
      <c r="AU46" s="15"/>
      <c r="AX46" s="16"/>
      <c r="AY46" s="15"/>
      <c r="BB46" s="16"/>
      <c r="BC46" s="15"/>
      <c r="BD46" s="925"/>
      <c r="BE46" s="925"/>
      <c r="BF46" s="16"/>
      <c r="BG46" s="15"/>
      <c r="BH46" s="925"/>
      <c r="BI46" s="925"/>
      <c r="BJ46" s="16"/>
      <c r="BK46" s="15"/>
      <c r="BL46" s="925"/>
      <c r="BM46" s="925"/>
      <c r="BN46" s="16"/>
      <c r="BO46" s="84"/>
      <c r="CC46" s="925"/>
      <c r="CD46" s="925"/>
      <c r="CE46" s="925"/>
      <c r="CG46" s="14"/>
      <c r="CZ46"/>
      <c r="DA46"/>
      <c r="DB46"/>
      <c r="DC46"/>
      <c r="DD46"/>
      <c r="DE46"/>
    </row>
    <row r="47" spans="1:109" s="5" customFormat="1">
      <c r="B47" s="5" t="s">
        <v>1</v>
      </c>
      <c r="C47" s="32">
        <f>IS!C7</f>
        <v>583.846</v>
      </c>
      <c r="D47" s="30">
        <f>IS!D7</f>
        <v>574.81200000000001</v>
      </c>
      <c r="E47" s="30">
        <f>IS!E7</f>
        <v>583.41499999999996</v>
      </c>
      <c r="F47" s="33">
        <f>IS!F7</f>
        <v>633.61400000000003</v>
      </c>
      <c r="G47" s="30">
        <f>IS!G7</f>
        <v>681.80700000000002</v>
      </c>
      <c r="H47" s="30">
        <f>IS!H7</f>
        <v>687.51900000000001</v>
      </c>
      <c r="I47" s="30">
        <f>IS!I7</f>
        <v>820.572</v>
      </c>
      <c r="J47" s="30">
        <f>IS!J7</f>
        <v>878.87300000000005</v>
      </c>
      <c r="K47" s="32">
        <f>IS!K7</f>
        <v>844.28</v>
      </c>
      <c r="L47" s="30">
        <f>IS!L7</f>
        <v>935.25300000000004</v>
      </c>
      <c r="M47" s="30">
        <f>IS!M7</f>
        <v>1115.597</v>
      </c>
      <c r="N47" s="33">
        <f>IS!N7</f>
        <v>1202.7299999999998</v>
      </c>
      <c r="O47" s="30">
        <f>IS!O7</f>
        <v>1153.3879999999999</v>
      </c>
      <c r="P47" s="30">
        <f>IS!P7</f>
        <v>892.67600000000004</v>
      </c>
      <c r="Q47" s="30">
        <f>IS!Q7</f>
        <v>897.65499999999997</v>
      </c>
      <c r="R47" s="30">
        <f>IS!R7</f>
        <v>481.13999999999987</v>
      </c>
      <c r="S47" s="32">
        <f>IS!S7</f>
        <v>664.23099999999999</v>
      </c>
      <c r="T47" s="30">
        <f>IS!T7</f>
        <v>776.52</v>
      </c>
      <c r="U47" s="30">
        <f>IS!U7</f>
        <v>903.20600000000002</v>
      </c>
      <c r="V47" s="33">
        <f>IS!V7</f>
        <v>982.48800000000006</v>
      </c>
      <c r="W47" s="30">
        <f>IS!W7</f>
        <v>1001.813</v>
      </c>
      <c r="X47" s="30">
        <f>IS!X7</f>
        <v>811.20799999999997</v>
      </c>
      <c r="Y47" s="30">
        <f>IS!Y7</f>
        <v>843.91200000000003</v>
      </c>
      <c r="Z47" s="30">
        <f>IS!Z7</f>
        <v>886.37599999999986</v>
      </c>
      <c r="AA47" s="32">
        <f>IS!AA7</f>
        <v>962.03899999999999</v>
      </c>
      <c r="AB47" s="30">
        <f>IS!AB7</f>
        <v>1016.5170000000001</v>
      </c>
      <c r="AC47" s="30">
        <f>IS!AC7</f>
        <v>1066.18</v>
      </c>
      <c r="AD47" s="33">
        <f>IS!AD7</f>
        <v>953.19399999999996</v>
      </c>
      <c r="AE47" s="30">
        <f>IS!AE7</f>
        <v>924.87699999999995</v>
      </c>
      <c r="AF47" s="30">
        <f>IS!AF7</f>
        <v>1044.27</v>
      </c>
      <c r="AG47" s="30">
        <f>IS!AG7</f>
        <v>1204.1099999999999</v>
      </c>
      <c r="AH47" s="30">
        <f>IS!AH7</f>
        <v>1106.902</v>
      </c>
      <c r="AI47" s="32">
        <f>IS!AI7</f>
        <v>954.73900000000003</v>
      </c>
      <c r="AJ47" s="30">
        <f>IS!AJ7</f>
        <v>977.23800000000006</v>
      </c>
      <c r="AK47" s="30">
        <f>IS!AK7</f>
        <v>1053.9670000000001</v>
      </c>
      <c r="AL47" s="33">
        <f>IS!AL7</f>
        <v>1144.2180000000003</v>
      </c>
      <c r="AM47" s="32">
        <f>IS!AM7</f>
        <v>1102.787</v>
      </c>
      <c r="AN47" s="30">
        <f>IS!AN7</f>
        <v>1102.8240000000001</v>
      </c>
      <c r="AO47" s="30">
        <f>IS!AO7</f>
        <v>1225.3820000000001</v>
      </c>
      <c r="AP47" s="33">
        <f>IS!AP7</f>
        <v>1250.5139999999999</v>
      </c>
      <c r="AQ47" s="32">
        <f>IS!AQ7</f>
        <v>1151</v>
      </c>
      <c r="AR47" s="30">
        <f>IS!AR7</f>
        <v>1153</v>
      </c>
      <c r="AS47" s="30">
        <f>IS!AS7</f>
        <v>1305</v>
      </c>
      <c r="AT47" s="33">
        <f>IS!AT7</f>
        <v>1401</v>
      </c>
      <c r="AU47" s="32">
        <f>IS!AU7</f>
        <v>1305</v>
      </c>
      <c r="AV47" s="30">
        <f>IS!AV7</f>
        <v>1428</v>
      </c>
      <c r="AW47" s="30">
        <f>IS!AW7</f>
        <v>2004</v>
      </c>
      <c r="AX47" s="33">
        <f>IS!AX7</f>
        <v>2173</v>
      </c>
      <c r="AY47" s="32">
        <f>IS!AY7</f>
        <v>1937</v>
      </c>
      <c r="AZ47" s="30">
        <f>IS!AZ7</f>
        <v>2230</v>
      </c>
      <c r="BA47" s="30">
        <f>IS!BA7</f>
        <v>2636</v>
      </c>
      <c r="BB47" s="33">
        <f>IS!BB7</f>
        <v>2911</v>
      </c>
      <c r="BC47" s="32">
        <f>IS!BC7</f>
        <v>2921.4992061885541</v>
      </c>
      <c r="BD47" s="30">
        <f>IS!BD7</f>
        <v>3157.7929861175189</v>
      </c>
      <c r="BE47" s="30">
        <f>IS!BE7</f>
        <v>3408.76751356866</v>
      </c>
      <c r="BF47" s="33">
        <f>IS!BF7</f>
        <v>3540.3997760779021</v>
      </c>
      <c r="BG47" s="32">
        <f>IS!BG7</f>
        <v>3289.123932639282</v>
      </c>
      <c r="BH47" s="30">
        <f>IS!BH7</f>
        <v>3683.0310512199744</v>
      </c>
      <c r="BI47" s="30">
        <f>IS!BI7</f>
        <v>3983.4520978772739</v>
      </c>
      <c r="BJ47" s="33">
        <f>IS!BJ7</f>
        <v>4039.3637847652603</v>
      </c>
      <c r="BK47" s="32">
        <f>IS!BK7</f>
        <v>3778.7515910203692</v>
      </c>
      <c r="BL47" s="30">
        <f>IS!BL7</f>
        <v>4237.0212800938998</v>
      </c>
      <c r="BM47" s="30">
        <f>IS!BM7</f>
        <v>4549.6430580955694</v>
      </c>
      <c r="BN47" s="33">
        <f>IS!BN7</f>
        <v>4637.8781018430618</v>
      </c>
      <c r="BO47" s="131"/>
      <c r="BP47" s="59">
        <f>SUM(C47:F47)</f>
        <v>2375.6869999999999</v>
      </c>
      <c r="BQ47" s="59">
        <f>SUM(G47:J47)</f>
        <v>3068.7710000000002</v>
      </c>
      <c r="BR47" s="59">
        <f>SUM(K47:N47)</f>
        <v>4097.8599999999997</v>
      </c>
      <c r="BS47" s="59">
        <f>SUM(O47:R47)</f>
        <v>3424.8589999999999</v>
      </c>
      <c r="BT47" s="59">
        <f>SUM(S47:V47)</f>
        <v>3326.4449999999997</v>
      </c>
      <c r="BU47" s="59">
        <f>SUM(W47:Z47)</f>
        <v>3543.3089999999997</v>
      </c>
      <c r="BV47" s="59">
        <f>SUM(AA47:AD47)</f>
        <v>3997.93</v>
      </c>
      <c r="BW47" s="59">
        <f>SUM(AE47:AH47)</f>
        <v>4280.1589999999997</v>
      </c>
      <c r="BX47" s="59">
        <f>SUM(AI47:AL47)</f>
        <v>4130.1620000000003</v>
      </c>
      <c r="BY47" s="59">
        <f>SUM(AM47:AP47)</f>
        <v>4681.5069999999996</v>
      </c>
      <c r="BZ47" s="59">
        <f>SUM(AQ47:AT47)</f>
        <v>5010</v>
      </c>
      <c r="CA47" s="59">
        <f>SUM(AU47:AX47)</f>
        <v>6910</v>
      </c>
      <c r="CB47" s="59">
        <f>SUM(AY47:BB47)</f>
        <v>9714</v>
      </c>
      <c r="CC47" s="59">
        <f>SUM(BC47:BF47)</f>
        <v>13028.459481952636</v>
      </c>
      <c r="CD47" s="59">
        <f>SUM(BG47:BJ47)</f>
        <v>14994.970866501792</v>
      </c>
      <c r="CE47" s="59">
        <f>SUM(BK47:BN47)</f>
        <v>17203.294031052901</v>
      </c>
      <c r="CG47" s="14"/>
      <c r="CZ47"/>
      <c r="DA47"/>
      <c r="DB47"/>
      <c r="DC47"/>
      <c r="DD47"/>
      <c r="DE47"/>
    </row>
    <row r="48" spans="1:109" s="5" customFormat="1">
      <c r="B48" s="5" t="s">
        <v>3</v>
      </c>
      <c r="C48" s="32">
        <f>IS!C11</f>
        <v>373.69299999999998</v>
      </c>
      <c r="D48" s="30">
        <f>IS!D11</f>
        <v>357.43700000000001</v>
      </c>
      <c r="E48" s="30">
        <f>IS!E11</f>
        <v>355.42</v>
      </c>
      <c r="F48" s="33">
        <f>IS!F11</f>
        <v>379.10399999999993</v>
      </c>
      <c r="G48" s="30">
        <f>IS!G11</f>
        <v>393.05</v>
      </c>
      <c r="H48" s="30">
        <f>IS!H11</f>
        <v>395.39100000000002</v>
      </c>
      <c r="I48" s="30">
        <f>IS!I11</f>
        <v>486.63</v>
      </c>
      <c r="J48" s="30">
        <f>IS!J11</f>
        <v>493.16699999999992</v>
      </c>
      <c r="K48" s="32">
        <f>IS!K11</f>
        <v>464.142</v>
      </c>
      <c r="L48" s="30">
        <f>IS!L11</f>
        <v>511.26100000000002</v>
      </c>
      <c r="M48" s="30">
        <f>IS!M11</f>
        <v>600.04399999999998</v>
      </c>
      <c r="N48" s="33">
        <f>IS!N11</f>
        <v>653.13300000000004</v>
      </c>
      <c r="O48" s="30">
        <f>IS!O11</f>
        <v>638.54499999999996</v>
      </c>
      <c r="P48" s="30">
        <f>IS!P11</f>
        <v>742.75900000000001</v>
      </c>
      <c r="Q48" s="30">
        <f>IS!Q11</f>
        <v>529.81200000000001</v>
      </c>
      <c r="R48" s="30">
        <f>IS!R11</f>
        <v>339.47400000000027</v>
      </c>
      <c r="S48" s="32">
        <f>IS!S11</f>
        <v>474.53500000000003</v>
      </c>
      <c r="T48" s="30">
        <f>IS!T11</f>
        <v>619.79700000000003</v>
      </c>
      <c r="U48" s="30">
        <f>IS!U11</f>
        <v>511.423</v>
      </c>
      <c r="V48" s="33">
        <f>IS!V11</f>
        <v>543.76699999999983</v>
      </c>
      <c r="W48" s="30">
        <f>IS!W11</f>
        <v>545.43600000000004</v>
      </c>
      <c r="X48" s="30">
        <f>IS!X11</f>
        <v>676.91600000000005</v>
      </c>
      <c r="Y48" s="30">
        <f>IS!Y11</f>
        <v>451.85</v>
      </c>
      <c r="Z48" s="30">
        <f>IS!Z11</f>
        <v>460.01700000000005</v>
      </c>
      <c r="AA48" s="32">
        <f>IS!AA11</f>
        <v>477.536</v>
      </c>
      <c r="AB48" s="30">
        <f>IS!AB11</f>
        <v>491.233</v>
      </c>
      <c r="AC48" s="30">
        <f>IS!AC11</f>
        <v>509.46300000000002</v>
      </c>
      <c r="AD48" s="33">
        <f>IS!AD11</f>
        <v>463.18099999999998</v>
      </c>
      <c r="AE48" s="30">
        <f>IS!AE11</f>
        <v>461.51299999999998</v>
      </c>
      <c r="AF48" s="30">
        <f>IS!AF11</f>
        <v>503.55099999999999</v>
      </c>
      <c r="AG48" s="30">
        <f>IS!AG11</f>
        <v>567.452</v>
      </c>
      <c r="AH48" s="30">
        <f>IS!AH11</f>
        <v>521.29999999999995</v>
      </c>
      <c r="AI48" s="32">
        <f>IS!AI11</f>
        <v>436.17099999999999</v>
      </c>
      <c r="AJ48" s="30">
        <f>IS!AJ11</f>
        <v>431.7</v>
      </c>
      <c r="AK48" s="30">
        <f>IS!AK11</f>
        <v>469.55200000000002</v>
      </c>
      <c r="AL48" s="33">
        <f>IS!AL11</f>
        <v>524.97599999999966</v>
      </c>
      <c r="AM48" s="32">
        <f>IS!AM11</f>
        <v>498.58499999999998</v>
      </c>
      <c r="AN48" s="30">
        <f>IS!AN11</f>
        <v>483.85</v>
      </c>
      <c r="AO48" s="30">
        <f>IS!AO11</f>
        <v>548.68399999999997</v>
      </c>
      <c r="AP48" s="33">
        <f>IS!AP11</f>
        <v>550.91099999999994</v>
      </c>
      <c r="AQ48" s="32">
        <f>IS!AQ11</f>
        <v>498</v>
      </c>
      <c r="AR48" s="30">
        <f>IS!AR11</f>
        <v>519</v>
      </c>
      <c r="AS48" s="30">
        <f>IS!AS11</f>
        <v>571</v>
      </c>
      <c r="AT48" s="33">
        <f>IS!AT11</f>
        <v>611</v>
      </c>
      <c r="AU48" s="32">
        <f>IS!AU11</f>
        <v>554</v>
      </c>
      <c r="AV48" s="30">
        <f>IS!AV11</f>
        <v>602</v>
      </c>
      <c r="AW48" s="30">
        <f>IS!AW11</f>
        <v>821</v>
      </c>
      <c r="AX48" s="33">
        <f>IS!AX11</f>
        <v>870</v>
      </c>
      <c r="AY48" s="32">
        <f>IS!AY11</f>
        <v>787</v>
      </c>
      <c r="AZ48" s="30">
        <f>IS!AZ11</f>
        <v>928</v>
      </c>
      <c r="BA48" s="30">
        <f>IS!BA11</f>
        <v>1067</v>
      </c>
      <c r="BB48" s="33">
        <f>IS!BB11</f>
        <v>1110</v>
      </c>
      <c r="BC48" s="32">
        <f>IS!BC11</f>
        <v>1085.8808410884767</v>
      </c>
      <c r="BD48" s="30">
        <f>IS!BD11</f>
        <v>1189.580411476423</v>
      </c>
      <c r="BE48" s="30">
        <f>IS!BE11</f>
        <v>1298.1507939874641</v>
      </c>
      <c r="BF48" s="33">
        <f>IS!BF11</f>
        <v>1349.5061391133399</v>
      </c>
      <c r="BG48" s="32">
        <f>IS!BG11</f>
        <v>1246.2006698682203</v>
      </c>
      <c r="BH48" s="30">
        <f>IS!BH11</f>
        <v>1398.9626249468047</v>
      </c>
      <c r="BI48" s="30">
        <f>IS!BI11</f>
        <v>1519.2327185812442</v>
      </c>
      <c r="BJ48" s="33">
        <f>IS!BJ11</f>
        <v>1529.3986234453996</v>
      </c>
      <c r="BK48" s="32">
        <f>IS!BK11</f>
        <v>1418.2007809066959</v>
      </c>
      <c r="BL48" s="30">
        <f>IS!BL11</f>
        <v>1594.1010380018279</v>
      </c>
      <c r="BM48" s="30">
        <f>IS!BM11</f>
        <v>1715.8388996238123</v>
      </c>
      <c r="BN48" s="33">
        <f>IS!BN11</f>
        <v>1735.4160836363603</v>
      </c>
      <c r="BO48" s="131"/>
      <c r="BP48" s="59">
        <f>SUM(C48:F48)</f>
        <v>1465.654</v>
      </c>
      <c r="BQ48" s="59">
        <f>SUM(G48:J48)</f>
        <v>1768.2379999999998</v>
      </c>
      <c r="BR48" s="59">
        <f>SUM(K48:N48)</f>
        <v>2228.58</v>
      </c>
      <c r="BS48" s="59">
        <f>SUM(O48:R48)</f>
        <v>2250.59</v>
      </c>
      <c r="BT48" s="59">
        <f>SUM(S48:V48)</f>
        <v>2149.5219999999999</v>
      </c>
      <c r="BU48" s="59">
        <f>SUM(W48:Z48)</f>
        <v>2134.2190000000001</v>
      </c>
      <c r="BV48" s="59">
        <f>SUM(AA48:AD48)</f>
        <v>1941.413</v>
      </c>
      <c r="BW48" s="59">
        <f>SUM(AE48:AH48)</f>
        <v>2053.8159999999998</v>
      </c>
      <c r="BX48" s="59">
        <f>SUM(AI48:AL48)</f>
        <v>1862.3989999999997</v>
      </c>
      <c r="BY48" s="59">
        <f>SUM(AM48:AP48)</f>
        <v>2082.0299999999997</v>
      </c>
      <c r="BZ48" s="59">
        <f>SUM(AQ48:AT48)</f>
        <v>2199</v>
      </c>
      <c r="CA48" s="59">
        <f>SUM(AU48:AX48)</f>
        <v>2847</v>
      </c>
      <c r="CB48" s="59">
        <f>SUM(AY48:BB48)</f>
        <v>3892</v>
      </c>
      <c r="CC48" s="59">
        <f>SUM(BC48:BF48)</f>
        <v>4923.118185665704</v>
      </c>
      <c r="CD48" s="59">
        <f>SUM(BG48:BJ48)</f>
        <v>5693.7946368416688</v>
      </c>
      <c r="CE48" s="59">
        <f>SUM(BK48:BN48)</f>
        <v>6463.5568021686959</v>
      </c>
      <c r="CG48" s="14"/>
      <c r="CZ48"/>
      <c r="DA48"/>
      <c r="DB48"/>
      <c r="DC48"/>
      <c r="DD48"/>
      <c r="DE48"/>
    </row>
    <row r="49" spans="1:109" s="5" customFormat="1">
      <c r="B49" s="5" t="s">
        <v>334</v>
      </c>
      <c r="C49" s="32"/>
      <c r="D49" s="30"/>
      <c r="E49" s="30"/>
      <c r="F49" s="33"/>
      <c r="G49" s="30"/>
      <c r="H49" s="30"/>
      <c r="I49" s="30"/>
      <c r="J49" s="30"/>
      <c r="K49" s="32"/>
      <c r="L49" s="30"/>
      <c r="M49" s="30"/>
      <c r="N49" s="33"/>
      <c r="O49" s="30"/>
      <c r="P49" s="30"/>
      <c r="Q49" s="30"/>
      <c r="R49" s="30"/>
      <c r="S49" s="32"/>
      <c r="T49" s="30"/>
      <c r="U49" s="30"/>
      <c r="V49" s="33"/>
      <c r="W49" s="30"/>
      <c r="X49" s="30"/>
      <c r="Y49" s="30"/>
      <c r="Z49" s="30"/>
      <c r="AA49" s="32"/>
      <c r="AB49" s="30"/>
      <c r="AC49" s="30"/>
      <c r="AD49" s="33"/>
      <c r="AE49" s="30">
        <f>SUM(CF!AE18:AE23)</f>
        <v>-160.11099999999999</v>
      </c>
      <c r="AF49" s="30">
        <f>SUM(CF!AF18:AF23)</f>
        <v>-34.337000000000003</v>
      </c>
      <c r="AG49" s="30">
        <f>SUM(CF!AG18:AG23)</f>
        <v>-146.69499999999999</v>
      </c>
      <c r="AH49" s="30">
        <f>SUM(CF!AH18:AH23)</f>
        <v>228.82099999999997</v>
      </c>
      <c r="AI49" s="32">
        <f>SUM(CF!AI18:AI23)</f>
        <v>12.812999999999988</v>
      </c>
      <c r="AJ49" s="30">
        <f>SUM(CF!AJ18:AJ23)</f>
        <v>-93.305000000000007</v>
      </c>
      <c r="AK49" s="30">
        <f>SUM(CF!AK18:AK23)</f>
        <v>-58.029999999999994</v>
      </c>
      <c r="AL49" s="33">
        <f>SUM(CF!AL18:AL23)</f>
        <v>150.75899999999999</v>
      </c>
      <c r="AM49" s="32">
        <f>SUM(CF!AM18:AM23)</f>
        <v>-90.676000000000002</v>
      </c>
      <c r="AN49" s="30">
        <f>SUM(CF!AN18:AN23)</f>
        <v>-156.12399999999997</v>
      </c>
      <c r="AO49" s="30">
        <f>SUM(CF!AO18:AO23)</f>
        <v>-82.183000000000035</v>
      </c>
      <c r="AP49" s="33">
        <f>SUM(CF!AP18:AP23)</f>
        <v>126.45600000000005</v>
      </c>
      <c r="AQ49" s="32">
        <f>SUM(CF!AQ18:AQ23)</f>
        <v>-20</v>
      </c>
      <c r="AR49" s="30">
        <f>SUM(CF!AR18:AR23)</f>
        <v>-40</v>
      </c>
      <c r="AS49" s="30">
        <f>SUM(CF!AS18:AS23)</f>
        <v>-148</v>
      </c>
      <c r="AT49" s="33">
        <f>SUM(CF!AT18:AT23)</f>
        <v>157</v>
      </c>
      <c r="AU49" s="32">
        <f>SUM(CF!AU18:AU23)</f>
        <v>-18</v>
      </c>
      <c r="AV49" s="30">
        <f>SUM(CF!AV18:AV23)</f>
        <v>-207</v>
      </c>
      <c r="AW49" s="30">
        <f>SUM(CF!AW18:AW23)</f>
        <v>-339</v>
      </c>
      <c r="AX49" s="33">
        <f>SUM(CF!AX18:AX23)</f>
        <v>-115</v>
      </c>
      <c r="AY49" s="32">
        <f>SUM(CF!AY18:AY23)</f>
        <v>-391</v>
      </c>
      <c r="AZ49" s="30">
        <f>SUM(CF!AZ18:AZ23)</f>
        <v>-110</v>
      </c>
      <c r="BA49" s="30">
        <f>SUM(CF!BA18:BA23)</f>
        <v>114</v>
      </c>
      <c r="BB49" s="33">
        <f>SUM(CF!BB18:BB23)</f>
        <v>572</v>
      </c>
      <c r="BC49" s="32">
        <f>SUM(CF!BC18:BC23)</f>
        <v>7.2620046854262057</v>
      </c>
      <c r="BD49" s="30">
        <f>SUM(CF!BD18:BD23)</f>
        <v>-128.68180625144589</v>
      </c>
      <c r="BE49" s="30">
        <f>SUM(CF!BE18:BE23)</f>
        <v>-136.29811370681597</v>
      </c>
      <c r="BF49" s="33">
        <f>SUM(CF!BF18:BF23)</f>
        <v>-70.140401936399343</v>
      </c>
      <c r="BG49" s="32">
        <f>SUM(CF!BG18:BG23)</f>
        <v>135.16235180784653</v>
      </c>
      <c r="BH49" s="30">
        <f>SUM(CF!BH18:BH23)</f>
        <v>-209.67277530892085</v>
      </c>
      <c r="BI49" s="30">
        <f>SUM(CF!BI18:BI23)</f>
        <v>-160.81740984518441</v>
      </c>
      <c r="BJ49" s="33">
        <f>SUM(CF!BJ18:BJ23)</f>
        <v>-26.987383209563149</v>
      </c>
      <c r="BK49" s="32">
        <f>SUM(CF!BK18:BK23)</f>
        <v>141.16077804030007</v>
      </c>
      <c r="BL49" s="30">
        <f>SUM(CF!BL18:BL23)</f>
        <v>-243.49344047185008</v>
      </c>
      <c r="BM49" s="30">
        <f>SUM(CF!BM18:BM23)</f>
        <v>-166.52567374482638</v>
      </c>
      <c r="BN49" s="33">
        <f>SUM(CF!BN18:BN23)</f>
        <v>-43.440365770277225</v>
      </c>
      <c r="BO49" s="131"/>
      <c r="BP49" s="59"/>
      <c r="BQ49" s="59"/>
      <c r="BR49" s="59"/>
      <c r="BS49" s="59"/>
      <c r="BT49" s="59"/>
      <c r="BU49" s="59"/>
      <c r="BV49" s="59"/>
      <c r="BW49" s="59"/>
      <c r="BX49" s="59">
        <f>SUM(CF!BX18:BX23)</f>
        <v>12.236999999999988</v>
      </c>
      <c r="BY49" s="59">
        <f>SUM(CF!BY18:BY23)</f>
        <v>-202.52700000000002</v>
      </c>
      <c r="BZ49" s="59">
        <f>SUM(CF!BZ18:BZ23)</f>
        <v>-51</v>
      </c>
      <c r="CA49" s="73">
        <f>SUM(CF!CA18:CA23)</f>
        <v>-679</v>
      </c>
      <c r="CB49" s="73">
        <f>SUM(CF!CB18:CB23)</f>
        <v>185</v>
      </c>
      <c r="CC49" s="73">
        <f>SUM(CF!CC18:CC23)</f>
        <v>-327.858317209235</v>
      </c>
      <c r="CD49" s="73">
        <f>SUM(CF!CD18:CD23)</f>
        <v>-262.31521655582185</v>
      </c>
      <c r="CE49" s="73">
        <f>SUM(CF!CE18:CE23)</f>
        <v>-312.29870194665364</v>
      </c>
      <c r="CG49" s="14"/>
      <c r="CZ49"/>
      <c r="DA49"/>
      <c r="DB49"/>
      <c r="DC49"/>
      <c r="DD49"/>
      <c r="DE49"/>
    </row>
    <row r="50" spans="1:109">
      <c r="AW50" s="141"/>
      <c r="AX50" s="273"/>
      <c r="BB50" s="273"/>
      <c r="BF50" s="273"/>
      <c r="BJ50" s="273"/>
      <c r="CG50" s="14"/>
    </row>
    <row r="51" spans="1:109" s="5" customFormat="1">
      <c r="A51" s="7"/>
      <c r="B51" s="415" t="s">
        <v>367</v>
      </c>
      <c r="C51" s="358"/>
      <c r="D51" s="359"/>
      <c r="E51" s="359"/>
      <c r="F51" s="360"/>
      <c r="G51" s="359"/>
      <c r="H51" s="359"/>
      <c r="I51" s="359"/>
      <c r="J51" s="359"/>
      <c r="K51" s="358"/>
      <c r="L51" s="359"/>
      <c r="M51" s="359"/>
      <c r="N51" s="360"/>
      <c r="O51" s="359"/>
      <c r="P51" s="359"/>
      <c r="Q51" s="359"/>
      <c r="R51" s="359"/>
      <c r="S51" s="358"/>
      <c r="T51" s="359"/>
      <c r="U51" s="359"/>
      <c r="V51" s="360"/>
      <c r="W51" s="359"/>
      <c r="X51" s="359"/>
      <c r="Y51" s="359"/>
      <c r="Z51" s="359"/>
      <c r="AA51" s="358"/>
      <c r="AB51" s="359"/>
      <c r="AC51" s="359"/>
      <c r="AD51" s="360"/>
      <c r="AE51" s="359"/>
      <c r="AF51" s="359"/>
      <c r="AG51" s="359"/>
      <c r="AH51" s="359"/>
      <c r="AI51" s="358"/>
      <c r="AJ51" s="359"/>
      <c r="AK51" s="359"/>
      <c r="AL51" s="360"/>
      <c r="AM51" s="358"/>
      <c r="AN51" s="359"/>
      <c r="AO51" s="359"/>
      <c r="AP51" s="360"/>
      <c r="AQ51" s="358"/>
      <c r="AR51" s="359"/>
      <c r="AS51" s="359"/>
      <c r="AT51" s="360"/>
      <c r="AU51" s="358"/>
      <c r="AV51" s="359"/>
      <c r="AW51" s="359"/>
      <c r="AX51" s="360"/>
      <c r="AY51" s="358"/>
      <c r="AZ51" s="359"/>
      <c r="BA51" s="359"/>
      <c r="BB51" s="360"/>
      <c r="BC51" s="358"/>
      <c r="BD51" s="359"/>
      <c r="BE51" s="359"/>
      <c r="BF51" s="360"/>
      <c r="BG51" s="358"/>
      <c r="BH51" s="359"/>
      <c r="BI51" s="359"/>
      <c r="BJ51" s="360"/>
      <c r="BK51" s="358"/>
      <c r="BL51" s="359"/>
      <c r="BM51" s="359"/>
      <c r="BN51" s="360"/>
      <c r="BO51" s="359"/>
      <c r="BP51" s="359"/>
      <c r="BQ51" s="359"/>
      <c r="BR51" s="359"/>
      <c r="BS51" s="359"/>
      <c r="BT51" s="359"/>
      <c r="BU51" s="359"/>
      <c r="BV51" s="359"/>
      <c r="BW51" s="359"/>
      <c r="BX51" s="359"/>
      <c r="BY51" s="359"/>
      <c r="BZ51" s="359"/>
      <c r="CA51" s="359"/>
      <c r="CB51" s="359"/>
      <c r="CC51" s="359"/>
      <c r="CD51" s="359"/>
      <c r="CE51" s="359"/>
      <c r="CG51" s="14"/>
      <c r="CZ51"/>
      <c r="DA51"/>
      <c r="DB51"/>
      <c r="DC51"/>
      <c r="DD51"/>
      <c r="DE51"/>
    </row>
    <row r="52" spans="1:109">
      <c r="B52" s="5" t="s">
        <v>143</v>
      </c>
      <c r="AE52" s="30">
        <f>IS!AE85</f>
        <v>623.78599999999994</v>
      </c>
      <c r="AF52" s="30">
        <f>IS!AF85</f>
        <v>623.14300000000003</v>
      </c>
      <c r="AG52" s="30">
        <f>IS!AG85</f>
        <v>628.84500000000003</v>
      </c>
      <c r="AH52" s="30">
        <f>IS!AH85</f>
        <v>622.01800000000003</v>
      </c>
      <c r="AI52" s="32">
        <f>IS!AI85</f>
        <v>619.30200000000002</v>
      </c>
      <c r="AJ52" s="30">
        <f>IS!AJ85</f>
        <v>592.00599999999997</v>
      </c>
      <c r="AK52" s="30">
        <f>IS!AK85</f>
        <v>588.75199999999995</v>
      </c>
      <c r="AL52" s="33">
        <f>IS!AL85</f>
        <v>577.35599999999999</v>
      </c>
      <c r="AM52" s="32">
        <f>IS!AM85</f>
        <v>570.42200000000003</v>
      </c>
      <c r="AN52" s="30">
        <f>IS!AN85</f>
        <v>570.572</v>
      </c>
      <c r="AO52" s="30">
        <f>IS!AO85</f>
        <v>558.20100000000002</v>
      </c>
      <c r="AP52" s="33">
        <f>IS!AP85</f>
        <v>556.57299999999998</v>
      </c>
      <c r="AQ52" s="32">
        <f>IS!AQ85</f>
        <v>568</v>
      </c>
      <c r="AR52" s="67">
        <f>IS!AR85</f>
        <v>556</v>
      </c>
      <c r="AS52" s="30">
        <f>IS!AS85</f>
        <v>565</v>
      </c>
      <c r="AT52" s="236">
        <f>IS!AT85</f>
        <v>593</v>
      </c>
      <c r="AU52" s="32">
        <f>IS!AU85</f>
        <v>597</v>
      </c>
      <c r="AV52" s="67">
        <f>IS!AV85</f>
        <v>631</v>
      </c>
      <c r="AW52" s="30">
        <f>IS!AW85</f>
        <v>653</v>
      </c>
      <c r="AX52" s="236">
        <f>IS!AX85</f>
        <v>660</v>
      </c>
      <c r="AY52" s="32">
        <f>IS!AY85</f>
        <v>641</v>
      </c>
      <c r="AZ52" s="67">
        <f>IS!AZ85</f>
        <v>633</v>
      </c>
      <c r="BA52" s="67">
        <f>IS!BA85</f>
        <v>628</v>
      </c>
      <c r="BB52" s="236">
        <f>IS!BB85</f>
        <v>628</v>
      </c>
      <c r="BC52" s="32">
        <f>IS!BC85</f>
        <v>630.07260726072616</v>
      </c>
      <c r="BD52" s="67">
        <f>IS!BD85</f>
        <v>632.1452145214522</v>
      </c>
      <c r="BE52" s="67">
        <f>IS!BE85</f>
        <v>634.21782178217825</v>
      </c>
      <c r="BF52" s="236">
        <f>IS!BF85</f>
        <v>636.29042904290441</v>
      </c>
      <c r="BG52" s="32">
        <f>IS!BG85</f>
        <v>638.36303630363045</v>
      </c>
      <c r="BH52" s="67">
        <f>IS!BH85</f>
        <v>640.4356435643565</v>
      </c>
      <c r="BI52" s="67">
        <f>IS!BI85</f>
        <v>642.50825082508254</v>
      </c>
      <c r="BJ52" s="236">
        <f>IS!BJ85</f>
        <v>644.5808580858087</v>
      </c>
      <c r="BK52" s="32">
        <f>IS!BK85</f>
        <v>646.65346534653474</v>
      </c>
      <c r="BL52" s="67">
        <f>IS!BL85</f>
        <v>648.72607260726079</v>
      </c>
      <c r="BM52" s="67">
        <f>IS!BM85</f>
        <v>650.79867986798683</v>
      </c>
      <c r="BN52" s="236">
        <f>IS!BN85</f>
        <v>652.87128712871299</v>
      </c>
      <c r="BO52" s="131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14"/>
      <c r="CB52" s="14"/>
      <c r="CC52" s="926"/>
      <c r="CD52" s="926"/>
      <c r="CE52" s="926"/>
    </row>
    <row r="53" spans="1:109">
      <c r="B53" s="5"/>
      <c r="AE53" s="30"/>
      <c r="AF53" s="30"/>
      <c r="AG53" s="30"/>
      <c r="AH53" s="30"/>
      <c r="AI53" s="32"/>
      <c r="AJ53" s="30"/>
      <c r="AK53" s="30"/>
      <c r="AL53" s="33"/>
      <c r="AM53" s="32"/>
      <c r="AN53" s="30"/>
      <c r="AO53" s="30"/>
      <c r="AP53" s="33"/>
      <c r="AQ53" s="32"/>
      <c r="AR53" s="73"/>
      <c r="AS53" s="30"/>
      <c r="AT53" s="238"/>
      <c r="AU53" s="32"/>
      <c r="AV53" s="73"/>
      <c r="AW53" s="30"/>
      <c r="AX53" s="238"/>
      <c r="AY53" s="32"/>
      <c r="AZ53" s="73"/>
      <c r="BA53" s="73"/>
      <c r="BB53" s="238"/>
      <c r="BC53" s="32"/>
      <c r="BD53" s="73"/>
      <c r="BE53" s="73"/>
      <c r="BF53" s="238"/>
      <c r="BG53" s="32"/>
      <c r="BH53" s="73"/>
      <c r="BI53" s="73"/>
      <c r="BJ53" s="238"/>
      <c r="BK53" s="32"/>
      <c r="BL53" s="73"/>
      <c r="BM53" s="73"/>
      <c r="BN53" s="238"/>
      <c r="BO53" s="131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14"/>
      <c r="CB53" s="14"/>
      <c r="CC53" s="926"/>
      <c r="CD53" s="926"/>
      <c r="CE53" s="926"/>
    </row>
    <row r="54" spans="1:109">
      <c r="B54" s="377" t="s">
        <v>368</v>
      </c>
      <c r="AE54" s="30"/>
      <c r="AF54" s="30"/>
      <c r="AG54" s="30"/>
      <c r="AH54" s="30"/>
      <c r="AI54" s="32"/>
      <c r="AJ54" s="30"/>
      <c r="AK54" s="30"/>
      <c r="AL54" s="33"/>
      <c r="AM54" s="32"/>
      <c r="AN54" s="30"/>
      <c r="AO54" s="30"/>
      <c r="AP54" s="33"/>
      <c r="AQ54" s="32"/>
      <c r="AR54" s="73"/>
      <c r="AS54" s="30"/>
      <c r="AT54" s="238"/>
      <c r="AU54" s="32"/>
      <c r="AV54" s="73"/>
      <c r="AW54" s="30"/>
      <c r="AX54" s="238"/>
      <c r="AY54" s="32"/>
      <c r="AZ54" s="73"/>
      <c r="BA54" s="73"/>
      <c r="BB54" s="238"/>
      <c r="BC54" s="32"/>
      <c r="BD54" s="73"/>
      <c r="BE54" s="73"/>
      <c r="BF54" s="238"/>
      <c r="BG54" s="32"/>
      <c r="BH54" s="73"/>
      <c r="BI54" s="73"/>
      <c r="BJ54" s="238"/>
      <c r="BK54" s="32"/>
      <c r="BL54" s="73"/>
      <c r="BM54" s="73"/>
      <c r="BN54" s="238"/>
      <c r="BO54" s="131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14"/>
      <c r="CB54" s="14"/>
      <c r="CC54" s="926"/>
      <c r="CD54" s="926"/>
      <c r="CE54" s="926"/>
    </row>
    <row r="55" spans="1:109">
      <c r="B55" s="5" t="s">
        <v>369</v>
      </c>
      <c r="AE55" s="73">
        <f>AE8</f>
        <v>369.13499999999999</v>
      </c>
      <c r="AF55" s="73">
        <f t="shared" ref="AF55:AT55" si="204">AF8</f>
        <v>499.61799999999999</v>
      </c>
      <c r="AG55" s="73">
        <f t="shared" si="204"/>
        <v>525.38800000000003</v>
      </c>
      <c r="AH55" s="73">
        <f t="shared" si="204"/>
        <v>732.78599999999994</v>
      </c>
      <c r="AI55" s="237">
        <f t="shared" si="204"/>
        <v>561.423</v>
      </c>
      <c r="AJ55" s="73">
        <f t="shared" si="204"/>
        <v>591.32100000000003</v>
      </c>
      <c r="AK55" s="73">
        <f t="shared" si="204"/>
        <v>562.08399999999995</v>
      </c>
      <c r="AL55" s="238">
        <f t="shared" si="204"/>
        <v>1151.587</v>
      </c>
      <c r="AM55" s="237">
        <f t="shared" si="204"/>
        <v>509.16500000000002</v>
      </c>
      <c r="AN55" s="73">
        <f t="shared" si="204"/>
        <v>515.09199999999998</v>
      </c>
      <c r="AO55" s="73">
        <f t="shared" si="204"/>
        <v>394.68299999999999</v>
      </c>
      <c r="AP55" s="238">
        <f t="shared" si="204"/>
        <v>496.654</v>
      </c>
      <c r="AQ55" s="237">
        <f t="shared" si="204"/>
        <v>464</v>
      </c>
      <c r="AR55" s="73">
        <f t="shared" si="204"/>
        <v>435</v>
      </c>
      <c r="AS55" s="73">
        <f t="shared" si="204"/>
        <v>471</v>
      </c>
      <c r="AT55" s="238">
        <f t="shared" si="204"/>
        <v>596</v>
      </c>
      <c r="AU55" s="237">
        <f t="shared" ref="AU55:AX55" si="205">AU8</f>
        <v>547</v>
      </c>
      <c r="AV55" s="73">
        <f t="shared" si="205"/>
        <v>426</v>
      </c>
      <c r="AW55" s="73">
        <f t="shared" si="205"/>
        <v>1940</v>
      </c>
      <c r="AX55" s="238">
        <f t="shared" si="205"/>
        <v>1766</v>
      </c>
      <c r="AY55" s="237">
        <f t="shared" ref="AY55:AZ55" si="206">AY8</f>
        <v>1989</v>
      </c>
      <c r="AZ55" s="73">
        <f t="shared" si="206"/>
        <v>1988</v>
      </c>
      <c r="BA55" s="73">
        <f t="shared" ref="BA55:BB55" si="207">BA8</f>
        <v>2802</v>
      </c>
      <c r="BB55" s="238">
        <f t="shared" si="207"/>
        <v>4002</v>
      </c>
      <c r="BC55" s="237">
        <f t="shared" ref="BC55:BJ55" si="208">BC8</f>
        <v>4961.7276310065799</v>
      </c>
      <c r="BD55" s="73">
        <f t="shared" si="208"/>
        <v>5874.91964922221</v>
      </c>
      <c r="BE55" s="73">
        <f t="shared" si="208"/>
        <v>6877.4983795767903</v>
      </c>
      <c r="BF55" s="238">
        <f t="shared" si="208"/>
        <v>7991.1466120371306</v>
      </c>
      <c r="BG55" s="237">
        <f t="shared" si="208"/>
        <v>9177.6314018008743</v>
      </c>
      <c r="BH55" s="73">
        <f t="shared" si="208"/>
        <v>10208.300986034432</v>
      </c>
      <c r="BI55" s="73">
        <f t="shared" si="208"/>
        <v>11425.636849030425</v>
      </c>
      <c r="BJ55" s="238">
        <f t="shared" si="208"/>
        <v>12802.673077532458</v>
      </c>
      <c r="BK55" s="237">
        <f t="shared" ref="BK55:BN55" si="209">BK8</f>
        <v>14222.575472541645</v>
      </c>
      <c r="BL55" s="73">
        <f t="shared" si="209"/>
        <v>15484.687028307006</v>
      </c>
      <c r="BM55" s="73">
        <f t="shared" si="209"/>
        <v>16973.548426511632</v>
      </c>
      <c r="BN55" s="238">
        <f t="shared" si="209"/>
        <v>18635.230689071974</v>
      </c>
      <c r="BO55" s="131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14"/>
      <c r="CB55" s="14"/>
      <c r="CC55" s="926"/>
      <c r="CD55" s="926"/>
      <c r="CE55" s="926"/>
    </row>
    <row r="56" spans="1:109">
      <c r="B56" s="5" t="s">
        <v>382</v>
      </c>
      <c r="AE56" s="73">
        <f>AE9</f>
        <v>2761.6770000000001</v>
      </c>
      <c r="AF56" s="73">
        <f t="shared" ref="AF56:AT56" si="210">AF9</f>
        <v>2778.482</v>
      </c>
      <c r="AG56" s="73">
        <f t="shared" si="210"/>
        <v>2909.384</v>
      </c>
      <c r="AH56" s="73">
        <f t="shared" si="210"/>
        <v>2995.0970000000002</v>
      </c>
      <c r="AI56" s="237">
        <f t="shared" si="210"/>
        <v>3151.9279999999999</v>
      </c>
      <c r="AJ56" s="73">
        <f t="shared" si="210"/>
        <v>2344.5720000000001</v>
      </c>
      <c r="AK56" s="73">
        <f t="shared" si="210"/>
        <v>2470.87</v>
      </c>
      <c r="AL56" s="238">
        <f t="shared" si="210"/>
        <v>3520.223</v>
      </c>
      <c r="AM56" s="237">
        <f t="shared" si="210"/>
        <v>3838.652</v>
      </c>
      <c r="AN56" s="73">
        <f t="shared" si="210"/>
        <v>3870.962</v>
      </c>
      <c r="AO56" s="73">
        <f t="shared" si="210"/>
        <v>3846.114</v>
      </c>
      <c r="AP56" s="238">
        <f t="shared" si="210"/>
        <v>4126.6850000000004</v>
      </c>
      <c r="AQ56" s="237">
        <f t="shared" si="210"/>
        <v>4328</v>
      </c>
      <c r="AR56" s="73">
        <f t="shared" si="210"/>
        <v>4070</v>
      </c>
      <c r="AS56" s="73">
        <f t="shared" si="210"/>
        <v>4257</v>
      </c>
      <c r="AT56" s="238">
        <f t="shared" si="210"/>
        <v>4441</v>
      </c>
      <c r="AU56" s="237">
        <f t="shared" ref="AU56:AX56" si="211">AU9</f>
        <v>4207</v>
      </c>
      <c r="AV56" s="73">
        <f t="shared" si="211"/>
        <v>4453</v>
      </c>
      <c r="AW56" s="73">
        <f t="shared" si="211"/>
        <v>4731</v>
      </c>
      <c r="AX56" s="238">
        <f t="shared" si="211"/>
        <v>5032</v>
      </c>
      <c r="AY56" s="237">
        <f t="shared" ref="AY56:AZ56" si="212">AY9</f>
        <v>4217</v>
      </c>
      <c r="AZ56" s="73">
        <f t="shared" si="212"/>
        <v>3889</v>
      </c>
      <c r="BA56" s="73">
        <f t="shared" ref="BA56:BB56" si="213">BA9</f>
        <v>3518</v>
      </c>
      <c r="BB56" s="238">
        <f t="shared" si="213"/>
        <v>3106</v>
      </c>
      <c r="BC56" s="237">
        <f t="shared" ref="BC56:BJ56" si="214">BC9</f>
        <v>3106</v>
      </c>
      <c r="BD56" s="73">
        <f t="shared" si="214"/>
        <v>3106</v>
      </c>
      <c r="BE56" s="73">
        <f t="shared" si="214"/>
        <v>3106</v>
      </c>
      <c r="BF56" s="238">
        <f t="shared" si="214"/>
        <v>3106</v>
      </c>
      <c r="BG56" s="237">
        <f t="shared" si="214"/>
        <v>3106</v>
      </c>
      <c r="BH56" s="73">
        <f t="shared" si="214"/>
        <v>3106</v>
      </c>
      <c r="BI56" s="73">
        <f t="shared" si="214"/>
        <v>3106</v>
      </c>
      <c r="BJ56" s="238">
        <f t="shared" si="214"/>
        <v>3106</v>
      </c>
      <c r="BK56" s="237">
        <f t="shared" ref="BK56:BN56" si="215">BK9</f>
        <v>3106</v>
      </c>
      <c r="BL56" s="73">
        <f t="shared" si="215"/>
        <v>3106</v>
      </c>
      <c r="BM56" s="73">
        <f t="shared" si="215"/>
        <v>3106</v>
      </c>
      <c r="BN56" s="238">
        <f t="shared" si="215"/>
        <v>3106</v>
      </c>
      <c r="BO56" s="131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14"/>
      <c r="CB56" s="14"/>
      <c r="CC56" s="926"/>
      <c r="CD56" s="926"/>
      <c r="CE56" s="926"/>
    </row>
    <row r="57" spans="1:109" s="540" customFormat="1">
      <c r="A57" s="9"/>
      <c r="B57" s="541" t="s">
        <v>370</v>
      </c>
      <c r="C57" s="542"/>
      <c r="D57" s="543"/>
      <c r="E57" s="543"/>
      <c r="F57" s="544"/>
      <c r="G57" s="543"/>
      <c r="H57" s="543"/>
      <c r="I57" s="543"/>
      <c r="J57" s="543"/>
      <c r="K57" s="542"/>
      <c r="L57" s="543"/>
      <c r="M57" s="543"/>
      <c r="N57" s="544"/>
      <c r="O57" s="543"/>
      <c r="P57" s="543"/>
      <c r="Q57" s="543"/>
      <c r="R57" s="543"/>
      <c r="S57" s="542"/>
      <c r="T57" s="543"/>
      <c r="U57" s="543"/>
      <c r="V57" s="544"/>
      <c r="W57" s="543"/>
      <c r="X57" s="543"/>
      <c r="Y57" s="543"/>
      <c r="Z57" s="543"/>
      <c r="AA57" s="542"/>
      <c r="AB57" s="543"/>
      <c r="AC57" s="543"/>
      <c r="AD57" s="544"/>
      <c r="AE57" s="546">
        <f>AE55+AE56</f>
        <v>3130.8119999999999</v>
      </c>
      <c r="AF57" s="546">
        <f t="shared" ref="AF57:AT57" si="216">AF55+AF56</f>
        <v>3278.1</v>
      </c>
      <c r="AG57" s="546">
        <f t="shared" si="216"/>
        <v>3434.7719999999999</v>
      </c>
      <c r="AH57" s="546">
        <f t="shared" si="216"/>
        <v>3727.8830000000003</v>
      </c>
      <c r="AI57" s="547">
        <f t="shared" si="216"/>
        <v>3713.3509999999997</v>
      </c>
      <c r="AJ57" s="546">
        <f t="shared" si="216"/>
        <v>2935.893</v>
      </c>
      <c r="AK57" s="546">
        <f t="shared" si="216"/>
        <v>3032.9539999999997</v>
      </c>
      <c r="AL57" s="545">
        <f t="shared" si="216"/>
        <v>4671.8099999999995</v>
      </c>
      <c r="AM57" s="547">
        <f t="shared" si="216"/>
        <v>4347.817</v>
      </c>
      <c r="AN57" s="546">
        <f t="shared" si="216"/>
        <v>4386.0540000000001</v>
      </c>
      <c r="AO57" s="546">
        <f t="shared" si="216"/>
        <v>4240.7970000000005</v>
      </c>
      <c r="AP57" s="545">
        <f t="shared" si="216"/>
        <v>4623.3389999999999</v>
      </c>
      <c r="AQ57" s="547">
        <f t="shared" si="216"/>
        <v>4792</v>
      </c>
      <c r="AR57" s="546">
        <f t="shared" si="216"/>
        <v>4505</v>
      </c>
      <c r="AS57" s="546">
        <f t="shared" si="216"/>
        <v>4728</v>
      </c>
      <c r="AT57" s="545">
        <f t="shared" si="216"/>
        <v>5037</v>
      </c>
      <c r="AU57" s="547">
        <f t="shared" ref="AU57:AX57" si="217">AU55+AU56</f>
        <v>4754</v>
      </c>
      <c r="AV57" s="546">
        <f t="shared" si="217"/>
        <v>4879</v>
      </c>
      <c r="AW57" s="546">
        <f t="shared" si="217"/>
        <v>6671</v>
      </c>
      <c r="AX57" s="545">
        <f t="shared" si="217"/>
        <v>6798</v>
      </c>
      <c r="AY57" s="547">
        <f t="shared" ref="AY57:AZ57" si="218">AY55+AY56</f>
        <v>6206</v>
      </c>
      <c r="AZ57" s="546">
        <f t="shared" si="218"/>
        <v>5877</v>
      </c>
      <c r="BA57" s="546">
        <f t="shared" ref="BA57:BB57" si="219">BA55+BA56</f>
        <v>6320</v>
      </c>
      <c r="BB57" s="545">
        <f t="shared" si="219"/>
        <v>7108</v>
      </c>
      <c r="BC57" s="547">
        <f t="shared" ref="BC57:BJ57" si="220">BC55+BC56</f>
        <v>8067.7276310065799</v>
      </c>
      <c r="BD57" s="546">
        <f t="shared" si="220"/>
        <v>8980.9196492222109</v>
      </c>
      <c r="BE57" s="546">
        <f t="shared" si="220"/>
        <v>9983.4983795767912</v>
      </c>
      <c r="BF57" s="545">
        <f t="shared" si="220"/>
        <v>11097.14661203713</v>
      </c>
      <c r="BG57" s="547">
        <f t="shared" si="220"/>
        <v>12283.631401800874</v>
      </c>
      <c r="BH57" s="546">
        <f t="shared" si="220"/>
        <v>13314.300986034432</v>
      </c>
      <c r="BI57" s="546">
        <f t="shared" si="220"/>
        <v>14531.636849030425</v>
      </c>
      <c r="BJ57" s="545">
        <f t="shared" si="220"/>
        <v>15908.673077532458</v>
      </c>
      <c r="BK57" s="547">
        <f t="shared" ref="BK57:BN57" si="221">BK55+BK56</f>
        <v>17328.575472541645</v>
      </c>
      <c r="BL57" s="546">
        <f t="shared" si="221"/>
        <v>18590.687028307006</v>
      </c>
      <c r="BM57" s="546">
        <f t="shared" si="221"/>
        <v>20079.548426511632</v>
      </c>
      <c r="BN57" s="545">
        <f t="shared" si="221"/>
        <v>21741.230689071974</v>
      </c>
      <c r="BO57" s="143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102"/>
      <c r="CB57" s="102"/>
      <c r="CC57" s="102"/>
      <c r="CD57" s="102"/>
      <c r="CE57" s="102"/>
      <c r="CZ57"/>
      <c r="DA57"/>
      <c r="DB57"/>
      <c r="DC57"/>
      <c r="DD57"/>
      <c r="DE57"/>
    </row>
    <row r="58" spans="1:109">
      <c r="B58" s="5"/>
      <c r="AE58" s="73"/>
      <c r="AF58" s="73"/>
      <c r="AG58" s="73"/>
      <c r="AH58" s="73"/>
      <c r="AI58" s="237"/>
      <c r="AJ58" s="73"/>
      <c r="AK58" s="73"/>
      <c r="AL58" s="238"/>
      <c r="AM58" s="237"/>
      <c r="AN58" s="73"/>
      <c r="AO58" s="73"/>
      <c r="AP58" s="238"/>
      <c r="AQ58" s="237"/>
      <c r="AR58" s="73"/>
      <c r="AS58" s="73"/>
      <c r="AT58" s="238"/>
      <c r="AU58" s="237"/>
      <c r="AV58" s="73"/>
      <c r="AW58" s="73"/>
      <c r="AX58" s="238"/>
      <c r="AY58" s="237"/>
      <c r="AZ58" s="73"/>
      <c r="BA58" s="73"/>
      <c r="BB58" s="238"/>
      <c r="BC58" s="237"/>
      <c r="BD58" s="73"/>
      <c r="BE58" s="73"/>
      <c r="BF58" s="238"/>
      <c r="BG58" s="237"/>
      <c r="BH58" s="73"/>
      <c r="BI58" s="73"/>
      <c r="BJ58" s="238"/>
      <c r="BK58" s="237"/>
      <c r="BL58" s="73"/>
      <c r="BM58" s="73"/>
      <c r="BN58" s="238"/>
      <c r="BO58" s="131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14"/>
      <c r="CB58" s="14"/>
      <c r="CC58" s="926"/>
      <c r="CD58" s="926"/>
      <c r="CE58" s="926"/>
    </row>
    <row r="59" spans="1:109">
      <c r="B59" s="5" t="s">
        <v>371</v>
      </c>
      <c r="AE59" s="73"/>
      <c r="AF59" s="73"/>
      <c r="AG59" s="73"/>
      <c r="AH59" s="73"/>
      <c r="AI59" s="237"/>
      <c r="AJ59" s="73"/>
      <c r="AK59" s="73"/>
      <c r="AL59" s="238"/>
      <c r="AM59" s="237"/>
      <c r="AN59" s="73"/>
      <c r="AO59" s="73"/>
      <c r="AP59" s="238"/>
      <c r="AQ59" s="237"/>
      <c r="AR59" s="73"/>
      <c r="AS59" s="73"/>
      <c r="AT59" s="238"/>
      <c r="AU59" s="237"/>
      <c r="AV59" s="73"/>
      <c r="AW59" s="73"/>
      <c r="AX59" s="238"/>
      <c r="AY59" s="237"/>
      <c r="AZ59" s="73"/>
      <c r="BA59" s="73"/>
      <c r="BB59" s="238"/>
      <c r="BC59" s="237"/>
      <c r="BD59" s="73"/>
      <c r="BE59" s="73"/>
      <c r="BF59" s="238"/>
      <c r="BG59" s="237"/>
      <c r="BH59" s="73"/>
      <c r="BI59" s="73"/>
      <c r="BJ59" s="238"/>
      <c r="BK59" s="237"/>
      <c r="BL59" s="73"/>
      <c r="BM59" s="73"/>
      <c r="BN59" s="238"/>
      <c r="BO59" s="131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14"/>
      <c r="CB59" s="14"/>
      <c r="CC59" s="926"/>
      <c r="CD59" s="926"/>
      <c r="CE59" s="926"/>
    </row>
    <row r="60" spans="1:109">
      <c r="B60" s="5" t="s">
        <v>372</v>
      </c>
      <c r="AE60" s="73">
        <f>AE25+AE27</f>
        <v>20.83</v>
      </c>
      <c r="AF60" s="73">
        <f t="shared" ref="AF60:AT60" si="222">AF25+AF27</f>
        <v>20.236999999999998</v>
      </c>
      <c r="AG60" s="73">
        <f t="shared" si="222"/>
        <v>19.626999999999999</v>
      </c>
      <c r="AH60" s="73">
        <f t="shared" si="222"/>
        <v>18.998000000000001</v>
      </c>
      <c r="AI60" s="237">
        <f t="shared" si="222"/>
        <v>18.332999999999998</v>
      </c>
      <c r="AJ60" s="73">
        <f t="shared" si="222"/>
        <v>17.684999999999999</v>
      </c>
      <c r="AK60" s="73">
        <f t="shared" si="222"/>
        <v>17.015000000000001</v>
      </c>
      <c r="AL60" s="238">
        <f t="shared" si="222"/>
        <v>1373.875</v>
      </c>
      <c r="AM60" s="237">
        <f t="shared" si="222"/>
        <v>1379.9590000000001</v>
      </c>
      <c r="AN60" s="73">
        <f t="shared" si="222"/>
        <v>1386.0910000000001</v>
      </c>
      <c r="AO60" s="73">
        <f t="shared" si="222"/>
        <v>1392.2360000000001</v>
      </c>
      <c r="AP60" s="238">
        <f t="shared" si="222"/>
        <v>1398.4280000000001</v>
      </c>
      <c r="AQ60" s="237">
        <f t="shared" si="222"/>
        <v>1404</v>
      </c>
      <c r="AR60" s="73">
        <f t="shared" si="222"/>
        <v>1411</v>
      </c>
      <c r="AS60" s="73">
        <f t="shared" si="222"/>
        <v>1417</v>
      </c>
      <c r="AT60" s="238">
        <f t="shared" si="222"/>
        <v>1510</v>
      </c>
      <c r="AU60" s="237">
        <f t="shared" ref="AU60:AX60" si="223">AU25+AU27</f>
        <v>1509</v>
      </c>
      <c r="AV60" s="73">
        <f t="shared" si="223"/>
        <v>1508</v>
      </c>
      <c r="AW60" s="73">
        <f t="shared" si="223"/>
        <v>1989</v>
      </c>
      <c r="AX60" s="238">
        <f t="shared" si="223"/>
        <v>2020</v>
      </c>
      <c r="AY60" s="237">
        <f t="shared" ref="AY60:AZ60" si="224">AY25+AY27</f>
        <v>1995</v>
      </c>
      <c r="AZ60" s="73">
        <f t="shared" si="224"/>
        <v>1989</v>
      </c>
      <c r="BA60" s="73">
        <f t="shared" ref="BA60:BB60" si="225">BA25+BA27</f>
        <v>1987</v>
      </c>
      <c r="BB60" s="238">
        <f t="shared" si="225"/>
        <v>1985</v>
      </c>
      <c r="BC60" s="237">
        <f t="shared" ref="BC60:BJ60" si="226">BC25+BC27</f>
        <v>1985</v>
      </c>
      <c r="BD60" s="73">
        <f t="shared" si="226"/>
        <v>1985</v>
      </c>
      <c r="BE60" s="73">
        <f t="shared" si="226"/>
        <v>1985</v>
      </c>
      <c r="BF60" s="238">
        <f t="shared" si="226"/>
        <v>1985</v>
      </c>
      <c r="BG60" s="237">
        <f t="shared" si="226"/>
        <v>1985</v>
      </c>
      <c r="BH60" s="73">
        <f t="shared" si="226"/>
        <v>1985</v>
      </c>
      <c r="BI60" s="73">
        <f t="shared" si="226"/>
        <v>1985</v>
      </c>
      <c r="BJ60" s="238">
        <f t="shared" si="226"/>
        <v>1985</v>
      </c>
      <c r="BK60" s="237">
        <f t="shared" ref="BK60:BN60" si="227">BK25+BK27</f>
        <v>1985</v>
      </c>
      <c r="BL60" s="73">
        <f t="shared" si="227"/>
        <v>1985</v>
      </c>
      <c r="BM60" s="73">
        <f t="shared" si="227"/>
        <v>1985</v>
      </c>
      <c r="BN60" s="238">
        <f t="shared" si="227"/>
        <v>1985</v>
      </c>
      <c r="BO60" s="131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14"/>
      <c r="CB60" s="14"/>
      <c r="CC60" s="926"/>
      <c r="CD60" s="926"/>
      <c r="CE60" s="926"/>
    </row>
    <row r="61" spans="1:109" s="540" customFormat="1">
      <c r="A61" s="9"/>
      <c r="B61" s="541" t="s">
        <v>373</v>
      </c>
      <c r="C61" s="542"/>
      <c r="D61" s="543"/>
      <c r="E61" s="543"/>
      <c r="F61" s="544"/>
      <c r="G61" s="543"/>
      <c r="H61" s="543"/>
      <c r="I61" s="543"/>
      <c r="J61" s="543"/>
      <c r="K61" s="542"/>
      <c r="L61" s="543"/>
      <c r="M61" s="543"/>
      <c r="N61" s="544"/>
      <c r="O61" s="543"/>
      <c r="P61" s="543"/>
      <c r="Q61" s="543"/>
      <c r="R61" s="543"/>
      <c r="S61" s="542"/>
      <c r="T61" s="543"/>
      <c r="U61" s="543"/>
      <c r="V61" s="544"/>
      <c r="W61" s="543"/>
      <c r="X61" s="543"/>
      <c r="Y61" s="543"/>
      <c r="Z61" s="543"/>
      <c r="AA61" s="542"/>
      <c r="AB61" s="543"/>
      <c r="AC61" s="543"/>
      <c r="AD61" s="544"/>
      <c r="AE61" s="546">
        <f>AE60+AE59</f>
        <v>20.83</v>
      </c>
      <c r="AF61" s="546">
        <f t="shared" ref="AF61:AT61" si="228">AF60+AF59</f>
        <v>20.236999999999998</v>
      </c>
      <c r="AG61" s="546">
        <f t="shared" si="228"/>
        <v>19.626999999999999</v>
      </c>
      <c r="AH61" s="546">
        <f t="shared" si="228"/>
        <v>18.998000000000001</v>
      </c>
      <c r="AI61" s="547">
        <f t="shared" si="228"/>
        <v>18.332999999999998</v>
      </c>
      <c r="AJ61" s="546">
        <f t="shared" si="228"/>
        <v>17.684999999999999</v>
      </c>
      <c r="AK61" s="546">
        <f t="shared" si="228"/>
        <v>17.015000000000001</v>
      </c>
      <c r="AL61" s="545">
        <f t="shared" si="228"/>
        <v>1373.875</v>
      </c>
      <c r="AM61" s="547">
        <f t="shared" si="228"/>
        <v>1379.9590000000001</v>
      </c>
      <c r="AN61" s="546">
        <f t="shared" si="228"/>
        <v>1386.0910000000001</v>
      </c>
      <c r="AO61" s="546">
        <f t="shared" si="228"/>
        <v>1392.2360000000001</v>
      </c>
      <c r="AP61" s="545">
        <f t="shared" si="228"/>
        <v>1398.4280000000001</v>
      </c>
      <c r="AQ61" s="547">
        <f t="shared" si="228"/>
        <v>1404</v>
      </c>
      <c r="AR61" s="546">
        <f t="shared" si="228"/>
        <v>1411</v>
      </c>
      <c r="AS61" s="546">
        <f t="shared" si="228"/>
        <v>1417</v>
      </c>
      <c r="AT61" s="545">
        <f t="shared" si="228"/>
        <v>1510</v>
      </c>
      <c r="AU61" s="547">
        <f t="shared" ref="AU61:AX61" si="229">AU60+AU59</f>
        <v>1509</v>
      </c>
      <c r="AV61" s="546">
        <f t="shared" si="229"/>
        <v>1508</v>
      </c>
      <c r="AW61" s="546">
        <f t="shared" si="229"/>
        <v>1989</v>
      </c>
      <c r="AX61" s="545">
        <f t="shared" si="229"/>
        <v>2020</v>
      </c>
      <c r="AY61" s="547">
        <f t="shared" ref="AY61:AZ61" si="230">AY60+AY59</f>
        <v>1995</v>
      </c>
      <c r="AZ61" s="546">
        <f t="shared" si="230"/>
        <v>1989</v>
      </c>
      <c r="BA61" s="546">
        <f t="shared" ref="BA61:BB61" si="231">BA60+BA59</f>
        <v>1987</v>
      </c>
      <c r="BB61" s="545">
        <f t="shared" si="231"/>
        <v>1985</v>
      </c>
      <c r="BC61" s="547">
        <f t="shared" ref="BC61:BJ61" si="232">BC60+BC59</f>
        <v>1985</v>
      </c>
      <c r="BD61" s="546">
        <f t="shared" si="232"/>
        <v>1985</v>
      </c>
      <c r="BE61" s="546">
        <f t="shared" si="232"/>
        <v>1985</v>
      </c>
      <c r="BF61" s="545">
        <f t="shared" si="232"/>
        <v>1985</v>
      </c>
      <c r="BG61" s="547">
        <f t="shared" si="232"/>
        <v>1985</v>
      </c>
      <c r="BH61" s="546">
        <f t="shared" si="232"/>
        <v>1985</v>
      </c>
      <c r="BI61" s="546">
        <f t="shared" si="232"/>
        <v>1985</v>
      </c>
      <c r="BJ61" s="545">
        <f t="shared" si="232"/>
        <v>1985</v>
      </c>
      <c r="BK61" s="547">
        <f t="shared" ref="BK61:BN61" si="233">BK60+BK59</f>
        <v>1985</v>
      </c>
      <c r="BL61" s="546">
        <f t="shared" si="233"/>
        <v>1985</v>
      </c>
      <c r="BM61" s="546">
        <f t="shared" si="233"/>
        <v>1985</v>
      </c>
      <c r="BN61" s="545">
        <f t="shared" si="233"/>
        <v>1985</v>
      </c>
      <c r="BO61" s="143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102"/>
      <c r="CB61" s="102"/>
      <c r="CC61" s="102"/>
      <c r="CD61" s="102"/>
      <c r="CE61" s="102"/>
      <c r="CZ61"/>
      <c r="DA61"/>
      <c r="DB61"/>
      <c r="DC61"/>
      <c r="DD61"/>
      <c r="DE61"/>
    </row>
    <row r="62" spans="1:109">
      <c r="B62" s="5"/>
      <c r="AE62" s="73"/>
      <c r="AF62" s="73"/>
      <c r="AG62" s="73"/>
      <c r="AH62" s="73"/>
      <c r="AI62" s="237"/>
      <c r="AJ62" s="73"/>
      <c r="AK62" s="73"/>
      <c r="AL62" s="238"/>
      <c r="AM62" s="237"/>
      <c r="AN62" s="73"/>
      <c r="AO62" s="73"/>
      <c r="AP62" s="238"/>
      <c r="AQ62" s="237"/>
      <c r="AR62" s="73"/>
      <c r="AS62" s="73"/>
      <c r="AT62" s="238"/>
      <c r="AU62" s="237"/>
      <c r="AV62" s="73"/>
      <c r="AW62" s="73"/>
      <c r="AX62" s="238"/>
      <c r="AY62" s="237"/>
      <c r="AZ62" s="73"/>
      <c r="BA62" s="73"/>
      <c r="BB62" s="238"/>
      <c r="BC62" s="237"/>
      <c r="BD62" s="73"/>
      <c r="BE62" s="73"/>
      <c r="BF62" s="238"/>
      <c r="BG62" s="237"/>
      <c r="BH62" s="73"/>
      <c r="BI62" s="73"/>
      <c r="BJ62" s="238"/>
      <c r="BK62" s="237"/>
      <c r="BL62" s="73"/>
      <c r="BM62" s="73"/>
      <c r="BN62" s="238"/>
      <c r="BO62" s="131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14"/>
      <c r="CB62" s="14"/>
      <c r="CC62" s="926"/>
      <c r="CD62" s="926"/>
      <c r="CE62" s="926"/>
    </row>
    <row r="63" spans="1:109">
      <c r="B63" s="5" t="s">
        <v>374</v>
      </c>
      <c r="AE63" s="73">
        <f>AE57-AE61</f>
        <v>3109.982</v>
      </c>
      <c r="AF63" s="73">
        <f t="shared" ref="AF63:AT63" si="234">AF57-AF61</f>
        <v>3257.8629999999998</v>
      </c>
      <c r="AG63" s="73">
        <f t="shared" si="234"/>
        <v>3415.145</v>
      </c>
      <c r="AH63" s="73">
        <f t="shared" si="234"/>
        <v>3708.8850000000002</v>
      </c>
      <c r="AI63" s="237">
        <f t="shared" si="234"/>
        <v>3695.0179999999996</v>
      </c>
      <c r="AJ63" s="73">
        <f t="shared" si="234"/>
        <v>2918.2080000000001</v>
      </c>
      <c r="AK63" s="73">
        <f t="shared" si="234"/>
        <v>3015.9389999999999</v>
      </c>
      <c r="AL63" s="238">
        <f t="shared" si="234"/>
        <v>3297.9349999999995</v>
      </c>
      <c r="AM63" s="237">
        <f t="shared" si="234"/>
        <v>2967.8580000000002</v>
      </c>
      <c r="AN63" s="73">
        <f t="shared" si="234"/>
        <v>2999.9629999999997</v>
      </c>
      <c r="AO63" s="73">
        <f t="shared" si="234"/>
        <v>2848.5610000000006</v>
      </c>
      <c r="AP63" s="238">
        <f t="shared" si="234"/>
        <v>3224.9110000000001</v>
      </c>
      <c r="AQ63" s="237">
        <f>AQ57-AQ61</f>
        <v>3388</v>
      </c>
      <c r="AR63" s="73">
        <f t="shared" si="234"/>
        <v>3094</v>
      </c>
      <c r="AS63" s="73">
        <f t="shared" si="234"/>
        <v>3311</v>
      </c>
      <c r="AT63" s="238">
        <f t="shared" si="234"/>
        <v>3527</v>
      </c>
      <c r="AU63" s="237">
        <f>AU57-AU61</f>
        <v>3245</v>
      </c>
      <c r="AV63" s="73">
        <f t="shared" ref="AV63" si="235">AV57-AV61</f>
        <v>3371</v>
      </c>
      <c r="AW63" s="73">
        <f>AW57-AW61</f>
        <v>4682</v>
      </c>
      <c r="AX63" s="238">
        <f t="shared" ref="AX63" si="236">AX57-AX61</f>
        <v>4778</v>
      </c>
      <c r="AY63" s="237">
        <f>AY57-AY61</f>
        <v>4211</v>
      </c>
      <c r="AZ63" s="73">
        <f t="shared" ref="AZ63" si="237">AZ57-AZ61</f>
        <v>3888</v>
      </c>
      <c r="BA63" s="73">
        <f t="shared" ref="BA63:BB63" si="238">BA57-BA61</f>
        <v>4333</v>
      </c>
      <c r="BB63" s="238">
        <f t="shared" si="238"/>
        <v>5123</v>
      </c>
      <c r="BC63" s="237">
        <f t="shared" ref="BC63:BJ63" si="239">BC57-BC61</f>
        <v>6082.7276310065799</v>
      </c>
      <c r="BD63" s="73">
        <f t="shared" si="239"/>
        <v>6995.9196492222109</v>
      </c>
      <c r="BE63" s="73">
        <f t="shared" si="239"/>
        <v>7998.4983795767912</v>
      </c>
      <c r="BF63" s="238">
        <f t="shared" si="239"/>
        <v>9112.1466120371297</v>
      </c>
      <c r="BG63" s="237">
        <f t="shared" si="239"/>
        <v>10298.631401800874</v>
      </c>
      <c r="BH63" s="73">
        <f t="shared" si="239"/>
        <v>11329.300986034432</v>
      </c>
      <c r="BI63" s="73">
        <f t="shared" si="239"/>
        <v>12546.636849030425</v>
      </c>
      <c r="BJ63" s="238">
        <f t="shared" si="239"/>
        <v>13923.673077532458</v>
      </c>
      <c r="BK63" s="237">
        <f t="shared" ref="BK63:BN63" si="240">BK57-BK61</f>
        <v>15343.575472541645</v>
      </c>
      <c r="BL63" s="73">
        <f t="shared" si="240"/>
        <v>16605.687028307006</v>
      </c>
      <c r="BM63" s="73">
        <f t="shared" si="240"/>
        <v>18094.548426511632</v>
      </c>
      <c r="BN63" s="238">
        <f t="shared" si="240"/>
        <v>19756.230689071974</v>
      </c>
      <c r="BO63" s="131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14"/>
      <c r="CB63" s="14"/>
      <c r="CC63" s="926"/>
      <c r="CD63" s="926"/>
      <c r="CE63" s="926"/>
    </row>
    <row r="64" spans="1:109">
      <c r="B64" s="5" t="s">
        <v>375</v>
      </c>
      <c r="AE64" s="539">
        <f>AE63/AE52</f>
        <v>4.9856553369264462</v>
      </c>
      <c r="AF64" s="539">
        <f t="shared" ref="AF64:AT64" si="241">AF63/AF52</f>
        <v>5.2281145740223343</v>
      </c>
      <c r="AG64" s="539">
        <f t="shared" si="241"/>
        <v>5.4308215856053552</v>
      </c>
      <c r="AH64" s="539">
        <f t="shared" si="241"/>
        <v>5.9626650675703923</v>
      </c>
      <c r="AI64" s="548">
        <f t="shared" si="241"/>
        <v>5.9664234896706283</v>
      </c>
      <c r="AJ64" s="539">
        <f t="shared" si="241"/>
        <v>4.9293554457218347</v>
      </c>
      <c r="AK64" s="539">
        <f t="shared" si="241"/>
        <v>5.1225966111367773</v>
      </c>
      <c r="AL64" s="538">
        <f t="shared" si="241"/>
        <v>5.7121342811021272</v>
      </c>
      <c r="AM64" s="548">
        <f t="shared" si="241"/>
        <v>5.202916437304312</v>
      </c>
      <c r="AN64" s="539">
        <f t="shared" si="241"/>
        <v>5.2578167172591712</v>
      </c>
      <c r="AO64" s="539">
        <f t="shared" si="241"/>
        <v>5.103109811698654</v>
      </c>
      <c r="AP64" s="538">
        <f t="shared" si="241"/>
        <v>5.7942282503822504</v>
      </c>
      <c r="AQ64" s="548">
        <f>AQ63/AQ52</f>
        <v>5.964788732394366</v>
      </c>
      <c r="AR64" s="539">
        <f t="shared" si="241"/>
        <v>5.5647482014388485</v>
      </c>
      <c r="AS64" s="539">
        <f t="shared" si="241"/>
        <v>5.8601769911504427</v>
      </c>
      <c r="AT64" s="538">
        <f t="shared" si="241"/>
        <v>5.9477234401349071</v>
      </c>
      <c r="AU64" s="548">
        <f>AU63/AU52</f>
        <v>5.4355108877721943</v>
      </c>
      <c r="AV64" s="539">
        <f t="shared" ref="AV64" si="242">AV63/AV52</f>
        <v>5.3423137876386688</v>
      </c>
      <c r="AW64" s="539">
        <f>AW63/AW52</f>
        <v>7.1699846860643186</v>
      </c>
      <c r="AX64" s="538">
        <f t="shared" ref="AX64" si="243">AX63/AX52</f>
        <v>7.2393939393939393</v>
      </c>
      <c r="AY64" s="548">
        <f>AY63/AY52</f>
        <v>6.5694227769110762</v>
      </c>
      <c r="AZ64" s="539">
        <f t="shared" ref="AZ64" si="244">AZ63/AZ52</f>
        <v>6.1421800947867302</v>
      </c>
      <c r="BA64" s="539">
        <f t="shared" ref="BA64:BB64" si="245">BA63/BA52</f>
        <v>6.8996815286624207</v>
      </c>
      <c r="BB64" s="538">
        <f t="shared" si="245"/>
        <v>8.1576433121019107</v>
      </c>
      <c r="BC64" s="548">
        <f t="shared" ref="BC64:BJ64" si="246">BC63/BC52</f>
        <v>9.6540106027645898</v>
      </c>
      <c r="BD64" s="539">
        <f t="shared" si="246"/>
        <v>11.066950264771481</v>
      </c>
      <c r="BE64" s="539">
        <f t="shared" si="246"/>
        <v>12.611595109548768</v>
      </c>
      <c r="BF64" s="538">
        <f t="shared" si="246"/>
        <v>14.320734991634939</v>
      </c>
      <c r="BG64" s="548">
        <f t="shared" si="246"/>
        <v>16.132875520854</v>
      </c>
      <c r="BH64" s="539">
        <f t="shared" si="246"/>
        <v>17.68999133618016</v>
      </c>
      <c r="BI64" s="539">
        <f t="shared" si="246"/>
        <v>19.527588685310349</v>
      </c>
      <c r="BJ64" s="538">
        <f t="shared" si="246"/>
        <v>21.601127155530413</v>
      </c>
      <c r="BK64" s="548">
        <f t="shared" ref="BK64:BN64" si="247">BK63/BK52</f>
        <v>23.727662952086995</v>
      </c>
      <c r="BL64" s="539">
        <f t="shared" si="247"/>
        <v>25.597378815943014</v>
      </c>
      <c r="BM64" s="539">
        <f t="shared" si="247"/>
        <v>27.803603458725629</v>
      </c>
      <c r="BN64" s="538">
        <f t="shared" si="247"/>
        <v>30.260529262909753</v>
      </c>
      <c r="BO64" s="131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14"/>
      <c r="CB64" s="14"/>
      <c r="CC64" s="926"/>
      <c r="CD64" s="926"/>
      <c r="CE64" s="926"/>
    </row>
    <row r="65" spans="2:83">
      <c r="B65" s="5"/>
      <c r="AE65" s="73"/>
      <c r="AF65" s="73"/>
      <c r="AG65" s="73"/>
      <c r="AH65" s="73"/>
      <c r="AI65" s="237"/>
      <c r="AJ65" s="73"/>
      <c r="AK65" s="73"/>
      <c r="AL65" s="238"/>
      <c r="AM65" s="237"/>
      <c r="AN65" s="73"/>
      <c r="AO65" s="73"/>
      <c r="AP65" s="238"/>
      <c r="AQ65" s="237"/>
      <c r="AR65" s="73"/>
      <c r="AS65" s="73"/>
      <c r="AT65" s="238"/>
      <c r="AU65" s="237"/>
      <c r="AV65" s="73"/>
      <c r="AW65" s="73"/>
      <c r="AX65" s="238"/>
      <c r="AY65" s="237"/>
      <c r="AZ65" s="73"/>
      <c r="BA65" s="73"/>
      <c r="BB65" s="238"/>
      <c r="BC65" s="237"/>
      <c r="BD65" s="73"/>
      <c r="BE65" s="73"/>
      <c r="BF65" s="238"/>
      <c r="BG65" s="237"/>
      <c r="BH65" s="73"/>
      <c r="BI65" s="73"/>
      <c r="BJ65" s="238"/>
      <c r="BK65" s="237"/>
      <c r="BL65" s="73"/>
      <c r="BM65" s="73"/>
      <c r="BN65" s="238"/>
      <c r="BO65" s="131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14"/>
      <c r="CB65" s="14"/>
      <c r="CC65" s="926"/>
      <c r="CD65" s="926"/>
      <c r="CE65" s="926"/>
    </row>
    <row r="66" spans="2:83">
      <c r="B66" s="377" t="s">
        <v>376</v>
      </c>
      <c r="AE66" s="73"/>
      <c r="AF66" s="73"/>
      <c r="AG66" s="73"/>
      <c r="AH66" s="73"/>
      <c r="AI66" s="237"/>
      <c r="AJ66" s="73"/>
      <c r="AK66" s="73"/>
      <c r="AL66" s="238"/>
      <c r="AM66" s="237"/>
      <c r="AN66" s="73"/>
      <c r="AO66" s="73"/>
      <c r="AP66" s="238"/>
      <c r="AQ66" s="237"/>
      <c r="AR66" s="73"/>
      <c r="AS66" s="73"/>
      <c r="AT66" s="238"/>
      <c r="AU66" s="237"/>
      <c r="AV66" s="73"/>
      <c r="AW66" s="73"/>
      <c r="AX66" s="238"/>
      <c r="AY66" s="237"/>
      <c r="AZ66" s="73"/>
      <c r="BA66" s="73"/>
      <c r="BB66" s="238"/>
      <c r="BC66" s="237"/>
      <c r="BD66" s="73"/>
      <c r="BE66" s="73"/>
      <c r="BF66" s="238"/>
      <c r="BG66" s="237"/>
      <c r="BH66" s="73"/>
      <c r="BI66" s="73"/>
      <c r="BJ66" s="238"/>
      <c r="BK66" s="237"/>
      <c r="BL66" s="73"/>
      <c r="BM66" s="73"/>
      <c r="BN66" s="238"/>
      <c r="BO66" s="131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14"/>
      <c r="CB66" s="14"/>
      <c r="CC66" s="926"/>
      <c r="CD66" s="926"/>
      <c r="CE66" s="926"/>
    </row>
    <row r="67" spans="2:83">
      <c r="B67" s="5" t="s">
        <v>377</v>
      </c>
      <c r="AE67" s="73">
        <f>AE37</f>
        <v>4287.4279999999999</v>
      </c>
      <c r="AF67" s="73">
        <f t="shared" ref="AF67:AT67" si="248">AF37</f>
        <v>4453.665</v>
      </c>
      <c r="AG67" s="73">
        <f t="shared" si="248"/>
        <v>4722.8459999999995</v>
      </c>
      <c r="AH67" s="73">
        <f t="shared" si="248"/>
        <v>4827.7030000000004</v>
      </c>
      <c r="AI67" s="237">
        <f t="shared" si="248"/>
        <v>4824.9359999999997</v>
      </c>
      <c r="AJ67" s="73">
        <f t="shared" si="248"/>
        <v>4172.1729999999998</v>
      </c>
      <c r="AK67" s="73">
        <f t="shared" si="248"/>
        <v>4320.6469999999999</v>
      </c>
      <c r="AL67" s="238">
        <f t="shared" si="248"/>
        <v>4456.3980000000001</v>
      </c>
      <c r="AM67" s="237">
        <f t="shared" si="248"/>
        <v>4166.9849999999997</v>
      </c>
      <c r="AN67" s="73">
        <f t="shared" si="248"/>
        <v>4304.7860000000001</v>
      </c>
      <c r="AO67" s="73">
        <f t="shared" si="248"/>
        <v>4204.5929999999998</v>
      </c>
      <c r="AP67" s="238">
        <f t="shared" si="248"/>
        <v>4417.982</v>
      </c>
      <c r="AQ67" s="237">
        <f t="shared" si="248"/>
        <v>4556</v>
      </c>
      <c r="AR67" s="73">
        <f t="shared" si="248"/>
        <v>4185</v>
      </c>
      <c r="AS67" s="73">
        <f t="shared" si="248"/>
        <v>4465</v>
      </c>
      <c r="AT67" s="238">
        <f t="shared" si="248"/>
        <v>4469</v>
      </c>
      <c r="AU67" s="237">
        <f t="shared" ref="AU67:AX67" si="249">AU37</f>
        <v>4196</v>
      </c>
      <c r="AV67" s="73">
        <f t="shared" si="249"/>
        <v>4480</v>
      </c>
      <c r="AW67" s="73">
        <f t="shared" si="249"/>
        <v>5324</v>
      </c>
      <c r="AX67" s="238">
        <f t="shared" si="249"/>
        <v>5762</v>
      </c>
      <c r="AY67" s="237">
        <f t="shared" ref="AY67:AZ67" si="250">AY37</f>
        <v>6132</v>
      </c>
      <c r="AZ67" s="73">
        <f t="shared" si="250"/>
        <v>5973</v>
      </c>
      <c r="BA67" s="73">
        <f t="shared" ref="BA67:BB67" si="251">BA37</f>
        <v>6352</v>
      </c>
      <c r="BB67" s="238">
        <f t="shared" si="251"/>
        <v>7471</v>
      </c>
      <c r="BC67" s="237">
        <f t="shared" ref="BC67:BJ67" si="252">BC37</f>
        <v>8449.7716312550638</v>
      </c>
      <c r="BD67" s="73">
        <f t="shared" si="252"/>
        <v>9521.8698368732221</v>
      </c>
      <c r="BE67" s="73">
        <f t="shared" si="252"/>
        <v>10695.086080005665</v>
      </c>
      <c r="BF67" s="238">
        <f t="shared" si="252"/>
        <v>11913.875088402467</v>
      </c>
      <c r="BG67" s="237">
        <f t="shared" si="252"/>
        <v>12987.163360035984</v>
      </c>
      <c r="BH67" s="73">
        <f t="shared" si="252"/>
        <v>14257.072838529553</v>
      </c>
      <c r="BI67" s="73">
        <f t="shared" si="252"/>
        <v>15669.622894521661</v>
      </c>
      <c r="BJ67" s="238">
        <f t="shared" si="252"/>
        <v>17106.225138910588</v>
      </c>
      <c r="BK67" s="237">
        <f t="shared" ref="BK67:BN67" si="253">BK37</f>
        <v>18403.732341648072</v>
      </c>
      <c r="BL67" s="73">
        <f t="shared" si="253"/>
        <v>19936.656614139756</v>
      </c>
      <c r="BM67" s="73">
        <f t="shared" si="253"/>
        <v>21623.881797464041</v>
      </c>
      <c r="BN67" s="238">
        <f t="shared" si="253"/>
        <v>23359.45731841381</v>
      </c>
      <c r="BO67" s="131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14"/>
      <c r="CB67" s="14"/>
      <c r="CC67" s="926"/>
      <c r="CD67" s="926"/>
      <c r="CE67" s="926"/>
    </row>
    <row r="68" spans="2:83">
      <c r="B68" s="5" t="s">
        <v>378</v>
      </c>
      <c r="AE68" s="539">
        <f t="shared" ref="AE68:AT68" si="254">AE67/AE52</f>
        <v>6.8732353723873256</v>
      </c>
      <c r="AF68" s="539">
        <f t="shared" si="254"/>
        <v>7.1470994619212602</v>
      </c>
      <c r="AG68" s="539">
        <f t="shared" si="254"/>
        <v>7.5103499272475718</v>
      </c>
      <c r="AH68" s="539">
        <f t="shared" si="254"/>
        <v>7.7613557807008799</v>
      </c>
      <c r="AI68" s="548">
        <f t="shared" si="254"/>
        <v>7.7909259133669835</v>
      </c>
      <c r="AJ68" s="539">
        <f t="shared" si="254"/>
        <v>7.0475180994787214</v>
      </c>
      <c r="AK68" s="539">
        <f t="shared" si="254"/>
        <v>7.338653626654347</v>
      </c>
      <c r="AL68" s="538">
        <f t="shared" si="254"/>
        <v>7.7186311391931497</v>
      </c>
      <c r="AM68" s="548">
        <f t="shared" si="254"/>
        <v>7.3050916689748986</v>
      </c>
      <c r="AN68" s="539">
        <f t="shared" si="254"/>
        <v>7.5446849827892013</v>
      </c>
      <c r="AO68" s="539">
        <f t="shared" si="254"/>
        <v>7.532399619491903</v>
      </c>
      <c r="AP68" s="538">
        <f t="shared" si="254"/>
        <v>7.9378302576661106</v>
      </c>
      <c r="AQ68" s="548">
        <f t="shared" si="254"/>
        <v>8.02112676056338</v>
      </c>
      <c r="AR68" s="539">
        <f t="shared" si="254"/>
        <v>7.5269784172661867</v>
      </c>
      <c r="AS68" s="539">
        <f t="shared" si="254"/>
        <v>7.9026548672566372</v>
      </c>
      <c r="AT68" s="538">
        <f t="shared" si="254"/>
        <v>7.536256323777403</v>
      </c>
      <c r="AU68" s="548">
        <f t="shared" ref="AU68:AX68" si="255">AU67/AU52</f>
        <v>7.0284757118927974</v>
      </c>
      <c r="AV68" s="539">
        <f t="shared" si="255"/>
        <v>7.0998415213946116</v>
      </c>
      <c r="AW68" s="539">
        <f t="shared" si="255"/>
        <v>8.1531393568147017</v>
      </c>
      <c r="AX68" s="538">
        <f t="shared" si="255"/>
        <v>8.7303030303030305</v>
      </c>
      <c r="AY68" s="548">
        <f t="shared" ref="AY68:AZ68" si="256">AY67/AY52</f>
        <v>9.566302652106085</v>
      </c>
      <c r="AZ68" s="539">
        <f t="shared" si="256"/>
        <v>9.4360189573459721</v>
      </c>
      <c r="BA68" s="539">
        <f t="shared" ref="BA68:BB68" si="257">BA67/BA52</f>
        <v>10.114649681528663</v>
      </c>
      <c r="BB68" s="538">
        <f t="shared" si="257"/>
        <v>11.896496815286625</v>
      </c>
      <c r="BC68" s="548">
        <f t="shared" ref="BC68:BJ68" si="258">BC67/BC52</f>
        <v>13.410790334134491</v>
      </c>
      <c r="BD68" s="539">
        <f t="shared" si="258"/>
        <v>15.062788767738258</v>
      </c>
      <c r="BE68" s="539">
        <f t="shared" si="258"/>
        <v>16.863427221190399</v>
      </c>
      <c r="BF68" s="538">
        <f t="shared" si="258"/>
        <v>18.723957715854823</v>
      </c>
      <c r="BG68" s="548">
        <f t="shared" si="258"/>
        <v>20.344478958613731</v>
      </c>
      <c r="BH68" s="539">
        <f t="shared" si="258"/>
        <v>22.261523045752963</v>
      </c>
      <c r="BI68" s="539">
        <f t="shared" si="258"/>
        <v>24.388204936511521</v>
      </c>
      <c r="BJ68" s="538">
        <f t="shared" si="258"/>
        <v>26.538524879113538</v>
      </c>
      <c r="BK68" s="548">
        <f t="shared" ref="BK68:BN68" si="259">BK67/BK52</f>
        <v>28.459960903148808</v>
      </c>
      <c r="BL68" s="539">
        <f t="shared" si="259"/>
        <v>30.732010714496781</v>
      </c>
      <c r="BM68" s="539">
        <f t="shared" si="259"/>
        <v>33.226683560345265</v>
      </c>
      <c r="BN68" s="538">
        <f t="shared" si="259"/>
        <v>35.779575207154906</v>
      </c>
      <c r="BO68" s="131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14"/>
      <c r="CB68" s="14"/>
      <c r="CC68" s="926"/>
      <c r="CD68" s="926"/>
      <c r="CE68" s="926"/>
    </row>
    <row r="69" spans="2:83">
      <c r="B69" s="5"/>
      <c r="AE69" s="73"/>
      <c r="AF69" s="73"/>
      <c r="AG69" s="73"/>
      <c r="AH69" s="73"/>
      <c r="AI69" s="237"/>
      <c r="AJ69" s="73"/>
      <c r="AK69" s="73"/>
      <c r="AL69" s="238"/>
      <c r="AM69" s="237"/>
      <c r="AN69" s="73"/>
      <c r="AO69" s="73"/>
      <c r="AP69" s="238"/>
      <c r="AQ69" s="237"/>
      <c r="AR69" s="73"/>
      <c r="AS69" s="73"/>
      <c r="AT69" s="238"/>
      <c r="AU69" s="237"/>
      <c r="AV69" s="73"/>
      <c r="AW69" s="73"/>
      <c r="AX69" s="238"/>
      <c r="AY69" s="237"/>
      <c r="AZ69" s="73"/>
      <c r="BA69" s="73"/>
      <c r="BB69" s="238"/>
      <c r="BC69" s="237"/>
      <c r="BD69" s="73"/>
      <c r="BE69" s="73"/>
      <c r="BF69" s="238"/>
      <c r="BG69" s="237"/>
      <c r="BH69" s="73"/>
      <c r="BI69" s="73"/>
      <c r="BJ69" s="238"/>
      <c r="BK69" s="237"/>
      <c r="BL69" s="73"/>
      <c r="BM69" s="73"/>
      <c r="BN69" s="238"/>
      <c r="BO69" s="131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14"/>
      <c r="CB69" s="14"/>
      <c r="CC69" s="926"/>
      <c r="CD69" s="926"/>
      <c r="CE69" s="926"/>
    </row>
    <row r="70" spans="2:83">
      <c r="B70" s="5" t="s">
        <v>379</v>
      </c>
      <c r="AE70" s="73">
        <f t="shared" ref="AE70:AT70" si="260">(AE37-AE16-AE17)</f>
        <v>3283.0030000000002</v>
      </c>
      <c r="AF70" s="73">
        <f t="shared" si="260"/>
        <v>3465.6970000000001</v>
      </c>
      <c r="AG70" s="73">
        <f t="shared" si="260"/>
        <v>3750.5679999999998</v>
      </c>
      <c r="AH70" s="73">
        <f t="shared" si="260"/>
        <v>3874.3410000000008</v>
      </c>
      <c r="AI70" s="237">
        <f t="shared" si="260"/>
        <v>3847.1729999999998</v>
      </c>
      <c r="AJ70" s="73">
        <f t="shared" si="260"/>
        <v>3208.623</v>
      </c>
      <c r="AK70" s="73">
        <f t="shared" si="260"/>
        <v>3356.8789999999999</v>
      </c>
      <c r="AL70" s="238">
        <f t="shared" si="260"/>
        <v>3517.2069999999999</v>
      </c>
      <c r="AM70" s="237">
        <f t="shared" si="260"/>
        <v>3246.2759999999998</v>
      </c>
      <c r="AN70" s="73">
        <f t="shared" si="260"/>
        <v>3400.9940000000001</v>
      </c>
      <c r="AO70" s="73">
        <f t="shared" si="260"/>
        <v>3320.1129999999998</v>
      </c>
      <c r="AP70" s="238">
        <f t="shared" si="260"/>
        <v>3578.0889999999999</v>
      </c>
      <c r="AQ70" s="237">
        <f t="shared" si="260"/>
        <v>3733</v>
      </c>
      <c r="AR70" s="73">
        <f t="shared" si="260"/>
        <v>3377</v>
      </c>
      <c r="AS70" s="73">
        <f t="shared" si="260"/>
        <v>3675</v>
      </c>
      <c r="AT70" s="238">
        <f t="shared" si="260"/>
        <v>3685</v>
      </c>
      <c r="AU70" s="237">
        <f t="shared" ref="AU70:AX70" si="261">(AU37-AU16-AU17)</f>
        <v>3423</v>
      </c>
      <c r="AV70" s="73">
        <f t="shared" si="261"/>
        <v>3724</v>
      </c>
      <c r="AW70" s="73">
        <f t="shared" si="261"/>
        <v>4586</v>
      </c>
      <c r="AX70" s="238">
        <f t="shared" si="261"/>
        <v>5040</v>
      </c>
      <c r="AY70" s="237">
        <f t="shared" ref="AY70:AZ70" si="262">(AY37-AY16-AY17)</f>
        <v>5424</v>
      </c>
      <c r="AZ70" s="73">
        <f t="shared" si="262"/>
        <v>5279</v>
      </c>
      <c r="BA70" s="73">
        <f t="shared" ref="BA70:BB70" si="263">(BA37-BA16-BA17)</f>
        <v>5671</v>
      </c>
      <c r="BB70" s="238">
        <f t="shared" si="263"/>
        <v>6801</v>
      </c>
      <c r="BC70" s="237">
        <f t="shared" ref="BC70:BJ70" si="264">(BC37-BC16-BC17)</f>
        <v>7779.7716312550638</v>
      </c>
      <c r="BD70" s="73">
        <f t="shared" si="264"/>
        <v>8851.8698368732221</v>
      </c>
      <c r="BE70" s="73">
        <f t="shared" si="264"/>
        <v>10025.086080005665</v>
      </c>
      <c r="BF70" s="238">
        <f t="shared" si="264"/>
        <v>11243.875088402467</v>
      </c>
      <c r="BG70" s="237">
        <f t="shared" si="264"/>
        <v>12317.163360035984</v>
      </c>
      <c r="BH70" s="73">
        <f t="shared" si="264"/>
        <v>13587.072838529553</v>
      </c>
      <c r="BI70" s="73">
        <f t="shared" si="264"/>
        <v>14999.622894521661</v>
      </c>
      <c r="BJ70" s="238">
        <f t="shared" si="264"/>
        <v>16436.225138910588</v>
      </c>
      <c r="BK70" s="237">
        <f t="shared" ref="BK70:BN70" si="265">(BK37-BK16-BK17)</f>
        <v>17733.732341648072</v>
      </c>
      <c r="BL70" s="73">
        <f t="shared" si="265"/>
        <v>19266.656614139756</v>
      </c>
      <c r="BM70" s="73">
        <f t="shared" si="265"/>
        <v>20953.881797464041</v>
      </c>
      <c r="BN70" s="238">
        <f t="shared" si="265"/>
        <v>22689.45731841381</v>
      </c>
      <c r="BO70" s="131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14"/>
      <c r="CB70" s="14"/>
      <c r="CC70" s="926"/>
      <c r="CD70" s="926"/>
      <c r="CE70" s="926"/>
    </row>
    <row r="71" spans="2:83">
      <c r="B71" s="5" t="s">
        <v>380</v>
      </c>
      <c r="AE71" s="539">
        <f t="shared" ref="AE71:AT71" si="266">AE70/AE52</f>
        <v>5.2630277050142205</v>
      </c>
      <c r="AF71" s="539">
        <f t="shared" si="266"/>
        <v>5.5616399446034057</v>
      </c>
      <c r="AG71" s="539">
        <f t="shared" si="266"/>
        <v>5.9642169374011074</v>
      </c>
      <c r="AH71" s="539">
        <f t="shared" si="266"/>
        <v>6.2286638007260251</v>
      </c>
      <c r="AI71" s="548">
        <f t="shared" si="266"/>
        <v>6.2121113770018495</v>
      </c>
      <c r="AJ71" s="539">
        <f t="shared" si="266"/>
        <v>5.4199163521991336</v>
      </c>
      <c r="AK71" s="539">
        <f t="shared" si="266"/>
        <v>5.7016859390711199</v>
      </c>
      <c r="AL71" s="538">
        <f t="shared" si="266"/>
        <v>6.0919207559980322</v>
      </c>
      <c r="AM71" s="548">
        <f t="shared" si="266"/>
        <v>5.6910077100813075</v>
      </c>
      <c r="AN71" s="539">
        <f t="shared" si="266"/>
        <v>5.9606745511521773</v>
      </c>
      <c r="AO71" s="539">
        <f t="shared" si="266"/>
        <v>5.947880781295626</v>
      </c>
      <c r="AP71" s="538">
        <f t="shared" si="266"/>
        <v>6.428786520366601</v>
      </c>
      <c r="AQ71" s="548">
        <f t="shared" si="266"/>
        <v>6.572183098591549</v>
      </c>
      <c r="AR71" s="539">
        <f t="shared" si="266"/>
        <v>6.0737410071942444</v>
      </c>
      <c r="AS71" s="539">
        <f t="shared" si="266"/>
        <v>6.5044247787610621</v>
      </c>
      <c r="AT71" s="538">
        <f t="shared" si="266"/>
        <v>6.2141652613827993</v>
      </c>
      <c r="AU71" s="548">
        <f t="shared" ref="AU71:AX71" si="267">AU70/AU52</f>
        <v>5.733668341708543</v>
      </c>
      <c r="AV71" s="539">
        <f t="shared" si="267"/>
        <v>5.9017432646592711</v>
      </c>
      <c r="AW71" s="539">
        <f t="shared" si="267"/>
        <v>7.0229709035222054</v>
      </c>
      <c r="AX71" s="538">
        <f t="shared" si="267"/>
        <v>7.6363636363636367</v>
      </c>
      <c r="AY71" s="548">
        <f t="shared" ref="AY71:AZ71" si="268">AY70/AY52</f>
        <v>8.461778471138846</v>
      </c>
      <c r="AZ71" s="539">
        <f t="shared" si="268"/>
        <v>8.3396524486571888</v>
      </c>
      <c r="BA71" s="539">
        <f t="shared" ref="BA71:BB71" si="269">BA70/BA52</f>
        <v>9.0302547770700645</v>
      </c>
      <c r="BB71" s="538">
        <f t="shared" si="269"/>
        <v>10.829617834394904</v>
      </c>
      <c r="BC71" s="548">
        <f t="shared" ref="BC71:BJ71" si="270">BC70/BC52</f>
        <v>12.347420823574652</v>
      </c>
      <c r="BD71" s="539">
        <f t="shared" si="270"/>
        <v>14.00290571459009</v>
      </c>
      <c r="BE71" s="539">
        <f t="shared" si="270"/>
        <v>15.807007838150557</v>
      </c>
      <c r="BF71" s="538">
        <f t="shared" si="270"/>
        <v>17.670979438297199</v>
      </c>
      <c r="BG71" s="548">
        <f t="shared" si="270"/>
        <v>19.294919441697527</v>
      </c>
      <c r="BH71" s="539">
        <f t="shared" si="270"/>
        <v>21.215360161577589</v>
      </c>
      <c r="BI71" s="539">
        <f t="shared" si="270"/>
        <v>23.345416771317357</v>
      </c>
      <c r="BJ71" s="538">
        <f t="shared" si="270"/>
        <v>25.499089730527714</v>
      </c>
      <c r="BK71" s="548">
        <f t="shared" ref="BK71:BN71" si="271">BK70/BK52</f>
        <v>27.423857277475118</v>
      </c>
      <c r="BL71" s="539">
        <f t="shared" si="271"/>
        <v>29.699217324048888</v>
      </c>
      <c r="BM71" s="539">
        <f t="shared" si="271"/>
        <v>32.197179320822364</v>
      </c>
      <c r="BN71" s="538">
        <f t="shared" si="271"/>
        <v>34.753339235059059</v>
      </c>
      <c r="BO71" s="131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14"/>
      <c r="CB71" s="14"/>
      <c r="CC71" s="926"/>
      <c r="CD71" s="926"/>
      <c r="CE71" s="926"/>
    </row>
    <row r="72" spans="2:83">
      <c r="B72" s="5"/>
      <c r="AE72" s="73"/>
      <c r="AF72" s="73"/>
      <c r="AG72" s="73"/>
      <c r="AH72" s="73"/>
      <c r="AI72" s="237"/>
      <c r="AJ72" s="73"/>
      <c r="AK72" s="73"/>
      <c r="AL72" s="238"/>
      <c r="AM72" s="237"/>
      <c r="AN72" s="73"/>
      <c r="AO72" s="73"/>
      <c r="AP72" s="238"/>
      <c r="AQ72" s="237"/>
      <c r="AR72" s="73"/>
      <c r="AS72" s="73"/>
      <c r="AT72" s="238"/>
      <c r="AU72" s="237"/>
      <c r="AV72" s="73"/>
      <c r="AW72" s="73"/>
      <c r="AX72" s="238"/>
      <c r="AY72" s="237"/>
      <c r="AZ72" s="73"/>
      <c r="BA72" s="73"/>
      <c r="BB72" s="238"/>
      <c r="BC72" s="237"/>
      <c r="BD72" s="73"/>
      <c r="BE72" s="73"/>
      <c r="BF72" s="238"/>
      <c r="BG72" s="237"/>
      <c r="BH72" s="73"/>
      <c r="BI72" s="73"/>
      <c r="BJ72" s="238"/>
      <c r="BK72" s="237"/>
      <c r="BL72" s="73"/>
      <c r="BM72" s="73"/>
      <c r="BN72" s="238"/>
      <c r="BO72" s="131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14"/>
      <c r="CB72" s="14"/>
      <c r="CC72" s="926"/>
      <c r="CD72" s="926"/>
      <c r="CE72" s="926"/>
    </row>
    <row r="73" spans="2:83">
      <c r="B73" s="377" t="s">
        <v>43</v>
      </c>
      <c r="AE73" s="73"/>
      <c r="AF73" s="73"/>
      <c r="AG73" s="73"/>
      <c r="AH73" s="73"/>
      <c r="AI73" s="237"/>
      <c r="AJ73" s="73"/>
      <c r="AK73" s="73"/>
      <c r="AL73" s="238"/>
      <c r="AM73" s="237"/>
      <c r="AN73" s="73"/>
      <c r="AO73" s="73"/>
      <c r="AP73" s="238"/>
      <c r="AQ73" s="237"/>
      <c r="AR73" s="73"/>
      <c r="AS73" s="73"/>
      <c r="AT73" s="238"/>
      <c r="AU73" s="237"/>
      <c r="AV73" s="73"/>
      <c r="AW73" s="73"/>
      <c r="AX73" s="238"/>
      <c r="AY73" s="237"/>
      <c r="AZ73" s="73"/>
      <c r="BA73" s="73"/>
      <c r="BB73" s="238"/>
      <c r="BC73" s="237"/>
      <c r="BD73" s="73"/>
      <c r="BE73" s="73"/>
      <c r="BF73" s="238"/>
      <c r="BG73" s="237"/>
      <c r="BH73" s="73"/>
      <c r="BI73" s="73"/>
      <c r="BJ73" s="238"/>
      <c r="BK73" s="237"/>
      <c r="BL73" s="73"/>
      <c r="BM73" s="73"/>
      <c r="BN73" s="238"/>
      <c r="BO73" s="131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14"/>
      <c r="CB73" s="14"/>
      <c r="CC73" s="926"/>
      <c r="CD73" s="926"/>
      <c r="CE73" s="926"/>
    </row>
    <row r="74" spans="2:83">
      <c r="B74" s="5" t="s">
        <v>381</v>
      </c>
      <c r="AE74" s="73">
        <f>AE24-AE14</f>
        <v>-3084.712</v>
      </c>
      <c r="AF74" s="73">
        <f t="shared" ref="AF74:AT74" si="272">AF24-AF14</f>
        <v>-3191.8909999999996</v>
      </c>
      <c r="AG74" s="73">
        <f t="shared" si="272"/>
        <v>-3433.4680000000003</v>
      </c>
      <c r="AH74" s="73">
        <f t="shared" si="272"/>
        <v>-3799.0349999999999</v>
      </c>
      <c r="AI74" s="237">
        <f t="shared" si="272"/>
        <v>-3681.0389999999998</v>
      </c>
      <c r="AJ74" s="73">
        <f t="shared" si="272"/>
        <v>-2986.817</v>
      </c>
      <c r="AK74" s="73">
        <f t="shared" si="272"/>
        <v>-3063.9139999999998</v>
      </c>
      <c r="AL74" s="238">
        <f t="shared" si="272"/>
        <v>-4679.2150000000001</v>
      </c>
      <c r="AM74" s="237">
        <f t="shared" si="272"/>
        <v>-4375.8530000000001</v>
      </c>
      <c r="AN74" s="73">
        <f t="shared" si="272"/>
        <v>-4508.857</v>
      </c>
      <c r="AO74" s="73">
        <f t="shared" si="272"/>
        <v>-4407.2020000000002</v>
      </c>
      <c r="AP74" s="238">
        <f t="shared" si="272"/>
        <v>-4817.2669999999998</v>
      </c>
      <c r="AQ74" s="237">
        <f t="shared" si="272"/>
        <v>-4949</v>
      </c>
      <c r="AR74" s="73">
        <f t="shared" si="272"/>
        <v>-4672</v>
      </c>
      <c r="AS74" s="73">
        <f t="shared" si="272"/>
        <v>-4979</v>
      </c>
      <c r="AT74" s="238">
        <f t="shared" si="272"/>
        <v>-5115</v>
      </c>
      <c r="AU74" s="237">
        <f t="shared" ref="AU74:AX74" si="273">AU24-AU14</f>
        <v>-4834</v>
      </c>
      <c r="AV74" s="73">
        <f t="shared" si="273"/>
        <v>-5177</v>
      </c>
      <c r="AW74" s="73">
        <f t="shared" si="273"/>
        <v>-6266</v>
      </c>
      <c r="AX74" s="238">
        <f t="shared" si="273"/>
        <v>-6748</v>
      </c>
      <c r="AY74" s="237">
        <f t="shared" ref="AY74:AZ74" si="274">AY24-AY14</f>
        <v>-7133</v>
      </c>
      <c r="AZ74" s="73">
        <f t="shared" si="274"/>
        <v>-7038</v>
      </c>
      <c r="BA74" s="73">
        <f t="shared" ref="BA74:BB74" si="275">BA24-BA14</f>
        <v>-7452</v>
      </c>
      <c r="BB74" s="238">
        <f t="shared" si="275"/>
        <v>-8102</v>
      </c>
      <c r="BC74" s="237">
        <f t="shared" ref="BC74:BJ74" si="276">BC24-BC14</f>
        <v>-9054.4656263211546</v>
      </c>
      <c r="BD74" s="73">
        <f t="shared" si="276"/>
        <v>-10096.339450788231</v>
      </c>
      <c r="BE74" s="73">
        <f t="shared" si="276"/>
        <v>-11235.216294849626</v>
      </c>
      <c r="BF74" s="238">
        <f t="shared" si="276"/>
        <v>-12419.004929246365</v>
      </c>
      <c r="BG74" s="237">
        <f t="shared" si="276"/>
        <v>-13470.327367202262</v>
      </c>
      <c r="BH74" s="73">
        <f t="shared" si="276"/>
        <v>-14710.669726744742</v>
      </c>
      <c r="BI74" s="73">
        <f t="shared" si="276"/>
        <v>-16088.822999585918</v>
      </c>
      <c r="BJ74" s="238">
        <f t="shared" si="276"/>
        <v>-17492.846611297515</v>
      </c>
      <c r="BK74" s="237">
        <f t="shared" ref="BK74:BN74" si="277">BK24-BK14</f>
        <v>-18771.588228266399</v>
      </c>
      <c r="BL74" s="73">
        <f t="shared" si="277"/>
        <v>-20277.193224503611</v>
      </c>
      <c r="BM74" s="73">
        <f t="shared" si="277"/>
        <v>-21932.580296453063</v>
      </c>
      <c r="BN74" s="238">
        <f t="shared" si="277"/>
        <v>-23637.702924783687</v>
      </c>
      <c r="BO74" s="131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14"/>
      <c r="CB74" s="14"/>
      <c r="CC74" s="926"/>
      <c r="CD74" s="926"/>
      <c r="CE74" s="926"/>
    </row>
    <row r="75" spans="2:83">
      <c r="B75" s="5"/>
      <c r="AW75" s="141"/>
      <c r="AX75" s="273"/>
      <c r="BB75" s="273"/>
      <c r="BF75" s="273"/>
      <c r="BJ75" s="273"/>
    </row>
    <row r="76" spans="2:83">
      <c r="B76" s="5"/>
      <c r="AW76" s="141"/>
      <c r="AX76" s="273"/>
      <c r="BB76" s="273"/>
      <c r="BF76" s="273"/>
      <c r="BJ76" s="273"/>
    </row>
    <row r="77" spans="2:83">
      <c r="B77" s="5"/>
      <c r="AW77" s="141"/>
      <c r="AX77" s="273"/>
      <c r="BB77" s="273"/>
      <c r="BF77" s="273"/>
      <c r="BJ77" s="273"/>
    </row>
    <row r="78" spans="2:83">
      <c r="AW78" s="141"/>
      <c r="AX78" s="273"/>
      <c r="BB78" s="273"/>
      <c r="BF78" s="273"/>
      <c r="BJ78" s="273"/>
    </row>
    <row r="79" spans="2:83">
      <c r="AW79" s="141"/>
      <c r="AX79" s="273"/>
      <c r="BB79" s="273"/>
      <c r="BF79" s="273"/>
      <c r="BJ79" s="273"/>
    </row>
    <row r="80" spans="2:83">
      <c r="AW80" s="141"/>
      <c r="AX80" s="273"/>
      <c r="BB80" s="273"/>
      <c r="BF80" s="273"/>
      <c r="BJ80" s="273"/>
    </row>
    <row r="81" spans="1:109">
      <c r="AW81" s="141"/>
      <c r="AX81" s="273"/>
      <c r="BB81" s="273"/>
      <c r="BF81" s="273"/>
      <c r="BJ81" s="273"/>
    </row>
    <row r="82" spans="1:109">
      <c r="B82" s="452" t="s">
        <v>343</v>
      </c>
      <c r="AW82" s="141"/>
      <c r="AX82" s="273"/>
      <c r="BB82" s="273"/>
      <c r="BF82" s="273"/>
      <c r="BJ82" s="273"/>
    </row>
    <row r="83" spans="1:109" s="108" customFormat="1" outlineLevel="1">
      <c r="A83" s="5"/>
      <c r="B83" s="108" t="s">
        <v>339</v>
      </c>
      <c r="C83" s="203" t="s">
        <v>338</v>
      </c>
      <c r="D83" s="108" t="s">
        <v>338</v>
      </c>
      <c r="E83" s="108" t="s">
        <v>338</v>
      </c>
      <c r="F83" s="204" t="s">
        <v>338</v>
      </c>
      <c r="G83" s="108" t="s">
        <v>338</v>
      </c>
      <c r="H83" s="108" t="s">
        <v>338</v>
      </c>
      <c r="I83" s="108" t="s">
        <v>338</v>
      </c>
      <c r="J83" s="108" t="s">
        <v>338</v>
      </c>
      <c r="K83" s="203" t="s">
        <v>338</v>
      </c>
      <c r="L83" s="108" t="s">
        <v>338</v>
      </c>
      <c r="M83" s="108" t="s">
        <v>338</v>
      </c>
      <c r="N83" s="204" t="s">
        <v>338</v>
      </c>
      <c r="O83" s="108" t="s">
        <v>338</v>
      </c>
      <c r="P83" s="108" t="s">
        <v>338</v>
      </c>
      <c r="Q83" s="108" t="s">
        <v>338</v>
      </c>
      <c r="R83" s="108" t="s">
        <v>338</v>
      </c>
      <c r="S83" s="203" t="s">
        <v>338</v>
      </c>
      <c r="T83" s="108" t="s">
        <v>338</v>
      </c>
      <c r="U83" s="108" t="s">
        <v>338</v>
      </c>
      <c r="V83" s="204" t="s">
        <v>338</v>
      </c>
      <c r="W83" s="108" t="s">
        <v>338</v>
      </c>
      <c r="X83" s="108" t="s">
        <v>338</v>
      </c>
      <c r="Y83" s="108" t="s">
        <v>338</v>
      </c>
      <c r="Z83" s="108" t="s">
        <v>338</v>
      </c>
      <c r="AA83" s="203" t="s">
        <v>338</v>
      </c>
      <c r="AB83" s="108" t="s">
        <v>338</v>
      </c>
      <c r="AC83" s="108" t="s">
        <v>338</v>
      </c>
      <c r="AD83" s="204" t="s">
        <v>338</v>
      </c>
      <c r="AE83" s="108" t="s">
        <v>338</v>
      </c>
      <c r="AF83" s="108" t="s">
        <v>338</v>
      </c>
      <c r="AG83" s="108" t="s">
        <v>338</v>
      </c>
      <c r="AH83" s="108" t="s">
        <v>338</v>
      </c>
      <c r="AI83" s="203" t="s">
        <v>338</v>
      </c>
      <c r="AJ83" s="108" t="s">
        <v>338</v>
      </c>
      <c r="AK83" s="108" t="s">
        <v>338</v>
      </c>
      <c r="AL83" s="204" t="s">
        <v>338</v>
      </c>
      <c r="AM83" s="203" t="s">
        <v>338</v>
      </c>
      <c r="AN83" s="108" t="s">
        <v>338</v>
      </c>
      <c r="AO83" s="108" t="s">
        <v>338</v>
      </c>
      <c r="AP83" s="204" t="s">
        <v>338</v>
      </c>
      <c r="AQ83" s="203" t="s">
        <v>338</v>
      </c>
      <c r="AR83" s="108" t="s">
        <v>338</v>
      </c>
      <c r="AS83" s="108" t="s">
        <v>338</v>
      </c>
      <c r="AT83" s="204" t="s">
        <v>338</v>
      </c>
      <c r="AU83" s="203" t="s">
        <v>338</v>
      </c>
      <c r="AV83" s="108" t="s">
        <v>338</v>
      </c>
      <c r="AW83" s="108" t="s">
        <v>338</v>
      </c>
      <c r="AX83" s="204" t="s">
        <v>338</v>
      </c>
      <c r="AY83" s="203" t="s">
        <v>338</v>
      </c>
      <c r="AZ83" s="108" t="s">
        <v>338</v>
      </c>
      <c r="BA83" s="108" t="s">
        <v>338</v>
      </c>
      <c r="BB83" s="204" t="s">
        <v>338</v>
      </c>
      <c r="BC83" s="203" t="s">
        <v>338</v>
      </c>
      <c r="BD83" s="108" t="s">
        <v>338</v>
      </c>
      <c r="BE83" s="108" t="s">
        <v>338</v>
      </c>
      <c r="BF83" s="204" t="s">
        <v>338</v>
      </c>
      <c r="BG83" s="203" t="s">
        <v>338</v>
      </c>
      <c r="BH83" s="108" t="s">
        <v>338</v>
      </c>
      <c r="BI83" s="108" t="s">
        <v>338</v>
      </c>
      <c r="BJ83" s="204" t="s">
        <v>338</v>
      </c>
      <c r="BK83" s="203" t="s">
        <v>338</v>
      </c>
      <c r="BL83" s="108" t="s">
        <v>338</v>
      </c>
      <c r="BM83" s="108" t="s">
        <v>338</v>
      </c>
      <c r="BN83" s="204" t="s">
        <v>338</v>
      </c>
      <c r="BP83" s="445" t="s">
        <v>338</v>
      </c>
      <c r="BQ83" s="445" t="s">
        <v>338</v>
      </c>
      <c r="BR83" s="445" t="s">
        <v>338</v>
      </c>
      <c r="BS83" s="445" t="s">
        <v>338</v>
      </c>
      <c r="BT83" s="445" t="s">
        <v>338</v>
      </c>
      <c r="BU83" s="445" t="s">
        <v>338</v>
      </c>
      <c r="BV83" s="445" t="s">
        <v>338</v>
      </c>
      <c r="BW83" s="445" t="s">
        <v>338</v>
      </c>
      <c r="BX83" s="445" t="s">
        <v>338</v>
      </c>
      <c r="BY83" s="445" t="s">
        <v>338</v>
      </c>
      <c r="BZ83" s="108" t="s">
        <v>338</v>
      </c>
      <c r="CA83" s="108" t="s">
        <v>338</v>
      </c>
      <c r="CB83" s="108" t="s">
        <v>338</v>
      </c>
      <c r="CC83" s="108" t="s">
        <v>338</v>
      </c>
      <c r="CD83" s="108" t="s">
        <v>338</v>
      </c>
      <c r="CE83" s="108" t="s">
        <v>338</v>
      </c>
      <c r="CZ83"/>
      <c r="DA83"/>
      <c r="DB83"/>
      <c r="DC83"/>
      <c r="DD83"/>
      <c r="DE83"/>
    </row>
    <row r="84" spans="1:109" s="108" customFormat="1" outlineLevel="1">
      <c r="A84" s="5"/>
      <c r="B84" s="108" t="s">
        <v>341</v>
      </c>
      <c r="C84" s="449">
        <v>0.35</v>
      </c>
      <c r="D84" s="450">
        <v>0.35</v>
      </c>
      <c r="E84" s="450">
        <v>0.35</v>
      </c>
      <c r="F84" s="451">
        <v>0.35</v>
      </c>
      <c r="G84" s="450">
        <v>0.35</v>
      </c>
      <c r="H84" s="450">
        <v>0.35</v>
      </c>
      <c r="I84" s="450">
        <v>0.35</v>
      </c>
      <c r="J84" s="450">
        <v>0.35</v>
      </c>
      <c r="K84" s="449">
        <v>0.35</v>
      </c>
      <c r="L84" s="450">
        <v>0.35</v>
      </c>
      <c r="M84" s="450">
        <v>0.35</v>
      </c>
      <c r="N84" s="451">
        <v>0.35</v>
      </c>
      <c r="O84" s="450">
        <v>0.35</v>
      </c>
      <c r="P84" s="450">
        <v>0.35</v>
      </c>
      <c r="Q84" s="450">
        <v>0.35</v>
      </c>
      <c r="R84" s="450">
        <v>0.35</v>
      </c>
      <c r="S84" s="449">
        <v>0.35</v>
      </c>
      <c r="T84" s="450">
        <v>0.35</v>
      </c>
      <c r="U84" s="450">
        <v>0.35</v>
      </c>
      <c r="V84" s="451">
        <v>0.35</v>
      </c>
      <c r="W84" s="450">
        <v>0.35</v>
      </c>
      <c r="X84" s="450">
        <v>0.35</v>
      </c>
      <c r="Y84" s="450">
        <v>0.35</v>
      </c>
      <c r="Z84" s="450">
        <v>0.35</v>
      </c>
      <c r="AA84" s="449">
        <v>0.35</v>
      </c>
      <c r="AB84" s="450">
        <v>0.35</v>
      </c>
      <c r="AC84" s="450">
        <v>0.35</v>
      </c>
      <c r="AD84" s="451">
        <v>0.35</v>
      </c>
      <c r="AE84" s="426">
        <v>1185.451</v>
      </c>
      <c r="AF84" s="426">
        <v>1247.395</v>
      </c>
      <c r="AG84" s="426">
        <v>1292.079</v>
      </c>
      <c r="AH84" s="426">
        <v>1288.7819999999999</v>
      </c>
      <c r="AI84" s="446">
        <v>1354.4489999999998</v>
      </c>
      <c r="AJ84" s="426">
        <v>1439.4349999999999</v>
      </c>
      <c r="AK84" s="426">
        <v>1455.905</v>
      </c>
      <c r="AL84" s="447">
        <v>1282.8200000000002</v>
      </c>
      <c r="AM84" s="446">
        <v>1311.8880000000001</v>
      </c>
      <c r="AN84" s="426">
        <v>1334.4150000000002</v>
      </c>
      <c r="AO84" s="426">
        <v>1374.1560000000002</v>
      </c>
      <c r="AP84" s="447">
        <v>1179.2570000000001</v>
      </c>
      <c r="AQ84" s="446">
        <v>1209.2570000000001</v>
      </c>
      <c r="AR84" s="426">
        <v>1233.2570000000001</v>
      </c>
      <c r="AS84" s="426">
        <v>1250.2570000000001</v>
      </c>
      <c r="AT84" s="447">
        <v>1100</v>
      </c>
      <c r="AU84" s="446">
        <v>1155</v>
      </c>
      <c r="AV84" s="426">
        <v>1187</v>
      </c>
      <c r="AW84" s="426">
        <v>1225</v>
      </c>
      <c r="AX84" s="447">
        <v>1191</v>
      </c>
      <c r="AY84" s="446">
        <v>1245</v>
      </c>
      <c r="AZ84" s="426">
        <v>1299</v>
      </c>
      <c r="BA84" s="426">
        <v>1368</v>
      </c>
      <c r="BB84" s="447">
        <v>1737</v>
      </c>
      <c r="BC84" s="446">
        <v>1818.8019777732795</v>
      </c>
      <c r="BD84" s="426">
        <v>1907.22018138457</v>
      </c>
      <c r="BE84" s="426">
        <v>2002.6656717644923</v>
      </c>
      <c r="BF84" s="447">
        <v>2101.7968654946735</v>
      </c>
      <c r="BG84" s="446">
        <v>2190.6032116759343</v>
      </c>
      <c r="BH84" s="426">
        <v>2290.0450500588736</v>
      </c>
      <c r="BI84" s="426">
        <v>2397.5982567015599</v>
      </c>
      <c r="BJ84" s="447">
        <v>2506.6610788902217</v>
      </c>
      <c r="BK84" s="446">
        <v>2604.9086202567514</v>
      </c>
      <c r="BL84" s="426">
        <v>2715.0711735391928</v>
      </c>
      <c r="BM84" s="426">
        <v>2833.3618930496777</v>
      </c>
      <c r="BN84" s="447">
        <v>2953.9467236975975</v>
      </c>
      <c r="BO84" s="115"/>
      <c r="BP84" s="150">
        <v>0</v>
      </c>
      <c r="BQ84" s="150">
        <v>0</v>
      </c>
      <c r="BR84" s="150">
        <v>0</v>
      </c>
      <c r="BS84" s="150">
        <v>0</v>
      </c>
      <c r="BT84" s="150">
        <v>0</v>
      </c>
      <c r="BU84" s="150">
        <v>0</v>
      </c>
      <c r="BV84" s="150">
        <v>0</v>
      </c>
      <c r="BW84" s="150">
        <v>1288.7819999999999</v>
      </c>
      <c r="BX84" s="150">
        <v>1282.82</v>
      </c>
      <c r="BY84" s="150">
        <v>1179.2569999999998</v>
      </c>
      <c r="BZ84" s="426">
        <v>1099.9999999999998</v>
      </c>
      <c r="CA84" s="426">
        <v>1190.9999999999998</v>
      </c>
      <c r="CB84" s="426">
        <v>1783.9999999999998</v>
      </c>
      <c r="CC84" s="426">
        <v>2148.7968654946735</v>
      </c>
      <c r="CD84" s="426">
        <v>2553.6610788902217</v>
      </c>
      <c r="CE84" s="426">
        <v>3000.946723697597</v>
      </c>
      <c r="CZ84"/>
      <c r="DA84"/>
      <c r="DB84"/>
      <c r="DC84"/>
      <c r="DD84"/>
      <c r="DE84"/>
    </row>
    <row r="85" spans="1:109" s="108" customFormat="1" outlineLevel="1">
      <c r="A85" s="5"/>
      <c r="B85" s="108" t="s">
        <v>342</v>
      </c>
      <c r="C85" s="203"/>
      <c r="F85" s="204"/>
      <c r="K85" s="203"/>
      <c r="N85" s="204"/>
      <c r="S85" s="203"/>
      <c r="V85" s="204"/>
      <c r="AA85" s="203"/>
      <c r="AD85" s="204"/>
      <c r="AE85" s="108">
        <v>631.91</v>
      </c>
      <c r="AF85" s="1">
        <v>673.33899999999994</v>
      </c>
      <c r="AG85" s="1">
        <v>725.53899999999999</v>
      </c>
      <c r="AH85" s="1">
        <v>712.63799999999992</v>
      </c>
      <c r="AI85" s="2">
        <v>766.4259999999997</v>
      </c>
      <c r="AJ85" s="1">
        <v>860.48699999999997</v>
      </c>
      <c r="AK85" s="1">
        <v>860.48699999999997</v>
      </c>
      <c r="AL85" s="3">
        <v>700.08000000000015</v>
      </c>
      <c r="AM85" s="2">
        <v>741.08600000000013</v>
      </c>
      <c r="AN85" s="1">
        <v>777.50400000000025</v>
      </c>
      <c r="AO85" s="1">
        <v>807.55500000000018</v>
      </c>
      <c r="AP85" s="3">
        <v>621.97500000000002</v>
      </c>
      <c r="AQ85" s="2">
        <v>662.25700000000018</v>
      </c>
      <c r="AR85" s="1">
        <v>736.25700000000018</v>
      </c>
      <c r="AS85" s="1">
        <v>773.25700000000018</v>
      </c>
      <c r="AT85" s="3">
        <v>634</v>
      </c>
      <c r="AU85" s="2">
        <v>676</v>
      </c>
      <c r="AV85" s="1">
        <v>702</v>
      </c>
      <c r="AW85" s="1">
        <v>722</v>
      </c>
      <c r="AX85" s="3">
        <v>670</v>
      </c>
      <c r="AY85" s="2">
        <v>706</v>
      </c>
      <c r="AZ85" s="1">
        <v>721</v>
      </c>
      <c r="BA85" s="1">
        <v>768</v>
      </c>
      <c r="BB85" s="3">
        <v>740</v>
      </c>
      <c r="BC85" s="2">
        <v>795.49597283936896</v>
      </c>
      <c r="BD85" s="1">
        <v>853.68979529957744</v>
      </c>
      <c r="BE85" s="1">
        <v>914.79588660845377</v>
      </c>
      <c r="BF85" s="3">
        <v>978.92670633857335</v>
      </c>
      <c r="BG85" s="2">
        <v>1045.7672188422143</v>
      </c>
      <c r="BH85" s="1">
        <v>1115.6419382740626</v>
      </c>
      <c r="BI85" s="1">
        <v>1188.7983617658201</v>
      </c>
      <c r="BJ85" s="3">
        <v>1265.282551277151</v>
      </c>
      <c r="BK85" s="2">
        <v>1344.764506875083</v>
      </c>
      <c r="BL85" s="1">
        <v>1427.6077839030493</v>
      </c>
      <c r="BM85" s="1">
        <v>1514.0603920387043</v>
      </c>
      <c r="BN85" s="3">
        <v>1604.1923300674739</v>
      </c>
      <c r="BP85" s="150">
        <v>0</v>
      </c>
      <c r="BQ85" s="150">
        <v>0</v>
      </c>
      <c r="BR85" s="150">
        <v>0</v>
      </c>
      <c r="BS85" s="150">
        <v>0</v>
      </c>
      <c r="BT85" s="150">
        <v>0</v>
      </c>
      <c r="BU85" s="150">
        <v>0</v>
      </c>
      <c r="BV85" s="150">
        <v>0</v>
      </c>
      <c r="BW85" s="150">
        <v>712.63800000000003</v>
      </c>
      <c r="BX85" s="150">
        <v>700.08</v>
      </c>
      <c r="BY85" s="150">
        <v>621.97499999999991</v>
      </c>
      <c r="BZ85" s="426">
        <v>633.99999999999989</v>
      </c>
      <c r="CA85" s="426">
        <v>669.99999999999989</v>
      </c>
      <c r="CB85" s="426">
        <v>739.99999999999989</v>
      </c>
      <c r="CC85" s="426">
        <v>978.92670633857324</v>
      </c>
      <c r="CD85" s="426">
        <v>1265.2825512771508</v>
      </c>
      <c r="CE85" s="426">
        <v>1604.1923300674734</v>
      </c>
      <c r="CZ85"/>
      <c r="DA85"/>
      <c r="DB85"/>
      <c r="DC85"/>
      <c r="DD85"/>
      <c r="DE85"/>
    </row>
    <row r="86" spans="1:109" s="108" customFormat="1" outlineLevel="1">
      <c r="A86" s="5"/>
      <c r="B86" s="108" t="s">
        <v>345</v>
      </c>
      <c r="C86" s="446" t="e">
        <f>C32-B32+C33-B33+C34-B34+C36-B36-IS!C33</f>
        <v>#VALUE!</v>
      </c>
      <c r="D86" s="426">
        <f>D32-C32+D33-C33+D34-C34+D36-C36-IS!D33</f>
        <v>-29.225000000000065</v>
      </c>
      <c r="E86" s="426">
        <f>E32-D32+E33-D33+E34-D34+E36-D36-IS!E33</f>
        <v>9.5610000000000923</v>
      </c>
      <c r="F86" s="447">
        <f>F32-E32+F33-E33+F34-E34+F36-E36-IS!F33</f>
        <v>47.351999999999975</v>
      </c>
      <c r="G86" s="426">
        <f>G32-F32+G33-F33+G34-F34+G36-F36-IS!G33</f>
        <v>18.872999999999863</v>
      </c>
      <c r="H86" s="426">
        <f>H32-G32+H33-G33+H34-G34+H36-G36-IS!H33</f>
        <v>-41.636999999999915</v>
      </c>
      <c r="I86" s="426">
        <f>I32-H32+I33-H33+I34-H34+I36-H36-IS!I33</f>
        <v>83.608999999999895</v>
      </c>
      <c r="J86" s="426">
        <f>J32-I32+J33-I33+J34-I34+J36-I36-IS!J33</f>
        <v>-5.7690000000001191</v>
      </c>
      <c r="K86" s="446">
        <f>K32-J32+K33-J33+K34-J34+K36-J36-IS!K33</f>
        <v>-43.132000000000033</v>
      </c>
      <c r="L86" s="426">
        <f>L32-K32+L33-K33+L34-K34+L36-K36-IS!L33</f>
        <v>-8.6499999999999204</v>
      </c>
      <c r="M86" s="426">
        <f>M32-L32+M33-L33+M34-L34+M36-L36-IS!M33</f>
        <v>-19.777000000000015</v>
      </c>
      <c r="N86" s="447">
        <f>N32-M32+N33-M33+N34-M34+N36-M36-IS!N33</f>
        <v>-121.69099999999992</v>
      </c>
      <c r="O86" s="426">
        <f>O32-N32+O33-N33+O34-N34+O36-N36-IS!O33</f>
        <v>-51.054000000000173</v>
      </c>
      <c r="P86" s="426">
        <f>P32-O32+P33-O33+P34-O34+P36-O36-IS!P33</f>
        <v>49.180999999999898</v>
      </c>
      <c r="Q86" s="426">
        <f>Q32-P32+Q33-P33+Q34-P34+Q36-P36-IS!Q33</f>
        <v>-234.58400000000017</v>
      </c>
      <c r="R86" s="426">
        <f>R32-Q32+R33-Q33+R34-Q34+R36-Q36-IS!R33</f>
        <v>47.407000000000835</v>
      </c>
      <c r="S86" s="446">
        <f>S32-R32+S33-R33+S34-R34+S36-R36-IS!S33</f>
        <v>124.49599999999998</v>
      </c>
      <c r="T86" s="426">
        <f>T32-S32+T33-S33+T34-S34+T36-S36-IS!T33</f>
        <v>30.09599999999989</v>
      </c>
      <c r="U86" s="426">
        <f>U32-T32+U33-T33+U34-T34+U36-T36-IS!U33</f>
        <v>67.673999999999722</v>
      </c>
      <c r="V86" s="447">
        <f>V32-U32+V33-U33+V34-U34+V36-U36-IS!V33</f>
        <v>107.90199999999979</v>
      </c>
      <c r="W86" s="426">
        <f>W32-V32+W33-V33+W34-V34+W36-V36-IS!W33</f>
        <v>59.211000000000553</v>
      </c>
      <c r="X86" s="426">
        <f>X32-W32+X33-W33+X34-W34+X36-W36-IS!X33</f>
        <v>40.468000000000188</v>
      </c>
      <c r="Y86" s="426">
        <f>Y32-X32+Y33-X33+Y34-X34+Y36-X36-IS!Y33</f>
        <v>51.070999999999529</v>
      </c>
      <c r="Z86" s="426">
        <f>Z32-Y32+Z33-Y33+Z34-Y34+Z36-Y36-IS!Z33</f>
        <v>114.32600000000033</v>
      </c>
      <c r="AA86" s="446">
        <f>AA32-Z32+AA33-Z33+AA34-Z34+AA36-Z36-IS!AA33</f>
        <v>130.27799999999988</v>
      </c>
      <c r="AB86" s="426">
        <f>AB32-AA32+AB33-AA33+AB34-AA34+AB36-AA36-IS!AB33</f>
        <v>86.774999999999864</v>
      </c>
      <c r="AC86" s="426">
        <f>AC32-AB32+AC33-AB33+AC34-AB34+AC36-AB36-IS!AC33</f>
        <v>111.14500000000049</v>
      </c>
      <c r="AD86" s="447">
        <f>AD32-AC32+AD33-AC33+AD34-AC34+AD36-AC36-IS!AD33</f>
        <v>54.632000000000204</v>
      </c>
      <c r="AE86" s="426">
        <f>AE32-AD32+AE33-AD33+AE34-AD34+AE36-AD36-IS!AE33</f>
        <v>81.433999999999671</v>
      </c>
      <c r="AF86" s="426">
        <f>AF32-AE32+AF33-AE33+AF34-AE34+AF36-AE36-IS!AF33</f>
        <v>46.478999999999132</v>
      </c>
      <c r="AG86" s="426">
        <f>AG32-AF32+AG33-AF33+AG34-AF34+AG36-AF36-IS!AG33</f>
        <v>60.400000000000603</v>
      </c>
      <c r="AH86" s="426">
        <f>AH32-AG32+AH33-AG33+AH34-AG34+AH36-AG36-IS!AH33</f>
        <v>-68.236999999999881</v>
      </c>
      <c r="AI86" s="446">
        <f>AI32-AH32+AI33-AH33+AI34-AH34+AI36-AH36-IS!AI33</f>
        <v>-80.970000000000141</v>
      </c>
      <c r="AJ86" s="426">
        <f>AJ32-AI32+AJ33-AI33+AJ34-AI34+AJ36-AI36-IS!AJ33</f>
        <v>-744.81499999999971</v>
      </c>
      <c r="AK86" s="426">
        <f>AK32-AJ32+AK33-AJ33+AK34-AJ34+AK36-AJ36-IS!AK33</f>
        <v>29.774999999999892</v>
      </c>
      <c r="AL86" s="447">
        <f>AL32-AK32+AL33-AK33+AL34-AK34+AL36-AK36-IS!AL33</f>
        <v>-10.181000000000665</v>
      </c>
      <c r="AM86" s="446">
        <f>AM32-AL32+AM33-AL33+AM34-AL34+AM36-AL36-IS!AM33</f>
        <v>-427.41600000000062</v>
      </c>
      <c r="AN86" s="426">
        <f>AN32-AM32+AN33-AM33+AN34-AM34+AN36-AM36-IS!AN33</f>
        <v>11.811000000000689</v>
      </c>
      <c r="AO86" s="426">
        <f>AO32-AN32+AO33-AN33+AO34-AN34+AO36-AN36-IS!AO33</f>
        <v>-278.54300000000057</v>
      </c>
      <c r="AP86" s="447">
        <f>AP32-AO32+AP33-AO33+AP34-AO34+AP36-AO36-IS!AP33</f>
        <v>22.178000000000054</v>
      </c>
      <c r="AQ86" s="446">
        <f>AQ32-AP32+AQ33-AP33+AQ34-AP34+AQ36-AP36-IS!AQ33</f>
        <v>3.86200000000008</v>
      </c>
      <c r="AR86" s="426">
        <f>AR32-AQ32+AR33-AQ33+AR34-AQ34+AR36-AQ36-IS!AR33</f>
        <v>-390</v>
      </c>
      <c r="AS86" s="426">
        <f>AS32-AR32+AS33-AR33+AS34-AR34+AS36-AR36-IS!AS33</f>
        <v>34</v>
      </c>
      <c r="AT86" s="447">
        <f>AT32-AS32+AT33-AS33+AT34-AS34+AT36-AS36-IS!AT33</f>
        <v>-199</v>
      </c>
      <c r="AU86" s="446">
        <f>AU32-AT32+AU33-AT33+AU34-AT34+AU36-AT36-IS!AU33</f>
        <v>-474</v>
      </c>
      <c r="AV86" s="426">
        <f>AV32-AU32+AV33-AU33+AV34-AU34+AV36-AU36-IS!AV33</f>
        <v>28</v>
      </c>
      <c r="AW86" s="426">
        <f>AW32-AV32+AW33-AV33+AW34-AV34+AW36-AV36-IS!AW33</f>
        <v>302</v>
      </c>
      <c r="AX86" s="447">
        <f>AX32-AW32+AX33-AW33+AX34-AW34+AX36-AW36-IS!AX33</f>
        <v>-197</v>
      </c>
      <c r="AY86" s="446">
        <f>AY32-AX32+AY33-AX33+AY34-AX34+AY36-AX36-IS!AY33</f>
        <v>-139</v>
      </c>
      <c r="AZ86" s="426">
        <f>AZ32-AY32+AZ33-AY33+AZ34-AY34+AZ36-AY36-IS!AZ33</f>
        <v>-744</v>
      </c>
      <c r="BA86" s="426">
        <f>BA32-AZ32+BA33-AZ33+BA34-AZ34+BA36-AZ36-IS!BA33</f>
        <v>-457</v>
      </c>
      <c r="BB86" s="447">
        <f>BB32-BA32+BB33-BA33+BB34-BA34+BB36-BA36-IS!BB33</f>
        <v>5</v>
      </c>
      <c r="BC86" s="446">
        <f>BC32-BB32+BC33-BB33+BC34-BB34+BC36-BB36-IS!BC33</f>
        <v>40.699669966995657</v>
      </c>
      <c r="BD86" s="426">
        <f>BD32-BC32+BD33-BC33+BD34-BC34+BD36-BC36-IS!BD33</f>
        <v>40.399339933994042</v>
      </c>
      <c r="BE86" s="426">
        <f>BE32-BD32+BE33-BD33+BE34-BD34+BE36-BD36-IS!BE33</f>
        <v>40.09900990099095</v>
      </c>
      <c r="BF86" s="447">
        <f>BF32-BE32+BF33-BE33+BF34-BE34+BF36-BE36-IS!BF33</f>
        <v>39.798679867986948</v>
      </c>
      <c r="BG86" s="446">
        <f>BG32-BF32+BG33-BF33+BG34-BF34+BG36-BF36-IS!BG33</f>
        <v>39.498349834982946</v>
      </c>
      <c r="BH86" s="426">
        <f>BH32-BG32+BH33-BG33+BH34-BG34+BH36-BG36-IS!BH33</f>
        <v>39.198019801980536</v>
      </c>
      <c r="BI86" s="426">
        <f>BI32-BH32+BI33-BH33+BI34-BH34+BI36-BH36-IS!BI33</f>
        <v>38.897689768977443</v>
      </c>
      <c r="BJ86" s="447">
        <f>BJ32-BI32+BJ33-BI33+BJ34-BI34+BJ36-BI36-IS!BJ33</f>
        <v>38.597359735972987</v>
      </c>
      <c r="BK86" s="446">
        <f>BK32-BJ32+BK33-BJ33+BK34-BJ34+BK36-BJ36-IS!BK33</f>
        <v>38.297029702970576</v>
      </c>
      <c r="BL86" s="426">
        <f>BL32-BK32+BL33-BK33+BL34-BK34+BL36-BK36-IS!BL33</f>
        <v>37.996699669964983</v>
      </c>
      <c r="BM86" s="426">
        <f>BM32-BL32+BM33-BL33+BM34-BL34+BM36-BL36-IS!BM33</f>
        <v>37.696369636964619</v>
      </c>
      <c r="BN86" s="447">
        <f>BN32-BM32+BN33-BM33+BN34-BM34+BN36-BM36-IS!BN33</f>
        <v>37.396039603961526</v>
      </c>
      <c r="BP86" s="150">
        <f>BP32-BO32+BP33-BO33+BP34-BO34+BP36-BO36-IS!BP33</f>
        <v>1200.377</v>
      </c>
      <c r="BQ86" s="150">
        <f>BQ32-BP32+BQ33-BP33+BQ34-BP34+BQ36-BP36-IS!BQ33</f>
        <v>55.075999999999681</v>
      </c>
      <c r="BR86" s="150">
        <f>BR32-BQ32+BR33-BQ33+BR34-BQ34+BR36-BQ36-IS!BR33</f>
        <v>-193.24999999999977</v>
      </c>
      <c r="BS86" s="150">
        <f>BS32-BR32+BS33-BR33+BS34-BR34+BS36-BR36-IS!BS33</f>
        <v>-189.04999999999961</v>
      </c>
      <c r="BT86" s="150">
        <f>BT32-BS32+BT33-BS33+BT34-BS34+BT36-BS36-IS!BT33</f>
        <v>330.1679999999991</v>
      </c>
      <c r="BU86" s="150">
        <f>BU32-BT32+BU33-BT33+BU34-BT34+BU36-BT36-IS!BU33</f>
        <v>265.07600000000082</v>
      </c>
      <c r="BV86" s="150">
        <f>BV32-BU32+BV33-BU33+BV34-BU34+BV36-BU36-IS!BV33</f>
        <v>382.83000000000015</v>
      </c>
      <c r="BW86" s="150">
        <f>BW32-BV32+BW33-BV33+BW34-BV34+BW36-BV36-IS!BW33</f>
        <v>120.07599999999957</v>
      </c>
      <c r="BX86" s="150">
        <f>BX32-BW32+BX33-BW33+BX34-BW34+BX36-BW36-IS!BX33</f>
        <v>-806.19100000000026</v>
      </c>
      <c r="BY86" s="150">
        <f>BY32-BX32+BY33-BX33+BY34-BX34+BY36-BX36-IS!BY33</f>
        <v>-671.97000000000025</v>
      </c>
      <c r="BZ86" s="426">
        <f>BZ32-BY32+BZ33-BY33+BZ34-BY34+BZ36-BY36-IS!BZ33</f>
        <v>-551.13799999999992</v>
      </c>
      <c r="CA86" s="426">
        <f>CA32-BZ32+CA33-BZ33+CA34-BZ34+CA36-BZ36-IS!CA33</f>
        <v>-341</v>
      </c>
      <c r="CB86" s="426">
        <f>CB32-CA32+CB33-CA33+CB34-CA34+CB36-CA36-IS!CB33</f>
        <v>-1335</v>
      </c>
      <c r="CC86" s="426">
        <f>CC32-CB32+CC33-CB33+CC34-CB34+CC36-CB36-IS!CC33</f>
        <v>160.99669966996771</v>
      </c>
      <c r="CD86" s="426">
        <f>CD32-CC32+CD33-CC33+CD34-CC34+CD36-CC36-IS!CD33</f>
        <v>156.19141914191459</v>
      </c>
      <c r="CE86" s="426">
        <f>CE32-CD32+CE33-CD33+CE34-CD34+CE36-CD36-IS!CE33</f>
        <v>151.38613861386148</v>
      </c>
      <c r="CZ86"/>
      <c r="DA86"/>
      <c r="DB86"/>
      <c r="DC86"/>
      <c r="DD86"/>
      <c r="DE86"/>
    </row>
    <row r="87" spans="1:109">
      <c r="AW87" s="141"/>
    </row>
    <row r="88" spans="1:109">
      <c r="AW88" s="141"/>
    </row>
    <row r="89" spans="1:109">
      <c r="AW89" s="141"/>
    </row>
    <row r="90" spans="1:109">
      <c r="AW90" s="141"/>
    </row>
    <row r="91" spans="1:109">
      <c r="AW91" s="141"/>
    </row>
    <row r="92" spans="1:109">
      <c r="AW92" s="141"/>
    </row>
    <row r="93" spans="1:109">
      <c r="AW93" s="141"/>
    </row>
    <row r="94" spans="1:109">
      <c r="AW94" s="141"/>
    </row>
    <row r="95" spans="1:109">
      <c r="AW95" s="141"/>
    </row>
    <row r="96" spans="1:109">
      <c r="AW96" s="141"/>
    </row>
    <row r="97" spans="49:49">
      <c r="AW97" s="141"/>
    </row>
    <row r="98" spans="49:49">
      <c r="AW98" s="141"/>
    </row>
    <row r="99" spans="49:49">
      <c r="AW99" s="141"/>
    </row>
    <row r="100" spans="49:49">
      <c r="AW100" s="141"/>
    </row>
    <row r="101" spans="49:49">
      <c r="AW101" s="141"/>
    </row>
    <row r="102" spans="49:49">
      <c r="AW102" s="141"/>
    </row>
    <row r="103" spans="49:49">
      <c r="AW103" s="141"/>
    </row>
    <row r="104" spans="49:49">
      <c r="AW104" s="141"/>
    </row>
    <row r="105" spans="49:49">
      <c r="AW105" s="141"/>
    </row>
    <row r="106" spans="49:49">
      <c r="AW106" s="141"/>
    </row>
    <row r="107" spans="49:49">
      <c r="AW107" s="141"/>
    </row>
    <row r="108" spans="49:49">
      <c r="AW108" s="141"/>
    </row>
    <row r="109" spans="49:49">
      <c r="AW109" s="141"/>
    </row>
    <row r="110" spans="49:49">
      <c r="AW110" s="141"/>
    </row>
    <row r="111" spans="49:49">
      <c r="AW111" s="141"/>
    </row>
    <row r="112" spans="49:49">
      <c r="AW112" s="141"/>
    </row>
    <row r="113" spans="49:49">
      <c r="AW113" s="141"/>
    </row>
    <row r="114" spans="49:49">
      <c r="AW114" s="141"/>
    </row>
    <row r="115" spans="49:49">
      <c r="AW115" s="141"/>
    </row>
    <row r="116" spans="49:49">
      <c r="AW116" s="141"/>
    </row>
    <row r="117" spans="49:49">
      <c r="AW117" s="141"/>
    </row>
    <row r="118" spans="49:49">
      <c r="AW118" s="141"/>
    </row>
    <row r="119" spans="49:49">
      <c r="AW119" s="141"/>
    </row>
    <row r="120" spans="49:49">
      <c r="AW120" s="141"/>
    </row>
    <row r="121" spans="49:49">
      <c r="AW121" s="141"/>
    </row>
    <row r="122" spans="49:49">
      <c r="AW122" s="141"/>
    </row>
    <row r="123" spans="49:49">
      <c r="AW123" s="141"/>
    </row>
    <row r="124" spans="49:49">
      <c r="AW124" s="141"/>
    </row>
    <row r="125" spans="49:49">
      <c r="AW125" s="141"/>
    </row>
    <row r="126" spans="49:49">
      <c r="AW126" s="141"/>
    </row>
    <row r="127" spans="49:49">
      <c r="AW127" s="141"/>
    </row>
    <row r="128" spans="49:49">
      <c r="AW128" s="141"/>
    </row>
    <row r="129" spans="49:49">
      <c r="AW129" s="141"/>
    </row>
    <row r="130" spans="49:49">
      <c r="AW130" s="141"/>
    </row>
    <row r="131" spans="49:49">
      <c r="AW131" s="141"/>
    </row>
    <row r="132" spans="49:49">
      <c r="AW132" s="141"/>
    </row>
    <row r="133" spans="49:49">
      <c r="AW133" s="141"/>
    </row>
    <row r="134" spans="49:49">
      <c r="AW134" s="141"/>
    </row>
    <row r="135" spans="49:49">
      <c r="AW135" s="141"/>
    </row>
    <row r="136" spans="49:49">
      <c r="AW136" s="141"/>
    </row>
    <row r="137" spans="49:49">
      <c r="AW137" s="141"/>
    </row>
    <row r="138" spans="49:49">
      <c r="AW138" s="141"/>
    </row>
    <row r="139" spans="49:49">
      <c r="AW139" s="141"/>
    </row>
    <row r="140" spans="49:49">
      <c r="AW140" s="141"/>
    </row>
    <row r="141" spans="49:49">
      <c r="AW141" s="141"/>
    </row>
    <row r="142" spans="49:49">
      <c r="AW142" s="141"/>
    </row>
    <row r="143" spans="49:49">
      <c r="AW143" s="141"/>
    </row>
    <row r="144" spans="49:49">
      <c r="AW144" s="141"/>
    </row>
    <row r="145" spans="49:49">
      <c r="AW145" s="141"/>
    </row>
    <row r="146" spans="49:49">
      <c r="AW146" s="141"/>
    </row>
    <row r="147" spans="49:49">
      <c r="AW147" s="141"/>
    </row>
    <row r="148" spans="49:49">
      <c r="AW148" s="141"/>
    </row>
    <row r="149" spans="49:49">
      <c r="AW149" s="141"/>
    </row>
    <row r="150" spans="49:49">
      <c r="AW150" s="141"/>
    </row>
    <row r="151" spans="49:49">
      <c r="AW151" s="141"/>
    </row>
    <row r="152" spans="49:49">
      <c r="AW152" s="141"/>
    </row>
    <row r="153" spans="49:49">
      <c r="AW153" s="141"/>
    </row>
    <row r="154" spans="49:49">
      <c r="AW154" s="141"/>
    </row>
    <row r="155" spans="49:49">
      <c r="AW155" s="141"/>
    </row>
    <row r="156" spans="49:49">
      <c r="AW156" s="141"/>
    </row>
    <row r="157" spans="49:49">
      <c r="AW157" s="141"/>
    </row>
    <row r="158" spans="49:49">
      <c r="AW158" s="141"/>
    </row>
    <row r="159" spans="49:49">
      <c r="AW159" s="141"/>
    </row>
    <row r="160" spans="49:49">
      <c r="AW160" s="141"/>
    </row>
    <row r="161" spans="49:49">
      <c r="AW161" s="141"/>
    </row>
    <row r="162" spans="49:49">
      <c r="AW162" s="141"/>
    </row>
    <row r="163" spans="49:49">
      <c r="AW163" s="141"/>
    </row>
    <row r="164" spans="49:49">
      <c r="AW164" s="141"/>
    </row>
    <row r="165" spans="49:49">
      <c r="AW165" s="141"/>
    </row>
    <row r="166" spans="49:49">
      <c r="AW166" s="141"/>
    </row>
    <row r="167" spans="49:49">
      <c r="AW167" s="141"/>
    </row>
    <row r="168" spans="49:49">
      <c r="AW168" s="141"/>
    </row>
    <row r="169" spans="49:49">
      <c r="AW169" s="141"/>
    </row>
    <row r="170" spans="49:49">
      <c r="AW170" s="141"/>
    </row>
    <row r="171" spans="49:49">
      <c r="AW171" s="141"/>
    </row>
    <row r="172" spans="49:49">
      <c r="AW172" s="141"/>
    </row>
    <row r="173" spans="49:49">
      <c r="AW173" s="141"/>
    </row>
    <row r="174" spans="49:49">
      <c r="AW174" s="141"/>
    </row>
    <row r="175" spans="49:49">
      <c r="AW175" s="141"/>
    </row>
    <row r="176" spans="49:49">
      <c r="AW176" s="141"/>
    </row>
    <row r="177" spans="49:49">
      <c r="AW177" s="141"/>
    </row>
    <row r="178" spans="49:49">
      <c r="AW178" s="141"/>
    </row>
    <row r="179" spans="49:49">
      <c r="AW179" s="141"/>
    </row>
    <row r="180" spans="49:49">
      <c r="AW180" s="141"/>
    </row>
    <row r="181" spans="49:49">
      <c r="AW181" s="141"/>
    </row>
    <row r="182" spans="49:49">
      <c r="AW182" s="141"/>
    </row>
    <row r="183" spans="49:49">
      <c r="AW183" s="141"/>
    </row>
    <row r="184" spans="49:49">
      <c r="AW184" s="141"/>
    </row>
    <row r="185" spans="49:49">
      <c r="AW185" s="141"/>
    </row>
    <row r="186" spans="49:49">
      <c r="AW186" s="141"/>
    </row>
    <row r="187" spans="49:49">
      <c r="AW187" s="141"/>
    </row>
    <row r="188" spans="49:49">
      <c r="AW188" s="141"/>
    </row>
    <row r="189" spans="49:49">
      <c r="AW189" s="141"/>
    </row>
    <row r="190" spans="49:49">
      <c r="AW190" s="141"/>
    </row>
    <row r="191" spans="49:49">
      <c r="AW191" s="141"/>
    </row>
    <row r="192" spans="49:49">
      <c r="AW192" s="141"/>
    </row>
    <row r="193" spans="49:49">
      <c r="AW193" s="141"/>
    </row>
    <row r="194" spans="49:49">
      <c r="AW194" s="141"/>
    </row>
    <row r="195" spans="49:49">
      <c r="AW195" s="141"/>
    </row>
    <row r="196" spans="49:49">
      <c r="AW196" s="141"/>
    </row>
    <row r="197" spans="49:49">
      <c r="AW197" s="141"/>
    </row>
    <row r="198" spans="49:49">
      <c r="AW198" s="141"/>
    </row>
    <row r="199" spans="49:49">
      <c r="AW199" s="141"/>
    </row>
    <row r="200" spans="49:49">
      <c r="AW200" s="141"/>
    </row>
    <row r="201" spans="49:49">
      <c r="AW201" s="141"/>
    </row>
    <row r="202" spans="49:49">
      <c r="AW202" s="141"/>
    </row>
    <row r="203" spans="49:49">
      <c r="AW203" s="141"/>
    </row>
    <row r="204" spans="49:49">
      <c r="AW204" s="141"/>
    </row>
    <row r="205" spans="49:49">
      <c r="AW205" s="141"/>
    </row>
    <row r="206" spans="49:49">
      <c r="AW206" s="141"/>
    </row>
    <row r="207" spans="49:49">
      <c r="AW207" s="141"/>
    </row>
    <row r="208" spans="49:49">
      <c r="AW208" s="141"/>
    </row>
    <row r="209" spans="49:49">
      <c r="AW209" s="141"/>
    </row>
    <row r="210" spans="49:49">
      <c r="AW210" s="141"/>
    </row>
    <row r="211" spans="49:49">
      <c r="AW211" s="141"/>
    </row>
    <row r="212" spans="49:49">
      <c r="AW212" s="141"/>
    </row>
    <row r="213" spans="49:49">
      <c r="AW213" s="141"/>
    </row>
    <row r="214" spans="49:49">
      <c r="AW214" s="141"/>
    </row>
    <row r="215" spans="49:49">
      <c r="AW215" s="141"/>
    </row>
    <row r="216" spans="49:49">
      <c r="AW216" s="141"/>
    </row>
    <row r="217" spans="49:49">
      <c r="AW217" s="141"/>
    </row>
    <row r="218" spans="49:49">
      <c r="AW218" s="141"/>
    </row>
    <row r="219" spans="49:49">
      <c r="AW219" s="141"/>
    </row>
    <row r="220" spans="49:49">
      <c r="AW220" s="141"/>
    </row>
    <row r="221" spans="49:49">
      <c r="AW221" s="141"/>
    </row>
    <row r="222" spans="49:49">
      <c r="AW222" s="141"/>
    </row>
    <row r="223" spans="49:49">
      <c r="AW223" s="141"/>
    </row>
    <row r="224" spans="49:49">
      <c r="AW224" s="141"/>
    </row>
    <row r="225" spans="49:49">
      <c r="AW225" s="141"/>
    </row>
    <row r="226" spans="49:49" customFormat="1"/>
    <row r="227" spans="49:49">
      <c r="AW227" s="141"/>
    </row>
    <row r="228" spans="49:49">
      <c r="AW228" s="141"/>
    </row>
    <row r="229" spans="49:49">
      <c r="AW229" s="141"/>
    </row>
    <row r="230" spans="49:49">
      <c r="AW230" s="141"/>
    </row>
    <row r="231" spans="49:49">
      <c r="AW231" s="141"/>
    </row>
    <row r="232" spans="49:49">
      <c r="AW232" s="141"/>
    </row>
    <row r="233" spans="49:49">
      <c r="AW233" s="141"/>
    </row>
    <row r="234" spans="49:49">
      <c r="AW234" s="141"/>
    </row>
    <row r="235" spans="49:49">
      <c r="AW235" s="141"/>
    </row>
    <row r="236" spans="49:49">
      <c r="AW236" s="141"/>
    </row>
    <row r="237" spans="49:49">
      <c r="AW237" s="141"/>
    </row>
    <row r="238" spans="49:49">
      <c r="AW238" s="141"/>
    </row>
    <row r="239" spans="49:49">
      <c r="AW239" s="141"/>
    </row>
    <row r="240" spans="49:49">
      <c r="AW240" s="141"/>
    </row>
    <row r="241" spans="49:49">
      <c r="AW241" s="141"/>
    </row>
    <row r="242" spans="49:49">
      <c r="AW242" s="141"/>
    </row>
    <row r="243" spans="49:49">
      <c r="AW243" s="141"/>
    </row>
    <row r="244" spans="49:49">
      <c r="AW244" s="141"/>
    </row>
    <row r="245" spans="49:49">
      <c r="AW245" s="141"/>
    </row>
    <row r="246" spans="49:49">
      <c r="AW246" s="141"/>
    </row>
    <row r="247" spans="49:49">
      <c r="AW247" s="141"/>
    </row>
    <row r="248" spans="49:49">
      <c r="AW248" s="141"/>
    </row>
    <row r="249" spans="49:49">
      <c r="AW249" s="141"/>
    </row>
    <row r="250" spans="49:49">
      <c r="AW250" s="141"/>
    </row>
    <row r="251" spans="49:49">
      <c r="AW251" s="141"/>
    </row>
    <row r="252" spans="49:49">
      <c r="AW252" s="141"/>
    </row>
    <row r="253" spans="49:49">
      <c r="AW253" s="141"/>
    </row>
    <row r="254" spans="49:49">
      <c r="AW254" s="141"/>
    </row>
    <row r="255" spans="49:49">
      <c r="AW255" s="141"/>
    </row>
    <row r="256" spans="49:49">
      <c r="AW256" s="141"/>
    </row>
    <row r="257" spans="49:49">
      <c r="AW257" s="141"/>
    </row>
    <row r="258" spans="49:49">
      <c r="AW258" s="141"/>
    </row>
    <row r="259" spans="49:49">
      <c r="AW259" s="141"/>
    </row>
    <row r="260" spans="49:49">
      <c r="AW260" s="141"/>
    </row>
    <row r="261" spans="49:49">
      <c r="AW261" s="141"/>
    </row>
    <row r="262" spans="49:49">
      <c r="AW262" s="141"/>
    </row>
    <row r="263" spans="49:49">
      <c r="AW263" s="141"/>
    </row>
    <row r="264" spans="49:49">
      <c r="AW264" s="141"/>
    </row>
    <row r="265" spans="49:49">
      <c r="AW265" s="141"/>
    </row>
    <row r="266" spans="49:49">
      <c r="AW266" s="141"/>
    </row>
    <row r="267" spans="49:49">
      <c r="AW267" s="141"/>
    </row>
    <row r="268" spans="49:49">
      <c r="AW268" s="141"/>
    </row>
    <row r="269" spans="49:49">
      <c r="AW269" s="141"/>
    </row>
    <row r="270" spans="49:49">
      <c r="AW270" s="141"/>
    </row>
    <row r="271" spans="49:49">
      <c r="AW271" s="141"/>
    </row>
    <row r="272" spans="49:49">
      <c r="AW272" s="141"/>
    </row>
    <row r="273" spans="49:49">
      <c r="AW273" s="141"/>
    </row>
    <row r="274" spans="49:49">
      <c r="AW274" s="141"/>
    </row>
    <row r="275" spans="49:49">
      <c r="AW275" s="141"/>
    </row>
    <row r="276" spans="49:49">
      <c r="AW276" s="141"/>
    </row>
    <row r="277" spans="49:49">
      <c r="AW277" s="141"/>
    </row>
    <row r="278" spans="49:49">
      <c r="AW278" s="141"/>
    </row>
    <row r="279" spans="49:49">
      <c r="AW279" s="141"/>
    </row>
    <row r="280" spans="49:49">
      <c r="AW280" s="141"/>
    </row>
    <row r="281" spans="49:49">
      <c r="AW281" s="141"/>
    </row>
    <row r="282" spans="49:49">
      <c r="AW282" s="141"/>
    </row>
    <row r="283" spans="49:49">
      <c r="AW283" s="141"/>
    </row>
    <row r="284" spans="49:49">
      <c r="AW284" s="141"/>
    </row>
    <row r="285" spans="49:49">
      <c r="AW285" s="141"/>
    </row>
    <row r="286" spans="49:49">
      <c r="AW286" s="141"/>
    </row>
    <row r="287" spans="49:49">
      <c r="AW287" s="141"/>
    </row>
    <row r="288" spans="49:49">
      <c r="AW288" s="141"/>
    </row>
    <row r="289" spans="49:49">
      <c r="AW289" s="141"/>
    </row>
    <row r="290" spans="49:49">
      <c r="AW290" s="141"/>
    </row>
    <row r="291" spans="49:49">
      <c r="AW291" s="141"/>
    </row>
    <row r="292" spans="49:49">
      <c r="AW292" s="141"/>
    </row>
    <row r="293" spans="49:49">
      <c r="AW293" s="141"/>
    </row>
    <row r="294" spans="49:49">
      <c r="AW294" s="141"/>
    </row>
    <row r="295" spans="49:49">
      <c r="AW295" s="141"/>
    </row>
    <row r="296" spans="49:49">
      <c r="AW296" s="141"/>
    </row>
    <row r="297" spans="49:49">
      <c r="AW297" s="141"/>
    </row>
    <row r="298" spans="49:49">
      <c r="AW298" s="141"/>
    </row>
    <row r="299" spans="49:49">
      <c r="AW299" s="141"/>
    </row>
    <row r="300" spans="49:49">
      <c r="AW300" s="141"/>
    </row>
    <row r="301" spans="49:49">
      <c r="AW301" s="141"/>
    </row>
    <row r="302" spans="49:49">
      <c r="AW302" s="141"/>
    </row>
    <row r="303" spans="49:49">
      <c r="AW303" s="141"/>
    </row>
    <row r="304" spans="49:49">
      <c r="AW304" s="141"/>
    </row>
    <row r="305" spans="49:49">
      <c r="AW305" s="141"/>
    </row>
    <row r="306" spans="49:49">
      <c r="AW306" s="141"/>
    </row>
    <row r="307" spans="49:49">
      <c r="AW307" s="141"/>
    </row>
  </sheetData>
  <pageMargins left="0" right="0" top="0" bottom="0" header="0" footer="0"/>
  <pageSetup paperSize="5" scale="16" orientation="landscape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C201"/>
  <sheetViews>
    <sheetView zoomScaleNormal="100" workbookViewId="0">
      <pane xSplit="2" ySplit="5" topLeftCell="AU24" activePane="bottomRight" state="frozen"/>
      <selection pane="topRight" activeCell="C1" sqref="C1"/>
      <selection pane="bottomLeft" activeCell="A6" sqref="A6"/>
      <selection pane="bottomRight" activeCell="BI39" sqref="A1:XFD1048576"/>
    </sheetView>
  </sheetViews>
  <sheetFormatPr defaultRowHeight="15" outlineLevelCol="1"/>
  <cols>
    <col min="1" max="1" width="7.85546875" style="5" hidden="1" customWidth="1"/>
    <col min="2" max="2" width="53.7109375" style="108" customWidth="1"/>
    <col min="3" max="3" width="7.28515625" style="203" hidden="1" customWidth="1" outlineLevel="1"/>
    <col min="4" max="5" width="7.28515625" style="108" hidden="1" customWidth="1" outlineLevel="1"/>
    <col min="6" max="6" width="7.28515625" style="204" hidden="1" customWidth="1" outlineLevel="1"/>
    <col min="7" max="9" width="7.28515625" style="108" hidden="1" customWidth="1" outlineLevel="1"/>
    <col min="10" max="10" width="7.28515625" style="204" hidden="1" customWidth="1" outlineLevel="1"/>
    <col min="11" max="13" width="7.28515625" style="108" hidden="1" customWidth="1" outlineLevel="1"/>
    <col min="14" max="14" width="7.28515625" style="204" hidden="1" customWidth="1" outlineLevel="1"/>
    <col min="15" max="17" width="7.28515625" style="108" hidden="1" customWidth="1" outlineLevel="1"/>
    <col min="18" max="18" width="7.28515625" style="204" hidden="1" customWidth="1" outlineLevel="1"/>
    <col min="19" max="21" width="7.28515625" style="108" hidden="1" customWidth="1" outlineLevel="1"/>
    <col min="22" max="22" width="7.28515625" style="204" hidden="1" customWidth="1" outlineLevel="1"/>
    <col min="23" max="23" width="7.28515625" style="108" hidden="1" customWidth="1" outlineLevel="1" collapsed="1"/>
    <col min="24" max="25" width="7.28515625" style="108" hidden="1" customWidth="1" outlineLevel="1"/>
    <col min="26" max="26" width="7.28515625" style="204" hidden="1" customWidth="1" outlineLevel="1"/>
    <col min="27" max="29" width="7.28515625" style="108" hidden="1" customWidth="1" outlineLevel="1"/>
    <col min="30" max="30" width="7.28515625" style="204" hidden="1" customWidth="1" outlineLevel="1"/>
    <col min="31" max="31" width="7.28515625" style="108" hidden="1" customWidth="1" outlineLevel="1" collapsed="1"/>
    <col min="32" max="32" width="7.28515625" style="108" hidden="1" customWidth="1" outlineLevel="1"/>
    <col min="33" max="33" width="8.28515625" style="108" hidden="1" customWidth="1" outlineLevel="1"/>
    <col min="34" max="34" width="7.42578125" style="204" hidden="1" customWidth="1" outlineLevel="1"/>
    <col min="35" max="35" width="7.28515625" style="108" hidden="1" customWidth="1" outlineLevel="1" collapsed="1"/>
    <col min="36" max="37" width="7.28515625" style="108" hidden="1" customWidth="1" outlineLevel="1"/>
    <col min="38" max="38" width="7.28515625" style="204" hidden="1" customWidth="1" outlineLevel="1"/>
    <col min="39" max="39" width="7.28515625" style="108" hidden="1" customWidth="1" outlineLevel="1" collapsed="1"/>
    <col min="40" max="41" width="7.28515625" style="108" hidden="1" customWidth="1" outlineLevel="1"/>
    <col min="42" max="42" width="7.28515625" style="204" hidden="1" customWidth="1" outlineLevel="1"/>
    <col min="43" max="43" width="7.28515625" style="108" hidden="1" customWidth="1" outlineLevel="1" collapsed="1"/>
    <col min="44" max="45" width="7.28515625" style="108" hidden="1" customWidth="1" outlineLevel="1"/>
    <col min="46" max="46" width="7.28515625" style="204" hidden="1" customWidth="1" outlineLevel="1"/>
    <col min="47" max="47" width="7.28515625" style="108" bestFit="1" customWidth="1" collapsed="1"/>
    <col min="48" max="49" width="7.28515625" style="108" bestFit="1" customWidth="1"/>
    <col min="50" max="50" width="7.28515625" style="204" bestFit="1" customWidth="1"/>
    <col min="51" max="51" width="7.28515625" style="108" customWidth="1"/>
    <col min="52" max="52" width="7.7109375" style="108" bestFit="1" customWidth="1"/>
    <col min="53" max="53" width="7.28515625" style="108" customWidth="1"/>
    <col min="54" max="54" width="7.85546875" style="204" customWidth="1"/>
    <col min="55" max="55" width="7.28515625" style="108" customWidth="1"/>
    <col min="56" max="56" width="7.7109375" style="108" bestFit="1" customWidth="1"/>
    <col min="57" max="57" width="7.28515625" style="108" customWidth="1"/>
    <col min="58" max="58" width="7.28515625" style="204" customWidth="1"/>
    <col min="59" max="59" width="7.28515625" style="108" customWidth="1"/>
    <col min="60" max="60" width="7.7109375" style="108" customWidth="1"/>
    <col min="61" max="61" width="7.28515625" style="108" customWidth="1"/>
    <col min="62" max="62" width="7.28515625" style="204" customWidth="1"/>
    <col min="63" max="63" width="7.28515625" style="108" hidden="1" customWidth="1" outlineLevel="1"/>
    <col min="64" max="64" width="7.7109375" style="108" hidden="1" customWidth="1" outlineLevel="1"/>
    <col min="65" max="65" width="7.28515625" style="108" hidden="1" customWidth="1" outlineLevel="1"/>
    <col min="66" max="66" width="7.28515625" style="204" hidden="1" customWidth="1" outlineLevel="1"/>
    <col min="67" max="67" width="3" style="108" customWidth="1" collapsed="1"/>
    <col min="68" max="69" width="6.28515625" style="108" hidden="1" customWidth="1" outlineLevel="1"/>
    <col min="70" max="74" width="6.5703125" style="108" hidden="1" customWidth="1" outlineLevel="1"/>
    <col min="75" max="76" width="7" style="108" hidden="1" customWidth="1" outlineLevel="1" collapsed="1"/>
    <col min="77" max="77" width="7" style="108" bestFit="1" customWidth="1" collapsed="1"/>
    <col min="78" max="80" width="7" style="108" bestFit="1" customWidth="1"/>
    <col min="81" max="81" width="6.28515625" style="108" customWidth="1"/>
    <col min="82" max="83" width="7" style="108" hidden="1" customWidth="1" outlineLevel="1"/>
    <col min="84" max="84" width="9.140625" style="108" collapsed="1"/>
    <col min="85" max="101" width="9.140625" style="108"/>
    <col min="108" max="16384" width="9.140625" style="108"/>
  </cols>
  <sheetData>
    <row r="1" spans="1:107" s="5" customFormat="1" ht="18">
      <c r="A1" s="5" t="s">
        <v>116</v>
      </c>
      <c r="B1" s="12" t="s">
        <v>133</v>
      </c>
      <c r="C1" s="15"/>
      <c r="F1" s="16"/>
      <c r="J1" s="16"/>
      <c r="N1" s="16"/>
      <c r="R1" s="16"/>
      <c r="V1" s="16"/>
      <c r="Z1" s="16"/>
      <c r="AD1" s="16"/>
      <c r="AH1" s="16"/>
      <c r="AI1" s="15"/>
      <c r="AL1" s="16"/>
      <c r="AP1" s="16"/>
      <c r="AT1" s="16"/>
      <c r="AX1" s="16"/>
      <c r="AY1" s="201"/>
      <c r="BA1" s="979"/>
      <c r="BB1" s="16"/>
      <c r="BC1" s="928"/>
      <c r="BD1" s="110"/>
      <c r="BE1" s="110"/>
      <c r="BF1" s="242"/>
      <c r="BG1" s="928"/>
      <c r="BH1" s="110"/>
      <c r="BI1" s="110"/>
      <c r="BJ1" s="242"/>
      <c r="BK1" s="928"/>
      <c r="BL1" s="110"/>
      <c r="BM1" s="110"/>
      <c r="BN1" s="242"/>
      <c r="BO1" s="84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E1" s="925"/>
      <c r="CX1"/>
      <c r="CY1"/>
      <c r="CZ1"/>
      <c r="DA1"/>
      <c r="DB1"/>
      <c r="DC1"/>
    </row>
    <row r="2" spans="1:107" s="5" customFormat="1">
      <c r="A2" s="9" t="s">
        <v>119</v>
      </c>
      <c r="B2" s="9" t="s">
        <v>424</v>
      </c>
      <c r="C2" s="201" t="s">
        <v>284</v>
      </c>
      <c r="D2" s="107" t="s">
        <v>285</v>
      </c>
      <c r="E2" s="107" t="s">
        <v>286</v>
      </c>
      <c r="F2" s="202" t="s">
        <v>287</v>
      </c>
      <c r="G2" s="107" t="s">
        <v>288</v>
      </c>
      <c r="H2" s="107" t="s">
        <v>289</v>
      </c>
      <c r="I2" s="107" t="s">
        <v>290</v>
      </c>
      <c r="J2" s="202" t="s">
        <v>291</v>
      </c>
      <c r="K2" s="107" t="s">
        <v>292</v>
      </c>
      <c r="L2" s="107" t="s">
        <v>293</v>
      </c>
      <c r="M2" s="107" t="s">
        <v>294</v>
      </c>
      <c r="N2" s="202" t="s">
        <v>295</v>
      </c>
      <c r="O2" s="107" t="s">
        <v>296</v>
      </c>
      <c r="P2" s="107" t="s">
        <v>297</v>
      </c>
      <c r="Q2" s="107" t="s">
        <v>298</v>
      </c>
      <c r="R2" s="202" t="s">
        <v>299</v>
      </c>
      <c r="S2" s="107" t="s">
        <v>300</v>
      </c>
      <c r="T2" s="107" t="s">
        <v>301</v>
      </c>
      <c r="U2" s="107" t="s">
        <v>302</v>
      </c>
      <c r="V2" s="202" t="s">
        <v>303</v>
      </c>
      <c r="W2" s="107" t="s">
        <v>238</v>
      </c>
      <c r="X2" s="107" t="s">
        <v>239</v>
      </c>
      <c r="Y2" s="107" t="s">
        <v>240</v>
      </c>
      <c r="Z2" s="202" t="s">
        <v>241</v>
      </c>
      <c r="AA2" s="107" t="s">
        <v>245</v>
      </c>
      <c r="AB2" s="107" t="s">
        <v>244</v>
      </c>
      <c r="AC2" s="107" t="s">
        <v>243</v>
      </c>
      <c r="AD2" s="202" t="s">
        <v>242</v>
      </c>
      <c r="AE2" s="107" t="s">
        <v>120</v>
      </c>
      <c r="AF2" s="107" t="s">
        <v>121</v>
      </c>
      <c r="AG2" s="107" t="s">
        <v>126</v>
      </c>
      <c r="AH2" s="202" t="s">
        <v>127</v>
      </c>
      <c r="AI2" s="201" t="s">
        <v>122</v>
      </c>
      <c r="AJ2" s="107" t="s">
        <v>123</v>
      </c>
      <c r="AK2" s="107" t="s">
        <v>124</v>
      </c>
      <c r="AL2" s="202" t="s">
        <v>125</v>
      </c>
      <c r="AM2" s="107" t="s">
        <v>129</v>
      </c>
      <c r="AN2" s="107" t="s">
        <v>128</v>
      </c>
      <c r="AO2" s="107" t="s">
        <v>130</v>
      </c>
      <c r="AP2" s="202" t="s">
        <v>131</v>
      </c>
      <c r="AQ2" s="107" t="s">
        <v>357</v>
      </c>
      <c r="AR2" s="107" t="s">
        <v>358</v>
      </c>
      <c r="AS2" s="107" t="s">
        <v>359</v>
      </c>
      <c r="AT2" s="202" t="s">
        <v>360</v>
      </c>
      <c r="AU2" s="107" t="s">
        <v>418</v>
      </c>
      <c r="AV2" s="107" t="s">
        <v>419</v>
      </c>
      <c r="AW2" s="107" t="s">
        <v>420</v>
      </c>
      <c r="AX2" s="202" t="s">
        <v>421</v>
      </c>
      <c r="AY2" s="508" t="s">
        <v>444</v>
      </c>
      <c r="AZ2" s="107" t="s">
        <v>445</v>
      </c>
      <c r="BA2" s="107" t="s">
        <v>446</v>
      </c>
      <c r="BB2" s="202" t="s">
        <v>447</v>
      </c>
      <c r="BC2" s="929" t="s">
        <v>454</v>
      </c>
      <c r="BD2" s="111" t="s">
        <v>455</v>
      </c>
      <c r="BE2" s="111" t="s">
        <v>456</v>
      </c>
      <c r="BF2" s="198" t="s">
        <v>457</v>
      </c>
      <c r="BG2" s="929" t="s">
        <v>458</v>
      </c>
      <c r="BH2" s="111" t="s">
        <v>459</v>
      </c>
      <c r="BI2" s="111" t="s">
        <v>460</v>
      </c>
      <c r="BJ2" s="198" t="s">
        <v>461</v>
      </c>
      <c r="BK2" s="929" t="s">
        <v>472</v>
      </c>
      <c r="BL2" s="111" t="s">
        <v>473</v>
      </c>
      <c r="BM2" s="111" t="s">
        <v>474</v>
      </c>
      <c r="BN2" s="198" t="s">
        <v>475</v>
      </c>
      <c r="BO2" s="125"/>
      <c r="BP2" s="144" t="s">
        <v>197</v>
      </c>
      <c r="BQ2" s="144" t="s">
        <v>198</v>
      </c>
      <c r="BR2" s="144" t="s">
        <v>199</v>
      </c>
      <c r="BS2" s="144" t="s">
        <v>200</v>
      </c>
      <c r="BT2" s="144" t="s">
        <v>201</v>
      </c>
      <c r="BU2" s="144" t="s">
        <v>202</v>
      </c>
      <c r="BV2" s="144" t="s">
        <v>151</v>
      </c>
      <c r="BW2" s="144" t="s">
        <v>152</v>
      </c>
      <c r="BX2" s="144" t="s">
        <v>153</v>
      </c>
      <c r="BY2" s="144" t="s">
        <v>203</v>
      </c>
      <c r="BZ2" s="144" t="s">
        <v>204</v>
      </c>
      <c r="CA2" s="107" t="s">
        <v>205</v>
      </c>
      <c r="CB2" s="107" t="s">
        <v>206</v>
      </c>
      <c r="CC2" s="107" t="s">
        <v>207</v>
      </c>
      <c r="CD2" s="107" t="s">
        <v>208</v>
      </c>
      <c r="CE2" s="107" t="s">
        <v>480</v>
      </c>
      <c r="CG2" s="979"/>
      <c r="CH2" s="979"/>
      <c r="CX2"/>
      <c r="CY2"/>
      <c r="CZ2"/>
      <c r="DA2"/>
      <c r="DB2"/>
      <c r="DC2"/>
    </row>
    <row r="3" spans="1:107" s="5" customFormat="1">
      <c r="A3" s="9" t="s">
        <v>182</v>
      </c>
      <c r="B3" s="9"/>
      <c r="C3" s="17">
        <v>38472</v>
      </c>
      <c r="D3" s="13">
        <v>38564</v>
      </c>
      <c r="E3" s="13">
        <v>38656</v>
      </c>
      <c r="F3" s="18">
        <v>38748</v>
      </c>
      <c r="G3" s="13">
        <v>38837</v>
      </c>
      <c r="H3" s="13">
        <v>38929</v>
      </c>
      <c r="I3" s="13">
        <v>39021</v>
      </c>
      <c r="J3" s="18">
        <v>39113</v>
      </c>
      <c r="K3" s="13">
        <v>39202</v>
      </c>
      <c r="L3" s="13">
        <v>39294</v>
      </c>
      <c r="M3" s="13">
        <v>39386</v>
      </c>
      <c r="N3" s="18">
        <v>39478</v>
      </c>
      <c r="O3" s="13">
        <v>39568</v>
      </c>
      <c r="P3" s="13">
        <v>39660</v>
      </c>
      <c r="Q3" s="13">
        <v>39752</v>
      </c>
      <c r="R3" s="18">
        <v>39844</v>
      </c>
      <c r="S3" s="13">
        <v>39933</v>
      </c>
      <c r="T3" s="13">
        <v>40025</v>
      </c>
      <c r="U3" s="13">
        <v>40117</v>
      </c>
      <c r="V3" s="18">
        <v>40209</v>
      </c>
      <c r="W3" s="13">
        <v>40298</v>
      </c>
      <c r="X3" s="13">
        <v>40390</v>
      </c>
      <c r="Y3" s="13">
        <v>40482</v>
      </c>
      <c r="Z3" s="18">
        <v>40574</v>
      </c>
      <c r="AA3" s="13">
        <v>40663</v>
      </c>
      <c r="AB3" s="13">
        <v>40755</v>
      </c>
      <c r="AC3" s="13">
        <v>40847</v>
      </c>
      <c r="AD3" s="18">
        <v>40939</v>
      </c>
      <c r="AE3" s="13">
        <v>41029</v>
      </c>
      <c r="AF3" s="13">
        <v>41121</v>
      </c>
      <c r="AG3" s="13">
        <v>41213</v>
      </c>
      <c r="AH3" s="18">
        <v>41305</v>
      </c>
      <c r="AI3" s="17">
        <v>41394</v>
      </c>
      <c r="AJ3" s="13">
        <v>41486</v>
      </c>
      <c r="AK3" s="13">
        <v>41578</v>
      </c>
      <c r="AL3" s="18">
        <v>41670</v>
      </c>
      <c r="AM3" s="13">
        <v>41759</v>
      </c>
      <c r="AN3" s="13">
        <v>41851</v>
      </c>
      <c r="AO3" s="13">
        <v>41943</v>
      </c>
      <c r="AP3" s="18">
        <v>42035</v>
      </c>
      <c r="AQ3" s="13">
        <v>42124</v>
      </c>
      <c r="AR3" s="13">
        <v>42216</v>
      </c>
      <c r="AS3" s="13">
        <v>42308</v>
      </c>
      <c r="AT3" s="18">
        <v>42400</v>
      </c>
      <c r="AU3" s="13">
        <v>42490</v>
      </c>
      <c r="AV3" s="13">
        <v>42582</v>
      </c>
      <c r="AW3" s="13">
        <v>42674</v>
      </c>
      <c r="AX3" s="18">
        <v>42766</v>
      </c>
      <c r="AY3" s="86">
        <v>42855</v>
      </c>
      <c r="AZ3" s="13">
        <v>42947</v>
      </c>
      <c r="BA3" s="13">
        <v>43039</v>
      </c>
      <c r="BB3" s="18">
        <v>43131</v>
      </c>
      <c r="BC3" s="112">
        <v>43220</v>
      </c>
      <c r="BD3" s="112">
        <v>43312</v>
      </c>
      <c r="BE3" s="112">
        <v>43404</v>
      </c>
      <c r="BF3" s="243">
        <v>43496</v>
      </c>
      <c r="BG3" s="112">
        <v>43585</v>
      </c>
      <c r="BH3" s="112">
        <v>43677</v>
      </c>
      <c r="BI3" s="112">
        <v>43769</v>
      </c>
      <c r="BJ3" s="243">
        <v>43861</v>
      </c>
      <c r="BK3" s="112">
        <v>43951</v>
      </c>
      <c r="BL3" s="112">
        <v>44043</v>
      </c>
      <c r="BM3" s="112">
        <v>44135</v>
      </c>
      <c r="BN3" s="243">
        <v>44227</v>
      </c>
      <c r="BO3" s="86"/>
      <c r="BP3" s="145"/>
      <c r="BQ3" s="145"/>
      <c r="BR3" s="145"/>
      <c r="BS3" s="145"/>
      <c r="BT3" s="145"/>
      <c r="BU3" s="145"/>
      <c r="BV3" s="145"/>
      <c r="BW3" s="13">
        <f>DATE(RIGHT(BW2,4),1,31)</f>
        <v>41305</v>
      </c>
      <c r="BX3" s="13">
        <f>DATE(RIGHT(BX2,4),1,31)</f>
        <v>41670</v>
      </c>
      <c r="BY3" s="13">
        <f t="shared" ref="BY3:CD3" si="0">DATE(RIGHT(BY2,4),1,31)</f>
        <v>42035</v>
      </c>
      <c r="BZ3" s="13">
        <f t="shared" si="0"/>
        <v>42400</v>
      </c>
      <c r="CA3" s="13">
        <f t="shared" si="0"/>
        <v>42766</v>
      </c>
      <c r="CB3" s="13">
        <f t="shared" si="0"/>
        <v>43131</v>
      </c>
      <c r="CC3" s="13">
        <f t="shared" si="0"/>
        <v>43496</v>
      </c>
      <c r="CD3" s="13">
        <f t="shared" si="0"/>
        <v>43861</v>
      </c>
      <c r="CE3" s="13">
        <f t="shared" ref="CE3" si="1">DATE(RIGHT(CE2,4),1,31)</f>
        <v>44227</v>
      </c>
      <c r="CG3" s="979"/>
      <c r="CH3" s="979"/>
      <c r="CX3"/>
      <c r="CY3"/>
      <c r="CZ3"/>
      <c r="DA3"/>
      <c r="DB3"/>
      <c r="DC3"/>
    </row>
    <row r="4" spans="1:107" s="5" customFormat="1">
      <c r="A4" s="9" t="s">
        <v>70</v>
      </c>
      <c r="B4" s="9"/>
      <c r="C4" s="19" t="s">
        <v>71</v>
      </c>
      <c r="D4" s="7" t="s">
        <v>72</v>
      </c>
      <c r="E4" s="7" t="s">
        <v>73</v>
      </c>
      <c r="F4" s="20" t="s">
        <v>74</v>
      </c>
      <c r="G4" s="7" t="s">
        <v>75</v>
      </c>
      <c r="H4" s="7" t="s">
        <v>76</v>
      </c>
      <c r="I4" s="7" t="s">
        <v>77</v>
      </c>
      <c r="J4" s="20" t="s">
        <v>78</v>
      </c>
      <c r="K4" s="7" t="s">
        <v>79</v>
      </c>
      <c r="L4" s="7" t="s">
        <v>80</v>
      </c>
      <c r="M4" s="7" t="s">
        <v>81</v>
      </c>
      <c r="N4" s="20" t="s">
        <v>82</v>
      </c>
      <c r="O4" s="7" t="s">
        <v>83</v>
      </c>
      <c r="P4" s="7" t="s">
        <v>84</v>
      </c>
      <c r="Q4" s="7" t="s">
        <v>85</v>
      </c>
      <c r="R4" s="20" t="s">
        <v>86</v>
      </c>
      <c r="S4" s="7" t="s">
        <v>87</v>
      </c>
      <c r="T4" s="7" t="s">
        <v>88</v>
      </c>
      <c r="U4" s="7" t="s">
        <v>89</v>
      </c>
      <c r="V4" s="20" t="s">
        <v>90</v>
      </c>
      <c r="W4" s="7" t="s">
        <v>91</v>
      </c>
      <c r="X4" s="7" t="s">
        <v>92</v>
      </c>
      <c r="Y4" s="7" t="s">
        <v>93</v>
      </c>
      <c r="Z4" s="20" t="s">
        <v>94</v>
      </c>
      <c r="AA4" s="7" t="s">
        <v>95</v>
      </c>
      <c r="AB4" s="7" t="s">
        <v>96</v>
      </c>
      <c r="AC4" s="7" t="s">
        <v>97</v>
      </c>
      <c r="AD4" s="20" t="s">
        <v>98</v>
      </c>
      <c r="AE4" s="7" t="s">
        <v>99</v>
      </c>
      <c r="AF4" s="7" t="s">
        <v>100</v>
      </c>
      <c r="AG4" s="7" t="s">
        <v>101</v>
      </c>
      <c r="AH4" s="20" t="s">
        <v>102</v>
      </c>
      <c r="AI4" s="19" t="s">
        <v>103</v>
      </c>
      <c r="AJ4" s="7" t="s">
        <v>104</v>
      </c>
      <c r="AK4" s="7" t="s">
        <v>105</v>
      </c>
      <c r="AL4" s="20" t="s">
        <v>106</v>
      </c>
      <c r="AM4" s="7" t="s">
        <v>107</v>
      </c>
      <c r="AN4" s="7" t="s">
        <v>108</v>
      </c>
      <c r="AO4" s="7" t="s">
        <v>109</v>
      </c>
      <c r="AP4" s="20" t="s">
        <v>110</v>
      </c>
      <c r="AQ4" s="7" t="s">
        <v>361</v>
      </c>
      <c r="AR4" s="7" t="s">
        <v>362</v>
      </c>
      <c r="AS4" s="7" t="s">
        <v>363</v>
      </c>
      <c r="AT4" s="20" t="s">
        <v>364</v>
      </c>
      <c r="AU4" s="7" t="s">
        <v>429</v>
      </c>
      <c r="AV4" s="7" t="s">
        <v>430</v>
      </c>
      <c r="AW4" s="7" t="s">
        <v>431</v>
      </c>
      <c r="AX4" s="20" t="s">
        <v>432</v>
      </c>
      <c r="AY4" s="87" t="s">
        <v>443</v>
      </c>
      <c r="AZ4" s="7" t="s">
        <v>451</v>
      </c>
      <c r="BA4" s="7" t="s">
        <v>470</v>
      </c>
      <c r="BB4" s="20" t="s">
        <v>471</v>
      </c>
      <c r="BC4" s="113" t="s">
        <v>483</v>
      </c>
      <c r="BD4" s="113" t="s">
        <v>484</v>
      </c>
      <c r="BE4" s="113" t="s">
        <v>485</v>
      </c>
      <c r="BF4" s="244" t="s">
        <v>482</v>
      </c>
      <c r="BG4" s="113" t="s">
        <v>465</v>
      </c>
      <c r="BH4" s="113" t="s">
        <v>466</v>
      </c>
      <c r="BI4" s="113" t="s">
        <v>467</v>
      </c>
      <c r="BJ4" s="244" t="s">
        <v>468</v>
      </c>
      <c r="BK4" s="113" t="s">
        <v>476</v>
      </c>
      <c r="BL4" s="113" t="s">
        <v>477</v>
      </c>
      <c r="BM4" s="113" t="s">
        <v>478</v>
      </c>
      <c r="BN4" s="244" t="s">
        <v>479</v>
      </c>
      <c r="BO4" s="87"/>
      <c r="BP4" s="146">
        <v>2006</v>
      </c>
      <c r="BQ4" s="146">
        <v>2007</v>
      </c>
      <c r="BR4" s="146">
        <v>2008</v>
      </c>
      <c r="BS4" s="146">
        <v>2009</v>
      </c>
      <c r="BT4" s="146">
        <v>2010</v>
      </c>
      <c r="BU4" s="146">
        <v>2011</v>
      </c>
      <c r="BV4" s="146">
        <v>2012</v>
      </c>
      <c r="BW4" s="146">
        <v>2013</v>
      </c>
      <c r="BX4" s="146">
        <v>2014</v>
      </c>
      <c r="BY4" s="146">
        <v>2015</v>
      </c>
      <c r="BZ4" s="146">
        <v>2016</v>
      </c>
      <c r="CA4" s="7">
        <v>2017</v>
      </c>
      <c r="CB4" s="7" t="s">
        <v>433</v>
      </c>
      <c r="CC4" s="7" t="s">
        <v>450</v>
      </c>
      <c r="CD4" s="7" t="s">
        <v>486</v>
      </c>
      <c r="CE4" s="7" t="s">
        <v>487</v>
      </c>
      <c r="CX4"/>
      <c r="CY4"/>
      <c r="CZ4"/>
      <c r="DA4"/>
      <c r="DB4"/>
      <c r="DC4"/>
    </row>
    <row r="5" spans="1:107" s="5" customFormat="1">
      <c r="B5" s="6" t="s">
        <v>0</v>
      </c>
      <c r="C5" s="15"/>
      <c r="F5" s="16"/>
      <c r="J5" s="16"/>
      <c r="N5" s="16"/>
      <c r="R5" s="16"/>
      <c r="V5" s="16"/>
      <c r="Z5" s="16"/>
      <c r="AD5" s="16"/>
      <c r="AH5" s="16"/>
      <c r="AI5" s="15"/>
      <c r="AL5" s="16"/>
      <c r="AP5" s="16"/>
      <c r="AT5" s="16"/>
      <c r="AX5" s="16"/>
      <c r="AY5" s="878"/>
      <c r="BA5" s="979"/>
      <c r="BB5" s="16"/>
      <c r="BC5" s="930"/>
      <c r="BD5" s="110"/>
      <c r="BE5" s="110"/>
      <c r="BF5" s="242"/>
      <c r="BG5" s="930"/>
      <c r="BH5" s="110"/>
      <c r="BI5" s="110"/>
      <c r="BJ5" s="242"/>
      <c r="BK5" s="930"/>
      <c r="BL5" s="110"/>
      <c r="BM5" s="110"/>
      <c r="BN5" s="242"/>
      <c r="BO5" s="84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E5" s="925"/>
      <c r="CX5"/>
      <c r="CY5"/>
      <c r="CZ5"/>
      <c r="DA5"/>
      <c r="DB5"/>
      <c r="DC5"/>
    </row>
    <row r="6" spans="1:107" s="5" customFormat="1">
      <c r="B6" s="357" t="s">
        <v>36</v>
      </c>
      <c r="C6" s="358"/>
      <c r="D6" s="359"/>
      <c r="E6" s="359"/>
      <c r="F6" s="360"/>
      <c r="G6" s="359"/>
      <c r="H6" s="359"/>
      <c r="I6" s="359"/>
      <c r="J6" s="360"/>
      <c r="K6" s="359"/>
      <c r="L6" s="359"/>
      <c r="M6" s="359"/>
      <c r="N6" s="360"/>
      <c r="O6" s="359"/>
      <c r="P6" s="359"/>
      <c r="Q6" s="359"/>
      <c r="R6" s="360"/>
      <c r="S6" s="359"/>
      <c r="T6" s="359"/>
      <c r="U6" s="359"/>
      <c r="V6" s="360"/>
      <c r="W6" s="359"/>
      <c r="X6" s="359"/>
      <c r="Y6" s="359"/>
      <c r="Z6" s="360"/>
      <c r="AA6" s="359"/>
      <c r="AB6" s="359"/>
      <c r="AC6" s="359"/>
      <c r="AD6" s="360"/>
      <c r="AE6" s="359"/>
      <c r="AF6" s="359"/>
      <c r="AG6" s="359"/>
      <c r="AH6" s="360"/>
      <c r="AI6" s="358"/>
      <c r="AJ6" s="359"/>
      <c r="AK6" s="359"/>
      <c r="AL6" s="360"/>
      <c r="AM6" s="359"/>
      <c r="AN6" s="359"/>
      <c r="AO6" s="359"/>
      <c r="AP6" s="360"/>
      <c r="AQ6" s="359"/>
      <c r="AR6" s="359"/>
      <c r="AS6" s="359"/>
      <c r="AT6" s="360"/>
      <c r="AU6" s="359"/>
      <c r="AV6" s="359"/>
      <c r="AW6" s="359"/>
      <c r="AX6" s="360"/>
      <c r="AY6" s="359"/>
      <c r="AZ6" s="359"/>
      <c r="BA6" s="359"/>
      <c r="BB6" s="360"/>
      <c r="BC6" s="359"/>
      <c r="BD6" s="359"/>
      <c r="BE6" s="359"/>
      <c r="BF6" s="360"/>
      <c r="BG6" s="359"/>
      <c r="BH6" s="359"/>
      <c r="BI6" s="359"/>
      <c r="BJ6" s="360"/>
      <c r="BK6" s="359"/>
      <c r="BL6" s="359"/>
      <c r="BM6" s="359"/>
      <c r="BN6" s="360"/>
      <c r="BO6" s="359"/>
      <c r="BP6" s="359"/>
      <c r="BQ6" s="359"/>
      <c r="BR6" s="359"/>
      <c r="BS6" s="359"/>
      <c r="BT6" s="359"/>
      <c r="BU6" s="359"/>
      <c r="BV6" s="359"/>
      <c r="BW6" s="359"/>
      <c r="BX6" s="359"/>
      <c r="BY6" s="359"/>
      <c r="BZ6" s="359"/>
      <c r="CA6" s="359"/>
      <c r="CB6" s="359"/>
      <c r="CC6" s="359"/>
      <c r="CD6" s="359"/>
      <c r="CE6" s="359"/>
      <c r="CX6"/>
      <c r="CY6"/>
      <c r="CZ6"/>
      <c r="DA6"/>
      <c r="DB6"/>
      <c r="DC6"/>
    </row>
    <row r="7" spans="1:107" s="5" customFormat="1">
      <c r="B7" s="11" t="s">
        <v>38</v>
      </c>
      <c r="C7" s="15"/>
      <c r="F7" s="16"/>
      <c r="J7" s="16"/>
      <c r="N7" s="16"/>
      <c r="R7" s="16"/>
      <c r="V7" s="16"/>
      <c r="Z7" s="16"/>
      <c r="AD7" s="16"/>
      <c r="AH7" s="16"/>
      <c r="AI7" s="15"/>
      <c r="AL7" s="24"/>
      <c r="AP7" s="24"/>
      <c r="AT7" s="24"/>
      <c r="AX7" s="16"/>
      <c r="BB7" s="16"/>
      <c r="BC7" s="925"/>
      <c r="BD7" s="925"/>
      <c r="BE7" s="925"/>
      <c r="BF7" s="16"/>
      <c r="BG7" s="925"/>
      <c r="BH7" s="925"/>
      <c r="BI7" s="925"/>
      <c r="BJ7" s="16"/>
      <c r="BK7" s="925"/>
      <c r="BL7" s="925"/>
      <c r="BM7" s="925"/>
      <c r="BN7" s="16"/>
      <c r="BO7" s="84"/>
      <c r="CE7" s="925"/>
      <c r="CJ7" s="821"/>
      <c r="CK7" s="821"/>
      <c r="CL7" s="821"/>
      <c r="CM7" s="821"/>
      <c r="CX7"/>
      <c r="CY7"/>
      <c r="CZ7"/>
      <c r="DA7"/>
      <c r="DB7"/>
      <c r="DC7"/>
    </row>
    <row r="8" spans="1:107" s="9" customFormat="1">
      <c r="B8" s="11" t="s">
        <v>2</v>
      </c>
      <c r="C8" s="270">
        <v>64.444000000000017</v>
      </c>
      <c r="D8" s="45">
        <v>73.833000000000013</v>
      </c>
      <c r="E8" s="45">
        <v>64.446999999999974</v>
      </c>
      <c r="F8" s="735">
        <v>98.452000000000112</v>
      </c>
      <c r="G8" s="45">
        <v>90.676000000000002</v>
      </c>
      <c r="H8" s="45">
        <v>86.753</v>
      </c>
      <c r="I8" s="45">
        <v>106.511</v>
      </c>
      <c r="J8" s="271">
        <v>164.21</v>
      </c>
      <c r="K8" s="45">
        <v>132.25899999999999</v>
      </c>
      <c r="L8" s="45">
        <v>172.73200000000003</v>
      </c>
      <c r="M8" s="45">
        <v>235.66100000000003</v>
      </c>
      <c r="N8" s="271">
        <v>256.99299999999982</v>
      </c>
      <c r="O8" s="45">
        <v>176.80499999999992</v>
      </c>
      <c r="P8" s="45">
        <v>-120.92899999999995</v>
      </c>
      <c r="Q8" s="45">
        <v>61.747999999999934</v>
      </c>
      <c r="R8" s="271">
        <v>-147.66500000000042</v>
      </c>
      <c r="S8" s="45">
        <v>-201.33800000000008</v>
      </c>
      <c r="T8" s="45">
        <v>-105.30200000000002</v>
      </c>
      <c r="U8" s="45">
        <v>107.57700000000003</v>
      </c>
      <c r="V8" s="271">
        <v>131.07600000000028</v>
      </c>
      <c r="W8" s="45">
        <v>137.59399999999997</v>
      </c>
      <c r="X8" s="45">
        <v>-140.96100000000013</v>
      </c>
      <c r="Y8" s="45">
        <v>84.862000000000009</v>
      </c>
      <c r="Z8" s="271">
        <v>171.65099999999975</v>
      </c>
      <c r="AA8" s="45">
        <v>135.21899999999997</v>
      </c>
      <c r="AB8" s="45">
        <v>151.57300000000009</v>
      </c>
      <c r="AC8" s="45">
        <v>178.27300000000008</v>
      </c>
      <c r="AD8" s="271">
        <v>116.02499999999995</v>
      </c>
      <c r="AE8" s="45">
        <v>60.436999999999998</v>
      </c>
      <c r="AF8" s="45">
        <v>119.04600000000001</v>
      </c>
      <c r="AG8" s="45">
        <v>209.07999999999998</v>
      </c>
      <c r="AH8" s="271">
        <v>173.97299999999996</v>
      </c>
      <c r="AI8" s="270">
        <v>77.891000000000005</v>
      </c>
      <c r="AJ8" s="45">
        <v>96.447999999999993</v>
      </c>
      <c r="AK8" s="45">
        <v>118.73399999999999</v>
      </c>
      <c r="AL8" s="271">
        <v>146.91700000000003</v>
      </c>
      <c r="AM8" s="45">
        <v>136.51599999999999</v>
      </c>
      <c r="AN8" s="45">
        <v>127.97600000000003</v>
      </c>
      <c r="AO8" s="45">
        <v>172.96699999999996</v>
      </c>
      <c r="AP8" s="271">
        <v>193.12800000000001</v>
      </c>
      <c r="AQ8" s="45">
        <v>134</v>
      </c>
      <c r="AR8" s="45">
        <v>26</v>
      </c>
      <c r="AS8" s="45">
        <v>246</v>
      </c>
      <c r="AT8" s="271">
        <v>208</v>
      </c>
      <c r="AU8" s="45">
        <v>196</v>
      </c>
      <c r="AV8" s="45">
        <v>253</v>
      </c>
      <c r="AW8" s="45">
        <v>563</v>
      </c>
      <c r="AX8" s="271">
        <v>654</v>
      </c>
      <c r="AY8" s="45">
        <v>507</v>
      </c>
      <c r="AZ8" s="45">
        <v>584</v>
      </c>
      <c r="BA8" s="45">
        <v>837</v>
      </c>
      <c r="BB8" s="271">
        <v>1119</v>
      </c>
      <c r="BC8" s="45">
        <f>IS!BC33</f>
        <v>938.07196128806811</v>
      </c>
      <c r="BD8" s="45">
        <f>IS!BD33</f>
        <v>1031.6988656841643</v>
      </c>
      <c r="BE8" s="193">
        <f>IS!BE33</f>
        <v>1133.1172332314522</v>
      </c>
      <c r="BF8" s="245">
        <f>IS!BF33</f>
        <v>1178.9903285288144</v>
      </c>
      <c r="BG8" s="45">
        <f>IS!BG33</f>
        <v>1033.7899217985341</v>
      </c>
      <c r="BH8" s="45">
        <f>IS!BH33</f>
        <v>1230.7114586915891</v>
      </c>
      <c r="BI8" s="193">
        <f>IS!BI33</f>
        <v>1373.65236622313</v>
      </c>
      <c r="BJ8" s="245">
        <f>IS!BJ33</f>
        <v>1398.0048846529539</v>
      </c>
      <c r="BK8" s="45">
        <f>IS!BK33</f>
        <v>1259.2101730345139</v>
      </c>
      <c r="BL8" s="45">
        <f>IS!BL33</f>
        <v>1494.927572821719</v>
      </c>
      <c r="BM8" s="193">
        <f>IS!BM33</f>
        <v>1649.5288136873198</v>
      </c>
      <c r="BN8" s="245">
        <f>IS!BN33</f>
        <v>1698.1794813458077</v>
      </c>
      <c r="BO8" s="196"/>
      <c r="BP8" s="104">
        <f>SUM(C8:F8)</f>
        <v>301.17600000000016</v>
      </c>
      <c r="BQ8" s="104">
        <f>SUM(G8:J8)</f>
        <v>448.15</v>
      </c>
      <c r="BR8" s="104">
        <f>SUM(K8:N8)</f>
        <v>797.64499999999987</v>
      </c>
      <c r="BS8" s="104">
        <f>SUM(O8:R8)</f>
        <v>-30.041000000000508</v>
      </c>
      <c r="BT8" s="104">
        <f>SUM(S8:V8)</f>
        <v>-67.986999999999796</v>
      </c>
      <c r="BU8" s="104">
        <f>SUM(W8:Z8)</f>
        <v>253.14599999999962</v>
      </c>
      <c r="BV8" s="104">
        <f>SUM(AA8:AD8)</f>
        <v>581.09</v>
      </c>
      <c r="BW8" s="104">
        <f>SUM(AE8:AH8)</f>
        <v>562.53599999999994</v>
      </c>
      <c r="BX8" s="104">
        <f>SUM(AI8:AL8)</f>
        <v>439.99</v>
      </c>
      <c r="BY8" s="104">
        <f>SUM(AM8:AP8)</f>
        <v>630.58699999999999</v>
      </c>
      <c r="BZ8" s="104">
        <f>SUM(AQ8:AT8)</f>
        <v>614</v>
      </c>
      <c r="CA8" s="104">
        <f>SUM(AU8:AX8)</f>
        <v>1666</v>
      </c>
      <c r="CB8" s="104">
        <f>SUM(AY8:BB8)</f>
        <v>3047</v>
      </c>
      <c r="CC8" s="104">
        <f>SUM(BC8:BF8)</f>
        <v>4281.8783887324989</v>
      </c>
      <c r="CD8" s="104">
        <f>SUM(BG8:BJ8)</f>
        <v>5036.1586313662065</v>
      </c>
      <c r="CE8" s="104">
        <f>SUM(BK8:BN8)</f>
        <v>6101.8460408893607</v>
      </c>
      <c r="CF8" s="5"/>
      <c r="CG8" s="5"/>
      <c r="CH8" s="5"/>
      <c r="CJ8" s="89"/>
      <c r="CK8" s="85"/>
      <c r="CL8" s="85"/>
      <c r="CM8" s="85"/>
      <c r="CX8"/>
      <c r="CY8"/>
      <c r="CZ8"/>
      <c r="DA8"/>
      <c r="DB8"/>
      <c r="DC8"/>
    </row>
    <row r="9" spans="1:107" s="5" customFormat="1">
      <c r="B9" s="8" t="s">
        <v>57</v>
      </c>
      <c r="C9" s="32"/>
      <c r="D9" s="30"/>
      <c r="E9" s="30"/>
      <c r="F9" s="33"/>
      <c r="G9" s="30"/>
      <c r="H9" s="30"/>
      <c r="I9" s="30"/>
      <c r="J9" s="33"/>
      <c r="K9" s="30"/>
      <c r="L9" s="30"/>
      <c r="M9" s="30"/>
      <c r="N9" s="33"/>
      <c r="O9" s="30"/>
      <c r="P9" s="30"/>
      <c r="Q9" s="30"/>
      <c r="R9" s="33"/>
      <c r="S9" s="30"/>
      <c r="T9" s="30"/>
      <c r="U9" s="30"/>
      <c r="V9" s="33"/>
      <c r="W9" s="30"/>
      <c r="X9" s="30"/>
      <c r="Y9" s="30"/>
      <c r="Z9" s="33"/>
      <c r="AA9" s="30"/>
      <c r="AB9" s="30"/>
      <c r="AC9" s="30"/>
      <c r="AD9" s="33"/>
      <c r="AE9" s="30"/>
      <c r="AF9" s="30"/>
      <c r="AG9" s="30"/>
      <c r="AH9" s="33"/>
      <c r="AI9" s="32"/>
      <c r="AJ9" s="30"/>
      <c r="AK9" s="30"/>
      <c r="AL9" s="33"/>
      <c r="AM9" s="30"/>
      <c r="AN9" s="30"/>
      <c r="AO9" s="30"/>
      <c r="AP9" s="33"/>
      <c r="AQ9" s="30"/>
      <c r="AR9" s="30"/>
      <c r="AS9" s="30"/>
      <c r="AT9" s="33"/>
      <c r="AU9" s="30"/>
      <c r="AV9" s="30"/>
      <c r="AW9" s="30"/>
      <c r="AX9" s="33"/>
      <c r="AY9" s="30"/>
      <c r="AZ9" s="30"/>
      <c r="BA9" s="30"/>
      <c r="BB9" s="33"/>
      <c r="BC9" s="30"/>
      <c r="BD9" s="30"/>
      <c r="BE9" s="53"/>
      <c r="BF9" s="282"/>
      <c r="BG9" s="30"/>
      <c r="BH9" s="30"/>
      <c r="BI9" s="53"/>
      <c r="BJ9" s="282"/>
      <c r="BK9" s="30"/>
      <c r="BL9" s="30"/>
      <c r="BM9" s="53"/>
      <c r="BN9" s="282"/>
      <c r="BO9" s="195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C9" s="925"/>
      <c r="CD9" s="925"/>
      <c r="CE9" s="925"/>
      <c r="CJ9" s="88"/>
      <c r="CK9" s="821"/>
      <c r="CL9" s="821"/>
      <c r="CM9" s="821"/>
      <c r="CX9"/>
      <c r="CY9"/>
      <c r="CZ9"/>
      <c r="DA9"/>
      <c r="DB9"/>
      <c r="DC9"/>
    </row>
    <row r="10" spans="1:107" s="5" customFormat="1">
      <c r="B10" s="10" t="s">
        <v>39</v>
      </c>
      <c r="C10" s="32">
        <v>0.28499999999999998</v>
      </c>
      <c r="D10" s="30">
        <v>4.82</v>
      </c>
      <c r="E10" s="30">
        <v>1.6579999999999997</v>
      </c>
      <c r="F10" s="737">
        <v>1.1090000000000002</v>
      </c>
      <c r="G10" s="30">
        <v>23.048999999999999</v>
      </c>
      <c r="H10" s="30">
        <v>27.842000000000002</v>
      </c>
      <c r="I10" s="30">
        <v>31.291</v>
      </c>
      <c r="J10" s="33">
        <v>33.491</v>
      </c>
      <c r="K10" s="30">
        <v>31.334</v>
      </c>
      <c r="L10" s="30">
        <v>35.530999999999992</v>
      </c>
      <c r="M10" s="30">
        <v>32.003</v>
      </c>
      <c r="N10" s="33">
        <v>34.497000000000014</v>
      </c>
      <c r="O10" s="30">
        <v>41.357999999999997</v>
      </c>
      <c r="P10" s="30">
        <v>40.065000000000005</v>
      </c>
      <c r="Q10" s="30">
        <v>39.449999999999996</v>
      </c>
      <c r="R10" s="33">
        <v>41.833000000000006</v>
      </c>
      <c r="S10" s="30">
        <v>169.84800000000001</v>
      </c>
      <c r="T10" s="30">
        <v>25.376000000000005</v>
      </c>
      <c r="U10" s="30">
        <v>22.981999999999999</v>
      </c>
      <c r="V10" s="33">
        <v>24.620000000000005</v>
      </c>
      <c r="W10" s="30">
        <v>25.177</v>
      </c>
      <c r="X10" s="30">
        <v>24.631</v>
      </c>
      <c r="Y10" s="30">
        <v>25.177</v>
      </c>
      <c r="Z10" s="33">
        <v>25.367999999999988</v>
      </c>
      <c r="AA10" s="30">
        <v>31.739000000000001</v>
      </c>
      <c r="AB10" s="30">
        <v>35.948999999999998</v>
      </c>
      <c r="AC10" s="30">
        <v>33.230000000000004</v>
      </c>
      <c r="AD10" s="33">
        <v>35.436000000000007</v>
      </c>
      <c r="AE10" s="30">
        <v>35.569000000000003</v>
      </c>
      <c r="AF10" s="30">
        <v>32.254999999999995</v>
      </c>
      <c r="AG10" s="30">
        <v>33.069000000000003</v>
      </c>
      <c r="AH10" s="33">
        <v>35.769000000000005</v>
      </c>
      <c r="AI10" s="32">
        <v>33.396999999999998</v>
      </c>
      <c r="AJ10" s="30">
        <v>32.395000000000003</v>
      </c>
      <c r="AK10" s="30">
        <v>34.298999999999999</v>
      </c>
      <c r="AL10" s="33">
        <v>36.203999999999972</v>
      </c>
      <c r="AM10" s="30">
        <v>35.521000000000001</v>
      </c>
      <c r="AN10" s="30">
        <v>38.415000000000006</v>
      </c>
      <c r="AO10" s="30">
        <v>41.434999999999988</v>
      </c>
      <c r="AP10" s="33">
        <v>42.470000000000013</v>
      </c>
      <c r="AQ10" s="30">
        <v>45</v>
      </c>
      <c r="AR10" s="30">
        <v>48</v>
      </c>
      <c r="AS10" s="30">
        <v>52</v>
      </c>
      <c r="AT10" s="33">
        <v>59</v>
      </c>
      <c r="AU10" s="30">
        <v>53</v>
      </c>
      <c r="AV10" s="30">
        <v>58</v>
      </c>
      <c r="AW10" s="30">
        <v>65</v>
      </c>
      <c r="AX10" s="33">
        <v>71</v>
      </c>
      <c r="AY10" s="30">
        <v>76</v>
      </c>
      <c r="AZ10" s="30">
        <v>82</v>
      </c>
      <c r="BA10" s="30">
        <v>107</v>
      </c>
      <c r="BB10" s="33">
        <v>126</v>
      </c>
      <c r="BC10" s="30">
        <f>-IS!BC59+IS!BC65</f>
        <v>132</v>
      </c>
      <c r="BD10" s="30">
        <f>-IS!BD59+IS!BD65</f>
        <v>132</v>
      </c>
      <c r="BE10" s="67">
        <f>-IS!BE59+IS!BE65</f>
        <v>132</v>
      </c>
      <c r="BF10" s="236">
        <f>-IS!BF59+IS!BF65</f>
        <v>132</v>
      </c>
      <c r="BG10" s="30">
        <f>-IS!BG59+IS!BG65</f>
        <v>132</v>
      </c>
      <c r="BH10" s="30">
        <f>-IS!BH59+IS!BH65</f>
        <v>132</v>
      </c>
      <c r="BI10" s="67">
        <f>-IS!BI59+IS!BI65</f>
        <v>132</v>
      </c>
      <c r="BJ10" s="236">
        <f>-IS!BJ59+IS!BJ65</f>
        <v>132</v>
      </c>
      <c r="BK10" s="30">
        <f>-IS!BK59+IS!BK65</f>
        <v>132</v>
      </c>
      <c r="BL10" s="30">
        <f>-IS!BL59+IS!BL65</f>
        <v>132</v>
      </c>
      <c r="BM10" s="67">
        <f>-IS!BM59+IS!BM65</f>
        <v>132</v>
      </c>
      <c r="BN10" s="236">
        <f>-IS!BN59+IS!BN65</f>
        <v>132</v>
      </c>
      <c r="BO10" s="195"/>
      <c r="BP10" s="59">
        <f t="shared" ref="BP10:BP24" si="2">SUM(C10:F10)</f>
        <v>7.8719999999999999</v>
      </c>
      <c r="BQ10" s="59">
        <f t="shared" ref="BQ10:BQ24" si="3">SUM(G10:J10)</f>
        <v>115.673</v>
      </c>
      <c r="BR10" s="59">
        <f t="shared" ref="BR10:BR24" si="4">SUM(K10:N10)</f>
        <v>133.36500000000001</v>
      </c>
      <c r="BS10" s="59">
        <f t="shared" ref="BS10:BS24" si="5">SUM(O10:R10)</f>
        <v>162.70599999999999</v>
      </c>
      <c r="BT10" s="59">
        <f t="shared" ref="BT10:BT24" si="6">SUM(S10:V10)</f>
        <v>242.82600000000002</v>
      </c>
      <c r="BU10" s="59">
        <f t="shared" ref="BU10:BU24" si="7">SUM(W10:Z10)</f>
        <v>100.35299999999998</v>
      </c>
      <c r="BV10" s="59">
        <f t="shared" ref="BV10:BV24" si="8">SUM(AA10:AD10)</f>
        <v>136.35400000000001</v>
      </c>
      <c r="BW10" s="59">
        <f t="shared" ref="BW10:BW24" si="9">SUM(AE10:AH10)</f>
        <v>136.66200000000001</v>
      </c>
      <c r="BX10" s="59">
        <f t="shared" ref="BX10:BX24" si="10">SUM(AI10:AL10)</f>
        <v>136.29499999999999</v>
      </c>
      <c r="BY10" s="59">
        <f>SUM(AM10:AP10)</f>
        <v>157.84100000000001</v>
      </c>
      <c r="BZ10" s="59">
        <f t="shared" ref="BZ10:BZ24" si="11">SUM(AQ10:AT10)</f>
        <v>204</v>
      </c>
      <c r="CA10" s="73">
        <f t="shared" ref="CA10:CA24" si="12">SUM(AU10:AX10)</f>
        <v>247</v>
      </c>
      <c r="CB10" s="73">
        <f t="shared" ref="CB10:CB16" si="13">SUM(AY10:BB10)</f>
        <v>391</v>
      </c>
      <c r="CC10" s="73">
        <f t="shared" ref="CC10:CC24" si="14">SUM(BC10:BF10)</f>
        <v>528</v>
      </c>
      <c r="CD10" s="73">
        <f t="shared" ref="CD10:CD24" si="15">SUM(BG10:BJ10)</f>
        <v>528</v>
      </c>
      <c r="CE10" s="73">
        <f t="shared" ref="CE10:CE34" si="16">SUM(BK10:BN10)</f>
        <v>528</v>
      </c>
      <c r="CJ10" s="88"/>
      <c r="CK10" s="821"/>
      <c r="CL10" s="821"/>
      <c r="CM10" s="821"/>
      <c r="CX10"/>
      <c r="CY10"/>
      <c r="CZ10"/>
      <c r="DA10"/>
      <c r="DB10"/>
      <c r="DC10"/>
    </row>
    <row r="11" spans="1:107" s="5" customFormat="1">
      <c r="B11" s="10" t="s">
        <v>40</v>
      </c>
      <c r="C11" s="32">
        <v>24.896999999999998</v>
      </c>
      <c r="D11" s="30">
        <v>24.770000000000003</v>
      </c>
      <c r="E11" s="30">
        <v>24.521999999999991</v>
      </c>
      <c r="F11" s="733">
        <v>23.788000000000011</v>
      </c>
      <c r="G11" s="30">
        <v>24.030999999999999</v>
      </c>
      <c r="H11" s="30">
        <v>24.207999999999998</v>
      </c>
      <c r="I11" s="30">
        <v>25.030999999999999</v>
      </c>
      <c r="J11" s="33">
        <v>34.292000000000009</v>
      </c>
      <c r="K11" s="30">
        <v>37.405000000000001</v>
      </c>
      <c r="L11" s="30">
        <v>25.820999999999998</v>
      </c>
      <c r="M11" s="30">
        <v>33.03</v>
      </c>
      <c r="N11" s="33">
        <v>36.936000000000007</v>
      </c>
      <c r="O11" s="30">
        <v>42.124000000000002</v>
      </c>
      <c r="P11" s="30">
        <v>45.54</v>
      </c>
      <c r="Q11" s="30">
        <v>49.303999999999995</v>
      </c>
      <c r="R11" s="33">
        <v>48.055</v>
      </c>
      <c r="S11" s="30">
        <v>50.658000000000001</v>
      </c>
      <c r="T11" s="30">
        <v>49.322000000000003</v>
      </c>
      <c r="U11" s="30">
        <v>48.769999999999996</v>
      </c>
      <c r="V11" s="33">
        <v>47.914000000000001</v>
      </c>
      <c r="W11" s="30">
        <v>47.146999999999998</v>
      </c>
      <c r="X11" s="30">
        <v>46.573</v>
      </c>
      <c r="Y11" s="30">
        <v>46.875999999999998</v>
      </c>
      <c r="Z11" s="33">
        <v>46.392999999999994</v>
      </c>
      <c r="AA11" s="30">
        <v>47.764000000000003</v>
      </c>
      <c r="AB11" s="30">
        <v>52.158999999999999</v>
      </c>
      <c r="AC11" s="30">
        <v>52.387000000000008</v>
      </c>
      <c r="AD11" s="33">
        <v>51.895000000000017</v>
      </c>
      <c r="AE11" s="30">
        <v>54.491</v>
      </c>
      <c r="AF11" s="30">
        <v>56.195000000000007</v>
      </c>
      <c r="AG11" s="30">
        <v>57.147999999999996</v>
      </c>
      <c r="AH11" s="33">
        <v>58.40100000000001</v>
      </c>
      <c r="AI11" s="32">
        <v>59.744</v>
      </c>
      <c r="AJ11" s="30">
        <v>61.84</v>
      </c>
      <c r="AK11" s="30">
        <v>62.725999999999999</v>
      </c>
      <c r="AL11" s="33">
        <v>54.837999999999994</v>
      </c>
      <c r="AM11" s="30">
        <v>55.082999999999998</v>
      </c>
      <c r="AN11" s="30">
        <v>55.606999999999999</v>
      </c>
      <c r="AO11" s="30">
        <v>55.47999999999999</v>
      </c>
      <c r="AP11" s="33">
        <v>53.955000000000013</v>
      </c>
      <c r="AQ11" s="30">
        <v>54</v>
      </c>
      <c r="AR11" s="30">
        <v>49</v>
      </c>
      <c r="AS11" s="30">
        <v>48</v>
      </c>
      <c r="AT11" s="33">
        <v>46</v>
      </c>
      <c r="AU11" s="30">
        <v>45</v>
      </c>
      <c r="AV11" s="30">
        <v>47</v>
      </c>
      <c r="AW11" s="30">
        <v>48</v>
      </c>
      <c r="AX11" s="33">
        <v>47</v>
      </c>
      <c r="AY11" s="30">
        <v>47</v>
      </c>
      <c r="AZ11" s="30">
        <v>49</v>
      </c>
      <c r="BA11" s="30">
        <v>50</v>
      </c>
      <c r="BB11" s="33">
        <v>53</v>
      </c>
      <c r="BC11" s="30">
        <v>55.495972839368925</v>
      </c>
      <c r="BD11" s="30">
        <v>58.193822460208523</v>
      </c>
      <c r="BE11" s="67">
        <v>61.10609130887628</v>
      </c>
      <c r="BF11" s="236">
        <v>64.130819730119569</v>
      </c>
      <c r="BG11" s="30">
        <v>66.840512503641065</v>
      </c>
      <c r="BH11" s="30">
        <v>69.874719431848192</v>
      </c>
      <c r="BI11" s="67">
        <v>73.156423491757437</v>
      </c>
      <c r="BJ11" s="236">
        <v>76.484189511330882</v>
      </c>
      <c r="BK11" s="30">
        <v>79.481955597931972</v>
      </c>
      <c r="BL11" s="30">
        <v>82.843277027966167</v>
      </c>
      <c r="BM11" s="67">
        <v>86.452608135655112</v>
      </c>
      <c r="BN11" s="236">
        <v>90.131938028769525</v>
      </c>
      <c r="BO11" s="195"/>
      <c r="BP11" s="59">
        <f t="shared" si="2"/>
        <v>97.977000000000004</v>
      </c>
      <c r="BQ11" s="59">
        <f t="shared" si="3"/>
        <v>107.56200000000001</v>
      </c>
      <c r="BR11" s="59">
        <f t="shared" si="4"/>
        <v>133.19200000000001</v>
      </c>
      <c r="BS11" s="59">
        <f t="shared" si="5"/>
        <v>185.023</v>
      </c>
      <c r="BT11" s="59">
        <f t="shared" si="6"/>
        <v>196.66399999999999</v>
      </c>
      <c r="BU11" s="59">
        <f t="shared" si="7"/>
        <v>186.989</v>
      </c>
      <c r="BV11" s="59">
        <f t="shared" si="8"/>
        <v>204.20500000000001</v>
      </c>
      <c r="BW11" s="59">
        <f t="shared" si="9"/>
        <v>226.23500000000001</v>
      </c>
      <c r="BX11" s="59">
        <f t="shared" si="10"/>
        <v>239.148</v>
      </c>
      <c r="BY11" s="59">
        <f t="shared" ref="BY11:BY24" si="17">SUM(AM11:AP11)</f>
        <v>220.125</v>
      </c>
      <c r="BZ11" s="59">
        <f t="shared" si="11"/>
        <v>197</v>
      </c>
      <c r="CA11" s="73">
        <f t="shared" si="12"/>
        <v>187</v>
      </c>
      <c r="CB11" s="73">
        <f t="shared" si="13"/>
        <v>199</v>
      </c>
      <c r="CC11" s="73">
        <f t="shared" si="14"/>
        <v>238.9267063385733</v>
      </c>
      <c r="CD11" s="73">
        <f t="shared" si="15"/>
        <v>286.3558449385776</v>
      </c>
      <c r="CE11" s="73">
        <f t="shared" si="16"/>
        <v>338.90977879032278</v>
      </c>
      <c r="CJ11" s="88"/>
      <c r="CK11" s="821"/>
      <c r="CL11" s="821"/>
      <c r="CM11" s="821"/>
      <c r="CX11"/>
      <c r="CY11"/>
      <c r="CZ11"/>
      <c r="DA11"/>
      <c r="DB11"/>
      <c r="DC11"/>
    </row>
    <row r="12" spans="1:107" s="5" customFormat="1">
      <c r="B12" s="10" t="s">
        <v>41</v>
      </c>
      <c r="C12" s="32">
        <v>0</v>
      </c>
      <c r="D12" s="30">
        <v>0</v>
      </c>
      <c r="E12" s="30">
        <v>0</v>
      </c>
      <c r="F12" s="33">
        <v>0</v>
      </c>
      <c r="G12" s="30">
        <v>0.255</v>
      </c>
      <c r="H12" s="30">
        <v>0</v>
      </c>
      <c r="I12" s="30">
        <v>0</v>
      </c>
      <c r="J12" s="33">
        <v>0</v>
      </c>
      <c r="K12" s="30">
        <v>0</v>
      </c>
      <c r="L12" s="30">
        <v>0</v>
      </c>
      <c r="M12" s="30">
        <v>0</v>
      </c>
      <c r="N12" s="33">
        <v>0</v>
      </c>
      <c r="O12" s="30">
        <v>0</v>
      </c>
      <c r="P12" s="30">
        <v>0</v>
      </c>
      <c r="Q12" s="30">
        <v>0</v>
      </c>
      <c r="R12" s="33">
        <v>0</v>
      </c>
      <c r="S12" s="30">
        <v>0</v>
      </c>
      <c r="T12" s="30">
        <v>0</v>
      </c>
      <c r="U12" s="30">
        <v>0</v>
      </c>
      <c r="V12" s="33">
        <v>0</v>
      </c>
      <c r="W12" s="30">
        <v>0</v>
      </c>
      <c r="X12" s="30">
        <v>0</v>
      </c>
      <c r="Y12" s="30">
        <v>0</v>
      </c>
      <c r="Z12" s="33">
        <v>0</v>
      </c>
      <c r="AA12" s="30">
        <v>0</v>
      </c>
      <c r="AB12" s="30">
        <v>0</v>
      </c>
      <c r="AC12" s="30">
        <v>0</v>
      </c>
      <c r="AD12" s="33">
        <v>0</v>
      </c>
      <c r="AE12" s="30">
        <v>0</v>
      </c>
      <c r="AF12" s="30">
        <v>0</v>
      </c>
      <c r="AG12" s="30">
        <v>0</v>
      </c>
      <c r="AH12" s="33">
        <v>0</v>
      </c>
      <c r="AI12" s="32">
        <v>0</v>
      </c>
      <c r="AJ12" s="30">
        <v>0</v>
      </c>
      <c r="AK12" s="30">
        <v>0</v>
      </c>
      <c r="AL12" s="33">
        <v>4.5999999999999996</v>
      </c>
      <c r="AM12" s="30">
        <v>6.9009999999999998</v>
      </c>
      <c r="AN12" s="30">
        <v>6.9730000000000008</v>
      </c>
      <c r="AO12" s="30">
        <v>7.01</v>
      </c>
      <c r="AP12" s="33">
        <v>7.0830000000000002</v>
      </c>
      <c r="AQ12" s="30">
        <v>7</v>
      </c>
      <c r="AR12" s="30">
        <v>7</v>
      </c>
      <c r="AS12" s="30">
        <v>8</v>
      </c>
      <c r="AT12" s="33">
        <v>7</v>
      </c>
      <c r="AU12" s="30">
        <v>8</v>
      </c>
      <c r="AV12" s="30">
        <v>6</v>
      </c>
      <c r="AW12" s="30">
        <v>6</v>
      </c>
      <c r="AX12" s="33">
        <v>5</v>
      </c>
      <c r="AY12" s="30">
        <v>2</v>
      </c>
      <c r="AZ12" s="30">
        <v>0</v>
      </c>
      <c r="BA12" s="30">
        <v>1</v>
      </c>
      <c r="BB12" s="33">
        <v>0</v>
      </c>
      <c r="BC12" s="30"/>
      <c r="BD12" s="30"/>
      <c r="BE12" s="53"/>
      <c r="BF12" s="282"/>
      <c r="BG12" s="30"/>
      <c r="BH12" s="30"/>
      <c r="BI12" s="53"/>
      <c r="BJ12" s="282"/>
      <c r="BK12" s="30"/>
      <c r="BL12" s="30"/>
      <c r="BM12" s="53"/>
      <c r="BN12" s="282"/>
      <c r="BO12" s="195"/>
      <c r="BP12" s="59">
        <f t="shared" si="2"/>
        <v>0</v>
      </c>
      <c r="BQ12" s="59">
        <f t="shared" si="3"/>
        <v>0.255</v>
      </c>
      <c r="BR12" s="59">
        <f t="shared" si="4"/>
        <v>0</v>
      </c>
      <c r="BS12" s="59">
        <f t="shared" si="5"/>
        <v>0</v>
      </c>
      <c r="BT12" s="59">
        <f t="shared" si="6"/>
        <v>0</v>
      </c>
      <c r="BU12" s="59">
        <f t="shared" si="7"/>
        <v>0</v>
      </c>
      <c r="BV12" s="59">
        <f t="shared" si="8"/>
        <v>0</v>
      </c>
      <c r="BW12" s="59">
        <f t="shared" si="9"/>
        <v>0</v>
      </c>
      <c r="BX12" s="59">
        <f t="shared" si="10"/>
        <v>4.5999999999999996</v>
      </c>
      <c r="BY12" s="59">
        <f t="shared" si="17"/>
        <v>27.966999999999999</v>
      </c>
      <c r="BZ12" s="59">
        <f>SUM(AQ12:AT12)</f>
        <v>29</v>
      </c>
      <c r="CA12" s="73">
        <f t="shared" si="12"/>
        <v>25</v>
      </c>
      <c r="CB12" s="73">
        <f t="shared" si="13"/>
        <v>3</v>
      </c>
      <c r="CC12" s="73">
        <f t="shared" si="14"/>
        <v>0</v>
      </c>
      <c r="CD12" s="73">
        <f t="shared" si="15"/>
        <v>0</v>
      </c>
      <c r="CE12" s="73">
        <f t="shared" si="16"/>
        <v>0</v>
      </c>
      <c r="CJ12" s="88"/>
      <c r="CK12" s="821"/>
      <c r="CL12" s="821"/>
      <c r="CM12" s="821"/>
      <c r="CX12"/>
      <c r="CY12"/>
      <c r="CZ12"/>
      <c r="DA12"/>
      <c r="DB12"/>
      <c r="DC12"/>
    </row>
    <row r="13" spans="1:107" s="5" customFormat="1">
      <c r="B13" s="10" t="s">
        <v>112</v>
      </c>
      <c r="C13" s="32">
        <v>0</v>
      </c>
      <c r="D13" s="30">
        <v>0</v>
      </c>
      <c r="E13" s="30">
        <v>0</v>
      </c>
      <c r="F13" s="33">
        <v>0</v>
      </c>
      <c r="G13" s="30">
        <v>0</v>
      </c>
      <c r="H13" s="30">
        <v>0</v>
      </c>
      <c r="I13" s="30">
        <v>0</v>
      </c>
      <c r="J13" s="33">
        <v>0</v>
      </c>
      <c r="K13" s="30">
        <v>0</v>
      </c>
      <c r="L13" s="30">
        <v>0</v>
      </c>
      <c r="M13" s="30">
        <v>0</v>
      </c>
      <c r="N13" s="33">
        <v>0</v>
      </c>
      <c r="O13" s="30">
        <v>0</v>
      </c>
      <c r="P13" s="30">
        <v>0</v>
      </c>
      <c r="Q13" s="30">
        <v>0</v>
      </c>
      <c r="R13" s="33">
        <v>0</v>
      </c>
      <c r="S13" s="30">
        <v>0</v>
      </c>
      <c r="T13" s="30">
        <v>0</v>
      </c>
      <c r="U13" s="30">
        <v>0</v>
      </c>
      <c r="V13" s="33">
        <v>0</v>
      </c>
      <c r="W13" s="30">
        <v>0</v>
      </c>
      <c r="X13" s="30">
        <v>0</v>
      </c>
      <c r="Y13" s="30">
        <v>0</v>
      </c>
      <c r="Z13" s="33">
        <v>0</v>
      </c>
      <c r="AA13" s="30">
        <v>0</v>
      </c>
      <c r="AB13" s="30">
        <v>0</v>
      </c>
      <c r="AC13" s="30">
        <v>0</v>
      </c>
      <c r="AD13" s="33">
        <v>0</v>
      </c>
      <c r="AE13" s="30">
        <v>0</v>
      </c>
      <c r="AF13" s="30">
        <v>0</v>
      </c>
      <c r="AG13" s="30">
        <v>0</v>
      </c>
      <c r="AH13" s="33">
        <v>0</v>
      </c>
      <c r="AI13" s="32">
        <v>0</v>
      </c>
      <c r="AJ13" s="30">
        <v>0</v>
      </c>
      <c r="AK13" s="30">
        <v>0</v>
      </c>
      <c r="AL13" s="33">
        <v>-10.471</v>
      </c>
      <c r="AM13" s="30">
        <v>-16.981999999999999</v>
      </c>
      <c r="AN13" s="30">
        <v>2.5</v>
      </c>
      <c r="AO13" s="30">
        <v>-3.1720000000000006</v>
      </c>
      <c r="AP13" s="33">
        <v>1.1050000000000004</v>
      </c>
      <c r="AQ13" s="30">
        <v>-3</v>
      </c>
      <c r="AR13" s="30">
        <v>0</v>
      </c>
      <c r="AS13" s="30">
        <v>-4</v>
      </c>
      <c r="AT13" s="33">
        <v>1</v>
      </c>
      <c r="AU13" s="30">
        <v>-3</v>
      </c>
      <c r="AV13" s="30">
        <v>0</v>
      </c>
      <c r="AW13" s="30">
        <v>1</v>
      </c>
      <c r="AX13" s="33">
        <v>-1</v>
      </c>
      <c r="AY13" s="30">
        <v>0</v>
      </c>
      <c r="AZ13" s="30">
        <v>1</v>
      </c>
      <c r="BA13" s="30">
        <v>0</v>
      </c>
      <c r="BB13" s="33">
        <v>-2</v>
      </c>
      <c r="BC13" s="30"/>
      <c r="BD13" s="30"/>
      <c r="BE13" s="53"/>
      <c r="BF13" s="282"/>
      <c r="BG13" s="30"/>
      <c r="BH13" s="30"/>
      <c r="BI13" s="53"/>
      <c r="BJ13" s="282"/>
      <c r="BK13" s="30"/>
      <c r="BL13" s="30"/>
      <c r="BM13" s="53"/>
      <c r="BN13" s="282"/>
      <c r="BO13" s="195"/>
      <c r="BP13" s="59">
        <f t="shared" si="2"/>
        <v>0</v>
      </c>
      <c r="BQ13" s="59">
        <f t="shared" si="3"/>
        <v>0</v>
      </c>
      <c r="BR13" s="59">
        <f t="shared" si="4"/>
        <v>0</v>
      </c>
      <c r="BS13" s="59">
        <f t="shared" si="5"/>
        <v>0</v>
      </c>
      <c r="BT13" s="59">
        <f t="shared" si="6"/>
        <v>0</v>
      </c>
      <c r="BU13" s="59">
        <f t="shared" si="7"/>
        <v>0</v>
      </c>
      <c r="BV13" s="59">
        <f t="shared" si="8"/>
        <v>0</v>
      </c>
      <c r="BW13" s="59">
        <f t="shared" si="9"/>
        <v>0</v>
      </c>
      <c r="BX13" s="59">
        <f t="shared" si="10"/>
        <v>-10.471</v>
      </c>
      <c r="BY13" s="59">
        <f t="shared" si="17"/>
        <v>-16.548999999999999</v>
      </c>
      <c r="BZ13" s="59">
        <f t="shared" si="11"/>
        <v>-6</v>
      </c>
      <c r="CA13" s="73">
        <f t="shared" si="12"/>
        <v>-3</v>
      </c>
      <c r="CB13" s="73">
        <f t="shared" si="13"/>
        <v>-1</v>
      </c>
      <c r="CC13" s="73">
        <f t="shared" si="14"/>
        <v>0</v>
      </c>
      <c r="CD13" s="73">
        <f t="shared" si="15"/>
        <v>0</v>
      </c>
      <c r="CE13" s="73">
        <f t="shared" si="16"/>
        <v>0</v>
      </c>
      <c r="CJ13" s="88"/>
      <c r="CK13" s="821"/>
      <c r="CL13" s="821"/>
      <c r="CM13" s="821"/>
      <c r="CX13"/>
      <c r="CY13"/>
      <c r="CZ13"/>
      <c r="DA13"/>
      <c r="DB13"/>
      <c r="DC13"/>
    </row>
    <row r="14" spans="1:107" s="5" customFormat="1">
      <c r="B14" s="10" t="s">
        <v>11</v>
      </c>
      <c r="C14" s="32">
        <v>0</v>
      </c>
      <c r="D14" s="30">
        <v>0</v>
      </c>
      <c r="E14" s="30">
        <v>0</v>
      </c>
      <c r="F14" s="734">
        <v>-2.6909999999999998</v>
      </c>
      <c r="G14" s="30">
        <v>0</v>
      </c>
      <c r="H14" s="30">
        <v>28.236999999999998</v>
      </c>
      <c r="I14" s="30">
        <v>-2.6199999999999974</v>
      </c>
      <c r="J14" s="33">
        <v>16.148999999999997</v>
      </c>
      <c r="K14" s="30">
        <v>0.89900000000000002</v>
      </c>
      <c r="L14" s="30">
        <v>38.378</v>
      </c>
      <c r="M14" s="30">
        <v>28.001999999999995</v>
      </c>
      <c r="N14" s="33">
        <v>22.237000000000009</v>
      </c>
      <c r="O14" s="30">
        <v>31.186</v>
      </c>
      <c r="P14" s="30">
        <v>-25.638999999999999</v>
      </c>
      <c r="Q14" s="30">
        <v>-3.9789999999999992</v>
      </c>
      <c r="R14" s="33">
        <v>-24.845000000000002</v>
      </c>
      <c r="S14" s="30">
        <v>-15.378</v>
      </c>
      <c r="T14" s="30">
        <v>-12.652999999999999</v>
      </c>
      <c r="U14" s="30">
        <v>2.2579999999999991</v>
      </c>
      <c r="V14" s="33">
        <v>4.6260000000000012</v>
      </c>
      <c r="W14" s="30">
        <v>14.398</v>
      </c>
      <c r="X14" s="30">
        <v>-29.641999999999999</v>
      </c>
      <c r="Y14" s="30">
        <v>15.071999999999999</v>
      </c>
      <c r="Z14" s="33">
        <v>-2.4740000000000002</v>
      </c>
      <c r="AA14" s="30">
        <v>8.4149999999999991</v>
      </c>
      <c r="AB14" s="30">
        <v>11.667000000000002</v>
      </c>
      <c r="AC14" s="30">
        <v>-5.84</v>
      </c>
      <c r="AD14" s="33">
        <v>4.8140000000000001</v>
      </c>
      <c r="AE14" s="30">
        <v>3.63</v>
      </c>
      <c r="AF14" s="30">
        <v>10.161000000000001</v>
      </c>
      <c r="AG14" s="30">
        <v>28.892999999999997</v>
      </c>
      <c r="AH14" s="33">
        <v>-10.823999999999998</v>
      </c>
      <c r="AI14" s="32">
        <v>-3.0630000000000002</v>
      </c>
      <c r="AJ14" s="30">
        <v>2.452</v>
      </c>
      <c r="AK14" s="30">
        <v>8.5250000000000004</v>
      </c>
      <c r="AL14" s="33">
        <v>7.516</v>
      </c>
      <c r="AM14" s="30">
        <v>21.463999999999999</v>
      </c>
      <c r="AN14" s="30">
        <v>16.849000000000004</v>
      </c>
      <c r="AO14" s="30">
        <v>23.768000000000001</v>
      </c>
      <c r="AP14" s="33">
        <v>20.488</v>
      </c>
      <c r="AQ14" s="30">
        <v>28</v>
      </c>
      <c r="AR14" s="30">
        <v>37</v>
      </c>
      <c r="AS14" s="30">
        <v>42</v>
      </c>
      <c r="AT14" s="33">
        <v>27</v>
      </c>
      <c r="AU14" s="30">
        <v>33</v>
      </c>
      <c r="AV14" s="30">
        <v>41</v>
      </c>
      <c r="AW14" s="30">
        <v>72</v>
      </c>
      <c r="AX14" s="33">
        <v>51</v>
      </c>
      <c r="AY14" s="30">
        <v>22</v>
      </c>
      <c r="AZ14" s="30">
        <v>93</v>
      </c>
      <c r="BA14" s="30">
        <v>43</v>
      </c>
      <c r="BB14" s="33">
        <v>-517</v>
      </c>
      <c r="BC14" s="30">
        <f>BS!BB13-BS!BC13</f>
        <v>0</v>
      </c>
      <c r="BD14" s="30">
        <f>BS!BC13-BS!BD13</f>
        <v>0</v>
      </c>
      <c r="BE14" s="53">
        <f>BS!BD13-BS!BE13</f>
        <v>0</v>
      </c>
      <c r="BF14" s="282">
        <f>BS!BE13-BS!BF13</f>
        <v>0</v>
      </c>
      <c r="BG14" s="30">
        <f>BS!BF13-BS!BG13</f>
        <v>0</v>
      </c>
      <c r="BH14" s="30">
        <f>BS!BG13-BS!BH13</f>
        <v>0</v>
      </c>
      <c r="BI14" s="53">
        <f>BS!BH13-BS!BI13</f>
        <v>0</v>
      </c>
      <c r="BJ14" s="282">
        <f>BS!BI13-BS!BJ13</f>
        <v>0</v>
      </c>
      <c r="BK14" s="30">
        <f>BS!BJ13-BS!BK13</f>
        <v>0</v>
      </c>
      <c r="BL14" s="30">
        <f>BS!BK13-BS!BL13</f>
        <v>0</v>
      </c>
      <c r="BM14" s="53">
        <f>BS!BL13-BS!BM13</f>
        <v>0</v>
      </c>
      <c r="BN14" s="282">
        <f>BS!BM13-BS!BN13</f>
        <v>0</v>
      </c>
      <c r="BO14" s="195"/>
      <c r="BP14" s="59">
        <f t="shared" si="2"/>
        <v>-2.6909999999999998</v>
      </c>
      <c r="BQ14" s="59">
        <f t="shared" si="3"/>
        <v>41.765999999999998</v>
      </c>
      <c r="BR14" s="59">
        <f t="shared" si="4"/>
        <v>89.516000000000005</v>
      </c>
      <c r="BS14" s="59">
        <f t="shared" si="5"/>
        <v>-23.277000000000001</v>
      </c>
      <c r="BT14" s="59">
        <f t="shared" si="6"/>
        <v>-21.146999999999998</v>
      </c>
      <c r="BU14" s="59">
        <f t="shared" si="7"/>
        <v>-2.6460000000000008</v>
      </c>
      <c r="BV14" s="59">
        <f t="shared" si="8"/>
        <v>19.056000000000001</v>
      </c>
      <c r="BW14" s="59">
        <f t="shared" si="9"/>
        <v>31.86</v>
      </c>
      <c r="BX14" s="59">
        <f t="shared" si="10"/>
        <v>15.43</v>
      </c>
      <c r="BY14" s="59">
        <f t="shared" si="17"/>
        <v>82.569000000000003</v>
      </c>
      <c r="BZ14" s="59">
        <f t="shared" si="11"/>
        <v>134</v>
      </c>
      <c r="CA14" s="73">
        <f t="shared" si="12"/>
        <v>197</v>
      </c>
      <c r="CB14" s="73">
        <f t="shared" si="13"/>
        <v>-359</v>
      </c>
      <c r="CC14" s="73">
        <f t="shared" si="14"/>
        <v>0</v>
      </c>
      <c r="CD14" s="73">
        <f t="shared" si="15"/>
        <v>0</v>
      </c>
      <c r="CE14" s="73">
        <f t="shared" si="16"/>
        <v>0</v>
      </c>
      <c r="CJ14" s="88"/>
      <c r="CK14" s="821"/>
      <c r="CL14" s="821"/>
      <c r="CM14" s="821"/>
      <c r="CX14"/>
      <c r="CY14"/>
      <c r="CZ14"/>
      <c r="DA14"/>
      <c r="DB14"/>
      <c r="DC14"/>
    </row>
    <row r="15" spans="1:107" s="5" customFormat="1">
      <c r="B15" s="10" t="s">
        <v>42</v>
      </c>
      <c r="C15" s="32">
        <v>0</v>
      </c>
      <c r="D15" s="30">
        <v>0</v>
      </c>
      <c r="E15" s="30">
        <v>0</v>
      </c>
      <c r="F15" s="734">
        <v>24.867999999999999</v>
      </c>
      <c r="G15" s="30">
        <v>-6.47</v>
      </c>
      <c r="H15" s="30">
        <v>-7.032</v>
      </c>
      <c r="I15" s="30">
        <v>-8.197000000000001</v>
      </c>
      <c r="J15" s="33">
        <v>14.077000000000002</v>
      </c>
      <c r="K15" s="30">
        <v>0</v>
      </c>
      <c r="L15" s="30">
        <v>0</v>
      </c>
      <c r="M15" s="30">
        <v>0</v>
      </c>
      <c r="N15" s="33">
        <v>0</v>
      </c>
      <c r="O15" s="30">
        <v>0</v>
      </c>
      <c r="P15" s="30">
        <v>0</v>
      </c>
      <c r="Q15" s="30">
        <v>0</v>
      </c>
      <c r="R15" s="33">
        <v>0</v>
      </c>
      <c r="S15" s="30">
        <v>-7.5949999999999998</v>
      </c>
      <c r="T15" s="30">
        <v>7.5949999999999998</v>
      </c>
      <c r="U15" s="30">
        <v>0</v>
      </c>
      <c r="V15" s="33">
        <v>0</v>
      </c>
      <c r="W15" s="30">
        <v>0</v>
      </c>
      <c r="X15" s="30">
        <v>0</v>
      </c>
      <c r="Y15" s="30">
        <v>0</v>
      </c>
      <c r="Z15" s="33">
        <v>0</v>
      </c>
      <c r="AA15" s="30">
        <v>0</v>
      </c>
      <c r="AB15" s="30">
        <v>0</v>
      </c>
      <c r="AC15" s="30">
        <v>0</v>
      </c>
      <c r="AD15" s="33">
        <v>0</v>
      </c>
      <c r="AE15" s="30">
        <v>-8.6750000000000007</v>
      </c>
      <c r="AF15" s="30">
        <v>-9.4789999999999992</v>
      </c>
      <c r="AG15" s="30">
        <v>-7.4920000000000009</v>
      </c>
      <c r="AH15" s="33">
        <v>-43.063999999999993</v>
      </c>
      <c r="AI15" s="32">
        <v>-10.119999999999999</v>
      </c>
      <c r="AJ15" s="30">
        <v>-7.24</v>
      </c>
      <c r="AK15" s="30">
        <v>-6.3830000000000009</v>
      </c>
      <c r="AL15" s="33">
        <v>-2.0579999999999998</v>
      </c>
      <c r="AM15" s="30">
        <v>-4.0860000000000003</v>
      </c>
      <c r="AN15" s="30">
        <v>-2.7569999999999997</v>
      </c>
      <c r="AO15" s="30">
        <v>-4.9009999999999998</v>
      </c>
      <c r="AP15" s="33">
        <v>-6.7119999999999997</v>
      </c>
      <c r="AQ15" s="30">
        <v>-6</v>
      </c>
      <c r="AR15" s="30">
        <v>0</v>
      </c>
      <c r="AS15" s="30">
        <v>1</v>
      </c>
      <c r="AT15" s="33">
        <v>-5</v>
      </c>
      <c r="AU15" s="30">
        <v>-9</v>
      </c>
      <c r="AV15" s="30">
        <v>-35</v>
      </c>
      <c r="AW15" s="30">
        <v>0</v>
      </c>
      <c r="AX15" s="33">
        <v>44</v>
      </c>
      <c r="AY15" s="30">
        <v>0</v>
      </c>
      <c r="AZ15" s="30">
        <v>0</v>
      </c>
      <c r="BA15" s="30">
        <v>0</v>
      </c>
      <c r="BB15" s="33">
        <v>0</v>
      </c>
      <c r="BC15" s="968"/>
      <c r="BD15" s="30"/>
      <c r="BE15" s="53"/>
      <c r="BF15" s="282"/>
      <c r="BG15" s="30"/>
      <c r="BH15" s="30"/>
      <c r="BI15" s="53"/>
      <c r="BJ15" s="282"/>
      <c r="BK15" s="30"/>
      <c r="BL15" s="30"/>
      <c r="BM15" s="53"/>
      <c r="BN15" s="282"/>
      <c r="BO15" s="195"/>
      <c r="BP15" s="59">
        <f t="shared" si="2"/>
        <v>24.867999999999999</v>
      </c>
      <c r="BQ15" s="59">
        <f t="shared" si="3"/>
        <v>-7.6219999999999963</v>
      </c>
      <c r="BR15" s="59">
        <f t="shared" si="4"/>
        <v>0</v>
      </c>
      <c r="BS15" s="59">
        <f t="shared" si="5"/>
        <v>0</v>
      </c>
      <c r="BT15" s="59">
        <f t="shared" si="6"/>
        <v>0</v>
      </c>
      <c r="BU15" s="59">
        <f t="shared" si="7"/>
        <v>0</v>
      </c>
      <c r="BV15" s="59">
        <f t="shared" si="8"/>
        <v>0</v>
      </c>
      <c r="BW15" s="59">
        <f t="shared" si="9"/>
        <v>-68.709999999999994</v>
      </c>
      <c r="BX15" s="59">
        <f t="shared" si="10"/>
        <v>-25.801000000000002</v>
      </c>
      <c r="BY15" s="59">
        <f t="shared" si="17"/>
        <v>-18.456</v>
      </c>
      <c r="BZ15" s="59">
        <f t="shared" si="11"/>
        <v>-10</v>
      </c>
      <c r="CA15" s="73">
        <f t="shared" si="12"/>
        <v>0</v>
      </c>
      <c r="CB15" s="73">
        <f t="shared" si="13"/>
        <v>0</v>
      </c>
      <c r="CC15" s="73">
        <f t="shared" si="14"/>
        <v>0</v>
      </c>
      <c r="CD15" s="73">
        <f t="shared" si="15"/>
        <v>0</v>
      </c>
      <c r="CE15" s="73">
        <f t="shared" si="16"/>
        <v>0</v>
      </c>
      <c r="CH15" s="178"/>
      <c r="CJ15" s="88"/>
      <c r="CK15" s="821"/>
      <c r="CL15" s="821"/>
      <c r="CM15" s="821"/>
      <c r="CX15"/>
      <c r="CY15"/>
      <c r="CZ15"/>
      <c r="DA15"/>
      <c r="DB15"/>
      <c r="DC15"/>
    </row>
    <row r="16" spans="1:107" s="5" customFormat="1">
      <c r="B16" s="10" t="s">
        <v>43</v>
      </c>
      <c r="C16" s="32">
        <v>-0.34100000000000003</v>
      </c>
      <c r="D16" s="30">
        <v>-5.0999999999999934E-2</v>
      </c>
      <c r="E16" s="30">
        <v>0.54399999999999993</v>
      </c>
      <c r="F16" s="733">
        <v>0.26500000000000001</v>
      </c>
      <c r="G16" s="30">
        <v>0.60199999999999998</v>
      </c>
      <c r="H16" s="30">
        <v>-0.20399999999999999</v>
      </c>
      <c r="I16" s="30">
        <v>0.21099999999999999</v>
      </c>
      <c r="J16" s="33">
        <v>-1.0239999999999991</v>
      </c>
      <c r="K16" s="30">
        <v>-11.231</v>
      </c>
      <c r="L16" s="30">
        <v>-9.3070000000000004</v>
      </c>
      <c r="M16" s="30">
        <v>-28.477999999999994</v>
      </c>
      <c r="N16" s="33">
        <v>-4.455000000000009</v>
      </c>
      <c r="O16" s="30">
        <v>-3.7420000000000004</v>
      </c>
      <c r="P16" s="30">
        <v>-19.792999999999999</v>
      </c>
      <c r="Q16" s="30">
        <v>13.823000000000002</v>
      </c>
      <c r="R16" s="33">
        <v>-2.0060000000000007</v>
      </c>
      <c r="S16" s="30">
        <v>1.3859999999999999</v>
      </c>
      <c r="T16" s="30">
        <v>0.45100000000000007</v>
      </c>
      <c r="U16" s="30">
        <v>2.0170000000000003</v>
      </c>
      <c r="V16" s="33">
        <v>-2.8180000000000005</v>
      </c>
      <c r="W16" s="30">
        <v>1.974</v>
      </c>
      <c r="X16" s="30">
        <v>3.9159999999999995</v>
      </c>
      <c r="Y16" s="30">
        <v>-0.50799999999999979</v>
      </c>
      <c r="Z16" s="33">
        <v>-19.126000000000001</v>
      </c>
      <c r="AA16" s="30">
        <v>-11.449</v>
      </c>
      <c r="AB16" s="30">
        <v>-2.8760000000000012</v>
      </c>
      <c r="AC16" s="30">
        <v>-24.689000000000007</v>
      </c>
      <c r="AD16" s="33">
        <v>5.3160000000000078</v>
      </c>
      <c r="AE16" s="30">
        <v>5.4509999999999996</v>
      </c>
      <c r="AF16" s="30">
        <v>27.045000000000002</v>
      </c>
      <c r="AG16" s="30">
        <v>7.4820000000000002</v>
      </c>
      <c r="AH16" s="33">
        <v>7.9330000000000007</v>
      </c>
      <c r="AI16" s="32">
        <v>4.9880000000000004</v>
      </c>
      <c r="AJ16" s="30">
        <v>3.8790000000000004</v>
      </c>
      <c r="AK16" s="30">
        <v>2.4439999999999991</v>
      </c>
      <c r="AL16" s="33">
        <v>12.407</v>
      </c>
      <c r="AM16" s="30">
        <v>7.2809999999999997</v>
      </c>
      <c r="AN16" s="30">
        <v>6.8430000000000009</v>
      </c>
      <c r="AO16" s="30">
        <v>5.2190000000000003</v>
      </c>
      <c r="AP16" s="33">
        <v>4.7559999999999993</v>
      </c>
      <c r="AQ16" s="30">
        <v>7</v>
      </c>
      <c r="AR16" s="30">
        <v>36</v>
      </c>
      <c r="AS16" s="30">
        <v>10</v>
      </c>
      <c r="AT16" s="33">
        <v>11</v>
      </c>
      <c r="AU16" s="30">
        <v>4</v>
      </c>
      <c r="AV16" s="30">
        <v>21</v>
      </c>
      <c r="AW16" s="30">
        <v>42</v>
      </c>
      <c r="AX16" s="33">
        <v>-35</v>
      </c>
      <c r="AY16" s="30">
        <v>19</v>
      </c>
      <c r="AZ16" s="30">
        <v>6</v>
      </c>
      <c r="BA16" s="30">
        <v>5</v>
      </c>
      <c r="BB16" s="33">
        <v>7</v>
      </c>
      <c r="BC16" s="968">
        <f>(BS!BB16-BS!BC16)+(BS!BB18-BS!BC18)+(BS!BB18-BS!BC18)</f>
        <v>0</v>
      </c>
      <c r="BD16" s="30">
        <f>(BS!BC16-BS!BD16)+(BS!BC18-BS!BD18)+(BS!BC18-BS!BD18)</f>
        <v>0</v>
      </c>
      <c r="BE16" s="53">
        <f>(BS!BD16-BS!BE16)+(BS!BD18-BS!BE18)+(BS!BD18-BS!BE18)</f>
        <v>0</v>
      </c>
      <c r="BF16" s="282">
        <f>(BS!BE16-BS!BF16)+(BS!BE18-BS!BF18)+(BS!BE18-BS!BF18)</f>
        <v>0</v>
      </c>
      <c r="BG16" s="30">
        <f>(BS!BF16-BS!BG16)+(BS!BF18-BS!BG18)+(BS!BF18-BS!BG18)</f>
        <v>0</v>
      </c>
      <c r="BH16" s="30">
        <f>(BS!BG16-BS!BH16)+(BS!BG18-BS!BH18)+(BS!BG18-BS!BH18)</f>
        <v>0</v>
      </c>
      <c r="BI16" s="53">
        <f>(BS!BH16-BS!BI16)+(BS!BH18-BS!BI18)+(BS!BH18-BS!BI18)</f>
        <v>0</v>
      </c>
      <c r="BJ16" s="282">
        <f>(BS!BI16-BS!BJ16)+(BS!BI18-BS!BJ18)+(BS!BI18-BS!BJ18)</f>
        <v>0</v>
      </c>
      <c r="BK16" s="30">
        <f>(BS!BJ16-BS!BK16)+(BS!BJ18-BS!BK18)+(BS!BJ18-BS!BK18)</f>
        <v>0</v>
      </c>
      <c r="BL16" s="30">
        <f>(BS!BK16-BS!BL16)+(BS!BK18-BS!BL18)+(BS!BK18-BS!BL18)</f>
        <v>0</v>
      </c>
      <c r="BM16" s="53">
        <f>(BS!BL16-BS!BM16)+(BS!BL18-BS!BM18)+(BS!BL18-BS!BM18)</f>
        <v>0</v>
      </c>
      <c r="BN16" s="282">
        <f>(BS!BM16-BS!BN16)+(BS!BM18-BS!BN18)+(BS!BM18-BS!BN18)</f>
        <v>0</v>
      </c>
      <c r="BO16" s="195"/>
      <c r="BP16" s="59">
        <f t="shared" si="2"/>
        <v>0.41699999999999998</v>
      </c>
      <c r="BQ16" s="59">
        <f t="shared" si="3"/>
        <v>-0.41499999999999915</v>
      </c>
      <c r="BR16" s="59">
        <f t="shared" si="4"/>
        <v>-53.471000000000004</v>
      </c>
      <c r="BS16" s="59">
        <f t="shared" si="5"/>
        <v>-11.717999999999998</v>
      </c>
      <c r="BT16" s="59">
        <f t="shared" si="6"/>
        <v>1.0359999999999996</v>
      </c>
      <c r="BU16" s="59">
        <f t="shared" si="7"/>
        <v>-13.744000000000002</v>
      </c>
      <c r="BV16" s="59">
        <f t="shared" si="8"/>
        <v>-33.698</v>
      </c>
      <c r="BW16" s="59">
        <f t="shared" si="9"/>
        <v>47.911000000000001</v>
      </c>
      <c r="BX16" s="59">
        <f t="shared" si="10"/>
        <v>23.718</v>
      </c>
      <c r="BY16" s="59">
        <f t="shared" si="17"/>
        <v>24.099</v>
      </c>
      <c r="BZ16" s="59">
        <f t="shared" si="11"/>
        <v>64</v>
      </c>
      <c r="CA16" s="73">
        <f t="shared" si="12"/>
        <v>32</v>
      </c>
      <c r="CB16" s="73">
        <f t="shared" si="13"/>
        <v>37</v>
      </c>
      <c r="CC16" s="73">
        <f t="shared" si="14"/>
        <v>0</v>
      </c>
      <c r="CD16" s="73">
        <f t="shared" si="15"/>
        <v>0</v>
      </c>
      <c r="CE16" s="73">
        <f t="shared" si="16"/>
        <v>0</v>
      </c>
      <c r="CF16" s="90"/>
      <c r="CG16" s="102"/>
      <c r="CH16" s="821"/>
      <c r="CJ16" s="88"/>
      <c r="CK16" s="821"/>
      <c r="CL16" s="821"/>
      <c r="CM16" s="821"/>
      <c r="CX16"/>
      <c r="CY16"/>
      <c r="CZ16"/>
      <c r="DA16"/>
      <c r="DB16"/>
      <c r="DC16"/>
    </row>
    <row r="17" spans="2:107" s="5" customFormat="1">
      <c r="B17" s="8" t="s">
        <v>58</v>
      </c>
      <c r="C17" s="32"/>
      <c r="D17" s="30"/>
      <c r="E17" s="30"/>
      <c r="F17" s="732"/>
      <c r="G17" s="30"/>
      <c r="H17" s="30"/>
      <c r="I17" s="30"/>
      <c r="J17" s="33"/>
      <c r="K17" s="30"/>
      <c r="L17" s="30"/>
      <c r="M17" s="30"/>
      <c r="N17" s="33"/>
      <c r="O17" s="30"/>
      <c r="P17" s="30"/>
      <c r="Q17" s="30"/>
      <c r="R17" s="33"/>
      <c r="S17" s="30"/>
      <c r="T17" s="30"/>
      <c r="U17" s="30"/>
      <c r="V17" s="33"/>
      <c r="W17" s="30"/>
      <c r="X17" s="30"/>
      <c r="Y17" s="30"/>
      <c r="Z17" s="33"/>
      <c r="AA17" s="30"/>
      <c r="AB17" s="30"/>
      <c r="AC17" s="30"/>
      <c r="AD17" s="33"/>
      <c r="AE17" s="30"/>
      <c r="AF17" s="30"/>
      <c r="AG17" s="30"/>
      <c r="AH17" s="33"/>
      <c r="AI17" s="32"/>
      <c r="AJ17" s="30"/>
      <c r="AK17" s="30"/>
      <c r="AL17" s="33"/>
      <c r="AM17" s="30"/>
      <c r="AN17" s="30"/>
      <c r="AO17" s="30"/>
      <c r="AP17" s="33"/>
      <c r="AQ17" s="30"/>
      <c r="AR17" s="30"/>
      <c r="AS17" s="30"/>
      <c r="AT17" s="33"/>
      <c r="AU17" s="30"/>
      <c r="AV17" s="30"/>
      <c r="AW17" s="30"/>
      <c r="AX17" s="33"/>
      <c r="AY17" s="30"/>
      <c r="AZ17" s="30"/>
      <c r="BA17" s="30"/>
      <c r="BB17" s="33"/>
      <c r="BC17" s="968"/>
      <c r="BD17" s="30"/>
      <c r="BE17" s="53"/>
      <c r="BF17" s="282"/>
      <c r="BG17" s="30"/>
      <c r="BH17" s="30"/>
      <c r="BI17" s="53"/>
      <c r="BJ17" s="282"/>
      <c r="BK17" s="30"/>
      <c r="BL17" s="30"/>
      <c r="BM17" s="53"/>
      <c r="BN17" s="282"/>
      <c r="BO17" s="195"/>
      <c r="BP17" s="59">
        <f>SUM(C18:F18)</f>
        <v>-21.415000000000006</v>
      </c>
      <c r="BQ17" s="59">
        <f>SUM(G18:J18)</f>
        <v>-175.26100000000002</v>
      </c>
      <c r="BR17" s="59">
        <f>SUM(K18:N18)</f>
        <v>-146.05500000000001</v>
      </c>
      <c r="BS17" s="59">
        <f>SUM(O18:R18)</f>
        <v>348.87299999999999</v>
      </c>
      <c r="BT17" s="59">
        <f>SUM(S18:V18)</f>
        <v>-56.741</v>
      </c>
      <c r="BU17" s="59">
        <f>SUM(W18:Z18)</f>
        <v>26.341000000000008</v>
      </c>
      <c r="BV17" s="59">
        <f>SUM(AA18:AD18)</f>
        <v>26.235999999999997</v>
      </c>
      <c r="BW17" s="59">
        <f>SUM(AE18:AH18)</f>
        <v>-118.94</v>
      </c>
      <c r="BX17" s="59">
        <f>SUM(AI18:AL18)</f>
        <v>28.85199999999999</v>
      </c>
      <c r="BY17" s="59">
        <f>SUM(AM18:AP18)</f>
        <v>-49.323999999999998</v>
      </c>
      <c r="BZ17" s="59">
        <f>SUM(AQ18:AT18)</f>
        <v>-32</v>
      </c>
      <c r="CA17" s="73">
        <f>SUM(AU18:AX18)</f>
        <v>-321</v>
      </c>
      <c r="CB17" s="73">
        <f>SUM(AY18:BB18)</f>
        <v>-440</v>
      </c>
      <c r="CC17" s="73">
        <f t="shared" si="14"/>
        <v>0</v>
      </c>
      <c r="CD17" s="73">
        <f t="shared" si="15"/>
        <v>0</v>
      </c>
      <c r="CE17" s="73">
        <f t="shared" si="16"/>
        <v>0</v>
      </c>
      <c r="CF17" s="90"/>
      <c r="CG17" s="102"/>
      <c r="CH17" s="821"/>
      <c r="CJ17" s="88"/>
      <c r="CK17" s="821"/>
      <c r="CL17" s="821"/>
      <c r="CM17" s="821"/>
      <c r="CX17"/>
      <c r="CY17"/>
      <c r="CZ17"/>
      <c r="DA17"/>
      <c r="DB17"/>
      <c r="DC17"/>
    </row>
    <row r="18" spans="2:107" s="5" customFormat="1">
      <c r="B18" s="10" t="s">
        <v>30</v>
      </c>
      <c r="C18" s="32">
        <v>49.43</v>
      </c>
      <c r="D18" s="30">
        <v>-98.067000000000007</v>
      </c>
      <c r="E18" s="30">
        <v>-6.9839999999999947</v>
      </c>
      <c r="F18" s="733">
        <v>34.205999999999996</v>
      </c>
      <c r="G18" s="30">
        <v>-64.135000000000005</v>
      </c>
      <c r="H18" s="30">
        <v>-68.123999999999981</v>
      </c>
      <c r="I18" s="30">
        <v>19.923999999999992</v>
      </c>
      <c r="J18" s="33">
        <v>-62.926000000000016</v>
      </c>
      <c r="K18" s="30">
        <v>47.847000000000001</v>
      </c>
      <c r="L18" s="30">
        <v>-36.897000000000006</v>
      </c>
      <c r="M18" s="30">
        <v>-43.892999999999994</v>
      </c>
      <c r="N18" s="33">
        <v>-113.11199999999999</v>
      </c>
      <c r="O18" s="30">
        <v>15.826000000000001</v>
      </c>
      <c r="P18" s="30">
        <v>-28.198999999999998</v>
      </c>
      <c r="Q18" s="30">
        <v>71.649000000000001</v>
      </c>
      <c r="R18" s="33">
        <v>289.59699999999998</v>
      </c>
      <c r="S18" s="30">
        <v>14.170999999999999</v>
      </c>
      <c r="T18" s="30">
        <v>-47.929000000000002</v>
      </c>
      <c r="U18" s="30">
        <v>-45.990999999999993</v>
      </c>
      <c r="V18" s="33">
        <v>23.007999999999996</v>
      </c>
      <c r="W18" s="30">
        <v>-155.011</v>
      </c>
      <c r="X18" s="30">
        <v>133.81799999999998</v>
      </c>
      <c r="Y18" s="30">
        <v>-3.3739999999999952</v>
      </c>
      <c r="Z18" s="33">
        <v>50.908000000000015</v>
      </c>
      <c r="AA18" s="30">
        <v>5.82</v>
      </c>
      <c r="AB18" s="30">
        <v>-63.331000000000003</v>
      </c>
      <c r="AC18" s="30">
        <v>48.677</v>
      </c>
      <c r="AD18" s="33">
        <v>35.07</v>
      </c>
      <c r="AE18" s="30">
        <v>-75.369</v>
      </c>
      <c r="AF18" s="30">
        <v>-33.849000000000004</v>
      </c>
      <c r="AG18" s="30">
        <v>0.21000000000000796</v>
      </c>
      <c r="AH18" s="33">
        <v>-9.9320000000000022</v>
      </c>
      <c r="AI18" s="32">
        <v>108.476</v>
      </c>
      <c r="AJ18" s="30">
        <v>-71.204999999999998</v>
      </c>
      <c r="AK18" s="30">
        <v>-29.465000000000003</v>
      </c>
      <c r="AL18" s="33">
        <v>21.045999999999992</v>
      </c>
      <c r="AM18" s="30">
        <v>28.077000000000002</v>
      </c>
      <c r="AN18" s="30">
        <v>-73.823999999999998</v>
      </c>
      <c r="AO18" s="30">
        <v>-92.982000000000014</v>
      </c>
      <c r="AP18" s="33">
        <v>89.405000000000015</v>
      </c>
      <c r="AQ18" s="30">
        <v>18</v>
      </c>
      <c r="AR18" s="30">
        <v>-59</v>
      </c>
      <c r="AS18" s="30">
        <v>-22</v>
      </c>
      <c r="AT18" s="33">
        <v>31</v>
      </c>
      <c r="AU18" s="30">
        <v>-17</v>
      </c>
      <c r="AV18" s="30">
        <v>-121</v>
      </c>
      <c r="AW18" s="30">
        <v>-190</v>
      </c>
      <c r="AX18" s="33">
        <v>7</v>
      </c>
      <c r="AY18" s="30">
        <v>-150</v>
      </c>
      <c r="AZ18" s="30">
        <v>-237</v>
      </c>
      <c r="BA18" s="30">
        <v>45</v>
      </c>
      <c r="BB18" s="33">
        <v>-98</v>
      </c>
      <c r="BC18" s="968">
        <f>BS!BB10-BS!BC10</f>
        <v>128.86141981556216</v>
      </c>
      <c r="BD18" s="30">
        <f>BS!BC10-BS!BD10</f>
        <v>-91.892025527930628</v>
      </c>
      <c r="BE18" s="67">
        <f>BS!BD10-BS!BE10</f>
        <v>-97.601205119888164</v>
      </c>
      <c r="BF18" s="236">
        <f>BS!BE10-BS!BF10</f>
        <v>-51.190324309149673</v>
      </c>
      <c r="BG18" s="30">
        <f>BS!BF10-BS!BG10</f>
        <v>97.718383559463291</v>
      </c>
      <c r="BH18" s="30">
        <f>BS!BG10-BS!BH10</f>
        <v>-153.18610167026918</v>
      </c>
      <c r="BI18" s="67">
        <f>BS!BH10-BS!BI10</f>
        <v>-116.83040703339429</v>
      </c>
      <c r="BJ18" s="236">
        <f>BS!BI10-BS!BJ10</f>
        <v>-21.743433789772553</v>
      </c>
      <c r="BK18" s="30">
        <f>BS!BJ10-BS!BK10</f>
        <v>101.34918645634662</v>
      </c>
      <c r="BL18" s="30">
        <f>BS!BK10-BS!BL10</f>
        <v>-178.21599019526207</v>
      </c>
      <c r="BM18" s="67">
        <f>BS!BL10-BS!BM10</f>
        <v>-121.57513588953816</v>
      </c>
      <c r="BN18" s="236">
        <f>BS!BM10-BS!BN10</f>
        <v>-34.313628124024717</v>
      </c>
      <c r="BO18" s="195"/>
      <c r="BP18" s="59">
        <f t="shared" si="2"/>
        <v>-21.415000000000006</v>
      </c>
      <c r="BQ18" s="59">
        <f t="shared" si="3"/>
        <v>-175.26100000000002</v>
      </c>
      <c r="BR18" s="59">
        <f t="shared" si="4"/>
        <v>-146.05500000000001</v>
      </c>
      <c r="BS18" s="59">
        <f t="shared" si="5"/>
        <v>348.87299999999999</v>
      </c>
      <c r="BT18" s="59">
        <f t="shared" si="6"/>
        <v>-56.741</v>
      </c>
      <c r="BU18" s="59">
        <f t="shared" si="7"/>
        <v>26.341000000000008</v>
      </c>
      <c r="BV18" s="59">
        <f t="shared" si="8"/>
        <v>26.235999999999997</v>
      </c>
      <c r="BW18" s="59">
        <f t="shared" si="9"/>
        <v>-118.94</v>
      </c>
      <c r="BX18" s="59">
        <f t="shared" si="10"/>
        <v>28.85199999999999</v>
      </c>
      <c r="BY18" s="59">
        <f t="shared" si="17"/>
        <v>-49.323999999999998</v>
      </c>
      <c r="BZ18" s="59">
        <f t="shared" si="11"/>
        <v>-32</v>
      </c>
      <c r="CA18" s="73">
        <f t="shared" si="12"/>
        <v>-321</v>
      </c>
      <c r="CB18" s="73">
        <f t="shared" ref="CB18:CB24" si="18">SUM(AY18:BB18)</f>
        <v>-440</v>
      </c>
      <c r="CC18" s="73">
        <f t="shared" si="14"/>
        <v>-111.82213514140631</v>
      </c>
      <c r="CD18" s="73">
        <f t="shared" si="15"/>
        <v>-194.04155893397274</v>
      </c>
      <c r="CE18" s="73">
        <f t="shared" si="16"/>
        <v>-232.75556775247833</v>
      </c>
      <c r="CF18" s="90"/>
      <c r="CG18" s="102"/>
      <c r="CH18" s="821"/>
      <c r="CJ18" s="88"/>
      <c r="CK18" s="821"/>
      <c r="CL18" s="821"/>
      <c r="CM18" s="821"/>
      <c r="CX18"/>
      <c r="CY18"/>
      <c r="CZ18"/>
      <c r="DA18"/>
      <c r="DB18"/>
      <c r="DC18"/>
    </row>
    <row r="19" spans="2:107" s="5" customFormat="1">
      <c r="B19" s="10" t="s">
        <v>9</v>
      </c>
      <c r="C19" s="32">
        <v>7.7590000000000003</v>
      </c>
      <c r="D19" s="30">
        <v>6.8040000000000003</v>
      </c>
      <c r="E19" s="30">
        <v>16.107999999999997</v>
      </c>
      <c r="F19" s="733">
        <v>30.244999999999997</v>
      </c>
      <c r="G19" s="30">
        <v>-87.957999999999998</v>
      </c>
      <c r="H19" s="30">
        <v>-30.356999999999999</v>
      </c>
      <c r="I19" s="30">
        <v>5.7749999999999915</v>
      </c>
      <c r="J19" s="33">
        <v>21.14500000000001</v>
      </c>
      <c r="K19" s="30">
        <v>22.84</v>
      </c>
      <c r="L19" s="30">
        <v>55.649000000000001</v>
      </c>
      <c r="M19" s="30">
        <v>-29.898999999999997</v>
      </c>
      <c r="N19" s="33">
        <v>-52.28</v>
      </c>
      <c r="O19" s="30">
        <v>-61.149000000000001</v>
      </c>
      <c r="P19" s="30">
        <v>-11.989999999999995</v>
      </c>
      <c r="Q19" s="30">
        <v>-92.014999999999986</v>
      </c>
      <c r="R19" s="33">
        <v>-12.141000000000005</v>
      </c>
      <c r="S19" s="30">
        <v>211.233</v>
      </c>
      <c r="T19" s="30">
        <v>45.331000000000017</v>
      </c>
      <c r="U19" s="30">
        <v>1.1649999999999636</v>
      </c>
      <c r="V19" s="33">
        <v>-53.072999999999979</v>
      </c>
      <c r="W19" s="30">
        <v>-56.816000000000003</v>
      </c>
      <c r="X19" s="30">
        <v>-45.962000000000003</v>
      </c>
      <c r="Y19" s="30">
        <v>56.032000000000004</v>
      </c>
      <c r="Z19" s="33">
        <v>32.618000000000009</v>
      </c>
      <c r="AA19" s="30">
        <v>-35.183</v>
      </c>
      <c r="AB19" s="30">
        <v>33.014000000000003</v>
      </c>
      <c r="AC19" s="30">
        <v>41.916999999999994</v>
      </c>
      <c r="AD19" s="33">
        <v>-20.863999999999997</v>
      </c>
      <c r="AE19" s="30">
        <v>-2.1909999999999998</v>
      </c>
      <c r="AF19" s="30">
        <v>-44.643000000000001</v>
      </c>
      <c r="AG19" s="30">
        <v>-41.543999999999997</v>
      </c>
      <c r="AH19" s="33">
        <v>9.4289999999999985</v>
      </c>
      <c r="AI19" s="32">
        <v>41.51</v>
      </c>
      <c r="AJ19" s="30">
        <v>-6.7879999999999967</v>
      </c>
      <c r="AK19" s="30">
        <v>-2.544000000000004</v>
      </c>
      <c r="AL19" s="33">
        <v>-7.5269999999999939</v>
      </c>
      <c r="AM19" s="30">
        <v>-5.6790000000000003</v>
      </c>
      <c r="AN19" s="30">
        <v>6.1870000000000003</v>
      </c>
      <c r="AO19" s="30">
        <v>-20.383000000000003</v>
      </c>
      <c r="AP19" s="33">
        <v>-75.108999999999995</v>
      </c>
      <c r="AQ19" s="30">
        <v>45</v>
      </c>
      <c r="AR19" s="30">
        <v>-3</v>
      </c>
      <c r="AS19" s="30">
        <v>17</v>
      </c>
      <c r="AT19" s="33">
        <v>7</v>
      </c>
      <c r="AU19" s="30">
        <v>23</v>
      </c>
      <c r="AV19" s="30">
        <v>-127</v>
      </c>
      <c r="AW19" s="30">
        <v>-157</v>
      </c>
      <c r="AX19" s="33">
        <v>-114</v>
      </c>
      <c r="AY19" s="30">
        <v>-27</v>
      </c>
      <c r="AZ19" s="30">
        <v>-34</v>
      </c>
      <c r="BA19" s="30">
        <v>0</v>
      </c>
      <c r="BB19" s="33">
        <v>61</v>
      </c>
      <c r="BC19" s="968">
        <f>BS!BB11-BS!BC11</f>
        <v>-48.573987513259681</v>
      </c>
      <c r="BD19" s="30">
        <f>BS!BC11-BS!BD11</f>
        <v>-80.655221412847141</v>
      </c>
      <c r="BE19" s="67">
        <f>BS!BD11-BS!BE11</f>
        <v>-84.443630841920822</v>
      </c>
      <c r="BF19" s="236">
        <f>BS!BE11-BS!BF11</f>
        <v>-39.943046209014483</v>
      </c>
      <c r="BG19" s="30">
        <f>BS!BF11-BS!BG11</f>
        <v>80.348698301759669</v>
      </c>
      <c r="BH19" s="30">
        <f>BS!BG11-BS!BH11</f>
        <v>-118.81485395001005</v>
      </c>
      <c r="BI19" s="67">
        <f>BS!BH11-BS!BI11</f>
        <v>-93.54340616011973</v>
      </c>
      <c r="BJ19" s="236">
        <f>BS!BI11-BS!BJ11</f>
        <v>-7.9068148943431424</v>
      </c>
      <c r="BK19" s="30">
        <f>BS!BJ11-BS!BK11</f>
        <v>86.487210863436303</v>
      </c>
      <c r="BL19" s="30">
        <f>BS!BK11-BS!BL11</f>
        <v>-136.81131107399142</v>
      </c>
      <c r="BM19" s="67">
        <f>BS!BL11-BS!BM11</f>
        <v>-94.68500348376574</v>
      </c>
      <c r="BN19" s="236">
        <f>BS!BM11-BS!BN11</f>
        <v>-15.226698676426167</v>
      </c>
      <c r="BO19" s="444"/>
      <c r="BP19" s="59">
        <f t="shared" si="2"/>
        <v>60.915999999999997</v>
      </c>
      <c r="BQ19" s="59">
        <f t="shared" si="3"/>
        <v>-91.394999999999996</v>
      </c>
      <c r="BR19" s="59">
        <f t="shared" si="4"/>
        <v>-3.6899999999999977</v>
      </c>
      <c r="BS19" s="59">
        <f t="shared" si="5"/>
        <v>-177.29500000000002</v>
      </c>
      <c r="BT19" s="59">
        <f t="shared" si="6"/>
        <v>204.65600000000001</v>
      </c>
      <c r="BU19" s="59">
        <f t="shared" si="7"/>
        <v>-14.127999999999993</v>
      </c>
      <c r="BV19" s="59">
        <f t="shared" si="8"/>
        <v>18.884</v>
      </c>
      <c r="BW19" s="59">
        <f t="shared" si="9"/>
        <v>-78.948999999999998</v>
      </c>
      <c r="BX19" s="59">
        <f t="shared" si="10"/>
        <v>24.651000000000003</v>
      </c>
      <c r="BY19" s="59">
        <f t="shared" si="17"/>
        <v>-94.983999999999995</v>
      </c>
      <c r="BZ19" s="59">
        <f t="shared" si="11"/>
        <v>66</v>
      </c>
      <c r="CA19" s="73">
        <f t="shared" si="12"/>
        <v>-375</v>
      </c>
      <c r="CB19" s="73">
        <f t="shared" si="18"/>
        <v>0</v>
      </c>
      <c r="CC19" s="73">
        <f t="shared" si="14"/>
        <v>-253.61588597704213</v>
      </c>
      <c r="CD19" s="73">
        <f t="shared" si="15"/>
        <v>-139.91637670271325</v>
      </c>
      <c r="CE19" s="73">
        <f t="shared" si="16"/>
        <v>-160.23580237074702</v>
      </c>
      <c r="CF19" s="90"/>
      <c r="CG19" s="102"/>
      <c r="CH19" s="821"/>
      <c r="CJ19" s="88"/>
      <c r="CK19" s="821"/>
      <c r="CL19" s="821"/>
      <c r="CM19" s="821"/>
      <c r="CX19"/>
      <c r="CY19"/>
      <c r="CZ19"/>
      <c r="DA19"/>
      <c r="DB19"/>
      <c r="DC19"/>
    </row>
    <row r="20" spans="2:107" s="5" customFormat="1">
      <c r="B20" s="10" t="s">
        <v>44</v>
      </c>
      <c r="C20" s="32">
        <v>-2.0499999999999998</v>
      </c>
      <c r="D20" s="30">
        <v>-2.8870000000000005</v>
      </c>
      <c r="E20" s="30">
        <v>0.98100000000000032</v>
      </c>
      <c r="F20" s="733">
        <v>-0.61199999999999921</v>
      </c>
      <c r="G20" s="30">
        <v>-3.3319999999999999</v>
      </c>
      <c r="H20" s="30">
        <v>-5.5509999999999993</v>
      </c>
      <c r="I20" s="30">
        <v>-1.6190000000000015</v>
      </c>
      <c r="J20" s="33">
        <v>5.2080000000000011</v>
      </c>
      <c r="K20" s="30">
        <v>-2.6419999999999999</v>
      </c>
      <c r="L20" s="30">
        <v>1.7999999999999998</v>
      </c>
      <c r="M20" s="30">
        <v>-3.4849999999999999</v>
      </c>
      <c r="N20" s="33">
        <v>-1.9660000000000006</v>
      </c>
      <c r="O20" s="30">
        <v>-0.83099999999999996</v>
      </c>
      <c r="P20" s="30">
        <v>9.9669999999999987</v>
      </c>
      <c r="Q20" s="30">
        <v>2.0690000000000013</v>
      </c>
      <c r="R20" s="33">
        <v>10.322999999999997</v>
      </c>
      <c r="S20" s="30">
        <v>5.4139999999999997</v>
      </c>
      <c r="T20" s="30">
        <v>-19.738999999999997</v>
      </c>
      <c r="U20" s="30">
        <v>22.449999999999996</v>
      </c>
      <c r="V20" s="33">
        <v>-6.5449999999999999</v>
      </c>
      <c r="W20" s="30">
        <v>2.6850000000000001</v>
      </c>
      <c r="X20" s="30">
        <v>-9.02</v>
      </c>
      <c r="Y20" s="30">
        <v>10.132999999999999</v>
      </c>
      <c r="Z20" s="33">
        <v>4.7300000000000004</v>
      </c>
      <c r="AA20" s="30">
        <v>-3.964</v>
      </c>
      <c r="AB20" s="30">
        <v>6.2189999999999994</v>
      </c>
      <c r="AC20" s="30">
        <v>-2.2199999999999993</v>
      </c>
      <c r="AD20" s="33">
        <v>-14.837999999999999</v>
      </c>
      <c r="AE20" s="30">
        <v>-48.1</v>
      </c>
      <c r="AF20" s="30">
        <v>44.188000000000002</v>
      </c>
      <c r="AG20" s="30">
        <v>-12.874000000000002</v>
      </c>
      <c r="AH20" s="33">
        <v>-3.5039999999999978</v>
      </c>
      <c r="AI20" s="32">
        <v>7.367</v>
      </c>
      <c r="AJ20" s="30">
        <v>-12.323</v>
      </c>
      <c r="AK20" s="30">
        <v>0.26900000000000013</v>
      </c>
      <c r="AL20" s="33">
        <v>11.416</v>
      </c>
      <c r="AM20" s="30">
        <v>-0.78200000000000003</v>
      </c>
      <c r="AN20" s="30">
        <v>3.2919999999999998</v>
      </c>
      <c r="AO20" s="30">
        <v>2.5140000000000002</v>
      </c>
      <c r="AP20" s="33">
        <v>-0.59700000000000042</v>
      </c>
      <c r="AQ20" s="30">
        <v>-17</v>
      </c>
      <c r="AR20" s="30">
        <v>4</v>
      </c>
      <c r="AS20" s="30">
        <v>-12</v>
      </c>
      <c r="AT20" s="33">
        <v>9</v>
      </c>
      <c r="AU20" s="30">
        <v>-18</v>
      </c>
      <c r="AV20" s="30">
        <v>1</v>
      </c>
      <c r="AW20" s="30">
        <v>-11</v>
      </c>
      <c r="AX20" s="33">
        <v>10</v>
      </c>
      <c r="AY20" s="30">
        <v>-2</v>
      </c>
      <c r="AZ20" s="30">
        <v>-13</v>
      </c>
      <c r="BA20" s="30">
        <v>-11</v>
      </c>
      <c r="BB20" s="33">
        <v>47</v>
      </c>
      <c r="BC20" s="968">
        <f>BS!BB12-BS!BC12</f>
        <v>-60.074960309427723</v>
      </c>
      <c r="BD20" s="30">
        <f>BS!BC12-BS!BD12</f>
        <v>-11.81468899644824</v>
      </c>
      <c r="BE20" s="67">
        <f>BS!BD12-BS!BE12</f>
        <v>-12.548726372557041</v>
      </c>
      <c r="BF20" s="236">
        <f>BS!BE12-BS!BF12</f>
        <v>-6.5816131254620984</v>
      </c>
      <c r="BG20" s="30">
        <f>BS!BF12-BS!BG12</f>
        <v>12.563792171930999</v>
      </c>
      <c r="BH20" s="30">
        <f>BS!BG12-BS!BH12</f>
        <v>-19.695355929034633</v>
      </c>
      <c r="BI20" s="67">
        <f>BS!BH12-BS!BI12</f>
        <v>-15.021052332864969</v>
      </c>
      <c r="BJ20" s="236">
        <f>BS!BI12-BS!BJ12</f>
        <v>-2.795584344399316</v>
      </c>
      <c r="BK20" s="30">
        <f>BS!BJ12-BS!BK12</f>
        <v>13.030609687244549</v>
      </c>
      <c r="BL20" s="30">
        <f>BS!BK12-BS!BL12</f>
        <v>-22.913484453676517</v>
      </c>
      <c r="BM20" s="67">
        <f>BS!BL12-BS!BM12</f>
        <v>-15.631088900083483</v>
      </c>
      <c r="BN20" s="236">
        <f>BS!BM12-BS!BN12</f>
        <v>-4.4117521873746171</v>
      </c>
      <c r="BO20" s="195"/>
      <c r="BP20" s="59">
        <f t="shared" si="2"/>
        <v>-4.5679999999999996</v>
      </c>
      <c r="BQ20" s="59">
        <f t="shared" si="3"/>
        <v>-5.2939999999999996</v>
      </c>
      <c r="BR20" s="59">
        <f t="shared" si="4"/>
        <v>-6.293000000000001</v>
      </c>
      <c r="BS20" s="59">
        <f t="shared" si="5"/>
        <v>21.527999999999999</v>
      </c>
      <c r="BT20" s="59">
        <f t="shared" si="6"/>
        <v>1.5799999999999983</v>
      </c>
      <c r="BU20" s="59">
        <f t="shared" si="7"/>
        <v>8.5280000000000005</v>
      </c>
      <c r="BV20" s="59">
        <f t="shared" si="8"/>
        <v>-14.802999999999999</v>
      </c>
      <c r="BW20" s="59">
        <f t="shared" si="9"/>
        <v>-20.29</v>
      </c>
      <c r="BX20" s="59">
        <f t="shared" si="10"/>
        <v>6.7290000000000001</v>
      </c>
      <c r="BY20" s="59">
        <f t="shared" si="17"/>
        <v>4.4269999999999996</v>
      </c>
      <c r="BZ20" s="59">
        <f t="shared" si="11"/>
        <v>-16</v>
      </c>
      <c r="CA20" s="73">
        <f t="shared" si="12"/>
        <v>-18</v>
      </c>
      <c r="CB20" s="73">
        <f t="shared" si="18"/>
        <v>21</v>
      </c>
      <c r="CC20" s="73">
        <f t="shared" si="14"/>
        <v>-91.019988803895103</v>
      </c>
      <c r="CD20" s="73">
        <f t="shared" si="15"/>
        <v>-24.948200434367919</v>
      </c>
      <c r="CE20" s="73">
        <f t="shared" si="16"/>
        <v>-29.925715853890068</v>
      </c>
      <c r="CF20" s="90"/>
      <c r="CG20" s="102"/>
      <c r="CH20" s="821"/>
      <c r="CJ20" s="88"/>
      <c r="CK20" s="821"/>
      <c r="CL20" s="821"/>
      <c r="CM20" s="821"/>
      <c r="CX20"/>
      <c r="CY20"/>
      <c r="CZ20"/>
      <c r="DA20"/>
      <c r="DB20"/>
      <c r="DC20"/>
    </row>
    <row r="21" spans="2:107" s="5" customFormat="1">
      <c r="B21" s="10" t="s">
        <v>45</v>
      </c>
      <c r="C21" s="32">
        <v>-1.6439999999999999</v>
      </c>
      <c r="D21" s="30">
        <v>-5.2989999999999995</v>
      </c>
      <c r="E21" s="30">
        <v>0.94799999999999929</v>
      </c>
      <c r="F21" s="733">
        <v>-2.0779999999999994</v>
      </c>
      <c r="G21" s="30">
        <v>-3.4060000000000001</v>
      </c>
      <c r="H21" s="30">
        <v>-0.99299999999999988</v>
      </c>
      <c r="I21" s="30">
        <v>-9.270999999999999</v>
      </c>
      <c r="J21" s="33">
        <v>20.983999999999998</v>
      </c>
      <c r="K21" s="30">
        <v>1.3759999999999999</v>
      </c>
      <c r="L21" s="30">
        <v>1.0609999999999999</v>
      </c>
      <c r="M21" s="30">
        <v>0.75600000000000023</v>
      </c>
      <c r="N21" s="33">
        <v>-17.106999999999999</v>
      </c>
      <c r="O21" s="30">
        <v>-2.258</v>
      </c>
      <c r="P21" s="30">
        <v>1.7669999999999999</v>
      </c>
      <c r="Q21" s="30">
        <v>-1.5389999999999997</v>
      </c>
      <c r="R21" s="33">
        <v>-7.8000000000000291E-2</v>
      </c>
      <c r="S21" s="30">
        <v>-4.9690000000000003</v>
      </c>
      <c r="T21" s="30">
        <v>2.1450000000000005</v>
      </c>
      <c r="U21" s="30">
        <v>0.16699999999999982</v>
      </c>
      <c r="V21" s="33">
        <v>6.5140000000000002</v>
      </c>
      <c r="W21" s="30">
        <v>1.0609999999999999</v>
      </c>
      <c r="X21" s="30">
        <v>-0.97499999999999998</v>
      </c>
      <c r="Y21" s="30">
        <v>4.7779999999999996</v>
      </c>
      <c r="Z21" s="33">
        <v>-0.53299999999999914</v>
      </c>
      <c r="AA21" s="30">
        <v>3.226</v>
      </c>
      <c r="AB21" s="30">
        <v>-4.218</v>
      </c>
      <c r="AC21" s="30">
        <v>-2</v>
      </c>
      <c r="AD21" s="33">
        <v>-67.701999999999998</v>
      </c>
      <c r="AE21" s="30">
        <v>-1.8819999999999999</v>
      </c>
      <c r="AF21" s="30">
        <v>2.3759999999999999</v>
      </c>
      <c r="AG21" s="30">
        <v>4.29</v>
      </c>
      <c r="AH21" s="33">
        <v>3.7830000000000004</v>
      </c>
      <c r="AI21" s="32">
        <v>1.806</v>
      </c>
      <c r="AJ21" s="30">
        <v>2.6390000000000002</v>
      </c>
      <c r="AK21" s="30">
        <v>3.1399999999999997</v>
      </c>
      <c r="AL21" s="33">
        <v>-2.7619999999999996</v>
      </c>
      <c r="AM21" s="30">
        <v>0.22900000000000001</v>
      </c>
      <c r="AN21" s="30">
        <v>0.79900000000000004</v>
      </c>
      <c r="AO21" s="30">
        <v>-1.028</v>
      </c>
      <c r="AP21" s="33">
        <v>0</v>
      </c>
      <c r="AQ21" s="30">
        <v>0</v>
      </c>
      <c r="AR21" s="30">
        <v>0</v>
      </c>
      <c r="AS21" s="30">
        <v>0</v>
      </c>
      <c r="AT21" s="33">
        <v>0</v>
      </c>
      <c r="AU21" s="30">
        <v>0</v>
      </c>
      <c r="AV21" s="30">
        <v>0</v>
      </c>
      <c r="AW21" s="30">
        <v>0</v>
      </c>
      <c r="AX21" s="33">
        <v>0</v>
      </c>
      <c r="AY21" s="30">
        <v>0</v>
      </c>
      <c r="AZ21" s="30">
        <v>0</v>
      </c>
      <c r="BA21" s="30">
        <v>0</v>
      </c>
      <c r="BB21" s="33">
        <v>0</v>
      </c>
      <c r="BC21" s="968"/>
      <c r="BD21" s="30"/>
      <c r="BE21" s="67"/>
      <c r="BF21" s="236"/>
      <c r="BG21" s="30"/>
      <c r="BH21" s="30"/>
      <c r="BI21" s="67"/>
      <c r="BJ21" s="236"/>
      <c r="BK21" s="30"/>
      <c r="BL21" s="30"/>
      <c r="BM21" s="67"/>
      <c r="BN21" s="236"/>
      <c r="BO21" s="195"/>
      <c r="BP21" s="59">
        <f t="shared" si="2"/>
        <v>-8.0730000000000004</v>
      </c>
      <c r="BQ21" s="59">
        <f t="shared" si="3"/>
        <v>7.3140000000000001</v>
      </c>
      <c r="BR21" s="59">
        <f t="shared" si="4"/>
        <v>-13.914</v>
      </c>
      <c r="BS21" s="59">
        <f t="shared" si="5"/>
        <v>-2.1080000000000001</v>
      </c>
      <c r="BT21" s="59">
        <f t="shared" si="6"/>
        <v>3.8570000000000002</v>
      </c>
      <c r="BU21" s="59">
        <f t="shared" si="7"/>
        <v>4.3310000000000004</v>
      </c>
      <c r="BV21" s="59">
        <f t="shared" si="8"/>
        <v>-70.694000000000003</v>
      </c>
      <c r="BW21" s="59">
        <f t="shared" si="9"/>
        <v>8.5670000000000002</v>
      </c>
      <c r="BX21" s="59">
        <f t="shared" si="10"/>
        <v>4.8230000000000004</v>
      </c>
      <c r="BY21" s="59">
        <f t="shared" si="17"/>
        <v>0</v>
      </c>
      <c r="BZ21" s="59">
        <f t="shared" si="11"/>
        <v>0</v>
      </c>
      <c r="CA21" s="73">
        <f t="shared" si="12"/>
        <v>0</v>
      </c>
      <c r="CB21" s="73">
        <f t="shared" si="18"/>
        <v>0</v>
      </c>
      <c r="CC21" s="73">
        <f t="shared" si="14"/>
        <v>0</v>
      </c>
      <c r="CD21" s="73">
        <f t="shared" si="15"/>
        <v>0</v>
      </c>
      <c r="CE21" s="73">
        <f t="shared" si="16"/>
        <v>0</v>
      </c>
      <c r="CF21" s="90"/>
      <c r="CG21" s="102"/>
      <c r="CH21" s="821"/>
      <c r="CJ21" s="88"/>
      <c r="CK21" s="821"/>
      <c r="CL21" s="821"/>
      <c r="CM21" s="821"/>
      <c r="CX21"/>
      <c r="CY21"/>
      <c r="CZ21"/>
      <c r="DA21"/>
      <c r="DB21"/>
      <c r="DC21"/>
    </row>
    <row r="22" spans="2:107" s="5" customFormat="1">
      <c r="B22" s="10" t="s">
        <v>18</v>
      </c>
      <c r="C22" s="32">
        <v>-56.076999999999998</v>
      </c>
      <c r="D22" s="30">
        <v>38.900999999999996</v>
      </c>
      <c r="E22" s="30">
        <v>-45.317999999999998</v>
      </c>
      <c r="F22" s="733">
        <v>3.6659999999999968</v>
      </c>
      <c r="G22" s="30">
        <v>107.729</v>
      </c>
      <c r="H22" s="30">
        <v>-75.221000000000004</v>
      </c>
      <c r="I22" s="30">
        <v>50.064999999999984</v>
      </c>
      <c r="J22" s="33">
        <v>-43.95999999999998</v>
      </c>
      <c r="K22" s="30">
        <v>61.344000000000001</v>
      </c>
      <c r="L22" s="30">
        <v>-10.658999999999999</v>
      </c>
      <c r="M22" s="30">
        <v>124.411</v>
      </c>
      <c r="N22" s="33">
        <v>41.778999999999989</v>
      </c>
      <c r="O22" s="30">
        <v>-68.608000000000004</v>
      </c>
      <c r="P22" s="30">
        <v>-19.122</v>
      </c>
      <c r="Q22" s="30">
        <v>-26.561999999999998</v>
      </c>
      <c r="R22" s="33">
        <v>-168.91499999999996</v>
      </c>
      <c r="S22" s="30">
        <v>7.25</v>
      </c>
      <c r="T22" s="30">
        <v>49.235999999999997</v>
      </c>
      <c r="U22" s="30">
        <v>40.101999999999997</v>
      </c>
      <c r="V22" s="33">
        <v>22.778000000000013</v>
      </c>
      <c r="W22" s="30">
        <v>16.821999999999999</v>
      </c>
      <c r="X22" s="30">
        <v>-84.308000000000007</v>
      </c>
      <c r="Y22" s="30">
        <v>45.618000000000009</v>
      </c>
      <c r="Z22" s="33">
        <v>-47.918000000000006</v>
      </c>
      <c r="AA22" s="30">
        <v>53.74</v>
      </c>
      <c r="AB22" s="30">
        <v>-62.106000000000002</v>
      </c>
      <c r="AC22" s="30">
        <v>17.583999999999996</v>
      </c>
      <c r="AD22" s="33">
        <v>26.490000000000002</v>
      </c>
      <c r="AE22" s="30">
        <v>33.515999999999998</v>
      </c>
      <c r="AF22" s="30">
        <v>32.130000000000003</v>
      </c>
      <c r="AG22" s="30">
        <v>-16.547000000000004</v>
      </c>
      <c r="AH22" s="33">
        <v>-38.213999999999999</v>
      </c>
      <c r="AI22" s="32">
        <v>-53.100999999999999</v>
      </c>
      <c r="AJ22" s="30">
        <v>16.649000000000001</v>
      </c>
      <c r="AK22" s="30">
        <v>-1.9239999999999995</v>
      </c>
      <c r="AL22" s="33">
        <v>17.994</v>
      </c>
      <c r="AM22" s="30">
        <v>-14.88</v>
      </c>
      <c r="AN22" s="30">
        <v>-48.768000000000001</v>
      </c>
      <c r="AO22" s="30">
        <v>73.474999999999994</v>
      </c>
      <c r="AP22" s="33">
        <v>-36.721999999999987</v>
      </c>
      <c r="AQ22" s="30">
        <v>-67</v>
      </c>
      <c r="AR22" s="30">
        <v>54</v>
      </c>
      <c r="AS22" s="30">
        <v>20</v>
      </c>
      <c r="AT22" s="33">
        <v>-18</v>
      </c>
      <c r="AU22" s="30">
        <v>32</v>
      </c>
      <c r="AV22" s="30">
        <v>99</v>
      </c>
      <c r="AW22" s="30">
        <v>87</v>
      </c>
      <c r="AX22" s="33">
        <v>-34</v>
      </c>
      <c r="AY22" s="30">
        <v>-133</v>
      </c>
      <c r="AZ22" s="30">
        <v>70</v>
      </c>
      <c r="BA22" s="30">
        <v>90</v>
      </c>
      <c r="BB22" s="33">
        <v>63</v>
      </c>
      <c r="BC22" s="968">
        <f>BS!BC22-BS!BB22</f>
        <v>-12.950467307448548</v>
      </c>
      <c r="BD22" s="30">
        <f>BS!BD22-BS!BC22</f>
        <v>55.680129685780116</v>
      </c>
      <c r="BE22" s="67">
        <f>BS!BE22-BS!BD22</f>
        <v>58.295448627550059</v>
      </c>
      <c r="BF22" s="236">
        <f>BS!BF22-BS!BE22</f>
        <v>27.574581707226912</v>
      </c>
      <c r="BG22" s="30">
        <f>BS!BG22-BS!BF22</f>
        <v>-55.468522225307424</v>
      </c>
      <c r="BH22" s="30">
        <f>BS!BH22-BS!BG22</f>
        <v>82.023536240393014</v>
      </c>
      <c r="BI22" s="67">
        <f>BS!BI22-BS!BH22</f>
        <v>64.577455681194579</v>
      </c>
      <c r="BJ22" s="236">
        <f>BS!BJ22-BS!BI22</f>
        <v>5.4584498189518627</v>
      </c>
      <c r="BK22" s="30">
        <f>BS!BK22-BS!BJ22</f>
        <v>-59.706228966727394</v>
      </c>
      <c r="BL22" s="30">
        <f>BS!BL22-BS!BK22</f>
        <v>94.447345251079923</v>
      </c>
      <c r="BM22" s="67">
        <f>BS!BM22-BS!BL22</f>
        <v>65.365554528561006</v>
      </c>
      <c r="BN22" s="236">
        <f>BS!BN22-BS!BM22</f>
        <v>10.511713217548277</v>
      </c>
      <c r="BO22" s="195"/>
      <c r="BP22" s="59">
        <f t="shared" si="2"/>
        <v>-58.828000000000003</v>
      </c>
      <c r="BQ22" s="59">
        <f t="shared" si="3"/>
        <v>38.613</v>
      </c>
      <c r="BR22" s="59">
        <f t="shared" si="4"/>
        <v>216.875</v>
      </c>
      <c r="BS22" s="59">
        <f t="shared" si="5"/>
        <v>-283.20699999999999</v>
      </c>
      <c r="BT22" s="59">
        <f t="shared" si="6"/>
        <v>119.36600000000001</v>
      </c>
      <c r="BU22" s="59">
        <f t="shared" si="7"/>
        <v>-69.786000000000001</v>
      </c>
      <c r="BV22" s="59">
        <f t="shared" si="8"/>
        <v>35.707999999999998</v>
      </c>
      <c r="BW22" s="59">
        <f t="shared" si="9"/>
        <v>10.884999999999998</v>
      </c>
      <c r="BX22" s="59">
        <f t="shared" si="10"/>
        <v>-20.381999999999998</v>
      </c>
      <c r="BY22" s="59">
        <f t="shared" si="17"/>
        <v>-26.894999999999996</v>
      </c>
      <c r="BZ22" s="59">
        <f t="shared" si="11"/>
        <v>-11</v>
      </c>
      <c r="CA22" s="73">
        <f t="shared" si="12"/>
        <v>184</v>
      </c>
      <c r="CB22" s="73">
        <f t="shared" si="18"/>
        <v>90</v>
      </c>
      <c r="CC22" s="73">
        <f t="shared" si="14"/>
        <v>128.59969271310854</v>
      </c>
      <c r="CD22" s="73">
        <f t="shared" si="15"/>
        <v>96.590919515232031</v>
      </c>
      <c r="CE22" s="73">
        <f t="shared" si="16"/>
        <v>110.61838403046181</v>
      </c>
      <c r="CF22" s="90"/>
      <c r="CG22" s="102"/>
      <c r="CH22" s="821"/>
      <c r="CJ22" s="88"/>
      <c r="CK22" s="821"/>
      <c r="CL22" s="821"/>
      <c r="CM22" s="821"/>
      <c r="CX22"/>
      <c r="CY22"/>
      <c r="CZ22"/>
      <c r="DA22"/>
      <c r="DB22"/>
      <c r="DC22"/>
    </row>
    <row r="23" spans="2:107" s="5" customFormat="1">
      <c r="B23" s="10" t="s">
        <v>59</v>
      </c>
      <c r="C23" s="32">
        <v>2.8759999999999999</v>
      </c>
      <c r="D23" s="30">
        <v>3.4449999999999998</v>
      </c>
      <c r="E23" s="30">
        <v>27.193000000000001</v>
      </c>
      <c r="F23" s="733">
        <v>15.242999999999997</v>
      </c>
      <c r="G23" s="30">
        <v>-30.645</v>
      </c>
      <c r="H23" s="30">
        <v>38.304000000000002</v>
      </c>
      <c r="I23" s="30">
        <v>72.216999999999985</v>
      </c>
      <c r="J23" s="33">
        <v>15.023000000000017</v>
      </c>
      <c r="K23" s="30">
        <v>-26.233000000000001</v>
      </c>
      <c r="L23" s="30">
        <v>47.57</v>
      </c>
      <c r="M23" s="30">
        <v>52.739999999999995</v>
      </c>
      <c r="N23" s="33">
        <v>48.948999999999998</v>
      </c>
      <c r="O23" s="30">
        <v>-25.466000000000001</v>
      </c>
      <c r="P23" s="30">
        <v>209.29000000000002</v>
      </c>
      <c r="Q23" s="30">
        <v>-70.945000000000022</v>
      </c>
      <c r="R23" s="33">
        <v>-54.002999999999993</v>
      </c>
      <c r="S23" s="30">
        <v>-88.552000000000007</v>
      </c>
      <c r="T23" s="30">
        <v>141.28399999999999</v>
      </c>
      <c r="U23" s="30">
        <v>-60.179999999999993</v>
      </c>
      <c r="V23" s="33">
        <v>-128.85499999999996</v>
      </c>
      <c r="W23" s="30">
        <v>-40.427999999999997</v>
      </c>
      <c r="X23" s="30">
        <v>136.274</v>
      </c>
      <c r="Y23" s="30">
        <v>-72.489000000000004</v>
      </c>
      <c r="Z23" s="33">
        <v>173.05600000000004</v>
      </c>
      <c r="AA23" s="30">
        <v>-63.127000000000002</v>
      </c>
      <c r="AB23" s="30">
        <v>-76.028999999999996</v>
      </c>
      <c r="AC23" s="30">
        <v>-92.901999999999987</v>
      </c>
      <c r="AD23" s="33">
        <v>238.87599999999998</v>
      </c>
      <c r="AE23" s="30">
        <v>-66.084999999999994</v>
      </c>
      <c r="AF23" s="30">
        <v>-34.539000000000001</v>
      </c>
      <c r="AG23" s="30">
        <v>-80.23</v>
      </c>
      <c r="AH23" s="33">
        <v>267.25899999999996</v>
      </c>
      <c r="AI23" s="32">
        <v>-93.245000000000005</v>
      </c>
      <c r="AJ23" s="30">
        <v>-22.277000000000001</v>
      </c>
      <c r="AK23" s="30">
        <v>-27.505999999999986</v>
      </c>
      <c r="AL23" s="33">
        <v>110.59199999999998</v>
      </c>
      <c r="AM23" s="30">
        <v>-97.641000000000005</v>
      </c>
      <c r="AN23" s="30">
        <v>-43.809999999999988</v>
      </c>
      <c r="AO23" s="30">
        <v>-43.779000000000011</v>
      </c>
      <c r="AP23" s="33">
        <v>149.47900000000001</v>
      </c>
      <c r="AQ23" s="30">
        <v>1</v>
      </c>
      <c r="AR23" s="30">
        <v>-36</v>
      </c>
      <c r="AS23" s="30">
        <v>-151</v>
      </c>
      <c r="AT23" s="33">
        <v>128</v>
      </c>
      <c r="AU23" s="30">
        <v>-38</v>
      </c>
      <c r="AV23" s="30">
        <v>-59</v>
      </c>
      <c r="AW23" s="30">
        <v>-68</v>
      </c>
      <c r="AX23" s="33">
        <v>16</v>
      </c>
      <c r="AY23" s="30">
        <v>-79</v>
      </c>
      <c r="AZ23" s="30">
        <v>104</v>
      </c>
      <c r="BA23" s="30">
        <v>-10</v>
      </c>
      <c r="BB23" s="33">
        <v>499</v>
      </c>
      <c r="BC23" s="30">
        <f>BS!BC23-BS!BB23</f>
        <v>0</v>
      </c>
      <c r="BD23" s="30">
        <f>BS!BD23-BS!BC23</f>
        <v>0</v>
      </c>
      <c r="BE23" s="67">
        <f>BS!BE23-BS!BD23</f>
        <v>0</v>
      </c>
      <c r="BF23" s="236">
        <f>BS!BF23-BS!BE23</f>
        <v>0</v>
      </c>
      <c r="BG23" s="30">
        <f>BS!BG23-BS!BF23</f>
        <v>0</v>
      </c>
      <c r="BH23" s="30">
        <f>BS!BH23-BS!BG23</f>
        <v>0</v>
      </c>
      <c r="BI23" s="67">
        <f>BS!BI23-BS!BH23</f>
        <v>0</v>
      </c>
      <c r="BJ23" s="236">
        <f>BS!BJ23-BS!BI23</f>
        <v>0</v>
      </c>
      <c r="BK23" s="30">
        <f>BS!BK23-BS!BJ23</f>
        <v>0</v>
      </c>
      <c r="BL23" s="30">
        <f>BS!BL23-BS!BK23</f>
        <v>0</v>
      </c>
      <c r="BM23" s="67">
        <f>BS!BM23-BS!BL23</f>
        <v>0</v>
      </c>
      <c r="BN23" s="236">
        <f>BS!BN23-BS!BM23</f>
        <v>0</v>
      </c>
      <c r="BO23" s="195"/>
      <c r="BP23" s="59">
        <f t="shared" si="2"/>
        <v>48.756999999999998</v>
      </c>
      <c r="BQ23" s="59">
        <f t="shared" si="3"/>
        <v>94.899000000000001</v>
      </c>
      <c r="BR23" s="59">
        <f t="shared" si="4"/>
        <v>123.026</v>
      </c>
      <c r="BS23" s="59">
        <f t="shared" si="5"/>
        <v>58.875999999999998</v>
      </c>
      <c r="BT23" s="59">
        <f t="shared" si="6"/>
        <v>-136.30299999999997</v>
      </c>
      <c r="BU23" s="59">
        <f t="shared" si="7"/>
        <v>196.41300000000004</v>
      </c>
      <c r="BV23" s="59">
        <f t="shared" si="8"/>
        <v>6.8179999999999836</v>
      </c>
      <c r="BW23" s="59">
        <f t="shared" si="9"/>
        <v>86.404999999999973</v>
      </c>
      <c r="BX23" s="59">
        <f t="shared" si="10"/>
        <v>-32.436000000000007</v>
      </c>
      <c r="BY23" s="59">
        <f t="shared" si="17"/>
        <v>-35.751000000000005</v>
      </c>
      <c r="BZ23" s="59">
        <f t="shared" si="11"/>
        <v>-58</v>
      </c>
      <c r="CA23" s="73">
        <f t="shared" si="12"/>
        <v>-149</v>
      </c>
      <c r="CB23" s="73">
        <f t="shared" si="18"/>
        <v>514</v>
      </c>
      <c r="CC23" s="73">
        <f t="shared" si="14"/>
        <v>0</v>
      </c>
      <c r="CD23" s="73">
        <f t="shared" si="15"/>
        <v>0</v>
      </c>
      <c r="CE23" s="73">
        <f t="shared" si="16"/>
        <v>0</v>
      </c>
      <c r="CF23" s="90"/>
      <c r="CG23" s="102"/>
      <c r="CH23" s="821"/>
      <c r="CJ23" s="88"/>
      <c r="CK23" s="821"/>
      <c r="CL23" s="821"/>
      <c r="CM23" s="821"/>
      <c r="CX23"/>
      <c r="CY23"/>
      <c r="CZ23"/>
      <c r="DA23"/>
      <c r="DB23"/>
      <c r="DC23"/>
    </row>
    <row r="24" spans="2:107" s="5" customFormat="1">
      <c r="B24" s="276" t="s">
        <v>46</v>
      </c>
      <c r="C24" s="277">
        <v>89.579000000000022</v>
      </c>
      <c r="D24" s="278">
        <v>46.269000000000005</v>
      </c>
      <c r="E24" s="278">
        <v>84.098999999999975</v>
      </c>
      <c r="F24" s="731">
        <v>226.4610000000001</v>
      </c>
      <c r="G24" s="278">
        <v>50.396000000000001</v>
      </c>
      <c r="H24" s="278">
        <v>17.861999999999988</v>
      </c>
      <c r="I24" s="278">
        <v>289.31799999999998</v>
      </c>
      <c r="J24" s="279">
        <v>216.66900000000021</v>
      </c>
      <c r="K24" s="278">
        <v>295.19799999999998</v>
      </c>
      <c r="L24" s="278">
        <v>321.67900000000003</v>
      </c>
      <c r="M24" s="278">
        <v>400.84800000000001</v>
      </c>
      <c r="N24" s="279">
        <v>252.47099999999983</v>
      </c>
      <c r="O24" s="278">
        <v>145.24499999999992</v>
      </c>
      <c r="P24" s="278">
        <v>80.957000000000079</v>
      </c>
      <c r="Q24" s="278">
        <v>43.002999999999943</v>
      </c>
      <c r="R24" s="279">
        <v>-19.845000000000425</v>
      </c>
      <c r="S24" s="278">
        <v>142.1279999999999</v>
      </c>
      <c r="T24" s="278">
        <v>135.11699999999999</v>
      </c>
      <c r="U24" s="278">
        <v>141.31699999999998</v>
      </c>
      <c r="V24" s="279">
        <v>69.245000000000374</v>
      </c>
      <c r="W24" s="278">
        <v>-5.3970000000000198</v>
      </c>
      <c r="X24" s="278">
        <v>34.343999999999852</v>
      </c>
      <c r="Y24" s="278">
        <v>212.17700000000002</v>
      </c>
      <c r="Z24" s="279">
        <v>434.67299999999977</v>
      </c>
      <c r="AA24" s="278">
        <v>172.2</v>
      </c>
      <c r="AB24" s="278">
        <v>82.0210000000001</v>
      </c>
      <c r="AC24" s="278">
        <v>244.41700000000012</v>
      </c>
      <c r="AD24" s="279">
        <v>410.51799999999992</v>
      </c>
      <c r="AE24" s="278">
        <v>-9.2080000000000002</v>
      </c>
      <c r="AF24" s="278">
        <v>200.886</v>
      </c>
      <c r="AG24" s="278">
        <v>181.48500000000001</v>
      </c>
      <c r="AH24" s="279">
        <v>451.00900000000007</v>
      </c>
      <c r="AI24" s="277">
        <v>175.65</v>
      </c>
      <c r="AJ24" s="278">
        <v>96.469000000000023</v>
      </c>
      <c r="AK24" s="278">
        <v>162.31500000000003</v>
      </c>
      <c r="AL24" s="279">
        <v>400.71199999999988</v>
      </c>
      <c r="AM24" s="278">
        <v>151.02199999999999</v>
      </c>
      <c r="AN24" s="278">
        <v>96.282000000000011</v>
      </c>
      <c r="AO24" s="278">
        <v>215.62299999999999</v>
      </c>
      <c r="AP24" s="279">
        <v>442.72899999999987</v>
      </c>
      <c r="AQ24" s="278">
        <v>246</v>
      </c>
      <c r="AR24" s="278">
        <v>163</v>
      </c>
      <c r="AS24" s="278">
        <v>255</v>
      </c>
      <c r="AT24" s="279">
        <v>511</v>
      </c>
      <c r="AU24" s="278">
        <v>309</v>
      </c>
      <c r="AV24" s="278">
        <v>184</v>
      </c>
      <c r="AW24" s="278">
        <v>458</v>
      </c>
      <c r="AX24" s="279">
        <v>721</v>
      </c>
      <c r="AY24" s="278">
        <v>282</v>
      </c>
      <c r="AZ24" s="278">
        <v>705</v>
      </c>
      <c r="BA24" s="278">
        <v>1157</v>
      </c>
      <c r="BB24" s="279">
        <v>1358</v>
      </c>
      <c r="BC24" s="966">
        <f t="shared" ref="BC24:BJ24" si="19">SUM(BC8:BC23)</f>
        <v>1132.829938812863</v>
      </c>
      <c r="BD24" s="966">
        <f t="shared" si="19"/>
        <v>1093.2108818929269</v>
      </c>
      <c r="BE24" s="966">
        <f t="shared" si="19"/>
        <v>1189.9252108335127</v>
      </c>
      <c r="BF24" s="253">
        <f t="shared" si="19"/>
        <v>1304.9807463225347</v>
      </c>
      <c r="BG24" s="966">
        <f t="shared" si="19"/>
        <v>1367.7927861100218</v>
      </c>
      <c r="BH24" s="966">
        <f t="shared" si="19"/>
        <v>1222.9134028145165</v>
      </c>
      <c r="BI24" s="966">
        <f t="shared" si="19"/>
        <v>1417.9913798697032</v>
      </c>
      <c r="BJ24" s="253">
        <f t="shared" si="19"/>
        <v>1579.5016909547217</v>
      </c>
      <c r="BK24" s="966">
        <f t="shared" ref="BK24:BN24" si="20">SUM(BK8:BK23)</f>
        <v>1611.852906672746</v>
      </c>
      <c r="BL24" s="966">
        <f t="shared" si="20"/>
        <v>1466.2774093778351</v>
      </c>
      <c r="BM24" s="966">
        <f t="shared" si="20"/>
        <v>1701.4557480781484</v>
      </c>
      <c r="BN24" s="253">
        <f t="shared" si="20"/>
        <v>1876.8710536043002</v>
      </c>
      <c r="BO24" s="444"/>
      <c r="BP24" s="105">
        <f t="shared" si="2"/>
        <v>446.40800000000013</v>
      </c>
      <c r="BQ24" s="105">
        <f t="shared" si="3"/>
        <v>574.24500000000012</v>
      </c>
      <c r="BR24" s="105">
        <f t="shared" si="4"/>
        <v>1270.1959999999997</v>
      </c>
      <c r="BS24" s="105">
        <f t="shared" si="5"/>
        <v>249.3599999999995</v>
      </c>
      <c r="BT24" s="105">
        <f t="shared" si="6"/>
        <v>487.80700000000024</v>
      </c>
      <c r="BU24" s="105">
        <f t="shared" si="7"/>
        <v>675.79699999999957</v>
      </c>
      <c r="BV24" s="105">
        <f t="shared" si="8"/>
        <v>909.15600000000018</v>
      </c>
      <c r="BW24" s="105">
        <f t="shared" si="9"/>
        <v>824.17200000000003</v>
      </c>
      <c r="BX24" s="105">
        <f t="shared" si="10"/>
        <v>835.14599999999996</v>
      </c>
      <c r="BY24" s="105">
        <f t="shared" si="17"/>
        <v>905.65599999999995</v>
      </c>
      <c r="BZ24" s="105">
        <f t="shared" si="11"/>
        <v>1175</v>
      </c>
      <c r="CA24" s="280">
        <f t="shared" si="12"/>
        <v>1672</v>
      </c>
      <c r="CB24" s="280">
        <f t="shared" si="18"/>
        <v>3502</v>
      </c>
      <c r="CC24" s="280">
        <f t="shared" si="14"/>
        <v>4720.9467778618373</v>
      </c>
      <c r="CD24" s="280">
        <f t="shared" si="15"/>
        <v>5588.1992597489625</v>
      </c>
      <c r="CE24" s="280">
        <f t="shared" si="16"/>
        <v>6656.4571177330299</v>
      </c>
      <c r="CF24" s="90"/>
      <c r="CG24" s="102"/>
      <c r="CH24" s="90"/>
      <c r="CJ24" s="88"/>
      <c r="CK24" s="821"/>
      <c r="CL24" s="821"/>
      <c r="CM24" s="821"/>
      <c r="CX24"/>
      <c r="CY24"/>
      <c r="CZ24"/>
      <c r="DA24"/>
      <c r="DB24"/>
      <c r="DC24"/>
    </row>
    <row r="25" spans="2:107">
      <c r="AI25" s="203"/>
      <c r="BE25" s="426"/>
      <c r="BF25" s="447"/>
      <c r="BI25" s="426"/>
      <c r="BJ25" s="447"/>
      <c r="BM25" s="426"/>
      <c r="BN25" s="447"/>
      <c r="BO25" s="195"/>
      <c r="BZ25" s="115"/>
      <c r="CF25" s="90"/>
      <c r="CG25" s="102"/>
      <c r="CJ25" s="426"/>
    </row>
    <row r="26" spans="2:107" s="5" customFormat="1">
      <c r="B26" s="11" t="s">
        <v>47</v>
      </c>
      <c r="C26" s="32"/>
      <c r="D26" s="30"/>
      <c r="E26" s="30"/>
      <c r="F26" s="33"/>
      <c r="G26" s="30"/>
      <c r="H26" s="30"/>
      <c r="I26" s="30"/>
      <c r="J26" s="33"/>
      <c r="K26" s="30"/>
      <c r="L26" s="30"/>
      <c r="M26" s="30"/>
      <c r="N26" s="33"/>
      <c r="O26" s="30"/>
      <c r="P26" s="30"/>
      <c r="Q26" s="30"/>
      <c r="R26" s="33"/>
      <c r="S26" s="30"/>
      <c r="T26" s="30"/>
      <c r="U26" s="30"/>
      <c r="V26" s="33"/>
      <c r="W26" s="30"/>
      <c r="X26" s="30"/>
      <c r="Y26" s="30"/>
      <c r="Z26" s="33"/>
      <c r="AA26" s="30"/>
      <c r="AB26" s="30"/>
      <c r="AC26" s="30"/>
      <c r="AD26" s="33"/>
      <c r="AE26" s="30"/>
      <c r="AF26" s="30"/>
      <c r="AG26" s="30"/>
      <c r="AH26" s="33"/>
      <c r="AI26" s="32"/>
      <c r="AJ26" s="30"/>
      <c r="AK26" s="53"/>
      <c r="AL26" s="33"/>
      <c r="AM26" s="30"/>
      <c r="AN26" s="30"/>
      <c r="AO26" s="53"/>
      <c r="AP26" s="33"/>
      <c r="AQ26" s="30"/>
      <c r="AR26" s="30"/>
      <c r="AS26" s="30"/>
      <c r="AT26" s="33"/>
      <c r="AU26" s="30"/>
      <c r="AV26" s="30"/>
      <c r="AW26" s="30"/>
      <c r="AX26" s="33"/>
      <c r="AY26" s="30"/>
      <c r="AZ26" s="30"/>
      <c r="BA26" s="30"/>
      <c r="BB26" s="33"/>
      <c r="BC26" s="30"/>
      <c r="BD26" s="30"/>
      <c r="BE26" s="53"/>
      <c r="BF26" s="282"/>
      <c r="BG26" s="30"/>
      <c r="BH26" s="30"/>
      <c r="BI26" s="53"/>
      <c r="BJ26" s="282"/>
      <c r="BK26" s="30"/>
      <c r="BL26" s="30"/>
      <c r="BM26" s="53"/>
      <c r="BN26" s="282"/>
      <c r="BO26" s="195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C26" s="925"/>
      <c r="CD26" s="925"/>
      <c r="CE26" s="925"/>
      <c r="CF26" s="90"/>
      <c r="CG26" s="102"/>
      <c r="CH26" s="821"/>
      <c r="CJ26" s="88"/>
      <c r="CK26" s="821"/>
      <c r="CL26" s="821"/>
      <c r="CM26" s="821"/>
      <c r="CX26"/>
      <c r="CY26"/>
      <c r="CZ26"/>
      <c r="DA26"/>
      <c r="DB26"/>
      <c r="DC26"/>
    </row>
    <row r="27" spans="2:107" s="5" customFormat="1">
      <c r="B27" s="8" t="s">
        <v>48</v>
      </c>
      <c r="C27" s="32">
        <v>-56.411000000000001</v>
      </c>
      <c r="D27" s="30">
        <v>-76.802999999999997</v>
      </c>
      <c r="E27" s="30">
        <v>-49.317000000000007</v>
      </c>
      <c r="F27" s="733">
        <v>-155.52699999999999</v>
      </c>
      <c r="G27" s="30">
        <v>-92.343999999999994</v>
      </c>
      <c r="H27" s="30">
        <v>-66.69</v>
      </c>
      <c r="I27" s="30">
        <v>-20.01600000000002</v>
      </c>
      <c r="J27" s="33">
        <v>-41.783999999999992</v>
      </c>
      <c r="K27" s="30">
        <v>-268.21100000000001</v>
      </c>
      <c r="L27" s="30">
        <v>-187.69799999999998</v>
      </c>
      <c r="M27" s="30">
        <v>-283.79700000000003</v>
      </c>
      <c r="N27" s="33">
        <v>-510.54200000000003</v>
      </c>
      <c r="O27" s="30">
        <v>-289.649</v>
      </c>
      <c r="P27" s="30">
        <v>-389.05499999999995</v>
      </c>
      <c r="Q27" s="30">
        <v>-239.28300000000002</v>
      </c>
      <c r="R27" s="33">
        <v>-81.966000000000008</v>
      </c>
      <c r="S27" s="30">
        <v>-215.08799999999999</v>
      </c>
      <c r="T27" s="30">
        <v>-315.02200000000005</v>
      </c>
      <c r="U27" s="30">
        <v>-274.5</v>
      </c>
      <c r="V27" s="33">
        <v>-389.33800000000008</v>
      </c>
      <c r="W27" s="30">
        <v>-226.96299999999999</v>
      </c>
      <c r="X27" s="30">
        <v>-528.66300000000001</v>
      </c>
      <c r="Y27" s="30">
        <v>-437.69700000000012</v>
      </c>
      <c r="Z27" s="33">
        <v>-526.37699999999995</v>
      </c>
      <c r="AA27" s="30">
        <v>-427.87400000000002</v>
      </c>
      <c r="AB27" s="30">
        <v>-283.79999999999995</v>
      </c>
      <c r="AC27" s="30">
        <v>-612.67599999999993</v>
      </c>
      <c r="AD27" s="33">
        <v>-640.548</v>
      </c>
      <c r="AE27" s="30">
        <v>-814.22199999999998</v>
      </c>
      <c r="AF27" s="30">
        <v>-433.44200000000001</v>
      </c>
      <c r="AG27" s="30">
        <v>-481.64300000000003</v>
      </c>
      <c r="AH27" s="33">
        <v>-649.13800000000015</v>
      </c>
      <c r="AI27" s="32">
        <v>-541.95000000000005</v>
      </c>
      <c r="AJ27" s="30">
        <v>-394.26400000000001</v>
      </c>
      <c r="AK27" s="30">
        <v>-484.25699999999983</v>
      </c>
      <c r="AL27" s="33">
        <v>-1644.9329999999998</v>
      </c>
      <c r="AM27" s="30">
        <v>-1001.073</v>
      </c>
      <c r="AN27" s="30">
        <v>-681.78100000000006</v>
      </c>
      <c r="AO27" s="30">
        <v>-443.22500000000025</v>
      </c>
      <c r="AP27" s="33">
        <v>-735.7299999999999</v>
      </c>
      <c r="AQ27" s="30">
        <v>-1267</v>
      </c>
      <c r="AR27" s="30">
        <v>-594</v>
      </c>
      <c r="AS27" s="30">
        <v>-808</v>
      </c>
      <c r="AT27" s="33">
        <v>-808</v>
      </c>
      <c r="AU27" s="30">
        <v>-469</v>
      </c>
      <c r="AV27" s="30">
        <v>-946</v>
      </c>
      <c r="AW27" s="30">
        <v>-834</v>
      </c>
      <c r="AX27" s="33">
        <v>-885</v>
      </c>
      <c r="AY27" s="30">
        <v>-36</v>
      </c>
      <c r="AZ27" s="30">
        <v>0</v>
      </c>
      <c r="BA27" s="30">
        <v>0</v>
      </c>
      <c r="BB27" s="33">
        <v>0</v>
      </c>
      <c r="BC27" s="30">
        <f>BS!BB9-BS!BC9</f>
        <v>0</v>
      </c>
      <c r="BD27" s="30">
        <f>BS!BC9-BS!BD9</f>
        <v>0</v>
      </c>
      <c r="BE27" s="53">
        <f>BS!BD9-BS!BE9</f>
        <v>0</v>
      </c>
      <c r="BF27" s="282">
        <f>BS!BE9-BS!BF9</f>
        <v>0</v>
      </c>
      <c r="BG27" s="30">
        <f>BS!BF9-BS!BG9</f>
        <v>0</v>
      </c>
      <c r="BH27" s="30">
        <f>BS!BG9-BS!BH9</f>
        <v>0</v>
      </c>
      <c r="BI27" s="53">
        <f>BS!BH9-BS!BI9</f>
        <v>0</v>
      </c>
      <c r="BJ27" s="282">
        <f>BS!BI9-BS!BJ9</f>
        <v>0</v>
      </c>
      <c r="BK27" s="30">
        <f>BS!BJ9-BS!BK9</f>
        <v>0</v>
      </c>
      <c r="BL27" s="30">
        <f>BS!BK9-BS!BL9</f>
        <v>0</v>
      </c>
      <c r="BM27" s="53">
        <f>BS!BL9-BS!BM9</f>
        <v>0</v>
      </c>
      <c r="BN27" s="282">
        <f>BS!BM9-BS!BN9</f>
        <v>0</v>
      </c>
      <c r="BO27" s="195"/>
      <c r="BP27" s="59">
        <f t="shared" ref="BP27:BP34" si="21">SUM(C27:F27)</f>
        <v>-338.05799999999999</v>
      </c>
      <c r="BQ27" s="59">
        <f t="shared" ref="BQ27:BQ34" si="22">SUM(G27:J27)</f>
        <v>-220.834</v>
      </c>
      <c r="BR27" s="59">
        <f t="shared" ref="BR27:BR34" si="23">SUM(K27:N27)</f>
        <v>-1250.248</v>
      </c>
      <c r="BS27" s="59">
        <f t="shared" ref="BS27:BS34" si="24">SUM(O27:R27)</f>
        <v>-999.95299999999997</v>
      </c>
      <c r="BT27" s="59">
        <f t="shared" ref="BT27:BT34" si="25">SUM(S27:V27)</f>
        <v>-1193.9480000000001</v>
      </c>
      <c r="BU27" s="59">
        <f t="shared" ref="BU27:BU34" si="26">SUM(W27:Z27)</f>
        <v>-1719.7</v>
      </c>
      <c r="BV27" s="59">
        <f t="shared" ref="BV27:BV34" si="27">SUM(AA27:AD27)</f>
        <v>-1964.8979999999999</v>
      </c>
      <c r="BW27" s="59">
        <f t="shared" ref="BW27:BW34" si="28">SUM(AE27:AH27)</f>
        <v>-2378.4450000000002</v>
      </c>
      <c r="BX27" s="59">
        <f t="shared" ref="BX27:BX34" si="29">SUM(AI27:AL27)</f>
        <v>-3065.4039999999995</v>
      </c>
      <c r="BY27" s="59">
        <f t="shared" ref="BY27:BY34" si="30">SUM(AM27:AP27)</f>
        <v>-2861.8090000000002</v>
      </c>
      <c r="BZ27" s="59">
        <f t="shared" ref="BZ27:BZ34" si="31">SUM(AQ27:AT27)</f>
        <v>-3477</v>
      </c>
      <c r="CA27" s="73">
        <f t="shared" ref="CA27:CA34" si="32">SUM(AU27:AX27)</f>
        <v>-3134</v>
      </c>
      <c r="CB27" s="73">
        <f t="shared" ref="CB27:CB34" si="33">SUM(AY27:BB27)</f>
        <v>-36</v>
      </c>
      <c r="CC27" s="73">
        <f t="shared" ref="CC27:CC34" si="34">SUM(BC27:BF27)</f>
        <v>0</v>
      </c>
      <c r="CD27" s="73">
        <f t="shared" ref="CD27:CD34" si="35">SUM(BG27:BJ27)</f>
        <v>0</v>
      </c>
      <c r="CE27" s="73">
        <f t="shared" si="16"/>
        <v>0</v>
      </c>
      <c r="CF27" s="90"/>
      <c r="CG27" s="102"/>
      <c r="CH27" s="821"/>
      <c r="CJ27" s="88"/>
      <c r="CK27" s="821"/>
      <c r="CL27" s="821"/>
      <c r="CM27" s="821"/>
      <c r="CX27"/>
      <c r="CY27"/>
      <c r="CZ27"/>
      <c r="DA27"/>
      <c r="DB27"/>
      <c r="DC27"/>
    </row>
    <row r="28" spans="2:107" s="5" customFormat="1">
      <c r="B28" s="8" t="s">
        <v>49</v>
      </c>
      <c r="C28" s="32">
        <v>65.304000000000002</v>
      </c>
      <c r="D28" s="30">
        <v>50.31</v>
      </c>
      <c r="E28" s="30">
        <v>101.672</v>
      </c>
      <c r="F28" s="736">
        <v>180.4</v>
      </c>
      <c r="G28" s="30">
        <v>22.523</v>
      </c>
      <c r="H28" s="30">
        <v>71.77000000000001</v>
      </c>
      <c r="I28" s="30">
        <v>52.451999999999998</v>
      </c>
      <c r="J28" s="33">
        <v>80.322000000000003</v>
      </c>
      <c r="K28" s="30">
        <v>214.77500000000001</v>
      </c>
      <c r="L28" s="30">
        <v>159.886</v>
      </c>
      <c r="M28" s="30">
        <v>147.05100000000002</v>
      </c>
      <c r="N28" s="33">
        <v>232.12700000000004</v>
      </c>
      <c r="O28" s="30">
        <v>545.803</v>
      </c>
      <c r="P28" s="30">
        <v>264.70500000000004</v>
      </c>
      <c r="Q28" s="30">
        <v>320.6389999999999</v>
      </c>
      <c r="R28" s="33">
        <v>95.499000000000024</v>
      </c>
      <c r="S28" s="30">
        <v>226.96</v>
      </c>
      <c r="T28" s="30">
        <v>200.739</v>
      </c>
      <c r="U28" s="30">
        <v>196.59599999999992</v>
      </c>
      <c r="V28" s="33">
        <v>128.13900000000004</v>
      </c>
      <c r="W28" s="30">
        <v>186.70099999999999</v>
      </c>
      <c r="X28" s="30">
        <v>448.73099999999999</v>
      </c>
      <c r="Y28" s="30">
        <v>295.66700000000003</v>
      </c>
      <c r="Z28" s="33">
        <v>238.97600000000003</v>
      </c>
      <c r="AA28" s="30">
        <v>206.946</v>
      </c>
      <c r="AB28" s="30">
        <v>384.29599999999994</v>
      </c>
      <c r="AC28" s="30">
        <v>362.56600000000003</v>
      </c>
      <c r="AD28" s="33">
        <v>356.93499999999995</v>
      </c>
      <c r="AE28" s="30">
        <v>507.875</v>
      </c>
      <c r="AF28" s="30">
        <v>410.98099999999999</v>
      </c>
      <c r="AG28" s="30">
        <v>343.31099999999992</v>
      </c>
      <c r="AH28" s="33">
        <v>-407.17399999999986</v>
      </c>
      <c r="AI28" s="32">
        <v>199.19900000000001</v>
      </c>
      <c r="AJ28" s="30">
        <v>1049.3119999999999</v>
      </c>
      <c r="AK28" s="30">
        <v>226.89200000000011</v>
      </c>
      <c r="AL28" s="33">
        <v>451.41400000000004</v>
      </c>
      <c r="AM28" s="30">
        <v>544.87800000000004</v>
      </c>
      <c r="AN28" s="30">
        <v>324.20899999999995</v>
      </c>
      <c r="AO28" s="30">
        <v>230.92699999999991</v>
      </c>
      <c r="AP28" s="33">
        <v>271.96800000000007</v>
      </c>
      <c r="AQ28" s="30">
        <v>825</v>
      </c>
      <c r="AR28" s="30">
        <v>590</v>
      </c>
      <c r="AS28" s="30">
        <v>236</v>
      </c>
      <c r="AT28" s="33">
        <v>451</v>
      </c>
      <c r="AU28" s="30">
        <v>529</v>
      </c>
      <c r="AV28" s="30">
        <v>372</v>
      </c>
      <c r="AW28" s="30">
        <v>338</v>
      </c>
      <c r="AX28" s="33">
        <v>307</v>
      </c>
      <c r="AY28" s="30">
        <v>649</v>
      </c>
      <c r="AZ28" s="30">
        <v>77</v>
      </c>
      <c r="BA28" s="30">
        <v>76</v>
      </c>
      <c r="BB28" s="33">
        <v>61</v>
      </c>
      <c r="BC28" s="30"/>
      <c r="BD28" s="30"/>
      <c r="BE28" s="53"/>
      <c r="BF28" s="282"/>
      <c r="BG28" s="30"/>
      <c r="BH28" s="30"/>
      <c r="BI28" s="53"/>
      <c r="BJ28" s="282"/>
      <c r="BK28" s="30"/>
      <c r="BL28" s="30"/>
      <c r="BM28" s="53"/>
      <c r="BN28" s="282"/>
      <c r="BO28" s="195"/>
      <c r="BP28" s="59">
        <f t="shared" si="21"/>
        <v>397.68600000000004</v>
      </c>
      <c r="BQ28" s="59">
        <f t="shared" si="22"/>
        <v>227.06700000000001</v>
      </c>
      <c r="BR28" s="59">
        <f t="shared" si="23"/>
        <v>753.83900000000006</v>
      </c>
      <c r="BS28" s="59">
        <f t="shared" si="24"/>
        <v>1226.646</v>
      </c>
      <c r="BT28" s="59">
        <f t="shared" si="25"/>
        <v>752.43399999999997</v>
      </c>
      <c r="BU28" s="59">
        <f t="shared" si="26"/>
        <v>1170.075</v>
      </c>
      <c r="BV28" s="59">
        <f t="shared" si="27"/>
        <v>1310.7429999999999</v>
      </c>
      <c r="BW28" s="59">
        <f t="shared" si="28"/>
        <v>854.99300000000005</v>
      </c>
      <c r="BX28" s="59">
        <f t="shared" si="29"/>
        <v>1926.817</v>
      </c>
      <c r="BY28" s="59">
        <f t="shared" si="30"/>
        <v>1371.982</v>
      </c>
      <c r="BZ28" s="59">
        <f t="shared" si="31"/>
        <v>2102</v>
      </c>
      <c r="CA28" s="73">
        <f t="shared" si="32"/>
        <v>1546</v>
      </c>
      <c r="CB28" s="73">
        <f t="shared" si="33"/>
        <v>863</v>
      </c>
      <c r="CC28" s="73">
        <f t="shared" si="34"/>
        <v>0</v>
      </c>
      <c r="CD28" s="73">
        <f t="shared" si="35"/>
        <v>0</v>
      </c>
      <c r="CE28" s="73">
        <f t="shared" si="16"/>
        <v>0</v>
      </c>
      <c r="CF28" s="90"/>
      <c r="CG28" s="102"/>
      <c r="CH28" s="821"/>
      <c r="CJ28" s="88"/>
      <c r="CK28" s="821"/>
      <c r="CL28" s="821"/>
      <c r="CM28" s="821"/>
      <c r="CX28"/>
      <c r="CY28"/>
      <c r="CZ28"/>
      <c r="DA28"/>
      <c r="DB28"/>
      <c r="DC28"/>
    </row>
    <row r="29" spans="2:107" s="5" customFormat="1">
      <c r="B29" s="8" t="s">
        <v>60</v>
      </c>
      <c r="C29" s="32">
        <v>0</v>
      </c>
      <c r="D29" s="30">
        <v>0</v>
      </c>
      <c r="E29" s="30">
        <v>0</v>
      </c>
      <c r="F29" s="33">
        <v>0</v>
      </c>
      <c r="G29" s="30">
        <v>0</v>
      </c>
      <c r="H29" s="30">
        <v>0</v>
      </c>
      <c r="I29" s="30">
        <v>0</v>
      </c>
      <c r="J29" s="33">
        <v>0</v>
      </c>
      <c r="K29" s="30">
        <v>0</v>
      </c>
      <c r="L29" s="30">
        <v>0</v>
      </c>
      <c r="M29" s="30">
        <v>0</v>
      </c>
      <c r="N29" s="33">
        <v>0</v>
      </c>
      <c r="O29" s="30">
        <v>0</v>
      </c>
      <c r="P29" s="30">
        <v>0</v>
      </c>
      <c r="Q29" s="30">
        <v>0</v>
      </c>
      <c r="R29" s="33">
        <v>0</v>
      </c>
      <c r="S29" s="30">
        <v>0</v>
      </c>
      <c r="T29" s="30">
        <v>0</v>
      </c>
      <c r="U29" s="30">
        <v>0</v>
      </c>
      <c r="V29" s="33">
        <v>0</v>
      </c>
      <c r="W29" s="30">
        <v>0</v>
      </c>
      <c r="X29" s="30">
        <v>0</v>
      </c>
      <c r="Y29" s="30">
        <v>0</v>
      </c>
      <c r="Z29" s="33">
        <v>0</v>
      </c>
      <c r="AA29" s="30">
        <v>0</v>
      </c>
      <c r="AB29" s="30">
        <v>0</v>
      </c>
      <c r="AC29" s="30">
        <v>0</v>
      </c>
      <c r="AD29" s="33">
        <v>0</v>
      </c>
      <c r="AE29" s="30">
        <v>0</v>
      </c>
      <c r="AF29" s="30">
        <v>0</v>
      </c>
      <c r="AG29" s="30">
        <v>0</v>
      </c>
      <c r="AH29" s="33">
        <v>962.41700000000003</v>
      </c>
      <c r="AI29" s="32">
        <v>179.08199999999999</v>
      </c>
      <c r="AJ29" s="30">
        <v>141.75600000000003</v>
      </c>
      <c r="AK29" s="30">
        <v>126.29599999999999</v>
      </c>
      <c r="AL29" s="33">
        <v>138.01599999999996</v>
      </c>
      <c r="AM29" s="30">
        <v>134.07900000000001</v>
      </c>
      <c r="AN29" s="30">
        <v>317.39499999999998</v>
      </c>
      <c r="AO29" s="30">
        <v>236.69400000000002</v>
      </c>
      <c r="AP29" s="33">
        <v>176.63000000000005</v>
      </c>
      <c r="AQ29" s="30">
        <v>238</v>
      </c>
      <c r="AR29" s="30">
        <v>249</v>
      </c>
      <c r="AS29" s="30">
        <v>385</v>
      </c>
      <c r="AT29" s="33">
        <v>164</v>
      </c>
      <c r="AU29" s="30">
        <v>175</v>
      </c>
      <c r="AV29" s="30">
        <v>331</v>
      </c>
      <c r="AW29" s="30">
        <v>206</v>
      </c>
      <c r="AX29" s="33">
        <v>257</v>
      </c>
      <c r="AY29" s="30">
        <v>200</v>
      </c>
      <c r="AZ29" s="30">
        <v>250</v>
      </c>
      <c r="BA29" s="30">
        <v>289</v>
      </c>
      <c r="BB29" s="33">
        <v>339</v>
      </c>
      <c r="BC29" s="30"/>
      <c r="BD29" s="30"/>
      <c r="BE29" s="53"/>
      <c r="BF29" s="282"/>
      <c r="BG29" s="30"/>
      <c r="BH29" s="30"/>
      <c r="BI29" s="53"/>
      <c r="BJ29" s="282"/>
      <c r="BK29" s="30"/>
      <c r="BL29" s="30"/>
      <c r="BM29" s="53"/>
      <c r="BN29" s="282"/>
      <c r="BO29" s="195"/>
      <c r="BP29" s="59">
        <f t="shared" si="21"/>
        <v>0</v>
      </c>
      <c r="BQ29" s="59">
        <f t="shared" si="22"/>
        <v>0</v>
      </c>
      <c r="BR29" s="59">
        <f t="shared" si="23"/>
        <v>0</v>
      </c>
      <c r="BS29" s="59">
        <f t="shared" si="24"/>
        <v>0</v>
      </c>
      <c r="BT29" s="59">
        <f t="shared" si="25"/>
        <v>0</v>
      </c>
      <c r="BU29" s="59">
        <f t="shared" si="26"/>
        <v>0</v>
      </c>
      <c r="BV29" s="59">
        <f t="shared" si="27"/>
        <v>0</v>
      </c>
      <c r="BW29" s="59">
        <f t="shared" si="28"/>
        <v>962.41700000000003</v>
      </c>
      <c r="BX29" s="59">
        <f t="shared" si="29"/>
        <v>585.15</v>
      </c>
      <c r="BY29" s="59">
        <f t="shared" si="30"/>
        <v>864.798</v>
      </c>
      <c r="BZ29" s="59">
        <f t="shared" si="31"/>
        <v>1036</v>
      </c>
      <c r="CA29" s="73">
        <f t="shared" si="32"/>
        <v>969</v>
      </c>
      <c r="CB29" s="73">
        <f t="shared" si="33"/>
        <v>1078</v>
      </c>
      <c r="CC29" s="73">
        <f t="shared" si="34"/>
        <v>0</v>
      </c>
      <c r="CD29" s="73">
        <f t="shared" si="35"/>
        <v>0</v>
      </c>
      <c r="CE29" s="73">
        <f t="shared" si="16"/>
        <v>0</v>
      </c>
      <c r="CF29" s="90"/>
      <c r="CG29" s="102"/>
      <c r="CH29" s="821"/>
      <c r="CJ29" s="88"/>
      <c r="CK29" s="821"/>
      <c r="CL29" s="821"/>
      <c r="CM29" s="821"/>
      <c r="CX29"/>
      <c r="CY29"/>
      <c r="CZ29"/>
      <c r="DA29"/>
      <c r="DB29"/>
      <c r="DC29"/>
    </row>
    <row r="30" spans="2:107" s="5" customFormat="1">
      <c r="B30" s="8" t="s">
        <v>61</v>
      </c>
      <c r="C30" s="32">
        <v>-13.504</v>
      </c>
      <c r="D30" s="30">
        <v>-29.185000000000002</v>
      </c>
      <c r="E30" s="30">
        <v>-13.465999999999999</v>
      </c>
      <c r="F30" s="734">
        <v>-23.445</v>
      </c>
      <c r="G30" s="30">
        <v>-20.667000000000002</v>
      </c>
      <c r="H30" s="30">
        <v>-20.110999999999997</v>
      </c>
      <c r="I30" s="30">
        <v>-28.785999999999994</v>
      </c>
      <c r="J30" s="33">
        <v>-61.262</v>
      </c>
      <c r="K30" s="30">
        <v>-26.335999999999999</v>
      </c>
      <c r="L30" s="30">
        <v>-20.643999999999998</v>
      </c>
      <c r="M30" s="30">
        <v>-70.426000000000002</v>
      </c>
      <c r="N30" s="33">
        <v>-70.339000000000013</v>
      </c>
      <c r="O30" s="30">
        <v>-202.173</v>
      </c>
      <c r="P30" s="30">
        <v>-53.51400000000001</v>
      </c>
      <c r="Q30" s="30">
        <v>-109.00799999999998</v>
      </c>
      <c r="R30" s="33">
        <v>-42.975000000000023</v>
      </c>
      <c r="S30" s="30">
        <v>-20.777000000000001</v>
      </c>
      <c r="T30" s="30">
        <v>-17.655999999999999</v>
      </c>
      <c r="U30" s="30">
        <v>-16.593000000000004</v>
      </c>
      <c r="V30" s="33">
        <v>-22.574999999999996</v>
      </c>
      <c r="W30" s="30">
        <v>-17.079999999999998</v>
      </c>
      <c r="X30" s="30">
        <v>-37.643999999999998</v>
      </c>
      <c r="Y30" s="30">
        <v>-21.823</v>
      </c>
      <c r="Z30" s="33">
        <v>-21.343000000000011</v>
      </c>
      <c r="AA30" s="30">
        <v>-31.195</v>
      </c>
      <c r="AB30" s="30">
        <v>-23.323</v>
      </c>
      <c r="AC30" s="30">
        <v>-39.034999999999989</v>
      </c>
      <c r="AD30" s="33">
        <v>-45.182000000000009</v>
      </c>
      <c r="AE30" s="30">
        <v>-28.922999999999998</v>
      </c>
      <c r="AF30" s="30">
        <v>-61.944000000000003</v>
      </c>
      <c r="AG30" s="30">
        <v>-44.683999999999983</v>
      </c>
      <c r="AH30" s="33">
        <v>-47.757999999999996</v>
      </c>
      <c r="AI30" s="32">
        <v>-65.667000000000002</v>
      </c>
      <c r="AJ30" s="30">
        <v>-84.98599999999999</v>
      </c>
      <c r="AK30" s="30">
        <v>-38.15900000000002</v>
      </c>
      <c r="AL30" s="33">
        <v>-66.373999999999995</v>
      </c>
      <c r="AM30" s="30">
        <v>-29.068000000000001</v>
      </c>
      <c r="AN30" s="30">
        <v>-22.526999999999997</v>
      </c>
      <c r="AO30" s="30">
        <v>-39.741</v>
      </c>
      <c r="AP30" s="33">
        <v>-31.044999999999998</v>
      </c>
      <c r="AQ30" s="30">
        <v>-30</v>
      </c>
      <c r="AR30" s="30">
        <v>-24</v>
      </c>
      <c r="AS30" s="30">
        <v>-17</v>
      </c>
      <c r="AT30" s="33">
        <v>-15</v>
      </c>
      <c r="AU30" s="30">
        <v>-55</v>
      </c>
      <c r="AV30" s="30">
        <v>-32</v>
      </c>
      <c r="AW30" s="30">
        <v>-38</v>
      </c>
      <c r="AX30" s="33">
        <v>-51</v>
      </c>
      <c r="AY30" s="30">
        <v>-54</v>
      </c>
      <c r="AZ30" s="30">
        <v>-54</v>
      </c>
      <c r="BA30" s="30">
        <v>-69</v>
      </c>
      <c r="BB30" s="33">
        <v>-416</v>
      </c>
      <c r="BC30" s="30">
        <v>-81.801977773279518</v>
      </c>
      <c r="BD30" s="30">
        <v>-88.418203611290537</v>
      </c>
      <c r="BE30" s="67">
        <v>-95.445490379922475</v>
      </c>
      <c r="BF30" s="236">
        <v>-99.131193730181266</v>
      </c>
      <c r="BG30" s="30">
        <v>-88.806346181260608</v>
      </c>
      <c r="BH30" s="30">
        <v>-99.441838382939309</v>
      </c>
      <c r="BI30" s="67">
        <v>-107.55320664268639</v>
      </c>
      <c r="BJ30" s="236">
        <v>-109.06282218866203</v>
      </c>
      <c r="BK30" s="30">
        <v>-98.247541366529589</v>
      </c>
      <c r="BL30" s="30">
        <v>-110.16255328244139</v>
      </c>
      <c r="BM30" s="67">
        <v>-118.29071951048479</v>
      </c>
      <c r="BN30" s="236">
        <v>-120.5848306479196</v>
      </c>
      <c r="BO30" s="195"/>
      <c r="BP30" s="59">
        <f t="shared" si="21"/>
        <v>-79.599999999999994</v>
      </c>
      <c r="BQ30" s="59">
        <f t="shared" si="22"/>
        <v>-130.82599999999999</v>
      </c>
      <c r="BR30" s="59">
        <f t="shared" si="23"/>
        <v>-187.745</v>
      </c>
      <c r="BS30" s="59">
        <f t="shared" si="24"/>
        <v>-407.67</v>
      </c>
      <c r="BT30" s="59">
        <f t="shared" si="25"/>
        <v>-77.600999999999999</v>
      </c>
      <c r="BU30" s="59">
        <f t="shared" si="26"/>
        <v>-97.890000000000015</v>
      </c>
      <c r="BV30" s="59">
        <f t="shared" si="27"/>
        <v>-138.73500000000001</v>
      </c>
      <c r="BW30" s="59">
        <f t="shared" si="28"/>
        <v>-183.30899999999997</v>
      </c>
      <c r="BX30" s="59">
        <f t="shared" si="29"/>
        <v>-255.18600000000001</v>
      </c>
      <c r="BY30" s="59">
        <f t="shared" si="30"/>
        <v>-122.381</v>
      </c>
      <c r="BZ30" s="59">
        <f t="shared" si="31"/>
        <v>-86</v>
      </c>
      <c r="CA30" s="73">
        <f t="shared" si="32"/>
        <v>-176</v>
      </c>
      <c r="CB30" s="73">
        <f t="shared" si="33"/>
        <v>-593</v>
      </c>
      <c r="CC30" s="73">
        <f t="shared" si="34"/>
        <v>-364.7968654946738</v>
      </c>
      <c r="CD30" s="73">
        <f t="shared" si="35"/>
        <v>-404.86421339554835</v>
      </c>
      <c r="CE30" s="73">
        <f t="shared" si="16"/>
        <v>-447.28564480737538</v>
      </c>
      <c r="CF30" s="90"/>
      <c r="CG30" s="102"/>
      <c r="CH30" s="821"/>
      <c r="CJ30" s="88"/>
      <c r="CK30" s="821"/>
      <c r="CL30" s="821"/>
      <c r="CM30" s="821"/>
      <c r="CX30"/>
      <c r="CY30"/>
      <c r="CZ30"/>
      <c r="DA30"/>
      <c r="DB30"/>
      <c r="DC30"/>
    </row>
    <row r="31" spans="2:107" s="5" customFormat="1">
      <c r="B31" s="8" t="s">
        <v>62</v>
      </c>
      <c r="C31" s="32">
        <v>0</v>
      </c>
      <c r="D31" s="30">
        <v>0</v>
      </c>
      <c r="E31" s="30">
        <v>0</v>
      </c>
      <c r="F31" s="734">
        <v>0</v>
      </c>
      <c r="G31" s="30">
        <v>0</v>
      </c>
      <c r="H31" s="30">
        <v>0</v>
      </c>
      <c r="I31" s="30">
        <v>0</v>
      </c>
      <c r="J31" s="33">
        <v>0</v>
      </c>
      <c r="K31" s="30">
        <v>0</v>
      </c>
      <c r="L31" s="30">
        <v>0</v>
      </c>
      <c r="M31" s="30">
        <v>0</v>
      </c>
      <c r="N31" s="33">
        <v>0</v>
      </c>
      <c r="O31" s="30">
        <v>0</v>
      </c>
      <c r="P31" s="30">
        <v>0</v>
      </c>
      <c r="Q31" s="30">
        <v>0</v>
      </c>
      <c r="R31" s="33">
        <v>0</v>
      </c>
      <c r="S31" s="30">
        <v>0</v>
      </c>
      <c r="T31" s="30">
        <v>0</v>
      </c>
      <c r="U31" s="30">
        <v>0</v>
      </c>
      <c r="V31" s="33">
        <v>0</v>
      </c>
      <c r="W31" s="30">
        <v>0</v>
      </c>
      <c r="X31" s="30">
        <v>0</v>
      </c>
      <c r="Y31" s="30">
        <v>0</v>
      </c>
      <c r="Z31" s="33">
        <v>0</v>
      </c>
      <c r="AA31" s="30">
        <v>0</v>
      </c>
      <c r="AB31" s="30">
        <v>0</v>
      </c>
      <c r="AC31" s="30">
        <v>0</v>
      </c>
      <c r="AD31" s="33">
        <v>0</v>
      </c>
      <c r="AE31" s="30">
        <v>0</v>
      </c>
      <c r="AF31" s="30">
        <v>0</v>
      </c>
      <c r="AG31" s="30">
        <v>0</v>
      </c>
      <c r="AH31" s="33">
        <v>0</v>
      </c>
      <c r="AI31" s="32">
        <v>0</v>
      </c>
      <c r="AJ31" s="30">
        <v>0</v>
      </c>
      <c r="AK31" s="30">
        <v>0</v>
      </c>
      <c r="AL31" s="33">
        <v>24.780999999999999</v>
      </c>
      <c r="AM31" s="30">
        <v>20.861999999999998</v>
      </c>
      <c r="AN31" s="30">
        <v>0</v>
      </c>
      <c r="AO31" s="30">
        <v>0</v>
      </c>
      <c r="AP31" s="33">
        <v>0</v>
      </c>
      <c r="AQ31" s="30">
        <v>0</v>
      </c>
      <c r="AR31" s="30">
        <v>2</v>
      </c>
      <c r="AS31" s="30">
        <v>5</v>
      </c>
      <c r="AT31" s="33">
        <v>0</v>
      </c>
      <c r="AU31" s="30">
        <v>0</v>
      </c>
      <c r="AV31" s="30">
        <v>6</v>
      </c>
      <c r="AW31" s="30">
        <v>0</v>
      </c>
      <c r="AX31" s="33">
        <v>1</v>
      </c>
      <c r="AY31" s="30">
        <v>0</v>
      </c>
      <c r="AZ31" s="30">
        <v>0</v>
      </c>
      <c r="BA31" s="30">
        <v>0</v>
      </c>
      <c r="BB31" s="33">
        <v>2</v>
      </c>
      <c r="BC31" s="30">
        <v>0</v>
      </c>
      <c r="BD31" s="30">
        <v>0</v>
      </c>
      <c r="BE31" s="53">
        <v>0</v>
      </c>
      <c r="BF31" s="282">
        <v>0</v>
      </c>
      <c r="BG31" s="30">
        <v>0</v>
      </c>
      <c r="BH31" s="30">
        <v>0</v>
      </c>
      <c r="BI31" s="53">
        <v>0</v>
      </c>
      <c r="BJ31" s="282">
        <v>0</v>
      </c>
      <c r="BK31" s="30">
        <v>0</v>
      </c>
      <c r="BL31" s="30">
        <v>0</v>
      </c>
      <c r="BM31" s="53">
        <v>0</v>
      </c>
      <c r="BN31" s="282">
        <v>0</v>
      </c>
      <c r="BO31" s="195"/>
      <c r="BP31" s="59">
        <f t="shared" si="21"/>
        <v>0</v>
      </c>
      <c r="BQ31" s="59">
        <f t="shared" si="22"/>
        <v>0</v>
      </c>
      <c r="BR31" s="59">
        <f t="shared" si="23"/>
        <v>0</v>
      </c>
      <c r="BS31" s="59">
        <f t="shared" si="24"/>
        <v>0</v>
      </c>
      <c r="BT31" s="59">
        <f t="shared" si="25"/>
        <v>0</v>
      </c>
      <c r="BU31" s="59">
        <f t="shared" si="26"/>
        <v>0</v>
      </c>
      <c r="BV31" s="59">
        <f t="shared" si="27"/>
        <v>0</v>
      </c>
      <c r="BW31" s="59">
        <f t="shared" si="28"/>
        <v>0</v>
      </c>
      <c r="BX31" s="59">
        <f t="shared" si="29"/>
        <v>24.780999999999999</v>
      </c>
      <c r="BY31" s="59">
        <f t="shared" si="30"/>
        <v>20.861999999999998</v>
      </c>
      <c r="BZ31" s="59">
        <f t="shared" si="31"/>
        <v>7</v>
      </c>
      <c r="CA31" s="73">
        <f t="shared" si="32"/>
        <v>7</v>
      </c>
      <c r="CB31" s="73">
        <f t="shared" si="33"/>
        <v>2</v>
      </c>
      <c r="CC31" s="73">
        <f t="shared" si="34"/>
        <v>0</v>
      </c>
      <c r="CD31" s="73">
        <f t="shared" si="35"/>
        <v>0</v>
      </c>
      <c r="CE31" s="73">
        <f t="shared" si="16"/>
        <v>0</v>
      </c>
      <c r="CF31" s="90"/>
      <c r="CG31" s="102"/>
      <c r="CH31" s="821"/>
      <c r="CJ31" s="88"/>
      <c r="CK31" s="821"/>
      <c r="CL31" s="821"/>
      <c r="CM31" s="821"/>
      <c r="CX31"/>
      <c r="CY31"/>
      <c r="CZ31"/>
      <c r="DA31"/>
      <c r="DB31"/>
      <c r="DC31"/>
    </row>
    <row r="32" spans="2:107" s="5" customFormat="1">
      <c r="B32" s="8" t="s">
        <v>63</v>
      </c>
      <c r="C32" s="32">
        <v>0</v>
      </c>
      <c r="D32" s="30">
        <v>0</v>
      </c>
      <c r="E32" s="30">
        <v>0</v>
      </c>
      <c r="F32" s="734">
        <v>-12.131</v>
      </c>
      <c r="G32" s="30">
        <v>-67.025999999999996</v>
      </c>
      <c r="H32" s="30">
        <v>0</v>
      </c>
      <c r="I32" s="30">
        <v>-1.1000000000009891E-2</v>
      </c>
      <c r="J32" s="33">
        <v>-334.76299999999998</v>
      </c>
      <c r="K32" s="30">
        <v>0</v>
      </c>
      <c r="L32" s="30">
        <v>0</v>
      </c>
      <c r="M32" s="30">
        <v>0</v>
      </c>
      <c r="N32" s="33">
        <v>-75.542000000000002</v>
      </c>
      <c r="O32" s="30">
        <v>-27.948</v>
      </c>
      <c r="P32" s="30">
        <v>0</v>
      </c>
      <c r="Q32" s="30">
        <v>0</v>
      </c>
      <c r="R32" s="33">
        <v>0</v>
      </c>
      <c r="S32" s="30">
        <v>0</v>
      </c>
      <c r="T32" s="30">
        <v>0</v>
      </c>
      <c r="U32" s="30">
        <v>0</v>
      </c>
      <c r="V32" s="33">
        <v>0</v>
      </c>
      <c r="W32" s="30">
        <v>0</v>
      </c>
      <c r="X32" s="30">
        <v>0</v>
      </c>
      <c r="Y32" s="30">
        <v>0</v>
      </c>
      <c r="Z32" s="33">
        <v>0</v>
      </c>
      <c r="AA32" s="30">
        <v>0</v>
      </c>
      <c r="AB32" s="30">
        <v>-348.88400000000001</v>
      </c>
      <c r="AC32" s="30">
        <v>0</v>
      </c>
      <c r="AD32" s="33">
        <v>0</v>
      </c>
      <c r="AE32" s="30">
        <v>0</v>
      </c>
      <c r="AF32" s="30">
        <v>0</v>
      </c>
      <c r="AG32" s="30">
        <v>0</v>
      </c>
      <c r="AH32" s="33">
        <v>0</v>
      </c>
      <c r="AI32" s="32">
        <v>0</v>
      </c>
      <c r="AJ32" s="30">
        <v>0</v>
      </c>
      <c r="AK32" s="30">
        <v>-17.145</v>
      </c>
      <c r="AL32" s="33">
        <v>0</v>
      </c>
      <c r="AM32" s="30">
        <v>0</v>
      </c>
      <c r="AN32" s="30">
        <v>0</v>
      </c>
      <c r="AO32" s="30">
        <v>0</v>
      </c>
      <c r="AP32" s="33">
        <v>0</v>
      </c>
      <c r="AQ32" s="30">
        <v>0</v>
      </c>
      <c r="AR32" s="30">
        <v>0</v>
      </c>
      <c r="AS32" s="30">
        <v>0</v>
      </c>
      <c r="AT32" s="33">
        <v>0</v>
      </c>
      <c r="AU32" s="30">
        <v>0</v>
      </c>
      <c r="AV32" s="30">
        <v>0</v>
      </c>
      <c r="AW32" s="30">
        <v>0</v>
      </c>
      <c r="AX32" s="33">
        <v>0</v>
      </c>
      <c r="AY32" s="30">
        <v>0</v>
      </c>
      <c r="AZ32" s="30">
        <v>0</v>
      </c>
      <c r="BA32" s="30">
        <v>0</v>
      </c>
      <c r="BB32" s="33">
        <v>0</v>
      </c>
      <c r="BC32" s="30"/>
      <c r="BD32" s="30"/>
      <c r="BE32" s="53"/>
      <c r="BF32" s="282"/>
      <c r="BG32" s="30"/>
      <c r="BH32" s="30"/>
      <c r="BI32" s="53"/>
      <c r="BJ32" s="282"/>
      <c r="BK32" s="30"/>
      <c r="BL32" s="30"/>
      <c r="BM32" s="53"/>
      <c r="BN32" s="282"/>
      <c r="BO32" s="195"/>
      <c r="BP32" s="59">
        <f t="shared" si="21"/>
        <v>-12.131</v>
      </c>
      <c r="BQ32" s="59">
        <f t="shared" si="22"/>
        <v>-401.79999999999995</v>
      </c>
      <c r="BR32" s="59">
        <f t="shared" si="23"/>
        <v>-75.542000000000002</v>
      </c>
      <c r="BS32" s="59">
        <f t="shared" si="24"/>
        <v>-27.948</v>
      </c>
      <c r="BT32" s="59">
        <f t="shared" si="25"/>
        <v>0</v>
      </c>
      <c r="BU32" s="59">
        <f t="shared" si="26"/>
        <v>0</v>
      </c>
      <c r="BV32" s="59">
        <f t="shared" si="27"/>
        <v>-348.88400000000001</v>
      </c>
      <c r="BW32" s="59">
        <f t="shared" si="28"/>
        <v>0</v>
      </c>
      <c r="BX32" s="59">
        <f t="shared" si="29"/>
        <v>-17.145</v>
      </c>
      <c r="BY32" s="59">
        <f t="shared" si="30"/>
        <v>0</v>
      </c>
      <c r="BZ32" s="59">
        <f t="shared" si="31"/>
        <v>0</v>
      </c>
      <c r="CA32" s="73">
        <f t="shared" si="32"/>
        <v>0</v>
      </c>
      <c r="CB32" s="73">
        <f t="shared" si="33"/>
        <v>0</v>
      </c>
      <c r="CC32" s="73">
        <f t="shared" si="34"/>
        <v>0</v>
      </c>
      <c r="CD32" s="73">
        <f t="shared" si="35"/>
        <v>0</v>
      </c>
      <c r="CE32" s="73">
        <f t="shared" si="16"/>
        <v>0</v>
      </c>
      <c r="CF32" s="90"/>
      <c r="CG32" s="102"/>
      <c r="CH32" s="821"/>
      <c r="CJ32" s="88"/>
      <c r="CK32" s="821"/>
      <c r="CL32" s="821"/>
      <c r="CM32" s="821"/>
      <c r="CX32"/>
      <c r="CY32"/>
      <c r="CZ32"/>
      <c r="DA32"/>
      <c r="DB32"/>
      <c r="DC32"/>
    </row>
    <row r="33" spans="2:107" s="5" customFormat="1">
      <c r="B33" s="8" t="s">
        <v>43</v>
      </c>
      <c r="C33" s="32">
        <v>0</v>
      </c>
      <c r="D33" s="30">
        <v>0</v>
      </c>
      <c r="E33" s="30">
        <v>-9.6839999999999993</v>
      </c>
      <c r="F33" s="33">
        <v>0</v>
      </c>
      <c r="G33" s="30">
        <v>0</v>
      </c>
      <c r="H33" s="30">
        <v>0</v>
      </c>
      <c r="I33" s="30">
        <v>-8.0000000000000002E-3</v>
      </c>
      <c r="J33" s="33">
        <v>8.0000000000000002E-3</v>
      </c>
      <c r="K33" s="30">
        <v>0</v>
      </c>
      <c r="L33" s="30">
        <v>0</v>
      </c>
      <c r="M33" s="30">
        <v>0</v>
      </c>
      <c r="N33" s="33">
        <v>-1.6220000000000001</v>
      </c>
      <c r="O33" s="30">
        <v>-1.5</v>
      </c>
      <c r="P33" s="30">
        <v>3.218</v>
      </c>
      <c r="Q33" s="30">
        <v>-0.25</v>
      </c>
      <c r="R33" s="33">
        <v>-1.9100000000000001</v>
      </c>
      <c r="S33" s="30">
        <v>0</v>
      </c>
      <c r="T33" s="30">
        <v>0.78200000000000003</v>
      </c>
      <c r="U33" s="30">
        <v>-1</v>
      </c>
      <c r="V33" s="33">
        <v>0</v>
      </c>
      <c r="W33" s="30">
        <v>0</v>
      </c>
      <c r="X33" s="30">
        <v>-1.5249999999999999</v>
      </c>
      <c r="Y33" s="30">
        <v>-0.13100000000000001</v>
      </c>
      <c r="Z33" s="33">
        <v>-0.50700000000000012</v>
      </c>
      <c r="AA33" s="30">
        <v>-0.38300000000000001</v>
      </c>
      <c r="AB33" s="30">
        <v>-1.5069999999999999</v>
      </c>
      <c r="AC33" s="30">
        <v>0</v>
      </c>
      <c r="AD33" s="33">
        <v>0.29999999999999982</v>
      </c>
      <c r="AE33" s="30">
        <v>0.216</v>
      </c>
      <c r="AF33" s="30">
        <v>-0.29799999999999999</v>
      </c>
      <c r="AG33" s="30">
        <v>0.217</v>
      </c>
      <c r="AH33" s="33">
        <v>0.21699999999999994</v>
      </c>
      <c r="AI33" s="32">
        <v>-1.45</v>
      </c>
      <c r="AJ33" s="30">
        <v>0</v>
      </c>
      <c r="AK33" s="30">
        <v>-1.0000000000000002</v>
      </c>
      <c r="AL33" s="33">
        <v>-2.5</v>
      </c>
      <c r="AM33" s="30">
        <v>0</v>
      </c>
      <c r="AN33" s="30">
        <v>-0.25</v>
      </c>
      <c r="AO33" s="30">
        <v>-0.49975000000000003</v>
      </c>
      <c r="AP33" s="33">
        <v>0.24975000000000003</v>
      </c>
      <c r="AQ33" s="30">
        <v>-1</v>
      </c>
      <c r="AR33" s="30">
        <v>24</v>
      </c>
      <c r="AS33" s="30">
        <v>0</v>
      </c>
      <c r="AT33" s="33">
        <v>-5</v>
      </c>
      <c r="AU33" s="30">
        <v>-4</v>
      </c>
      <c r="AV33" s="30">
        <v>0</v>
      </c>
      <c r="AW33" s="30">
        <v>1</v>
      </c>
      <c r="AX33" s="33">
        <v>-2</v>
      </c>
      <c r="AY33" s="30">
        <v>-5</v>
      </c>
      <c r="AZ33" s="30">
        <v>-11</v>
      </c>
      <c r="BA33" s="30">
        <v>-10</v>
      </c>
      <c r="BB33" s="33">
        <v>-10</v>
      </c>
      <c r="BC33" s="30">
        <f>(BS!BC26-BS!BB26)+(BS!BC35-BS!BB35)</f>
        <v>0</v>
      </c>
      <c r="BD33" s="30">
        <f>(BS!BD26-BS!BC26)+(BS!BD35-BS!BC35)</f>
        <v>0</v>
      </c>
      <c r="BE33" s="53">
        <f>(BS!BE26-BS!BD26)+(BS!BE35-BS!BD35)</f>
        <v>0</v>
      </c>
      <c r="BF33" s="282">
        <f>(BS!BF26-BS!BE26)+(BS!BF35-BS!BE35)</f>
        <v>0</v>
      </c>
      <c r="BG33" s="30">
        <f>(BS!BG26-BS!BF26)+(BS!BG35-BS!BF35)</f>
        <v>0</v>
      </c>
      <c r="BH33" s="30">
        <f>(BS!BH26-BS!BG26)+(BS!BH35-BS!BG35)</f>
        <v>0</v>
      </c>
      <c r="BI33" s="53">
        <f>(BS!BI26-BS!BH26)+(BS!BI35-BS!BH35)</f>
        <v>0</v>
      </c>
      <c r="BJ33" s="282">
        <f>(BS!BJ26-BS!BI26)+(BS!BJ35-BS!BI35)</f>
        <v>0</v>
      </c>
      <c r="BK33" s="30">
        <f>(BS!BK26-BS!BJ26)+(BS!BK35-BS!BJ35)</f>
        <v>0</v>
      </c>
      <c r="BL33" s="30">
        <f>(BS!BL26-BS!BK26)+(BS!BL35-BS!BK35)</f>
        <v>0</v>
      </c>
      <c r="BM33" s="53">
        <f>(BS!BM26-BS!BL26)+(BS!BM35-BS!BL35)</f>
        <v>0</v>
      </c>
      <c r="BN33" s="282">
        <f>(BS!BN26-BS!BM26)+(BS!BN35-BS!BM35)</f>
        <v>0</v>
      </c>
      <c r="BO33" s="195"/>
      <c r="BP33" s="59">
        <f t="shared" si="21"/>
        <v>-9.6839999999999993</v>
      </c>
      <c r="BQ33" s="59">
        <f t="shared" si="22"/>
        <v>0</v>
      </c>
      <c r="BR33" s="59">
        <f t="shared" si="23"/>
        <v>-1.6220000000000001</v>
      </c>
      <c r="BS33" s="59">
        <f t="shared" si="24"/>
        <v>-0.44200000000000017</v>
      </c>
      <c r="BT33" s="59">
        <f t="shared" si="25"/>
        <v>-0.21799999999999997</v>
      </c>
      <c r="BU33" s="59">
        <f t="shared" si="26"/>
        <v>-2.1630000000000003</v>
      </c>
      <c r="BV33" s="59">
        <f t="shared" si="27"/>
        <v>-1.59</v>
      </c>
      <c r="BW33" s="59">
        <f t="shared" si="28"/>
        <v>0.35199999999999998</v>
      </c>
      <c r="BX33" s="59">
        <f t="shared" si="29"/>
        <v>-4.95</v>
      </c>
      <c r="BY33" s="59">
        <f t="shared" si="30"/>
        <v>-0.5</v>
      </c>
      <c r="BZ33" s="59">
        <f t="shared" si="31"/>
        <v>18</v>
      </c>
      <c r="CA33" s="73">
        <f t="shared" si="32"/>
        <v>-5</v>
      </c>
      <c r="CB33" s="73">
        <f t="shared" si="33"/>
        <v>-36</v>
      </c>
      <c r="CC33" s="73">
        <f t="shared" si="34"/>
        <v>0</v>
      </c>
      <c r="CD33" s="73">
        <f t="shared" si="35"/>
        <v>0</v>
      </c>
      <c r="CE33" s="73">
        <f t="shared" si="16"/>
        <v>0</v>
      </c>
      <c r="CF33" s="90"/>
      <c r="CG33" s="102"/>
      <c r="CH33" s="821"/>
      <c r="CJ33" s="88"/>
      <c r="CK33" s="821"/>
      <c r="CL33" s="821"/>
      <c r="CM33" s="821"/>
      <c r="CX33"/>
      <c r="CY33"/>
      <c r="CZ33"/>
      <c r="DA33"/>
      <c r="DB33"/>
      <c r="DC33"/>
    </row>
    <row r="34" spans="2:107" s="5" customFormat="1">
      <c r="B34" s="276" t="s">
        <v>50</v>
      </c>
      <c r="C34" s="278">
        <v>-4.6110000000000042</v>
      </c>
      <c r="D34" s="278">
        <v>-55.677999999999997</v>
      </c>
      <c r="E34" s="278">
        <v>29.204999999999991</v>
      </c>
      <c r="F34" s="279">
        <v>-10.702999999999975</v>
      </c>
      <c r="G34" s="278">
        <v>-157.51400000000001</v>
      </c>
      <c r="H34" s="278">
        <v>-15.030999999999977</v>
      </c>
      <c r="I34" s="278">
        <v>3.6309999999999745</v>
      </c>
      <c r="J34" s="279">
        <v>-357.47899999999998</v>
      </c>
      <c r="K34" s="278">
        <v>-79.77200000000002</v>
      </c>
      <c r="L34" s="278">
        <v>-48.455999999999989</v>
      </c>
      <c r="M34" s="278">
        <v>-207.172</v>
      </c>
      <c r="N34" s="279">
        <v>-425.91800000000006</v>
      </c>
      <c r="O34" s="278">
        <v>24.532999999999994</v>
      </c>
      <c r="P34" s="278">
        <v>-174.64599999999993</v>
      </c>
      <c r="Q34" s="278">
        <v>-27.9020000000001</v>
      </c>
      <c r="R34" s="279">
        <v>-31.352000000000007</v>
      </c>
      <c r="S34" s="278">
        <v>-8.9050000000000011</v>
      </c>
      <c r="T34" s="278">
        <v>-131.15700000000004</v>
      </c>
      <c r="U34" s="278">
        <v>-95.497000000000099</v>
      </c>
      <c r="V34" s="279">
        <v>-283.774</v>
      </c>
      <c r="W34" s="278">
        <v>-57.342000000000013</v>
      </c>
      <c r="X34" s="278">
        <v>-119.10100000000003</v>
      </c>
      <c r="Y34" s="278">
        <v>-163.98400000000007</v>
      </c>
      <c r="Z34" s="279">
        <v>-309.25099999999992</v>
      </c>
      <c r="AA34" s="278">
        <v>-252.50600000000003</v>
      </c>
      <c r="AB34" s="278">
        <v>-273.21800000000002</v>
      </c>
      <c r="AC34" s="278">
        <v>-289.14499999999987</v>
      </c>
      <c r="AD34" s="279">
        <v>-328.49500000000006</v>
      </c>
      <c r="AE34" s="278">
        <v>-335.05399999999997</v>
      </c>
      <c r="AF34" s="278">
        <v>-84.703000000000031</v>
      </c>
      <c r="AG34" s="278">
        <v>-182.79900000000009</v>
      </c>
      <c r="AH34" s="279">
        <v>-141.43599999999986</v>
      </c>
      <c r="AI34" s="277">
        <v>-230.786</v>
      </c>
      <c r="AJ34" s="278">
        <v>711.81799999999998</v>
      </c>
      <c r="AK34" s="278">
        <v>-187.37299999999999</v>
      </c>
      <c r="AL34" s="279">
        <v>-1099.596</v>
      </c>
      <c r="AM34" s="278">
        <v>-330.322</v>
      </c>
      <c r="AN34" s="278">
        <v>-62.954000000000008</v>
      </c>
      <c r="AO34" s="278">
        <v>-15.59499999999997</v>
      </c>
      <c r="AP34" s="279">
        <v>-318.17700000000002</v>
      </c>
      <c r="AQ34" s="278">
        <v>-235</v>
      </c>
      <c r="AR34" s="278">
        <v>247</v>
      </c>
      <c r="AS34" s="278">
        <v>-199</v>
      </c>
      <c r="AT34" s="279">
        <v>-213</v>
      </c>
      <c r="AU34" s="278">
        <v>176</v>
      </c>
      <c r="AV34" s="278">
        <v>-269</v>
      </c>
      <c r="AW34" s="278">
        <v>-327</v>
      </c>
      <c r="AX34" s="279">
        <v>-373</v>
      </c>
      <c r="AY34" s="278">
        <v>754</v>
      </c>
      <c r="AZ34" s="278">
        <v>262</v>
      </c>
      <c r="BA34" s="278">
        <v>286</v>
      </c>
      <c r="BB34" s="279">
        <v>-24</v>
      </c>
      <c r="BC34" s="966">
        <f t="shared" ref="BC34:BJ34" si="36">SUM(BC27:BC33)</f>
        <v>-81.801977773279518</v>
      </c>
      <c r="BD34" s="966">
        <f t="shared" si="36"/>
        <v>-88.418203611290537</v>
      </c>
      <c r="BE34" s="966">
        <f t="shared" si="36"/>
        <v>-95.445490379922475</v>
      </c>
      <c r="BF34" s="253">
        <f t="shared" si="36"/>
        <v>-99.131193730181266</v>
      </c>
      <c r="BG34" s="278">
        <f t="shared" si="36"/>
        <v>-88.806346181260608</v>
      </c>
      <c r="BH34" s="278">
        <f t="shared" si="36"/>
        <v>-99.441838382939309</v>
      </c>
      <c r="BI34" s="278">
        <f t="shared" si="36"/>
        <v>-107.55320664268639</v>
      </c>
      <c r="BJ34" s="253">
        <f t="shared" si="36"/>
        <v>-109.06282218866203</v>
      </c>
      <c r="BK34" s="278">
        <f t="shared" ref="BK34:BN34" si="37">SUM(BK27:BK33)</f>
        <v>-98.247541366529589</v>
      </c>
      <c r="BL34" s="278">
        <f t="shared" si="37"/>
        <v>-110.16255328244139</v>
      </c>
      <c r="BM34" s="278">
        <f t="shared" si="37"/>
        <v>-118.29071951048479</v>
      </c>
      <c r="BN34" s="253">
        <f t="shared" si="37"/>
        <v>-120.5848306479196</v>
      </c>
      <c r="BO34" s="196"/>
      <c r="BP34" s="105">
        <f t="shared" si="21"/>
        <v>-41.786999999999985</v>
      </c>
      <c r="BQ34" s="105">
        <f t="shared" si="22"/>
        <v>-526.39300000000003</v>
      </c>
      <c r="BR34" s="105">
        <f t="shared" si="23"/>
        <v>-761.31799999999998</v>
      </c>
      <c r="BS34" s="105">
        <f t="shared" si="24"/>
        <v>-209.36700000000005</v>
      </c>
      <c r="BT34" s="105">
        <f t="shared" si="25"/>
        <v>-519.33300000000008</v>
      </c>
      <c r="BU34" s="105">
        <f t="shared" si="26"/>
        <v>-649.67800000000011</v>
      </c>
      <c r="BV34" s="105">
        <f t="shared" si="27"/>
        <v>-1143.364</v>
      </c>
      <c r="BW34" s="105">
        <f t="shared" si="28"/>
        <v>-743.99199999999996</v>
      </c>
      <c r="BX34" s="105">
        <f t="shared" si="29"/>
        <v>-805.93700000000001</v>
      </c>
      <c r="BY34" s="105">
        <f t="shared" si="30"/>
        <v>-727.048</v>
      </c>
      <c r="BZ34" s="105">
        <f t="shared" si="31"/>
        <v>-400</v>
      </c>
      <c r="CA34" s="280">
        <f t="shared" si="32"/>
        <v>-793</v>
      </c>
      <c r="CB34" s="280">
        <f t="shared" si="33"/>
        <v>1278</v>
      </c>
      <c r="CC34" s="280">
        <f t="shared" si="34"/>
        <v>-364.7968654946738</v>
      </c>
      <c r="CD34" s="280">
        <f t="shared" si="35"/>
        <v>-404.86421339554835</v>
      </c>
      <c r="CE34" s="280">
        <f t="shared" si="16"/>
        <v>-447.28564480737538</v>
      </c>
      <c r="CF34" s="90"/>
      <c r="CG34" s="102"/>
      <c r="CH34" s="90"/>
      <c r="CJ34" s="88"/>
      <c r="CK34" s="821"/>
      <c r="CL34" s="821"/>
      <c r="CM34" s="821"/>
      <c r="CX34"/>
      <c r="CY34"/>
      <c r="CZ34"/>
      <c r="DA34"/>
      <c r="DB34"/>
      <c r="DC34"/>
    </row>
    <row r="35" spans="2:107">
      <c r="AI35" s="203"/>
      <c r="BC35" s="967"/>
      <c r="BD35" s="967"/>
      <c r="BE35" s="96"/>
      <c r="BF35" s="456"/>
      <c r="BI35" s="426"/>
      <c r="BJ35" s="456"/>
      <c r="BM35" s="426"/>
      <c r="BN35" s="456"/>
      <c r="BZ35" s="115"/>
      <c r="CF35" s="90"/>
      <c r="CG35" s="102"/>
      <c r="CJ35" s="426"/>
    </row>
    <row r="36" spans="2:107" s="5" customFormat="1">
      <c r="B36" s="11" t="s">
        <v>51</v>
      </c>
      <c r="C36" s="32"/>
      <c r="D36" s="30"/>
      <c r="E36" s="30"/>
      <c r="F36" s="33"/>
      <c r="G36" s="30"/>
      <c r="H36" s="30"/>
      <c r="I36" s="30"/>
      <c r="J36" s="33"/>
      <c r="K36" s="30"/>
      <c r="L36" s="30"/>
      <c r="M36" s="30"/>
      <c r="N36" s="33"/>
      <c r="O36" s="30"/>
      <c r="P36" s="30"/>
      <c r="Q36" s="30"/>
      <c r="R36" s="33"/>
      <c r="S36" s="30"/>
      <c r="T36" s="30"/>
      <c r="U36" s="30"/>
      <c r="V36" s="33"/>
      <c r="W36" s="30"/>
      <c r="X36" s="30"/>
      <c r="Y36" s="30"/>
      <c r="Z36" s="33"/>
      <c r="AA36" s="30"/>
      <c r="AB36" s="30"/>
      <c r="AC36" s="30"/>
      <c r="AD36" s="33"/>
      <c r="AE36" s="30"/>
      <c r="AF36" s="30"/>
      <c r="AG36" s="30"/>
      <c r="AH36" s="33"/>
      <c r="AI36" s="32"/>
      <c r="AJ36" s="53"/>
      <c r="AK36" s="53"/>
      <c r="AL36" s="33"/>
      <c r="AM36" s="30"/>
      <c r="AN36" s="53"/>
      <c r="AO36" s="53"/>
      <c r="AP36" s="33"/>
      <c r="AQ36" s="30"/>
      <c r="AR36" s="53"/>
      <c r="AS36" s="53"/>
      <c r="AT36" s="33"/>
      <c r="AU36" s="30"/>
      <c r="AV36" s="53"/>
      <c r="AW36" s="53"/>
      <c r="AX36" s="33"/>
      <c r="AY36" s="30"/>
      <c r="AZ36" s="53"/>
      <c r="BA36" s="53"/>
      <c r="BB36" s="33"/>
      <c r="BC36" s="30"/>
      <c r="BD36" s="53"/>
      <c r="BE36" s="53"/>
      <c r="BF36" s="282"/>
      <c r="BG36" s="30"/>
      <c r="BH36" s="53"/>
      <c r="BI36" s="53"/>
      <c r="BJ36" s="282"/>
      <c r="BK36" s="30"/>
      <c r="BL36" s="53"/>
      <c r="BM36" s="53"/>
      <c r="BN36" s="282"/>
      <c r="BO36" s="195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C36" s="925"/>
      <c r="CD36" s="925"/>
      <c r="CE36" s="925"/>
      <c r="CF36" s="90"/>
      <c r="CG36" s="102"/>
      <c r="CH36" s="821"/>
      <c r="CJ36" s="88"/>
      <c r="CK36" s="821"/>
      <c r="CL36" s="821"/>
      <c r="CM36" s="821"/>
      <c r="CX36"/>
      <c r="CY36"/>
      <c r="CZ36"/>
      <c r="DA36"/>
      <c r="DB36"/>
      <c r="DC36"/>
    </row>
    <row r="37" spans="2:107" s="5" customFormat="1">
      <c r="B37" s="10" t="s">
        <v>64</v>
      </c>
      <c r="C37" s="32">
        <v>0</v>
      </c>
      <c r="D37" s="30">
        <v>0</v>
      </c>
      <c r="E37" s="30">
        <v>0</v>
      </c>
      <c r="F37" s="33">
        <v>0</v>
      </c>
      <c r="G37" s="30">
        <v>0</v>
      </c>
      <c r="H37" s="30">
        <v>0</v>
      </c>
      <c r="I37" s="30">
        <v>0</v>
      </c>
      <c r="J37" s="33">
        <v>0</v>
      </c>
      <c r="K37" s="30">
        <v>0</v>
      </c>
      <c r="L37" s="30">
        <v>0</v>
      </c>
      <c r="M37" s="30">
        <v>0</v>
      </c>
      <c r="N37" s="33">
        <v>0</v>
      </c>
      <c r="O37" s="30">
        <v>0</v>
      </c>
      <c r="P37" s="30">
        <v>0</v>
      </c>
      <c r="Q37" s="30">
        <v>0</v>
      </c>
      <c r="R37" s="33">
        <v>0</v>
      </c>
      <c r="S37" s="30">
        <v>0</v>
      </c>
      <c r="T37" s="30">
        <v>0</v>
      </c>
      <c r="U37" s="30">
        <v>0</v>
      </c>
      <c r="V37" s="33">
        <v>0</v>
      </c>
      <c r="W37" s="30">
        <v>0</v>
      </c>
      <c r="X37" s="30">
        <v>0</v>
      </c>
      <c r="Y37" s="30">
        <v>0</v>
      </c>
      <c r="Z37" s="33">
        <v>0</v>
      </c>
      <c r="AA37" s="30">
        <v>0</v>
      </c>
      <c r="AB37" s="30">
        <v>0</v>
      </c>
      <c r="AC37" s="30">
        <v>0</v>
      </c>
      <c r="AD37" s="33">
        <v>0</v>
      </c>
      <c r="AE37" s="30">
        <v>0</v>
      </c>
      <c r="AF37" s="30">
        <v>0</v>
      </c>
      <c r="AG37" s="30">
        <v>0</v>
      </c>
      <c r="AH37" s="33">
        <v>0</v>
      </c>
      <c r="AI37" s="32">
        <v>0</v>
      </c>
      <c r="AJ37" s="30">
        <v>0</v>
      </c>
      <c r="AK37" s="30">
        <v>0</v>
      </c>
      <c r="AL37" s="33">
        <v>1477.5</v>
      </c>
      <c r="AM37" s="30">
        <v>0</v>
      </c>
      <c r="AN37" s="30">
        <v>0</v>
      </c>
      <c r="AO37" s="30">
        <v>0</v>
      </c>
      <c r="AP37" s="33">
        <v>0</v>
      </c>
      <c r="AQ37" s="30">
        <v>0</v>
      </c>
      <c r="AR37" s="30">
        <v>0</v>
      </c>
      <c r="AS37" s="30">
        <v>0</v>
      </c>
      <c r="AT37" s="33">
        <v>0</v>
      </c>
      <c r="AU37" s="30">
        <v>0</v>
      </c>
      <c r="AV37" s="30">
        <v>0</v>
      </c>
      <c r="AW37" s="30">
        <v>1540</v>
      </c>
      <c r="AX37" s="33">
        <v>448</v>
      </c>
      <c r="AY37" s="30">
        <v>0</v>
      </c>
      <c r="AZ37" s="30">
        <v>0</v>
      </c>
      <c r="BA37" s="30">
        <v>0</v>
      </c>
      <c r="BB37" s="33">
        <v>0</v>
      </c>
      <c r="BC37" s="968">
        <f>BS!BC25-BS!BB25</f>
        <v>0</v>
      </c>
      <c r="BD37" s="30">
        <f>BS!BD25-BS!BC25</f>
        <v>0</v>
      </c>
      <c r="BE37" s="53">
        <f>BS!BE25-BS!BD25</f>
        <v>0</v>
      </c>
      <c r="BF37" s="282">
        <f>BS!BF25-BS!BE25</f>
        <v>0</v>
      </c>
      <c r="BG37" s="30">
        <f>BS!BG25-BS!BF25</f>
        <v>0</v>
      </c>
      <c r="BH37" s="30">
        <f>BS!BH25-BS!BG25</f>
        <v>0</v>
      </c>
      <c r="BI37" s="53">
        <f>BS!BI25-BS!BH25</f>
        <v>0</v>
      </c>
      <c r="BJ37" s="282">
        <f>BS!BJ25-BS!BI25</f>
        <v>0</v>
      </c>
      <c r="BK37" s="30">
        <f>BS!BK25-BS!BJ25</f>
        <v>0</v>
      </c>
      <c r="BL37" s="30">
        <f>BS!BL25-BS!BK25</f>
        <v>0</v>
      </c>
      <c r="BM37" s="53">
        <f>BS!BM25-BS!BL25</f>
        <v>0</v>
      </c>
      <c r="BN37" s="282">
        <f>BS!BN25-BS!BM25</f>
        <v>0</v>
      </c>
      <c r="BO37" s="195"/>
      <c r="BP37" s="59">
        <f t="shared" ref="BP37:BP46" si="38">SUM(C37:F37)</f>
        <v>0</v>
      </c>
      <c r="BQ37" s="59">
        <f t="shared" ref="BQ37:BQ46" si="39">SUM(G37:J37)</f>
        <v>0</v>
      </c>
      <c r="BR37" s="59">
        <f t="shared" ref="BR37:BR46" si="40">SUM(K37:N37)</f>
        <v>0</v>
      </c>
      <c r="BS37" s="59">
        <f t="shared" ref="BS37:BS46" si="41">SUM(O37:R37)</f>
        <v>0</v>
      </c>
      <c r="BT37" s="59">
        <f t="shared" ref="BT37:BT46" si="42">SUM(S37:V37)</f>
        <v>0</v>
      </c>
      <c r="BU37" s="59">
        <f t="shared" ref="BU37:BU46" si="43">SUM(W37:Z37)</f>
        <v>0</v>
      </c>
      <c r="BV37" s="59">
        <f t="shared" ref="BV37:BV46" si="44">SUM(AA37:AD37)</f>
        <v>0</v>
      </c>
      <c r="BW37" s="59">
        <f t="shared" ref="BW37:BW46" si="45">SUM(AE37:AH37)</f>
        <v>0</v>
      </c>
      <c r="BX37" s="59">
        <f t="shared" ref="BX37:BX46" si="46">SUM(AI37:AL37)</f>
        <v>1477.5</v>
      </c>
      <c r="BY37" s="59">
        <f t="shared" ref="BY37:BY46" si="47">SUM(AM37:AP37)</f>
        <v>0</v>
      </c>
      <c r="BZ37" s="59">
        <f t="shared" ref="BZ37:BZ45" si="48">SUM(AQ37:AT37)</f>
        <v>0</v>
      </c>
      <c r="CA37" s="73">
        <f t="shared" ref="CA37:CA39" si="49">SUM(AU37:AX37)</f>
        <v>1988</v>
      </c>
      <c r="CB37" s="73">
        <f t="shared" ref="CB37:CB47" si="50">SUM(AY37:BB37)</f>
        <v>0</v>
      </c>
      <c r="CC37" s="73">
        <f t="shared" ref="CC37:CC46" si="51">SUM(BC37:BF37)</f>
        <v>0</v>
      </c>
      <c r="CD37" s="73">
        <f t="shared" ref="CD37:CD46" si="52">SUM(BG37:BJ37)</f>
        <v>0</v>
      </c>
      <c r="CE37" s="73">
        <f t="shared" ref="CE37:CE45" si="53">SUM(BK37:BN37)</f>
        <v>0</v>
      </c>
      <c r="CF37" s="90"/>
      <c r="CG37" s="102"/>
      <c r="CH37" s="821"/>
      <c r="CJ37" s="972"/>
      <c r="CK37" s="971"/>
      <c r="CL37" s="971"/>
      <c r="CM37" s="971"/>
      <c r="CX37"/>
      <c r="CY37"/>
      <c r="CZ37"/>
      <c r="DA37"/>
      <c r="DB37"/>
      <c r="DC37"/>
    </row>
    <row r="38" spans="2:107" s="5" customFormat="1">
      <c r="B38" s="10" t="s">
        <v>52</v>
      </c>
      <c r="C38" s="32">
        <v>0</v>
      </c>
      <c r="D38" s="30">
        <v>0</v>
      </c>
      <c r="E38" s="30">
        <v>0</v>
      </c>
      <c r="F38" s="33">
        <v>0</v>
      </c>
      <c r="G38" s="30">
        <v>0</v>
      </c>
      <c r="H38" s="30">
        <v>0</v>
      </c>
      <c r="I38" s="30">
        <v>0</v>
      </c>
      <c r="J38" s="33">
        <v>0</v>
      </c>
      <c r="K38" s="30">
        <v>0</v>
      </c>
      <c r="L38" s="30">
        <v>0</v>
      </c>
      <c r="M38" s="30">
        <v>0</v>
      </c>
      <c r="N38" s="33">
        <v>0</v>
      </c>
      <c r="O38" s="30">
        <v>0</v>
      </c>
      <c r="P38" s="30">
        <v>0</v>
      </c>
      <c r="Q38" s="30">
        <v>0</v>
      </c>
      <c r="R38" s="33">
        <v>0</v>
      </c>
      <c r="S38" s="30">
        <v>0</v>
      </c>
      <c r="T38" s="30">
        <v>0</v>
      </c>
      <c r="U38" s="30">
        <v>0</v>
      </c>
      <c r="V38" s="33">
        <v>0</v>
      </c>
      <c r="W38" s="30">
        <v>0</v>
      </c>
      <c r="X38" s="30">
        <v>0</v>
      </c>
      <c r="Y38" s="30">
        <v>0</v>
      </c>
      <c r="Z38" s="33">
        <v>0</v>
      </c>
      <c r="AA38" s="30">
        <v>0</v>
      </c>
      <c r="AB38" s="30">
        <v>0</v>
      </c>
      <c r="AC38" s="30">
        <v>0</v>
      </c>
      <c r="AD38" s="33">
        <v>0</v>
      </c>
      <c r="AE38" s="30">
        <v>0</v>
      </c>
      <c r="AF38" s="30">
        <v>0</v>
      </c>
      <c r="AG38" s="30">
        <v>0</v>
      </c>
      <c r="AH38" s="33">
        <v>0</v>
      </c>
      <c r="AI38" s="32">
        <v>0</v>
      </c>
      <c r="AJ38" s="30">
        <v>0</v>
      </c>
      <c r="AK38" s="30">
        <v>0</v>
      </c>
      <c r="AL38" s="33">
        <v>-167.1</v>
      </c>
      <c r="AM38" s="30">
        <v>0</v>
      </c>
      <c r="AN38" s="30">
        <v>0</v>
      </c>
      <c r="AO38" s="30">
        <v>0</v>
      </c>
      <c r="AP38" s="33">
        <v>0</v>
      </c>
      <c r="AQ38" s="30">
        <v>0</v>
      </c>
      <c r="AR38" s="30">
        <v>0</v>
      </c>
      <c r="AS38" s="30">
        <v>0</v>
      </c>
      <c r="AT38" s="33">
        <v>0</v>
      </c>
      <c r="AU38" s="30">
        <v>0</v>
      </c>
      <c r="AV38" s="30">
        <v>0</v>
      </c>
      <c r="AW38" s="30">
        <v>0</v>
      </c>
      <c r="AX38" s="33">
        <v>-673</v>
      </c>
      <c r="AY38" s="30">
        <v>-605</v>
      </c>
      <c r="AZ38" s="30">
        <v>-136</v>
      </c>
      <c r="BA38" s="30">
        <v>-62</v>
      </c>
      <c r="BB38" s="33">
        <v>-9</v>
      </c>
      <c r="BC38" s="968"/>
      <c r="BD38" s="30"/>
      <c r="BE38" s="53"/>
      <c r="BF38" s="282"/>
      <c r="BG38" s="30"/>
      <c r="BH38" s="30"/>
      <c r="BI38" s="53"/>
      <c r="BJ38" s="282"/>
      <c r="BK38" s="30"/>
      <c r="BL38" s="30"/>
      <c r="BM38" s="53"/>
      <c r="BN38" s="282"/>
      <c r="BO38" s="195"/>
      <c r="BP38" s="59">
        <f t="shared" si="38"/>
        <v>0</v>
      </c>
      <c r="BQ38" s="59">
        <f t="shared" si="39"/>
        <v>0</v>
      </c>
      <c r="BR38" s="59">
        <f t="shared" si="40"/>
        <v>0</v>
      </c>
      <c r="BS38" s="59">
        <f t="shared" si="41"/>
        <v>0</v>
      </c>
      <c r="BT38" s="59">
        <f t="shared" si="42"/>
        <v>0</v>
      </c>
      <c r="BU38" s="59">
        <f t="shared" si="43"/>
        <v>0</v>
      </c>
      <c r="BV38" s="59">
        <f t="shared" si="44"/>
        <v>0</v>
      </c>
      <c r="BW38" s="59">
        <f t="shared" si="45"/>
        <v>0</v>
      </c>
      <c r="BX38" s="59">
        <f t="shared" si="46"/>
        <v>-167.1</v>
      </c>
      <c r="BY38" s="59">
        <f t="shared" si="47"/>
        <v>0</v>
      </c>
      <c r="BZ38" s="59">
        <f t="shared" si="48"/>
        <v>0</v>
      </c>
      <c r="CA38" s="73">
        <f t="shared" si="49"/>
        <v>-673</v>
      </c>
      <c r="CB38" s="73">
        <f t="shared" si="50"/>
        <v>-812</v>
      </c>
      <c r="CC38" s="73">
        <f t="shared" si="51"/>
        <v>0</v>
      </c>
      <c r="CD38" s="73">
        <f t="shared" si="52"/>
        <v>0</v>
      </c>
      <c r="CE38" s="73">
        <f t="shared" si="53"/>
        <v>0</v>
      </c>
      <c r="CF38" s="90"/>
      <c r="CG38" s="102"/>
      <c r="CH38" s="821"/>
      <c r="CX38"/>
      <c r="CY38"/>
      <c r="CZ38"/>
      <c r="DA38"/>
      <c r="DB38"/>
      <c r="DC38"/>
    </row>
    <row r="39" spans="2:107" s="5" customFormat="1">
      <c r="B39" s="10" t="s">
        <v>65</v>
      </c>
      <c r="C39" s="32">
        <v>0</v>
      </c>
      <c r="D39" s="30">
        <v>0</v>
      </c>
      <c r="E39" s="30">
        <v>0</v>
      </c>
      <c r="F39" s="33">
        <v>0</v>
      </c>
      <c r="G39" s="30">
        <v>0</v>
      </c>
      <c r="H39" s="30">
        <v>0</v>
      </c>
      <c r="I39" s="30">
        <v>0</v>
      </c>
      <c r="J39" s="33">
        <v>0</v>
      </c>
      <c r="K39" s="30">
        <v>0</v>
      </c>
      <c r="L39" s="30">
        <v>0</v>
      </c>
      <c r="M39" s="30">
        <v>0</v>
      </c>
      <c r="N39" s="33">
        <v>0</v>
      </c>
      <c r="O39" s="30">
        <v>0</v>
      </c>
      <c r="P39" s="30">
        <v>0</v>
      </c>
      <c r="Q39" s="30">
        <v>0</v>
      </c>
      <c r="R39" s="33">
        <v>0</v>
      </c>
      <c r="S39" s="30">
        <v>0</v>
      </c>
      <c r="T39" s="30">
        <v>0</v>
      </c>
      <c r="U39" s="30">
        <v>0</v>
      </c>
      <c r="V39" s="33">
        <v>0</v>
      </c>
      <c r="W39" s="30">
        <v>0</v>
      </c>
      <c r="X39" s="30">
        <v>0</v>
      </c>
      <c r="Y39" s="30">
        <v>0</v>
      </c>
      <c r="Z39" s="33">
        <v>0</v>
      </c>
      <c r="AA39" s="30">
        <v>0</v>
      </c>
      <c r="AB39" s="30">
        <v>0</v>
      </c>
      <c r="AC39" s="30">
        <v>0</v>
      </c>
      <c r="AD39" s="33">
        <v>0</v>
      </c>
      <c r="AE39" s="30">
        <v>0</v>
      </c>
      <c r="AF39" s="30">
        <v>0</v>
      </c>
      <c r="AG39" s="30">
        <v>0</v>
      </c>
      <c r="AH39" s="33">
        <v>0</v>
      </c>
      <c r="AI39" s="32">
        <v>0</v>
      </c>
      <c r="AJ39" s="30">
        <v>0</v>
      </c>
      <c r="AK39" s="30">
        <v>0</v>
      </c>
      <c r="AL39" s="33">
        <v>59.1</v>
      </c>
      <c r="AM39" s="30">
        <v>0</v>
      </c>
      <c r="AN39" s="30">
        <v>0</v>
      </c>
      <c r="AO39" s="30">
        <v>0</v>
      </c>
      <c r="AP39" s="33">
        <v>0</v>
      </c>
      <c r="AQ39" s="30">
        <v>0</v>
      </c>
      <c r="AR39" s="30">
        <v>0</v>
      </c>
      <c r="AS39" s="30">
        <v>0</v>
      </c>
      <c r="AT39" s="33">
        <v>0</v>
      </c>
      <c r="AU39" s="30">
        <v>0</v>
      </c>
      <c r="AV39" s="30">
        <v>0</v>
      </c>
      <c r="AW39" s="30">
        <v>0</v>
      </c>
      <c r="AX39" s="33">
        <v>0</v>
      </c>
      <c r="AY39" s="30">
        <v>0</v>
      </c>
      <c r="AZ39" s="30">
        <v>0</v>
      </c>
      <c r="BA39" s="30">
        <v>0</v>
      </c>
      <c r="BB39" s="33">
        <v>0</v>
      </c>
      <c r="BC39" s="968">
        <f>(BS!BC31-BS!BB31)+(BS!BC32-BS!BB32)+(BS!BC33-BS!BB33)-BC10</f>
        <v>0</v>
      </c>
      <c r="BD39" s="30">
        <f>(BS!BD31-BS!BC31)+(BS!BD32-BS!BC32)+(BS!BD33-BS!BC33)-BD10</f>
        <v>0</v>
      </c>
      <c r="BE39" s="67">
        <f>(BS!BE31-BS!BD31)+(BS!BE32-BS!BD32)+(BS!BE33-BS!BD33)-BE10</f>
        <v>0</v>
      </c>
      <c r="BF39" s="236">
        <f>(BS!BF31-BS!BE31)+(BS!BF32-BS!BE32)+(BS!BF33-BS!BE33)-BF10</f>
        <v>0</v>
      </c>
      <c r="BG39" s="30">
        <f>(BS!BG31-BS!BF31)+(BS!BG32-BS!BF32)+(BS!BG33-BS!BF33)-BG10</f>
        <v>0</v>
      </c>
      <c r="BH39" s="30">
        <f>(BS!BH31-BS!BG31)+(BS!BH32-BS!BG32)+(BS!BH33-BS!BG33)-BH10</f>
        <v>0</v>
      </c>
      <c r="BI39" s="67">
        <f>(BS!BI31-BS!BH31)+(BS!BI32-BS!BH32)+(BS!BI33-BS!BH33)-BI10</f>
        <v>0</v>
      </c>
      <c r="BJ39" s="236">
        <f>(BS!BJ31-BS!BI31)+(BS!BJ32-BS!BI32)+(BS!BJ33-BS!BI33)-BJ10</f>
        <v>0</v>
      </c>
      <c r="BK39" s="30">
        <f>(BS!BK31-BS!BJ31)+(BS!BK32-BS!BJ32)+(BS!BK33-BS!BJ33)-BK10</f>
        <v>0</v>
      </c>
      <c r="BL39" s="30">
        <f>(BS!BL31-BS!BK31)+(BS!BL32-BS!BK32)+(BS!BL33-BS!BK33)-BL10</f>
        <v>0</v>
      </c>
      <c r="BM39" s="67">
        <f>(BS!BM31-BS!BL31)+(BS!BM32-BS!BL32)+(BS!BM33-BS!BL33)-BM10</f>
        <v>0</v>
      </c>
      <c r="BN39" s="236">
        <f>(BS!BN31-BS!BM31)+(BS!BN32-BS!BM32)+(BS!BN33-BS!BM33)-BN10</f>
        <v>0</v>
      </c>
      <c r="BO39" s="195"/>
      <c r="BP39" s="59">
        <f t="shared" si="38"/>
        <v>0</v>
      </c>
      <c r="BQ39" s="59">
        <f t="shared" si="39"/>
        <v>0</v>
      </c>
      <c r="BR39" s="59">
        <f t="shared" si="40"/>
        <v>0</v>
      </c>
      <c r="BS39" s="59">
        <f t="shared" si="41"/>
        <v>0</v>
      </c>
      <c r="BT39" s="59">
        <f t="shared" si="42"/>
        <v>0</v>
      </c>
      <c r="BU39" s="59">
        <f t="shared" si="43"/>
        <v>0</v>
      </c>
      <c r="BV39" s="59">
        <f t="shared" si="44"/>
        <v>0</v>
      </c>
      <c r="BW39" s="59">
        <f t="shared" si="45"/>
        <v>0</v>
      </c>
      <c r="BX39" s="59">
        <f t="shared" si="46"/>
        <v>59.1</v>
      </c>
      <c r="BY39" s="59">
        <f t="shared" si="47"/>
        <v>0</v>
      </c>
      <c r="BZ39" s="59">
        <f t="shared" si="48"/>
        <v>0</v>
      </c>
      <c r="CA39" s="73">
        <f t="shared" si="49"/>
        <v>0</v>
      </c>
      <c r="CB39" s="73">
        <f t="shared" si="50"/>
        <v>0</v>
      </c>
      <c r="CC39" s="73">
        <f t="shared" si="51"/>
        <v>0</v>
      </c>
      <c r="CD39" s="73">
        <f t="shared" si="52"/>
        <v>0</v>
      </c>
      <c r="CE39" s="73">
        <f t="shared" si="53"/>
        <v>0</v>
      </c>
      <c r="CF39" s="90"/>
      <c r="CG39" s="102"/>
      <c r="CH39" s="821"/>
      <c r="CX39"/>
      <c r="CY39"/>
      <c r="CZ39"/>
      <c r="DA39"/>
      <c r="DB39"/>
      <c r="DC39"/>
    </row>
    <row r="40" spans="2:107" s="5" customFormat="1">
      <c r="B40" s="10" t="s">
        <v>66</v>
      </c>
      <c r="C40" s="32">
        <v>36.011000000000003</v>
      </c>
      <c r="D40" s="30">
        <v>19.853999999999999</v>
      </c>
      <c r="E40" s="30">
        <v>48.863999999999997</v>
      </c>
      <c r="F40" s="737">
        <v>22.768000000000008</v>
      </c>
      <c r="G40" s="30">
        <v>86.655000000000001</v>
      </c>
      <c r="H40" s="30">
        <v>15.775000000000006</v>
      </c>
      <c r="I40" s="30">
        <v>52.176999999999992</v>
      </c>
      <c r="J40" s="33">
        <v>66.552999999999997</v>
      </c>
      <c r="K40" s="30">
        <v>44.110999999999997</v>
      </c>
      <c r="L40" s="30">
        <v>86.957000000000022</v>
      </c>
      <c r="M40" s="30">
        <v>73.321999999999974</v>
      </c>
      <c r="N40" s="33">
        <v>21.579000000000001</v>
      </c>
      <c r="O40" s="30">
        <v>30.457000000000001</v>
      </c>
      <c r="P40" s="30">
        <v>9.5240000000000009</v>
      </c>
      <c r="Q40" s="30">
        <v>26.749000000000002</v>
      </c>
      <c r="R40" s="33">
        <v>6.8169999999999931</v>
      </c>
      <c r="S40" s="30">
        <v>39.659999999999997</v>
      </c>
      <c r="T40" s="30">
        <v>7.4320000000000022</v>
      </c>
      <c r="U40" s="30">
        <v>45.099999999999994</v>
      </c>
      <c r="V40" s="33">
        <v>-92.191999999999993</v>
      </c>
      <c r="W40" s="30">
        <v>63.061999999999998</v>
      </c>
      <c r="X40" s="30">
        <v>14.790000000000006</v>
      </c>
      <c r="Y40" s="30">
        <v>26.278999999999996</v>
      </c>
      <c r="Z40" s="33">
        <v>-104.131</v>
      </c>
      <c r="AA40" s="30">
        <v>85.286000000000001</v>
      </c>
      <c r="AB40" s="30">
        <v>39.498999999999995</v>
      </c>
      <c r="AC40" s="30">
        <v>51.705000000000013</v>
      </c>
      <c r="AD40" s="33">
        <v>19.36699999999999</v>
      </c>
      <c r="AE40" s="30">
        <v>37.360999999999997</v>
      </c>
      <c r="AF40" s="30">
        <v>5.3170000000000002</v>
      </c>
      <c r="AG40" s="30">
        <v>20.103000000000002</v>
      </c>
      <c r="AH40" s="33">
        <v>2.1540000000000035</v>
      </c>
      <c r="AI40" s="32">
        <v>22.995999999999999</v>
      </c>
      <c r="AJ40" s="30">
        <v>8.3070000000000022</v>
      </c>
      <c r="AK40" s="30">
        <v>33.445999999999998</v>
      </c>
      <c r="AL40" s="33">
        <v>5.4210000000000029</v>
      </c>
      <c r="AM40" s="30">
        <v>80.231999999999999</v>
      </c>
      <c r="AN40" s="30">
        <v>17.988</v>
      </c>
      <c r="AO40" s="30">
        <v>31.471000000000004</v>
      </c>
      <c r="AP40" s="33">
        <v>23.781000000000006</v>
      </c>
      <c r="AQ40" s="30">
        <v>50</v>
      </c>
      <c r="AR40" s="30">
        <v>14</v>
      </c>
      <c r="AS40" s="30">
        <v>35</v>
      </c>
      <c r="AT40" s="33">
        <v>21</v>
      </c>
      <c r="AU40" s="30">
        <v>20</v>
      </c>
      <c r="AV40" s="30">
        <v>20</v>
      </c>
      <c r="AW40" s="30">
        <v>-69</v>
      </c>
      <c r="AX40" s="33">
        <v>20</v>
      </c>
      <c r="AY40" s="30">
        <v>65</v>
      </c>
      <c r="AZ40" s="30">
        <v>11</v>
      </c>
      <c r="BA40" s="30">
        <v>56</v>
      </c>
      <c r="BB40" s="33">
        <v>7</v>
      </c>
      <c r="BC40" s="968"/>
      <c r="BD40" s="30"/>
      <c r="BE40" s="53"/>
      <c r="BF40" s="282"/>
      <c r="BG40" s="30"/>
      <c r="BH40" s="30"/>
      <c r="BI40" s="53"/>
      <c r="BJ40" s="282"/>
      <c r="BK40" s="30"/>
      <c r="BL40" s="30"/>
      <c r="BM40" s="53"/>
      <c r="BN40" s="282"/>
      <c r="BO40" s="195"/>
      <c r="BP40" s="59">
        <f t="shared" si="38"/>
        <v>127.49700000000001</v>
      </c>
      <c r="BQ40" s="59">
        <f t="shared" si="39"/>
        <v>221.16</v>
      </c>
      <c r="BR40" s="59">
        <f t="shared" si="40"/>
        <v>225.96899999999999</v>
      </c>
      <c r="BS40" s="59">
        <f t="shared" si="41"/>
        <v>73.546999999999997</v>
      </c>
      <c r="BT40" s="59">
        <f t="shared" si="42"/>
        <v>0</v>
      </c>
      <c r="BU40" s="59">
        <f t="shared" si="43"/>
        <v>0</v>
      </c>
      <c r="BV40" s="59">
        <f t="shared" si="44"/>
        <v>195.857</v>
      </c>
      <c r="BW40" s="59">
        <f t="shared" si="45"/>
        <v>64.935000000000002</v>
      </c>
      <c r="BX40" s="59">
        <f t="shared" si="46"/>
        <v>70.17</v>
      </c>
      <c r="BY40" s="59">
        <f t="shared" si="47"/>
        <v>153.47200000000001</v>
      </c>
      <c r="BZ40" s="59">
        <f t="shared" si="48"/>
        <v>120</v>
      </c>
      <c r="CA40" s="73">
        <f>SUM(AU40:AX40)</f>
        <v>-9</v>
      </c>
      <c r="CB40" s="73">
        <f t="shared" si="50"/>
        <v>139</v>
      </c>
      <c r="CC40" s="73">
        <f t="shared" si="51"/>
        <v>0</v>
      </c>
      <c r="CD40" s="73">
        <f t="shared" si="52"/>
        <v>0</v>
      </c>
      <c r="CE40" s="73">
        <f t="shared" si="53"/>
        <v>0</v>
      </c>
      <c r="CF40" s="14"/>
      <c r="CG40" s="627"/>
      <c r="CX40"/>
      <c r="CY40"/>
      <c r="CZ40"/>
      <c r="DA40"/>
      <c r="DB40"/>
      <c r="DC40"/>
    </row>
    <row r="41" spans="2:107" s="5" customFormat="1">
      <c r="B41" s="10" t="s">
        <v>67</v>
      </c>
      <c r="C41" s="32">
        <v>-48.466999999999999</v>
      </c>
      <c r="D41" s="30">
        <v>-50.042000000000002</v>
      </c>
      <c r="E41" s="30">
        <v>-39.508999999999972</v>
      </c>
      <c r="F41" s="737">
        <v>-50.491</v>
      </c>
      <c r="G41" s="30">
        <v>-50</v>
      </c>
      <c r="H41" s="30">
        <v>-124.97800000000001</v>
      </c>
      <c r="I41" s="30">
        <v>0</v>
      </c>
      <c r="J41" s="33">
        <v>-100</v>
      </c>
      <c r="K41" s="30">
        <v>-125</v>
      </c>
      <c r="L41" s="30">
        <v>-124.386</v>
      </c>
      <c r="M41" s="30">
        <v>-125.04100000000003</v>
      </c>
      <c r="N41" s="33">
        <v>-178.08499999999992</v>
      </c>
      <c r="O41" s="30">
        <v>-123.896</v>
      </c>
      <c r="P41" s="30">
        <v>0</v>
      </c>
      <c r="Q41" s="30">
        <v>-299.74</v>
      </c>
      <c r="R41" s="33">
        <v>0</v>
      </c>
      <c r="S41" s="30">
        <v>-78.075000000000003</v>
      </c>
      <c r="T41" s="30">
        <v>0</v>
      </c>
      <c r="U41" s="30">
        <v>0</v>
      </c>
      <c r="V41" s="33">
        <v>0</v>
      </c>
      <c r="W41" s="30">
        <v>0</v>
      </c>
      <c r="X41" s="30">
        <v>0</v>
      </c>
      <c r="Y41" s="30">
        <v>0</v>
      </c>
      <c r="Z41" s="33">
        <v>0</v>
      </c>
      <c r="AA41" s="30">
        <v>0</v>
      </c>
      <c r="AB41" s="30">
        <v>0</v>
      </c>
      <c r="AC41" s="30">
        <v>0</v>
      </c>
      <c r="AD41" s="33">
        <v>0</v>
      </c>
      <c r="AE41" s="30">
        <v>0</v>
      </c>
      <c r="AF41" s="30">
        <v>0</v>
      </c>
      <c r="AG41" s="30">
        <v>0</v>
      </c>
      <c r="AH41" s="33">
        <v>-100</v>
      </c>
      <c r="AI41" s="32">
        <v>-100</v>
      </c>
      <c r="AJ41" s="30">
        <v>-750</v>
      </c>
      <c r="AK41" s="30">
        <v>0</v>
      </c>
      <c r="AL41" s="33">
        <v>-37.303999999999974</v>
      </c>
      <c r="AM41" s="30">
        <v>-500</v>
      </c>
      <c r="AN41" s="30">
        <v>0</v>
      </c>
      <c r="AO41" s="30">
        <v>-310</v>
      </c>
      <c r="AP41" s="33">
        <v>-3.6000000000000227</v>
      </c>
      <c r="AQ41" s="30">
        <v>-53</v>
      </c>
      <c r="AR41" s="30">
        <v>-399</v>
      </c>
      <c r="AS41" s="30">
        <v>0</v>
      </c>
      <c r="AT41" s="33">
        <v>-135</v>
      </c>
      <c r="AU41" s="30">
        <v>-500</v>
      </c>
      <c r="AV41" s="30">
        <v>-9</v>
      </c>
      <c r="AW41" s="30">
        <v>0</v>
      </c>
      <c r="AX41" s="33">
        <v>-230</v>
      </c>
      <c r="AY41" s="30">
        <v>0</v>
      </c>
      <c r="AZ41" s="30">
        <v>-758</v>
      </c>
      <c r="BA41" s="30">
        <v>-151</v>
      </c>
      <c r="BB41" s="33">
        <v>0</v>
      </c>
      <c r="BC41" s="968">
        <f>BS!BC34-BS!BB34</f>
        <v>0</v>
      </c>
      <c r="BD41" s="30">
        <f>BS!BD34-BS!BC34</f>
        <v>0</v>
      </c>
      <c r="BE41" s="67">
        <f>BS!BE34-BS!BD34</f>
        <v>0</v>
      </c>
      <c r="BF41" s="236">
        <f>BS!BF34-BS!BE34</f>
        <v>0</v>
      </c>
      <c r="BG41" s="30">
        <f>BS!BG34-BS!BF34</f>
        <v>0</v>
      </c>
      <c r="BH41" s="30">
        <f>BS!BH34-BS!BG34</f>
        <v>0</v>
      </c>
      <c r="BI41" s="67">
        <f>BS!BI34-BS!BH34</f>
        <v>0</v>
      </c>
      <c r="BJ41" s="236">
        <f>BS!BJ34-BS!BI34</f>
        <v>0</v>
      </c>
      <c r="BK41" s="30">
        <f>BS!BK34-BS!BJ34</f>
        <v>0</v>
      </c>
      <c r="BL41" s="30">
        <f>BS!BL34-BS!BK34</f>
        <v>0</v>
      </c>
      <c r="BM41" s="67">
        <f>BS!BM34-BS!BL34</f>
        <v>0</v>
      </c>
      <c r="BN41" s="236">
        <f>BS!BN34-BS!BM34</f>
        <v>0</v>
      </c>
      <c r="BO41" s="195"/>
      <c r="BP41" s="59">
        <f t="shared" si="38"/>
        <v>-188.50899999999996</v>
      </c>
      <c r="BQ41" s="59">
        <f t="shared" si="39"/>
        <v>-274.97800000000001</v>
      </c>
      <c r="BR41" s="59">
        <f t="shared" si="40"/>
        <v>-552.51199999999994</v>
      </c>
      <c r="BS41" s="59">
        <f t="shared" si="41"/>
        <v>-423.63600000000002</v>
      </c>
      <c r="BT41" s="59">
        <f t="shared" si="42"/>
        <v>-78.075000000000003</v>
      </c>
      <c r="BU41" s="59">
        <f t="shared" si="43"/>
        <v>0</v>
      </c>
      <c r="BV41" s="59">
        <f t="shared" si="44"/>
        <v>0</v>
      </c>
      <c r="BW41" s="59">
        <f t="shared" si="45"/>
        <v>-100</v>
      </c>
      <c r="BX41" s="59">
        <f t="shared" si="46"/>
        <v>-887.30399999999997</v>
      </c>
      <c r="BY41" s="59">
        <f t="shared" si="47"/>
        <v>-813.6</v>
      </c>
      <c r="BZ41" s="59">
        <f t="shared" si="48"/>
        <v>-587</v>
      </c>
      <c r="CA41" s="73">
        <f t="shared" ref="CA41:CA47" si="54">SUM(AU41:AX41)</f>
        <v>-739</v>
      </c>
      <c r="CB41" s="73">
        <f t="shared" si="50"/>
        <v>-909</v>
      </c>
      <c r="CC41" s="73">
        <f t="shared" si="51"/>
        <v>0</v>
      </c>
      <c r="CD41" s="73">
        <f t="shared" si="52"/>
        <v>0</v>
      </c>
      <c r="CE41" s="73">
        <f t="shared" si="53"/>
        <v>0</v>
      </c>
      <c r="CF41" s="14"/>
      <c r="CG41" s="627"/>
      <c r="CX41"/>
      <c r="CY41"/>
      <c r="CZ41"/>
      <c r="DA41"/>
      <c r="DB41"/>
      <c r="DC41"/>
    </row>
    <row r="42" spans="2:107" s="5" customFormat="1">
      <c r="B42" s="10" t="s">
        <v>53</v>
      </c>
      <c r="C42" s="32">
        <v>0</v>
      </c>
      <c r="D42" s="30">
        <v>0</v>
      </c>
      <c r="E42" s="30">
        <v>0</v>
      </c>
      <c r="F42" s="33">
        <v>0</v>
      </c>
      <c r="G42" s="30">
        <v>0</v>
      </c>
      <c r="H42" s="30">
        <v>0</v>
      </c>
      <c r="I42" s="30">
        <v>0</v>
      </c>
      <c r="J42" s="33">
        <v>0</v>
      </c>
      <c r="K42" s="30">
        <v>0</v>
      </c>
      <c r="L42" s="30">
        <v>0</v>
      </c>
      <c r="M42" s="30">
        <v>0</v>
      </c>
      <c r="N42" s="33">
        <v>0</v>
      </c>
      <c r="O42" s="30">
        <v>0</v>
      </c>
      <c r="P42" s="30">
        <v>0</v>
      </c>
      <c r="Q42" s="30">
        <v>0</v>
      </c>
      <c r="R42" s="33">
        <v>0</v>
      </c>
      <c r="S42" s="30">
        <v>0</v>
      </c>
      <c r="T42" s="30">
        <v>0</v>
      </c>
      <c r="U42" s="30">
        <v>0</v>
      </c>
      <c r="V42" s="33">
        <v>0</v>
      </c>
      <c r="W42" s="30">
        <v>0</v>
      </c>
      <c r="X42" s="30">
        <v>0</v>
      </c>
      <c r="Y42" s="30">
        <v>0</v>
      </c>
      <c r="Z42" s="33">
        <v>0</v>
      </c>
      <c r="AA42" s="30">
        <v>0</v>
      </c>
      <c r="AB42" s="30">
        <v>0</v>
      </c>
      <c r="AC42" s="30">
        <v>0</v>
      </c>
      <c r="AD42" s="33">
        <v>0</v>
      </c>
      <c r="AE42" s="30">
        <v>0</v>
      </c>
      <c r="AF42" s="30">
        <v>0</v>
      </c>
      <c r="AG42" s="30">
        <v>0</v>
      </c>
      <c r="AH42" s="33">
        <v>-46.866</v>
      </c>
      <c r="AI42" s="32">
        <v>-46.267000000000003</v>
      </c>
      <c r="AJ42" s="30">
        <v>-43.342999999999996</v>
      </c>
      <c r="AK42" s="30">
        <v>-43.397000000000013</v>
      </c>
      <c r="AL42" s="33">
        <v>-48.329000000000001</v>
      </c>
      <c r="AM42" s="30">
        <v>-46.731000000000002</v>
      </c>
      <c r="AN42" s="30">
        <v>-47.431999999999995</v>
      </c>
      <c r="AO42" s="30">
        <v>-46.072000000000024</v>
      </c>
      <c r="AP42" s="33">
        <v>-46.216999999999977</v>
      </c>
      <c r="AQ42" s="30">
        <v>-46</v>
      </c>
      <c r="AR42" s="30">
        <v>-53</v>
      </c>
      <c r="AS42" s="30">
        <v>-53</v>
      </c>
      <c r="AT42" s="33">
        <v>-61</v>
      </c>
      <c r="AU42" s="30">
        <v>-62</v>
      </c>
      <c r="AV42" s="30">
        <v>-62</v>
      </c>
      <c r="AW42" s="30">
        <v>-61</v>
      </c>
      <c r="AX42" s="33">
        <v>-76</v>
      </c>
      <c r="AY42" s="30">
        <v>-82</v>
      </c>
      <c r="AZ42" s="30">
        <v>-84</v>
      </c>
      <c r="BA42" s="30">
        <v>-84</v>
      </c>
      <c r="BB42" s="33">
        <v>-91</v>
      </c>
      <c r="BC42" s="968">
        <f>IS!BC37</f>
        <v>-91.300330033003306</v>
      </c>
      <c r="BD42" s="30">
        <f>IS!BD37</f>
        <v>-91.600660066006611</v>
      </c>
      <c r="BE42" s="67">
        <f>IS!BE37</f>
        <v>-91.900990099009903</v>
      </c>
      <c r="BF42" s="236">
        <f>IS!BF37</f>
        <v>-92.201320132013208</v>
      </c>
      <c r="BG42" s="30">
        <f>IS!BG37</f>
        <v>-92.501650165016514</v>
      </c>
      <c r="BH42" s="30">
        <f>IS!BH37</f>
        <v>-92.801980198019805</v>
      </c>
      <c r="BI42" s="67">
        <f>IS!BI37</f>
        <v>-93.102310231023111</v>
      </c>
      <c r="BJ42" s="236">
        <f>IS!BJ37</f>
        <v>-93.402640264026417</v>
      </c>
      <c r="BK42" s="30">
        <f>IS!BK37</f>
        <v>-93.702970297029708</v>
      </c>
      <c r="BL42" s="30">
        <f>IS!BL37</f>
        <v>-94.003300330033014</v>
      </c>
      <c r="BM42" s="67">
        <f>IS!BM37</f>
        <v>-94.303630363036305</v>
      </c>
      <c r="BN42" s="236">
        <f>IS!BN37</f>
        <v>-94.603960396039611</v>
      </c>
      <c r="BO42" s="195"/>
      <c r="BP42" s="59">
        <f t="shared" si="38"/>
        <v>0</v>
      </c>
      <c r="BQ42" s="59">
        <f t="shared" si="39"/>
        <v>0</v>
      </c>
      <c r="BR42" s="59">
        <f t="shared" si="40"/>
        <v>0</v>
      </c>
      <c r="BS42" s="59">
        <f t="shared" si="41"/>
        <v>0</v>
      </c>
      <c r="BT42" s="59">
        <f t="shared" si="42"/>
        <v>0</v>
      </c>
      <c r="BU42" s="59">
        <f t="shared" si="43"/>
        <v>0</v>
      </c>
      <c r="BV42" s="59">
        <f t="shared" si="44"/>
        <v>0</v>
      </c>
      <c r="BW42" s="59">
        <f t="shared" si="45"/>
        <v>-46.866</v>
      </c>
      <c r="BX42" s="59">
        <f t="shared" si="46"/>
        <v>-181.33600000000001</v>
      </c>
      <c r="BY42" s="59">
        <f t="shared" si="47"/>
        <v>-186.452</v>
      </c>
      <c r="BZ42" s="59">
        <f t="shared" si="48"/>
        <v>-213</v>
      </c>
      <c r="CA42" s="73">
        <f t="shared" si="54"/>
        <v>-261</v>
      </c>
      <c r="CB42" s="73">
        <f t="shared" si="50"/>
        <v>-341</v>
      </c>
      <c r="CC42" s="73">
        <f t="shared" si="51"/>
        <v>-367.00330033003303</v>
      </c>
      <c r="CD42" s="73">
        <f t="shared" si="52"/>
        <v>-371.80858085808586</v>
      </c>
      <c r="CE42" s="73">
        <f t="shared" si="53"/>
        <v>-376.61386138613864</v>
      </c>
      <c r="CF42" s="14"/>
      <c r="CG42" s="893"/>
      <c r="CH42" s="14"/>
      <c r="CX42"/>
      <c r="CY42"/>
      <c r="CZ42"/>
      <c r="DA42"/>
      <c r="DB42"/>
      <c r="DC42"/>
    </row>
    <row r="43" spans="2:107" s="5" customFormat="1">
      <c r="B43" s="10" t="s">
        <v>42</v>
      </c>
      <c r="C43" s="32">
        <v>-0.02</v>
      </c>
      <c r="D43" s="30">
        <v>0</v>
      </c>
      <c r="E43" s="30">
        <v>0</v>
      </c>
      <c r="F43" s="33">
        <v>0</v>
      </c>
      <c r="G43" s="30">
        <v>6.47</v>
      </c>
      <c r="H43" s="30">
        <v>0</v>
      </c>
      <c r="I43" s="30">
        <v>0</v>
      </c>
      <c r="J43" s="33">
        <v>0</v>
      </c>
      <c r="K43" s="30">
        <v>0</v>
      </c>
      <c r="L43" s="30">
        <v>0</v>
      </c>
      <c r="M43" s="30">
        <v>0</v>
      </c>
      <c r="N43" s="33">
        <v>0</v>
      </c>
      <c r="O43" s="30">
        <v>0</v>
      </c>
      <c r="P43" s="30">
        <v>0</v>
      </c>
      <c r="Q43" s="30">
        <v>0</v>
      </c>
      <c r="R43" s="33">
        <v>0</v>
      </c>
      <c r="S43" s="30">
        <v>0</v>
      </c>
      <c r="T43" s="30">
        <v>0</v>
      </c>
      <c r="U43" s="30">
        <v>0</v>
      </c>
      <c r="V43" s="33">
        <v>0</v>
      </c>
      <c r="W43" s="30">
        <v>0</v>
      </c>
      <c r="X43" s="30">
        <v>0</v>
      </c>
      <c r="Y43" s="30">
        <v>0</v>
      </c>
      <c r="Z43" s="33">
        <v>0</v>
      </c>
      <c r="AA43" s="30">
        <v>0</v>
      </c>
      <c r="AB43" s="30">
        <v>0</v>
      </c>
      <c r="AC43" s="30">
        <v>0</v>
      </c>
      <c r="AD43" s="33">
        <v>0</v>
      </c>
      <c r="AE43" s="30">
        <v>8.6750000000000007</v>
      </c>
      <c r="AF43" s="30">
        <v>9.4789999999999992</v>
      </c>
      <c r="AG43" s="30">
        <v>7.4920000000000009</v>
      </c>
      <c r="AH43" s="33">
        <v>43.063999999999993</v>
      </c>
      <c r="AI43" s="32">
        <v>10.119999999999999</v>
      </c>
      <c r="AJ43" s="30">
        <v>7.24</v>
      </c>
      <c r="AK43" s="30">
        <v>6.3830000000000009</v>
      </c>
      <c r="AL43" s="33">
        <v>2.0579999999999998</v>
      </c>
      <c r="AM43" s="30">
        <v>4.0860000000000003</v>
      </c>
      <c r="AN43" s="30">
        <v>2.7569999999999997</v>
      </c>
      <c r="AO43" s="30">
        <v>4.9009999999999998</v>
      </c>
      <c r="AP43" s="33">
        <v>6.7119999999999997</v>
      </c>
      <c r="AQ43" s="30">
        <v>6</v>
      </c>
      <c r="AR43" s="30">
        <v>0</v>
      </c>
      <c r="AS43" s="30">
        <v>-1</v>
      </c>
      <c r="AT43" s="33">
        <v>5</v>
      </c>
      <c r="AU43" s="30">
        <v>9</v>
      </c>
      <c r="AV43" s="30">
        <v>17</v>
      </c>
      <c r="AW43" s="30">
        <v>-26</v>
      </c>
      <c r="AX43" s="33">
        <v>0</v>
      </c>
      <c r="AY43" s="30">
        <v>0</v>
      </c>
      <c r="AZ43" s="30">
        <v>-190</v>
      </c>
      <c r="BA43" s="30">
        <v>-387</v>
      </c>
      <c r="BB43" s="33">
        <v>-35</v>
      </c>
      <c r="BC43" s="968"/>
      <c r="BD43" s="30"/>
      <c r="BE43" s="30"/>
      <c r="BF43" s="33"/>
      <c r="BG43" s="30"/>
      <c r="BH43" s="30"/>
      <c r="BI43" s="30"/>
      <c r="BJ43" s="33"/>
      <c r="BK43" s="30"/>
      <c r="BL43" s="30"/>
      <c r="BM43" s="30"/>
      <c r="BN43" s="33"/>
      <c r="BO43" s="195"/>
      <c r="BP43" s="59">
        <f t="shared" si="38"/>
        <v>-0.02</v>
      </c>
      <c r="BQ43" s="59">
        <f t="shared" si="39"/>
        <v>6.47</v>
      </c>
      <c r="BR43" s="59">
        <f t="shared" si="40"/>
        <v>0</v>
      </c>
      <c r="BS43" s="59">
        <f t="shared" si="41"/>
        <v>0</v>
      </c>
      <c r="BT43" s="59">
        <f t="shared" si="42"/>
        <v>0</v>
      </c>
      <c r="BU43" s="59">
        <f t="shared" si="43"/>
        <v>0</v>
      </c>
      <c r="BV43" s="59">
        <f t="shared" si="44"/>
        <v>0</v>
      </c>
      <c r="BW43" s="59">
        <f t="shared" si="45"/>
        <v>68.709999999999994</v>
      </c>
      <c r="BX43" s="59">
        <f t="shared" si="46"/>
        <v>25.801000000000002</v>
      </c>
      <c r="BY43" s="59">
        <f t="shared" si="47"/>
        <v>18.456</v>
      </c>
      <c r="BZ43" s="59">
        <f t="shared" si="48"/>
        <v>10</v>
      </c>
      <c r="CA43" s="73">
        <f t="shared" si="54"/>
        <v>0</v>
      </c>
      <c r="CB43" s="73">
        <f t="shared" si="50"/>
        <v>-612</v>
      </c>
      <c r="CC43" s="73">
        <f t="shared" si="51"/>
        <v>0</v>
      </c>
      <c r="CD43" s="73">
        <f t="shared" si="52"/>
        <v>0</v>
      </c>
      <c r="CE43" s="73">
        <f t="shared" si="53"/>
        <v>0</v>
      </c>
      <c r="CF43" s="14"/>
      <c r="CG43" s="627"/>
      <c r="CX43"/>
      <c r="CY43"/>
      <c r="CZ43"/>
      <c r="DA43"/>
      <c r="DB43"/>
      <c r="DC43"/>
    </row>
    <row r="44" spans="2:107" s="5" customFormat="1">
      <c r="B44" s="10" t="s">
        <v>54</v>
      </c>
      <c r="C44" s="32">
        <v>0</v>
      </c>
      <c r="D44" s="30">
        <v>0</v>
      </c>
      <c r="E44" s="30">
        <v>-0.85599999999999998</v>
      </c>
      <c r="F44" s="737">
        <v>0.85599999999999998</v>
      </c>
      <c r="G44" s="30">
        <v>0</v>
      </c>
      <c r="H44" s="30">
        <v>0</v>
      </c>
      <c r="I44" s="30">
        <v>0</v>
      </c>
      <c r="J44" s="33">
        <v>0</v>
      </c>
      <c r="K44" s="30">
        <v>0</v>
      </c>
      <c r="L44" s="30">
        <v>0</v>
      </c>
      <c r="M44" s="30">
        <v>0</v>
      </c>
      <c r="N44" s="33">
        <v>0</v>
      </c>
      <c r="O44" s="30">
        <v>0</v>
      </c>
      <c r="P44" s="30">
        <v>0</v>
      </c>
      <c r="Q44" s="30">
        <v>0</v>
      </c>
      <c r="R44" s="33">
        <v>0</v>
      </c>
      <c r="S44" s="30">
        <v>-0.222</v>
      </c>
      <c r="T44" s="30">
        <v>0.11900000000000001</v>
      </c>
      <c r="U44" s="30">
        <v>-0.215</v>
      </c>
      <c r="V44" s="33">
        <v>138.34700000000001</v>
      </c>
      <c r="W44" s="30">
        <v>-0.28199999999999997</v>
      </c>
      <c r="X44" s="30">
        <v>-0.29199999999999998</v>
      </c>
      <c r="Y44" s="30">
        <v>-0.30099999999999999</v>
      </c>
      <c r="Z44" s="33">
        <v>178.15100000000001</v>
      </c>
      <c r="AA44" s="30">
        <v>-0.35199999999999998</v>
      </c>
      <c r="AB44" s="30">
        <v>-10.698</v>
      </c>
      <c r="AC44" s="30">
        <v>-0.45700000000000107</v>
      </c>
      <c r="AD44" s="33">
        <v>1.1880000000000002</v>
      </c>
      <c r="AE44" s="30">
        <v>-0.51500000000000001</v>
      </c>
      <c r="AF44" s="30">
        <v>-0.49599999999999989</v>
      </c>
      <c r="AG44" s="30">
        <v>-0.51100000000000023</v>
      </c>
      <c r="AH44" s="33">
        <v>-0.5269999999999998</v>
      </c>
      <c r="AI44" s="32">
        <v>-0.57599999999999996</v>
      </c>
      <c r="AJ44" s="30">
        <v>-0.59300000000000008</v>
      </c>
      <c r="AK44" s="30">
        <v>1.169</v>
      </c>
      <c r="AL44" s="33">
        <v>-2.2389999999999999</v>
      </c>
      <c r="AM44" s="30">
        <v>-0.70899999999999996</v>
      </c>
      <c r="AN44" s="30">
        <v>-0.71400000000000008</v>
      </c>
      <c r="AO44" s="30">
        <v>-0.73700000000000021</v>
      </c>
      <c r="AP44" s="33">
        <v>-0.75699999999999978</v>
      </c>
      <c r="AQ44" s="30">
        <v>-1</v>
      </c>
      <c r="AR44" s="30">
        <v>-1</v>
      </c>
      <c r="AS44" s="30">
        <v>-1</v>
      </c>
      <c r="AT44" s="33">
        <v>0</v>
      </c>
      <c r="AU44" s="30">
        <v>-1</v>
      </c>
      <c r="AV44" s="30">
        <v>-2</v>
      </c>
      <c r="AW44" s="30">
        <v>0</v>
      </c>
      <c r="AX44" s="33">
        <v>-5</v>
      </c>
      <c r="AY44" s="30">
        <v>0</v>
      </c>
      <c r="AZ44" s="30">
        <v>0</v>
      </c>
      <c r="BA44" s="30">
        <v>0</v>
      </c>
      <c r="BB44" s="33">
        <v>0</v>
      </c>
      <c r="BC44" s="968">
        <f>BS!BC27-BS!BB27</f>
        <v>0</v>
      </c>
      <c r="BD44" s="30">
        <f>BS!BD27-BS!BC27</f>
        <v>0</v>
      </c>
      <c r="BE44" s="53">
        <f>BS!BE27-BS!BD27</f>
        <v>0</v>
      </c>
      <c r="BF44" s="282">
        <f>BS!BF27-BS!BE27</f>
        <v>0</v>
      </c>
      <c r="BG44" s="30">
        <f>BS!BG27-BS!BF27</f>
        <v>0</v>
      </c>
      <c r="BH44" s="30">
        <f>BS!BH27-BS!BG27</f>
        <v>0</v>
      </c>
      <c r="BI44" s="53">
        <f>BS!BI27-BS!BH27</f>
        <v>0</v>
      </c>
      <c r="BJ44" s="282">
        <f>BS!BJ27-BS!BI27</f>
        <v>0</v>
      </c>
      <c r="BK44" s="30">
        <f>BS!BK27-BS!BJ27</f>
        <v>0</v>
      </c>
      <c r="BL44" s="30">
        <f>BS!BL27-BS!BK27</f>
        <v>0</v>
      </c>
      <c r="BM44" s="53">
        <f>BS!BM27-BS!BL27</f>
        <v>0</v>
      </c>
      <c r="BN44" s="282">
        <f>BS!BN27-BS!BM27</f>
        <v>0</v>
      </c>
      <c r="BO44" s="195"/>
      <c r="BP44" s="59">
        <f t="shared" si="38"/>
        <v>0</v>
      </c>
      <c r="BQ44" s="59">
        <f t="shared" si="39"/>
        <v>0</v>
      </c>
      <c r="BR44" s="59">
        <f t="shared" si="40"/>
        <v>0</v>
      </c>
      <c r="BS44" s="59">
        <f t="shared" si="41"/>
        <v>0</v>
      </c>
      <c r="BT44" s="59">
        <f t="shared" si="42"/>
        <v>138.029</v>
      </c>
      <c r="BU44" s="59">
        <f t="shared" si="43"/>
        <v>177.27600000000001</v>
      </c>
      <c r="BV44" s="59">
        <f t="shared" si="44"/>
        <v>-10.319000000000001</v>
      </c>
      <c r="BW44" s="59">
        <f t="shared" si="45"/>
        <v>-2.0489999999999999</v>
      </c>
      <c r="BX44" s="59">
        <f t="shared" si="46"/>
        <v>-2.2389999999999999</v>
      </c>
      <c r="BY44" s="59">
        <f t="shared" si="47"/>
        <v>-2.9169999999999998</v>
      </c>
      <c r="BZ44" s="59">
        <f t="shared" si="48"/>
        <v>-3</v>
      </c>
      <c r="CA44" s="73">
        <f t="shared" si="54"/>
        <v>-8</v>
      </c>
      <c r="CB44" s="73">
        <f t="shared" si="50"/>
        <v>0</v>
      </c>
      <c r="CC44" s="73">
        <f t="shared" si="51"/>
        <v>0</v>
      </c>
      <c r="CD44" s="73">
        <f t="shared" si="52"/>
        <v>0</v>
      </c>
      <c r="CE44" s="73">
        <f t="shared" si="53"/>
        <v>0</v>
      </c>
      <c r="CF44" s="14"/>
      <c r="CG44" s="627"/>
      <c r="CX44"/>
      <c r="CY44"/>
      <c r="CZ44"/>
      <c r="DA44"/>
      <c r="DB44"/>
      <c r="DC44"/>
    </row>
    <row r="45" spans="2:107" s="5" customFormat="1">
      <c r="B45" s="10" t="s">
        <v>43</v>
      </c>
      <c r="C45" s="32">
        <v>0</v>
      </c>
      <c r="D45" s="30">
        <v>-0.34499999999999997</v>
      </c>
      <c r="E45" s="30">
        <v>0.36499999999999999</v>
      </c>
      <c r="F45" s="737">
        <v>-0.36499999999999999</v>
      </c>
      <c r="G45" s="30">
        <v>0</v>
      </c>
      <c r="H45" s="30">
        <v>7.032</v>
      </c>
      <c r="I45" s="30">
        <v>8.197000000000001</v>
      </c>
      <c r="J45" s="33">
        <v>-22.371000000000002</v>
      </c>
      <c r="K45" s="30">
        <v>0</v>
      </c>
      <c r="L45" s="30">
        <v>0</v>
      </c>
      <c r="M45" s="30">
        <v>0</v>
      </c>
      <c r="N45" s="33">
        <v>0.22</v>
      </c>
      <c r="O45" s="30">
        <v>0</v>
      </c>
      <c r="P45" s="30">
        <v>0</v>
      </c>
      <c r="Q45" s="30">
        <v>0</v>
      </c>
      <c r="R45" s="33">
        <v>0.81499999999999995</v>
      </c>
      <c r="S45" s="30">
        <v>0</v>
      </c>
      <c r="T45" s="30">
        <v>0</v>
      </c>
      <c r="U45" s="30">
        <v>0</v>
      </c>
      <c r="V45" s="33">
        <v>1.1049999999999998</v>
      </c>
      <c r="W45" s="30">
        <v>0</v>
      </c>
      <c r="X45" s="30">
        <v>0</v>
      </c>
      <c r="Y45" s="30">
        <v>0</v>
      </c>
      <c r="Z45" s="33">
        <v>14.745000000000001</v>
      </c>
      <c r="AA45" s="30">
        <v>13.644</v>
      </c>
      <c r="AB45" s="30">
        <v>11.377000000000001</v>
      </c>
      <c r="AC45" s="30">
        <v>27.682000000000002</v>
      </c>
      <c r="AD45" s="33">
        <v>-1.5180000000000007</v>
      </c>
      <c r="AE45" s="30">
        <v>0</v>
      </c>
      <c r="AF45" s="30">
        <v>0</v>
      </c>
      <c r="AG45" s="30">
        <v>0</v>
      </c>
      <c r="AH45" s="33">
        <v>0</v>
      </c>
      <c r="AI45" s="32">
        <v>-2.5</v>
      </c>
      <c r="AJ45" s="30">
        <v>0</v>
      </c>
      <c r="AK45" s="30">
        <v>-1.7800000000000002</v>
      </c>
      <c r="AL45" s="33">
        <v>-0.71999999999999975</v>
      </c>
      <c r="AM45" s="30">
        <v>0</v>
      </c>
      <c r="AN45" s="30">
        <v>0</v>
      </c>
      <c r="AO45" s="30">
        <v>0</v>
      </c>
      <c r="AP45" s="33">
        <v>-2.5</v>
      </c>
      <c r="AQ45" s="30">
        <v>0</v>
      </c>
      <c r="AR45" s="30">
        <v>0</v>
      </c>
      <c r="AS45" s="30">
        <v>0</v>
      </c>
      <c r="AT45" s="33">
        <v>-3</v>
      </c>
      <c r="AU45" s="30">
        <v>0</v>
      </c>
      <c r="AV45" s="30">
        <v>0</v>
      </c>
      <c r="AW45" s="30">
        <v>-1</v>
      </c>
      <c r="AX45" s="33">
        <v>-6</v>
      </c>
      <c r="AY45" s="30">
        <v>-191</v>
      </c>
      <c r="AZ45" s="30">
        <v>189</v>
      </c>
      <c r="BA45" s="30">
        <v>-1</v>
      </c>
      <c r="BB45" s="33">
        <v>-6</v>
      </c>
      <c r="BC45" s="968">
        <f>BS!BC28-BS!BB28</f>
        <v>0</v>
      </c>
      <c r="BD45" s="30">
        <f>BS!BD28-BS!BC28</f>
        <v>0</v>
      </c>
      <c r="BE45" s="53">
        <f>BS!BE28-BS!BD28</f>
        <v>0</v>
      </c>
      <c r="BF45" s="282">
        <f>BS!BF28-BS!BE28</f>
        <v>0</v>
      </c>
      <c r="BG45" s="30">
        <f>BS!BG28-BS!BF28</f>
        <v>0</v>
      </c>
      <c r="BH45" s="30">
        <f>BS!BH28-BS!BG28</f>
        <v>0</v>
      </c>
      <c r="BI45" s="53">
        <f>BS!BI28-BS!BH28</f>
        <v>0</v>
      </c>
      <c r="BJ45" s="282">
        <f>BS!BJ28-BS!BI28</f>
        <v>0</v>
      </c>
      <c r="BK45" s="30">
        <f>BS!BK28-BS!BJ28</f>
        <v>0</v>
      </c>
      <c r="BL45" s="30">
        <f>BS!BL28-BS!BK28</f>
        <v>0</v>
      </c>
      <c r="BM45" s="53">
        <f>BS!BM28-BS!BL28</f>
        <v>0</v>
      </c>
      <c r="BN45" s="282">
        <f>BS!BN28-BS!BM28</f>
        <v>0</v>
      </c>
      <c r="BO45" s="195"/>
      <c r="BP45" s="59">
        <f t="shared" si="38"/>
        <v>-0.34499999999999997</v>
      </c>
      <c r="BQ45" s="59">
        <f t="shared" si="39"/>
        <v>-7.1420000000000012</v>
      </c>
      <c r="BR45" s="59">
        <f t="shared" si="40"/>
        <v>0.22</v>
      </c>
      <c r="BS45" s="59">
        <f t="shared" si="41"/>
        <v>0.81499999999999995</v>
      </c>
      <c r="BT45" s="59">
        <f t="shared" si="42"/>
        <v>1.1049999999999998</v>
      </c>
      <c r="BU45" s="59">
        <f t="shared" si="43"/>
        <v>14.745000000000001</v>
      </c>
      <c r="BV45" s="59">
        <f t="shared" si="44"/>
        <v>51.185000000000002</v>
      </c>
      <c r="BW45" s="59">
        <f t="shared" si="45"/>
        <v>0</v>
      </c>
      <c r="BX45" s="59">
        <f t="shared" si="46"/>
        <v>-5</v>
      </c>
      <c r="BY45" s="59">
        <f t="shared" si="47"/>
        <v>-2.5</v>
      </c>
      <c r="BZ45" s="59">
        <f t="shared" si="48"/>
        <v>-3</v>
      </c>
      <c r="CA45" s="73">
        <f t="shared" si="54"/>
        <v>-7</v>
      </c>
      <c r="CB45" s="73">
        <f t="shared" si="50"/>
        <v>-9</v>
      </c>
      <c r="CC45" s="73">
        <f t="shared" si="51"/>
        <v>0</v>
      </c>
      <c r="CD45" s="73">
        <f t="shared" si="52"/>
        <v>0</v>
      </c>
      <c r="CE45" s="73">
        <f t="shared" si="53"/>
        <v>0</v>
      </c>
      <c r="CF45" s="14"/>
      <c r="CG45" s="627"/>
      <c r="CX45"/>
      <c r="CY45"/>
      <c r="CZ45"/>
      <c r="DA45"/>
      <c r="DB45"/>
      <c r="DC45"/>
    </row>
    <row r="46" spans="2:107" s="9" customFormat="1">
      <c r="B46" s="276" t="s">
        <v>68</v>
      </c>
      <c r="C46" s="278">
        <v>-12.475999999999996</v>
      </c>
      <c r="D46" s="278">
        <v>-30.533000000000001</v>
      </c>
      <c r="E46" s="278">
        <v>8.8640000000000239</v>
      </c>
      <c r="F46" s="279">
        <v>-27.231999999999989</v>
      </c>
      <c r="G46" s="278">
        <v>43.125</v>
      </c>
      <c r="H46" s="278">
        <v>-102.17100000000001</v>
      </c>
      <c r="I46" s="278">
        <v>60.373999999999995</v>
      </c>
      <c r="J46" s="279">
        <v>-55.818000000000005</v>
      </c>
      <c r="K46" s="278">
        <v>-80.88900000000001</v>
      </c>
      <c r="L46" s="278">
        <v>-37.428999999999974</v>
      </c>
      <c r="M46" s="278">
        <v>-51.719000000000051</v>
      </c>
      <c r="N46" s="279">
        <v>-156.28599999999992</v>
      </c>
      <c r="O46" s="278">
        <v>-93.438999999999993</v>
      </c>
      <c r="P46" s="278">
        <v>9.5240000000000009</v>
      </c>
      <c r="Q46" s="278">
        <v>-272.99099999999999</v>
      </c>
      <c r="R46" s="279">
        <v>7.6319999999999926</v>
      </c>
      <c r="S46" s="278">
        <v>-38.637000000000008</v>
      </c>
      <c r="T46" s="278">
        <v>7.5510000000000019</v>
      </c>
      <c r="U46" s="278">
        <v>44.884999999999991</v>
      </c>
      <c r="V46" s="279">
        <v>47.260000000000012</v>
      </c>
      <c r="W46" s="278">
        <v>62.78</v>
      </c>
      <c r="X46" s="278">
        <v>14.498000000000006</v>
      </c>
      <c r="Y46" s="278">
        <v>25.977999999999998</v>
      </c>
      <c r="Z46" s="279">
        <v>88.765000000000015</v>
      </c>
      <c r="AA46" s="278">
        <v>98.578000000000003</v>
      </c>
      <c r="AB46" s="278">
        <v>40.177999999999997</v>
      </c>
      <c r="AC46" s="278">
        <v>78.930000000000007</v>
      </c>
      <c r="AD46" s="279">
        <v>19.036999999999988</v>
      </c>
      <c r="AE46" s="278">
        <v>45.521000000000001</v>
      </c>
      <c r="AF46" s="278">
        <v>14.299999999999997</v>
      </c>
      <c r="AG46" s="278">
        <v>27.084000000000003</v>
      </c>
      <c r="AH46" s="279">
        <v>-102.175</v>
      </c>
      <c r="AI46" s="277">
        <v>-116.227</v>
      </c>
      <c r="AJ46" s="278">
        <v>-778.38900000000001</v>
      </c>
      <c r="AK46" s="278">
        <v>-4.1789999999999452</v>
      </c>
      <c r="AL46" s="279">
        <v>1288.3869999999999</v>
      </c>
      <c r="AM46" s="278">
        <v>-463.12200000000001</v>
      </c>
      <c r="AN46" s="278">
        <v>-27.40100000000001</v>
      </c>
      <c r="AO46" s="278">
        <v>-320.43699999999995</v>
      </c>
      <c r="AP46" s="279">
        <v>-22.581000000000017</v>
      </c>
      <c r="AQ46" s="278">
        <v>-44</v>
      </c>
      <c r="AR46" s="278">
        <v>-439</v>
      </c>
      <c r="AS46" s="278">
        <v>-20</v>
      </c>
      <c r="AT46" s="279">
        <v>-173</v>
      </c>
      <c r="AU46" s="278">
        <v>-534</v>
      </c>
      <c r="AV46" s="278">
        <v>-36</v>
      </c>
      <c r="AW46" s="278">
        <v>1383</v>
      </c>
      <c r="AX46" s="279">
        <v>-522</v>
      </c>
      <c r="AY46" s="278">
        <v>-813</v>
      </c>
      <c r="AZ46" s="278">
        <v>-968</v>
      </c>
      <c r="BA46" s="278">
        <v>-629</v>
      </c>
      <c r="BB46" s="279">
        <v>-134</v>
      </c>
      <c r="BC46" s="969">
        <f t="shared" ref="BC46:BJ46" si="55">SUM(BC37:BC45)</f>
        <v>-91.300330033003306</v>
      </c>
      <c r="BD46" s="966">
        <f t="shared" si="55"/>
        <v>-91.600660066006611</v>
      </c>
      <c r="BE46" s="966">
        <f t="shared" si="55"/>
        <v>-91.900990099009903</v>
      </c>
      <c r="BF46" s="253">
        <f t="shared" si="55"/>
        <v>-92.201320132013208</v>
      </c>
      <c r="BG46" s="966">
        <f t="shared" si="55"/>
        <v>-92.501650165016514</v>
      </c>
      <c r="BH46" s="966">
        <f t="shared" si="55"/>
        <v>-92.801980198019805</v>
      </c>
      <c r="BI46" s="966">
        <f t="shared" si="55"/>
        <v>-93.102310231023111</v>
      </c>
      <c r="BJ46" s="253">
        <f t="shared" si="55"/>
        <v>-93.402640264026417</v>
      </c>
      <c r="BK46" s="966">
        <f t="shared" ref="BK46:BN46" si="56">SUM(BK37:BK45)</f>
        <v>-93.702970297029708</v>
      </c>
      <c r="BL46" s="966">
        <f t="shared" si="56"/>
        <v>-94.003300330033014</v>
      </c>
      <c r="BM46" s="966">
        <f t="shared" si="56"/>
        <v>-94.303630363036305</v>
      </c>
      <c r="BN46" s="253">
        <f t="shared" si="56"/>
        <v>-94.603960396039611</v>
      </c>
      <c r="BO46" s="196"/>
      <c r="BP46" s="105">
        <f t="shared" si="38"/>
        <v>-61.376999999999967</v>
      </c>
      <c r="BQ46" s="105">
        <f t="shared" si="39"/>
        <v>-54.490000000000016</v>
      </c>
      <c r="BR46" s="105">
        <f t="shared" si="40"/>
        <v>-326.32299999999998</v>
      </c>
      <c r="BS46" s="105">
        <f t="shared" si="41"/>
        <v>-349.27399999999994</v>
      </c>
      <c r="BT46" s="105">
        <f t="shared" si="42"/>
        <v>61.058999999999997</v>
      </c>
      <c r="BU46" s="105">
        <f t="shared" si="43"/>
        <v>192.02100000000002</v>
      </c>
      <c r="BV46" s="105">
        <f t="shared" si="44"/>
        <v>236.72299999999998</v>
      </c>
      <c r="BW46" s="105">
        <f t="shared" si="45"/>
        <v>-15.269999999999996</v>
      </c>
      <c r="BX46" s="105">
        <f t="shared" si="46"/>
        <v>389.59199999999998</v>
      </c>
      <c r="BY46" s="105">
        <f t="shared" si="47"/>
        <v>-833.54100000000005</v>
      </c>
      <c r="BZ46" s="105">
        <f>SUM(AQ46:AT46)</f>
        <v>-676</v>
      </c>
      <c r="CA46" s="280">
        <f t="shared" si="54"/>
        <v>291</v>
      </c>
      <c r="CB46" s="280">
        <f t="shared" si="50"/>
        <v>-2544</v>
      </c>
      <c r="CC46" s="280">
        <f t="shared" si="51"/>
        <v>-367.00330033003303</v>
      </c>
      <c r="CD46" s="280">
        <f t="shared" si="52"/>
        <v>-371.80858085808586</v>
      </c>
      <c r="CE46" s="280">
        <f>SUM(BK46:BN46)</f>
        <v>-376.61386138613864</v>
      </c>
      <c r="CF46" s="14"/>
      <c r="CG46" s="627"/>
      <c r="CH46" s="14"/>
      <c r="CX46"/>
      <c r="CY46"/>
      <c r="CZ46"/>
      <c r="DA46"/>
      <c r="DB46"/>
      <c r="DC46"/>
    </row>
    <row r="47" spans="2:107" s="5" customFormat="1">
      <c r="B47" s="8" t="s">
        <v>366</v>
      </c>
      <c r="C47" s="30"/>
      <c r="D47" s="30"/>
      <c r="E47" s="30"/>
      <c r="F47" s="33"/>
      <c r="G47" s="30"/>
      <c r="H47" s="30"/>
      <c r="I47" s="30"/>
      <c r="J47" s="33"/>
      <c r="K47" s="30"/>
      <c r="L47" s="30"/>
      <c r="M47" s="30"/>
      <c r="N47" s="33"/>
      <c r="O47" s="30"/>
      <c r="P47" s="30"/>
      <c r="Q47" s="30"/>
      <c r="R47" s="33"/>
      <c r="S47" s="30"/>
      <c r="T47" s="30"/>
      <c r="U47" s="30"/>
      <c r="V47" s="33"/>
      <c r="W47" s="30"/>
      <c r="X47" s="30"/>
      <c r="Y47" s="30"/>
      <c r="Z47" s="33"/>
      <c r="AA47" s="30"/>
      <c r="AB47" s="30"/>
      <c r="AC47" s="30"/>
      <c r="AD47" s="33"/>
      <c r="AE47" s="30"/>
      <c r="AF47" s="30"/>
      <c r="AG47" s="30"/>
      <c r="AH47" s="33"/>
      <c r="AI47" s="32"/>
      <c r="AJ47" s="30"/>
      <c r="AK47" s="73"/>
      <c r="AL47" s="33"/>
      <c r="AM47" s="30"/>
      <c r="AN47" s="30"/>
      <c r="AO47" s="73"/>
      <c r="AP47" s="33"/>
      <c r="AQ47" s="30"/>
      <c r="AR47" s="30"/>
      <c r="AS47" s="30"/>
      <c r="AT47" s="33"/>
      <c r="AU47" s="30"/>
      <c r="AV47" s="30"/>
      <c r="AW47" s="30"/>
      <c r="AX47" s="33"/>
      <c r="AY47" s="30"/>
      <c r="AZ47" s="30"/>
      <c r="BA47" s="30"/>
      <c r="BB47" s="33"/>
      <c r="BC47" s="970"/>
      <c r="BD47" s="67"/>
      <c r="BE47" s="67"/>
      <c r="BF47" s="236"/>
      <c r="BG47" s="67"/>
      <c r="BH47" s="67"/>
      <c r="BI47" s="67"/>
      <c r="BJ47" s="236"/>
      <c r="BK47" s="67"/>
      <c r="BL47" s="67"/>
      <c r="BM47" s="67"/>
      <c r="BN47" s="236"/>
      <c r="BO47" s="195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>
        <f>SUM(AQ47:AT47)</f>
        <v>0</v>
      </c>
      <c r="CA47" s="59">
        <f t="shared" si="54"/>
        <v>0</v>
      </c>
      <c r="CB47" s="59">
        <f t="shared" si="50"/>
        <v>0</v>
      </c>
      <c r="CC47" s="73">
        <f t="shared" ref="CC47" si="57">SUM(BC47:BF47)</f>
        <v>0</v>
      </c>
      <c r="CD47" s="73">
        <f t="shared" ref="CD47" si="58">SUM(BG47:BJ47)</f>
        <v>0</v>
      </c>
      <c r="CE47" s="73">
        <f t="shared" ref="CE47" si="59">SUM(BK47:BN47)</f>
        <v>0</v>
      </c>
      <c r="CF47" s="14"/>
      <c r="CG47" s="627"/>
      <c r="CX47"/>
      <c r="CY47"/>
      <c r="CZ47"/>
      <c r="DA47"/>
      <c r="DB47"/>
      <c r="DC47"/>
    </row>
    <row r="48" spans="2:107" s="5" customFormat="1">
      <c r="B48" s="8" t="s">
        <v>69</v>
      </c>
      <c r="C48" s="32">
        <v>208.512</v>
      </c>
      <c r="D48" s="30">
        <v>281.00400000000002</v>
      </c>
      <c r="E48" s="30">
        <v>242.17000000000002</v>
      </c>
      <c r="F48" s="33">
        <v>364.30800000000005</v>
      </c>
      <c r="G48" s="30">
        <v>551.7560000000002</v>
      </c>
      <c r="H48" s="30">
        <v>487.0590000000002</v>
      </c>
      <c r="I48" s="30">
        <v>387.71900000000016</v>
      </c>
      <c r="J48" s="33">
        <v>741.04200000000014</v>
      </c>
      <c r="K48" s="30">
        <v>544.41400000000044</v>
      </c>
      <c r="L48" s="30">
        <v>678.95100000000036</v>
      </c>
      <c r="M48" s="30">
        <v>914.74500000000046</v>
      </c>
      <c r="N48" s="33">
        <v>1056.7020000000005</v>
      </c>
      <c r="O48" s="30">
        <v>726.96900000000028</v>
      </c>
      <c r="P48" s="30">
        <v>803.30800000000022</v>
      </c>
      <c r="Q48" s="30">
        <v>719.14300000000037</v>
      </c>
      <c r="R48" s="33">
        <v>461.25300000000021</v>
      </c>
      <c r="S48" s="30">
        <v>417.68799999999976</v>
      </c>
      <c r="T48" s="30">
        <v>512.27399999999966</v>
      </c>
      <c r="U48" s="30">
        <v>523.78499999999963</v>
      </c>
      <c r="V48" s="33">
        <v>614.48999999999955</v>
      </c>
      <c r="W48" s="30">
        <v>447.22099999999995</v>
      </c>
      <c r="X48" s="30">
        <v>447.26199999999994</v>
      </c>
      <c r="Y48" s="30">
        <v>377.00299999999976</v>
      </c>
      <c r="Z48" s="33">
        <v>451.17399999999975</v>
      </c>
      <c r="AA48" s="30">
        <v>665.36099999999965</v>
      </c>
      <c r="AB48" s="30">
        <v>683.63299999999958</v>
      </c>
      <c r="AC48" s="30">
        <v>532.61399999999969</v>
      </c>
      <c r="AD48" s="33">
        <v>566.81599999999992</v>
      </c>
      <c r="AE48" s="30">
        <v>667.87599999999998</v>
      </c>
      <c r="AF48" s="30">
        <v>369.13499999999999</v>
      </c>
      <c r="AG48" s="30">
        <v>499.61799999999999</v>
      </c>
      <c r="AH48" s="33">
        <v>525.38800000000003</v>
      </c>
      <c r="AI48" s="32">
        <v>732.78599999999994</v>
      </c>
      <c r="AJ48" s="30">
        <v>561.423</v>
      </c>
      <c r="AK48" s="30">
        <v>591.32100000000003</v>
      </c>
      <c r="AL48" s="33">
        <v>562.08399999999995</v>
      </c>
      <c r="AM48" s="30">
        <v>1151.587</v>
      </c>
      <c r="AN48" s="30">
        <v>509.16500000000002</v>
      </c>
      <c r="AO48" s="30">
        <v>515.09199999999998</v>
      </c>
      <c r="AP48" s="33">
        <v>394.68299999999999</v>
      </c>
      <c r="AQ48" s="30">
        <v>497</v>
      </c>
      <c r="AR48" s="30">
        <v>464</v>
      </c>
      <c r="AS48" s="30">
        <v>435</v>
      </c>
      <c r="AT48" s="33">
        <v>471</v>
      </c>
      <c r="AU48" s="30">
        <v>596</v>
      </c>
      <c r="AV48" s="30">
        <v>547</v>
      </c>
      <c r="AW48" s="30">
        <v>426</v>
      </c>
      <c r="AX48" s="33">
        <v>1940</v>
      </c>
      <c r="AY48" s="30">
        <v>1766</v>
      </c>
      <c r="AZ48" s="30">
        <v>1766</v>
      </c>
      <c r="BA48" s="30">
        <v>1766</v>
      </c>
      <c r="BB48" s="33">
        <v>1766</v>
      </c>
      <c r="BC48" s="970">
        <f t="shared" ref="BC48" si="60">BB50</f>
        <v>4002</v>
      </c>
      <c r="BD48" s="67">
        <f t="shared" ref="BD48" si="61">BC50</f>
        <v>4961.7276310065799</v>
      </c>
      <c r="BE48" s="67">
        <f t="shared" ref="BE48" si="62">BD50</f>
        <v>5874.91964922221</v>
      </c>
      <c r="BF48" s="236">
        <f t="shared" ref="BF48" si="63">BE50</f>
        <v>6877.4983795767903</v>
      </c>
      <c r="BG48" s="67">
        <f t="shared" ref="BG48" si="64">BF50</f>
        <v>7991.1466120371306</v>
      </c>
      <c r="BH48" s="67">
        <f t="shared" ref="BH48" si="65">BG50</f>
        <v>9177.6314018008743</v>
      </c>
      <c r="BI48" s="67">
        <f t="shared" ref="BI48" si="66">BH50</f>
        <v>10208.300986034432</v>
      </c>
      <c r="BJ48" s="236">
        <f t="shared" ref="BJ48" si="67">BI50</f>
        <v>11425.636849030425</v>
      </c>
      <c r="BK48" s="67">
        <f t="shared" ref="BK48" si="68">BJ50</f>
        <v>12802.673077532458</v>
      </c>
      <c r="BL48" s="67">
        <f t="shared" ref="BL48" si="69">BK50</f>
        <v>14222.575472541645</v>
      </c>
      <c r="BM48" s="67">
        <f t="shared" ref="BM48" si="70">BL50</f>
        <v>15484.687028307006</v>
      </c>
      <c r="BN48" s="236">
        <f t="shared" ref="BN48" si="71">BM50</f>
        <v>16973.548426511632</v>
      </c>
      <c r="BO48" s="195"/>
      <c r="BP48" s="30">
        <f>C48</f>
        <v>208.512</v>
      </c>
      <c r="BQ48" s="30">
        <f>BP50-0.704</f>
        <v>551.05200000000013</v>
      </c>
      <c r="BR48" s="30">
        <f t="shared" ref="BR48:BW48" si="72">BQ50</f>
        <v>544.41400000000033</v>
      </c>
      <c r="BS48" s="30">
        <f t="shared" si="72"/>
        <v>726.96900000000028</v>
      </c>
      <c r="BT48" s="30">
        <f t="shared" si="72"/>
        <v>417.6879999999997</v>
      </c>
      <c r="BU48" s="30">
        <f t="shared" si="72"/>
        <v>447.22099999999983</v>
      </c>
      <c r="BV48" s="30">
        <f t="shared" si="72"/>
        <v>665.36099999999942</v>
      </c>
      <c r="BW48" s="30">
        <f t="shared" si="72"/>
        <v>667.87599999999952</v>
      </c>
      <c r="BX48" s="30">
        <f t="shared" ref="BX48:BY48" si="73">BW50</f>
        <v>732.78599999999949</v>
      </c>
      <c r="BY48" s="30">
        <f t="shared" si="73"/>
        <v>1151.5869999999995</v>
      </c>
      <c r="BZ48" s="30">
        <f>BY50+0.346</f>
        <v>496.99999999999955</v>
      </c>
      <c r="CA48" s="30">
        <f>BZ50</f>
        <v>595.99999999999955</v>
      </c>
      <c r="CB48" s="30">
        <f>CA50</f>
        <v>1765.9999999999995</v>
      </c>
      <c r="CC48" s="30">
        <f>CB50</f>
        <v>4001.9999999999995</v>
      </c>
      <c r="CD48" s="30">
        <f>CC50</f>
        <v>7991.1466120371297</v>
      </c>
      <c r="CE48" s="30">
        <f>CD50</f>
        <v>12802.673077532458</v>
      </c>
      <c r="CF48" s="14"/>
      <c r="CG48" s="627"/>
      <c r="CH48" s="14"/>
      <c r="CX48"/>
      <c r="CY48"/>
      <c r="CZ48"/>
      <c r="DA48"/>
      <c r="DB48"/>
      <c r="DC48"/>
    </row>
    <row r="49" spans="2:107" s="5" customFormat="1">
      <c r="B49" s="8" t="s">
        <v>55</v>
      </c>
      <c r="C49" s="32">
        <v>72.492000000000019</v>
      </c>
      <c r="D49" s="30">
        <v>-39.941999999999993</v>
      </c>
      <c r="E49" s="30">
        <v>122.16799999999999</v>
      </c>
      <c r="F49" s="33">
        <v>188.52600000000012</v>
      </c>
      <c r="G49" s="30">
        <v>-63.993000000000002</v>
      </c>
      <c r="H49" s="30">
        <v>-99.34</v>
      </c>
      <c r="I49" s="30">
        <v>353.32299999999998</v>
      </c>
      <c r="J49" s="33">
        <v>-196.62799999999976</v>
      </c>
      <c r="K49" s="30">
        <v>134.53699999999995</v>
      </c>
      <c r="L49" s="30">
        <v>235.79400000000007</v>
      </c>
      <c r="M49" s="30">
        <v>141.95699999999994</v>
      </c>
      <c r="N49" s="33">
        <v>-329.73300000000012</v>
      </c>
      <c r="O49" s="30">
        <v>76.338999999999913</v>
      </c>
      <c r="P49" s="30">
        <v>-84.16499999999985</v>
      </c>
      <c r="Q49" s="30">
        <v>-257.89000000000016</v>
      </c>
      <c r="R49" s="33">
        <v>-43.565000000000438</v>
      </c>
      <c r="S49" s="30">
        <v>94.585999999999899</v>
      </c>
      <c r="T49" s="30">
        <v>11.510999999999953</v>
      </c>
      <c r="U49" s="30">
        <v>90.70499999999987</v>
      </c>
      <c r="V49" s="33">
        <v>-167.26899999999961</v>
      </c>
      <c r="W49" s="30">
        <v>4.0999999999968395E-2</v>
      </c>
      <c r="X49" s="30">
        <v>-70.259000000000171</v>
      </c>
      <c r="Y49" s="30">
        <v>74.170999999999964</v>
      </c>
      <c r="Z49" s="33">
        <v>214.18699999999987</v>
      </c>
      <c r="AA49" s="30">
        <v>18.271999999999963</v>
      </c>
      <c r="AB49" s="30">
        <v>-151.01899999999992</v>
      </c>
      <c r="AC49" s="30">
        <v>34.202000000000254</v>
      </c>
      <c r="AD49" s="33">
        <v>101.05999999999983</v>
      </c>
      <c r="AE49" s="30">
        <v>-298.74099999999999</v>
      </c>
      <c r="AF49" s="30">
        <v>130.48299999999998</v>
      </c>
      <c r="AG49" s="30">
        <v>25.769999999999982</v>
      </c>
      <c r="AH49" s="33">
        <v>207.39800000000002</v>
      </c>
      <c r="AI49" s="32">
        <v>-171.363</v>
      </c>
      <c r="AJ49" s="30">
        <v>29.897999999999996</v>
      </c>
      <c r="AK49" s="30">
        <v>-29.236999999999995</v>
      </c>
      <c r="AL49" s="33">
        <v>589.50299999999993</v>
      </c>
      <c r="AM49" s="30">
        <v>-642.42200000000003</v>
      </c>
      <c r="AN49" s="30">
        <v>5.9270000000000209</v>
      </c>
      <c r="AO49" s="30">
        <v>-120.40899999999999</v>
      </c>
      <c r="AP49" s="33">
        <v>101.971</v>
      </c>
      <c r="AQ49" s="30">
        <v>-33</v>
      </c>
      <c r="AR49" s="30">
        <v>-29</v>
      </c>
      <c r="AS49" s="30">
        <v>36</v>
      </c>
      <c r="AT49" s="33">
        <v>125</v>
      </c>
      <c r="AU49" s="30">
        <v>-49</v>
      </c>
      <c r="AV49" s="30">
        <v>-121</v>
      </c>
      <c r="AW49" s="30">
        <v>1236</v>
      </c>
      <c r="AX49" s="33">
        <v>-174</v>
      </c>
      <c r="AY49" s="30">
        <v>223</v>
      </c>
      <c r="AZ49" s="30">
        <v>222</v>
      </c>
      <c r="BA49" s="30">
        <v>1036</v>
      </c>
      <c r="BB49" s="33">
        <v>2236</v>
      </c>
      <c r="BC49" s="970">
        <f t="shared" ref="BC49:BJ49" si="74">BC46+BC34+BC24</f>
        <v>959.72763100658017</v>
      </c>
      <c r="BD49" s="67">
        <f t="shared" si="74"/>
        <v>913.19201821562979</v>
      </c>
      <c r="BE49" s="67">
        <f t="shared" si="74"/>
        <v>1002.5787303545803</v>
      </c>
      <c r="BF49" s="236">
        <f t="shared" si="74"/>
        <v>1113.6482324603403</v>
      </c>
      <c r="BG49" s="67">
        <f t="shared" si="74"/>
        <v>1186.4847897637446</v>
      </c>
      <c r="BH49" s="67">
        <f t="shared" si="74"/>
        <v>1030.6695842335575</v>
      </c>
      <c r="BI49" s="67">
        <f t="shared" si="74"/>
        <v>1217.3358629959937</v>
      </c>
      <c r="BJ49" s="236">
        <f t="shared" si="74"/>
        <v>1377.0362285020333</v>
      </c>
      <c r="BK49" s="67">
        <f t="shared" ref="BK49:BN49" si="75">BK46+BK34+BK24</f>
        <v>1419.9023950091866</v>
      </c>
      <c r="BL49" s="67">
        <f t="shared" si="75"/>
        <v>1262.1115557653607</v>
      </c>
      <c r="BM49" s="67">
        <f t="shared" si="75"/>
        <v>1488.8613982046272</v>
      </c>
      <c r="BN49" s="236">
        <f t="shared" si="75"/>
        <v>1661.6822625603409</v>
      </c>
      <c r="BO49" s="195"/>
      <c r="BP49" s="59">
        <f>SUM(C49:F49)</f>
        <v>343.24400000000014</v>
      </c>
      <c r="BQ49" s="59">
        <f>SUM(G49:J49)</f>
        <v>-6.6379999999997779</v>
      </c>
      <c r="BR49" s="59">
        <f>SUM(K49:N49)</f>
        <v>182.55499999999989</v>
      </c>
      <c r="BS49" s="59">
        <f>SUM(O49:R49)</f>
        <v>-309.28100000000057</v>
      </c>
      <c r="BT49" s="59">
        <f>SUM(S49:V49)</f>
        <v>29.533000000000129</v>
      </c>
      <c r="BU49" s="59">
        <f>SUM(W49:Z49)</f>
        <v>218.13999999999965</v>
      </c>
      <c r="BV49" s="59">
        <f>SUM(AA49:AD49)</f>
        <v>2.5150000000001285</v>
      </c>
      <c r="BW49" s="59">
        <f>SUM(AE49:AH49)</f>
        <v>64.91</v>
      </c>
      <c r="BX49" s="59">
        <f>SUM(AI49:AL49)</f>
        <v>418.80099999999993</v>
      </c>
      <c r="BY49" s="59">
        <f>SUM(AM49:AP49)</f>
        <v>-654.93299999999999</v>
      </c>
      <c r="BZ49" s="59">
        <f t="shared" ref="BZ49:CE49" si="76">BZ46+BZ34+BZ24</f>
        <v>99</v>
      </c>
      <c r="CA49" s="59">
        <f t="shared" si="76"/>
        <v>1170</v>
      </c>
      <c r="CB49" s="59">
        <f t="shared" si="76"/>
        <v>2236</v>
      </c>
      <c r="CC49" s="59">
        <f t="shared" si="76"/>
        <v>3989.1466120371306</v>
      </c>
      <c r="CD49" s="59">
        <f t="shared" si="76"/>
        <v>4811.526465495328</v>
      </c>
      <c r="CE49" s="59">
        <f t="shared" si="76"/>
        <v>5832.5576115395161</v>
      </c>
      <c r="CF49" s="14"/>
      <c r="CG49" s="627"/>
      <c r="CX49"/>
      <c r="CY49"/>
      <c r="CZ49"/>
      <c r="DA49"/>
      <c r="DB49"/>
      <c r="DC49"/>
    </row>
    <row r="50" spans="2:107" s="5" customFormat="1">
      <c r="B50" s="276" t="s">
        <v>56</v>
      </c>
      <c r="C50" s="278">
        <v>281.00400000000002</v>
      </c>
      <c r="D50" s="278">
        <v>242.17000000000002</v>
      </c>
      <c r="E50" s="278">
        <v>364.30800000000005</v>
      </c>
      <c r="F50" s="279">
        <v>551.7560000000002</v>
      </c>
      <c r="G50" s="278">
        <v>487.76299999999998</v>
      </c>
      <c r="H50" s="278">
        <v>387.71900000000016</v>
      </c>
      <c r="I50" s="278">
        <v>741.04200000000014</v>
      </c>
      <c r="J50" s="279">
        <v>544.41400000000044</v>
      </c>
      <c r="K50" s="278">
        <v>678.95100000000036</v>
      </c>
      <c r="L50" s="278">
        <v>914.74500000000046</v>
      </c>
      <c r="M50" s="278">
        <v>1056.7020000000005</v>
      </c>
      <c r="N50" s="279">
        <v>726.96900000000028</v>
      </c>
      <c r="O50" s="278">
        <v>803.30800000000022</v>
      </c>
      <c r="P50" s="278">
        <v>719.14300000000037</v>
      </c>
      <c r="Q50" s="278">
        <v>461.25300000000021</v>
      </c>
      <c r="R50" s="279">
        <v>417.68799999999976</v>
      </c>
      <c r="S50" s="278">
        <v>512.27399999999966</v>
      </c>
      <c r="T50" s="278">
        <v>523.78499999999963</v>
      </c>
      <c r="U50" s="278">
        <v>614.48999999999955</v>
      </c>
      <c r="V50" s="279">
        <v>447.22099999999995</v>
      </c>
      <c r="W50" s="278">
        <v>447.26199999999994</v>
      </c>
      <c r="X50" s="278">
        <v>377.00299999999976</v>
      </c>
      <c r="Y50" s="278">
        <v>451.17399999999975</v>
      </c>
      <c r="Z50" s="279">
        <v>665.36099999999965</v>
      </c>
      <c r="AA50" s="278">
        <v>683.63299999999958</v>
      </c>
      <c r="AB50" s="278">
        <v>532.61399999999969</v>
      </c>
      <c r="AC50" s="278">
        <v>566.81599999999992</v>
      </c>
      <c r="AD50" s="279">
        <v>667.87599999999975</v>
      </c>
      <c r="AE50" s="278">
        <v>369.13499999999999</v>
      </c>
      <c r="AF50" s="278">
        <v>499.61799999999999</v>
      </c>
      <c r="AG50" s="278">
        <v>525.38800000000003</v>
      </c>
      <c r="AH50" s="279">
        <v>732.78599999999994</v>
      </c>
      <c r="AI50" s="277">
        <v>561.423</v>
      </c>
      <c r="AJ50" s="278">
        <v>591.32100000000003</v>
      </c>
      <c r="AK50" s="278">
        <v>562.08399999999995</v>
      </c>
      <c r="AL50" s="279">
        <v>1151.587</v>
      </c>
      <c r="AM50" s="278">
        <v>509.16500000000002</v>
      </c>
      <c r="AN50" s="278">
        <v>515.09199999999998</v>
      </c>
      <c r="AO50" s="278">
        <v>394.68299999999999</v>
      </c>
      <c r="AP50" s="279">
        <v>496.654</v>
      </c>
      <c r="AQ50" s="278">
        <v>464</v>
      </c>
      <c r="AR50" s="278">
        <v>435</v>
      </c>
      <c r="AS50" s="278">
        <v>471</v>
      </c>
      <c r="AT50" s="279">
        <v>596</v>
      </c>
      <c r="AU50" s="278">
        <v>547</v>
      </c>
      <c r="AV50" s="278">
        <v>426</v>
      </c>
      <c r="AW50" s="278">
        <v>1940</v>
      </c>
      <c r="AX50" s="279">
        <v>1766</v>
      </c>
      <c r="AY50" s="278">
        <v>1989</v>
      </c>
      <c r="AZ50" s="278">
        <v>1988</v>
      </c>
      <c r="BA50" s="278">
        <v>2802</v>
      </c>
      <c r="BB50" s="279">
        <v>4002</v>
      </c>
      <c r="BC50" s="966">
        <f t="shared" ref="BC50:BJ50" si="77">BC48+BC49+BC47</f>
        <v>4961.7276310065799</v>
      </c>
      <c r="BD50" s="966">
        <f t="shared" si="77"/>
        <v>5874.91964922221</v>
      </c>
      <c r="BE50" s="966">
        <f t="shared" si="77"/>
        <v>6877.4983795767903</v>
      </c>
      <c r="BF50" s="253">
        <f t="shared" si="77"/>
        <v>7991.1466120371306</v>
      </c>
      <c r="BG50" s="966">
        <f t="shared" si="77"/>
        <v>9177.6314018008743</v>
      </c>
      <c r="BH50" s="966">
        <f t="shared" si="77"/>
        <v>10208.300986034432</v>
      </c>
      <c r="BI50" s="966">
        <f t="shared" si="77"/>
        <v>11425.636849030425</v>
      </c>
      <c r="BJ50" s="253">
        <f t="shared" si="77"/>
        <v>12802.673077532458</v>
      </c>
      <c r="BK50" s="966">
        <f t="shared" ref="BK50:BN50" si="78">BK48+BK49+BK47</f>
        <v>14222.575472541645</v>
      </c>
      <c r="BL50" s="966">
        <f t="shared" si="78"/>
        <v>15484.687028307006</v>
      </c>
      <c r="BM50" s="966">
        <f t="shared" si="78"/>
        <v>16973.548426511632</v>
      </c>
      <c r="BN50" s="253">
        <f t="shared" si="78"/>
        <v>18635.230689071974</v>
      </c>
      <c r="BO50" s="196"/>
      <c r="BP50" s="278">
        <f>BP49+BP48</f>
        <v>551.75600000000009</v>
      </c>
      <c r="BQ50" s="278">
        <f t="shared" ref="BQ50:BW50" si="79">BQ49+BQ48</f>
        <v>544.41400000000033</v>
      </c>
      <c r="BR50" s="278">
        <f t="shared" si="79"/>
        <v>726.96900000000028</v>
      </c>
      <c r="BS50" s="278">
        <f t="shared" si="79"/>
        <v>417.6879999999997</v>
      </c>
      <c r="BT50" s="278">
        <f t="shared" si="79"/>
        <v>447.22099999999983</v>
      </c>
      <c r="BU50" s="278">
        <f t="shared" si="79"/>
        <v>665.36099999999942</v>
      </c>
      <c r="BV50" s="278">
        <f t="shared" si="79"/>
        <v>667.87599999999952</v>
      </c>
      <c r="BW50" s="278">
        <f t="shared" si="79"/>
        <v>732.78599999999949</v>
      </c>
      <c r="BX50" s="278">
        <f t="shared" ref="BX50:BZ50" si="80">BX48+BX49+BX47</f>
        <v>1151.5869999999995</v>
      </c>
      <c r="BY50" s="278">
        <f>BY48+BY49+BY47</f>
        <v>496.65399999999954</v>
      </c>
      <c r="BZ50" s="278">
        <f t="shared" si="80"/>
        <v>595.99999999999955</v>
      </c>
      <c r="CA50" s="278">
        <f>CA48+CA49+CA47</f>
        <v>1765.9999999999995</v>
      </c>
      <c r="CB50" s="278">
        <f>CB48+CB49+CB47</f>
        <v>4001.9999999999995</v>
      </c>
      <c r="CC50" s="278">
        <f>CC48+CC49+CC47</f>
        <v>7991.1466120371297</v>
      </c>
      <c r="CD50" s="278">
        <f>CD48+CD49+CD47</f>
        <v>12802.673077532458</v>
      </c>
      <c r="CE50" s="278">
        <f>CE48+CE49+CE47</f>
        <v>18635.230689071974</v>
      </c>
      <c r="CF50" s="14"/>
      <c r="CG50" s="627"/>
      <c r="CX50"/>
      <c r="CY50"/>
      <c r="CZ50"/>
      <c r="DA50"/>
      <c r="DB50"/>
      <c r="DC50"/>
    </row>
    <row r="51" spans="2:107" s="511" customFormat="1">
      <c r="B51" s="515" t="s">
        <v>111</v>
      </c>
      <c r="C51" s="297"/>
      <c r="D51" s="68"/>
      <c r="E51" s="68"/>
      <c r="F51" s="298"/>
      <c r="G51" s="68"/>
      <c r="H51" s="68"/>
      <c r="I51" s="68"/>
      <c r="J51" s="298"/>
      <c r="K51" s="68"/>
      <c r="L51" s="68"/>
      <c r="M51" s="68"/>
      <c r="N51" s="298"/>
      <c r="O51" s="68"/>
      <c r="P51" s="68"/>
      <c r="Q51" s="68"/>
      <c r="R51" s="298"/>
      <c r="S51" s="68"/>
      <c r="T51" s="68"/>
      <c r="U51" s="68"/>
      <c r="V51" s="298"/>
      <c r="W51" s="68">
        <f>W50-BS!W8</f>
        <v>0</v>
      </c>
      <c r="X51" s="68">
        <f>X50-BS!X8</f>
        <v>0</v>
      </c>
      <c r="Y51" s="68">
        <f>Y50-BS!Y8</f>
        <v>0</v>
      </c>
      <c r="Z51" s="298">
        <f>Z50-BS!Z8</f>
        <v>0</v>
      </c>
      <c r="AA51" s="68">
        <f>AA50-BS!AA8</f>
        <v>0</v>
      </c>
      <c r="AB51" s="68">
        <f>AB50-BS!AB8</f>
        <v>0</v>
      </c>
      <c r="AC51" s="68">
        <f>AC50-BS!AC8</f>
        <v>0</v>
      </c>
      <c r="AD51" s="298">
        <f>AD50-BS!AD8</f>
        <v>0</v>
      </c>
      <c r="AE51" s="68">
        <f>AE50-BS!AE8</f>
        <v>0</v>
      </c>
      <c r="AF51" s="68">
        <f>AF50-BS!AF8</f>
        <v>0</v>
      </c>
      <c r="AG51" s="68">
        <f>AG50-BS!AG8</f>
        <v>0</v>
      </c>
      <c r="AH51" s="298">
        <f>AH50-BS!AH8</f>
        <v>0</v>
      </c>
      <c r="AI51" s="297">
        <f>AI50-BS!AI8</f>
        <v>0</v>
      </c>
      <c r="AJ51" s="68">
        <f>AJ50-BS!AJ8</f>
        <v>0</v>
      </c>
      <c r="AK51" s="68">
        <f>AK50-BS!AK8</f>
        <v>0</v>
      </c>
      <c r="AL51" s="298">
        <f>AL50-BS!AL8</f>
        <v>0</v>
      </c>
      <c r="AM51" s="68">
        <f>AM50-BS!AM8</f>
        <v>0</v>
      </c>
      <c r="AN51" s="68">
        <f>AN50-BS!AN8</f>
        <v>0</v>
      </c>
      <c r="AO51" s="68">
        <f>AO50-BS!AO8</f>
        <v>0</v>
      </c>
      <c r="AP51" s="298">
        <f>AP50-BS!AP8</f>
        <v>0</v>
      </c>
      <c r="AQ51" s="68">
        <f>AQ50-BS!AQ8</f>
        <v>0</v>
      </c>
      <c r="AR51" s="68">
        <f>AR50-BS!AR8</f>
        <v>0</v>
      </c>
      <c r="AS51" s="68">
        <f>AS50-BS!AS8</f>
        <v>0</v>
      </c>
      <c r="AT51" s="298">
        <f>AT50-BS!AT8</f>
        <v>0</v>
      </c>
      <c r="AU51" s="68">
        <f>AU50-BS!AU8</f>
        <v>0</v>
      </c>
      <c r="AV51" s="68">
        <f>AV50-BS!AV8</f>
        <v>0</v>
      </c>
      <c r="AW51" s="68">
        <f>AW50-BS!AW8</f>
        <v>0</v>
      </c>
      <c r="AX51" s="298">
        <f>AX50-BS!AX8</f>
        <v>0</v>
      </c>
      <c r="AY51" s="68">
        <f>AY50-BS!AY8</f>
        <v>0</v>
      </c>
      <c r="AZ51" s="68">
        <f>AZ50-BS!AZ8</f>
        <v>0</v>
      </c>
      <c r="BA51" s="68">
        <f>BA50-BS!BA8</f>
        <v>0</v>
      </c>
      <c r="BB51" s="298">
        <f>BB50-BS!BB8</f>
        <v>0</v>
      </c>
      <c r="BC51" s="525">
        <f>BC50-BS!BC8</f>
        <v>0</v>
      </c>
      <c r="BD51" s="525">
        <f>BD50-BS!BD8</f>
        <v>0</v>
      </c>
      <c r="BE51" s="525">
        <f>BE50-BS!BE8</f>
        <v>0</v>
      </c>
      <c r="BF51" s="236">
        <f>BF50-BS!BF8</f>
        <v>0</v>
      </c>
      <c r="BG51" s="67">
        <f>BG50-BS!BG8</f>
        <v>0</v>
      </c>
      <c r="BH51" s="67">
        <f>BH50-BS!BH8</f>
        <v>0</v>
      </c>
      <c r="BI51" s="67">
        <f>BI50-BS!BI8</f>
        <v>0</v>
      </c>
      <c r="BJ51" s="236">
        <f>BJ50-BS!BJ8</f>
        <v>0</v>
      </c>
      <c r="BK51" s="67">
        <f>BK50-BS!BK8</f>
        <v>0</v>
      </c>
      <c r="BL51" s="67">
        <f>BL50-BS!BL8</f>
        <v>0</v>
      </c>
      <c r="BM51" s="67">
        <f>BM50-BS!BM8</f>
        <v>0</v>
      </c>
      <c r="BN51" s="236">
        <f>BN50-BS!BN8</f>
        <v>0</v>
      </c>
      <c r="BO51" s="474"/>
      <c r="BP51" s="71">
        <f>BP50-BS!BP8</f>
        <v>0</v>
      </c>
      <c r="BQ51" s="71">
        <f>BQ50-BS!BQ8</f>
        <v>0</v>
      </c>
      <c r="BR51" s="71">
        <f>BR50-BS!BR8</f>
        <v>0</v>
      </c>
      <c r="BS51" s="71">
        <f>BS50-BS!BS8</f>
        <v>0</v>
      </c>
      <c r="BT51" s="71">
        <f>BT50-BS!BT8</f>
        <v>0</v>
      </c>
      <c r="BU51" s="71">
        <f>BU50-BS!BU8</f>
        <v>0</v>
      </c>
      <c r="BV51" s="71">
        <f>BV50-BS!BV8</f>
        <v>0</v>
      </c>
      <c r="BW51" s="71">
        <f>ROUND(BW50,3)-ROUND(BS!BW8,3)</f>
        <v>0</v>
      </c>
      <c r="BX51" s="71">
        <f>ROUND(BX50,3)-ROUND(BS!BX8,3)</f>
        <v>0</v>
      </c>
      <c r="BY51" s="71">
        <f>ROUND(BY50,3)-ROUND(BS!BY8,3)</f>
        <v>0</v>
      </c>
      <c r="BZ51" s="525">
        <f>ROUND(BZ50,3)-ROUND(BS!BZ8,3)</f>
        <v>0</v>
      </c>
      <c r="CA51" s="525">
        <f>ROUND(CA50,3)-ROUND(BS!CA8,3)</f>
        <v>0</v>
      </c>
      <c r="CB51" s="525">
        <f>ROUND(CB50,3)-ROUND(BS!CB8,3)</f>
        <v>0</v>
      </c>
      <c r="CC51" s="525">
        <f>ROUND(CC50,3)-ROUND(BS!CC8,3)</f>
        <v>0</v>
      </c>
      <c r="CD51" s="525">
        <f>ROUND(CD50,3)-ROUND(BS!CD8,3)</f>
        <v>0</v>
      </c>
      <c r="CE51" s="525">
        <f>ROUND(CE50,3)-ROUND(BS!CE8,3)</f>
        <v>0</v>
      </c>
      <c r="CF51" s="14"/>
      <c r="CG51" s="627"/>
      <c r="CX51"/>
      <c r="CY51"/>
      <c r="CZ51"/>
      <c r="DA51"/>
      <c r="DB51"/>
      <c r="DC51"/>
    </row>
    <row r="52" spans="2:107" s="5" customFormat="1">
      <c r="B52" s="8"/>
      <c r="C52" s="32"/>
      <c r="D52" s="30"/>
      <c r="E52" s="30"/>
      <c r="F52" s="33"/>
      <c r="G52" s="30"/>
      <c r="H52" s="30"/>
      <c r="I52" s="30"/>
      <c r="J52" s="33"/>
      <c r="K52" s="30"/>
      <c r="L52" s="30"/>
      <c r="M52" s="30"/>
      <c r="N52" s="33"/>
      <c r="O52" s="30"/>
      <c r="P52" s="30"/>
      <c r="Q52" s="30"/>
      <c r="R52" s="33"/>
      <c r="S52" s="30"/>
      <c r="T52" s="30"/>
      <c r="U52" s="30"/>
      <c r="V52" s="33"/>
      <c r="W52" s="30"/>
      <c r="X52" s="30"/>
      <c r="Y52" s="30"/>
      <c r="Z52" s="33"/>
      <c r="AA52" s="30"/>
      <c r="AB52" s="30"/>
      <c r="AC52" s="30"/>
      <c r="AD52" s="33"/>
      <c r="AE52" s="30"/>
      <c r="AF52" s="30"/>
      <c r="AG52" s="30"/>
      <c r="AH52" s="33"/>
      <c r="AI52" s="32"/>
      <c r="AJ52" s="30"/>
      <c r="AK52" s="30"/>
      <c r="AL52" s="33"/>
      <c r="AM52" s="30"/>
      <c r="AN52" s="30"/>
      <c r="AO52" s="30"/>
      <c r="AP52" s="33"/>
      <c r="AQ52" s="30"/>
      <c r="AR52" s="30"/>
      <c r="AS52" s="30"/>
      <c r="AT52" s="33"/>
      <c r="AU52" s="30"/>
      <c r="AV52" s="30"/>
      <c r="AW52" s="30"/>
      <c r="AX52" s="33"/>
      <c r="AY52" s="30"/>
      <c r="AZ52" s="30"/>
      <c r="BA52" s="30"/>
      <c r="BB52" s="33"/>
      <c r="BC52" s="30"/>
      <c r="BD52" s="30"/>
      <c r="BE52" s="30"/>
      <c r="BF52" s="33"/>
      <c r="BG52" s="30"/>
      <c r="BH52" s="30"/>
      <c r="BI52" s="30"/>
      <c r="BJ52" s="33"/>
      <c r="BK52" s="30"/>
      <c r="BL52" s="30"/>
      <c r="BM52" s="30"/>
      <c r="BN52" s="33"/>
      <c r="BO52" s="195"/>
      <c r="BP52" s="30"/>
      <c r="BQ52" s="30"/>
      <c r="BR52" s="30"/>
      <c r="BS52" s="30"/>
      <c r="BT52" s="30"/>
      <c r="BU52" s="30"/>
      <c r="BV52" s="30"/>
      <c r="BW52" s="94"/>
      <c r="BX52" s="30"/>
      <c r="BY52" s="30"/>
      <c r="BZ52" s="30"/>
      <c r="CC52" s="925"/>
      <c r="CD52" s="925"/>
      <c r="CE52" s="925"/>
      <c r="CF52" s="14"/>
      <c r="CX52"/>
      <c r="CY52"/>
      <c r="CZ52"/>
      <c r="DA52"/>
      <c r="DB52"/>
      <c r="DC52"/>
    </row>
    <row r="53" spans="2:107" s="5" customFormat="1">
      <c r="B53" s="8" t="s">
        <v>388</v>
      </c>
      <c r="C53" s="32"/>
      <c r="D53" s="30"/>
      <c r="E53" s="30"/>
      <c r="F53" s="33"/>
      <c r="G53" s="30"/>
      <c r="H53" s="30"/>
      <c r="I53" s="30"/>
      <c r="J53" s="33"/>
      <c r="K53" s="30"/>
      <c r="L53" s="30"/>
      <c r="M53" s="30"/>
      <c r="N53" s="33"/>
      <c r="O53" s="30"/>
      <c r="P53" s="30"/>
      <c r="Q53" s="30"/>
      <c r="R53" s="33"/>
      <c r="S53" s="30"/>
      <c r="T53" s="30"/>
      <c r="U53" s="30"/>
      <c r="V53" s="33"/>
      <c r="W53" s="30"/>
      <c r="X53" s="30"/>
      <c r="Y53" s="30"/>
      <c r="Z53" s="33"/>
      <c r="AA53" s="30"/>
      <c r="AB53" s="30"/>
      <c r="AC53" s="30"/>
      <c r="AD53" s="33"/>
      <c r="AE53" s="30">
        <f>AE24+AE30</f>
        <v>-38.131</v>
      </c>
      <c r="AF53" s="30">
        <f t="shared" ref="AF53:AV53" si="81">AF24+AF30</f>
        <v>138.94200000000001</v>
      </c>
      <c r="AG53" s="30">
        <f t="shared" si="81"/>
        <v>136.80100000000004</v>
      </c>
      <c r="AH53" s="33">
        <f t="shared" si="81"/>
        <v>403.25100000000009</v>
      </c>
      <c r="AI53" s="32">
        <f t="shared" si="81"/>
        <v>109.983</v>
      </c>
      <c r="AJ53" s="30">
        <f t="shared" si="81"/>
        <v>11.483000000000033</v>
      </c>
      <c r="AK53" s="30">
        <f t="shared" si="81"/>
        <v>124.15600000000001</v>
      </c>
      <c r="AL53" s="33">
        <f t="shared" si="81"/>
        <v>334.33799999999985</v>
      </c>
      <c r="AM53" s="30">
        <f t="shared" si="81"/>
        <v>121.95399999999999</v>
      </c>
      <c r="AN53" s="30">
        <f t="shared" si="81"/>
        <v>73.75500000000001</v>
      </c>
      <c r="AO53" s="30">
        <f t="shared" si="81"/>
        <v>175.88200000000001</v>
      </c>
      <c r="AP53" s="33">
        <f t="shared" si="81"/>
        <v>411.68399999999986</v>
      </c>
      <c r="AQ53" s="30">
        <f t="shared" ref="AQ53:AR53" si="82">AQ24+AQ30</f>
        <v>216</v>
      </c>
      <c r="AR53" s="30">
        <f t="shared" si="82"/>
        <v>139</v>
      </c>
      <c r="AS53" s="30">
        <f t="shared" si="81"/>
        <v>238</v>
      </c>
      <c r="AT53" s="33">
        <f t="shared" si="81"/>
        <v>496</v>
      </c>
      <c r="AU53" s="30">
        <f t="shared" si="81"/>
        <v>254</v>
      </c>
      <c r="AV53" s="30">
        <f t="shared" si="81"/>
        <v>152</v>
      </c>
      <c r="AW53" s="30">
        <f t="shared" ref="AW53:AZ53" si="83">AW24+AW30</f>
        <v>420</v>
      </c>
      <c r="AX53" s="33">
        <f t="shared" si="83"/>
        <v>670</v>
      </c>
      <c r="AY53" s="30">
        <f t="shared" si="83"/>
        <v>228</v>
      </c>
      <c r="AZ53" s="30">
        <f t="shared" si="83"/>
        <v>651</v>
      </c>
      <c r="BA53" s="30">
        <f t="shared" ref="BA53" si="84">BA24+BA30</f>
        <v>1088</v>
      </c>
      <c r="BB53" s="33">
        <f t="shared" ref="BB53" si="85">BB24+BB30</f>
        <v>942</v>
      </c>
      <c r="BC53" s="30">
        <f t="shared" ref="BC53:BJ53" si="86">BC24+BC30</f>
        <v>1051.0279610395835</v>
      </c>
      <c r="BD53" s="30">
        <f t="shared" si="86"/>
        <v>1004.7926782816363</v>
      </c>
      <c r="BE53" s="30">
        <f t="shared" si="86"/>
        <v>1094.4797204535903</v>
      </c>
      <c r="BF53" s="33">
        <f t="shared" si="86"/>
        <v>1205.8495525923536</v>
      </c>
      <c r="BG53" s="30">
        <f t="shared" si="86"/>
        <v>1278.9864399287612</v>
      </c>
      <c r="BH53" s="30">
        <f t="shared" si="86"/>
        <v>1123.4715644315772</v>
      </c>
      <c r="BI53" s="30">
        <f t="shared" si="86"/>
        <v>1310.4381732270169</v>
      </c>
      <c r="BJ53" s="33">
        <f t="shared" si="86"/>
        <v>1470.4388687660596</v>
      </c>
      <c r="BK53" s="30">
        <f t="shared" ref="BK53:BN53" si="87">BK24+BK30</f>
        <v>1513.6053653062165</v>
      </c>
      <c r="BL53" s="30">
        <f t="shared" si="87"/>
        <v>1356.1148560953936</v>
      </c>
      <c r="BM53" s="30">
        <f t="shared" si="87"/>
        <v>1583.1650285676637</v>
      </c>
      <c r="BN53" s="33">
        <f t="shared" si="87"/>
        <v>1756.2862229563807</v>
      </c>
      <c r="BO53" s="195"/>
      <c r="BP53" s="30">
        <f t="shared" ref="BP53:BV53" si="88">BP24+BP30</f>
        <v>366.80800000000011</v>
      </c>
      <c r="BQ53" s="30">
        <f t="shared" si="88"/>
        <v>443.4190000000001</v>
      </c>
      <c r="BR53" s="30">
        <f t="shared" si="88"/>
        <v>1082.4509999999996</v>
      </c>
      <c r="BS53" s="30">
        <f t="shared" si="88"/>
        <v>-158.31000000000051</v>
      </c>
      <c r="BT53" s="30">
        <f t="shared" si="88"/>
        <v>410.20600000000024</v>
      </c>
      <c r="BU53" s="30">
        <f t="shared" si="88"/>
        <v>577.90699999999958</v>
      </c>
      <c r="BV53" s="30">
        <f t="shared" si="88"/>
        <v>770.42100000000016</v>
      </c>
      <c r="BW53" s="30">
        <f t="shared" ref="BW53:CB53" si="89">BW24+BW30</f>
        <v>640.86300000000006</v>
      </c>
      <c r="BX53" s="30">
        <f t="shared" si="89"/>
        <v>579.95999999999992</v>
      </c>
      <c r="BY53" s="30">
        <f t="shared" si="89"/>
        <v>783.27499999999998</v>
      </c>
      <c r="BZ53" s="30">
        <f t="shared" si="89"/>
        <v>1089</v>
      </c>
      <c r="CA53" s="30">
        <f t="shared" si="89"/>
        <v>1496</v>
      </c>
      <c r="CB53" s="30">
        <f t="shared" si="89"/>
        <v>2909</v>
      </c>
      <c r="CC53" s="30">
        <f t="shared" ref="CC53:CD53" si="90">CC24+CC30</f>
        <v>4356.1499123671638</v>
      </c>
      <c r="CD53" s="30">
        <f t="shared" si="90"/>
        <v>5183.3350463534143</v>
      </c>
      <c r="CE53" s="30">
        <f t="shared" ref="CE53" si="91">CE24+CE30</f>
        <v>6209.1714729256546</v>
      </c>
      <c r="CF53" s="14"/>
      <c r="CX53"/>
      <c r="CY53"/>
      <c r="CZ53"/>
      <c r="DA53"/>
      <c r="DB53"/>
      <c r="DC53"/>
    </row>
    <row r="54" spans="2:107" s="5" customFormat="1">
      <c r="B54" s="8" t="s">
        <v>414</v>
      </c>
      <c r="C54" s="32"/>
      <c r="D54" s="30"/>
      <c r="E54" s="30"/>
      <c r="F54" s="33"/>
      <c r="G54" s="30"/>
      <c r="H54" s="30"/>
      <c r="I54" s="30"/>
      <c r="J54" s="33"/>
      <c r="K54" s="30"/>
      <c r="L54" s="30"/>
      <c r="M54" s="30"/>
      <c r="N54" s="33"/>
      <c r="O54" s="30"/>
      <c r="P54" s="30"/>
      <c r="Q54" s="30"/>
      <c r="R54" s="33"/>
      <c r="S54" s="30"/>
      <c r="T54" s="30"/>
      <c r="U54" s="30"/>
      <c r="V54" s="33"/>
      <c r="W54" s="30"/>
      <c r="X54" s="30"/>
      <c r="Y54" s="30"/>
      <c r="Z54" s="33"/>
      <c r="AA54" s="30"/>
      <c r="AB54" s="30"/>
      <c r="AC54" s="30"/>
      <c r="AD54" s="33"/>
      <c r="AE54" s="30"/>
      <c r="AF54" s="30"/>
      <c r="AG54" s="30"/>
      <c r="AH54" s="33"/>
      <c r="AI54" s="237">
        <f>AI53-AI10</f>
        <v>76.586000000000013</v>
      </c>
      <c r="AJ54" s="73">
        <f t="shared" ref="AJ54:AT54" si="92">AJ53-AJ10</f>
        <v>-20.911999999999971</v>
      </c>
      <c r="AK54" s="73">
        <f t="shared" si="92"/>
        <v>89.856999999999999</v>
      </c>
      <c r="AL54" s="238">
        <f t="shared" si="92"/>
        <v>298.1339999999999</v>
      </c>
      <c r="AM54" s="73">
        <f t="shared" si="92"/>
        <v>86.432999999999993</v>
      </c>
      <c r="AN54" s="73">
        <f t="shared" si="92"/>
        <v>35.340000000000003</v>
      </c>
      <c r="AO54" s="73">
        <f t="shared" si="92"/>
        <v>134.447</v>
      </c>
      <c r="AP54" s="238">
        <f t="shared" si="92"/>
        <v>369.21399999999983</v>
      </c>
      <c r="AQ54" s="73">
        <f t="shared" si="92"/>
        <v>171</v>
      </c>
      <c r="AR54" s="73">
        <f t="shared" ref="AR54" si="93">AR53-AR10</f>
        <v>91</v>
      </c>
      <c r="AS54" s="73">
        <f t="shared" si="92"/>
        <v>186</v>
      </c>
      <c r="AT54" s="238">
        <f t="shared" si="92"/>
        <v>437</v>
      </c>
      <c r="AU54" s="73">
        <f t="shared" ref="AU54:AX54" si="94">AU53-AU10</f>
        <v>201</v>
      </c>
      <c r="AV54" s="73">
        <f t="shared" si="94"/>
        <v>94</v>
      </c>
      <c r="AW54" s="73">
        <f t="shared" si="94"/>
        <v>355</v>
      </c>
      <c r="AX54" s="238">
        <f t="shared" si="94"/>
        <v>599</v>
      </c>
      <c r="AY54" s="73">
        <f t="shared" ref="AY54:BA54" si="95">AY53-AY10</f>
        <v>152</v>
      </c>
      <c r="AZ54" s="73">
        <f t="shared" si="95"/>
        <v>569</v>
      </c>
      <c r="BA54" s="73">
        <f t="shared" si="95"/>
        <v>981</v>
      </c>
      <c r="BB54" s="238">
        <f t="shared" ref="BB54" si="96">BB53-BB10</f>
        <v>816</v>
      </c>
      <c r="BC54" s="73">
        <f t="shared" ref="BC54:BJ54" si="97">BC53-BC10</f>
        <v>919.02796103958349</v>
      </c>
      <c r="BD54" s="73">
        <f t="shared" si="97"/>
        <v>872.79267828163631</v>
      </c>
      <c r="BE54" s="73">
        <f t="shared" si="97"/>
        <v>962.47972045359029</v>
      </c>
      <c r="BF54" s="238">
        <f t="shared" si="97"/>
        <v>1073.8495525923536</v>
      </c>
      <c r="BG54" s="73">
        <f t="shared" si="97"/>
        <v>1146.9864399287612</v>
      </c>
      <c r="BH54" s="73">
        <f t="shared" si="97"/>
        <v>991.47156443157724</v>
      </c>
      <c r="BI54" s="73">
        <f t="shared" si="97"/>
        <v>1178.4381732270169</v>
      </c>
      <c r="BJ54" s="238">
        <f t="shared" si="97"/>
        <v>1338.4388687660596</v>
      </c>
      <c r="BK54" s="73">
        <f t="shared" ref="BK54:BN54" si="98">BK53-BK10</f>
        <v>1381.6053653062165</v>
      </c>
      <c r="BL54" s="73">
        <f t="shared" si="98"/>
        <v>1224.1148560953936</v>
      </c>
      <c r="BM54" s="73">
        <f t="shared" si="98"/>
        <v>1451.1650285676637</v>
      </c>
      <c r="BN54" s="238">
        <f t="shared" si="98"/>
        <v>1624.2862229563807</v>
      </c>
      <c r="BO54" s="510"/>
      <c r="BP54" s="73">
        <f t="shared" ref="BP54:BV54" si="99">BP53-BP10</f>
        <v>358.93600000000009</v>
      </c>
      <c r="BQ54" s="73">
        <f t="shared" si="99"/>
        <v>327.74600000000009</v>
      </c>
      <c r="BR54" s="73">
        <f t="shared" si="99"/>
        <v>949.08599999999956</v>
      </c>
      <c r="BS54" s="73">
        <f t="shared" si="99"/>
        <v>-321.01600000000053</v>
      </c>
      <c r="BT54" s="73">
        <f t="shared" si="99"/>
        <v>167.38000000000022</v>
      </c>
      <c r="BU54" s="73">
        <f t="shared" si="99"/>
        <v>477.55399999999963</v>
      </c>
      <c r="BV54" s="73">
        <f t="shared" si="99"/>
        <v>634.06700000000012</v>
      </c>
      <c r="BW54" s="73">
        <f t="shared" ref="BW54" si="100">BW53-BW10</f>
        <v>504.20100000000002</v>
      </c>
      <c r="BX54" s="73">
        <f t="shared" ref="BX54" si="101">BX53-BX10</f>
        <v>443.66499999999996</v>
      </c>
      <c r="BY54" s="73">
        <f t="shared" ref="BY54" si="102">BY53-BY10</f>
        <v>625.43399999999997</v>
      </c>
      <c r="BZ54" s="73">
        <f t="shared" ref="BZ54" si="103">BZ53-BZ10</f>
        <v>885</v>
      </c>
      <c r="CA54" s="73">
        <f t="shared" ref="CA54" si="104">CA53-CA10</f>
        <v>1249</v>
      </c>
      <c r="CB54" s="73">
        <f t="shared" ref="CB54:CC54" si="105">CB53-CB10</f>
        <v>2518</v>
      </c>
      <c r="CC54" s="73">
        <f t="shared" si="105"/>
        <v>3828.1499123671638</v>
      </c>
      <c r="CD54" s="73">
        <f t="shared" ref="CD54:CE54" si="106">CD53-CD10</f>
        <v>4655.3350463534143</v>
      </c>
      <c r="CE54" s="73">
        <f t="shared" si="106"/>
        <v>5681.1714729256546</v>
      </c>
      <c r="CF54" s="14"/>
      <c r="CX54"/>
      <c r="CY54"/>
      <c r="CZ54"/>
      <c r="DA54"/>
      <c r="DB54"/>
      <c r="DC54"/>
    </row>
    <row r="55" spans="2:107" s="5" customFormat="1">
      <c r="B55" s="8"/>
      <c r="C55" s="32"/>
      <c r="D55" s="30"/>
      <c r="E55" s="30"/>
      <c r="F55" s="33"/>
      <c r="G55" s="30"/>
      <c r="H55" s="30"/>
      <c r="I55" s="30"/>
      <c r="J55" s="33"/>
      <c r="K55" s="30"/>
      <c r="L55" s="30"/>
      <c r="M55" s="30"/>
      <c r="N55" s="33"/>
      <c r="O55" s="30"/>
      <c r="P55" s="30"/>
      <c r="Q55" s="30"/>
      <c r="R55" s="33"/>
      <c r="S55" s="30"/>
      <c r="T55" s="30"/>
      <c r="U55" s="30"/>
      <c r="V55" s="33"/>
      <c r="W55" s="30"/>
      <c r="X55" s="30"/>
      <c r="Y55" s="30"/>
      <c r="Z55" s="33"/>
      <c r="AA55" s="30"/>
      <c r="AB55" s="30"/>
      <c r="AC55" s="30"/>
      <c r="AD55" s="33"/>
      <c r="AE55" s="30"/>
      <c r="AF55" s="30"/>
      <c r="AG55" s="30"/>
      <c r="AH55" s="33"/>
      <c r="AI55" s="32"/>
      <c r="AJ55" s="30"/>
      <c r="AK55" s="30"/>
      <c r="AL55" s="33"/>
      <c r="AM55" s="30"/>
      <c r="AN55" s="30"/>
      <c r="AO55" s="30"/>
      <c r="AP55" s="33"/>
      <c r="AQ55" s="30"/>
      <c r="AR55" s="30"/>
      <c r="AS55" s="30"/>
      <c r="AT55" s="33"/>
      <c r="AU55" s="30"/>
      <c r="AV55" s="30"/>
      <c r="AW55" s="30"/>
      <c r="AX55" s="33"/>
      <c r="AY55" s="30"/>
      <c r="AZ55" s="30"/>
      <c r="BA55" s="30"/>
      <c r="BB55" s="33"/>
      <c r="BC55" s="30"/>
      <c r="BD55" s="30"/>
      <c r="BE55" s="30"/>
      <c r="BF55" s="33"/>
      <c r="BG55" s="30"/>
      <c r="BH55" s="30"/>
      <c r="BI55" s="30"/>
      <c r="BJ55" s="33"/>
      <c r="BK55" s="30"/>
      <c r="BL55" s="30"/>
      <c r="BM55" s="30"/>
      <c r="BN55" s="33"/>
      <c r="BO55" s="195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E55" s="925"/>
      <c r="CX55"/>
      <c r="CY55"/>
      <c r="CZ55"/>
      <c r="DA55"/>
      <c r="DB55"/>
      <c r="DC55"/>
    </row>
    <row r="56" spans="2:107" s="5" customFormat="1">
      <c r="B56" s="8"/>
      <c r="C56" s="32"/>
      <c r="D56" s="30"/>
      <c r="E56" s="30"/>
      <c r="F56" s="33"/>
      <c r="G56" s="30"/>
      <c r="H56" s="30"/>
      <c r="I56" s="30"/>
      <c r="J56" s="33"/>
      <c r="K56" s="30"/>
      <c r="L56" s="30"/>
      <c r="M56" s="30"/>
      <c r="N56" s="33"/>
      <c r="O56" s="30"/>
      <c r="P56" s="30"/>
      <c r="Q56" s="30"/>
      <c r="R56" s="33"/>
      <c r="S56" s="30"/>
      <c r="T56" s="30"/>
      <c r="U56" s="30"/>
      <c r="V56" s="33"/>
      <c r="W56" s="30"/>
      <c r="X56" s="30"/>
      <c r="Y56" s="30"/>
      <c r="Z56" s="33"/>
      <c r="AA56" s="30"/>
      <c r="AB56" s="30"/>
      <c r="AC56" s="30"/>
      <c r="AD56" s="33"/>
      <c r="AE56" s="30"/>
      <c r="AF56" s="30"/>
      <c r="AG56" s="30"/>
      <c r="AH56" s="33"/>
      <c r="AI56" s="32"/>
      <c r="AJ56" s="30"/>
      <c r="AK56" s="30"/>
      <c r="AL56" s="33"/>
      <c r="AM56" s="30"/>
      <c r="AN56" s="30"/>
      <c r="AO56" s="30"/>
      <c r="AP56" s="33"/>
      <c r="AQ56" s="30"/>
      <c r="AR56" s="30"/>
      <c r="AS56" s="30"/>
      <c r="AT56" s="33"/>
      <c r="AU56" s="30"/>
      <c r="AV56" s="30"/>
      <c r="AW56" s="30"/>
      <c r="AX56" s="33"/>
      <c r="AY56" s="30"/>
      <c r="AZ56" s="30"/>
      <c r="BA56" s="30"/>
      <c r="BB56" s="33"/>
      <c r="BC56" s="30"/>
      <c r="BD56" s="30"/>
      <c r="BE56" s="30"/>
      <c r="BF56" s="33"/>
      <c r="BG56" s="30"/>
      <c r="BH56" s="30"/>
      <c r="BI56" s="30"/>
      <c r="BJ56" s="33"/>
      <c r="BK56" s="30"/>
      <c r="BL56" s="30"/>
      <c r="BM56" s="30"/>
      <c r="BN56" s="33"/>
      <c r="BO56" s="195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E56" s="925"/>
      <c r="CX56"/>
      <c r="CY56"/>
      <c r="CZ56"/>
      <c r="DA56"/>
      <c r="DB56"/>
      <c r="DC56"/>
    </row>
    <row r="57" spans="2:107">
      <c r="BY57" s="426"/>
    </row>
    <row r="201" customFormat="1"/>
  </sheetData>
  <pageMargins left="0" right="0" top="0" bottom="0" header="0" footer="0"/>
  <pageSetup paperSize="5" scale="2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HR848"/>
  <sheetViews>
    <sheetView zoomScaleNormal="100" workbookViewId="0">
      <pane xSplit="2" ySplit="4" topLeftCell="AW5" activePane="bottomRight" state="frozen"/>
      <selection pane="topRight" activeCell="C1" sqref="C1"/>
      <selection pane="bottomLeft" activeCell="A5" sqref="A5"/>
      <selection pane="bottomRight" activeCell="BB28" sqref="BB28"/>
    </sheetView>
  </sheetViews>
  <sheetFormatPr defaultRowHeight="11.25" outlineLevelRow="1" outlineLevelCol="1"/>
  <cols>
    <col min="1" max="1" width="7.85546875" style="84" bestFit="1" customWidth="1"/>
    <col min="2" max="2" width="34.85546875" style="5" customWidth="1"/>
    <col min="3" max="3" width="6.140625" style="15" hidden="1" customWidth="1" outlineLevel="1" collapsed="1"/>
    <col min="4" max="4" width="5.7109375" style="5" hidden="1" customWidth="1" outlineLevel="1"/>
    <col min="5" max="5" width="5.85546875" style="5" hidden="1" customWidth="1" outlineLevel="1"/>
    <col min="6" max="6" width="6" style="16" hidden="1" customWidth="1" outlineLevel="1"/>
    <col min="7" max="10" width="8.28515625" style="5" hidden="1" customWidth="1" outlineLevel="1"/>
    <col min="11" max="11" width="8.28515625" style="15" hidden="1" customWidth="1" outlineLevel="1"/>
    <col min="12" max="12" width="8.28515625" style="5" hidden="1" customWidth="1" outlineLevel="1"/>
    <col min="13" max="13" width="7.42578125" style="5" hidden="1" customWidth="1" outlineLevel="1"/>
    <col min="14" max="14" width="7.42578125" style="16" hidden="1" customWidth="1" outlineLevel="1"/>
    <col min="15" max="15" width="7.42578125" style="5" hidden="1" customWidth="1" outlineLevel="1"/>
    <col min="16" max="17" width="8.28515625" style="5" hidden="1" customWidth="1" outlineLevel="1"/>
    <col min="18" max="18" width="7.42578125" style="5" hidden="1" customWidth="1" outlineLevel="1"/>
    <col min="19" max="19" width="7.42578125" style="15" hidden="1" customWidth="1" outlineLevel="1"/>
    <col min="20" max="20" width="6.85546875" style="5" hidden="1" customWidth="1" outlineLevel="1"/>
    <col min="21" max="21" width="6.7109375" style="5" hidden="1" customWidth="1" outlineLevel="1"/>
    <col min="22" max="22" width="6.7109375" style="16" hidden="1" customWidth="1" outlineLevel="1"/>
    <col min="23" max="23" width="7.42578125" style="5" hidden="1" customWidth="1" outlineLevel="1" collapsed="1"/>
    <col min="24" max="26" width="7.28515625" style="5" hidden="1" customWidth="1" outlineLevel="1"/>
    <col min="27" max="27" width="7.28515625" style="15" hidden="1" customWidth="1" outlineLevel="1" collapsed="1"/>
    <col min="28" max="29" width="7.28515625" style="5" hidden="1" customWidth="1" outlineLevel="1"/>
    <col min="30" max="30" width="7.28515625" style="16" hidden="1" customWidth="1" outlineLevel="1"/>
    <col min="31" max="31" width="7.28515625" style="5" hidden="1" customWidth="1" outlineLevel="1" collapsed="1"/>
    <col min="32" max="34" width="7.28515625" style="5" hidden="1" customWidth="1" outlineLevel="1"/>
    <col min="35" max="35" width="7.28515625" style="15" hidden="1" customWidth="1" outlineLevel="1"/>
    <col min="36" max="36" width="7.42578125" style="5" hidden="1" customWidth="1" outlineLevel="1"/>
    <col min="37" max="37" width="7.7109375" style="5" hidden="1" customWidth="1" outlineLevel="1"/>
    <col min="38" max="38" width="7.28515625" style="16" hidden="1" customWidth="1" outlineLevel="1"/>
    <col min="39" max="39" width="7.28515625" style="15" hidden="1" customWidth="1" outlineLevel="1" collapsed="1"/>
    <col min="40" max="41" width="7.28515625" style="5" hidden="1" customWidth="1" outlineLevel="1"/>
    <col min="42" max="42" width="7.28515625" style="16" hidden="1" customWidth="1" outlineLevel="1"/>
    <col min="43" max="43" width="7.28515625" style="5" hidden="1" customWidth="1" outlineLevel="1" collapsed="1"/>
    <col min="44" max="44" width="7.42578125" style="5" hidden="1" customWidth="1" outlineLevel="1"/>
    <col min="45" max="45" width="7.28515625" style="5" hidden="1" customWidth="1" outlineLevel="1"/>
    <col min="46" max="46" width="7" style="16" hidden="1" customWidth="1" outlineLevel="1"/>
    <col min="47" max="47" width="7.28515625" style="5" customWidth="1" collapsed="1"/>
    <col min="48" max="49" width="7.28515625" style="5" customWidth="1"/>
    <col min="50" max="50" width="8" style="16" customWidth="1"/>
    <col min="51" max="53" width="8.140625" style="5" customWidth="1"/>
    <col min="54" max="54" width="9.42578125" style="16" customWidth="1"/>
    <col min="55" max="58" width="8.140625" style="925" customWidth="1"/>
    <col min="59" max="66" width="8.140625" style="925" customWidth="1" outlineLevel="1"/>
    <col min="67" max="67" width="1.85546875" style="84" customWidth="1"/>
    <col min="68" max="69" width="6.140625" style="5" hidden="1" customWidth="1" outlineLevel="1"/>
    <col min="70" max="71" width="6.7109375" style="5" hidden="1" customWidth="1" outlineLevel="1"/>
    <col min="72" max="72" width="6.7109375" style="5" hidden="1" customWidth="1" outlineLevel="1" collapsed="1"/>
    <col min="73" max="75" width="6.85546875" style="5" hidden="1" customWidth="1" outlineLevel="1"/>
    <col min="76" max="76" width="7.42578125" style="5" customWidth="1" collapsed="1"/>
    <col min="77" max="78" width="7.42578125" style="5" customWidth="1"/>
    <col min="79" max="79" width="7.42578125" style="5" bestFit="1" customWidth="1"/>
    <col min="80" max="80" width="7.42578125" style="5" customWidth="1"/>
    <col min="81" max="82" width="7.42578125" style="925" customWidth="1"/>
    <col min="83" max="16384" width="9.140625" style="5"/>
  </cols>
  <sheetData>
    <row r="1" spans="1:90" ht="18">
      <c r="A1" s="84" t="s">
        <v>116</v>
      </c>
      <c r="B1" s="12" t="s">
        <v>133</v>
      </c>
      <c r="W1" s="14"/>
      <c r="X1" s="14"/>
      <c r="Y1" s="14"/>
      <c r="Z1" s="14"/>
      <c r="AA1" s="23"/>
      <c r="AB1" s="14"/>
      <c r="AC1" s="14"/>
      <c r="AD1" s="24"/>
      <c r="AE1" s="14"/>
      <c r="AF1" s="14"/>
      <c r="AG1" s="14"/>
      <c r="AH1" s="14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54"/>
      <c r="AW1" s="565"/>
      <c r="AX1" s="565"/>
      <c r="AY1" s="879"/>
      <c r="AZ1" s="897"/>
      <c r="BA1" s="565"/>
      <c r="BB1" s="565"/>
      <c r="BC1" s="54">
        <f>IS!BC14</f>
        <v>0.62831383325784351</v>
      </c>
      <c r="BD1" s="54">
        <f>IS!BD14</f>
        <v>0.62328739828540736</v>
      </c>
      <c r="BE1" s="54">
        <f>IS!BE14</f>
        <v>0.61917297415557038</v>
      </c>
      <c r="BF1" s="54">
        <f>IS!BF14</f>
        <v>0.61882662284869439</v>
      </c>
      <c r="BG1" s="54">
        <f>IS!BG14</f>
        <v>0.62111471157967735</v>
      </c>
      <c r="BH1" s="54">
        <f>IS!BH14</f>
        <v>0.62015997001073087</v>
      </c>
      <c r="BI1" s="54">
        <f>IS!BI14</f>
        <v>0.61861403595368392</v>
      </c>
      <c r="BJ1" s="54">
        <f>IS!BJ14</f>
        <v>0.62137635901633015</v>
      </c>
      <c r="BK1" s="54">
        <f>IS!BK14</f>
        <v>0.62469065596245199</v>
      </c>
      <c r="BL1" s="54">
        <f>IS!BL14</f>
        <v>0.62376846076012638</v>
      </c>
      <c r="BM1" s="54">
        <f>IS!BM14</f>
        <v>0.6228629635965236</v>
      </c>
      <c r="BN1" s="54">
        <f>IS!BN14</f>
        <v>0.62581679692126502</v>
      </c>
      <c r="BO1" s="178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29"/>
      <c r="CF1" s="29"/>
    </row>
    <row r="2" spans="1:90">
      <c r="B2" s="9" t="s">
        <v>119</v>
      </c>
      <c r="C2" s="201" t="s">
        <v>284</v>
      </c>
      <c r="D2" s="107" t="s">
        <v>285</v>
      </c>
      <c r="E2" s="107" t="s">
        <v>286</v>
      </c>
      <c r="F2" s="202" t="s">
        <v>287</v>
      </c>
      <c r="G2" s="107" t="s">
        <v>288</v>
      </c>
      <c r="H2" s="107" t="s">
        <v>289</v>
      </c>
      <c r="I2" s="107" t="s">
        <v>290</v>
      </c>
      <c r="J2" s="107" t="s">
        <v>291</v>
      </c>
      <c r="K2" s="201" t="s">
        <v>292</v>
      </c>
      <c r="L2" s="107" t="s">
        <v>293</v>
      </c>
      <c r="M2" s="107" t="s">
        <v>294</v>
      </c>
      <c r="N2" s="202" t="s">
        <v>295</v>
      </c>
      <c r="O2" s="107" t="s">
        <v>296</v>
      </c>
      <c r="P2" s="107" t="s">
        <v>297</v>
      </c>
      <c r="Q2" s="107" t="s">
        <v>298</v>
      </c>
      <c r="R2" s="107" t="s">
        <v>299</v>
      </c>
      <c r="S2" s="201" t="s">
        <v>300</v>
      </c>
      <c r="T2" s="107" t="s">
        <v>301</v>
      </c>
      <c r="U2" s="107" t="s">
        <v>302</v>
      </c>
      <c r="V2" s="202" t="s">
        <v>303</v>
      </c>
      <c r="W2" s="107" t="s">
        <v>238</v>
      </c>
      <c r="X2" s="107" t="s">
        <v>239</v>
      </c>
      <c r="Y2" s="107" t="s">
        <v>240</v>
      </c>
      <c r="Z2" s="107" t="s">
        <v>241</v>
      </c>
      <c r="AA2" s="201" t="s">
        <v>245</v>
      </c>
      <c r="AB2" s="107" t="s">
        <v>244</v>
      </c>
      <c r="AC2" s="107" t="s">
        <v>243</v>
      </c>
      <c r="AD2" s="202" t="s">
        <v>242</v>
      </c>
      <c r="AE2" s="107" t="s">
        <v>120</v>
      </c>
      <c r="AF2" s="107" t="s">
        <v>121</v>
      </c>
      <c r="AG2" s="107" t="s">
        <v>126</v>
      </c>
      <c r="AH2" s="107" t="s">
        <v>127</v>
      </c>
      <c r="AI2" s="17" t="s">
        <v>122</v>
      </c>
      <c r="AJ2" s="13" t="s">
        <v>123</v>
      </c>
      <c r="AK2" s="13" t="s">
        <v>124</v>
      </c>
      <c r="AL2" s="18" t="s">
        <v>125</v>
      </c>
      <c r="AM2" s="17" t="s">
        <v>129</v>
      </c>
      <c r="AN2" s="13" t="s">
        <v>128</v>
      </c>
      <c r="AO2" s="13" t="s">
        <v>130</v>
      </c>
      <c r="AP2" s="18" t="s">
        <v>131</v>
      </c>
      <c r="AQ2" s="13" t="s">
        <v>357</v>
      </c>
      <c r="AR2" s="13" t="s">
        <v>358</v>
      </c>
      <c r="AS2" s="13" t="s">
        <v>359</v>
      </c>
      <c r="AT2" s="18" t="s">
        <v>360</v>
      </c>
      <c r="AU2" s="13" t="s">
        <v>418</v>
      </c>
      <c r="AV2" s="13" t="s">
        <v>419</v>
      </c>
      <c r="AW2" s="13" t="s">
        <v>420</v>
      </c>
      <c r="AX2" s="18" t="s">
        <v>421</v>
      </c>
      <c r="AY2" s="13" t="s">
        <v>444</v>
      </c>
      <c r="AZ2" s="13" t="s">
        <v>445</v>
      </c>
      <c r="BA2" s="13" t="s">
        <v>446</v>
      </c>
      <c r="BB2" s="18" t="s">
        <v>447</v>
      </c>
      <c r="BC2" s="13" t="s">
        <v>454</v>
      </c>
      <c r="BD2" s="13" t="s">
        <v>455</v>
      </c>
      <c r="BE2" s="13" t="s">
        <v>456</v>
      </c>
      <c r="BF2" s="18" t="s">
        <v>457</v>
      </c>
      <c r="BG2" s="13" t="s">
        <v>458</v>
      </c>
      <c r="BH2" s="13" t="s">
        <v>459</v>
      </c>
      <c r="BI2" s="13" t="s">
        <v>460</v>
      </c>
      <c r="BJ2" s="18" t="s">
        <v>461</v>
      </c>
      <c r="BK2" s="13" t="s">
        <v>472</v>
      </c>
      <c r="BL2" s="13" t="s">
        <v>473</v>
      </c>
      <c r="BM2" s="13" t="s">
        <v>474</v>
      </c>
      <c r="BN2" s="18" t="s">
        <v>475</v>
      </c>
      <c r="BO2" s="86"/>
      <c r="BP2" s="13"/>
      <c r="BQ2" s="13"/>
      <c r="BR2" s="13"/>
      <c r="BS2" s="13"/>
      <c r="BT2" s="13"/>
      <c r="BU2" s="13"/>
      <c r="BV2" s="13"/>
      <c r="BW2" s="13"/>
      <c r="BX2" s="107" t="s">
        <v>153</v>
      </c>
      <c r="BY2" s="107" t="s">
        <v>203</v>
      </c>
      <c r="BZ2" s="107" t="s">
        <v>204</v>
      </c>
      <c r="CA2" s="107" t="s">
        <v>205</v>
      </c>
      <c r="CB2" s="107" t="s">
        <v>206</v>
      </c>
      <c r="CC2" s="107" t="s">
        <v>207</v>
      </c>
      <c r="CD2" s="107" t="s">
        <v>208</v>
      </c>
      <c r="CE2" s="107" t="s">
        <v>480</v>
      </c>
      <c r="CF2" s="101"/>
      <c r="CG2" s="29"/>
      <c r="CH2" s="29"/>
    </row>
    <row r="3" spans="1:90">
      <c r="B3" s="9" t="s">
        <v>182</v>
      </c>
      <c r="C3" s="17">
        <v>38472</v>
      </c>
      <c r="D3" s="13">
        <v>38564</v>
      </c>
      <c r="E3" s="13">
        <v>38656</v>
      </c>
      <c r="F3" s="18">
        <v>38748</v>
      </c>
      <c r="G3" s="13">
        <v>38837</v>
      </c>
      <c r="H3" s="13">
        <v>38929</v>
      </c>
      <c r="I3" s="13">
        <v>39021</v>
      </c>
      <c r="J3" s="13">
        <v>39113</v>
      </c>
      <c r="K3" s="17">
        <v>39202</v>
      </c>
      <c r="L3" s="13">
        <v>39294</v>
      </c>
      <c r="M3" s="13">
        <v>39386</v>
      </c>
      <c r="N3" s="18">
        <v>39478</v>
      </c>
      <c r="O3" s="13">
        <v>39568</v>
      </c>
      <c r="P3" s="13">
        <v>39660</v>
      </c>
      <c r="Q3" s="13">
        <v>39752</v>
      </c>
      <c r="R3" s="13">
        <v>39844</v>
      </c>
      <c r="S3" s="17">
        <v>39933</v>
      </c>
      <c r="T3" s="13">
        <v>40025</v>
      </c>
      <c r="U3" s="13">
        <v>40117</v>
      </c>
      <c r="V3" s="18">
        <v>40209</v>
      </c>
      <c r="W3" s="13">
        <v>40298</v>
      </c>
      <c r="X3" s="13">
        <v>40390</v>
      </c>
      <c r="Y3" s="13">
        <v>40482</v>
      </c>
      <c r="Z3" s="13">
        <v>40574</v>
      </c>
      <c r="AA3" s="17">
        <v>40663</v>
      </c>
      <c r="AB3" s="13">
        <v>40755</v>
      </c>
      <c r="AC3" s="13">
        <v>40847</v>
      </c>
      <c r="AD3" s="18">
        <v>40939</v>
      </c>
      <c r="AE3" s="13">
        <v>41029</v>
      </c>
      <c r="AF3" s="13">
        <v>41121</v>
      </c>
      <c r="AG3" s="13">
        <v>41213</v>
      </c>
      <c r="AH3" s="13">
        <v>41305</v>
      </c>
      <c r="AI3" s="17">
        <v>41394</v>
      </c>
      <c r="AJ3" s="13">
        <v>41486</v>
      </c>
      <c r="AK3" s="13">
        <v>41578</v>
      </c>
      <c r="AL3" s="18">
        <v>41670</v>
      </c>
      <c r="AM3" s="17">
        <v>41759</v>
      </c>
      <c r="AN3" s="13">
        <v>41851</v>
      </c>
      <c r="AO3" s="13">
        <v>41943</v>
      </c>
      <c r="AP3" s="18">
        <v>42035</v>
      </c>
      <c r="AQ3" s="13">
        <v>42124</v>
      </c>
      <c r="AR3" s="13">
        <v>42216</v>
      </c>
      <c r="AS3" s="13">
        <v>42308</v>
      </c>
      <c r="AT3" s="18">
        <v>42400</v>
      </c>
      <c r="AU3" s="13">
        <v>42490</v>
      </c>
      <c r="AV3" s="13">
        <v>42582</v>
      </c>
      <c r="AW3" s="13">
        <v>42674</v>
      </c>
      <c r="AX3" s="18">
        <v>42766</v>
      </c>
      <c r="AY3" s="13">
        <v>42855</v>
      </c>
      <c r="AZ3" s="13">
        <v>42947</v>
      </c>
      <c r="BA3" s="13">
        <v>43039</v>
      </c>
      <c r="BB3" s="18">
        <v>43131</v>
      </c>
      <c r="BC3" s="13">
        <v>43220</v>
      </c>
      <c r="BD3" s="13">
        <v>43312</v>
      </c>
      <c r="BE3" s="13">
        <v>43404</v>
      </c>
      <c r="BF3" s="18">
        <v>43496</v>
      </c>
      <c r="BG3" s="13">
        <v>43585</v>
      </c>
      <c r="BH3" s="13">
        <v>43677</v>
      </c>
      <c r="BI3" s="13">
        <v>43769</v>
      </c>
      <c r="BJ3" s="18">
        <v>43861</v>
      </c>
      <c r="BK3" s="13">
        <v>43951</v>
      </c>
      <c r="BL3" s="13">
        <v>44043</v>
      </c>
      <c r="BM3" s="13">
        <v>44135</v>
      </c>
      <c r="BN3" s="18">
        <v>44227</v>
      </c>
      <c r="BO3" s="86"/>
      <c r="BP3" s="13"/>
      <c r="BQ3" s="13"/>
      <c r="BR3" s="13"/>
      <c r="BS3" s="13"/>
      <c r="BT3" s="13"/>
      <c r="BU3" s="13"/>
      <c r="BV3" s="13"/>
      <c r="BW3" s="13"/>
      <c r="BX3" s="13">
        <f>DATE(RIGHT(BX2,4),1,31)</f>
        <v>41670</v>
      </c>
      <c r="BY3" s="13">
        <f t="shared" ref="BY3:CD3" si="0">DATE(RIGHT(BY2,4),1,31)</f>
        <v>42035</v>
      </c>
      <c r="BZ3" s="13">
        <f t="shared" si="0"/>
        <v>42400</v>
      </c>
      <c r="CA3" s="13">
        <f t="shared" si="0"/>
        <v>42766</v>
      </c>
      <c r="CB3" s="13">
        <f t="shared" si="0"/>
        <v>43131</v>
      </c>
      <c r="CC3" s="13">
        <f t="shared" si="0"/>
        <v>43496</v>
      </c>
      <c r="CD3" s="13">
        <f t="shared" si="0"/>
        <v>43861</v>
      </c>
      <c r="CE3" s="13">
        <f t="shared" ref="CE3" si="1">DATE(RIGHT(CE2,4),1,31)</f>
        <v>44227</v>
      </c>
      <c r="CF3" s="46"/>
      <c r="CG3" s="14"/>
      <c r="CH3" s="14"/>
    </row>
    <row r="4" spans="1:90">
      <c r="B4" s="9" t="s">
        <v>70</v>
      </c>
      <c r="C4" s="19" t="s">
        <v>71</v>
      </c>
      <c r="D4" s="7" t="s">
        <v>72</v>
      </c>
      <c r="E4" s="7" t="s">
        <v>73</v>
      </c>
      <c r="F4" s="20" t="s">
        <v>74</v>
      </c>
      <c r="G4" s="7" t="s">
        <v>75</v>
      </c>
      <c r="H4" s="7" t="s">
        <v>76</v>
      </c>
      <c r="I4" s="7" t="s">
        <v>77</v>
      </c>
      <c r="J4" s="7" t="s">
        <v>78</v>
      </c>
      <c r="K4" s="19" t="s">
        <v>79</v>
      </c>
      <c r="L4" s="7" t="s">
        <v>80</v>
      </c>
      <c r="M4" s="7" t="s">
        <v>81</v>
      </c>
      <c r="N4" s="20" t="s">
        <v>82</v>
      </c>
      <c r="O4" s="7" t="s">
        <v>83</v>
      </c>
      <c r="P4" s="7" t="s">
        <v>84</v>
      </c>
      <c r="Q4" s="7" t="s">
        <v>85</v>
      </c>
      <c r="R4" s="7" t="s">
        <v>86</v>
      </c>
      <c r="S4" s="19" t="s">
        <v>87</v>
      </c>
      <c r="T4" s="7" t="s">
        <v>88</v>
      </c>
      <c r="U4" s="7" t="s">
        <v>89</v>
      </c>
      <c r="V4" s="20" t="s">
        <v>90</v>
      </c>
      <c r="W4" s="7" t="s">
        <v>91</v>
      </c>
      <c r="X4" s="7" t="s">
        <v>92</v>
      </c>
      <c r="Y4" s="7" t="s">
        <v>93</v>
      </c>
      <c r="Z4" s="7" t="s">
        <v>94</v>
      </c>
      <c r="AA4" s="19" t="s">
        <v>95</v>
      </c>
      <c r="AB4" s="7" t="s">
        <v>96</v>
      </c>
      <c r="AC4" s="7" t="s">
        <v>97</v>
      </c>
      <c r="AD4" s="20" t="s">
        <v>98</v>
      </c>
      <c r="AE4" s="7" t="s">
        <v>99</v>
      </c>
      <c r="AF4" s="7" t="s">
        <v>100</v>
      </c>
      <c r="AG4" s="7" t="s">
        <v>101</v>
      </c>
      <c r="AH4" s="7" t="s">
        <v>102</v>
      </c>
      <c r="AI4" s="19" t="s">
        <v>103</v>
      </c>
      <c r="AJ4" s="7" t="s">
        <v>104</v>
      </c>
      <c r="AK4" s="7" t="s">
        <v>105</v>
      </c>
      <c r="AL4" s="20" t="s">
        <v>106</v>
      </c>
      <c r="AM4" s="19" t="s">
        <v>107</v>
      </c>
      <c r="AN4" s="7" t="s">
        <v>108</v>
      </c>
      <c r="AO4" s="7" t="s">
        <v>109</v>
      </c>
      <c r="AP4" s="20" t="s">
        <v>110</v>
      </c>
      <c r="AQ4" s="7" t="s">
        <v>361</v>
      </c>
      <c r="AR4" s="7" t="s">
        <v>362</v>
      </c>
      <c r="AS4" s="7" t="s">
        <v>363</v>
      </c>
      <c r="AT4" s="20" t="s">
        <v>364</v>
      </c>
      <c r="AU4" s="7" t="s">
        <v>429</v>
      </c>
      <c r="AV4" s="7" t="s">
        <v>430</v>
      </c>
      <c r="AW4" s="7" t="s">
        <v>431</v>
      </c>
      <c r="AX4" s="20" t="s">
        <v>432</v>
      </c>
      <c r="AY4" s="7" t="s">
        <v>443</v>
      </c>
      <c r="AZ4" s="7" t="s">
        <v>451</v>
      </c>
      <c r="BA4" s="7" t="s">
        <v>470</v>
      </c>
      <c r="BB4" s="20" t="s">
        <v>471</v>
      </c>
      <c r="BC4" s="7" t="s">
        <v>483</v>
      </c>
      <c r="BD4" s="7" t="s">
        <v>484</v>
      </c>
      <c r="BE4" s="7" t="s">
        <v>485</v>
      </c>
      <c r="BF4" s="20" t="s">
        <v>482</v>
      </c>
      <c r="BG4" s="7" t="s">
        <v>488</v>
      </c>
      <c r="BH4" s="7" t="s">
        <v>489</v>
      </c>
      <c r="BI4" s="7" t="s">
        <v>490</v>
      </c>
      <c r="BJ4" s="20" t="s">
        <v>491</v>
      </c>
      <c r="BK4" s="7" t="s">
        <v>492</v>
      </c>
      <c r="BL4" s="7" t="s">
        <v>493</v>
      </c>
      <c r="BM4" s="7" t="s">
        <v>494</v>
      </c>
      <c r="BN4" s="20" t="s">
        <v>495</v>
      </c>
      <c r="BO4" s="87"/>
      <c r="BP4" s="7">
        <v>2006</v>
      </c>
      <c r="BQ4" s="7">
        <v>2007</v>
      </c>
      <c r="BR4" s="7">
        <v>2008</v>
      </c>
      <c r="BS4" s="7">
        <v>2009</v>
      </c>
      <c r="BT4" s="7">
        <v>2010</v>
      </c>
      <c r="BU4" s="7">
        <v>2011</v>
      </c>
      <c r="BV4" s="7">
        <v>2012</v>
      </c>
      <c r="BW4" s="7">
        <v>2013</v>
      </c>
      <c r="BX4" s="7">
        <v>2014</v>
      </c>
      <c r="BY4" s="7">
        <v>2015</v>
      </c>
      <c r="BZ4" s="7">
        <v>2016</v>
      </c>
      <c r="CA4" s="7">
        <v>2017</v>
      </c>
      <c r="CB4" s="7" t="s">
        <v>433</v>
      </c>
      <c r="CC4" s="7" t="s">
        <v>450</v>
      </c>
      <c r="CD4" s="7" t="s">
        <v>486</v>
      </c>
      <c r="CE4" s="7" t="s">
        <v>487</v>
      </c>
    </row>
    <row r="5" spans="1:90" s="81" customFormat="1">
      <c r="A5" s="549"/>
      <c r="B5" s="80" t="s">
        <v>0</v>
      </c>
      <c r="C5" s="284"/>
      <c r="F5" s="285"/>
      <c r="K5" s="284"/>
      <c r="N5" s="285"/>
      <c r="S5" s="284"/>
      <c r="V5" s="285"/>
      <c r="AA5" s="284"/>
      <c r="AD5" s="285"/>
      <c r="AI5" s="284"/>
      <c r="AL5" s="285"/>
      <c r="AM5" s="284"/>
      <c r="AP5" s="285"/>
      <c r="AT5" s="285"/>
      <c r="AX5" s="285"/>
      <c r="BB5" s="285"/>
      <c r="BC5" s="927"/>
      <c r="BD5" s="927"/>
      <c r="BE5" s="927"/>
      <c r="BF5" s="927"/>
      <c r="BG5" s="927"/>
      <c r="BH5" s="927"/>
      <c r="BI5" s="927"/>
      <c r="BJ5" s="927"/>
      <c r="BK5" s="927"/>
      <c r="BL5" s="927"/>
      <c r="BM5" s="927"/>
      <c r="BN5" s="927"/>
      <c r="CC5" s="927"/>
      <c r="CD5" s="927"/>
      <c r="CE5" s="172"/>
      <c r="CF5" s="172"/>
      <c r="CG5" s="172"/>
      <c r="CH5" s="172"/>
      <c r="CI5" s="172"/>
      <c r="CJ5" s="172"/>
      <c r="CK5" s="172"/>
      <c r="CL5" s="172"/>
    </row>
    <row r="6" spans="1:90" s="81" customFormat="1">
      <c r="A6" s="549"/>
      <c r="B6" s="162" t="s">
        <v>310</v>
      </c>
      <c r="C6" s="286">
        <f>IS!C7</f>
        <v>583.846</v>
      </c>
      <c r="D6" s="163">
        <f>IS!D7</f>
        <v>574.81200000000001</v>
      </c>
      <c r="E6" s="163">
        <f>IS!E7</f>
        <v>583.41499999999996</v>
      </c>
      <c r="F6" s="287">
        <f>IS!F7</f>
        <v>633.61400000000003</v>
      </c>
      <c r="G6" s="163">
        <f>IS!G7</f>
        <v>681.80700000000002</v>
      </c>
      <c r="H6" s="163">
        <f>IS!H7</f>
        <v>687.51900000000001</v>
      </c>
      <c r="I6" s="163">
        <f>IS!I7</f>
        <v>820.572</v>
      </c>
      <c r="J6" s="163">
        <f>IS!J7</f>
        <v>878.87300000000005</v>
      </c>
      <c r="K6" s="286">
        <f>IS!K7</f>
        <v>844.28</v>
      </c>
      <c r="L6" s="163">
        <f>IS!L7</f>
        <v>935.25300000000004</v>
      </c>
      <c r="M6" s="163">
        <f>IS!M7</f>
        <v>1115.597</v>
      </c>
      <c r="N6" s="287">
        <f>IS!N7</f>
        <v>1202.7299999999998</v>
      </c>
      <c r="O6" s="163">
        <f>IS!O7</f>
        <v>1153.3879999999999</v>
      </c>
      <c r="P6" s="163">
        <f>IS!P7</f>
        <v>892.67600000000004</v>
      </c>
      <c r="Q6" s="163">
        <f>IS!Q7</f>
        <v>897.65499999999997</v>
      </c>
      <c r="R6" s="163">
        <f>IS!R7</f>
        <v>481.13999999999987</v>
      </c>
      <c r="S6" s="286">
        <f>IS!S7</f>
        <v>664.23099999999999</v>
      </c>
      <c r="T6" s="163">
        <f>IS!T7</f>
        <v>776.52</v>
      </c>
      <c r="U6" s="163">
        <f>IS!U7</f>
        <v>903.20600000000002</v>
      </c>
      <c r="V6" s="287">
        <f>IS!V7</f>
        <v>982.48800000000006</v>
      </c>
      <c r="W6" s="163">
        <f>IS!W7</f>
        <v>1001.813</v>
      </c>
      <c r="X6" s="163">
        <f>IS!X7</f>
        <v>811.20799999999997</v>
      </c>
      <c r="Y6" s="163">
        <f>IS!Y7</f>
        <v>843.91200000000003</v>
      </c>
      <c r="Z6" s="163">
        <f>IS!Z7</f>
        <v>886.37599999999986</v>
      </c>
      <c r="AA6" s="286">
        <f>IS!AA7</f>
        <v>962.03899999999999</v>
      </c>
      <c r="AB6" s="163">
        <f>IS!AB7</f>
        <v>1016.5170000000001</v>
      </c>
      <c r="AC6" s="163">
        <f>IS!AC7</f>
        <v>1066.18</v>
      </c>
      <c r="AD6" s="287">
        <f>IS!AD7</f>
        <v>953.19399999999996</v>
      </c>
      <c r="AE6" s="163">
        <f>IS!AE7</f>
        <v>924.87699999999995</v>
      </c>
      <c r="AF6" s="163">
        <f>IS!AF7</f>
        <v>1044.27</v>
      </c>
      <c r="AG6" s="163">
        <f>IS!AG7</f>
        <v>1204.1099999999999</v>
      </c>
      <c r="AH6" s="163">
        <f>IS!AH7</f>
        <v>1106.902</v>
      </c>
      <c r="AI6" s="286">
        <f>IS!AI7</f>
        <v>954.73900000000003</v>
      </c>
      <c r="AJ6" s="163">
        <f>IS!AJ7</f>
        <v>977.23800000000006</v>
      </c>
      <c r="AK6" s="163">
        <f>IS!AK7</f>
        <v>1053.9670000000001</v>
      </c>
      <c r="AL6" s="287">
        <f>IS!AL7</f>
        <v>1144.2180000000003</v>
      </c>
      <c r="AM6" s="286">
        <f>IS!AM7</f>
        <v>1102.787</v>
      </c>
      <c r="AN6" s="163">
        <f>IS!AN7</f>
        <v>1102.8240000000001</v>
      </c>
      <c r="AO6" s="163">
        <f>IS!AO7</f>
        <v>1225.3820000000001</v>
      </c>
      <c r="AP6" s="287">
        <f>IS!AP7</f>
        <v>1250.5139999999999</v>
      </c>
      <c r="AQ6" s="286">
        <f>IS!AQ7</f>
        <v>1151</v>
      </c>
      <c r="AR6" s="163">
        <f>IS!AR7</f>
        <v>1153</v>
      </c>
      <c r="AS6" s="163">
        <f>IS!AS7</f>
        <v>1305</v>
      </c>
      <c r="AT6" s="287">
        <f>IS!AT7</f>
        <v>1401</v>
      </c>
      <c r="AU6" s="286">
        <f>IS!AU7</f>
        <v>1305</v>
      </c>
      <c r="AV6" s="163">
        <f>IS!AV7</f>
        <v>1428</v>
      </c>
      <c r="AW6" s="163">
        <f>IS!AW7</f>
        <v>2004</v>
      </c>
      <c r="AX6" s="764">
        <f>IS!AX7</f>
        <v>2173</v>
      </c>
      <c r="AY6" s="286">
        <f>IS!AY7</f>
        <v>1937</v>
      </c>
      <c r="AZ6" s="898">
        <v>2230</v>
      </c>
      <c r="BA6" s="163">
        <f>IS!BA7</f>
        <v>2636</v>
      </c>
      <c r="BB6" s="764">
        <f>IS!BB7</f>
        <v>2911</v>
      </c>
      <c r="BC6" s="946">
        <f t="shared" ref="BC6:BD6" si="2">BC14</f>
        <v>2921.4992061885541</v>
      </c>
      <c r="BD6" s="947">
        <f t="shared" si="2"/>
        <v>3157.7929861175189</v>
      </c>
      <c r="BE6" s="948">
        <f t="shared" ref="BE6:BJ6" si="3">BE14</f>
        <v>3408.76751356866</v>
      </c>
      <c r="BF6" s="949">
        <f t="shared" si="3"/>
        <v>3540.3997760779021</v>
      </c>
      <c r="BG6" s="946">
        <f t="shared" si="3"/>
        <v>3289.123932639282</v>
      </c>
      <c r="BH6" s="947">
        <f t="shared" si="3"/>
        <v>3683.0310512199744</v>
      </c>
      <c r="BI6" s="948">
        <f t="shared" si="3"/>
        <v>3983.4520978772739</v>
      </c>
      <c r="BJ6" s="329">
        <f t="shared" si="3"/>
        <v>4039.3637847652603</v>
      </c>
      <c r="BK6" s="946">
        <f t="shared" ref="BK6:BN6" si="4">BK14</f>
        <v>3778.7515910203692</v>
      </c>
      <c r="BL6" s="947">
        <f t="shared" si="4"/>
        <v>4237.0212800938998</v>
      </c>
      <c r="BM6" s="948">
        <f t="shared" si="4"/>
        <v>4549.6430580955694</v>
      </c>
      <c r="BN6" s="329">
        <f t="shared" si="4"/>
        <v>4637.8781018430618</v>
      </c>
      <c r="BO6" s="187"/>
      <c r="BP6" s="59">
        <f>SUM(C6:F6)</f>
        <v>2375.6869999999999</v>
      </c>
      <c r="BQ6" s="59">
        <f>SUM(G6:J6)</f>
        <v>3068.7710000000002</v>
      </c>
      <c r="BR6" s="59">
        <f>SUM(K6:N6)</f>
        <v>4097.8599999999997</v>
      </c>
      <c r="BS6" s="59">
        <f>SUM(O6:R6)</f>
        <v>3424.8589999999999</v>
      </c>
      <c r="BT6" s="59">
        <f>SUM(S6:V6)</f>
        <v>3326.4449999999997</v>
      </c>
      <c r="BU6" s="59">
        <f>SUM(W6:Z6)</f>
        <v>3543.3089999999997</v>
      </c>
      <c r="BV6" s="59">
        <f>SUM(AA6:AD6)</f>
        <v>3997.93</v>
      </c>
      <c r="BW6" s="59">
        <f>SUM(AE6:AH6)</f>
        <v>4280.1589999999997</v>
      </c>
      <c r="BX6" s="59">
        <f>SUM(AI6:AL6)</f>
        <v>4130.1620000000003</v>
      </c>
      <c r="BY6" s="169">
        <f t="shared" ref="BY6:BZ6" si="5">BY14</f>
        <v>4681.5069999999996</v>
      </c>
      <c r="BZ6" s="169">
        <f t="shared" si="5"/>
        <v>5010</v>
      </c>
      <c r="CA6" s="169">
        <f>CA14</f>
        <v>6910</v>
      </c>
      <c r="CB6" s="169">
        <f>CB14</f>
        <v>9714</v>
      </c>
      <c r="CC6" s="169">
        <f>CC14</f>
        <v>13028.459481952636</v>
      </c>
      <c r="CD6" s="169">
        <f>CD14</f>
        <v>14994.97086650179</v>
      </c>
      <c r="CE6" s="169">
        <f>CE14</f>
        <v>17203.294031052897</v>
      </c>
      <c r="CF6" s="172"/>
      <c r="CG6" s="172"/>
      <c r="CH6" s="172"/>
      <c r="CI6" s="172"/>
      <c r="CJ6" s="172"/>
      <c r="CK6" s="172"/>
      <c r="CL6" s="172"/>
    </row>
    <row r="7" spans="1:90" s="81" customFormat="1">
      <c r="A7" s="549"/>
      <c r="B7" s="91" t="s">
        <v>114</v>
      </c>
      <c r="C7" s="286"/>
      <c r="D7" s="163"/>
      <c r="E7" s="163"/>
      <c r="F7" s="287"/>
      <c r="G7" s="171">
        <f>G6/C6-1</f>
        <v>0.16778568321098364</v>
      </c>
      <c r="H7" s="171">
        <f t="shared" ref="H7:AP7" si="6">H6/D6-1</f>
        <v>0.19607628233231034</v>
      </c>
      <c r="I7" s="171">
        <f t="shared" si="6"/>
        <v>0.40649794743021705</v>
      </c>
      <c r="J7" s="171">
        <f t="shared" si="6"/>
        <v>0.38707951528848805</v>
      </c>
      <c r="K7" s="322">
        <f t="shared" si="6"/>
        <v>0.23829764141465248</v>
      </c>
      <c r="L7" s="171">
        <f t="shared" si="6"/>
        <v>0.36033040541425043</v>
      </c>
      <c r="M7" s="171">
        <f t="shared" si="6"/>
        <v>0.35953578723134583</v>
      </c>
      <c r="N7" s="323">
        <f t="shared" si="6"/>
        <v>0.36849123821075369</v>
      </c>
      <c r="O7" s="171">
        <f t="shared" si="6"/>
        <v>0.36612024446865954</v>
      </c>
      <c r="P7" s="171">
        <f t="shared" si="6"/>
        <v>-4.5524579979962621E-2</v>
      </c>
      <c r="Q7" s="171">
        <f t="shared" si="6"/>
        <v>-0.19535907679923847</v>
      </c>
      <c r="R7" s="171">
        <f t="shared" si="6"/>
        <v>-0.59996009079344492</v>
      </c>
      <c r="S7" s="322">
        <f t="shared" si="6"/>
        <v>-0.42410446441266947</v>
      </c>
      <c r="T7" s="171">
        <f t="shared" si="6"/>
        <v>-0.13012111897261724</v>
      </c>
      <c r="U7" s="171">
        <f t="shared" si="6"/>
        <v>6.1838902473667634E-3</v>
      </c>
      <c r="V7" s="323">
        <f t="shared" si="6"/>
        <v>1.0420002494076575</v>
      </c>
      <c r="W7" s="171">
        <f t="shared" si="6"/>
        <v>0.5082298176387432</v>
      </c>
      <c r="X7" s="171">
        <f t="shared" si="6"/>
        <v>4.4671096687786571E-2</v>
      </c>
      <c r="Y7" s="171">
        <f t="shared" si="6"/>
        <v>-6.564836814635866E-2</v>
      </c>
      <c r="Z7" s="171">
        <f t="shared" si="6"/>
        <v>-9.7825113385608953E-2</v>
      </c>
      <c r="AA7" s="322">
        <f t="shared" si="6"/>
        <v>-3.9702020237309732E-2</v>
      </c>
      <c r="AB7" s="171">
        <f t="shared" si="6"/>
        <v>0.25309045275687625</v>
      </c>
      <c r="AC7" s="171">
        <f t="shared" si="6"/>
        <v>0.26337817213169146</v>
      </c>
      <c r="AD7" s="323">
        <f t="shared" si="6"/>
        <v>7.538335875520108E-2</v>
      </c>
      <c r="AE7" s="171">
        <f t="shared" si="6"/>
        <v>-3.8628371614872203E-2</v>
      </c>
      <c r="AF7" s="171">
        <f t="shared" si="6"/>
        <v>2.7302052007000199E-2</v>
      </c>
      <c r="AG7" s="171">
        <f t="shared" si="6"/>
        <v>0.12936839933219524</v>
      </c>
      <c r="AH7" s="171">
        <f t="shared" si="6"/>
        <v>0.16125573597819542</v>
      </c>
      <c r="AI7" s="322">
        <f t="shared" si="6"/>
        <v>3.2287536612976675E-2</v>
      </c>
      <c r="AJ7" s="171">
        <f t="shared" si="6"/>
        <v>-6.4190295613203441E-2</v>
      </c>
      <c r="AK7" s="171">
        <f t="shared" si="6"/>
        <v>-0.12469209623705457</v>
      </c>
      <c r="AL7" s="323">
        <f t="shared" si="6"/>
        <v>3.3712108208314939E-2</v>
      </c>
      <c r="AM7" s="322">
        <f t="shared" si="6"/>
        <v>0.15506646319046347</v>
      </c>
      <c r="AN7" s="171">
        <f t="shared" si="6"/>
        <v>0.12851117128069101</v>
      </c>
      <c r="AO7" s="171">
        <f t="shared" si="6"/>
        <v>0.16263791940354855</v>
      </c>
      <c r="AP7" s="323">
        <f t="shared" si="6"/>
        <v>9.2898381252523254E-2</v>
      </c>
      <c r="AQ7" s="171">
        <f>AQ6/AM6-1</f>
        <v>4.3719231365621836E-2</v>
      </c>
      <c r="AR7" s="171">
        <f>AR6/AN6-1</f>
        <v>4.5497740346601034E-2</v>
      </c>
      <c r="AS7" s="171">
        <f>AS6/AO6-1</f>
        <v>6.4974024426668553E-2</v>
      </c>
      <c r="AT7" s="323">
        <f>AT6/AP6-1</f>
        <v>0.12033931647306639</v>
      </c>
      <c r="AU7" s="171">
        <f t="shared" ref="AU7:AV7" si="7">AU6/AQ6-1</f>
        <v>0.13379669852302345</v>
      </c>
      <c r="AV7" s="171">
        <f t="shared" si="7"/>
        <v>0.238508239375542</v>
      </c>
      <c r="AW7" s="171">
        <f>AW6/AS6-1</f>
        <v>0.53563218390804601</v>
      </c>
      <c r="AX7" s="765">
        <f>AX6/AT6-1</f>
        <v>0.55103497501784449</v>
      </c>
      <c r="AY7" s="171">
        <f t="shared" ref="AY7:AZ7" si="8">AY6/AU6-1</f>
        <v>0.48429118773946356</v>
      </c>
      <c r="AZ7" s="899">
        <f t="shared" si="8"/>
        <v>0.56162464985994398</v>
      </c>
      <c r="BA7" s="171">
        <f>BA6/AW6-1</f>
        <v>0.3153692614770458</v>
      </c>
      <c r="BB7" s="765">
        <f>BB6/AX6-1</f>
        <v>0.33962264150943389</v>
      </c>
      <c r="BC7" s="171">
        <f t="shared" ref="BC7" si="9">BC6/AY6-1</f>
        <v>0.50825978636476732</v>
      </c>
      <c r="BD7" s="899">
        <f t="shared" ref="BD7" si="10">BD6/AZ6-1</f>
        <v>0.416050666420412</v>
      </c>
      <c r="BE7" s="171">
        <f t="shared" ref="BE7" si="11">BE6/BA6-1</f>
        <v>0.29315914778780727</v>
      </c>
      <c r="BF7" s="323">
        <f t="shared" ref="BF7" si="12">BF6/BB6-1</f>
        <v>0.21621428240395124</v>
      </c>
      <c r="BG7" s="171">
        <f t="shared" ref="BG7" si="13">BG6/BC6-1</f>
        <v>0.12583427223666388</v>
      </c>
      <c r="BH7" s="899">
        <f t="shared" ref="BH7" si="14">BH6/BD6-1</f>
        <v>0.16633074663587477</v>
      </c>
      <c r="BI7" s="171">
        <f t="shared" ref="BI7" si="15">BI6/BE6-1</f>
        <v>0.1685901376439054</v>
      </c>
      <c r="BJ7" s="323">
        <f t="shared" ref="BJ7" si="16">BJ6/BF6-1</f>
        <v>0.14093436906724599</v>
      </c>
      <c r="BK7" s="171">
        <f t="shared" ref="BK7" si="17">BK6/BG6-1</f>
        <v>0.14886263588985438</v>
      </c>
      <c r="BL7" s="899">
        <f t="shared" ref="BL7" si="18">BL6/BH6-1</f>
        <v>0.15041693137244128</v>
      </c>
      <c r="BM7" s="171">
        <f t="shared" ref="BM7" si="19">BM6/BI6-1</f>
        <v>0.14213575218339147</v>
      </c>
      <c r="BN7" s="323">
        <f t="shared" ref="BN7" si="20">BN6/BJ6-1</f>
        <v>0.14817044192333939</v>
      </c>
      <c r="BO7" s="187"/>
      <c r="BP7" s="59"/>
      <c r="BQ7" s="171">
        <f>BQ6/BP6-1</f>
        <v>0.29174045234073365</v>
      </c>
      <c r="BR7" s="171">
        <f t="shared" ref="BR7:CE7" si="21">BR6/BQ6-1</f>
        <v>0.33534238951032824</v>
      </c>
      <c r="BS7" s="171">
        <f t="shared" si="21"/>
        <v>-0.16423230661857646</v>
      </c>
      <c r="BT7" s="171">
        <f t="shared" si="21"/>
        <v>-2.8735197565797677E-2</v>
      </c>
      <c r="BU7" s="171">
        <f t="shared" si="21"/>
        <v>6.5193923242380381E-2</v>
      </c>
      <c r="BV7" s="171">
        <f t="shared" si="21"/>
        <v>0.12830407960468593</v>
      </c>
      <c r="BW7" s="171">
        <f t="shared" si="21"/>
        <v>7.0593782282331041E-2</v>
      </c>
      <c r="BX7" s="171">
        <f t="shared" si="21"/>
        <v>-3.5044726142182903E-2</v>
      </c>
      <c r="BY7" s="171">
        <f t="shared" si="21"/>
        <v>0.13349234243112007</v>
      </c>
      <c r="BZ7" s="171">
        <f t="shared" si="21"/>
        <v>7.0168217200145211E-2</v>
      </c>
      <c r="CA7" s="171">
        <f t="shared" si="21"/>
        <v>0.37924151696606789</v>
      </c>
      <c r="CB7" s="171">
        <f t="shared" si="21"/>
        <v>0.40578871201157751</v>
      </c>
      <c r="CC7" s="171">
        <f t="shared" si="21"/>
        <v>0.34120439385964962</v>
      </c>
      <c r="CD7" s="171">
        <f t="shared" si="21"/>
        <v>0.15093967074719905</v>
      </c>
      <c r="CE7" s="171">
        <f t="shared" si="21"/>
        <v>0.14727092064476222</v>
      </c>
      <c r="CF7" s="172"/>
      <c r="CG7" s="172"/>
      <c r="CH7" s="172"/>
      <c r="CI7" s="172"/>
      <c r="CJ7" s="172"/>
      <c r="CK7" s="172"/>
      <c r="CL7" s="172"/>
    </row>
    <row r="8" spans="1:90" s="81" customFormat="1">
      <c r="A8" s="549"/>
      <c r="B8" s="91" t="s">
        <v>115</v>
      </c>
      <c r="C8" s="286"/>
      <c r="D8" s="163"/>
      <c r="E8" s="163"/>
      <c r="F8" s="287"/>
      <c r="G8" s="171">
        <f>G6/F6-1</f>
        <v>7.60605037136175E-2</v>
      </c>
      <c r="H8" s="171">
        <f t="shared" ref="H8:AP8" si="22">H6/G6-1</f>
        <v>8.3777373948932254E-3</v>
      </c>
      <c r="I8" s="171">
        <f t="shared" si="22"/>
        <v>0.19352628800076799</v>
      </c>
      <c r="J8" s="171">
        <f t="shared" si="22"/>
        <v>7.1049219325056256E-2</v>
      </c>
      <c r="K8" s="322">
        <f t="shared" si="22"/>
        <v>-3.9360635723250215E-2</v>
      </c>
      <c r="L8" s="171">
        <f t="shared" si="22"/>
        <v>0.10775216752736072</v>
      </c>
      <c r="M8" s="171">
        <f t="shared" si="22"/>
        <v>0.19282910613491744</v>
      </c>
      <c r="N8" s="323">
        <f t="shared" si="22"/>
        <v>7.8104369230107107E-2</v>
      </c>
      <c r="O8" s="171">
        <f t="shared" si="22"/>
        <v>-4.102500145502308E-2</v>
      </c>
      <c r="P8" s="171">
        <f t="shared" si="22"/>
        <v>-0.2260401530100884</v>
      </c>
      <c r="Q8" s="171">
        <f t="shared" si="22"/>
        <v>5.5776115858383601E-3</v>
      </c>
      <c r="R8" s="171">
        <f t="shared" si="22"/>
        <v>-0.46400343116230636</v>
      </c>
      <c r="S8" s="322">
        <f t="shared" si="22"/>
        <v>0.3805358107827248</v>
      </c>
      <c r="T8" s="171">
        <f t="shared" si="22"/>
        <v>0.16905112829723401</v>
      </c>
      <c r="U8" s="171">
        <f t="shared" si="22"/>
        <v>0.16314583011384132</v>
      </c>
      <c r="V8" s="323">
        <f t="shared" si="22"/>
        <v>8.7778424855459392E-2</v>
      </c>
      <c r="W8" s="171">
        <f t="shared" si="22"/>
        <v>1.9669451433503404E-2</v>
      </c>
      <c r="X8" s="171">
        <f t="shared" si="22"/>
        <v>-0.19026005851391425</v>
      </c>
      <c r="Y8" s="171">
        <f t="shared" si="22"/>
        <v>4.0315184268399751E-2</v>
      </c>
      <c r="Z8" s="171">
        <f t="shared" si="22"/>
        <v>5.0318042639516669E-2</v>
      </c>
      <c r="AA8" s="322">
        <f t="shared" si="22"/>
        <v>8.5362193922218221E-2</v>
      </c>
      <c r="AB8" s="171">
        <f t="shared" si="22"/>
        <v>5.6627641914724913E-2</v>
      </c>
      <c r="AC8" s="171">
        <f t="shared" si="22"/>
        <v>4.8856044709532753E-2</v>
      </c>
      <c r="AD8" s="323">
        <f t="shared" si="22"/>
        <v>-0.10597272505580679</v>
      </c>
      <c r="AE8" s="171">
        <f t="shared" si="22"/>
        <v>-2.9707488716882446E-2</v>
      </c>
      <c r="AF8" s="171">
        <f t="shared" si="22"/>
        <v>0.12909067908489447</v>
      </c>
      <c r="AG8" s="171">
        <f t="shared" si="22"/>
        <v>0.153063862794105</v>
      </c>
      <c r="AH8" s="171">
        <f t="shared" si="22"/>
        <v>-8.0730165848635016E-2</v>
      </c>
      <c r="AI8" s="322">
        <f t="shared" si="22"/>
        <v>-0.13746745421003848</v>
      </c>
      <c r="AJ8" s="171">
        <f t="shared" si="22"/>
        <v>2.3565602745881264E-2</v>
      </c>
      <c r="AK8" s="171">
        <f t="shared" si="22"/>
        <v>7.8516185412356165E-2</v>
      </c>
      <c r="AL8" s="323">
        <f t="shared" si="22"/>
        <v>8.5629815734268977E-2</v>
      </c>
      <c r="AM8" s="322">
        <f t="shared" si="22"/>
        <v>-3.6209009122387781E-2</v>
      </c>
      <c r="AN8" s="171">
        <f t="shared" si="22"/>
        <v>3.3551356698913182E-5</v>
      </c>
      <c r="AO8" s="171">
        <f t="shared" si="22"/>
        <v>0.1111310598971369</v>
      </c>
      <c r="AP8" s="323">
        <f t="shared" si="22"/>
        <v>2.0509522744744046E-2</v>
      </c>
      <c r="AQ8" s="171">
        <f>AQ6/AP6-1</f>
        <v>-7.95784773301218E-2</v>
      </c>
      <c r="AR8" s="171">
        <f>AR6/AQ6-1</f>
        <v>1.7376194613378804E-3</v>
      </c>
      <c r="AS8" s="171">
        <f>AS6/AR6-1</f>
        <v>0.13183000867302685</v>
      </c>
      <c r="AT8" s="323">
        <f>AT6/AS6-1</f>
        <v>7.3563218390804597E-2</v>
      </c>
      <c r="AU8" s="171">
        <f t="shared" ref="AU8:AV8" si="23">AU6/AT6-1</f>
        <v>-6.8522483940042789E-2</v>
      </c>
      <c r="AV8" s="171">
        <f t="shared" si="23"/>
        <v>9.4252873563218431E-2</v>
      </c>
      <c r="AW8" s="171">
        <f>AW6/AV6-1</f>
        <v>0.40336134453781503</v>
      </c>
      <c r="AX8" s="765">
        <f>AX6/AW6-1</f>
        <v>8.4331337325349365E-2</v>
      </c>
      <c r="AY8" s="171">
        <f t="shared" ref="AY8:AZ8" si="24">AY6/AX6-1</f>
        <v>-0.1086056143580304</v>
      </c>
      <c r="AZ8" s="899">
        <f t="shared" si="24"/>
        <v>0.15126484254001027</v>
      </c>
      <c r="BA8" s="171">
        <f>BA6/AZ6-1</f>
        <v>0.1820627802690582</v>
      </c>
      <c r="BB8" s="765">
        <f>BB6/BA6-1</f>
        <v>0.10432473444613044</v>
      </c>
      <c r="BC8" s="171">
        <f t="shared" ref="BC8" si="25">BC6/BB6-1</f>
        <v>3.6067352073356762E-3</v>
      </c>
      <c r="BD8" s="899">
        <f t="shared" ref="BD8" si="26">BD6/BC6-1</f>
        <v>8.088100090132766E-2</v>
      </c>
      <c r="BE8" s="171">
        <f t="shared" ref="BE8" si="27">BE6/BD6-1</f>
        <v>7.9477827886277108E-2</v>
      </c>
      <c r="BF8" s="323">
        <f t="shared" ref="BF8" si="28">BF6/BE6-1</f>
        <v>3.8615793533961273E-2</v>
      </c>
      <c r="BG8" s="171">
        <f t="shared" ref="BG8" si="29">BG6/BF6-1</f>
        <v>-7.0973861521646198E-2</v>
      </c>
      <c r="BH8" s="899">
        <f t="shared" ref="BH8" si="30">BH6/BG6-1</f>
        <v>0.11976049752087348</v>
      </c>
      <c r="BI8" s="171">
        <f t="shared" ref="BI8" si="31">BI6/BH6-1</f>
        <v>8.1568969275398251E-2</v>
      </c>
      <c r="BJ8" s="323">
        <f t="shared" ref="BJ8" si="32">BJ6/BI6-1</f>
        <v>1.4035988261985377E-2</v>
      </c>
      <c r="BK8" s="171">
        <f t="shared" ref="BK8" si="33">BK6/BJ6-1</f>
        <v>-6.4518129000365798E-2</v>
      </c>
      <c r="BL8" s="899">
        <f t="shared" ref="BL8" si="34">BL6/BK6-1</f>
        <v>0.12127542074015629</v>
      </c>
      <c r="BM8" s="171">
        <f t="shared" ref="BM8" si="35">BM6/BL6-1</f>
        <v>7.378338633096071E-2</v>
      </c>
      <c r="BN8" s="323">
        <f t="shared" ref="BN8" si="36">BN6/BM6-1</f>
        <v>1.939383872993905E-2</v>
      </c>
      <c r="BO8" s="187"/>
      <c r="BP8" s="59"/>
      <c r="BQ8" s="59"/>
      <c r="BR8" s="59"/>
      <c r="BS8" s="59"/>
      <c r="BT8" s="59"/>
      <c r="BU8" s="59"/>
      <c r="BV8" s="59"/>
      <c r="BW8" s="59"/>
      <c r="BX8" s="59"/>
      <c r="CC8" s="927"/>
      <c r="CD8" s="927"/>
      <c r="CE8" s="927"/>
      <c r="CF8" s="169"/>
      <c r="CG8" s="169"/>
      <c r="CH8" s="169"/>
      <c r="CI8" s="169"/>
      <c r="CJ8" s="169"/>
      <c r="CK8" s="169"/>
      <c r="CL8" s="169"/>
    </row>
    <row r="9" spans="1:90" s="81" customFormat="1">
      <c r="A9" s="549"/>
      <c r="B9" s="91"/>
      <c r="C9" s="286"/>
      <c r="D9" s="163"/>
      <c r="E9" s="163"/>
      <c r="F9" s="287"/>
      <c r="G9" s="171"/>
      <c r="H9" s="171"/>
      <c r="I9" s="171"/>
      <c r="J9" s="171"/>
      <c r="K9" s="322"/>
      <c r="L9" s="171"/>
      <c r="M9" s="171"/>
      <c r="N9" s="323"/>
      <c r="O9" s="171"/>
      <c r="P9" s="171"/>
      <c r="Q9" s="171"/>
      <c r="R9" s="171"/>
      <c r="S9" s="322"/>
      <c r="T9" s="171"/>
      <c r="U9" s="171"/>
      <c r="V9" s="323"/>
      <c r="W9" s="171"/>
      <c r="X9" s="171"/>
      <c r="Y9" s="171"/>
      <c r="Z9" s="171"/>
      <c r="AA9" s="322"/>
      <c r="AB9" s="171"/>
      <c r="AC9" s="171"/>
      <c r="AD9" s="323"/>
      <c r="AE9" s="171"/>
      <c r="AF9" s="171"/>
      <c r="AG9" s="171"/>
      <c r="AH9" s="171"/>
      <c r="AI9" s="322"/>
      <c r="AJ9" s="171"/>
      <c r="AK9" s="171"/>
      <c r="AL9" s="323"/>
      <c r="AM9" s="322"/>
      <c r="AN9" s="171"/>
      <c r="AO9" s="171"/>
      <c r="AP9" s="323"/>
      <c r="AQ9" s="171"/>
      <c r="AR9" s="171"/>
      <c r="AS9" s="171"/>
      <c r="AT9" s="323"/>
      <c r="AU9" s="171"/>
      <c r="AV9" s="171"/>
      <c r="AW9" s="171"/>
      <c r="AX9" s="765"/>
      <c r="AY9" s="171"/>
      <c r="AZ9" s="899"/>
      <c r="BA9" s="171"/>
      <c r="BB9" s="765"/>
      <c r="BC9" s="171"/>
      <c r="BD9" s="899"/>
      <c r="BE9" s="171"/>
      <c r="BF9" s="323"/>
      <c r="BG9" s="171"/>
      <c r="BH9" s="899"/>
      <c r="BI9" s="171"/>
      <c r="BJ9" s="323"/>
      <c r="BK9" s="171"/>
      <c r="BL9" s="899"/>
      <c r="BM9" s="171"/>
      <c r="BN9" s="323"/>
      <c r="BO9" s="187"/>
      <c r="BP9" s="59"/>
      <c r="BQ9" s="59"/>
      <c r="BR9" s="59"/>
      <c r="BS9" s="59"/>
      <c r="BT9" s="59"/>
      <c r="BU9" s="59"/>
      <c r="BV9" s="59"/>
      <c r="BW9" s="59"/>
      <c r="BX9" s="59"/>
      <c r="CC9" s="927"/>
      <c r="CD9" s="927"/>
      <c r="CE9" s="927"/>
      <c r="CF9" s="169"/>
      <c r="CG9" s="169"/>
      <c r="CH9" s="169"/>
      <c r="CI9" s="169"/>
      <c r="CJ9" s="169"/>
      <c r="CK9" s="169"/>
      <c r="CL9" s="169"/>
    </row>
    <row r="10" spans="1:90" s="81" customFormat="1">
      <c r="A10" s="549"/>
      <c r="B10" s="162" t="s">
        <v>117</v>
      </c>
      <c r="C10" s="288"/>
      <c r="D10" s="170"/>
      <c r="E10" s="170"/>
      <c r="F10" s="289"/>
      <c r="G10" s="170"/>
      <c r="H10" s="170"/>
      <c r="I10" s="170"/>
      <c r="J10" s="170"/>
      <c r="K10" s="288"/>
      <c r="L10" s="170"/>
      <c r="M10" s="170"/>
      <c r="N10" s="289"/>
      <c r="O10" s="170"/>
      <c r="P10" s="170"/>
      <c r="Q10" s="170"/>
      <c r="R10" s="170"/>
      <c r="S10" s="288"/>
      <c r="T10" s="170"/>
      <c r="U10" s="170"/>
      <c r="V10" s="289"/>
      <c r="W10" s="170"/>
      <c r="X10" s="170"/>
      <c r="Y10" s="170"/>
      <c r="Z10" s="170"/>
      <c r="AA10" s="288"/>
      <c r="AB10" s="170"/>
      <c r="AC10" s="170"/>
      <c r="AD10" s="289"/>
      <c r="AE10" s="170">
        <f t="shared" ref="AE10:AV10" si="37">AE27+AE115+AE189</f>
        <v>463.36399999999998</v>
      </c>
      <c r="AF10" s="170">
        <f t="shared" si="37"/>
        <v>540.71899999999937</v>
      </c>
      <c r="AG10" s="170">
        <f t="shared" si="37"/>
        <v>636.65800000000013</v>
      </c>
      <c r="AH10" s="170">
        <f t="shared" si="37"/>
        <v>585.60200000000009</v>
      </c>
      <c r="AI10" s="288">
        <f t="shared" si="37"/>
        <v>518.56799999999998</v>
      </c>
      <c r="AJ10" s="170">
        <f t="shared" si="37"/>
        <v>545.53800000000012</v>
      </c>
      <c r="AK10" s="170">
        <f t="shared" si="37"/>
        <v>584.41500000000008</v>
      </c>
      <c r="AL10" s="289">
        <f t="shared" si="37"/>
        <v>619.24200000000042</v>
      </c>
      <c r="AM10" s="288">
        <f t="shared" si="37"/>
        <v>604.202</v>
      </c>
      <c r="AN10" s="170">
        <f t="shared" si="37"/>
        <v>618.97400000000005</v>
      </c>
      <c r="AO10" s="170">
        <f t="shared" si="37"/>
        <v>676.69800000000009</v>
      </c>
      <c r="AP10" s="289">
        <f t="shared" si="37"/>
        <v>699.60575437989803</v>
      </c>
      <c r="AQ10" s="170">
        <f t="shared" si="37"/>
        <v>652.99679798648799</v>
      </c>
      <c r="AR10" s="170">
        <f t="shared" si="37"/>
        <v>634.00284750640583</v>
      </c>
      <c r="AS10" s="170">
        <f t="shared" si="37"/>
        <v>734.00240638455421</v>
      </c>
      <c r="AT10" s="289">
        <f t="shared" si="37"/>
        <v>788.3022304260378</v>
      </c>
      <c r="AU10" s="170">
        <f t="shared" si="37"/>
        <v>744.53559216065526</v>
      </c>
      <c r="AV10" s="170">
        <f t="shared" si="37"/>
        <v>819.71064526268401</v>
      </c>
      <c r="AW10" s="170">
        <f t="shared" ref="AW10:AZ10" si="38">AW27+AW115+AW189</f>
        <v>1134.6186789436465</v>
      </c>
      <c r="AX10" s="766">
        <f t="shared" si="38"/>
        <v>1287.5959837347607</v>
      </c>
      <c r="AY10" s="170">
        <f t="shared" si="38"/>
        <v>1158.1698422045531</v>
      </c>
      <c r="AZ10" s="900">
        <f t="shared" si="38"/>
        <v>1297.0846038248192</v>
      </c>
      <c r="BA10" s="170">
        <f t="shared" ref="BA10:BB10" si="39">BA27+BA115+BA189</f>
        <v>1569.54283964721</v>
      </c>
      <c r="BB10" s="766">
        <f t="shared" si="39"/>
        <v>1712.9878019794978</v>
      </c>
      <c r="BC10" s="170">
        <f t="shared" ref="BC10:BD10" si="40">BC27+BC115+BC189</f>
        <v>1835.6183651000774</v>
      </c>
      <c r="BD10" s="900">
        <f t="shared" si="40"/>
        <v>1968.2125746410959</v>
      </c>
      <c r="BE10" s="170">
        <f t="shared" ref="BE10:BJ10" si="41">BE27+BE115+BE189</f>
        <v>2110.6167195811959</v>
      </c>
      <c r="BF10" s="289">
        <f t="shared" si="41"/>
        <v>2190.8936369645621</v>
      </c>
      <c r="BG10" s="170">
        <f>BG27+BG115+BG189</f>
        <v>2042.9232627710617</v>
      </c>
      <c r="BH10" s="900">
        <f t="shared" si="41"/>
        <v>2284.0684262731697</v>
      </c>
      <c r="BI10" s="170">
        <f t="shared" si="41"/>
        <v>2464.2193792960297</v>
      </c>
      <c r="BJ10" s="289">
        <f t="shared" si="41"/>
        <v>2509.9651613198607</v>
      </c>
      <c r="BK10" s="170">
        <f t="shared" ref="BK10:BN10" si="42">BK27+BK115+BK189</f>
        <v>2360.5508101136734</v>
      </c>
      <c r="BL10" s="900">
        <f t="shared" si="42"/>
        <v>2642.9202420920719</v>
      </c>
      <c r="BM10" s="170">
        <f t="shared" si="42"/>
        <v>2833.8041584717571</v>
      </c>
      <c r="BN10" s="289">
        <f t="shared" si="42"/>
        <v>2902.4620182067015</v>
      </c>
      <c r="BO10" s="187"/>
      <c r="BP10" s="59">
        <f>SUM(C10:F10)</f>
        <v>0</v>
      </c>
      <c r="BQ10" s="59">
        <f>SUM(G10:J10)</f>
        <v>0</v>
      </c>
      <c r="BR10" s="59">
        <f>SUM(K10:N10)</f>
        <v>0</v>
      </c>
      <c r="BS10" s="59">
        <f>SUM(O10:R10)</f>
        <v>0</v>
      </c>
      <c r="BT10" s="59">
        <f>SUM(S10:V10)</f>
        <v>0</v>
      </c>
      <c r="BU10" s="59">
        <f>SUM(W10:Z10)</f>
        <v>0</v>
      </c>
      <c r="BV10" s="59">
        <f>SUM(AA10:AD10)</f>
        <v>0</v>
      </c>
      <c r="BW10" s="59">
        <f>SUM(AE10:AH10)</f>
        <v>2226.3429999999998</v>
      </c>
      <c r="BX10" s="59">
        <f>SUM(AI10:AL10)</f>
        <v>2267.7630000000008</v>
      </c>
      <c r="BY10" s="170">
        <f t="shared" ref="BY10:CA10" si="43">BY27+BY115+BY189</f>
        <v>2599.4797543798977</v>
      </c>
      <c r="BZ10" s="170">
        <f t="shared" si="43"/>
        <v>2809.3042823034862</v>
      </c>
      <c r="CA10" s="170">
        <f t="shared" si="43"/>
        <v>3986.4609001017461</v>
      </c>
      <c r="CB10" s="170">
        <f t="shared" ref="CB10:CC10" si="44">CB27+CB115+CB189</f>
        <v>5694.7850876560806</v>
      </c>
      <c r="CC10" s="170">
        <f t="shared" si="44"/>
        <v>8105.3412962869315</v>
      </c>
      <c r="CD10" s="170">
        <f t="shared" ref="CD10:CE10" si="45">CD27+CD115+CD189</f>
        <v>9301.1762296601228</v>
      </c>
      <c r="CE10" s="170">
        <f t="shared" si="45"/>
        <v>10739.737228884203</v>
      </c>
      <c r="CF10" s="172"/>
      <c r="CG10" s="172"/>
      <c r="CH10" s="172"/>
      <c r="CI10" s="172"/>
      <c r="CJ10" s="172"/>
      <c r="CK10" s="172"/>
      <c r="CL10" s="172"/>
    </row>
    <row r="11" spans="1:90" s="81" customFormat="1">
      <c r="A11" s="549"/>
      <c r="B11" s="91" t="s">
        <v>282</v>
      </c>
      <c r="C11" s="290"/>
      <c r="D11" s="173"/>
      <c r="E11" s="173"/>
      <c r="F11" s="291"/>
      <c r="G11" s="173"/>
      <c r="H11" s="173"/>
      <c r="I11" s="173"/>
      <c r="J11" s="173"/>
      <c r="K11" s="290"/>
      <c r="L11" s="173"/>
      <c r="M11" s="173"/>
      <c r="N11" s="291"/>
      <c r="O11" s="173"/>
      <c r="P11" s="173"/>
      <c r="Q11" s="173"/>
      <c r="R11" s="173"/>
      <c r="S11" s="290"/>
      <c r="T11" s="173"/>
      <c r="U11" s="173"/>
      <c r="V11" s="291"/>
      <c r="W11" s="173"/>
      <c r="X11" s="173"/>
      <c r="Y11" s="173"/>
      <c r="Z11" s="173"/>
      <c r="AA11" s="290"/>
      <c r="AB11" s="173"/>
      <c r="AC11" s="173"/>
      <c r="AD11" s="291"/>
      <c r="AE11" s="173">
        <f t="shared" ref="AE11:AO11" si="46">AE10/AE6</f>
        <v>0.50100067360308453</v>
      </c>
      <c r="AF11" s="173">
        <f t="shared" si="46"/>
        <v>0.51779616382736204</v>
      </c>
      <c r="AG11" s="173">
        <f t="shared" si="46"/>
        <v>0.52873740771192013</v>
      </c>
      <c r="AH11" s="173">
        <f t="shared" si="46"/>
        <v>0.52904593179884041</v>
      </c>
      <c r="AI11" s="290">
        <f t="shared" si="46"/>
        <v>0.54315158383600126</v>
      </c>
      <c r="AJ11" s="173">
        <f t="shared" si="46"/>
        <v>0.55824476739545548</v>
      </c>
      <c r="AK11" s="173">
        <f t="shared" si="46"/>
        <v>0.55449079525260281</v>
      </c>
      <c r="AL11" s="291">
        <f t="shared" si="46"/>
        <v>0.54119232523872218</v>
      </c>
      <c r="AM11" s="290">
        <f t="shared" si="46"/>
        <v>0.54788640054697779</v>
      </c>
      <c r="AN11" s="173">
        <f t="shared" si="46"/>
        <v>0.56126272188490645</v>
      </c>
      <c r="AO11" s="173">
        <f t="shared" si="46"/>
        <v>0.55223432366396774</v>
      </c>
      <c r="AP11" s="291">
        <f>AP10/AP6</f>
        <v>0.55945455579057735</v>
      </c>
      <c r="AQ11" s="173">
        <f>AQ10/AQ6</f>
        <v>0.56732997218634929</v>
      </c>
      <c r="AR11" s="173">
        <f>AR10/AR6</f>
        <v>0.54987237424666591</v>
      </c>
      <c r="AS11" s="173">
        <f>AS10/AS6</f>
        <v>0.56245395125253195</v>
      </c>
      <c r="AT11" s="291">
        <f>AT10/AT6</f>
        <v>0.56267111379445955</v>
      </c>
      <c r="AU11" s="173">
        <f t="shared" ref="AU11:AV11" si="47">AU10/AU6</f>
        <v>0.57052535797751358</v>
      </c>
      <c r="AV11" s="173">
        <f t="shared" si="47"/>
        <v>0.57402706250888236</v>
      </c>
      <c r="AW11" s="173">
        <f>AW10/AW6</f>
        <v>0.56617698550082163</v>
      </c>
      <c r="AX11" s="767">
        <f>AX10/AX6</f>
        <v>0.59254302058663633</v>
      </c>
      <c r="AY11" s="173">
        <f t="shared" ref="AY11:AZ11" si="48">AY10/AY6</f>
        <v>0.59791938162341407</v>
      </c>
      <c r="AZ11" s="901">
        <f t="shared" si="48"/>
        <v>0.5816522887106812</v>
      </c>
      <c r="BA11" s="173">
        <f>BA10/BA6</f>
        <v>0.59542596344734822</v>
      </c>
      <c r="BB11" s="767">
        <f>BB10/BB6</f>
        <v>0.58845338439694184</v>
      </c>
      <c r="BC11" s="173">
        <f t="shared" ref="BC11:BD11" si="49">BC10/BC6</f>
        <v>0.62831383325784351</v>
      </c>
      <c r="BD11" s="901">
        <f t="shared" si="49"/>
        <v>0.62328739828540736</v>
      </c>
      <c r="BE11" s="173">
        <f t="shared" ref="BE11:BJ11" si="50">BE10/BE6</f>
        <v>0.61917297415557038</v>
      </c>
      <c r="BF11" s="291">
        <f t="shared" si="50"/>
        <v>0.61882662284869439</v>
      </c>
      <c r="BG11" s="173">
        <f t="shared" si="50"/>
        <v>0.62111471157967735</v>
      </c>
      <c r="BH11" s="901">
        <f t="shared" si="50"/>
        <v>0.62015997001073087</v>
      </c>
      <c r="BI11" s="173">
        <f t="shared" si="50"/>
        <v>0.61861403595368392</v>
      </c>
      <c r="BJ11" s="291">
        <f t="shared" si="50"/>
        <v>0.62137635901633015</v>
      </c>
      <c r="BK11" s="173">
        <f t="shared" ref="BK11:BN11" si="51">BK10/BK6</f>
        <v>0.62469065596245199</v>
      </c>
      <c r="BL11" s="901">
        <f t="shared" si="51"/>
        <v>0.62376846076012638</v>
      </c>
      <c r="BM11" s="173">
        <f t="shared" si="51"/>
        <v>0.6228629635965236</v>
      </c>
      <c r="BN11" s="291">
        <f t="shared" si="51"/>
        <v>0.62581679692126502</v>
      </c>
      <c r="BO11" s="187"/>
      <c r="BP11" s="59"/>
      <c r="BQ11" s="59"/>
      <c r="BR11" s="59"/>
      <c r="BS11" s="59"/>
      <c r="BT11" s="59"/>
      <c r="BU11" s="173">
        <f t="shared" ref="BU11:CA11" si="52">BU10/BU6</f>
        <v>0</v>
      </c>
      <c r="BV11" s="173">
        <f t="shared" si="52"/>
        <v>0</v>
      </c>
      <c r="BW11" s="173">
        <f t="shared" si="52"/>
        <v>0.52015427464260089</v>
      </c>
      <c r="BX11" s="173">
        <f t="shared" si="52"/>
        <v>0.54907361987253789</v>
      </c>
      <c r="BY11" s="173">
        <f t="shared" si="52"/>
        <v>0.55526559169513101</v>
      </c>
      <c r="BZ11" s="173">
        <f t="shared" si="52"/>
        <v>0.5607393777052867</v>
      </c>
      <c r="CA11" s="173">
        <f t="shared" si="52"/>
        <v>0.57691185240256815</v>
      </c>
      <c r="CB11" s="173">
        <f t="shared" ref="CB11:CC11" si="53">CB10/CB6</f>
        <v>0.58624511917398403</v>
      </c>
      <c r="CC11" s="173">
        <f t="shared" si="53"/>
        <v>0.62212583978287406</v>
      </c>
      <c r="CD11" s="173">
        <f t="shared" ref="CD11:CE11" si="54">CD10/CD6</f>
        <v>0.62028638217888143</v>
      </c>
      <c r="CE11" s="173">
        <f t="shared" si="54"/>
        <v>0.62428376853283929</v>
      </c>
      <c r="CF11" s="169"/>
      <c r="CG11" s="169"/>
      <c r="CH11" s="169"/>
      <c r="CI11" s="169"/>
      <c r="CJ11" s="169"/>
      <c r="CK11" s="169"/>
      <c r="CL11" s="169"/>
    </row>
    <row r="12" spans="1:90" s="81" customFormat="1">
      <c r="A12" s="549"/>
      <c r="B12" s="91"/>
      <c r="C12" s="286"/>
      <c r="D12" s="163"/>
      <c r="E12" s="163"/>
      <c r="F12" s="287"/>
      <c r="G12" s="163"/>
      <c r="H12" s="163"/>
      <c r="I12" s="163"/>
      <c r="J12" s="163"/>
      <c r="K12" s="286"/>
      <c r="L12" s="163"/>
      <c r="M12" s="163"/>
      <c r="N12" s="287"/>
      <c r="O12" s="163"/>
      <c r="P12" s="163"/>
      <c r="Q12" s="163"/>
      <c r="R12" s="163"/>
      <c r="S12" s="286"/>
      <c r="T12" s="163"/>
      <c r="U12" s="163"/>
      <c r="V12" s="287"/>
      <c r="W12" s="163"/>
      <c r="X12" s="163"/>
      <c r="Y12" s="163"/>
      <c r="Z12" s="163"/>
      <c r="AA12" s="286"/>
      <c r="AB12" s="163"/>
      <c r="AC12" s="163"/>
      <c r="AD12" s="287"/>
      <c r="AE12" s="163"/>
      <c r="AF12" s="163"/>
      <c r="AG12" s="163"/>
      <c r="AH12" s="163"/>
      <c r="AI12" s="286"/>
      <c r="AJ12" s="163"/>
      <c r="AK12" s="163"/>
      <c r="AL12" s="287"/>
      <c r="AM12" s="286"/>
      <c r="AN12" s="163"/>
      <c r="AP12" s="287"/>
      <c r="AT12" s="287"/>
      <c r="AX12" s="764"/>
      <c r="BA12" s="927"/>
      <c r="BB12" s="764"/>
      <c r="BC12" s="927"/>
      <c r="BD12" s="927"/>
      <c r="BE12" s="927"/>
      <c r="BF12" s="285"/>
      <c r="BG12" s="927"/>
      <c r="BH12" s="927"/>
      <c r="BI12" s="927"/>
      <c r="BJ12" s="285"/>
      <c r="BK12" s="927"/>
      <c r="BL12" s="927"/>
      <c r="BM12" s="927"/>
      <c r="BN12" s="285"/>
      <c r="BO12" s="187"/>
      <c r="BP12" s="59"/>
      <c r="BQ12" s="59"/>
      <c r="BR12" s="59"/>
      <c r="BS12" s="59"/>
      <c r="BT12" s="59"/>
      <c r="BU12" s="59"/>
      <c r="BV12" s="59"/>
      <c r="BW12" s="59"/>
      <c r="BX12" s="59"/>
      <c r="CC12" s="927"/>
      <c r="CD12" s="927"/>
      <c r="CE12" s="927"/>
    </row>
    <row r="13" spans="1:90" s="81" customFormat="1">
      <c r="A13" s="549"/>
      <c r="B13" s="162" t="s">
        <v>324</v>
      </c>
      <c r="C13" s="286"/>
      <c r="D13" s="163"/>
      <c r="E13" s="163"/>
      <c r="F13" s="287"/>
      <c r="G13" s="163"/>
      <c r="H13" s="163"/>
      <c r="I13" s="163"/>
      <c r="J13" s="163"/>
      <c r="K13" s="286"/>
      <c r="L13" s="163"/>
      <c r="M13" s="163"/>
      <c r="N13" s="287"/>
      <c r="O13" s="163"/>
      <c r="P13" s="163"/>
      <c r="Q13" s="163"/>
      <c r="R13" s="163"/>
      <c r="S13" s="286"/>
      <c r="T13" s="163"/>
      <c r="U13" s="163"/>
      <c r="V13" s="287"/>
      <c r="W13" s="170">
        <f>W6</f>
        <v>1001.813</v>
      </c>
      <c r="X13" s="170">
        <f t="shared" ref="X13:AO13" si="55">X6</f>
        <v>811.20799999999997</v>
      </c>
      <c r="Y13" s="170">
        <f t="shared" si="55"/>
        <v>843.91200000000003</v>
      </c>
      <c r="Z13" s="170">
        <f t="shared" si="55"/>
        <v>886.37599999999986</v>
      </c>
      <c r="AA13" s="288">
        <f t="shared" si="55"/>
        <v>962.03899999999999</v>
      </c>
      <c r="AB13" s="170">
        <f t="shared" si="55"/>
        <v>1016.5170000000001</v>
      </c>
      <c r="AC13" s="170">
        <f t="shared" si="55"/>
        <v>1066.18</v>
      </c>
      <c r="AD13" s="289">
        <f t="shared" si="55"/>
        <v>953.19399999999996</v>
      </c>
      <c r="AE13" s="170">
        <f t="shared" si="55"/>
        <v>924.87699999999995</v>
      </c>
      <c r="AF13" s="170">
        <f t="shared" si="55"/>
        <v>1044.27</v>
      </c>
      <c r="AG13" s="170">
        <f t="shared" si="55"/>
        <v>1204.1099999999999</v>
      </c>
      <c r="AH13" s="170">
        <f t="shared" si="55"/>
        <v>1106.902</v>
      </c>
      <c r="AI13" s="288">
        <f t="shared" si="55"/>
        <v>954.73900000000003</v>
      </c>
      <c r="AJ13" s="170">
        <f t="shared" si="55"/>
        <v>977.23800000000006</v>
      </c>
      <c r="AK13" s="170">
        <f t="shared" si="55"/>
        <v>1053.9670000000001</v>
      </c>
      <c r="AL13" s="289">
        <f>AL6</f>
        <v>1144.2180000000003</v>
      </c>
      <c r="AM13" s="288">
        <f>AM6</f>
        <v>1102.787</v>
      </c>
      <c r="AN13" s="170">
        <f t="shared" si="55"/>
        <v>1102.8240000000001</v>
      </c>
      <c r="AO13" s="170">
        <f t="shared" si="55"/>
        <v>1225.3820000000001</v>
      </c>
      <c r="AP13" s="289">
        <f>AP6</f>
        <v>1250.5139999999999</v>
      </c>
      <c r="AQ13" s="288">
        <f>AQ6</f>
        <v>1151</v>
      </c>
      <c r="AR13" s="170">
        <f t="shared" ref="AR13:AS13" si="56">AR6</f>
        <v>1153</v>
      </c>
      <c r="AS13" s="170">
        <f t="shared" si="56"/>
        <v>1305</v>
      </c>
      <c r="AT13" s="289">
        <f>AT6</f>
        <v>1401</v>
      </c>
      <c r="AU13" s="288">
        <f>AU6</f>
        <v>1305</v>
      </c>
      <c r="AV13" s="170">
        <f t="shared" ref="AV13:AW13" si="57">AV6</f>
        <v>1428</v>
      </c>
      <c r="AW13" s="170">
        <f t="shared" si="57"/>
        <v>2004</v>
      </c>
      <c r="AX13" s="766">
        <f>AX6</f>
        <v>2173</v>
      </c>
      <c r="AY13" s="288">
        <f>AY6</f>
        <v>1937</v>
      </c>
      <c r="AZ13" s="900">
        <f t="shared" ref="AZ13:BN13" si="58">AZ6</f>
        <v>2230</v>
      </c>
      <c r="BA13" s="170">
        <f t="shared" si="58"/>
        <v>2636</v>
      </c>
      <c r="BB13" s="766">
        <f>BB6</f>
        <v>2911</v>
      </c>
      <c r="BC13" s="900">
        <f t="shared" si="58"/>
        <v>2921.4992061885541</v>
      </c>
      <c r="BD13" s="900">
        <f t="shared" si="58"/>
        <v>3157.7929861175189</v>
      </c>
      <c r="BE13" s="900">
        <f t="shared" si="58"/>
        <v>3408.76751356866</v>
      </c>
      <c r="BF13" s="900">
        <f t="shared" si="58"/>
        <v>3540.3997760779021</v>
      </c>
      <c r="BG13" s="900">
        <f t="shared" si="58"/>
        <v>3289.123932639282</v>
      </c>
      <c r="BH13" s="900">
        <f t="shared" si="58"/>
        <v>3683.0310512199744</v>
      </c>
      <c r="BI13" s="900">
        <f t="shared" si="58"/>
        <v>3983.4520978772739</v>
      </c>
      <c r="BJ13" s="900">
        <f t="shared" si="58"/>
        <v>4039.3637847652603</v>
      </c>
      <c r="BK13" s="900">
        <f t="shared" si="58"/>
        <v>3778.7515910203692</v>
      </c>
      <c r="BL13" s="900">
        <f t="shared" si="58"/>
        <v>4237.0212800938998</v>
      </c>
      <c r="BM13" s="900">
        <f t="shared" si="58"/>
        <v>4549.6430580955694</v>
      </c>
      <c r="BN13" s="900">
        <f t="shared" si="58"/>
        <v>4637.8781018430618</v>
      </c>
      <c r="BO13" s="187"/>
      <c r="BP13" s="59"/>
      <c r="BQ13" s="59"/>
      <c r="BR13" s="59"/>
      <c r="BS13" s="59"/>
      <c r="BT13" s="59"/>
      <c r="BU13" s="59">
        <f>SUM(W13:Z13)</f>
        <v>3543.3089999999997</v>
      </c>
      <c r="BV13" s="59">
        <f>SUM(AA13:AD13)</f>
        <v>3997.93</v>
      </c>
      <c r="BW13" s="59">
        <f>SUM(AE13:AH13)</f>
        <v>4280.1589999999997</v>
      </c>
      <c r="BX13" s="59">
        <f>SUM(AI13:AL13)</f>
        <v>4130.1620000000003</v>
      </c>
      <c r="BY13" s="59">
        <f>SUM(AM13:AP13)</f>
        <v>4681.5069999999996</v>
      </c>
      <c r="BZ13" s="59">
        <f>SUM(AN13:AQ13)</f>
        <v>4729.72</v>
      </c>
      <c r="CA13" s="900">
        <f t="shared" ref="CA13:CE13" si="59">CA6</f>
        <v>6910</v>
      </c>
      <c r="CB13" s="900">
        <f t="shared" si="59"/>
        <v>9714</v>
      </c>
      <c r="CC13" s="900">
        <f t="shared" si="59"/>
        <v>13028.459481952636</v>
      </c>
      <c r="CD13" s="900">
        <f t="shared" si="59"/>
        <v>14994.97086650179</v>
      </c>
      <c r="CE13" s="900">
        <f t="shared" si="59"/>
        <v>17203.294031052897</v>
      </c>
    </row>
    <row r="14" spans="1:90" s="81" customFormat="1">
      <c r="A14" s="549"/>
      <c r="B14" s="162" t="s">
        <v>325</v>
      </c>
      <c r="C14" s="284"/>
      <c r="F14" s="285"/>
      <c r="K14" s="284"/>
      <c r="N14" s="285"/>
      <c r="S14" s="284"/>
      <c r="V14" s="285"/>
      <c r="W14" s="169">
        <f t="shared" ref="W14:AU14" si="60">W22+W110+W184</f>
        <v>1001.813</v>
      </c>
      <c r="X14" s="169">
        <f t="shared" si="60"/>
        <v>811.20799999999997</v>
      </c>
      <c r="Y14" s="169">
        <f t="shared" si="60"/>
        <v>843.91200000000003</v>
      </c>
      <c r="Z14" s="169">
        <f t="shared" si="60"/>
        <v>886.37599999999998</v>
      </c>
      <c r="AA14" s="328">
        <f t="shared" si="60"/>
        <v>962.0390000000001</v>
      </c>
      <c r="AB14" s="169">
        <f t="shared" si="60"/>
        <v>1016.5169999999999</v>
      </c>
      <c r="AC14" s="169">
        <f t="shared" si="60"/>
        <v>1066.1799999999998</v>
      </c>
      <c r="AD14" s="329">
        <f t="shared" si="60"/>
        <v>953.19399999999996</v>
      </c>
      <c r="AE14" s="169">
        <f t="shared" si="60"/>
        <v>924.87699999999995</v>
      </c>
      <c r="AF14" s="169">
        <f t="shared" si="60"/>
        <v>1044.27</v>
      </c>
      <c r="AG14" s="169">
        <f t="shared" si="60"/>
        <v>1204.1099999999999</v>
      </c>
      <c r="AH14" s="169">
        <f t="shared" si="60"/>
        <v>1106.9020000000003</v>
      </c>
      <c r="AI14" s="328">
        <f t="shared" si="60"/>
        <v>954.73900000000003</v>
      </c>
      <c r="AJ14" s="169">
        <f t="shared" si="60"/>
        <v>977.23800000000006</v>
      </c>
      <c r="AK14" s="169">
        <f t="shared" si="60"/>
        <v>1053.9670000000001</v>
      </c>
      <c r="AL14" s="329">
        <f t="shared" si="60"/>
        <v>1144.2179999999998</v>
      </c>
      <c r="AM14" s="328">
        <f t="shared" si="60"/>
        <v>1102.787</v>
      </c>
      <c r="AN14" s="169">
        <f t="shared" si="60"/>
        <v>1102.8240000000001</v>
      </c>
      <c r="AO14" s="169">
        <f t="shared" si="60"/>
        <v>1225.3820000000001</v>
      </c>
      <c r="AP14" s="329">
        <f t="shared" si="60"/>
        <v>1250.5139999999999</v>
      </c>
      <c r="AQ14" s="328">
        <f t="shared" si="60"/>
        <v>1151</v>
      </c>
      <c r="AR14" s="169">
        <f t="shared" si="60"/>
        <v>1153</v>
      </c>
      <c r="AS14" s="169">
        <f t="shared" si="60"/>
        <v>1305</v>
      </c>
      <c r="AT14" s="329">
        <f t="shared" si="60"/>
        <v>1401</v>
      </c>
      <c r="AU14" s="328">
        <f t="shared" si="60"/>
        <v>1305</v>
      </c>
      <c r="AV14" s="169">
        <f t="shared" ref="AV14:AZ14" si="61">AV22+AV110+AV184</f>
        <v>1428</v>
      </c>
      <c r="AW14" s="169">
        <f t="shared" si="61"/>
        <v>2004</v>
      </c>
      <c r="AX14" s="329">
        <f t="shared" si="61"/>
        <v>2173</v>
      </c>
      <c r="AY14" s="328">
        <f t="shared" si="61"/>
        <v>1937</v>
      </c>
      <c r="AZ14" s="169">
        <f t="shared" si="61"/>
        <v>2230</v>
      </c>
      <c r="BA14" s="982">
        <f t="shared" ref="BA14:BB14" si="62">BA22+BA110+BA184</f>
        <v>2636</v>
      </c>
      <c r="BB14" s="985">
        <f t="shared" si="62"/>
        <v>2911</v>
      </c>
      <c r="BC14" s="328">
        <f>BC22+BC110+BC184</f>
        <v>2921.4992061885541</v>
      </c>
      <c r="BD14" s="169">
        <f t="shared" ref="BD14" si="63">BD22+BD110+BD184</f>
        <v>3157.7929861175189</v>
      </c>
      <c r="BE14" s="169">
        <f t="shared" ref="BE14:BJ14" si="64">BE22+BE110+BE184</f>
        <v>3408.76751356866</v>
      </c>
      <c r="BF14" s="329">
        <f t="shared" si="64"/>
        <v>3540.3997760779021</v>
      </c>
      <c r="BG14" s="328">
        <f t="shared" si="64"/>
        <v>3289.123932639282</v>
      </c>
      <c r="BH14" s="169">
        <f t="shared" si="64"/>
        <v>3683.0310512199744</v>
      </c>
      <c r="BI14" s="169">
        <f t="shared" si="64"/>
        <v>3983.4520978772739</v>
      </c>
      <c r="BJ14" s="329">
        <f t="shared" si="64"/>
        <v>4039.3637847652603</v>
      </c>
      <c r="BK14" s="328">
        <f t="shared" ref="BK14:BN14" si="65">BK22+BK110+BK184</f>
        <v>3778.7515910203692</v>
      </c>
      <c r="BL14" s="169">
        <f t="shared" si="65"/>
        <v>4237.0212800938998</v>
      </c>
      <c r="BM14" s="169">
        <f t="shared" si="65"/>
        <v>4549.6430580955694</v>
      </c>
      <c r="BN14" s="329">
        <f t="shared" si="65"/>
        <v>4637.8781018430618</v>
      </c>
      <c r="BO14" s="187"/>
      <c r="BP14" s="172"/>
      <c r="BQ14" s="172"/>
      <c r="BR14" s="172"/>
      <c r="BS14" s="172"/>
      <c r="BT14" s="172"/>
      <c r="BU14" s="172">
        <f t="shared" ref="BU14:CA14" si="66">BU22+BU110+BU184</f>
        <v>3543.3089999999997</v>
      </c>
      <c r="BV14" s="172">
        <f t="shared" si="66"/>
        <v>3997.93</v>
      </c>
      <c r="BW14" s="172">
        <f t="shared" si="66"/>
        <v>4280.1589999999997</v>
      </c>
      <c r="BX14" s="172">
        <f t="shared" si="66"/>
        <v>4130.1620000000003</v>
      </c>
      <c r="BY14" s="172">
        <f t="shared" si="66"/>
        <v>4681.5069999999996</v>
      </c>
      <c r="BZ14" s="172">
        <f t="shared" si="66"/>
        <v>5010</v>
      </c>
      <c r="CA14" s="172">
        <f t="shared" si="66"/>
        <v>6910</v>
      </c>
      <c r="CB14" s="172">
        <f>CB22+CB110+CB184</f>
        <v>9714</v>
      </c>
      <c r="CC14" s="172">
        <f>CC22+CC110+CC184</f>
        <v>13028.459481952636</v>
      </c>
      <c r="CD14" s="172">
        <f>CD22+CD110+CD184</f>
        <v>14994.97086650179</v>
      </c>
      <c r="CE14" s="172">
        <f>CE22+CE110+CE184</f>
        <v>17203.294031052897</v>
      </c>
    </row>
    <row r="15" spans="1:90" s="81" customFormat="1">
      <c r="A15" s="549"/>
      <c r="B15" s="162" t="s">
        <v>386</v>
      </c>
      <c r="C15" s="284"/>
      <c r="F15" s="285"/>
      <c r="K15" s="284"/>
      <c r="N15" s="285"/>
      <c r="S15" s="284"/>
      <c r="V15" s="285"/>
      <c r="W15" s="169"/>
      <c r="X15" s="169"/>
      <c r="Y15" s="169"/>
      <c r="Z15" s="169"/>
      <c r="AA15" s="328"/>
      <c r="AB15" s="169"/>
      <c r="AC15" s="169"/>
      <c r="AD15" s="329"/>
      <c r="AE15" s="169">
        <f>IS!AE13</f>
        <v>463.36399999999998</v>
      </c>
      <c r="AF15" s="169">
        <f>IS!AF13</f>
        <v>540.71900000000005</v>
      </c>
      <c r="AG15" s="169">
        <f>IS!AG13</f>
        <v>636.6579999999999</v>
      </c>
      <c r="AH15" s="169">
        <f>IS!AH13</f>
        <v>585.60200000000009</v>
      </c>
      <c r="AI15" s="328">
        <f>IS!AI13</f>
        <v>518.56799999999998</v>
      </c>
      <c r="AJ15" s="169">
        <f>IS!AJ13</f>
        <v>545.53800000000001</v>
      </c>
      <c r="AK15" s="169">
        <f>IS!AK13</f>
        <v>584.41500000000008</v>
      </c>
      <c r="AL15" s="329">
        <f>IS!AL13</f>
        <v>619.24200000000064</v>
      </c>
      <c r="AM15" s="328">
        <f>IS!AM13</f>
        <v>604.202</v>
      </c>
      <c r="AN15" s="169">
        <f>IS!AN13</f>
        <v>618.97400000000005</v>
      </c>
      <c r="AO15" s="169">
        <f>IS!AO13</f>
        <v>676.69800000000009</v>
      </c>
      <c r="AP15" s="329">
        <f>IS!AP13</f>
        <v>699.60299999999995</v>
      </c>
      <c r="AQ15" s="328">
        <f>IS!AQ13</f>
        <v>653</v>
      </c>
      <c r="AR15" s="169">
        <f>IS!AR13</f>
        <v>634</v>
      </c>
      <c r="AS15" s="169">
        <f>IS!AS13</f>
        <v>734</v>
      </c>
      <c r="AT15" s="329">
        <f>IS!AT13</f>
        <v>790</v>
      </c>
      <c r="AU15" s="328">
        <f>IS!AU13</f>
        <v>751</v>
      </c>
      <c r="AV15" s="169">
        <f>IS!AV13</f>
        <v>826</v>
      </c>
      <c r="AW15" s="169">
        <f>IS!AW13</f>
        <v>1183</v>
      </c>
      <c r="AX15" s="329">
        <f>IS!AX13</f>
        <v>1303</v>
      </c>
      <c r="AY15" s="328">
        <f>IS!AY13</f>
        <v>1150</v>
      </c>
      <c r="AZ15" s="982">
        <f>IS!AZ13</f>
        <v>1302</v>
      </c>
      <c r="BA15" s="982">
        <f>IS!BA13</f>
        <v>1569</v>
      </c>
      <c r="BB15" s="985">
        <f>IS!BB13</f>
        <v>1801</v>
      </c>
      <c r="BC15" s="328"/>
      <c r="BD15" s="169"/>
      <c r="BE15" s="169"/>
      <c r="BF15" s="329"/>
      <c r="BG15" s="328"/>
      <c r="BH15" s="169"/>
      <c r="BI15" s="169"/>
      <c r="BJ15" s="329"/>
      <c r="BK15" s="328"/>
      <c r="BL15" s="169"/>
      <c r="BM15" s="169"/>
      <c r="BN15" s="329"/>
      <c r="BO15" s="187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</row>
    <row r="16" spans="1:90" s="81" customFormat="1">
      <c r="A16" s="549"/>
      <c r="B16" s="162" t="s">
        <v>387</v>
      </c>
      <c r="C16" s="284"/>
      <c r="F16" s="285"/>
      <c r="K16" s="284"/>
      <c r="N16" s="285"/>
      <c r="S16" s="284"/>
      <c r="V16" s="285"/>
      <c r="W16" s="169"/>
      <c r="X16" s="169"/>
      <c r="Y16" s="169"/>
      <c r="Z16" s="169"/>
      <c r="AA16" s="328"/>
      <c r="AB16" s="169"/>
      <c r="AC16" s="169"/>
      <c r="AD16" s="329"/>
      <c r="AE16" s="169">
        <f>AE10</f>
        <v>463.36399999999998</v>
      </c>
      <c r="AF16" s="169">
        <f t="shared" ref="AF16:AO16" si="67">AF10</f>
        <v>540.71899999999937</v>
      </c>
      <c r="AG16" s="169">
        <f t="shared" si="67"/>
        <v>636.65800000000013</v>
      </c>
      <c r="AH16" s="169">
        <f t="shared" si="67"/>
        <v>585.60200000000009</v>
      </c>
      <c r="AI16" s="328">
        <f t="shared" si="67"/>
        <v>518.56799999999998</v>
      </c>
      <c r="AJ16" s="169">
        <f t="shared" si="67"/>
        <v>545.53800000000012</v>
      </c>
      <c r="AK16" s="169">
        <f t="shared" si="67"/>
        <v>584.41500000000008</v>
      </c>
      <c r="AL16" s="329">
        <f t="shared" si="67"/>
        <v>619.24200000000042</v>
      </c>
      <c r="AM16" s="328">
        <f>AM10</f>
        <v>604.202</v>
      </c>
      <c r="AN16" s="169">
        <f t="shared" si="67"/>
        <v>618.97400000000005</v>
      </c>
      <c r="AO16" s="169">
        <f t="shared" si="67"/>
        <v>676.69800000000009</v>
      </c>
      <c r="AP16" s="329">
        <f>AP10</f>
        <v>699.60575437989803</v>
      </c>
      <c r="AQ16" s="328">
        <f>AQ10</f>
        <v>652.99679798648799</v>
      </c>
      <c r="AR16" s="169">
        <f t="shared" ref="AR16:AS16" si="68">AR10</f>
        <v>634.00284750640583</v>
      </c>
      <c r="AS16" s="169">
        <f t="shared" si="68"/>
        <v>734.00240638455421</v>
      </c>
      <c r="AT16" s="329">
        <f>AT10</f>
        <v>788.3022304260378</v>
      </c>
      <c r="AU16" s="328">
        <f>AU10</f>
        <v>744.53559216065526</v>
      </c>
      <c r="AV16" s="169">
        <f t="shared" ref="AV16:AW16" si="69">AV10</f>
        <v>819.71064526268401</v>
      </c>
      <c r="AW16" s="169">
        <f t="shared" si="69"/>
        <v>1134.6186789436465</v>
      </c>
      <c r="AX16" s="329">
        <f>AX10</f>
        <v>1287.5959837347607</v>
      </c>
      <c r="AY16" s="328">
        <f>AY10</f>
        <v>1158.1698422045531</v>
      </c>
      <c r="AZ16" s="169">
        <f t="shared" ref="AZ16:BA16" si="70">AZ10</f>
        <v>1297.0846038248192</v>
      </c>
      <c r="BA16" s="982">
        <f t="shared" si="70"/>
        <v>1569.54283964721</v>
      </c>
      <c r="BB16" s="985">
        <f>BB10</f>
        <v>1712.9878019794978</v>
      </c>
      <c r="BC16" s="978"/>
      <c r="BD16" s="989"/>
      <c r="BE16" s="989"/>
      <c r="BF16" s="329"/>
      <c r="BG16" s="328"/>
      <c r="BH16" s="169"/>
      <c r="BI16" s="169"/>
      <c r="BJ16" s="329"/>
      <c r="BK16" s="328"/>
      <c r="BL16" s="169"/>
      <c r="BM16" s="169"/>
      <c r="BN16" s="329"/>
      <c r="BO16" s="187"/>
      <c r="BP16" s="172"/>
      <c r="BQ16" s="172"/>
      <c r="BR16" s="172"/>
      <c r="BS16" s="172"/>
      <c r="BT16" s="172"/>
      <c r="BU16" s="172"/>
      <c r="BV16" s="172"/>
      <c r="BW16" s="172"/>
      <c r="BX16" s="172"/>
      <c r="BY16" s="172"/>
      <c r="BZ16" s="172"/>
      <c r="CA16" s="172"/>
      <c r="CB16" s="172"/>
      <c r="CC16" s="172"/>
      <c r="CD16" s="172"/>
      <c r="CE16" s="172"/>
    </row>
    <row r="17" spans="1:226" s="81" customFormat="1">
      <c r="A17" s="549"/>
      <c r="B17" s="162"/>
      <c r="C17" s="284"/>
      <c r="F17" s="285"/>
      <c r="K17" s="284"/>
      <c r="N17" s="285"/>
      <c r="S17" s="284"/>
      <c r="V17" s="285"/>
      <c r="W17" s="169"/>
      <c r="X17" s="169"/>
      <c r="Y17" s="169"/>
      <c r="Z17" s="169"/>
      <c r="AA17" s="328"/>
      <c r="AB17" s="169"/>
      <c r="AC17" s="169"/>
      <c r="AD17" s="329"/>
      <c r="AE17" s="169">
        <f>AE15-AE16</f>
        <v>0</v>
      </c>
      <c r="AF17" s="169">
        <f t="shared" ref="AF17:AH17" si="71">AF15-AF16</f>
        <v>0</v>
      </c>
      <c r="AG17" s="169">
        <f t="shared" si="71"/>
        <v>0</v>
      </c>
      <c r="AH17" s="169">
        <f t="shared" si="71"/>
        <v>0</v>
      </c>
      <c r="AI17" s="605"/>
      <c r="AJ17" s="606"/>
      <c r="AK17" s="606"/>
      <c r="AL17" s="607"/>
      <c r="AM17" s="662"/>
      <c r="AN17" s="663"/>
      <c r="AO17" s="663"/>
      <c r="AP17" s="664"/>
      <c r="AQ17" s="662"/>
      <c r="AR17" s="663"/>
      <c r="AS17" s="663"/>
      <c r="AT17" s="664"/>
      <c r="AU17" s="605"/>
      <c r="AV17" s="606"/>
      <c r="AW17" s="169"/>
      <c r="AX17" s="768"/>
      <c r="AY17" s="605"/>
      <c r="AZ17" s="739"/>
      <c r="BA17" s="169"/>
      <c r="BB17" s="768"/>
      <c r="BC17" s="605"/>
      <c r="BD17" s="739"/>
      <c r="BE17" s="169"/>
      <c r="BF17" s="329"/>
      <c r="BG17" s="605"/>
      <c r="BH17" s="739"/>
      <c r="BI17" s="169"/>
      <c r="BJ17" s="329"/>
      <c r="BK17" s="605"/>
      <c r="BL17" s="739"/>
      <c r="BM17" s="169"/>
      <c r="BN17" s="329"/>
      <c r="BO17" s="187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</row>
    <row r="18" spans="1:226" s="9" customFormat="1">
      <c r="A18" s="550"/>
      <c r="B18" s="347" t="s">
        <v>246</v>
      </c>
      <c r="C18" s="348"/>
      <c r="D18" s="347"/>
      <c r="E18" s="347"/>
      <c r="F18" s="349"/>
      <c r="G18" s="347"/>
      <c r="H18" s="347"/>
      <c r="I18" s="347"/>
      <c r="J18" s="347"/>
      <c r="K18" s="348"/>
      <c r="L18" s="347"/>
      <c r="M18" s="347"/>
      <c r="N18" s="349"/>
      <c r="O18" s="347"/>
      <c r="P18" s="347"/>
      <c r="Q18" s="347"/>
      <c r="R18" s="347"/>
      <c r="S18" s="348"/>
      <c r="T18" s="347"/>
      <c r="U18" s="347"/>
      <c r="V18" s="349"/>
      <c r="W18" s="350">
        <f>W14-W13</f>
        <v>0</v>
      </c>
      <c r="X18" s="350">
        <f t="shared" ref="X18:AK18" si="72">X14-X13</f>
        <v>0</v>
      </c>
      <c r="Y18" s="350">
        <f t="shared" si="72"/>
        <v>0</v>
      </c>
      <c r="Z18" s="350">
        <f t="shared" si="72"/>
        <v>0</v>
      </c>
      <c r="AA18" s="351">
        <f t="shared" si="72"/>
        <v>0</v>
      </c>
      <c r="AB18" s="350">
        <f t="shared" si="72"/>
        <v>0</v>
      </c>
      <c r="AC18" s="350">
        <f t="shared" si="72"/>
        <v>0</v>
      </c>
      <c r="AD18" s="352">
        <f t="shared" si="72"/>
        <v>0</v>
      </c>
      <c r="AE18" s="350">
        <f t="shared" si="72"/>
        <v>0</v>
      </c>
      <c r="AF18" s="350">
        <f t="shared" si="72"/>
        <v>0</v>
      </c>
      <c r="AG18" s="350">
        <f t="shared" si="72"/>
        <v>0</v>
      </c>
      <c r="AH18" s="350">
        <f t="shared" si="72"/>
        <v>0</v>
      </c>
      <c r="AI18" s="353">
        <f t="shared" si="72"/>
        <v>0</v>
      </c>
      <c r="AJ18" s="350">
        <f t="shared" si="72"/>
        <v>0</v>
      </c>
      <c r="AK18" s="350">
        <f t="shared" si="72"/>
        <v>0</v>
      </c>
      <c r="AL18" s="354">
        <f t="shared" ref="AL18:AV18" si="73">AL14-AL13</f>
        <v>0</v>
      </c>
      <c r="AM18" s="355">
        <f t="shared" si="73"/>
        <v>0</v>
      </c>
      <c r="AN18" s="356">
        <f t="shared" si="73"/>
        <v>0</v>
      </c>
      <c r="AO18" s="356">
        <f t="shared" si="73"/>
        <v>0</v>
      </c>
      <c r="AP18" s="563">
        <f t="shared" si="73"/>
        <v>0</v>
      </c>
      <c r="AQ18" s="356">
        <f t="shared" si="73"/>
        <v>0</v>
      </c>
      <c r="AR18" s="356">
        <f t="shared" si="73"/>
        <v>0</v>
      </c>
      <c r="AS18" s="356">
        <f t="shared" si="73"/>
        <v>0</v>
      </c>
      <c r="AT18" s="563">
        <f t="shared" si="73"/>
        <v>0</v>
      </c>
      <c r="AU18" s="356">
        <f t="shared" si="73"/>
        <v>0</v>
      </c>
      <c r="AV18" s="356">
        <f t="shared" si="73"/>
        <v>0</v>
      </c>
      <c r="AW18" s="356">
        <f t="shared" ref="AW18:BA18" si="74">AW14-AW13</f>
        <v>0</v>
      </c>
      <c r="AX18" s="769">
        <f t="shared" si="74"/>
        <v>0</v>
      </c>
      <c r="AY18" s="356">
        <f t="shared" si="74"/>
        <v>0</v>
      </c>
      <c r="AZ18" s="902">
        <f t="shared" si="74"/>
        <v>0</v>
      </c>
      <c r="BA18" s="356">
        <f t="shared" si="74"/>
        <v>0</v>
      </c>
      <c r="BB18" s="769">
        <f t="shared" ref="BB18" si="75">BB14-BB13</f>
        <v>0</v>
      </c>
      <c r="BC18" s="356">
        <f t="shared" ref="BC18:BD18" si="76">BC14-BC13</f>
        <v>0</v>
      </c>
      <c r="BD18" s="902">
        <f t="shared" si="76"/>
        <v>0</v>
      </c>
      <c r="BE18" s="356">
        <f t="shared" ref="BE18:BJ18" si="77">BE14-BE13</f>
        <v>0</v>
      </c>
      <c r="BF18" s="354">
        <f t="shared" si="77"/>
        <v>0</v>
      </c>
      <c r="BG18" s="356">
        <f t="shared" si="77"/>
        <v>0</v>
      </c>
      <c r="BH18" s="902">
        <f t="shared" si="77"/>
        <v>0</v>
      </c>
      <c r="BI18" s="356">
        <f t="shared" si="77"/>
        <v>0</v>
      </c>
      <c r="BJ18" s="354">
        <f t="shared" si="77"/>
        <v>0</v>
      </c>
      <c r="BK18" s="356">
        <f t="shared" ref="BK18:BN18" si="78">BK14-BK13</f>
        <v>0</v>
      </c>
      <c r="BL18" s="902">
        <f t="shared" si="78"/>
        <v>0</v>
      </c>
      <c r="BM18" s="356">
        <f t="shared" si="78"/>
        <v>0</v>
      </c>
      <c r="BN18" s="354">
        <f t="shared" si="78"/>
        <v>0</v>
      </c>
      <c r="BO18" s="85"/>
      <c r="BP18" s="356"/>
      <c r="BQ18" s="356"/>
      <c r="BR18" s="356"/>
      <c r="BS18" s="356"/>
      <c r="BT18" s="356"/>
      <c r="BU18" s="356">
        <f t="shared" ref="BU18:CA18" si="79">BU14-BU13</f>
        <v>0</v>
      </c>
      <c r="BV18" s="356">
        <f t="shared" si="79"/>
        <v>0</v>
      </c>
      <c r="BW18" s="356">
        <f t="shared" si="79"/>
        <v>0</v>
      </c>
      <c r="BX18" s="356">
        <f t="shared" si="79"/>
        <v>0</v>
      </c>
      <c r="BY18" s="356">
        <f t="shared" si="79"/>
        <v>0</v>
      </c>
      <c r="BZ18" s="356" t="s">
        <v>347</v>
      </c>
      <c r="CA18" s="356">
        <f t="shared" si="79"/>
        <v>0</v>
      </c>
      <c r="CB18" s="356">
        <f t="shared" ref="CB18:CC18" si="80">CB14-CB13</f>
        <v>0</v>
      </c>
      <c r="CC18" s="356">
        <f t="shared" si="80"/>
        <v>0</v>
      </c>
      <c r="CD18" s="356">
        <f t="shared" ref="CD18:CE18" si="81">CD14-CD13</f>
        <v>0</v>
      </c>
      <c r="CE18" s="356">
        <f t="shared" si="81"/>
        <v>0</v>
      </c>
      <c r="CF18" s="927"/>
    </row>
    <row r="19" spans="1:226" s="81" customFormat="1">
      <c r="A19" s="549"/>
      <c r="B19" s="162"/>
      <c r="C19" s="284"/>
      <c r="F19" s="285"/>
      <c r="K19" s="284"/>
      <c r="N19" s="285"/>
      <c r="S19" s="284"/>
      <c r="V19" s="285"/>
      <c r="AA19" s="284"/>
      <c r="AD19" s="285"/>
      <c r="AE19" s="683"/>
      <c r="AF19" s="683"/>
      <c r="AG19" s="683"/>
      <c r="AH19" s="683"/>
      <c r="AI19" s="684"/>
      <c r="AJ19" s="683"/>
      <c r="AK19" s="683"/>
      <c r="AL19" s="685"/>
      <c r="AM19" s="684"/>
      <c r="AN19" s="683"/>
      <c r="AO19" s="683"/>
      <c r="AP19" s="685"/>
      <c r="AQ19" s="683"/>
      <c r="AR19" s="683"/>
      <c r="AS19" s="683"/>
      <c r="AT19" s="685"/>
      <c r="AU19" s="606"/>
      <c r="AV19" s="606"/>
      <c r="AW19" s="739"/>
      <c r="AX19" s="770"/>
      <c r="AY19" s="739"/>
      <c r="AZ19" s="739"/>
      <c r="BA19" s="606"/>
      <c r="BB19" s="770"/>
      <c r="BC19" s="984"/>
      <c r="BD19" s="986"/>
      <c r="BE19" s="982"/>
      <c r="BF19" s="985"/>
      <c r="BG19" s="739"/>
      <c r="BH19" s="739"/>
      <c r="BI19" s="606"/>
      <c r="BJ19" s="607"/>
      <c r="BK19" s="739"/>
      <c r="BL19" s="739"/>
      <c r="BM19" s="606"/>
      <c r="BN19" s="607"/>
      <c r="BO19" s="187"/>
      <c r="CC19" s="927"/>
      <c r="CD19" s="927"/>
      <c r="CE19" s="927"/>
      <c r="CF19" s="927"/>
    </row>
    <row r="20" spans="1:226">
      <c r="B20" s="69" t="s">
        <v>175</v>
      </c>
      <c r="AL20" s="340"/>
      <c r="AN20" s="623"/>
      <c r="AO20" s="623"/>
      <c r="AP20" s="624"/>
      <c r="AQ20" s="623"/>
      <c r="AR20" s="623"/>
      <c r="AT20" s="624"/>
      <c r="AU20" s="623"/>
      <c r="AV20" s="623"/>
      <c r="AY20" s="623"/>
      <c r="AZ20" s="623"/>
      <c r="BC20" s="623"/>
      <c r="BD20" s="623"/>
      <c r="BF20" s="16"/>
      <c r="BG20" s="623"/>
      <c r="BH20" s="623"/>
      <c r="BJ20" s="16"/>
      <c r="BK20" s="623"/>
      <c r="BL20" s="623"/>
      <c r="BN20" s="16"/>
      <c r="CE20" s="925"/>
    </row>
    <row r="21" spans="1:226" s="178" customFormat="1">
      <c r="A21" s="84"/>
      <c r="B21" s="376" t="s">
        <v>326</v>
      </c>
      <c r="C21" s="361"/>
      <c r="D21" s="84"/>
      <c r="E21" s="84"/>
      <c r="F21" s="362"/>
      <c r="G21" s="84"/>
      <c r="H21" s="84"/>
      <c r="I21" s="84"/>
      <c r="J21" s="84"/>
      <c r="K21" s="361"/>
      <c r="L21" s="84"/>
      <c r="M21" s="84"/>
      <c r="N21" s="362"/>
      <c r="O21" s="84"/>
      <c r="P21" s="84"/>
      <c r="Q21" s="84"/>
      <c r="R21" s="84"/>
      <c r="S21" s="361"/>
      <c r="T21" s="84"/>
      <c r="U21" s="84"/>
      <c r="V21" s="362"/>
      <c r="W21" s="84"/>
      <c r="X21" s="84"/>
      <c r="Y21" s="84"/>
      <c r="Z21" s="84"/>
      <c r="AA21" s="361"/>
      <c r="AB21" s="84"/>
      <c r="AC21" s="84"/>
      <c r="AD21" s="362"/>
      <c r="AE21" s="175"/>
      <c r="AF21" s="175"/>
      <c r="AG21" s="175"/>
      <c r="AH21" s="175"/>
      <c r="AI21" s="363"/>
      <c r="AJ21" s="175"/>
      <c r="AK21" s="175"/>
      <c r="AL21" s="364"/>
      <c r="AM21" s="365"/>
      <c r="AN21" s="625"/>
      <c r="AO21" s="587"/>
      <c r="AP21" s="626"/>
      <c r="AQ21" s="587"/>
      <c r="AR21" s="587"/>
      <c r="AS21" s="88"/>
      <c r="AT21" s="626" t="s">
        <v>383</v>
      </c>
      <c r="AU21" s="587"/>
      <c r="AV21" s="601"/>
      <c r="AW21" s="740"/>
      <c r="AX21" s="771" t="s">
        <v>383</v>
      </c>
      <c r="AY21" s="880"/>
      <c r="AZ21" s="903"/>
      <c r="BA21" s="712"/>
      <c r="BB21" s="771" t="s">
        <v>383</v>
      </c>
      <c r="BC21" s="880"/>
      <c r="BD21" s="903" t="s">
        <v>383</v>
      </c>
      <c r="BE21" s="712" t="s">
        <v>383</v>
      </c>
      <c r="BF21" s="713" t="s">
        <v>383</v>
      </c>
      <c r="BG21" s="880" t="s">
        <v>383</v>
      </c>
      <c r="BH21" s="903" t="s">
        <v>383</v>
      </c>
      <c r="BI21" s="712" t="s">
        <v>383</v>
      </c>
      <c r="BJ21" s="713" t="s">
        <v>383</v>
      </c>
      <c r="BK21" s="880" t="s">
        <v>383</v>
      </c>
      <c r="BL21" s="903" t="s">
        <v>383</v>
      </c>
      <c r="BM21" s="712" t="s">
        <v>383</v>
      </c>
      <c r="BN21" s="713" t="s">
        <v>383</v>
      </c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88"/>
      <c r="CR21" s="88"/>
      <c r="CS21" s="88"/>
      <c r="CT21" s="88"/>
      <c r="CU21" s="88"/>
      <c r="CV21" s="88"/>
      <c r="CW21" s="88"/>
      <c r="CX21" s="88"/>
      <c r="CY21" s="88"/>
      <c r="CZ21" s="88"/>
      <c r="DA21" s="88"/>
      <c r="DB21" s="88"/>
      <c r="DC21" s="88"/>
      <c r="DD21" s="88"/>
      <c r="DE21" s="88"/>
      <c r="DF21" s="88"/>
      <c r="DG21" s="88"/>
      <c r="DH21" s="88"/>
      <c r="DI21" s="88"/>
      <c r="DJ21" s="88"/>
      <c r="DK21" s="88"/>
      <c r="DL21" s="88"/>
      <c r="DM21" s="88"/>
      <c r="DN21" s="88"/>
      <c r="DO21" s="88"/>
      <c r="DP21" s="88"/>
      <c r="DQ21" s="88"/>
      <c r="DR21" s="88"/>
      <c r="DS21" s="88"/>
      <c r="DT21" s="88"/>
      <c r="DU21" s="88"/>
      <c r="DV21" s="88"/>
      <c r="DW21" s="88"/>
      <c r="DX21" s="88"/>
      <c r="DY21" s="88"/>
      <c r="DZ21" s="88"/>
      <c r="EA21" s="88"/>
      <c r="EB21" s="88"/>
      <c r="EC21" s="88"/>
      <c r="ED21" s="88"/>
      <c r="EE21" s="88"/>
      <c r="EF21" s="88"/>
      <c r="EG21" s="88"/>
      <c r="EH21" s="88"/>
      <c r="EI21" s="88"/>
      <c r="EJ21" s="88"/>
      <c r="EK21" s="88"/>
      <c r="EL21" s="88"/>
      <c r="EM21" s="88"/>
      <c r="EN21" s="88"/>
      <c r="EO21" s="88"/>
      <c r="EP21" s="88"/>
      <c r="EQ21" s="88"/>
      <c r="ER21" s="88"/>
      <c r="ES21" s="88"/>
      <c r="ET21" s="88"/>
      <c r="EU21" s="88"/>
      <c r="EV21" s="88"/>
      <c r="EW21" s="88"/>
      <c r="EX21" s="88"/>
      <c r="EY21" s="88"/>
      <c r="EZ21" s="88"/>
      <c r="FA21" s="88"/>
      <c r="FB21" s="88"/>
      <c r="FC21" s="88"/>
      <c r="FD21" s="88"/>
      <c r="FE21" s="88"/>
      <c r="FF21" s="88"/>
      <c r="FG21" s="88"/>
      <c r="FH21" s="88"/>
      <c r="FI21" s="88"/>
      <c r="FJ21" s="88"/>
      <c r="FK21" s="88"/>
      <c r="FL21" s="88"/>
      <c r="FM21" s="88"/>
      <c r="FN21" s="88"/>
      <c r="FO21" s="88"/>
      <c r="FP21" s="88"/>
      <c r="FQ21" s="88"/>
      <c r="FR21" s="88"/>
      <c r="FS21" s="88"/>
      <c r="FT21" s="88"/>
      <c r="FU21" s="88"/>
      <c r="FV21" s="88"/>
      <c r="FW21" s="88"/>
      <c r="FX21" s="88"/>
      <c r="FY21" s="88"/>
      <c r="FZ21" s="88"/>
      <c r="GA21" s="88"/>
      <c r="GB21" s="88"/>
      <c r="GC21" s="88"/>
      <c r="GD21" s="88"/>
      <c r="GE21" s="88"/>
      <c r="GF21" s="88"/>
      <c r="GG21" s="88"/>
      <c r="GH21" s="88"/>
      <c r="GI21" s="88"/>
      <c r="GJ21" s="88"/>
      <c r="GK21" s="88"/>
      <c r="GL21" s="88"/>
      <c r="GM21" s="88"/>
      <c r="GN21" s="88"/>
      <c r="GO21" s="88"/>
      <c r="GP21" s="88"/>
      <c r="GQ21" s="88"/>
      <c r="GR21" s="88"/>
      <c r="GS21" s="88"/>
      <c r="GT21" s="88"/>
      <c r="GU21" s="88"/>
      <c r="GV21" s="88"/>
      <c r="GW21" s="88"/>
      <c r="GX21" s="88"/>
      <c r="GY21" s="88"/>
      <c r="GZ21" s="88"/>
      <c r="HA21" s="88"/>
      <c r="HB21" s="88"/>
      <c r="HC21" s="88"/>
      <c r="HD21" s="88"/>
      <c r="HE21" s="88"/>
      <c r="HF21" s="88"/>
      <c r="HG21" s="88"/>
      <c r="HH21" s="88"/>
      <c r="HI21" s="88"/>
      <c r="HJ21" s="88"/>
      <c r="HK21" s="88"/>
      <c r="HL21" s="88"/>
      <c r="HM21" s="88"/>
      <c r="HN21" s="88"/>
      <c r="HO21" s="88"/>
      <c r="HP21" s="88"/>
      <c r="HQ21" s="88"/>
      <c r="HR21" s="88"/>
    </row>
    <row r="22" spans="1:226" s="178" customFormat="1">
      <c r="A22" s="84"/>
      <c r="B22" s="84" t="s">
        <v>1</v>
      </c>
      <c r="C22" s="365"/>
      <c r="D22" s="88"/>
      <c r="E22" s="88"/>
      <c r="F22" s="366"/>
      <c r="G22" s="88">
        <f>G215</f>
        <v>623.23300000000006</v>
      </c>
      <c r="H22" s="88">
        <f t="shared" ref="H22:AK22" si="82">H215</f>
        <v>629.37400000000002</v>
      </c>
      <c r="I22" s="88">
        <f t="shared" si="82"/>
        <v>769.73</v>
      </c>
      <c r="J22" s="88">
        <f t="shared" si="82"/>
        <v>806.25099999999998</v>
      </c>
      <c r="K22" s="365">
        <f t="shared" si="82"/>
        <v>773.11799999999994</v>
      </c>
      <c r="L22" s="88">
        <f t="shared" si="82"/>
        <v>867.41300000000001</v>
      </c>
      <c r="M22" s="88">
        <f t="shared" si="82"/>
        <v>1040.2179999999998</v>
      </c>
      <c r="N22" s="366">
        <f t="shared" si="82"/>
        <v>1136.2429999999999</v>
      </c>
      <c r="O22" s="88">
        <f t="shared" si="82"/>
        <v>1100.009</v>
      </c>
      <c r="P22" s="88">
        <f t="shared" si="82"/>
        <v>849.923</v>
      </c>
      <c r="Q22" s="88">
        <f t="shared" si="82"/>
        <v>858.36900000000003</v>
      </c>
      <c r="R22" s="88">
        <f t="shared" si="82"/>
        <v>480.22399999999993</v>
      </c>
      <c r="S22" s="365">
        <f t="shared" si="82"/>
        <v>653.53200000000004</v>
      </c>
      <c r="T22" s="88">
        <f t="shared" si="82"/>
        <v>732.24299999999994</v>
      </c>
      <c r="U22" s="88">
        <f t="shared" si="82"/>
        <v>847.29600000000005</v>
      </c>
      <c r="V22" s="366">
        <f t="shared" si="82"/>
        <v>937.32800000000009</v>
      </c>
      <c r="W22" s="88">
        <f t="shared" si="82"/>
        <v>970.58299999999997</v>
      </c>
      <c r="X22" s="88">
        <f t="shared" si="82"/>
        <v>765.50400000000002</v>
      </c>
      <c r="Y22" s="88">
        <f t="shared" si="82"/>
        <v>791.97800000000007</v>
      </c>
      <c r="Z22" s="88">
        <f t="shared" si="82"/>
        <v>817.63099999999997</v>
      </c>
      <c r="AA22" s="365">
        <f t="shared" si="82"/>
        <v>817.53000000000009</v>
      </c>
      <c r="AB22" s="88">
        <f t="shared" si="82"/>
        <v>782.83299999999997</v>
      </c>
      <c r="AC22" s="88">
        <f t="shared" si="82"/>
        <v>809.09699999999998</v>
      </c>
      <c r="AD22" s="366">
        <f t="shared" si="82"/>
        <v>777.404</v>
      </c>
      <c r="AE22" s="88">
        <f t="shared" si="82"/>
        <v>726.36500000000001</v>
      </c>
      <c r="AF22" s="88">
        <f t="shared" si="82"/>
        <v>798.62400000000002</v>
      </c>
      <c r="AG22" s="88">
        <f t="shared" si="82"/>
        <v>894.20899999999995</v>
      </c>
      <c r="AH22" s="88">
        <f t="shared" si="82"/>
        <v>832.51400000000012</v>
      </c>
      <c r="AI22" s="365">
        <f t="shared" si="82"/>
        <v>785.63900000000001</v>
      </c>
      <c r="AJ22" s="88">
        <f t="shared" si="82"/>
        <v>858.61300000000006</v>
      </c>
      <c r="AK22" s="88">
        <f t="shared" si="82"/>
        <v>876.83299999999997</v>
      </c>
      <c r="AL22" s="366">
        <f t="shared" ref="AL22:AQ22" si="83">AL215</f>
        <v>947.05899999999997</v>
      </c>
      <c r="AM22" s="365">
        <f>AM215</f>
        <v>897.36300000000006</v>
      </c>
      <c r="AN22" s="88">
        <f t="shared" si="83"/>
        <v>877.98</v>
      </c>
      <c r="AO22" s="88">
        <f t="shared" si="83"/>
        <v>991.38199999999995</v>
      </c>
      <c r="AP22" s="366">
        <f t="shared" si="83"/>
        <v>1072.1809999999998</v>
      </c>
      <c r="AQ22" s="365">
        <f t="shared" si="83"/>
        <v>940</v>
      </c>
      <c r="AR22" s="88">
        <f>AR215</f>
        <v>959</v>
      </c>
      <c r="AS22" s="88">
        <f>AS215</f>
        <v>1110</v>
      </c>
      <c r="AT22" s="366">
        <f>AT215</f>
        <v>1178</v>
      </c>
      <c r="AU22" s="365">
        <f t="shared" ref="AU22" si="84">AU215</f>
        <v>1079</v>
      </c>
      <c r="AV22" s="88">
        <f>AV215</f>
        <v>1196</v>
      </c>
      <c r="AW22" s="88">
        <f>AW215</f>
        <v>1697</v>
      </c>
      <c r="AX22" s="772">
        <f>AX215</f>
        <v>1850</v>
      </c>
      <c r="AY22" s="365">
        <f t="shared" ref="AY22" si="85">AY215</f>
        <v>1562</v>
      </c>
      <c r="AZ22" s="740">
        <f>AZ215</f>
        <v>1897</v>
      </c>
      <c r="BA22" s="88">
        <f>BA215</f>
        <v>2217</v>
      </c>
      <c r="BB22" s="772">
        <f>BB215</f>
        <v>2461</v>
      </c>
      <c r="BC22" s="365">
        <f t="shared" ref="BC22:BD22" si="86">BC32</f>
        <v>2464.4992061885541</v>
      </c>
      <c r="BD22" s="740">
        <f t="shared" si="86"/>
        <v>2729.7929861175189</v>
      </c>
      <c r="BE22" s="88">
        <f t="shared" ref="BE22:BJ22" si="87">BE32</f>
        <v>2954.76751356866</v>
      </c>
      <c r="BF22" s="366">
        <f t="shared" si="87"/>
        <v>3126.3997760779021</v>
      </c>
      <c r="BG22" s="365">
        <f t="shared" si="87"/>
        <v>2818.063932639282</v>
      </c>
      <c r="BH22" s="740">
        <f t="shared" si="87"/>
        <v>3216.5611512199744</v>
      </c>
      <c r="BI22" s="88">
        <f t="shared" si="87"/>
        <v>3476.910839377274</v>
      </c>
      <c r="BJ22" s="366">
        <f t="shared" si="87"/>
        <v>3560.0236212377604</v>
      </c>
      <c r="BK22" s="365">
        <f t="shared" ref="BK22:BN22" si="88">BK32</f>
        <v>3252.1613402379444</v>
      </c>
      <c r="BL22" s="740">
        <f t="shared" si="88"/>
        <v>3712.9965604325453</v>
      </c>
      <c r="BM22" s="88">
        <f t="shared" si="88"/>
        <v>3983.4349937072766</v>
      </c>
      <c r="BN22" s="366">
        <f t="shared" si="88"/>
        <v>4096.6688263099322</v>
      </c>
      <c r="BO22" s="88"/>
      <c r="BP22" s="176">
        <f>SUM(C22:F22)</f>
        <v>0</v>
      </c>
      <c r="BQ22" s="176">
        <f>SUM(G22:J22)</f>
        <v>2828.5879999999997</v>
      </c>
      <c r="BR22" s="176">
        <f>SUM(K22:N22)</f>
        <v>3816.9919999999997</v>
      </c>
      <c r="BS22" s="176">
        <f>SUM(O22:R22)</f>
        <v>3288.5249999999996</v>
      </c>
      <c r="BT22" s="176">
        <f>SUM(S22:V22)</f>
        <v>3170.3989999999999</v>
      </c>
      <c r="BU22" s="176">
        <f>SUM(W22:Z22)</f>
        <v>3345.6959999999999</v>
      </c>
      <c r="BV22" s="176">
        <f>SUM(AA22:AD22)</f>
        <v>3186.864</v>
      </c>
      <c r="BW22" s="176">
        <f>SUM(AE22:AH22)</f>
        <v>3251.712</v>
      </c>
      <c r="BX22" s="176">
        <f>SUM(AI22:AL22)</f>
        <v>3468.1440000000002</v>
      </c>
      <c r="BY22" s="88">
        <f>SUM(AM22:AP22)</f>
        <v>3838.9059999999999</v>
      </c>
      <c r="BZ22" s="88">
        <f>SUM(AQ22:AT22)</f>
        <v>4187</v>
      </c>
      <c r="CA22" s="88">
        <f>SUM(AU22:AX22)</f>
        <v>5822</v>
      </c>
      <c r="CB22" s="88">
        <f>SUM(AY22:BB22)</f>
        <v>8137</v>
      </c>
      <c r="CC22" s="88">
        <f>SUM(BC22:BF22)</f>
        <v>11275.459481952636</v>
      </c>
      <c r="CD22" s="88">
        <f>SUM(BG22:BJ22)</f>
        <v>13071.55954447429</v>
      </c>
      <c r="CE22" s="88">
        <f>SUM(BK22:BN22)</f>
        <v>15045.261720687697</v>
      </c>
      <c r="CF22" s="88"/>
      <c r="CG22" s="88"/>
      <c r="CH22" s="88"/>
      <c r="CI22" s="88"/>
      <c r="CJ22" s="88"/>
      <c r="CK22" s="88"/>
      <c r="CL22" s="88"/>
      <c r="CM22" s="88"/>
      <c r="CN22" s="88"/>
      <c r="CO22" s="88"/>
      <c r="CP22" s="88"/>
      <c r="CQ22" s="88"/>
      <c r="CR22" s="88"/>
      <c r="CS22" s="88"/>
      <c r="CT22" s="88"/>
      <c r="CU22" s="88"/>
      <c r="CV22" s="88"/>
      <c r="CW22" s="88"/>
      <c r="CX22" s="88"/>
      <c r="CY22" s="88"/>
      <c r="CZ22" s="88"/>
      <c r="DA22" s="88"/>
      <c r="DB22" s="88"/>
      <c r="DC22" s="88"/>
      <c r="DD22" s="88"/>
      <c r="DE22" s="88"/>
      <c r="DF22" s="88"/>
      <c r="DG22" s="88"/>
      <c r="DH22" s="88"/>
      <c r="DI22" s="88"/>
      <c r="DJ22" s="88"/>
      <c r="DK22" s="88"/>
      <c r="DL22" s="88"/>
      <c r="DM22" s="88"/>
      <c r="DN22" s="88"/>
      <c r="DO22" s="88"/>
      <c r="DP22" s="88"/>
      <c r="DQ22" s="88"/>
      <c r="DR22" s="88"/>
      <c r="DS22" s="88"/>
      <c r="DT22" s="88"/>
      <c r="DU22" s="88"/>
      <c r="DV22" s="88"/>
      <c r="DW22" s="88"/>
      <c r="DX22" s="88"/>
      <c r="DY22" s="88"/>
      <c r="DZ22" s="88"/>
      <c r="EA22" s="88"/>
      <c r="EB22" s="88"/>
      <c r="EC22" s="88"/>
      <c r="ED22" s="88"/>
      <c r="EE22" s="88"/>
      <c r="EF22" s="88"/>
      <c r="EG22" s="88"/>
      <c r="EH22" s="88"/>
      <c r="EI22" s="88"/>
      <c r="EJ22" s="88"/>
      <c r="EK22" s="88"/>
      <c r="EL22" s="88"/>
      <c r="EM22" s="88"/>
      <c r="EN22" s="88"/>
      <c r="EO22" s="88"/>
      <c r="EP22" s="88"/>
      <c r="EQ22" s="88"/>
      <c r="ER22" s="88"/>
      <c r="ES22" s="88"/>
      <c r="ET22" s="88"/>
      <c r="EU22" s="88"/>
      <c r="EV22" s="88"/>
      <c r="EW22" s="88"/>
      <c r="EX22" s="88"/>
      <c r="EY22" s="88"/>
      <c r="EZ22" s="88"/>
      <c r="FA22" s="88"/>
      <c r="FB22" s="88"/>
      <c r="FC22" s="88"/>
      <c r="FD22" s="88"/>
      <c r="FE22" s="88"/>
      <c r="FF22" s="88"/>
      <c r="FG22" s="88"/>
      <c r="FH22" s="88"/>
      <c r="FI22" s="88"/>
      <c r="FJ22" s="88"/>
      <c r="FK22" s="88"/>
      <c r="FL22" s="88"/>
      <c r="FM22" s="88"/>
      <c r="FN22" s="88"/>
      <c r="FO22" s="88"/>
      <c r="FP22" s="88"/>
      <c r="FQ22" s="88"/>
      <c r="FR22" s="88"/>
      <c r="FS22" s="88"/>
      <c r="FT22" s="88"/>
      <c r="FU22" s="88"/>
      <c r="FV22" s="88"/>
      <c r="FW22" s="88"/>
      <c r="FX22" s="88"/>
      <c r="FY22" s="88"/>
      <c r="FZ22" s="88"/>
      <c r="GA22" s="88"/>
      <c r="GB22" s="88"/>
      <c r="GC22" s="88"/>
      <c r="GD22" s="88"/>
      <c r="GE22" s="88"/>
      <c r="GF22" s="88"/>
      <c r="GG22" s="88"/>
      <c r="GH22" s="88"/>
      <c r="GI22" s="88"/>
      <c r="GJ22" s="88"/>
      <c r="GK22" s="88"/>
      <c r="GL22" s="88"/>
      <c r="GM22" s="88"/>
      <c r="GN22" s="88"/>
      <c r="GO22" s="88"/>
      <c r="GP22" s="88"/>
      <c r="GQ22" s="88"/>
      <c r="GR22" s="88"/>
      <c r="GS22" s="88"/>
      <c r="GT22" s="88"/>
      <c r="GU22" s="88"/>
      <c r="GV22" s="88"/>
      <c r="GW22" s="88"/>
      <c r="GX22" s="88"/>
      <c r="GY22" s="88"/>
      <c r="GZ22" s="88"/>
      <c r="HA22" s="88"/>
      <c r="HB22" s="88"/>
      <c r="HC22" s="88"/>
      <c r="HD22" s="88"/>
      <c r="HE22" s="88"/>
      <c r="HF22" s="88"/>
      <c r="HG22" s="88"/>
      <c r="HH22" s="88"/>
      <c r="HI22" s="88"/>
      <c r="HJ22" s="88"/>
      <c r="HK22" s="88"/>
      <c r="HL22" s="88"/>
      <c r="HM22" s="88"/>
      <c r="HN22" s="88"/>
      <c r="HO22" s="88"/>
      <c r="HP22" s="88"/>
      <c r="HQ22" s="88"/>
      <c r="HR22" s="88"/>
    </row>
    <row r="23" spans="1:226" s="84" customFormat="1">
      <c r="B23" s="189" t="s">
        <v>114</v>
      </c>
      <c r="C23" s="361"/>
      <c r="F23" s="362"/>
      <c r="K23" s="361"/>
      <c r="N23" s="362"/>
      <c r="S23" s="361"/>
      <c r="V23" s="362"/>
      <c r="AA23" s="361"/>
      <c r="AD23" s="362"/>
      <c r="AF23" s="127"/>
      <c r="AG23" s="127"/>
      <c r="AH23" s="127"/>
      <c r="AI23" s="367">
        <f t="shared" ref="AI23:AP23" si="89">AI31/AE31-1</f>
        <v>8.1603601495116029E-2</v>
      </c>
      <c r="AJ23" s="127">
        <f t="shared" si="89"/>
        <v>7.5115448571543064E-2</v>
      </c>
      <c r="AK23" s="127">
        <f t="shared" si="89"/>
        <v>-1.9431698853400015E-2</v>
      </c>
      <c r="AL23" s="368">
        <f t="shared" si="89"/>
        <v>0.13758927777791108</v>
      </c>
      <c r="AM23" s="367">
        <f t="shared" si="89"/>
        <v>0.14220780791177634</v>
      </c>
      <c r="AN23" s="127">
        <f t="shared" si="89"/>
        <v>2.2556145783956261E-2</v>
      </c>
      <c r="AO23" s="127">
        <f t="shared" si="89"/>
        <v>0.13063947182644808</v>
      </c>
      <c r="AP23" s="368">
        <f t="shared" si="89"/>
        <v>0.13211637289757006</v>
      </c>
      <c r="AQ23" s="127">
        <f>AQ32/AM31-1</f>
        <v>4.7510343516910858E-2</v>
      </c>
      <c r="AR23" s="127">
        <f>AR32/AN31-1</f>
        <v>9.2283829959666219E-2</v>
      </c>
      <c r="AS23" s="127">
        <f>AS32/AO32-1</f>
        <v>0.11964446333568346</v>
      </c>
      <c r="AT23" s="368">
        <f>AT32/AP32-1</f>
        <v>9.8695351730741621E-2</v>
      </c>
      <c r="AU23" s="127">
        <f t="shared" ref="AU23" si="90">AU32/AQ32-1</f>
        <v>0.14788054816670027</v>
      </c>
      <c r="AV23" s="127">
        <f>AV32/AR31-1</f>
        <v>0.24905053222689322</v>
      </c>
      <c r="AW23" s="127">
        <f>AW32/AS32-1</f>
        <v>0.52880873707813225</v>
      </c>
      <c r="AX23" s="368">
        <f>AX32/AT32-1</f>
        <v>0.57044139214231415</v>
      </c>
      <c r="AY23" s="127">
        <f t="shared" ref="AY23" si="91">AY32/AU32-1</f>
        <v>0.44782784810012055</v>
      </c>
      <c r="AZ23" s="127">
        <f>AZ32/AV31-1</f>
        <v>0.58583319901193587</v>
      </c>
      <c r="BA23" s="127">
        <f>BA32/AW31-1</f>
        <v>0.30643127606469545</v>
      </c>
      <c r="BB23" s="368">
        <f>BB32/AX32-1</f>
        <v>0.330449398799189</v>
      </c>
      <c r="BC23" s="127">
        <f t="shared" ref="BC23" si="92">BC32/AY32-1</f>
        <v>0.577569791834881</v>
      </c>
      <c r="BD23" s="127">
        <f t="shared" ref="BD23" si="93">BD32/AZ32-1</f>
        <v>0.43926587521547567</v>
      </c>
      <c r="BE23" s="127">
        <f t="shared" ref="BE23" si="94">BE32/BA32-1</f>
        <v>0.33276906664670625</v>
      </c>
      <c r="BF23" s="368">
        <f t="shared" ref="BF23" si="95">BF32/BB32-1</f>
        <v>0.27022022025459091</v>
      </c>
      <c r="BG23" s="127">
        <f t="shared" ref="BG23" si="96">BG32/BC32-1</f>
        <v>0.14346311232841891</v>
      </c>
      <c r="BH23" s="127">
        <f t="shared" ref="BH23" si="97">BH32/BD32-1</f>
        <v>0.178316878817528</v>
      </c>
      <c r="BI23" s="127">
        <f t="shared" ref="BI23" si="98">BI32/BE32-1</f>
        <v>0.17671215194118206</v>
      </c>
      <c r="BJ23" s="368">
        <f t="shared" ref="BJ23" si="99">BJ32/BF32-1</f>
        <v>0.13869750390778357</v>
      </c>
      <c r="BK23" s="127">
        <f t="shared" ref="BK23" si="100">BK32/BG32-1</f>
        <v>0.15404100757646932</v>
      </c>
      <c r="BL23" s="127">
        <f t="shared" ref="BL23" si="101">BL32/BH32-1</f>
        <v>0.15433731425385244</v>
      </c>
      <c r="BM23" s="127">
        <f t="shared" ref="BM23" si="102">BM32/BI32-1</f>
        <v>0.14568223855309514</v>
      </c>
      <c r="BN23" s="368">
        <f t="shared" ref="BN23" si="103">BN32/BJ32-1</f>
        <v>0.15074203493222593</v>
      </c>
      <c r="BV23" s="127">
        <f>BV31/BU31-1</f>
        <v>-4.7473530171300626E-2</v>
      </c>
      <c r="BW23" s="127">
        <f>BW31/BV31-1</f>
        <v>2.0348530718599767E-2</v>
      </c>
      <c r="BX23" s="127">
        <f>BX31/BW31-1</f>
        <v>6.6559400094473364E-2</v>
      </c>
      <c r="BY23" s="127">
        <f>BY31/BX31-1</f>
        <v>0.10690501893808313</v>
      </c>
      <c r="BZ23" s="127">
        <f>BZ32/BY31-1</f>
        <v>9.0674277953674443E-2</v>
      </c>
      <c r="CA23" s="127">
        <f>CA32/BZ32-1</f>
        <v>0.39092436094418281</v>
      </c>
      <c r="CB23" s="127">
        <f>CB32/CA32-1</f>
        <v>0.39723126911909579</v>
      </c>
      <c r="CC23" s="127">
        <f>CC32/CB32-1</f>
        <v>0.38567024017630236</v>
      </c>
      <c r="CD23" s="127">
        <f>CD32/CC32-1</f>
        <v>0.15929284880997274</v>
      </c>
      <c r="CE23" s="127">
        <f>CE32/CD32-1</f>
        <v>0.15099209619924392</v>
      </c>
    </row>
    <row r="24" spans="1:226" s="84" customFormat="1">
      <c r="B24" s="189" t="s">
        <v>115</v>
      </c>
      <c r="C24" s="361"/>
      <c r="F24" s="362"/>
      <c r="K24" s="361"/>
      <c r="N24" s="362"/>
      <c r="S24" s="361"/>
      <c r="V24" s="362"/>
      <c r="AA24" s="361"/>
      <c r="AD24" s="362"/>
      <c r="AF24" s="127">
        <f t="shared" ref="AF24:AM24" si="104">AF31/AE31-1</f>
        <v>9.9480288835502861E-2</v>
      </c>
      <c r="AG24" s="127">
        <f t="shared" si="104"/>
        <v>0.11968711183235148</v>
      </c>
      <c r="AH24" s="127">
        <f t="shared" si="104"/>
        <v>-6.8993937658869298E-2</v>
      </c>
      <c r="AI24" s="367">
        <f t="shared" si="104"/>
        <v>-5.6305359429391078E-2</v>
      </c>
      <c r="AJ24" s="127">
        <f t="shared" si="104"/>
        <v>9.2884900062242481E-2</v>
      </c>
      <c r="AK24" s="127">
        <f t="shared" si="104"/>
        <v>2.1220270366276717E-2</v>
      </c>
      <c r="AL24" s="368">
        <f t="shared" si="104"/>
        <v>8.0090507542485367E-2</v>
      </c>
      <c r="AM24" s="367">
        <f t="shared" si="104"/>
        <v>-5.2474027489311514E-2</v>
      </c>
      <c r="AN24" s="127">
        <f>AN31/AM31-1</f>
        <v>-2.1599954533449761E-2</v>
      </c>
      <c r="AO24" s="127">
        <f>AO31/AN31-1</f>
        <v>0.12916239549875841</v>
      </c>
      <c r="AP24" s="368">
        <f>AP31/AO31-1</f>
        <v>8.1501378883215514E-2</v>
      </c>
      <c r="AQ24" s="127">
        <f>AQ32/AP32-1</f>
        <v>-0.12328513153155485</v>
      </c>
      <c r="AR24" s="127">
        <f>AR32/AQ32-1</f>
        <v>2.0219566812957446E-2</v>
      </c>
      <c r="AS24" s="127">
        <f>AS32/AR32-1</f>
        <v>0.15744680059369398</v>
      </c>
      <c r="AT24" s="368">
        <f>AT32/AS32-1</f>
        <v>6.1265943591887195E-2</v>
      </c>
      <c r="AU24" s="127">
        <f t="shared" ref="AU24" si="105">AU32/AT32-1</f>
        <v>-8.403731551411342E-2</v>
      </c>
      <c r="AV24" s="127">
        <f>AV32/AU32-1</f>
        <v>0.1101340938262092</v>
      </c>
      <c r="AW24" s="127">
        <f>AW32/AV32-1</f>
        <v>0.41669286395635807</v>
      </c>
      <c r="AX24" s="368">
        <f>AX32/AW32-1</f>
        <v>9.0166431853988538E-2</v>
      </c>
      <c r="AY24" s="127">
        <f t="shared" ref="AY24" si="106">AY32/AX32-1</f>
        <v>-0.15555187920121127</v>
      </c>
      <c r="AZ24" s="127">
        <f>AZ32/AY32-1</f>
        <v>0.21408357603366279</v>
      </c>
      <c r="BA24" s="127">
        <f>BA32/AZ32-1</f>
        <v>0.16890637205365744</v>
      </c>
      <c r="BB24" s="368">
        <f>BB32/BA32-1</f>
        <v>0.1101894037097193</v>
      </c>
      <c r="BC24" s="127">
        <f t="shared" ref="BC24" si="107">BC32/BB32-1</f>
        <v>1.2976422449970659E-3</v>
      </c>
      <c r="BD24" s="127">
        <f t="shared" ref="BD24" si="108">BD32/BC32-1</f>
        <v>0.10764612107108462</v>
      </c>
      <c r="BE24" s="127">
        <f t="shared" ref="BE24" si="109">BE32/BD32-1</f>
        <v>8.2414501244328253E-2</v>
      </c>
      <c r="BF24" s="368">
        <f t="shared" ref="BF24" si="110">BF32/BE32-1</f>
        <v>5.8086553923814677E-2</v>
      </c>
      <c r="BG24" s="127">
        <f t="shared" ref="BG24" si="111">BG32/BF32-1</f>
        <v>-9.8623293731625816E-2</v>
      </c>
      <c r="BH24" s="127">
        <f t="shared" ref="BH24" si="112">BH32/BG32-1</f>
        <v>0.14140815400432616</v>
      </c>
      <c r="BI24" s="127">
        <f t="shared" ref="BI24" si="113">BI32/BH32-1</f>
        <v>8.0940381953737983E-2</v>
      </c>
      <c r="BJ24" s="368">
        <f t="shared" ref="BJ24" si="114">BJ32/BI32-1</f>
        <v>2.3904202811071196E-2</v>
      </c>
      <c r="BK24" s="127">
        <f t="shared" ref="BK24" si="115">BK32/BJ32-1</f>
        <v>-8.647759502583785E-2</v>
      </c>
      <c r="BL24" s="127">
        <f t="shared" ref="BL24" si="116">BL32/BK32-1</f>
        <v>0.14170121712377393</v>
      </c>
      <c r="BM24" s="127">
        <f t="shared" ref="BM24" si="117">BM32/BL32-1</f>
        <v>7.2835627201126796E-2</v>
      </c>
      <c r="BN24" s="368">
        <f t="shared" ref="BN24" si="118">BN32/BM32-1</f>
        <v>2.8426178105462663E-2</v>
      </c>
      <c r="CC24" s="821"/>
      <c r="CD24" s="821"/>
      <c r="CE24" s="821"/>
    </row>
    <row r="25" spans="1:226" s="178" customFormat="1">
      <c r="A25" s="84"/>
      <c r="B25" s="189" t="s">
        <v>173</v>
      </c>
      <c r="C25" s="370"/>
      <c r="D25" s="371"/>
      <c r="E25" s="371"/>
      <c r="F25" s="372"/>
      <c r="G25" s="371">
        <f>G22/G$6</f>
        <v>0.91409005774361374</v>
      </c>
      <c r="H25" s="371">
        <f t="shared" ref="H25:AO25" si="119">H22/H$6</f>
        <v>0.91542779181375356</v>
      </c>
      <c r="I25" s="371">
        <f t="shared" si="119"/>
        <v>0.9380407813086481</v>
      </c>
      <c r="J25" s="371">
        <f t="shared" si="119"/>
        <v>0.91736917620634606</v>
      </c>
      <c r="K25" s="370">
        <f t="shared" si="119"/>
        <v>0.91571279670251571</v>
      </c>
      <c r="L25" s="371">
        <f t="shared" si="119"/>
        <v>0.92746347779691696</v>
      </c>
      <c r="M25" s="371">
        <f t="shared" si="119"/>
        <v>0.93243169352373645</v>
      </c>
      <c r="N25" s="372">
        <f t="shared" si="119"/>
        <v>0.9447199288285818</v>
      </c>
      <c r="O25" s="371">
        <f t="shared" si="119"/>
        <v>0.9537198236846578</v>
      </c>
      <c r="P25" s="371">
        <f t="shared" si="119"/>
        <v>0.95210692345263004</v>
      </c>
      <c r="Q25" s="371">
        <f t="shared" si="119"/>
        <v>0.95623485637577921</v>
      </c>
      <c r="R25" s="371">
        <f t="shared" si="119"/>
        <v>0.99809618821964519</v>
      </c>
      <c r="S25" s="370">
        <f t="shared" si="119"/>
        <v>0.9838926518033636</v>
      </c>
      <c r="T25" s="371">
        <f t="shared" si="119"/>
        <v>0.94298021944058097</v>
      </c>
      <c r="U25" s="371">
        <f t="shared" si="119"/>
        <v>0.93809828544097362</v>
      </c>
      <c r="V25" s="372">
        <f t="shared" si="119"/>
        <v>0.95403506200584642</v>
      </c>
      <c r="W25" s="371">
        <f t="shared" si="119"/>
        <v>0.9688265175237295</v>
      </c>
      <c r="X25" s="371">
        <f t="shared" si="119"/>
        <v>0.9436593327481978</v>
      </c>
      <c r="Y25" s="371">
        <f t="shared" si="119"/>
        <v>0.93846040819421939</v>
      </c>
      <c r="Z25" s="371">
        <f t="shared" si="119"/>
        <v>0.92244262028755297</v>
      </c>
      <c r="AA25" s="370">
        <f t="shared" si="119"/>
        <v>0.84978883392461235</v>
      </c>
      <c r="AB25" s="371">
        <f t="shared" si="119"/>
        <v>0.77011304287090121</v>
      </c>
      <c r="AC25" s="371">
        <f t="shared" si="119"/>
        <v>0.75887467407004439</v>
      </c>
      <c r="AD25" s="372">
        <f t="shared" si="119"/>
        <v>0.81557794111167303</v>
      </c>
      <c r="AE25" s="371">
        <f t="shared" si="119"/>
        <v>0.78536389163099529</v>
      </c>
      <c r="AF25" s="371">
        <f t="shared" si="119"/>
        <v>0.76476773248297858</v>
      </c>
      <c r="AG25" s="371">
        <f t="shared" si="119"/>
        <v>0.74263065666758021</v>
      </c>
      <c r="AH25" s="371">
        <f t="shared" si="119"/>
        <v>0.75211174973032846</v>
      </c>
      <c r="AI25" s="370">
        <f t="shared" si="119"/>
        <v>0.82288353152013272</v>
      </c>
      <c r="AJ25" s="371">
        <f t="shared" si="119"/>
        <v>0.87861196556007848</v>
      </c>
      <c r="AK25" s="371">
        <f t="shared" si="119"/>
        <v>0.83193591450206683</v>
      </c>
      <c r="AL25" s="372">
        <f>AL22/AL$6</f>
        <v>0.82769105187997372</v>
      </c>
      <c r="AM25" s="370">
        <f t="shared" si="119"/>
        <v>0.81372286760725332</v>
      </c>
      <c r="AN25" s="371">
        <f t="shared" si="119"/>
        <v>0.79611977976540227</v>
      </c>
      <c r="AO25" s="371">
        <f t="shared" si="119"/>
        <v>0.80903914044763181</v>
      </c>
      <c r="AP25" s="372">
        <f>AP22/AP$6</f>
        <v>0.85739224031078409</v>
      </c>
      <c r="AQ25" s="371">
        <f>AQ22/AQ$6</f>
        <v>0.81668114682884452</v>
      </c>
      <c r="AR25" s="371">
        <f>AR22/AR$6</f>
        <v>0.83174327840416307</v>
      </c>
      <c r="AS25" s="371">
        <f>AS22/AS$6</f>
        <v>0.85057471264367812</v>
      </c>
      <c r="AT25" s="372">
        <f>AT22/AT$6</f>
        <v>0.8408279800142755</v>
      </c>
      <c r="AU25" s="371">
        <f t="shared" ref="AU25" si="120">AU22/AU$6</f>
        <v>0.82681992337164756</v>
      </c>
      <c r="AV25" s="371">
        <f>AV22/AV$6</f>
        <v>0.83753501400560226</v>
      </c>
      <c r="AW25" s="371">
        <f>AW22/AW$6</f>
        <v>0.84680638722554891</v>
      </c>
      <c r="AX25" s="773">
        <f>AX22/AX$6</f>
        <v>0.85135757017947533</v>
      </c>
      <c r="AY25" s="371">
        <f t="shared" ref="AY25" si="121">AY22/AY$6</f>
        <v>0.80640165203923597</v>
      </c>
      <c r="AZ25" s="904">
        <f>AZ22/AZ$6</f>
        <v>0.8506726457399103</v>
      </c>
      <c r="BA25" s="371">
        <f>BA22/BA$6</f>
        <v>0.84104704097116845</v>
      </c>
      <c r="BB25" s="773">
        <f>BB22/BB$6</f>
        <v>0.8454139470972174</v>
      </c>
      <c r="BC25" s="371">
        <f t="shared" ref="BC25:BD25" si="122">BC22/BC$6</f>
        <v>0.84357346425699997</v>
      </c>
      <c r="BD25" s="904">
        <f t="shared" si="122"/>
        <v>0.86446229949790898</v>
      </c>
      <c r="BE25" s="371">
        <f t="shared" ref="BE25:BJ25" si="123">BE22/BE$6</f>
        <v>0.86681403228796183</v>
      </c>
      <c r="BF25" s="372">
        <f t="shared" si="123"/>
        <v>0.88306405316220127</v>
      </c>
      <c r="BG25" s="371">
        <f t="shared" si="123"/>
        <v>0.85678253247757419</v>
      </c>
      <c r="BH25" s="904">
        <f t="shared" si="123"/>
        <v>0.87334619406874514</v>
      </c>
      <c r="BI25" s="371">
        <f t="shared" si="123"/>
        <v>0.87283862186520866</v>
      </c>
      <c r="BJ25" s="372">
        <f t="shared" si="123"/>
        <v>0.88133275707046632</v>
      </c>
      <c r="BK25" s="371">
        <f t="shared" ref="BK25:BN25" si="124">BK22/BK$6</f>
        <v>0.86064438529545395</v>
      </c>
      <c r="BL25" s="904">
        <f t="shared" si="124"/>
        <v>0.87632237720322681</v>
      </c>
      <c r="BM25" s="371">
        <f t="shared" si="124"/>
        <v>0.87554890413198672</v>
      </c>
      <c r="BN25" s="372">
        <f t="shared" si="124"/>
        <v>0.8833067054267647</v>
      </c>
      <c r="BO25" s="88"/>
      <c r="BP25" s="177"/>
      <c r="BQ25" s="177">
        <f t="shared" ref="BQ25:BW25" si="125">BQ22/BQ$238</f>
        <v>0.92173316288507667</v>
      </c>
      <c r="BR25" s="177">
        <f t="shared" si="125"/>
        <v>0.93145983513345987</v>
      </c>
      <c r="BS25" s="177">
        <f t="shared" si="125"/>
        <v>0.96019281377715104</v>
      </c>
      <c r="BT25" s="177">
        <f t="shared" si="125"/>
        <v>0.95308925895362773</v>
      </c>
      <c r="BU25" s="177">
        <f t="shared" si="125"/>
        <v>0.94422925011620484</v>
      </c>
      <c r="BV25" s="177">
        <f t="shared" si="125"/>
        <v>0.79712851400599816</v>
      </c>
      <c r="BW25" s="177">
        <f t="shared" si="125"/>
        <v>0.75971757123976003</v>
      </c>
      <c r="BX25" s="177">
        <f>BX22/BX$6</f>
        <v>0.83971137209630031</v>
      </c>
      <c r="BY25" s="177">
        <f t="shared" ref="BY25:CA25" si="126">BY22/BY$6</f>
        <v>0.82001500798781257</v>
      </c>
      <c r="BZ25" s="177">
        <f t="shared" si="126"/>
        <v>0.83572854291417165</v>
      </c>
      <c r="CA25" s="177">
        <f t="shared" si="126"/>
        <v>0.84254703328509406</v>
      </c>
      <c r="CB25" s="177">
        <f t="shared" ref="CB25:CC25" si="127">CB22/CB$6</f>
        <v>0.83765698991146798</v>
      </c>
      <c r="CC25" s="177">
        <f t="shared" si="127"/>
        <v>0.86544840528319544</v>
      </c>
      <c r="CD25" s="177">
        <f t="shared" ref="CD25:CE25" si="128">CD22/CD$6</f>
        <v>0.87172957259127926</v>
      </c>
      <c r="CE25" s="177">
        <f t="shared" si="128"/>
        <v>0.87455702922534295</v>
      </c>
      <c r="CF25" s="88"/>
      <c r="CG25" s="88"/>
      <c r="CH25" s="88"/>
      <c r="CI25" s="88"/>
      <c r="CJ25" s="88"/>
      <c r="CK25" s="88"/>
      <c r="CL25" s="88"/>
      <c r="CM25" s="88"/>
      <c r="CN25" s="88"/>
      <c r="CO25" s="88"/>
      <c r="CP25" s="88"/>
      <c r="CQ25" s="88"/>
      <c r="CR25" s="88"/>
      <c r="CS25" s="88"/>
      <c r="CT25" s="88"/>
      <c r="CU25" s="88"/>
      <c r="CV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  <c r="GK25" s="88"/>
      <c r="GL25" s="88"/>
      <c r="GM25" s="88"/>
      <c r="GN25" s="88"/>
      <c r="GO25" s="88"/>
      <c r="GP25" s="88"/>
      <c r="GQ25" s="88"/>
      <c r="GR25" s="88"/>
      <c r="GS25" s="88"/>
      <c r="GT25" s="88"/>
      <c r="GU25" s="88"/>
      <c r="GV25" s="88"/>
      <c r="GW25" s="88"/>
      <c r="GX25" s="88"/>
      <c r="GY25" s="88"/>
      <c r="GZ25" s="88"/>
      <c r="HA25" s="88"/>
      <c r="HB25" s="88"/>
      <c r="HC25" s="88"/>
      <c r="HD25" s="88"/>
      <c r="HE25" s="88"/>
      <c r="HF25" s="88"/>
      <c r="HG25" s="88"/>
      <c r="HH25" s="88"/>
      <c r="HI25" s="88"/>
      <c r="HJ25" s="88"/>
      <c r="HK25" s="88"/>
      <c r="HL25" s="88"/>
      <c r="HM25" s="88"/>
      <c r="HN25" s="88"/>
      <c r="HO25" s="88"/>
      <c r="HP25" s="88"/>
      <c r="HQ25" s="88"/>
      <c r="HR25" s="88"/>
    </row>
    <row r="26" spans="1:226" s="178" customFormat="1">
      <c r="A26" s="84"/>
      <c r="B26" s="189"/>
      <c r="C26" s="370"/>
      <c r="D26" s="371"/>
      <c r="E26" s="371"/>
      <c r="F26" s="372"/>
      <c r="G26" s="371"/>
      <c r="H26" s="371"/>
      <c r="I26" s="371"/>
      <c r="J26" s="371"/>
      <c r="K26" s="370"/>
      <c r="L26" s="371"/>
      <c r="M26" s="371"/>
      <c r="N26" s="372"/>
      <c r="O26" s="371"/>
      <c r="P26" s="371"/>
      <c r="Q26" s="371"/>
      <c r="R26" s="371"/>
      <c r="S26" s="370"/>
      <c r="T26" s="371"/>
      <c r="U26" s="371"/>
      <c r="V26" s="372"/>
      <c r="W26" s="371"/>
      <c r="X26" s="371"/>
      <c r="Y26" s="371"/>
      <c r="Z26" s="371"/>
      <c r="AA26" s="370"/>
      <c r="AB26" s="371"/>
      <c r="AC26" s="371"/>
      <c r="AD26" s="372"/>
      <c r="AE26" s="371"/>
      <c r="AF26" s="371"/>
      <c r="AG26" s="371"/>
      <c r="AH26" s="371"/>
      <c r="AI26" s="370"/>
      <c r="AJ26" s="371"/>
      <c r="AK26" s="371"/>
      <c r="AL26" s="372"/>
      <c r="AM26" s="370"/>
      <c r="AN26" s="371"/>
      <c r="AO26" s="371"/>
      <c r="AP26" s="372"/>
      <c r="AQ26" s="371"/>
      <c r="AR26" s="371"/>
      <c r="AS26" s="371"/>
      <c r="AT26" s="372"/>
      <c r="AU26" s="371"/>
      <c r="AV26" s="371"/>
      <c r="AW26" s="371"/>
      <c r="AX26" s="773"/>
      <c r="AY26" s="371"/>
      <c r="AZ26" s="904"/>
      <c r="BA26" s="371"/>
      <c r="BB26" s="773"/>
      <c r="BC26" s="371"/>
      <c r="BD26" s="904"/>
      <c r="BE26" s="371"/>
      <c r="BF26" s="372"/>
      <c r="BG26" s="371"/>
      <c r="BH26" s="904"/>
      <c r="BI26" s="371"/>
      <c r="BJ26" s="372"/>
      <c r="BK26" s="371"/>
      <c r="BL26" s="904"/>
      <c r="BM26" s="371"/>
      <c r="BN26" s="372"/>
      <c r="BO26" s="88"/>
      <c r="BP26" s="177"/>
      <c r="BQ26" s="177"/>
      <c r="BR26" s="177"/>
      <c r="BS26" s="177"/>
      <c r="BT26" s="177"/>
      <c r="BU26" s="177"/>
      <c r="BV26" s="177"/>
      <c r="BW26" s="177"/>
      <c r="BX26" s="177"/>
      <c r="BY26" s="177"/>
      <c r="BZ26" s="88"/>
      <c r="CA26" s="88"/>
      <c r="CB26" s="88"/>
      <c r="CC26" s="88"/>
      <c r="CD26" s="88"/>
      <c r="CE26" s="88"/>
      <c r="CF26" s="88"/>
      <c r="CG26" s="88"/>
      <c r="CH26" s="88"/>
      <c r="CI26" s="88"/>
      <c r="CJ26" s="88"/>
      <c r="CK26" s="88"/>
      <c r="CL26" s="88"/>
      <c r="CM26" s="88"/>
      <c r="CN26" s="88"/>
      <c r="CO26" s="88"/>
      <c r="CP26" s="88"/>
      <c r="CQ26" s="88"/>
      <c r="CR26" s="88"/>
      <c r="CS26" s="88"/>
      <c r="CT26" s="88"/>
      <c r="CU26" s="88"/>
      <c r="CV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8"/>
      <c r="DT26" s="88"/>
      <c r="DU26" s="88"/>
      <c r="DV26" s="88"/>
      <c r="DW26" s="88"/>
      <c r="DX26" s="88"/>
      <c r="DY26" s="88"/>
      <c r="DZ26" s="88"/>
      <c r="EA26" s="88"/>
      <c r="EB26" s="88"/>
      <c r="EC26" s="88"/>
      <c r="ED26" s="88"/>
      <c r="EE26" s="88"/>
      <c r="EF26" s="88"/>
      <c r="EG26" s="88"/>
      <c r="EH26" s="88"/>
      <c r="EI26" s="88"/>
      <c r="EJ26" s="88"/>
      <c r="EK26" s="88"/>
      <c r="EL26" s="88"/>
      <c r="EM26" s="88"/>
      <c r="EN26" s="88"/>
      <c r="EO26" s="88"/>
      <c r="EP26" s="88"/>
      <c r="EQ26" s="88"/>
      <c r="ER26" s="88"/>
      <c r="ES26" s="88"/>
      <c r="ET26" s="88"/>
      <c r="EU26" s="88"/>
      <c r="EV26" s="88"/>
      <c r="EW26" s="88"/>
      <c r="EX26" s="88"/>
      <c r="EY26" s="88"/>
      <c r="EZ26" s="88"/>
      <c r="FA26" s="88"/>
      <c r="FB26" s="88"/>
      <c r="FC26" s="88"/>
      <c r="FD26" s="88"/>
      <c r="FE26" s="88"/>
      <c r="FF26" s="88"/>
      <c r="FG26" s="88"/>
      <c r="FH26" s="88"/>
      <c r="FI26" s="88"/>
      <c r="FJ26" s="88"/>
      <c r="FK26" s="88"/>
      <c r="FL26" s="88"/>
      <c r="FM26" s="88"/>
      <c r="FN26" s="88"/>
      <c r="FO26" s="88"/>
      <c r="FP26" s="88"/>
      <c r="FQ26" s="88"/>
      <c r="FR26" s="88"/>
      <c r="FS26" s="88"/>
      <c r="FT26" s="88"/>
      <c r="FU26" s="88"/>
      <c r="FV26" s="88"/>
      <c r="FW26" s="88"/>
      <c r="FX26" s="88"/>
      <c r="FY26" s="88"/>
      <c r="FZ26" s="88"/>
      <c r="GA26" s="88"/>
      <c r="GB26" s="88"/>
      <c r="GC26" s="88"/>
      <c r="GD26" s="88"/>
      <c r="GE26" s="88"/>
      <c r="GF26" s="88"/>
      <c r="GG26" s="88"/>
      <c r="GH26" s="88"/>
      <c r="GI26" s="88"/>
      <c r="GJ26" s="88"/>
      <c r="GK26" s="88"/>
      <c r="GL26" s="88"/>
      <c r="GM26" s="88"/>
      <c r="GN26" s="88"/>
      <c r="GO26" s="88"/>
      <c r="GP26" s="88"/>
      <c r="GQ26" s="88"/>
      <c r="GR26" s="88"/>
      <c r="GS26" s="88"/>
      <c r="GT26" s="88"/>
      <c r="GU26" s="88"/>
      <c r="GV26" s="88"/>
      <c r="GW26" s="88"/>
      <c r="GX26" s="88"/>
      <c r="GY26" s="88"/>
      <c r="GZ26" s="88"/>
      <c r="HA26" s="88"/>
      <c r="HB26" s="88"/>
      <c r="HC26" s="88"/>
      <c r="HD26" s="88"/>
      <c r="HE26" s="88"/>
      <c r="HF26" s="88"/>
      <c r="HG26" s="88"/>
      <c r="HH26" s="88"/>
      <c r="HI26" s="88"/>
      <c r="HJ26" s="88"/>
      <c r="HK26" s="88"/>
      <c r="HL26" s="88"/>
      <c r="HM26" s="88"/>
      <c r="HN26" s="88"/>
      <c r="HO26" s="88"/>
      <c r="HP26" s="88"/>
      <c r="HQ26" s="88"/>
      <c r="HR26" s="88"/>
    </row>
    <row r="27" spans="1:226" s="178" customFormat="1">
      <c r="A27" s="84"/>
      <c r="B27" s="373" t="s">
        <v>117</v>
      </c>
      <c r="C27" s="374"/>
      <c r="D27" s="150"/>
      <c r="E27" s="150"/>
      <c r="F27" s="375"/>
      <c r="G27" s="150"/>
      <c r="H27" s="150"/>
      <c r="I27" s="150"/>
      <c r="J27" s="150"/>
      <c r="K27" s="374"/>
      <c r="L27" s="150"/>
      <c r="M27" s="150"/>
      <c r="N27" s="375"/>
      <c r="O27" s="150"/>
      <c r="P27" s="150"/>
      <c r="Q27" s="150"/>
      <c r="R27" s="150"/>
      <c r="S27" s="374"/>
      <c r="T27" s="150"/>
      <c r="U27" s="150"/>
      <c r="V27" s="375"/>
      <c r="W27" s="150">
        <f t="shared" ref="W27:AO27" si="129">W106</f>
        <v>0</v>
      </c>
      <c r="X27" s="150">
        <f t="shared" si="129"/>
        <v>0</v>
      </c>
      <c r="Y27" s="150">
        <f t="shared" si="129"/>
        <v>0</v>
      </c>
      <c r="Z27" s="150">
        <f t="shared" si="129"/>
        <v>0</v>
      </c>
      <c r="AA27" s="374">
        <f t="shared" si="129"/>
        <v>0</v>
      </c>
      <c r="AB27" s="150">
        <f t="shared" si="129"/>
        <v>0</v>
      </c>
      <c r="AC27" s="150">
        <f t="shared" si="129"/>
        <v>0</v>
      </c>
      <c r="AD27" s="375">
        <f t="shared" si="129"/>
        <v>0</v>
      </c>
      <c r="AE27" s="150">
        <f t="shared" si="129"/>
        <v>333.79919999999998</v>
      </c>
      <c r="AF27" s="150">
        <f t="shared" si="129"/>
        <v>389.61059999999941</v>
      </c>
      <c r="AG27" s="150">
        <f t="shared" si="129"/>
        <v>447.34760000000011</v>
      </c>
      <c r="AH27" s="150">
        <f t="shared" si="129"/>
        <v>414.43680000000006</v>
      </c>
      <c r="AI27" s="374">
        <f t="shared" si="129"/>
        <v>403.62299999999999</v>
      </c>
      <c r="AJ27" s="150">
        <f t="shared" si="129"/>
        <v>454.10675000000015</v>
      </c>
      <c r="AK27" s="150">
        <f t="shared" si="129"/>
        <v>469.52970000000005</v>
      </c>
      <c r="AL27" s="375">
        <f t="shared" si="129"/>
        <v>496.37045000000046</v>
      </c>
      <c r="AM27" s="374">
        <f t="shared" si="129"/>
        <v>478.58239999999995</v>
      </c>
      <c r="AN27" s="150">
        <f t="shared" si="129"/>
        <v>485.64420000000001</v>
      </c>
      <c r="AO27" s="150">
        <f t="shared" si="129"/>
        <v>539.95800000000008</v>
      </c>
      <c r="AP27" s="375">
        <f>AP106</f>
        <v>585.522554379898</v>
      </c>
      <c r="AQ27" s="150">
        <f>AQ106</f>
        <v>521.44679798648792</v>
      </c>
      <c r="AR27" s="150">
        <f>AR106</f>
        <v>509.95284750640587</v>
      </c>
      <c r="AS27" s="150">
        <f>AS106</f>
        <v>609.45240638455425</v>
      </c>
      <c r="AT27" s="375">
        <f>AT106</f>
        <v>651.15223042603782</v>
      </c>
      <c r="AU27" s="150">
        <f t="shared" ref="AU27" si="130">AU106</f>
        <v>606.53559216065526</v>
      </c>
      <c r="AV27" s="150">
        <f>AV106</f>
        <v>679.01064526268397</v>
      </c>
      <c r="AW27" s="150">
        <f>AW106</f>
        <v>960.16867894364646</v>
      </c>
      <c r="AX27" s="774">
        <f>AX106</f>
        <v>1098.2359837347608</v>
      </c>
      <c r="AY27" s="150">
        <f t="shared" ref="AY27" si="131">AY106</f>
        <v>965.76984220455313</v>
      </c>
      <c r="AZ27" s="905">
        <f>AZ106</f>
        <v>1147.2346038248193</v>
      </c>
      <c r="BA27" s="150">
        <f>BA106</f>
        <v>1380.9928396472101</v>
      </c>
      <c r="BB27" s="774">
        <f>BB106</f>
        <v>1496.9878019794978</v>
      </c>
      <c r="BC27" s="150">
        <f t="shared" ref="BC27:BD27" si="132">BC106</f>
        <v>1629.9683651000773</v>
      </c>
      <c r="BD27" s="905">
        <f t="shared" si="132"/>
        <v>1775.612574641096</v>
      </c>
      <c r="BE27" s="150">
        <f t="shared" ref="BE27:BJ27" si="133">BE106</f>
        <v>1906.3167195811959</v>
      </c>
      <c r="BF27" s="375">
        <f t="shared" si="133"/>
        <v>2004.5936369645622</v>
      </c>
      <c r="BG27" s="150">
        <f t="shared" si="133"/>
        <v>1830.9462627710616</v>
      </c>
      <c r="BH27" s="905">
        <f t="shared" si="133"/>
        <v>2074.1569712731698</v>
      </c>
      <c r="BI27" s="150">
        <f t="shared" si="133"/>
        <v>2236.2758129710296</v>
      </c>
      <c r="BJ27" s="375">
        <f t="shared" si="133"/>
        <v>2294.2620877324857</v>
      </c>
      <c r="BK27" s="150">
        <f t="shared" ref="BK27:BN27" si="134">BK106</f>
        <v>2123.5851972615819</v>
      </c>
      <c r="BL27" s="905">
        <f t="shared" si="134"/>
        <v>2407.1091182444625</v>
      </c>
      <c r="BM27" s="150">
        <f t="shared" si="134"/>
        <v>2579.0105294970253</v>
      </c>
      <c r="BN27" s="375">
        <f t="shared" si="134"/>
        <v>2658.9178442167931</v>
      </c>
      <c r="BO27" s="88"/>
      <c r="BP27" s="176"/>
      <c r="BQ27" s="176"/>
      <c r="BR27" s="176"/>
      <c r="BS27" s="176"/>
      <c r="BT27" s="176"/>
      <c r="BU27" s="176">
        <f>SUM(W27:Z27)</f>
        <v>0</v>
      </c>
      <c r="BV27" s="176">
        <f>SUM(AA27:AD27)</f>
        <v>0</v>
      </c>
      <c r="BW27" s="176">
        <f>SUM(AE27:AH27)</f>
        <v>1585.1941999999995</v>
      </c>
      <c r="BX27" s="176">
        <f>SUM(AI27:AL27)</f>
        <v>1823.6299000000008</v>
      </c>
      <c r="BY27" s="176">
        <f>SUM(AM27:AP27)</f>
        <v>2089.7071543798979</v>
      </c>
      <c r="BZ27" s="176">
        <f>SUM(AQ27:AT27)</f>
        <v>2292.004282303486</v>
      </c>
      <c r="CA27" s="14">
        <f>SUM(AU27:AX27)</f>
        <v>3343.9509001017464</v>
      </c>
      <c r="CB27" s="14">
        <f>SUM(AY27:BB27)</f>
        <v>4990.9850876560804</v>
      </c>
      <c r="CC27" s="926">
        <f>SUM(BC27:BF27)</f>
        <v>7316.4912962869312</v>
      </c>
      <c r="CD27" s="926">
        <f>SUM(BG27:BJ27)</f>
        <v>8435.6411347477479</v>
      </c>
      <c r="CE27" s="926">
        <f>SUM(BK27:BN27)</f>
        <v>9768.6226892198629</v>
      </c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8"/>
      <c r="DT27" s="88"/>
      <c r="DU27" s="88"/>
      <c r="DV27" s="88"/>
      <c r="DW27" s="88"/>
      <c r="DX27" s="88"/>
      <c r="DY27" s="88"/>
      <c r="DZ27" s="88"/>
      <c r="EA27" s="88"/>
      <c r="EB27" s="88"/>
      <c r="EC27" s="88"/>
      <c r="ED27" s="88"/>
      <c r="EE27" s="88"/>
      <c r="EF27" s="88"/>
      <c r="EG27" s="88"/>
      <c r="EH27" s="88"/>
      <c r="EI27" s="88"/>
      <c r="EJ27" s="88"/>
      <c r="EK27" s="88"/>
      <c r="EL27" s="88"/>
      <c r="EM27" s="88"/>
      <c r="EN27" s="88"/>
      <c r="EO27" s="88"/>
      <c r="EP27" s="88"/>
      <c r="EQ27" s="88"/>
      <c r="ER27" s="88"/>
      <c r="ES27" s="88"/>
      <c r="ET27" s="88"/>
      <c r="EU27" s="88"/>
      <c r="EV27" s="88"/>
      <c r="EW27" s="88"/>
      <c r="EX27" s="88"/>
      <c r="EY27" s="88"/>
      <c r="EZ27" s="88"/>
      <c r="FA27" s="88"/>
      <c r="FB27" s="88"/>
      <c r="FC27" s="88"/>
      <c r="FD27" s="88"/>
      <c r="FE27" s="88"/>
      <c r="FF27" s="88"/>
      <c r="FG27" s="88"/>
      <c r="FH27" s="88"/>
      <c r="FI27" s="88"/>
      <c r="FJ27" s="88"/>
      <c r="FK27" s="88"/>
      <c r="FL27" s="88"/>
      <c r="FM27" s="88"/>
      <c r="FN27" s="88"/>
      <c r="FO27" s="88"/>
      <c r="FP27" s="88"/>
      <c r="FQ27" s="88"/>
      <c r="FR27" s="88"/>
      <c r="FS27" s="88"/>
      <c r="FT27" s="88"/>
      <c r="FU27" s="88"/>
      <c r="FV27" s="88"/>
      <c r="FW27" s="88"/>
      <c r="FX27" s="88"/>
      <c r="FY27" s="88"/>
      <c r="FZ27" s="88"/>
      <c r="GA27" s="88"/>
      <c r="GB27" s="88"/>
      <c r="GC27" s="88"/>
      <c r="GD27" s="88"/>
      <c r="GE27" s="88"/>
      <c r="GF27" s="88"/>
      <c r="GG27" s="88"/>
      <c r="GH27" s="88"/>
      <c r="GI27" s="88"/>
      <c r="GJ27" s="88"/>
      <c r="GK27" s="88"/>
      <c r="GL27" s="88"/>
      <c r="GM27" s="88"/>
      <c r="GN27" s="88"/>
      <c r="GO27" s="88"/>
      <c r="GP27" s="88"/>
      <c r="GQ27" s="88"/>
      <c r="GR27" s="88"/>
      <c r="GS27" s="88"/>
      <c r="GT27" s="88"/>
      <c r="GU27" s="88"/>
      <c r="GV27" s="88"/>
      <c r="GW27" s="88"/>
      <c r="GX27" s="88"/>
      <c r="GY27" s="88"/>
      <c r="GZ27" s="88"/>
      <c r="HA27" s="88"/>
      <c r="HB27" s="88"/>
      <c r="HC27" s="88"/>
      <c r="HD27" s="88"/>
      <c r="HE27" s="88"/>
      <c r="HF27" s="88"/>
      <c r="HG27" s="88"/>
      <c r="HH27" s="88"/>
      <c r="HI27" s="88"/>
      <c r="HJ27" s="88"/>
      <c r="HK27" s="88"/>
      <c r="HL27" s="88"/>
      <c r="HM27" s="88"/>
      <c r="HN27" s="88"/>
      <c r="HO27" s="88"/>
      <c r="HP27" s="88"/>
      <c r="HQ27" s="88"/>
      <c r="HR27" s="88"/>
    </row>
    <row r="28" spans="1:226" s="84" customFormat="1">
      <c r="B28" s="189" t="s">
        <v>282</v>
      </c>
      <c r="C28" s="370"/>
      <c r="D28" s="371"/>
      <c r="E28" s="371"/>
      <c r="F28" s="372"/>
      <c r="G28" s="371"/>
      <c r="H28" s="371"/>
      <c r="I28" s="371"/>
      <c r="J28" s="371"/>
      <c r="K28" s="370"/>
      <c r="L28" s="371"/>
      <c r="M28" s="371"/>
      <c r="N28" s="372"/>
      <c r="O28" s="371"/>
      <c r="P28" s="371"/>
      <c r="Q28" s="371"/>
      <c r="R28" s="371"/>
      <c r="S28" s="370"/>
      <c r="T28" s="371"/>
      <c r="U28" s="371"/>
      <c r="V28" s="372"/>
      <c r="W28" s="371">
        <f t="shared" ref="W28:AO28" si="135">W27/W22</f>
        <v>0</v>
      </c>
      <c r="X28" s="371">
        <f t="shared" si="135"/>
        <v>0</v>
      </c>
      <c r="Y28" s="371">
        <f t="shared" si="135"/>
        <v>0</v>
      </c>
      <c r="Z28" s="371">
        <f t="shared" si="135"/>
        <v>0</v>
      </c>
      <c r="AA28" s="370">
        <f t="shared" si="135"/>
        <v>0</v>
      </c>
      <c r="AB28" s="371">
        <f t="shared" si="135"/>
        <v>0</v>
      </c>
      <c r="AC28" s="371">
        <f t="shared" si="135"/>
        <v>0</v>
      </c>
      <c r="AD28" s="372">
        <f t="shared" si="135"/>
        <v>0</v>
      </c>
      <c r="AE28" s="371">
        <f t="shared" si="135"/>
        <v>0.45954747268935037</v>
      </c>
      <c r="AF28" s="371">
        <f t="shared" si="135"/>
        <v>0.4878523560524094</v>
      </c>
      <c r="AG28" s="371">
        <f t="shared" si="135"/>
        <v>0.50027186038163352</v>
      </c>
      <c r="AH28" s="371">
        <f t="shared" si="135"/>
        <v>0.49781361034168797</v>
      </c>
      <c r="AI28" s="370">
        <f t="shared" si="135"/>
        <v>0.51375122670845008</v>
      </c>
      <c r="AJ28" s="371">
        <f t="shared" si="135"/>
        <v>0.52888408398195708</v>
      </c>
      <c r="AK28" s="371">
        <f t="shared" si="135"/>
        <v>0.53548360976377496</v>
      </c>
      <c r="AL28" s="372">
        <f t="shared" si="135"/>
        <v>0.52411776879793182</v>
      </c>
      <c r="AM28" s="370">
        <f t="shared" si="135"/>
        <v>0.53332085231951831</v>
      </c>
      <c r="AN28" s="371">
        <f t="shared" si="135"/>
        <v>0.55313811248547806</v>
      </c>
      <c r="AO28" s="371">
        <f t="shared" si="135"/>
        <v>0.54465180929248269</v>
      </c>
      <c r="AP28" s="372">
        <f>AP27/AP22</f>
        <v>0.54610420664038828</v>
      </c>
      <c r="AQ28" s="371">
        <f>AQ27/AQ22</f>
        <v>0.55473063615583817</v>
      </c>
      <c r="AR28" s="371">
        <f>AR27/AR22</f>
        <v>0.53175479406298842</v>
      </c>
      <c r="AS28" s="371">
        <f>AS27/AS22</f>
        <v>0.54905622196806692</v>
      </c>
      <c r="AT28" s="372">
        <f>AT27/AT22</f>
        <v>0.55276080681327489</v>
      </c>
      <c r="AU28" s="371">
        <f t="shared" ref="AU28" si="136">AU27/AU22</f>
        <v>0.5621275182211819</v>
      </c>
      <c r="AV28" s="371">
        <f>AV27/AV22</f>
        <v>0.56773465322966887</v>
      </c>
      <c r="AW28" s="371">
        <f>AW27/AW22</f>
        <v>0.5658035821706815</v>
      </c>
      <c r="AX28" s="773">
        <f>AX27/AX22</f>
        <v>0.59364107228905993</v>
      </c>
      <c r="AY28" s="371">
        <f t="shared" ref="AY28" si="137">AY27/AY22</f>
        <v>0.61829055198755001</v>
      </c>
      <c r="AZ28" s="904">
        <f>AZ27/AZ22</f>
        <v>0.60476257449911397</v>
      </c>
      <c r="BA28" s="371">
        <f>BA27/BA22</f>
        <v>0.62291061779305823</v>
      </c>
      <c r="BB28" s="773">
        <f>BB27/BB22</f>
        <v>0.6082843567572116</v>
      </c>
      <c r="BC28" s="371">
        <f t="shared" ref="BC28:BD28" si="138">BC27/BC22</f>
        <v>0.66137913982974583</v>
      </c>
      <c r="BD28" s="904">
        <f t="shared" si="138"/>
        <v>0.65045686016157678</v>
      </c>
      <c r="BE28" s="371">
        <f t="shared" ref="BE28:BJ28" si="139">BE27/BE22</f>
        <v>0.64516640000512815</v>
      </c>
      <c r="BF28" s="372">
        <f t="shared" si="139"/>
        <v>0.64118275989622275</v>
      </c>
      <c r="BG28" s="371">
        <f t="shared" si="139"/>
        <v>0.6497177872952915</v>
      </c>
      <c r="BH28" s="904">
        <f t="shared" si="139"/>
        <v>0.64483679114463144</v>
      </c>
      <c r="BI28" s="371">
        <f t="shared" si="139"/>
        <v>0.64317893563573636</v>
      </c>
      <c r="BJ28" s="372">
        <f t="shared" si="139"/>
        <v>0.6444513665712166</v>
      </c>
      <c r="BK28" s="371">
        <f t="shared" ref="BK28:BN28" si="140">BK27/BK22</f>
        <v>0.65297658236912992</v>
      </c>
      <c r="BL28" s="904">
        <f t="shared" si="140"/>
        <v>0.64829284893386663</v>
      </c>
      <c r="BM28" s="371">
        <f t="shared" si="140"/>
        <v>0.64743381869445527</v>
      </c>
      <c r="BN28" s="372">
        <f t="shared" si="140"/>
        <v>0.64904388344512809</v>
      </c>
      <c r="BP28" s="371"/>
      <c r="BQ28" s="371"/>
      <c r="BR28" s="371"/>
      <c r="BS28" s="371"/>
      <c r="BT28" s="371"/>
      <c r="BU28" s="371">
        <f t="shared" ref="BU28:CA28" si="141">BU27/BU22</f>
        <v>0</v>
      </c>
      <c r="BV28" s="371">
        <f t="shared" si="141"/>
        <v>0</v>
      </c>
      <c r="BW28" s="371">
        <f t="shared" si="141"/>
        <v>0.48749526403322296</v>
      </c>
      <c r="BX28" s="371">
        <f t="shared" si="141"/>
        <v>0.52582300504246671</v>
      </c>
      <c r="BY28" s="371">
        <f t="shared" si="141"/>
        <v>0.54434965440151384</v>
      </c>
      <c r="BZ28" s="371">
        <f t="shared" si="141"/>
        <v>0.547409668570214</v>
      </c>
      <c r="CA28" s="371">
        <f t="shared" si="141"/>
        <v>0.57436463416381767</v>
      </c>
      <c r="CB28" s="371">
        <f t="shared" ref="CB28:CC28" si="142">CB27/CB22</f>
        <v>0.61336918860219747</v>
      </c>
      <c r="CC28" s="371">
        <f t="shared" si="142"/>
        <v>0.64888630995460705</v>
      </c>
      <c r="CD28" s="371">
        <f t="shared" ref="CD28:CE28" si="143">CD27/CD22</f>
        <v>0.64534312880162237</v>
      </c>
      <c r="CE28" s="371">
        <f t="shared" si="143"/>
        <v>0.64928233689598813</v>
      </c>
    </row>
    <row r="29" spans="1:226" s="84" customFormat="1">
      <c r="B29" s="189"/>
      <c r="C29" s="361"/>
      <c r="F29" s="362"/>
      <c r="K29" s="361"/>
      <c r="N29" s="362"/>
      <c r="S29" s="361"/>
      <c r="V29" s="362"/>
      <c r="AA29" s="361"/>
      <c r="AD29" s="362"/>
      <c r="AI29" s="361"/>
      <c r="AL29" s="362"/>
      <c r="AM29" s="361"/>
      <c r="AP29" s="362"/>
      <c r="AT29" s="362"/>
      <c r="AX29" s="362"/>
      <c r="AY29" s="821"/>
      <c r="AZ29" s="821"/>
      <c r="BB29" s="824"/>
      <c r="BC29" s="821"/>
      <c r="BD29" s="821"/>
      <c r="BE29" s="821"/>
      <c r="BF29" s="824"/>
      <c r="BG29" s="821"/>
      <c r="BH29" s="821"/>
      <c r="BI29" s="821"/>
      <c r="BJ29" s="824"/>
      <c r="BK29" s="821"/>
      <c r="BL29" s="821"/>
      <c r="BM29" s="821"/>
      <c r="BN29" s="824"/>
      <c r="CC29" s="821"/>
      <c r="CD29" s="821"/>
      <c r="CE29" s="821"/>
    </row>
    <row r="30" spans="1:226" s="178" customFormat="1">
      <c r="A30" s="84"/>
      <c r="B30" s="376" t="s">
        <v>160</v>
      </c>
      <c r="C30" s="361"/>
      <c r="D30" s="84"/>
      <c r="E30" s="84"/>
      <c r="F30" s="362"/>
      <c r="G30" s="84"/>
      <c r="H30" s="84"/>
      <c r="I30" s="84"/>
      <c r="J30" s="84"/>
      <c r="K30" s="361"/>
      <c r="L30" s="84"/>
      <c r="M30" s="84"/>
      <c r="N30" s="362"/>
      <c r="O30" s="84"/>
      <c r="P30" s="84"/>
      <c r="Q30" s="84"/>
      <c r="R30" s="84"/>
      <c r="S30" s="361"/>
      <c r="T30" s="84"/>
      <c r="U30" s="84"/>
      <c r="V30" s="362"/>
      <c r="W30" s="84"/>
      <c r="X30" s="84"/>
      <c r="Y30" s="84"/>
      <c r="Z30" s="84"/>
      <c r="AA30" s="361"/>
      <c r="AB30" s="84"/>
      <c r="AC30" s="84"/>
      <c r="AD30" s="362"/>
      <c r="AE30" s="175"/>
      <c r="AF30" s="175"/>
      <c r="AG30" s="175"/>
      <c r="AH30" s="175"/>
      <c r="AI30" s="363"/>
      <c r="AJ30" s="175"/>
      <c r="AK30" s="175"/>
      <c r="AL30" s="364"/>
      <c r="AM30" s="365"/>
      <c r="AN30" s="88"/>
      <c r="AO30" s="88"/>
      <c r="AP30" s="364"/>
      <c r="AQ30" s="88"/>
      <c r="AR30" s="88"/>
      <c r="AS30" s="88"/>
      <c r="AT30" s="626"/>
      <c r="AU30" s="88"/>
      <c r="AV30" s="88"/>
      <c r="AW30" s="88"/>
      <c r="AX30" s="775"/>
      <c r="AY30" s="88"/>
      <c r="AZ30" s="740"/>
      <c r="BA30" s="88"/>
      <c r="BB30" s="775"/>
      <c r="BC30" s="88"/>
      <c r="BD30" s="740"/>
      <c r="BE30" s="88"/>
      <c r="BF30" s="366"/>
      <c r="BG30" s="88"/>
      <c r="BH30" s="740"/>
      <c r="BI30" s="88"/>
      <c r="BJ30" s="366"/>
      <c r="BK30" s="88"/>
      <c r="BL30" s="740"/>
      <c r="BM30" s="88"/>
      <c r="BN30" s="366"/>
      <c r="BO30" s="88"/>
      <c r="BP30" s="88"/>
      <c r="BQ30" s="88"/>
      <c r="BR30" s="88"/>
      <c r="BS30" s="88"/>
      <c r="BT30" s="88"/>
      <c r="BU30" s="88"/>
      <c r="BV30" s="88"/>
      <c r="BW30" s="88"/>
      <c r="BX30" s="88"/>
      <c r="BY30" s="88"/>
      <c r="BZ30" s="88"/>
      <c r="CA30" s="88"/>
      <c r="CB30" s="88"/>
      <c r="CC30" s="88"/>
      <c r="CD30" s="88"/>
      <c r="CE30" s="88"/>
      <c r="CF30" s="88"/>
      <c r="CG30" s="88"/>
      <c r="CH30" s="88"/>
      <c r="CI30" s="88"/>
      <c r="CJ30" s="88"/>
      <c r="CK30" s="88"/>
      <c r="CL30" s="88"/>
      <c r="CM30" s="88"/>
      <c r="CN30" s="88"/>
      <c r="CO30" s="88"/>
      <c r="CP30" s="88"/>
      <c r="CQ30" s="88"/>
      <c r="CR30" s="88"/>
      <c r="CS30" s="88"/>
      <c r="CT30" s="88"/>
      <c r="CU30" s="88"/>
      <c r="CV30" s="88"/>
      <c r="CW30" s="88"/>
      <c r="CX30" s="88"/>
      <c r="CY30" s="88"/>
      <c r="CZ30" s="88"/>
      <c r="DA30" s="88"/>
      <c r="DB30" s="88"/>
      <c r="DC30" s="88"/>
      <c r="DD30" s="88"/>
      <c r="DE30" s="88"/>
      <c r="DF30" s="88"/>
      <c r="DG30" s="88"/>
      <c r="DH30" s="88"/>
      <c r="DI30" s="88"/>
      <c r="DJ30" s="88"/>
      <c r="DK30" s="88"/>
      <c r="DL30" s="88"/>
      <c r="DM30" s="88"/>
      <c r="DN30" s="88"/>
      <c r="DO30" s="88"/>
      <c r="DP30" s="88"/>
      <c r="DQ30" s="88"/>
      <c r="DR30" s="88"/>
      <c r="DS30" s="88"/>
      <c r="DT30" s="88"/>
      <c r="DU30" s="88"/>
      <c r="DV30" s="88"/>
      <c r="DW30" s="88"/>
      <c r="DX30" s="88"/>
      <c r="DY30" s="88"/>
      <c r="DZ30" s="88"/>
      <c r="EA30" s="88"/>
      <c r="EB30" s="88"/>
      <c r="EC30" s="88"/>
      <c r="ED30" s="88"/>
      <c r="EE30" s="88"/>
      <c r="EF30" s="88"/>
      <c r="EG30" s="88"/>
      <c r="EH30" s="88"/>
      <c r="EI30" s="88"/>
      <c r="EJ30" s="88"/>
      <c r="EK30" s="88"/>
      <c r="EL30" s="88"/>
      <c r="EM30" s="88"/>
      <c r="EN30" s="88"/>
      <c r="EO30" s="88"/>
      <c r="EP30" s="88"/>
      <c r="EQ30" s="88"/>
      <c r="ER30" s="88"/>
      <c r="ES30" s="88"/>
      <c r="ET30" s="88"/>
      <c r="EU30" s="88"/>
      <c r="EV30" s="88"/>
      <c r="EW30" s="88"/>
      <c r="EX30" s="88"/>
      <c r="EY30" s="88"/>
      <c r="EZ30" s="88"/>
      <c r="FA30" s="88"/>
      <c r="FB30" s="88"/>
      <c r="FC30" s="88"/>
      <c r="FD30" s="88"/>
      <c r="FE30" s="88"/>
      <c r="FF30" s="88"/>
      <c r="FG30" s="88"/>
      <c r="FH30" s="88"/>
      <c r="FI30" s="88"/>
      <c r="FJ30" s="88"/>
      <c r="FK30" s="88"/>
      <c r="FL30" s="88"/>
      <c r="FM30" s="88"/>
      <c r="FN30" s="88"/>
      <c r="FO30" s="88"/>
      <c r="FP30" s="88"/>
      <c r="FQ30" s="88"/>
      <c r="FR30" s="88"/>
      <c r="FS30" s="88"/>
      <c r="FT30" s="88"/>
      <c r="FU30" s="88"/>
      <c r="FV30" s="88"/>
      <c r="FW30" s="88"/>
      <c r="FX30" s="88"/>
      <c r="FY30" s="88"/>
      <c r="FZ30" s="88"/>
      <c r="GA30" s="88"/>
      <c r="GB30" s="88"/>
      <c r="GC30" s="88"/>
      <c r="GD30" s="88"/>
      <c r="GE30" s="88"/>
      <c r="GF30" s="88"/>
      <c r="GG30" s="88"/>
      <c r="GH30" s="88"/>
      <c r="GI30" s="88"/>
      <c r="GJ30" s="88"/>
      <c r="GK30" s="88"/>
      <c r="GL30" s="88"/>
      <c r="GM30" s="88"/>
      <c r="GN30" s="88"/>
      <c r="GO30" s="88"/>
      <c r="GP30" s="88"/>
      <c r="GQ30" s="88"/>
      <c r="GR30" s="88"/>
      <c r="GS30" s="88"/>
      <c r="GT30" s="88"/>
      <c r="GU30" s="88"/>
      <c r="GV30" s="88"/>
      <c r="GW30" s="88"/>
      <c r="GX30" s="88"/>
      <c r="GY30" s="88"/>
      <c r="GZ30" s="88"/>
      <c r="HA30" s="88"/>
      <c r="HB30" s="88"/>
      <c r="HC30" s="88"/>
      <c r="HD30" s="88"/>
      <c r="HE30" s="88"/>
      <c r="HF30" s="88"/>
      <c r="HG30" s="88"/>
      <c r="HH30" s="88"/>
      <c r="HI30" s="88"/>
      <c r="HJ30" s="88"/>
      <c r="HK30" s="88"/>
      <c r="HL30" s="88"/>
      <c r="HM30" s="88"/>
      <c r="HN30" s="88"/>
      <c r="HO30" s="88"/>
      <c r="HP30" s="88"/>
      <c r="HQ30" s="88"/>
      <c r="HR30" s="88"/>
    </row>
    <row r="31" spans="1:226">
      <c r="B31" s="5" t="s">
        <v>308</v>
      </c>
      <c r="C31" s="43"/>
      <c r="D31" s="29"/>
      <c r="E31" s="29"/>
      <c r="F31" s="44"/>
      <c r="G31" s="29">
        <f t="shared" ref="G31:AL31" si="144">G22</f>
        <v>623.23300000000006</v>
      </c>
      <c r="H31" s="29">
        <f t="shared" si="144"/>
        <v>629.37400000000002</v>
      </c>
      <c r="I31" s="29">
        <f t="shared" si="144"/>
        <v>769.73</v>
      </c>
      <c r="J31" s="29">
        <f t="shared" si="144"/>
        <v>806.25099999999998</v>
      </c>
      <c r="K31" s="43">
        <f t="shared" si="144"/>
        <v>773.11799999999994</v>
      </c>
      <c r="L31" s="29">
        <f t="shared" si="144"/>
        <v>867.41300000000001</v>
      </c>
      <c r="M31" s="29">
        <f t="shared" si="144"/>
        <v>1040.2179999999998</v>
      </c>
      <c r="N31" s="44">
        <f t="shared" si="144"/>
        <v>1136.2429999999999</v>
      </c>
      <c r="O31" s="29">
        <f t="shared" si="144"/>
        <v>1100.009</v>
      </c>
      <c r="P31" s="29">
        <f t="shared" si="144"/>
        <v>849.923</v>
      </c>
      <c r="Q31" s="29">
        <f t="shared" si="144"/>
        <v>858.36900000000003</v>
      </c>
      <c r="R31" s="29">
        <f t="shared" si="144"/>
        <v>480.22399999999993</v>
      </c>
      <c r="S31" s="43">
        <f t="shared" si="144"/>
        <v>653.53200000000004</v>
      </c>
      <c r="T31" s="29">
        <f t="shared" si="144"/>
        <v>732.24299999999994</v>
      </c>
      <c r="U31" s="29">
        <f t="shared" si="144"/>
        <v>847.29600000000005</v>
      </c>
      <c r="V31" s="44">
        <f t="shared" si="144"/>
        <v>937.32800000000009</v>
      </c>
      <c r="W31" s="29">
        <f t="shared" si="144"/>
        <v>970.58299999999997</v>
      </c>
      <c r="X31" s="29">
        <f t="shared" si="144"/>
        <v>765.50400000000002</v>
      </c>
      <c r="Y31" s="29">
        <f t="shared" si="144"/>
        <v>791.97800000000007</v>
      </c>
      <c r="Z31" s="29">
        <f t="shared" si="144"/>
        <v>817.63099999999997</v>
      </c>
      <c r="AA31" s="43">
        <f t="shared" si="144"/>
        <v>817.53000000000009</v>
      </c>
      <c r="AB31" s="29">
        <f t="shared" si="144"/>
        <v>782.83299999999997</v>
      </c>
      <c r="AC31" s="29">
        <f t="shared" si="144"/>
        <v>809.09699999999998</v>
      </c>
      <c r="AD31" s="44">
        <f t="shared" si="144"/>
        <v>777.404</v>
      </c>
      <c r="AE31" s="29">
        <f t="shared" si="144"/>
        <v>726.36500000000001</v>
      </c>
      <c r="AF31" s="29">
        <f t="shared" si="144"/>
        <v>798.62400000000002</v>
      </c>
      <c r="AG31" s="29">
        <f t="shared" si="144"/>
        <v>894.20899999999995</v>
      </c>
      <c r="AH31" s="29">
        <f t="shared" si="144"/>
        <v>832.51400000000012</v>
      </c>
      <c r="AI31" s="43">
        <f t="shared" si="144"/>
        <v>785.63900000000001</v>
      </c>
      <c r="AJ31" s="29">
        <f t="shared" si="144"/>
        <v>858.61300000000006</v>
      </c>
      <c r="AK31" s="29">
        <f t="shared" si="144"/>
        <v>876.83299999999997</v>
      </c>
      <c r="AL31" s="44">
        <f t="shared" si="144"/>
        <v>947.05899999999997</v>
      </c>
      <c r="AM31" s="43">
        <f>AM22</f>
        <v>897.36300000000006</v>
      </c>
      <c r="AN31" s="29">
        <f t="shared" ref="AN31:AU31" si="145">AN22</f>
        <v>877.98</v>
      </c>
      <c r="AO31" s="29">
        <f t="shared" si="145"/>
        <v>991.38199999999995</v>
      </c>
      <c r="AP31" s="44">
        <f t="shared" si="145"/>
        <v>1072.1809999999998</v>
      </c>
      <c r="AQ31" s="43">
        <f t="shared" si="145"/>
        <v>940</v>
      </c>
      <c r="AR31" s="29">
        <f>AR22</f>
        <v>959</v>
      </c>
      <c r="AS31" s="29">
        <f t="shared" si="145"/>
        <v>1110</v>
      </c>
      <c r="AT31" s="44">
        <f t="shared" si="145"/>
        <v>1178</v>
      </c>
      <c r="AU31" s="43">
        <f t="shared" si="145"/>
        <v>1079</v>
      </c>
      <c r="AV31" s="29">
        <f>AV22</f>
        <v>1196</v>
      </c>
      <c r="AW31" s="29">
        <f t="shared" ref="AW31:AY31" si="146">AW22</f>
        <v>1697</v>
      </c>
      <c r="AX31" s="761">
        <f t="shared" si="146"/>
        <v>1850</v>
      </c>
      <c r="AY31" s="43">
        <f t="shared" si="146"/>
        <v>1562</v>
      </c>
      <c r="AZ31" s="741">
        <f>AZ22</f>
        <v>1897</v>
      </c>
      <c r="BA31" s="741">
        <f>BA22</f>
        <v>2217</v>
      </c>
      <c r="BB31" s="761">
        <f t="shared" ref="BB31" si="147">BB22</f>
        <v>2461</v>
      </c>
      <c r="BC31" s="43"/>
      <c r="BD31" s="741"/>
      <c r="BE31" s="73"/>
      <c r="BF31" s="238"/>
      <c r="BG31" s="43"/>
      <c r="BH31" s="741"/>
      <c r="BI31" s="73"/>
      <c r="BJ31" s="238"/>
      <c r="BK31" s="43"/>
      <c r="BL31" s="741"/>
      <c r="BM31" s="73"/>
      <c r="BN31" s="238"/>
      <c r="BO31" s="88"/>
      <c r="BP31" s="29"/>
      <c r="BQ31" s="29"/>
      <c r="BR31" s="29"/>
      <c r="BS31" s="29"/>
      <c r="BT31" s="29"/>
      <c r="BU31" s="48">
        <f>SUM(W31:Z31)</f>
        <v>3345.6959999999999</v>
      </c>
      <c r="BV31" s="48">
        <f>SUM(AA31:AD31)</f>
        <v>3186.864</v>
      </c>
      <c r="BW31" s="48">
        <f>SUM(AE31:AH31)</f>
        <v>3251.712</v>
      </c>
      <c r="BX31" s="48">
        <f>SUM(AI31:AL31)</f>
        <v>3468.1440000000002</v>
      </c>
      <c r="BY31" s="29">
        <f>SUM(AM31:AP31)</f>
        <v>3838.9059999999999</v>
      </c>
      <c r="BZ31" s="176">
        <f>SUM(AQ31:AT31)</f>
        <v>4187</v>
      </c>
      <c r="CA31" s="29"/>
      <c r="CB31" s="29"/>
      <c r="CC31" s="29"/>
      <c r="CD31" s="29"/>
      <c r="CE31" s="29"/>
    </row>
    <row r="32" spans="1:226">
      <c r="B32" s="5" t="s">
        <v>309</v>
      </c>
      <c r="W32" s="14">
        <f t="shared" ref="W32:AQ32" si="148">W49+W36+W70</f>
        <v>970.58300000000008</v>
      </c>
      <c r="X32" s="14">
        <f t="shared" si="148"/>
        <v>765.50400000000013</v>
      </c>
      <c r="Y32" s="14">
        <f t="shared" si="148"/>
        <v>791.97800000000007</v>
      </c>
      <c r="Z32" s="14">
        <f t="shared" si="148"/>
        <v>817.63099999999997</v>
      </c>
      <c r="AA32" s="23">
        <f t="shared" si="148"/>
        <v>817.53000000000009</v>
      </c>
      <c r="AB32" s="14">
        <f t="shared" si="148"/>
        <v>782.83300000000008</v>
      </c>
      <c r="AC32" s="14">
        <f t="shared" si="148"/>
        <v>809.09699999999998</v>
      </c>
      <c r="AD32" s="24">
        <f t="shared" si="148"/>
        <v>777.404</v>
      </c>
      <c r="AE32" s="14">
        <f t="shared" si="148"/>
        <v>726.36500000000001</v>
      </c>
      <c r="AF32" s="14">
        <f t="shared" si="148"/>
        <v>798.62400000000002</v>
      </c>
      <c r="AG32" s="14">
        <f t="shared" si="148"/>
        <v>894.20899999999995</v>
      </c>
      <c r="AH32" s="14">
        <f t="shared" si="148"/>
        <v>832.51400000000012</v>
      </c>
      <c r="AI32" s="23">
        <f t="shared" si="148"/>
        <v>785.63900000000012</v>
      </c>
      <c r="AJ32" s="14">
        <f t="shared" si="148"/>
        <v>858.61300000000142</v>
      </c>
      <c r="AK32" s="14">
        <f t="shared" si="148"/>
        <v>876.83373889247741</v>
      </c>
      <c r="AL32" s="24">
        <f t="shared" si="148"/>
        <v>947.05734663983799</v>
      </c>
      <c r="AM32" s="23">
        <f>AM49+AM36+AM70</f>
        <v>897.36300000000006</v>
      </c>
      <c r="AN32" s="14">
        <f t="shared" si="148"/>
        <v>877.9801382372782</v>
      </c>
      <c r="AO32" s="14">
        <f t="shared" si="148"/>
        <v>991.38200000000006</v>
      </c>
      <c r="AP32" s="24">
        <f t="shared" si="148"/>
        <v>1072.1809999999998</v>
      </c>
      <c r="AQ32" s="14">
        <f t="shared" si="148"/>
        <v>939.99702438936583</v>
      </c>
      <c r="AR32" s="14">
        <f>AR49+AR36+AR70</f>
        <v>959.00335702798782</v>
      </c>
      <c r="AS32" s="14">
        <f>AS49+AS36+AS70</f>
        <v>1109.9953673506566</v>
      </c>
      <c r="AT32" s="24">
        <f>AT49+AT36+AT70</f>
        <v>1178.000280914018</v>
      </c>
      <c r="AU32" s="14">
        <f t="shared" ref="AU32" si="149">AU49+AU36+AU70</f>
        <v>1079.0042996311324</v>
      </c>
      <c r="AV32" s="14">
        <f t="shared" ref="AV32" si="150">AV49+AV36+AV70</f>
        <v>1197.8394604055907</v>
      </c>
      <c r="AW32" s="14">
        <f>AW49+AW36+AW70</f>
        <v>1696.9706157219348</v>
      </c>
      <c r="AX32" s="24">
        <f>AX49+AX36+AX70</f>
        <v>1849.9804011026476</v>
      </c>
      <c r="AY32" s="718">
        <f t="shared" ref="AY32:AZ32" si="151">AY49+AY36+AY70</f>
        <v>1562.2124732257203</v>
      </c>
      <c r="AZ32" s="847">
        <f t="shared" si="151"/>
        <v>1896.6565060182752</v>
      </c>
      <c r="BA32" s="719">
        <f t="shared" ref="BA32" si="152">BA49+BA36+BA70</f>
        <v>2217.0138754817881</v>
      </c>
      <c r="BB32" s="24">
        <f>BB49+BB36+BB70</f>
        <v>2461.3053124373</v>
      </c>
      <c r="BC32" s="718">
        <f>BC49+BC36+BC70</f>
        <v>2464.4992061885541</v>
      </c>
      <c r="BD32" s="926">
        <f t="shared" ref="BD32" si="153">BD49+BD36+BD70</f>
        <v>2729.7929861175189</v>
      </c>
      <c r="BE32" s="719">
        <f t="shared" ref="BE32:BJ32" si="154">BE49+BE36+BE70</f>
        <v>2954.76751356866</v>
      </c>
      <c r="BF32" s="723">
        <f t="shared" si="154"/>
        <v>3126.3997760779021</v>
      </c>
      <c r="BG32" s="718">
        <f t="shared" si="154"/>
        <v>2818.063932639282</v>
      </c>
      <c r="BH32" s="926">
        <f t="shared" si="154"/>
        <v>3216.5611512199744</v>
      </c>
      <c r="BI32" s="719">
        <f t="shared" si="154"/>
        <v>3476.910839377274</v>
      </c>
      <c r="BJ32" s="723">
        <f t="shared" si="154"/>
        <v>3560.0236212377604</v>
      </c>
      <c r="BK32" s="718">
        <f t="shared" ref="BK32:BN32" si="155">BK49+BK36+BK70</f>
        <v>3252.1613402379444</v>
      </c>
      <c r="BL32" s="926">
        <f t="shared" si="155"/>
        <v>3712.9965604325453</v>
      </c>
      <c r="BM32" s="719">
        <f t="shared" si="155"/>
        <v>3983.4349937072766</v>
      </c>
      <c r="BN32" s="723">
        <f t="shared" si="155"/>
        <v>4096.6688263099322</v>
      </c>
      <c r="BX32" s="29">
        <f t="shared" ref="BX32" si="156">BX49+BX36+BX70</f>
        <v>3468.1430855323169</v>
      </c>
      <c r="BY32" s="29">
        <f>BY49+BY36+BY70</f>
        <v>3838.9061382372779</v>
      </c>
      <c r="BZ32" s="29">
        <f>BZ49+BZ36+BZ70</f>
        <v>4186.9960296820282</v>
      </c>
      <c r="CA32" s="14">
        <f>SUM(AU32:AX32)</f>
        <v>5823.7947768613058</v>
      </c>
      <c r="CB32" s="14">
        <f>SUM(AY32:BB32)</f>
        <v>8137.1881671630836</v>
      </c>
      <c r="CC32" s="926">
        <f>SUM(BC32:BF32)</f>
        <v>11275.459481952636</v>
      </c>
      <c r="CD32" s="926">
        <f>SUM(BG32:BJ32)</f>
        <v>13071.55954447429</v>
      </c>
      <c r="CE32" s="926">
        <f>SUM(BK32:BN32)</f>
        <v>15045.261720687697</v>
      </c>
    </row>
    <row r="33" spans="1:84" s="9" customFormat="1">
      <c r="A33" s="85"/>
      <c r="B33" s="347" t="s">
        <v>246</v>
      </c>
      <c r="C33" s="348"/>
      <c r="D33" s="347"/>
      <c r="E33" s="347"/>
      <c r="F33" s="349"/>
      <c r="G33" s="347"/>
      <c r="H33" s="347"/>
      <c r="I33" s="347"/>
      <c r="J33" s="347"/>
      <c r="K33" s="348"/>
      <c r="L33" s="347"/>
      <c r="M33" s="347"/>
      <c r="N33" s="349"/>
      <c r="O33" s="347"/>
      <c r="P33" s="347"/>
      <c r="Q33" s="347"/>
      <c r="R33" s="347"/>
      <c r="S33" s="348"/>
      <c r="T33" s="347"/>
      <c r="U33" s="347"/>
      <c r="V33" s="349"/>
      <c r="W33" s="350">
        <f t="shared" ref="W33:Y33" si="157">W32-W31</f>
        <v>0</v>
      </c>
      <c r="X33" s="350">
        <f t="shared" si="157"/>
        <v>0</v>
      </c>
      <c r="Y33" s="350">
        <f t="shared" si="157"/>
        <v>0</v>
      </c>
      <c r="Z33" s="350">
        <f t="shared" ref="Z33:AT33" si="158">ROUND(Z32,2)-ROUND(Z31,2)</f>
        <v>0</v>
      </c>
      <c r="AA33" s="351">
        <f t="shared" si="158"/>
        <v>0</v>
      </c>
      <c r="AB33" s="350">
        <f t="shared" si="158"/>
        <v>0</v>
      </c>
      <c r="AC33" s="350">
        <f t="shared" si="158"/>
        <v>0</v>
      </c>
      <c r="AD33" s="352">
        <f t="shared" si="158"/>
        <v>0</v>
      </c>
      <c r="AE33" s="350">
        <f t="shared" si="158"/>
        <v>0</v>
      </c>
      <c r="AF33" s="350">
        <f t="shared" si="158"/>
        <v>0</v>
      </c>
      <c r="AG33" s="350">
        <f t="shared" si="158"/>
        <v>0</v>
      </c>
      <c r="AH33" s="350">
        <f t="shared" si="158"/>
        <v>0</v>
      </c>
      <c r="AI33" s="355">
        <f t="shared" si="158"/>
        <v>0</v>
      </c>
      <c r="AJ33" s="604">
        <f t="shared" si="158"/>
        <v>0</v>
      </c>
      <c r="AK33" s="356">
        <f t="shared" si="158"/>
        <v>0</v>
      </c>
      <c r="AL33" s="354">
        <f t="shared" si="158"/>
        <v>0</v>
      </c>
      <c r="AM33" s="645">
        <f t="shared" si="158"/>
        <v>0</v>
      </c>
      <c r="AN33" s="646">
        <f t="shared" si="158"/>
        <v>0</v>
      </c>
      <c r="AO33" s="646">
        <f t="shared" si="158"/>
        <v>0</v>
      </c>
      <c r="AP33" s="568">
        <f t="shared" si="158"/>
        <v>0</v>
      </c>
      <c r="AQ33" s="356">
        <f t="shared" si="158"/>
        <v>0</v>
      </c>
      <c r="AR33" s="668">
        <f t="shared" si="158"/>
        <v>0</v>
      </c>
      <c r="AS33" s="668">
        <f t="shared" si="158"/>
        <v>0</v>
      </c>
      <c r="AT33" s="568">
        <f t="shared" si="158"/>
        <v>0</v>
      </c>
      <c r="AU33" s="356"/>
      <c r="AV33" s="356"/>
      <c r="AW33" s="356"/>
      <c r="AX33" s="356"/>
      <c r="AY33" s="881"/>
      <c r="AZ33" s="902"/>
      <c r="BA33" s="715"/>
      <c r="BB33" s="356"/>
      <c r="BC33" s="881"/>
      <c r="BD33" s="902"/>
      <c r="BE33" s="715"/>
      <c r="BF33" s="724"/>
      <c r="BG33" s="881"/>
      <c r="BH33" s="902"/>
      <c r="BI33" s="715"/>
      <c r="BJ33" s="724"/>
      <c r="BK33" s="881"/>
      <c r="BL33" s="902"/>
      <c r="BM33" s="715"/>
      <c r="BN33" s="724"/>
      <c r="BO33" s="85"/>
      <c r="BP33" s="356"/>
      <c r="BQ33" s="356"/>
      <c r="BR33" s="356"/>
      <c r="BS33" s="356"/>
      <c r="BT33" s="356"/>
      <c r="BU33" s="356"/>
      <c r="BV33" s="356"/>
      <c r="BW33" s="356"/>
      <c r="BX33" s="356">
        <f t="shared" ref="BX33:BZ33" si="159">ROUND(BX32,2)-ROUND(BX31,2)</f>
        <v>0</v>
      </c>
      <c r="BY33" s="646">
        <f t="shared" si="159"/>
        <v>0</v>
      </c>
      <c r="BZ33" s="356">
        <f t="shared" si="159"/>
        <v>0</v>
      </c>
      <c r="CA33" s="356"/>
      <c r="CB33" s="356"/>
      <c r="CC33" s="356"/>
      <c r="CD33" s="356"/>
      <c r="CE33" s="356"/>
    </row>
    <row r="34" spans="1:84">
      <c r="B34" s="91"/>
      <c r="W34" s="25"/>
      <c r="X34" s="46"/>
      <c r="Y34" s="46"/>
      <c r="Z34" s="46"/>
      <c r="AA34" s="592"/>
      <c r="AB34" s="46"/>
      <c r="AC34" s="46"/>
      <c r="AD34" s="593"/>
      <c r="AE34" s="46"/>
      <c r="AF34" s="594"/>
      <c r="AG34" s="594"/>
      <c r="AH34" s="594"/>
      <c r="AI34" s="653"/>
      <c r="AJ34" s="654"/>
      <c r="AK34" s="654"/>
      <c r="AL34" s="654"/>
      <c r="AM34" s="653"/>
      <c r="AN34" s="654"/>
      <c r="AO34" s="654"/>
      <c r="AP34" s="654"/>
      <c r="AQ34" s="595"/>
      <c r="AR34" s="659"/>
      <c r="AS34" s="127"/>
      <c r="AT34" s="594"/>
      <c r="AU34" s="595"/>
      <c r="AV34" s="35"/>
      <c r="AW34" s="35"/>
      <c r="AX34" s="776"/>
      <c r="AY34" s="882"/>
      <c r="AZ34" s="818"/>
      <c r="BA34" s="818"/>
      <c r="BB34" s="776"/>
      <c r="BC34" s="882"/>
      <c r="BD34" s="818"/>
      <c r="BE34" s="818"/>
      <c r="BF34" s="36"/>
      <c r="BG34" s="882"/>
      <c r="BH34" s="818"/>
      <c r="BI34" s="818"/>
      <c r="BJ34" s="36"/>
      <c r="BK34" s="882"/>
      <c r="BL34" s="818"/>
      <c r="BM34" s="818"/>
      <c r="BN34" s="36"/>
      <c r="BW34" s="565"/>
      <c r="BX34" s="565"/>
      <c r="BY34" s="675"/>
      <c r="BZ34" s="675"/>
      <c r="CA34" s="649"/>
      <c r="CB34" s="649"/>
      <c r="CC34" s="649"/>
      <c r="CD34" s="649"/>
      <c r="CE34" s="649"/>
    </row>
    <row r="35" spans="1:84" s="84" customFormat="1">
      <c r="A35" s="87"/>
      <c r="B35" s="377" t="s">
        <v>258</v>
      </c>
      <c r="C35" s="361"/>
      <c r="F35" s="362"/>
      <c r="K35" s="361"/>
      <c r="N35" s="362"/>
      <c r="S35" s="361"/>
      <c r="V35" s="362"/>
      <c r="W35" s="186"/>
      <c r="X35" s="178"/>
      <c r="Y35" s="178"/>
      <c r="Z35" s="178"/>
      <c r="AA35" s="592"/>
      <c r="AB35" s="178"/>
      <c r="AC35" s="178"/>
      <c r="AD35" s="593"/>
      <c r="AE35" s="178"/>
      <c r="AF35" s="594"/>
      <c r="AG35" s="594"/>
      <c r="AH35" s="594"/>
      <c r="AI35" s="653"/>
      <c r="AJ35" s="654"/>
      <c r="AK35" s="654"/>
      <c r="AL35" s="654"/>
      <c r="AM35" s="653"/>
      <c r="AN35" s="654"/>
      <c r="AO35" s="654"/>
      <c r="AP35" s="654"/>
      <c r="AQ35" s="595"/>
      <c r="AR35" s="659"/>
      <c r="AS35" s="127"/>
      <c r="AT35" s="594"/>
      <c r="AU35" s="595"/>
      <c r="AV35" s="35"/>
      <c r="AW35" s="35"/>
      <c r="AX35" s="36"/>
      <c r="AY35" s="818"/>
      <c r="AZ35" s="818"/>
      <c r="BA35" s="35"/>
      <c r="BB35" s="36"/>
      <c r="BC35" s="818"/>
      <c r="BD35" s="818"/>
      <c r="BE35" s="818"/>
      <c r="BF35" s="36"/>
      <c r="BG35" s="818"/>
      <c r="BH35" s="818"/>
      <c r="BI35" s="818"/>
      <c r="BJ35" s="36"/>
      <c r="BK35" s="818"/>
      <c r="BL35" s="818"/>
      <c r="BM35" s="818"/>
      <c r="BN35" s="36"/>
      <c r="BX35" s="580"/>
      <c r="BY35" s="580"/>
      <c r="BZ35" s="580"/>
      <c r="CA35" s="580"/>
      <c r="CB35" s="580"/>
      <c r="CC35" s="580"/>
      <c r="CD35" s="580"/>
      <c r="CE35" s="580"/>
    </row>
    <row r="36" spans="1:84">
      <c r="B36" s="488" t="s">
        <v>259</v>
      </c>
      <c r="C36" s="489"/>
      <c r="D36" s="89"/>
      <c r="E36" s="89"/>
      <c r="F36" s="490"/>
      <c r="G36" s="89"/>
      <c r="H36" s="89"/>
      <c r="I36" s="89"/>
      <c r="J36" s="89"/>
      <c r="K36" s="489"/>
      <c r="L36" s="89"/>
      <c r="M36" s="89"/>
      <c r="N36" s="490"/>
      <c r="O36" s="89"/>
      <c r="P36" s="89"/>
      <c r="Q36" s="89"/>
      <c r="R36" s="89"/>
      <c r="S36" s="489"/>
      <c r="T36" s="89"/>
      <c r="U36" s="89"/>
      <c r="V36" s="490"/>
      <c r="W36" s="188">
        <v>336.84169406392698</v>
      </c>
      <c r="X36" s="188">
        <v>221.17657268722468</v>
      </c>
      <c r="Y36" s="188">
        <v>310.80796407185636</v>
      </c>
      <c r="Z36" s="188">
        <v>363.95665178571431</v>
      </c>
      <c r="AA36" s="491">
        <v>337.76445783132533</v>
      </c>
      <c r="AB36" s="188">
        <v>272.76776599634371</v>
      </c>
      <c r="AC36" s="188">
        <v>302.70575129533677</v>
      </c>
      <c r="AD36" s="492">
        <v>307.99441340782124</v>
      </c>
      <c r="AE36" s="188">
        <v>284.7</v>
      </c>
      <c r="AF36" s="188">
        <v>310</v>
      </c>
      <c r="AG36" s="188">
        <v>355.30000000000007</v>
      </c>
      <c r="AH36" s="188">
        <v>291.40000000000009</v>
      </c>
      <c r="AI36" s="484">
        <f t="shared" ref="AI36:AT36" si="160">AI40*AI43</f>
        <v>260.97230500000023</v>
      </c>
      <c r="AJ36" s="483">
        <f t="shared" si="160"/>
        <v>305.12232653488508</v>
      </c>
      <c r="AK36" s="483">
        <f t="shared" si="160"/>
        <v>319.64539905526806</v>
      </c>
      <c r="AL36" s="485">
        <f t="shared" si="160"/>
        <v>357.92101771974205</v>
      </c>
      <c r="AM36" s="484">
        <f t="shared" si="160"/>
        <v>330.27709167107167</v>
      </c>
      <c r="AN36" s="47">
        <f t="shared" si="160"/>
        <v>251.38678242156251</v>
      </c>
      <c r="AO36" s="47">
        <f t="shared" si="160"/>
        <v>314.75201583381528</v>
      </c>
      <c r="AP36" s="485">
        <f t="shared" si="160"/>
        <v>375.62747710417875</v>
      </c>
      <c r="AQ36" s="47">
        <f t="shared" si="160"/>
        <v>346.89908289598992</v>
      </c>
      <c r="AR36" s="47">
        <f t="shared" si="160"/>
        <v>389.14639494954554</v>
      </c>
      <c r="AS36" s="47">
        <f t="shared" si="160"/>
        <v>474.14357235370301</v>
      </c>
      <c r="AT36" s="485">
        <f t="shared" si="160"/>
        <v>499.59441411718626</v>
      </c>
      <c r="AU36" s="47">
        <f t="shared" ref="AU36:AX36" si="161">AU40*AU43</f>
        <v>504.59035825835815</v>
      </c>
      <c r="AV36" s="47">
        <f t="shared" si="161"/>
        <v>583.10461800335872</v>
      </c>
      <c r="AW36" s="47">
        <f t="shared" si="161"/>
        <v>892.84979108674293</v>
      </c>
      <c r="AX36" s="777">
        <f t="shared" si="161"/>
        <v>957.46760723465763</v>
      </c>
      <c r="AY36" s="47">
        <f t="shared" ref="AY36:AZ36" si="162">AY40*AY43</f>
        <v>676.45086451128554</v>
      </c>
      <c r="AZ36" s="883">
        <f t="shared" si="162"/>
        <v>889.12701631363382</v>
      </c>
      <c r="BA36" s="883">
        <f t="shared" ref="BA36:BB36" si="163">BA40*BA43</f>
        <v>1054.7046949266405</v>
      </c>
      <c r="BB36" s="777">
        <f t="shared" si="163"/>
        <v>1140.6631275631619</v>
      </c>
      <c r="BC36" s="47">
        <f t="shared" ref="BC36:BD36" si="164">BC40*BC43</f>
        <v>1117.8498650118986</v>
      </c>
      <c r="BD36" s="883">
        <f t="shared" si="164"/>
        <v>1266.5238970584812</v>
      </c>
      <c r="BE36" s="47">
        <f t="shared" ref="BE36:BJ36" si="165">BE40*BE43</f>
        <v>1382.2841812496265</v>
      </c>
      <c r="BF36" s="208">
        <f t="shared" si="165"/>
        <v>1396.1070230621228</v>
      </c>
      <c r="BG36" s="47">
        <f t="shared" si="165"/>
        <v>1151.0902405147203</v>
      </c>
      <c r="BH36" s="883">
        <f t="shared" si="165"/>
        <v>1390.9774466379884</v>
      </c>
      <c r="BI36" s="47">
        <f t="shared" si="165"/>
        <v>1532.3007552164081</v>
      </c>
      <c r="BJ36" s="208">
        <f t="shared" si="165"/>
        <v>1547.6237627685723</v>
      </c>
      <c r="BK36" s="47">
        <f t="shared" ref="BK36:BN36" si="166">BK40*BK43</f>
        <v>1289.1705943862205</v>
      </c>
      <c r="BL36" s="883">
        <f t="shared" si="166"/>
        <v>1557.833746256309</v>
      </c>
      <c r="BM36" s="47">
        <f t="shared" si="166"/>
        <v>1684.3298464523216</v>
      </c>
      <c r="BN36" s="208">
        <f t="shared" si="166"/>
        <v>1701.1731449168446</v>
      </c>
      <c r="BP36" s="104">
        <f>SUM(C36:F36)</f>
        <v>0</v>
      </c>
      <c r="BQ36" s="104">
        <f>SUM(G36:J36)</f>
        <v>0</v>
      </c>
      <c r="BR36" s="104">
        <f>SUM(K36:N36)</f>
        <v>0</v>
      </c>
      <c r="BS36" s="104">
        <f>SUM(O36:R36)</f>
        <v>0</v>
      </c>
      <c r="BT36" s="104">
        <f>SUM(S36:V36)</f>
        <v>0</v>
      </c>
      <c r="BU36" s="104">
        <f>SUM(W36:Z36)</f>
        <v>1232.7828826087223</v>
      </c>
      <c r="BV36" s="104">
        <f>SUM(AA36:AD36)</f>
        <v>1221.2323885308269</v>
      </c>
      <c r="BW36" s="104">
        <f>SUM(AE36:AH36)</f>
        <v>1241.4000000000001</v>
      </c>
      <c r="BX36" s="104">
        <f>SUM(AI36:AL36)</f>
        <v>1243.6610483098955</v>
      </c>
      <c r="BY36" s="104">
        <f>SUM(AM36:AP36)</f>
        <v>1272.0433670306281</v>
      </c>
      <c r="BZ36" s="104">
        <f>SUM(AQ36:AT36)</f>
        <v>1709.7834643164247</v>
      </c>
      <c r="CA36" s="104">
        <f>SUM(AU36:AX36)</f>
        <v>2938.0123745831174</v>
      </c>
      <c r="CB36" s="104">
        <f>SUM(AY36:BB36)</f>
        <v>3760.9457033147219</v>
      </c>
      <c r="CC36" s="104">
        <f>SUM(BC36:BF36)</f>
        <v>5162.7649663821285</v>
      </c>
      <c r="CD36" s="104">
        <f>SUM(BG36:BJ36)</f>
        <v>5621.9922051376889</v>
      </c>
      <c r="CE36" s="104">
        <f>SUM(BK36:BN36)</f>
        <v>6232.5073320116953</v>
      </c>
      <c r="CF36" s="29"/>
    </row>
    <row r="37" spans="1:84">
      <c r="B37" s="192" t="s">
        <v>114</v>
      </c>
      <c r="C37" s="477"/>
      <c r="D37" s="191"/>
      <c r="E37" s="191"/>
      <c r="F37" s="478"/>
      <c r="G37" s="191"/>
      <c r="H37" s="191"/>
      <c r="I37" s="191"/>
      <c r="J37" s="191"/>
      <c r="K37" s="477"/>
      <c r="L37" s="191"/>
      <c r="M37" s="191"/>
      <c r="N37" s="478"/>
      <c r="O37" s="191"/>
      <c r="P37" s="191"/>
      <c r="Q37" s="191"/>
      <c r="R37" s="191"/>
      <c r="S37" s="477"/>
      <c r="T37" s="191"/>
      <c r="U37" s="191"/>
      <c r="V37" s="478"/>
      <c r="W37" s="191"/>
      <c r="X37" s="191"/>
      <c r="Y37" s="191"/>
      <c r="Z37" s="191"/>
      <c r="AA37" s="477">
        <f>AA36/W36-1</f>
        <v>2.7394582786512967E-3</v>
      </c>
      <c r="AB37" s="191">
        <f t="shared" ref="AB37:AN37" si="167">AB36/X36-1</f>
        <v>0.23325794717904569</v>
      </c>
      <c r="AC37" s="191">
        <f t="shared" si="167"/>
        <v>-2.606822769395456E-2</v>
      </c>
      <c r="AD37" s="478">
        <f t="shared" si="167"/>
        <v>-0.15376072426021159</v>
      </c>
      <c r="AE37" s="191">
        <f t="shared" si="167"/>
        <v>-0.15710491912628932</v>
      </c>
      <c r="AF37" s="191">
        <f t="shared" si="167"/>
        <v>0.13649792477368949</v>
      </c>
      <c r="AG37" s="191">
        <f t="shared" si="167"/>
        <v>0.17374710747847466</v>
      </c>
      <c r="AH37" s="191">
        <f t="shared" si="167"/>
        <v>-5.3878942881500191E-2</v>
      </c>
      <c r="AI37" s="477">
        <f t="shared" si="167"/>
        <v>-8.3342799438004045E-2</v>
      </c>
      <c r="AJ37" s="191">
        <f t="shared" si="167"/>
        <v>-1.5734430532628796E-2</v>
      </c>
      <c r="AK37" s="191">
        <f t="shared" si="167"/>
        <v>-0.10035069221708981</v>
      </c>
      <c r="AL37" s="478">
        <f t="shared" si="167"/>
        <v>0.22828077460446794</v>
      </c>
      <c r="AM37" s="477">
        <f t="shared" si="167"/>
        <v>0.2655637603809009</v>
      </c>
      <c r="AN37" s="72">
        <f t="shared" si="167"/>
        <v>-0.17611147870943789</v>
      </c>
      <c r="AO37" s="72">
        <f t="shared" ref="AO37:AT37" si="168">AO36/AK36-1</f>
        <v>-1.5308786661455076E-2</v>
      </c>
      <c r="AP37" s="478">
        <f t="shared" si="168"/>
        <v>4.9470297936795582E-2</v>
      </c>
      <c r="AQ37" s="72">
        <f t="shared" si="168"/>
        <v>5.0327411873519745E-2</v>
      </c>
      <c r="AR37" s="72">
        <f t="shared" si="168"/>
        <v>0.54799863063988519</v>
      </c>
      <c r="AS37" s="72">
        <f t="shared" si="168"/>
        <v>0.50640360824263708</v>
      </c>
      <c r="AT37" s="478">
        <f t="shared" si="168"/>
        <v>0.33002627488464009</v>
      </c>
      <c r="AU37" s="72">
        <f t="shared" ref="AU37" si="169">AU36/AQ36-1</f>
        <v>0.45457391828749372</v>
      </c>
      <c r="AV37" s="72">
        <f t="shared" ref="AV37" si="170">AV36/AR36-1</f>
        <v>0.49841968362307632</v>
      </c>
      <c r="AW37" s="72">
        <f t="shared" ref="AW37" si="171">AW36/AS36-1</f>
        <v>0.88307897258742596</v>
      </c>
      <c r="AX37" s="778">
        <f t="shared" ref="AX37:BB37" si="172">AX36/AT36-1</f>
        <v>0.91648981689789544</v>
      </c>
      <c r="AY37" s="72">
        <f t="shared" si="172"/>
        <v>0.34059411449342858</v>
      </c>
      <c r="AZ37" s="742">
        <f t="shared" si="172"/>
        <v>0.52481559717044179</v>
      </c>
      <c r="BA37" s="742">
        <f t="shared" si="172"/>
        <v>0.18127898494873795</v>
      </c>
      <c r="BB37" s="778">
        <f t="shared" si="172"/>
        <v>0.19133338709766545</v>
      </c>
      <c r="BC37" s="72">
        <f t="shared" ref="BC37" si="173">BC36/AY36-1</f>
        <v>0.65252189576180064</v>
      </c>
      <c r="BD37" s="742">
        <f t="shared" ref="BD37" si="174">BD36/AZ36-1</f>
        <v>0.42445778141975055</v>
      </c>
      <c r="BE37" s="72">
        <f t="shared" ref="BE37" si="175">BE36/BA36-1</f>
        <v>0.31058881969400032</v>
      </c>
      <c r="BF37" s="296">
        <f t="shared" ref="BF37" si="176">BF36/BB36-1</f>
        <v>0.22394332676000017</v>
      </c>
      <c r="BG37" s="72">
        <f t="shared" ref="BG37" si="177">BG36/BC36-1</f>
        <v>2.9735992769000186E-2</v>
      </c>
      <c r="BH37" s="742">
        <f t="shared" ref="BH37" si="178">BH36/BD36-1</f>
        <v>9.8263877901200392E-2</v>
      </c>
      <c r="BI37" s="72">
        <f t="shared" ref="BI37" si="179">BI36/BE36-1</f>
        <v>0.10852802629280034</v>
      </c>
      <c r="BJ37" s="296">
        <f t="shared" ref="BJ37" si="180">BJ36/BF36-1</f>
        <v>0.10852802629280056</v>
      </c>
      <c r="BK37" s="72">
        <f t="shared" ref="BK37" si="181">BK36/BG36-1</f>
        <v>0.11995615027520024</v>
      </c>
      <c r="BL37" s="742">
        <f t="shared" ref="BL37" si="182">BL36/BH36-1</f>
        <v>0.11995615027520001</v>
      </c>
      <c r="BM37" s="72">
        <f t="shared" ref="BM37" si="183">BM36/BI36-1</f>
        <v>9.9216221566400087E-2</v>
      </c>
      <c r="BN37" s="296">
        <f t="shared" ref="BN37" si="184">BN36/BJ36-1</f>
        <v>9.9216221566400087E-2</v>
      </c>
      <c r="BY37" s="54">
        <f t="shared" ref="BY37" si="185">BY36/BX36-1</f>
        <v>2.28215869261994E-2</v>
      </c>
      <c r="BZ37" s="54">
        <f t="shared" ref="BZ37" si="186">BZ36/BY36-1</f>
        <v>0.34412356420491186</v>
      </c>
      <c r="CA37" s="54">
        <f t="shared" ref="CA37" si="187">CA36/BZ36-1</f>
        <v>0.71835348504656493</v>
      </c>
      <c r="CB37" s="54">
        <f t="shared" ref="CB37:CE37" si="188">CB36/CA36-1</f>
        <v>0.28009865984596916</v>
      </c>
      <c r="CC37" s="54">
        <f t="shared" si="188"/>
        <v>0.37273052408916962</v>
      </c>
      <c r="CD37" s="54">
        <f t="shared" si="188"/>
        <v>8.8949863444465427E-2</v>
      </c>
      <c r="CE37" s="54">
        <f t="shared" si="188"/>
        <v>0.10859408988793762</v>
      </c>
      <c r="CF37" s="29"/>
    </row>
    <row r="38" spans="1:84">
      <c r="B38" s="192" t="s">
        <v>115</v>
      </c>
      <c r="C38" s="479"/>
      <c r="D38" s="181"/>
      <c r="E38" s="181"/>
      <c r="F38" s="480"/>
      <c r="G38" s="181"/>
      <c r="H38" s="181"/>
      <c r="I38" s="181"/>
      <c r="J38" s="181"/>
      <c r="K38" s="479"/>
      <c r="L38" s="181"/>
      <c r="M38" s="181"/>
      <c r="N38" s="480"/>
      <c r="O38" s="181"/>
      <c r="P38" s="181"/>
      <c r="Q38" s="181"/>
      <c r="R38" s="181"/>
      <c r="S38" s="479"/>
      <c r="T38" s="181"/>
      <c r="U38" s="181"/>
      <c r="V38" s="480"/>
      <c r="W38" s="181"/>
      <c r="X38" s="181">
        <f>X36/W36-1</f>
        <v>-0.34338124826895977</v>
      </c>
      <c r="Y38" s="181">
        <f t="shared" ref="Y38:AP38" si="189">Y36/X36-1</f>
        <v>0.40524812504163044</v>
      </c>
      <c r="Z38" s="181">
        <f t="shared" si="189"/>
        <v>0.17100169190507097</v>
      </c>
      <c r="AA38" s="479">
        <f t="shared" si="189"/>
        <v>-7.1965147019239173E-2</v>
      </c>
      <c r="AB38" s="181">
        <f t="shared" si="189"/>
        <v>-0.19243200499041269</v>
      </c>
      <c r="AC38" s="181">
        <f t="shared" si="189"/>
        <v>0.10975631665874452</v>
      </c>
      <c r="AD38" s="480">
        <f t="shared" si="189"/>
        <v>1.7471297092484184E-2</v>
      </c>
      <c r="AE38" s="181">
        <f t="shared" si="189"/>
        <v>-7.5632584208521592E-2</v>
      </c>
      <c r="AF38" s="181">
        <f t="shared" si="189"/>
        <v>8.8865472427116288E-2</v>
      </c>
      <c r="AG38" s="181">
        <f t="shared" si="189"/>
        <v>0.14612903225806484</v>
      </c>
      <c r="AH38" s="181">
        <f t="shared" si="189"/>
        <v>-0.17984801576132836</v>
      </c>
      <c r="AI38" s="479">
        <f t="shared" si="189"/>
        <v>-0.10441899450926506</v>
      </c>
      <c r="AJ38" s="181">
        <f t="shared" si="189"/>
        <v>0.16917512199190954</v>
      </c>
      <c r="AK38" s="181">
        <f t="shared" si="189"/>
        <v>4.7597541239652763E-2</v>
      </c>
      <c r="AL38" s="480">
        <f t="shared" si="189"/>
        <v>0.11974399999999985</v>
      </c>
      <c r="AM38" s="479">
        <f t="shared" si="189"/>
        <v>-7.7234710117850658E-2</v>
      </c>
      <c r="AN38" s="181">
        <f>AN36/AM36-1</f>
        <v>-0.23886097836926967</v>
      </c>
      <c r="AO38" s="54">
        <f t="shared" si="189"/>
        <v>0.25206270911249651</v>
      </c>
      <c r="AP38" s="480">
        <f t="shared" si="189"/>
        <v>0.19340769306622918</v>
      </c>
      <c r="AQ38" s="54">
        <f>AQ36/AP36-1</f>
        <v>-7.648107755498712E-2</v>
      </c>
      <c r="AR38" s="54">
        <f>AR36/AQ36-1</f>
        <v>0.12178559741601425</v>
      </c>
      <c r="AS38" s="54">
        <f>AS36/AR36-1</f>
        <v>0.21841954212418613</v>
      </c>
      <c r="AT38" s="480">
        <f>AT36/AS36-1</f>
        <v>5.3677500334218031E-2</v>
      </c>
      <c r="AU38" s="54">
        <f t="shared" ref="AU38:AV38" si="190">AU36/AT36-1</f>
        <v>1.0000000000000009E-2</v>
      </c>
      <c r="AV38" s="54">
        <f t="shared" si="190"/>
        <v>0.15560000000000018</v>
      </c>
      <c r="AW38" s="54">
        <f>AW36/AV36-1</f>
        <v>0.53120000000000012</v>
      </c>
      <c r="AX38" s="779">
        <f>AX36/AW36-1</f>
        <v>7.2372549999999869E-2</v>
      </c>
      <c r="AY38" s="54">
        <f t="shared" ref="AY38:BA38" si="191">AY36/AX36-1</f>
        <v>-0.29350000000000009</v>
      </c>
      <c r="AZ38" s="897">
        <f t="shared" si="191"/>
        <v>0.31440000000000023</v>
      </c>
      <c r="BA38" s="897">
        <f t="shared" si="191"/>
        <v>0.18622500000000031</v>
      </c>
      <c r="BB38" s="779">
        <f>BB36/BA36-1</f>
        <v>8.1500000000000128E-2</v>
      </c>
      <c r="BC38" s="54">
        <f t="shared" ref="BC38" si="192">BC36/BB36-1</f>
        <v>-2.0000000000000018E-2</v>
      </c>
      <c r="BD38" s="897">
        <f t="shared" ref="BD38" si="193">BD36/BC36-1</f>
        <v>0.13300000000000001</v>
      </c>
      <c r="BE38" s="54">
        <f t="shared" ref="BE38" si="194">BE36/BD36-1</f>
        <v>9.1400000000000148E-2</v>
      </c>
      <c r="BF38" s="232">
        <f t="shared" ref="BF38" si="195">BF36/BE36-1</f>
        <v>1.0000000000000009E-2</v>
      </c>
      <c r="BG38" s="54">
        <f t="shared" ref="BG38" si="196">BG36/BF36-1</f>
        <v>-0.17549999999999999</v>
      </c>
      <c r="BH38" s="897">
        <f t="shared" ref="BH38" si="197">BH36/BG36-1</f>
        <v>0.20840000000000036</v>
      </c>
      <c r="BI38" s="54">
        <f t="shared" ref="BI38" si="198">BI36/BH36-1</f>
        <v>0.10160000000000013</v>
      </c>
      <c r="BJ38" s="232">
        <f t="shared" ref="BJ38" si="199">BJ36/BI36-1</f>
        <v>1.0000000000000009E-2</v>
      </c>
      <c r="BK38" s="54">
        <f t="shared" ref="BK38" si="200">BK36/BJ36-1</f>
        <v>-0.16700000000000015</v>
      </c>
      <c r="BL38" s="897">
        <f t="shared" ref="BL38" si="201">BL36/BK36-1</f>
        <v>0.20840000000000014</v>
      </c>
      <c r="BM38" s="54">
        <f t="shared" ref="BM38" si="202">BM36/BL36-1</f>
        <v>8.1200000000000161E-2</v>
      </c>
      <c r="BN38" s="232">
        <f t="shared" ref="BN38" si="203">BN36/BM36-1</f>
        <v>1.0000000000000009E-2</v>
      </c>
      <c r="CE38" s="925"/>
    </row>
    <row r="39" spans="1:84">
      <c r="B39" s="192" t="s">
        <v>311</v>
      </c>
      <c r="C39" s="479"/>
      <c r="D39" s="181"/>
      <c r="E39" s="181"/>
      <c r="F39" s="480"/>
      <c r="G39" s="181"/>
      <c r="H39" s="181"/>
      <c r="I39" s="181"/>
      <c r="J39" s="181"/>
      <c r="K39" s="479"/>
      <c r="L39" s="181"/>
      <c r="M39" s="181"/>
      <c r="N39" s="480"/>
      <c r="O39" s="181"/>
      <c r="P39" s="181"/>
      <c r="Q39" s="181"/>
      <c r="R39" s="181"/>
      <c r="S39" s="479"/>
      <c r="T39" s="181"/>
      <c r="U39" s="181"/>
      <c r="V39" s="480"/>
      <c r="W39" s="181">
        <f>W36/W$22</f>
        <v>0.34705089009793805</v>
      </c>
      <c r="X39" s="181">
        <f t="shared" ref="X39:AN39" si="204">X36/X$22</f>
        <v>0.28892934940539133</v>
      </c>
      <c r="Y39" s="181">
        <f t="shared" si="204"/>
        <v>0.39244519932606253</v>
      </c>
      <c r="Z39" s="181">
        <f t="shared" si="204"/>
        <v>0.44513558290440836</v>
      </c>
      <c r="AA39" s="479">
        <f t="shared" si="204"/>
        <v>0.41315237096048502</v>
      </c>
      <c r="AB39" s="181">
        <f t="shared" si="204"/>
        <v>0.3484367240475858</v>
      </c>
      <c r="AC39" s="181">
        <f t="shared" si="204"/>
        <v>0.3741278873798034</v>
      </c>
      <c r="AD39" s="480">
        <f t="shared" si="204"/>
        <v>0.39618321157058778</v>
      </c>
      <c r="AE39" s="181">
        <f t="shared" si="204"/>
        <v>0.39195170472145546</v>
      </c>
      <c r="AF39" s="181">
        <f t="shared" si="204"/>
        <v>0.38816764835517087</v>
      </c>
      <c r="AG39" s="181">
        <f t="shared" si="204"/>
        <v>0.39733440392570429</v>
      </c>
      <c r="AH39" s="181">
        <f t="shared" si="204"/>
        <v>0.35002414373812341</v>
      </c>
      <c r="AI39" s="479">
        <f t="shared" si="204"/>
        <v>0.33217839873020588</v>
      </c>
      <c r="AJ39" s="181">
        <f t="shared" si="204"/>
        <v>0.35536653478911345</v>
      </c>
      <c r="AK39" s="181">
        <f t="shared" si="204"/>
        <v>0.36454535704663038</v>
      </c>
      <c r="AL39" s="480">
        <f t="shared" si="204"/>
        <v>0.37792895449992248</v>
      </c>
      <c r="AM39" s="479">
        <f t="shared" si="204"/>
        <v>0.36805294141955003</v>
      </c>
      <c r="AN39" s="181">
        <f t="shared" si="204"/>
        <v>0.28632404203007189</v>
      </c>
      <c r="AO39" s="54">
        <f t="shared" ref="AO39:AT39" si="205">AO36/AO$22</f>
        <v>0.31748812852544761</v>
      </c>
      <c r="AP39" s="480">
        <f t="shared" si="205"/>
        <v>0.35033961346468445</v>
      </c>
      <c r="AQ39" s="54">
        <f t="shared" si="205"/>
        <v>0.36904157754892547</v>
      </c>
      <c r="AR39" s="54">
        <f t="shared" si="205"/>
        <v>0.40578351923831651</v>
      </c>
      <c r="AS39" s="54">
        <f t="shared" si="205"/>
        <v>0.42715637148982255</v>
      </c>
      <c r="AT39" s="480">
        <f t="shared" si="205"/>
        <v>0.42410391690762839</v>
      </c>
      <c r="AU39" s="54">
        <f t="shared" ref="AU39:AX39" si="206">AU36/AU$22</f>
        <v>0.46764630051747741</v>
      </c>
      <c r="AV39" s="54">
        <f t="shared" si="206"/>
        <v>0.48754566722688858</v>
      </c>
      <c r="AW39" s="54">
        <f t="shared" si="206"/>
        <v>0.52613423163626571</v>
      </c>
      <c r="AX39" s="779">
        <f t="shared" si="206"/>
        <v>0.51755005796467979</v>
      </c>
      <c r="AY39" s="54">
        <f t="shared" ref="AY39:AZ39" si="207">AY36/AY$22</f>
        <v>0.43306713477034925</v>
      </c>
      <c r="AZ39" s="897">
        <f t="shared" si="207"/>
        <v>0.46870164275890025</v>
      </c>
      <c r="BA39" s="897">
        <f t="shared" ref="BA39:BB39" si="208">BA36/BA$22</f>
        <v>0.47573509017890869</v>
      </c>
      <c r="BB39" s="779">
        <f t="shared" si="208"/>
        <v>0.46349578527556357</v>
      </c>
      <c r="BC39" s="54">
        <f t="shared" ref="BC39:BD39" si="209">BC36/BC$22</f>
        <v>0.45358093936686544</v>
      </c>
      <c r="BD39" s="897">
        <f t="shared" si="209"/>
        <v>0.46396334941859829</v>
      </c>
      <c r="BE39" s="54">
        <f t="shared" ref="BE39:BJ39" si="210">BE36/BE$22</f>
        <v>0.46781487034157698</v>
      </c>
      <c r="BF39" s="232">
        <f t="shared" si="210"/>
        <v>0.44655422308581155</v>
      </c>
      <c r="BG39" s="54">
        <f t="shared" si="210"/>
        <v>0.40846846204679849</v>
      </c>
      <c r="BH39" s="897">
        <f t="shared" si="210"/>
        <v>0.43244240704406312</v>
      </c>
      <c r="BI39" s="54">
        <f t="shared" si="210"/>
        <v>0.44070752055604856</v>
      </c>
      <c r="BJ39" s="232">
        <f t="shared" si="210"/>
        <v>0.43472289159432304</v>
      </c>
      <c r="BK39" s="54">
        <f t="shared" ref="BK39:BN39" si="211">BK36/BK$22</f>
        <v>0.39640425535957524</v>
      </c>
      <c r="BL39" s="897">
        <f t="shared" si="211"/>
        <v>0.41956239950699803</v>
      </c>
      <c r="BM39" s="54">
        <f t="shared" si="211"/>
        <v>0.42283352159959836</v>
      </c>
      <c r="BN39" s="232">
        <f t="shared" si="211"/>
        <v>0.41525766837471545</v>
      </c>
      <c r="CE39" s="925"/>
    </row>
    <row r="40" spans="1:84">
      <c r="B40" s="124" t="s">
        <v>407</v>
      </c>
      <c r="C40" s="493"/>
      <c r="D40" s="183"/>
      <c r="E40" s="183"/>
      <c r="F40" s="494"/>
      <c r="G40" s="183"/>
      <c r="H40" s="183"/>
      <c r="I40" s="183"/>
      <c r="J40" s="183"/>
      <c r="K40" s="493"/>
      <c r="L40" s="183"/>
      <c r="M40" s="183"/>
      <c r="N40" s="494"/>
      <c r="O40" s="183"/>
      <c r="P40" s="183"/>
      <c r="Q40" s="183"/>
      <c r="R40" s="183"/>
      <c r="S40" s="493"/>
      <c r="T40" s="183"/>
      <c r="U40" s="183"/>
      <c r="V40" s="494"/>
      <c r="W40" s="495">
        <v>12.7</v>
      </c>
      <c r="X40" s="495">
        <v>8.5500000000000007</v>
      </c>
      <c r="Y40" s="495">
        <v>11</v>
      </c>
      <c r="Z40" s="495">
        <v>11.45</v>
      </c>
      <c r="AA40" s="496">
        <v>11.25</v>
      </c>
      <c r="AB40" s="495">
        <v>9.52</v>
      </c>
      <c r="AC40" s="495">
        <v>10.5</v>
      </c>
      <c r="AD40" s="497">
        <v>10.199999999999999</v>
      </c>
      <c r="AE40" s="495">
        <v>9.75</v>
      </c>
      <c r="AF40" s="495">
        <v>8.75</v>
      </c>
      <c r="AG40" s="495">
        <v>11.23</v>
      </c>
      <c r="AH40" s="495">
        <v>9.5299999999999994</v>
      </c>
      <c r="AI40" s="496">
        <v>9.51</v>
      </c>
      <c r="AJ40" s="495">
        <v>8.67</v>
      </c>
      <c r="AK40" s="495">
        <v>9.375</v>
      </c>
      <c r="AL40" s="497">
        <v>9.7200000000000006</v>
      </c>
      <c r="AM40" s="496">
        <v>9.08</v>
      </c>
      <c r="AN40" s="504">
        <f t="shared" ref="AN40:AT40" si="212">AM40*(1+AN42)</f>
        <v>7.0824000000000007</v>
      </c>
      <c r="AO40" s="504">
        <f>AN40*(1+AO42)</f>
        <v>8.5697039999999998</v>
      </c>
      <c r="AP40" s="560">
        <f>AO40*(1+AP42)</f>
        <v>9.4266744000000013</v>
      </c>
      <c r="AQ40" s="504">
        <f t="shared" si="212"/>
        <v>8.7936486708363528</v>
      </c>
      <c r="AR40" s="504">
        <f t="shared" si="212"/>
        <v>7.9144836594043273</v>
      </c>
      <c r="AS40" s="504">
        <f t="shared" si="212"/>
        <v>9.0225113717209346</v>
      </c>
      <c r="AT40" s="560">
        <f t="shared" si="212"/>
        <v>9.3834118265897732</v>
      </c>
      <c r="AU40" s="427">
        <f t="shared" ref="AU40" si="213">AT40*(1+AU42)</f>
        <v>9.3834118265897732</v>
      </c>
      <c r="AV40" s="427">
        <f t="shared" ref="AV40" si="214">AU40*(1+AV42)</f>
        <v>10.134084772716955</v>
      </c>
      <c r="AW40" s="427">
        <f t="shared" ref="AW40" si="215">AV40*(1+AW42)</f>
        <v>14.106646003622</v>
      </c>
      <c r="AX40" s="780">
        <f t="shared" ref="AX40:BB40" si="216">AW40*(1+AX42)</f>
        <v>14.977801927575676</v>
      </c>
      <c r="AY40" s="427">
        <f t="shared" si="216"/>
        <v>11.233351445681757</v>
      </c>
      <c r="AZ40" s="743">
        <f t="shared" si="216"/>
        <v>13.929355792645378</v>
      </c>
      <c r="BA40" s="743">
        <f t="shared" si="216"/>
        <v>16.018759161542185</v>
      </c>
      <c r="BB40" s="780">
        <f t="shared" si="216"/>
        <v>16.499321936388451</v>
      </c>
      <c r="BC40" s="427">
        <f t="shared" ref="BC40" si="217">BB40*(1+BC42)</f>
        <v>16.169335497660683</v>
      </c>
      <c r="BD40" s="743">
        <f t="shared" ref="BD40" si="218">BC40*(1+BD42)</f>
        <v>17.786269047426753</v>
      </c>
      <c r="BE40" s="427">
        <f t="shared" ref="BE40" si="219">BD40*(1+BE42)</f>
        <v>19.031307880746628</v>
      </c>
      <c r="BF40" s="428">
        <f t="shared" ref="BF40" si="220">BE40*(1+BF42)</f>
        <v>19.031307880746628</v>
      </c>
      <c r="BG40" s="427">
        <f t="shared" ref="BG40" si="221">BF40*(1+BG42)</f>
        <v>16.176611698634634</v>
      </c>
      <c r="BH40" s="743">
        <f t="shared" ref="BH40" si="222">BG40*(1+BH42)</f>
        <v>18.441337336443485</v>
      </c>
      <c r="BI40" s="427">
        <f t="shared" ref="BI40" si="223">BH40*(1+BI42)</f>
        <v>19.916644323358966</v>
      </c>
      <c r="BJ40" s="428">
        <f t="shared" ref="BJ40" si="224">BI40*(1+BJ42)</f>
        <v>19.916644323358966</v>
      </c>
      <c r="BK40" s="427">
        <f t="shared" ref="BK40" si="225">BJ40*(1+BK42)</f>
        <v>16.92914767485512</v>
      </c>
      <c r="BL40" s="743">
        <f t="shared" ref="BL40" si="226">BK40*(1+BL42)</f>
        <v>19.29922834933484</v>
      </c>
      <c r="BM40" s="427">
        <f t="shared" ref="BM40" si="227">BL40*(1+BM42)</f>
        <v>20.457182050294932</v>
      </c>
      <c r="BN40" s="428">
        <f t="shared" ref="BN40" si="228">BM40*(1+BN42)</f>
        <v>20.457182050294932</v>
      </c>
      <c r="BP40" s="59">
        <f>SUM(C40:F40)</f>
        <v>0</v>
      </c>
      <c r="BQ40" s="59">
        <f>SUM(G40:J40)</f>
        <v>0</v>
      </c>
      <c r="BR40" s="59">
        <f>SUM(K40:N40)</f>
        <v>0</v>
      </c>
      <c r="BS40" s="59">
        <f>SUM(O40:R40)</f>
        <v>0</v>
      </c>
      <c r="BT40" s="59">
        <f>SUM(S40:V40)</f>
        <v>0</v>
      </c>
      <c r="BU40" s="59">
        <f>SUM(W40:Z40)</f>
        <v>43.7</v>
      </c>
      <c r="BV40" s="59">
        <f>SUM(AA40:AD40)</f>
        <v>41.47</v>
      </c>
      <c r="BW40" s="59">
        <f>SUM(AE40:AH40)</f>
        <v>39.26</v>
      </c>
      <c r="BX40" s="59">
        <f>SUM(AI40:AL40)</f>
        <v>37.274999999999999</v>
      </c>
      <c r="BY40" s="59">
        <f>SUM(AM40:AP40)</f>
        <v>34.158778400000003</v>
      </c>
      <c r="BZ40" s="59">
        <f>SUM(AQ40:AT40)</f>
        <v>35.11405552855139</v>
      </c>
      <c r="CA40" s="29">
        <f>SUM(AU40:AX40)</f>
        <v>48.601944530504404</v>
      </c>
      <c r="CB40" s="29">
        <f>SUM(AY40:BB40)</f>
        <v>57.680788336257777</v>
      </c>
      <c r="CC40" s="29">
        <f>SUM(BC40:BF40)</f>
        <v>72.018220306580687</v>
      </c>
      <c r="CD40" s="29">
        <f>SUM(BG40:BJ40)</f>
        <v>74.451237681796044</v>
      </c>
      <c r="CE40" s="29">
        <f>SUM(BK40:BN40)</f>
        <v>77.14274012477982</v>
      </c>
    </row>
    <row r="41" spans="1:84">
      <c r="A41" s="551"/>
      <c r="B41" s="192" t="s">
        <v>114</v>
      </c>
      <c r="C41" s="477"/>
      <c r="D41" s="191"/>
      <c r="E41" s="191"/>
      <c r="F41" s="478"/>
      <c r="G41" s="191"/>
      <c r="H41" s="191"/>
      <c r="I41" s="191"/>
      <c r="J41" s="191"/>
      <c r="K41" s="477"/>
      <c r="L41" s="191"/>
      <c r="M41" s="191"/>
      <c r="N41" s="478"/>
      <c r="O41" s="191"/>
      <c r="P41" s="191"/>
      <c r="Q41" s="191"/>
      <c r="R41" s="191"/>
      <c r="S41" s="477"/>
      <c r="T41" s="191"/>
      <c r="U41" s="191"/>
      <c r="V41" s="478"/>
      <c r="W41" s="191"/>
      <c r="X41" s="191"/>
      <c r="Y41" s="191"/>
      <c r="Z41" s="191"/>
      <c r="AA41" s="477">
        <f>AA40/W40-1</f>
        <v>-0.1141732283464566</v>
      </c>
      <c r="AB41" s="191">
        <f t="shared" ref="AB41:AP41" si="229">AB40/X40-1</f>
        <v>0.11345029239766058</v>
      </c>
      <c r="AC41" s="191">
        <f t="shared" si="229"/>
        <v>-4.5454545454545414E-2</v>
      </c>
      <c r="AD41" s="478">
        <f t="shared" si="229"/>
        <v>-0.10917030567685593</v>
      </c>
      <c r="AE41" s="191">
        <f t="shared" si="229"/>
        <v>-0.1333333333333333</v>
      </c>
      <c r="AF41" s="191">
        <f t="shared" si="229"/>
        <v>-8.0882352941176405E-2</v>
      </c>
      <c r="AG41" s="191">
        <f t="shared" si="229"/>
        <v>6.9523809523809543E-2</v>
      </c>
      <c r="AH41" s="191">
        <f t="shared" si="229"/>
        <v>-6.568627450980391E-2</v>
      </c>
      <c r="AI41" s="477">
        <f t="shared" si="229"/>
        <v>-2.4615384615384595E-2</v>
      </c>
      <c r="AJ41" s="191">
        <f t="shared" si="229"/>
        <v>-9.1428571428571193E-3</v>
      </c>
      <c r="AK41" s="191">
        <f t="shared" si="229"/>
        <v>-0.16518254674977739</v>
      </c>
      <c r="AL41" s="478">
        <f t="shared" si="229"/>
        <v>1.9937040923399874E-2</v>
      </c>
      <c r="AM41" s="477">
        <f t="shared" si="229"/>
        <v>-4.5215562565720235E-2</v>
      </c>
      <c r="AN41" s="191">
        <f t="shared" si="229"/>
        <v>-0.18311418685121095</v>
      </c>
      <c r="AO41" s="191">
        <f t="shared" si="229"/>
        <v>-8.5898240000000015E-2</v>
      </c>
      <c r="AP41" s="478">
        <f t="shared" si="229"/>
        <v>-3.0177530864197499E-2</v>
      </c>
      <c r="AQ41" s="191">
        <f>AQ40/AM40-1</f>
        <v>-3.1536489995996342E-2</v>
      </c>
      <c r="AR41" s="191">
        <f>AR40/AN40-1</f>
        <v>0.11748611479220705</v>
      </c>
      <c r="AS41" s="191">
        <f>AS40/AO40-1</f>
        <v>5.2838157738112734E-2</v>
      </c>
      <c r="AT41" s="478">
        <f>AT40/AP40-1</f>
        <v>-4.5893781385116794E-3</v>
      </c>
      <c r="AU41" s="191">
        <f t="shared" ref="AU41:AV41" si="230">AU40/AQ40-1</f>
        <v>6.7066945454545834E-2</v>
      </c>
      <c r="AV41" s="72">
        <f t="shared" si="230"/>
        <v>0.28044800000000025</v>
      </c>
      <c r="AW41" s="72">
        <f>AW40/AS40-1</f>
        <v>0.56349439999999995</v>
      </c>
      <c r="AX41" s="781">
        <f>AX40/AT40-1</f>
        <v>0.5961999967999998</v>
      </c>
      <c r="AY41" s="884">
        <f t="shared" ref="AY41:BA41" si="231">AY40/AU40-1</f>
        <v>0.19714999759999974</v>
      </c>
      <c r="AZ41" s="742">
        <f t="shared" si="231"/>
        <v>0.37450555279999964</v>
      </c>
      <c r="BA41" s="742">
        <f t="shared" si="231"/>
        <v>0.13554697250000003</v>
      </c>
      <c r="BB41" s="781">
        <f>BB40/AX40-1</f>
        <v>0.10158500000000004</v>
      </c>
      <c r="BC41" s="884">
        <f t="shared" ref="BC41" si="232">BC40/AY40-1</f>
        <v>0.43940440000000014</v>
      </c>
      <c r="BD41" s="742">
        <f t="shared" ref="BD41" si="233">BD40/AZ40-1</f>
        <v>0.27689100000000022</v>
      </c>
      <c r="BE41" s="72">
        <f t="shared" ref="BE41" si="234">BE40/BA40-1</f>
        <v>0.18806380000000034</v>
      </c>
      <c r="BF41" s="296">
        <f t="shared" ref="BF41" si="235">BF40/BB40-1</f>
        <v>0.15346000000000037</v>
      </c>
      <c r="BG41" s="884">
        <f t="shared" ref="BG41" si="236">BG40/BC40-1</f>
        <v>4.5000000000028351E-4</v>
      </c>
      <c r="BH41" s="742">
        <f t="shared" ref="BH41" si="237">BH40/BD40-1</f>
        <v>3.6830000000000362E-2</v>
      </c>
      <c r="BI41" s="72">
        <f t="shared" ref="BI41" si="238">BI40/BE40-1</f>
        <v>4.6520000000000339E-2</v>
      </c>
      <c r="BJ41" s="296">
        <f t="shared" ref="BJ41" si="239">BJ40/BF40-1</f>
        <v>4.6520000000000339E-2</v>
      </c>
      <c r="BK41" s="884">
        <f t="shared" ref="BK41" si="240">BK40/BG40-1</f>
        <v>4.6520000000000117E-2</v>
      </c>
      <c r="BL41" s="742">
        <f t="shared" ref="BL41" si="241">BL40/BH40-1</f>
        <v>4.6520000000000117E-2</v>
      </c>
      <c r="BM41" s="72">
        <f t="shared" ref="BM41" si="242">BM40/BI40-1</f>
        <v>2.7140000000000164E-2</v>
      </c>
      <c r="BN41" s="296">
        <f t="shared" ref="BN41" si="243">BN40/BJ40-1</f>
        <v>2.7140000000000164E-2</v>
      </c>
      <c r="CE41" s="925"/>
    </row>
    <row r="42" spans="1:84">
      <c r="A42" s="551"/>
      <c r="B42" s="192" t="s">
        <v>115</v>
      </c>
      <c r="C42" s="479"/>
      <c r="D42" s="181"/>
      <c r="E42" s="181"/>
      <c r="F42" s="480"/>
      <c r="G42" s="181"/>
      <c r="H42" s="181"/>
      <c r="I42" s="181"/>
      <c r="J42" s="181"/>
      <c r="K42" s="479"/>
      <c r="L42" s="181"/>
      <c r="M42" s="181"/>
      <c r="N42" s="480"/>
      <c r="O42" s="181"/>
      <c r="P42" s="181"/>
      <c r="Q42" s="181"/>
      <c r="R42" s="181"/>
      <c r="S42" s="479"/>
      <c r="T42" s="181"/>
      <c r="U42" s="181"/>
      <c r="V42" s="480"/>
      <c r="W42" s="181"/>
      <c r="X42" s="181">
        <f>X40/W40-1</f>
        <v>-0.32677165354330695</v>
      </c>
      <c r="Y42" s="181">
        <f t="shared" ref="Y42:AM42" si="244">Y40/X40-1</f>
        <v>0.28654970760233911</v>
      </c>
      <c r="Z42" s="181">
        <f t="shared" si="244"/>
        <v>4.0909090909090784E-2</v>
      </c>
      <c r="AA42" s="479">
        <f t="shared" si="244"/>
        <v>-1.7467248908296873E-2</v>
      </c>
      <c r="AB42" s="181">
        <f t="shared" si="244"/>
        <v>-0.15377777777777779</v>
      </c>
      <c r="AC42" s="181">
        <f t="shared" si="244"/>
        <v>0.10294117647058831</v>
      </c>
      <c r="AD42" s="480">
        <f t="shared" si="244"/>
        <v>-2.8571428571428692E-2</v>
      </c>
      <c r="AE42" s="181">
        <f t="shared" si="244"/>
        <v>-4.4117647058823484E-2</v>
      </c>
      <c r="AF42" s="181">
        <f t="shared" si="244"/>
        <v>-0.10256410256410253</v>
      </c>
      <c r="AG42" s="181">
        <f t="shared" si="244"/>
        <v>0.28342857142857159</v>
      </c>
      <c r="AH42" s="181">
        <f t="shared" si="244"/>
        <v>-0.15138023152270708</v>
      </c>
      <c r="AI42" s="479">
        <f t="shared" si="244"/>
        <v>-2.0986358866735833E-3</v>
      </c>
      <c r="AJ42" s="181">
        <f t="shared" si="244"/>
        <v>-8.8328075709779186E-2</v>
      </c>
      <c r="AK42" s="181">
        <f t="shared" si="244"/>
        <v>8.1314878892733589E-2</v>
      </c>
      <c r="AL42" s="480">
        <f t="shared" si="244"/>
        <v>3.6800000000000166E-2</v>
      </c>
      <c r="AM42" s="479">
        <f t="shared" si="244"/>
        <v>-6.5843621399176988E-2</v>
      </c>
      <c r="AN42" s="369">
        <v>-0.22</v>
      </c>
      <c r="AO42" s="369">
        <v>0.21</v>
      </c>
      <c r="AP42" s="561">
        <v>0.1</v>
      </c>
      <c r="AQ42" s="369">
        <v>-6.7152603590896129E-2</v>
      </c>
      <c r="AR42" s="369">
        <v>-9.9977272727272748E-2</v>
      </c>
      <c r="AS42" s="369">
        <v>0.14000000000000001</v>
      </c>
      <c r="AT42" s="561">
        <v>0.04</v>
      </c>
      <c r="AU42" s="825">
        <v>0</v>
      </c>
      <c r="AV42" s="829">
        <v>0.08</v>
      </c>
      <c r="AW42" s="829">
        <v>0.39200000000000002</v>
      </c>
      <c r="AX42" s="830">
        <v>6.1754999999999997E-2</v>
      </c>
      <c r="AY42" s="836">
        <v>-0.25</v>
      </c>
      <c r="AZ42" s="836">
        <v>0.24</v>
      </c>
      <c r="BA42" s="836">
        <v>0.15</v>
      </c>
      <c r="BB42" s="837">
        <v>0.03</v>
      </c>
      <c r="BC42" s="816">
        <v>-0.02</v>
      </c>
      <c r="BD42" s="816">
        <v>0.1</v>
      </c>
      <c r="BE42" s="816">
        <v>7.0000000000000007E-2</v>
      </c>
      <c r="BF42" s="817">
        <v>0</v>
      </c>
      <c r="BG42" s="981">
        <v>-0.15</v>
      </c>
      <c r="BH42" s="981">
        <v>0.14000000000000001</v>
      </c>
      <c r="BI42" s="981">
        <v>0.08</v>
      </c>
      <c r="BJ42" s="983">
        <v>0</v>
      </c>
      <c r="BK42" s="981">
        <v>-0.15</v>
      </c>
      <c r="BL42" s="993">
        <v>0.14000000000000001</v>
      </c>
      <c r="BM42" s="981">
        <v>0.06</v>
      </c>
      <c r="BN42" s="983">
        <v>0</v>
      </c>
      <c r="CE42" s="925"/>
    </row>
    <row r="43" spans="1:84">
      <c r="A43" s="551"/>
      <c r="B43" s="124" t="s">
        <v>408</v>
      </c>
      <c r="C43" s="442"/>
      <c r="D43" s="441"/>
      <c r="E43" s="441"/>
      <c r="F43" s="443"/>
      <c r="G43" s="441"/>
      <c r="H43" s="441"/>
      <c r="I43" s="441"/>
      <c r="J43" s="441"/>
      <c r="K43" s="442"/>
      <c r="L43" s="441"/>
      <c r="M43" s="441"/>
      <c r="N43" s="443"/>
      <c r="O43" s="441"/>
      <c r="P43" s="441"/>
      <c r="Q43" s="441"/>
      <c r="R43" s="441"/>
      <c r="S43" s="442"/>
      <c r="T43" s="441"/>
      <c r="U43" s="441"/>
      <c r="V43" s="443"/>
      <c r="W43" s="504">
        <f>W36/W40</f>
        <v>26.522968036529686</v>
      </c>
      <c r="X43" s="504">
        <f t="shared" ref="X43:AH43" si="245">X36/X40</f>
        <v>25.868604992657854</v>
      </c>
      <c r="Y43" s="504">
        <f t="shared" si="245"/>
        <v>28.255269461077852</v>
      </c>
      <c r="Z43" s="504">
        <f t="shared" si="245"/>
        <v>31.786607142857147</v>
      </c>
      <c r="AA43" s="596">
        <f t="shared" si="245"/>
        <v>30.023507362784475</v>
      </c>
      <c r="AB43" s="504">
        <f t="shared" si="245"/>
        <v>28.65207626012014</v>
      </c>
      <c r="AC43" s="504">
        <f t="shared" si="245"/>
        <v>28.829119170984455</v>
      </c>
      <c r="AD43" s="560">
        <f t="shared" si="245"/>
        <v>30.195530726256987</v>
      </c>
      <c r="AE43" s="504">
        <f t="shared" si="245"/>
        <v>29.2</v>
      </c>
      <c r="AF43" s="504">
        <f t="shared" si="245"/>
        <v>35.428571428571431</v>
      </c>
      <c r="AG43" s="504">
        <f t="shared" si="245"/>
        <v>31.638468388245776</v>
      </c>
      <c r="AH43" s="504">
        <f t="shared" si="245"/>
        <v>30.57712486883527</v>
      </c>
      <c r="AI43" s="596">
        <f t="shared" ref="AI43:AT43" si="246">AH43*(1+AI44)</f>
        <v>27.441882754994765</v>
      </c>
      <c r="AJ43" s="504">
        <f t="shared" si="246"/>
        <v>35.192886566884091</v>
      </c>
      <c r="AK43" s="504">
        <f t="shared" si="246"/>
        <v>34.095509232561923</v>
      </c>
      <c r="AL43" s="560">
        <f t="shared" si="246"/>
        <v>36.823149971166877</v>
      </c>
      <c r="AM43" s="596">
        <f t="shared" si="246"/>
        <v>36.374129038664279</v>
      </c>
      <c r="AN43" s="504">
        <f t="shared" si="246"/>
        <v>35.49457562712675</v>
      </c>
      <c r="AO43" s="504">
        <f t="shared" si="246"/>
        <v>36.728458279751003</v>
      </c>
      <c r="AP43" s="560">
        <f t="shared" si="246"/>
        <v>39.847295150469897</v>
      </c>
      <c r="AQ43" s="596">
        <f t="shared" si="246"/>
        <v>39.448822198965196</v>
      </c>
      <c r="AR43" s="504">
        <f t="shared" si="246"/>
        <v>49.168892336664968</v>
      </c>
      <c r="AS43" s="504">
        <f t="shared" si="246"/>
        <v>52.551174813677832</v>
      </c>
      <c r="AT43" s="560">
        <f t="shared" si="246"/>
        <v>53.242298574329396</v>
      </c>
      <c r="AU43" s="596">
        <f t="shared" ref="AU43" si="247">AT43*(1+AU44)</f>
        <v>53.774721560072692</v>
      </c>
      <c r="AV43" s="504">
        <f t="shared" ref="AV43" si="248">AU43*(1+AV44)</f>
        <v>57.538952069277784</v>
      </c>
      <c r="AW43" s="504">
        <f t="shared" ref="AW43" si="249">AV43*(1+AW44)</f>
        <v>63.29284727620557</v>
      </c>
      <c r="AX43" s="815">
        <f t="shared" ref="AX43:BB43" si="250">AW43*(1+AX44)</f>
        <v>63.925775748967624</v>
      </c>
      <c r="AY43" s="885">
        <f t="shared" si="250"/>
        <v>60.218080755527495</v>
      </c>
      <c r="AZ43" s="887">
        <f t="shared" si="250"/>
        <v>63.831165600859151</v>
      </c>
      <c r="BA43" s="887">
        <f t="shared" si="250"/>
        <v>65.841847317286224</v>
      </c>
      <c r="BB43" s="815">
        <f t="shared" si="250"/>
        <v>69.133939683150544</v>
      </c>
      <c r="BC43" s="885">
        <f t="shared" ref="BC43" si="251">BB43*(1+BC44)</f>
        <v>69.133939683150544</v>
      </c>
      <c r="BD43" s="887">
        <f t="shared" ref="BD43" si="252">BC43*(1+BD44)</f>
        <v>71.207957873645057</v>
      </c>
      <c r="BE43" s="427">
        <f t="shared" ref="BE43" si="253">BD43*(1+BE44)</f>
        <v>72.632117031117957</v>
      </c>
      <c r="BF43" s="428">
        <f t="shared" ref="BF43" si="254">BE43*(1+BF44)</f>
        <v>73.358438201429138</v>
      </c>
      <c r="BG43" s="885">
        <f t="shared" ref="BG43" si="255">BF43*(1+BG44)</f>
        <v>71.157685055386267</v>
      </c>
      <c r="BH43" s="887">
        <f t="shared" ref="BH43" si="256">BG43*(1+BH44)</f>
        <v>75.427146158709448</v>
      </c>
      <c r="BI43" s="427">
        <f t="shared" ref="BI43" si="257">BH43*(1+BI44)</f>
        <v>76.935689081883638</v>
      </c>
      <c r="BJ43" s="428">
        <f t="shared" ref="BJ43" si="258">BI43*(1+BJ44)</f>
        <v>77.705045972702479</v>
      </c>
      <c r="BK43" s="885">
        <f t="shared" ref="BK43" si="259">BJ43*(1+BK44)</f>
        <v>76.150945053248421</v>
      </c>
      <c r="BL43" s="887">
        <f t="shared" ref="BL43" si="260">BK43*(1+BL44)</f>
        <v>80.720001756443324</v>
      </c>
      <c r="BM43" s="427">
        <f t="shared" ref="BM43" si="261">BL43*(1+BM44)</f>
        <v>82.334401791572191</v>
      </c>
      <c r="BN43" s="428">
        <f t="shared" ref="BN43" si="262">BM43*(1+BN44)</f>
        <v>83.157745809487906</v>
      </c>
      <c r="BP43" s="59"/>
      <c r="BQ43" s="59"/>
      <c r="BR43" s="59"/>
      <c r="BS43" s="59"/>
      <c r="BT43" s="59"/>
      <c r="BU43" s="164">
        <f>AVERAGE(W43:Z43)</f>
        <v>28.108362408280634</v>
      </c>
      <c r="BV43" s="164">
        <f>AVERAGE(AA43:AD43)</f>
        <v>29.425058380036514</v>
      </c>
      <c r="BW43" s="164">
        <f>AVERAGE(AE43:AH43)</f>
        <v>31.711041171413118</v>
      </c>
      <c r="BX43" s="536">
        <f>AVERAGE(AI43:AL43)</f>
        <v>33.388357131401918</v>
      </c>
      <c r="BY43" s="536">
        <f>AVERAGE(AM43:AP43)</f>
        <v>37.111114524002986</v>
      </c>
      <c r="BZ43" s="536">
        <f>AVERAGE(AQ43:AT43)</f>
        <v>48.602796980909353</v>
      </c>
      <c r="CA43" s="536">
        <f>AVERAGE(AU43:AX43)</f>
        <v>59.633074163630916</v>
      </c>
      <c r="CB43" s="536">
        <f>AVERAGE(AY43:BB43)</f>
        <v>64.756258339205857</v>
      </c>
      <c r="CC43" s="536">
        <f>AVERAGE(BC43:BF43)</f>
        <v>71.583113197335678</v>
      </c>
      <c r="CD43" s="536">
        <f>AVERAGE(BG43:BJ43)</f>
        <v>75.306391567170451</v>
      </c>
      <c r="CE43" s="536">
        <f>AVERAGE(BK43:BN43)</f>
        <v>80.59077360268796</v>
      </c>
    </row>
    <row r="44" spans="1:84">
      <c r="A44" s="551"/>
      <c r="B44" s="192" t="s">
        <v>115</v>
      </c>
      <c r="C44" s="475"/>
      <c r="D44" s="474"/>
      <c r="E44" s="474"/>
      <c r="F44" s="476"/>
      <c r="G44" s="474"/>
      <c r="H44" s="474"/>
      <c r="I44" s="474"/>
      <c r="J44" s="474"/>
      <c r="K44" s="475"/>
      <c r="L44" s="474"/>
      <c r="M44" s="474"/>
      <c r="N44" s="476"/>
      <c r="O44" s="474"/>
      <c r="P44" s="474"/>
      <c r="Q44" s="474"/>
      <c r="R44" s="474"/>
      <c r="S44" s="475"/>
      <c r="T44" s="474"/>
      <c r="U44" s="474"/>
      <c r="V44" s="476"/>
      <c r="W44" s="435"/>
      <c r="X44" s="435"/>
      <c r="Y44" s="435"/>
      <c r="Z44" s="435"/>
      <c r="AA44" s="436"/>
      <c r="AB44" s="435"/>
      <c r="AC44" s="435"/>
      <c r="AD44" s="437"/>
      <c r="AE44" s="435"/>
      <c r="AF44" s="435"/>
      <c r="AG44" s="435"/>
      <c r="AH44" s="437"/>
      <c r="AI44" s="597">
        <v>-0.10253554339361701</v>
      </c>
      <c r="AJ44" s="597">
        <v>0.28245160439942996</v>
      </c>
      <c r="AK44" s="597">
        <v>-3.1181793861569218E-2</v>
      </c>
      <c r="AL44" s="598">
        <v>0.08</v>
      </c>
      <c r="AM44" s="597">
        <v>-1.2193984839813772E-2</v>
      </c>
      <c r="AN44" s="597">
        <v>-2.4180741499063713E-2</v>
      </c>
      <c r="AO44" s="597">
        <v>3.4762569514460051E-2</v>
      </c>
      <c r="AP44" s="598">
        <v>8.4916084605662967E-2</v>
      </c>
      <c r="AQ44" s="597">
        <v>-0.01</v>
      </c>
      <c r="AR44" s="597">
        <v>0.2463969669024679</v>
      </c>
      <c r="AS44" s="597">
        <v>6.8789072038759697E-2</v>
      </c>
      <c r="AT44" s="598">
        <v>1.3151442629055691E-2</v>
      </c>
      <c r="AU44" s="597">
        <v>0.01</v>
      </c>
      <c r="AV44" s="831">
        <v>7.0000000000000007E-2</v>
      </c>
      <c r="AW44" s="833">
        <v>0.1</v>
      </c>
      <c r="AX44" s="832">
        <v>0.01</v>
      </c>
      <c r="AY44" s="864">
        <v>-5.8000000000000003E-2</v>
      </c>
      <c r="AZ44" s="831">
        <v>0.06</v>
      </c>
      <c r="BA44" s="831">
        <v>3.15E-2</v>
      </c>
      <c r="BB44" s="832">
        <v>0.05</v>
      </c>
      <c r="BC44" s="942">
        <v>0</v>
      </c>
      <c r="BD44" s="943">
        <v>0.03</v>
      </c>
      <c r="BE44" s="599">
        <v>0.02</v>
      </c>
      <c r="BF44" s="600">
        <v>0.01</v>
      </c>
      <c r="BG44" s="942">
        <v>-0.03</v>
      </c>
      <c r="BH44" s="981">
        <v>0.06</v>
      </c>
      <c r="BI44" s="981">
        <v>0.02</v>
      </c>
      <c r="BJ44" s="983">
        <v>0.01</v>
      </c>
      <c r="BK44" s="942">
        <v>-0.02</v>
      </c>
      <c r="BL44" s="981">
        <v>0.06</v>
      </c>
      <c r="BM44" s="981">
        <v>0.02</v>
      </c>
      <c r="BN44" s="983">
        <v>0.01</v>
      </c>
      <c r="BU44" s="99">
        <f t="shared" ref="BU44:BW44" si="263">BU43/BU45-1</f>
        <v>0.22808115842388799</v>
      </c>
      <c r="BV44" s="99">
        <f t="shared" si="263"/>
        <v>0.36885100158200501</v>
      </c>
      <c r="BW44" s="99">
        <f t="shared" si="263"/>
        <v>0.3822373140838331</v>
      </c>
      <c r="BX44" s="99"/>
      <c r="BY44" s="99">
        <f t="shared" ref="BY44:CE44" si="264">BY43/BX43-1</f>
        <v>0.11149866936998221</v>
      </c>
      <c r="BZ44" s="99">
        <f t="shared" si="264"/>
        <v>0.309656085630996</v>
      </c>
      <c r="CA44" s="99">
        <f t="shared" si="264"/>
        <v>0.22694737479931737</v>
      </c>
      <c r="CB44" s="99">
        <f t="shared" si="264"/>
        <v>8.5911790519420661E-2</v>
      </c>
      <c r="CC44" s="99">
        <f t="shared" si="264"/>
        <v>0.10542386223690436</v>
      </c>
      <c r="CD44" s="99">
        <f t="shared" si="264"/>
        <v>5.2013361860508756E-2</v>
      </c>
      <c r="CE44" s="99">
        <f t="shared" si="264"/>
        <v>7.0171760000000027E-2</v>
      </c>
    </row>
    <row r="45" spans="1:84">
      <c r="A45" s="551"/>
      <c r="B45" s="124" t="s">
        <v>405</v>
      </c>
      <c r="C45" s="475"/>
      <c r="D45" s="474"/>
      <c r="E45" s="474"/>
      <c r="F45" s="476"/>
      <c r="G45" s="474"/>
      <c r="H45" s="474"/>
      <c r="I45" s="474"/>
      <c r="J45" s="474"/>
      <c r="K45" s="475"/>
      <c r="L45" s="474"/>
      <c r="M45" s="474"/>
      <c r="N45" s="476"/>
      <c r="O45" s="474"/>
      <c r="P45" s="474"/>
      <c r="Q45" s="474"/>
      <c r="R45" s="474"/>
      <c r="S45" s="475"/>
      <c r="T45" s="474"/>
      <c r="U45" s="474"/>
      <c r="V45" s="476"/>
      <c r="W45" s="495">
        <v>23.27317695053544</v>
      </c>
      <c r="X45" s="495">
        <v>25.667483870967743</v>
      </c>
      <c r="Y45" s="495">
        <v>21.208653846153847</v>
      </c>
      <c r="Z45" s="495">
        <v>21.402818399361873</v>
      </c>
      <c r="AA45" s="496">
        <v>21.66797782470961</v>
      </c>
      <c r="AB45" s="495">
        <v>21.073428749222153</v>
      </c>
      <c r="AC45" s="495">
        <v>21.55997413049727</v>
      </c>
      <c r="AD45" s="497">
        <v>21.683312577833124</v>
      </c>
      <c r="AE45" s="495">
        <v>22.052278360343184</v>
      </c>
      <c r="AF45" s="495">
        <v>23.146949152542373</v>
      </c>
      <c r="AG45" s="495">
        <v>23.479937034917</v>
      </c>
      <c r="AH45" s="495">
        <v>23.088119834710742</v>
      </c>
      <c r="AI45" s="496">
        <v>22.296802030456853</v>
      </c>
      <c r="AJ45" s="495">
        <v>23.193758967001436</v>
      </c>
      <c r="AK45" s="495">
        <v>23.717820773930754</v>
      </c>
      <c r="AL45" s="497">
        <v>25.765669421487605</v>
      </c>
      <c r="AM45" s="496">
        <v>27.8</v>
      </c>
      <c r="AN45" s="495">
        <v>29</v>
      </c>
      <c r="AO45" s="495">
        <v>27.8</v>
      </c>
      <c r="AP45" s="497">
        <v>29.19</v>
      </c>
      <c r="AQ45" s="495">
        <v>31.13</v>
      </c>
      <c r="AR45" s="495">
        <v>39.58</v>
      </c>
      <c r="AS45" s="495"/>
      <c r="AT45" s="497"/>
      <c r="AU45" s="438"/>
      <c r="AV45" s="427"/>
      <c r="AW45" s="743"/>
      <c r="AX45" s="780"/>
      <c r="AY45" s="886"/>
      <c r="AZ45" s="743"/>
      <c r="BA45" s="427"/>
      <c r="BB45" s="780"/>
      <c r="BC45" s="886"/>
      <c r="BD45" s="743"/>
      <c r="BE45" s="427"/>
      <c r="BF45" s="428"/>
      <c r="BG45" s="886"/>
      <c r="BH45" s="743"/>
      <c r="BI45" s="427"/>
      <c r="BJ45" s="428"/>
      <c r="BK45" s="886"/>
      <c r="BL45" s="743"/>
      <c r="BM45" s="427"/>
      <c r="BN45" s="428"/>
      <c r="BU45" s="164">
        <f>AVERAGE(W45:Z45)</f>
        <v>22.888033266754729</v>
      </c>
      <c r="BV45" s="164">
        <f>AVERAGE(AA45:AD45)</f>
        <v>21.496173320565539</v>
      </c>
      <c r="BW45" s="164">
        <f>AVERAGE(AE45:AH45)</f>
        <v>22.941821095628324</v>
      </c>
      <c r="BX45" s="536">
        <f>AVERAGE(AI45:AL45)</f>
        <v>23.743512798219161</v>
      </c>
      <c r="BY45" s="536">
        <f>AVERAGE(AM45:AP45)</f>
        <v>28.447499999999998</v>
      </c>
      <c r="BZ45" s="536">
        <f>AVERAGE(AQ45:AT45)</f>
        <v>35.354999999999997</v>
      </c>
      <c r="CA45" s="536"/>
      <c r="CB45" s="536"/>
      <c r="CC45" s="536"/>
      <c r="CD45" s="536"/>
      <c r="CE45" s="536"/>
    </row>
    <row r="46" spans="1:84">
      <c r="A46" s="551"/>
      <c r="B46" s="192" t="s">
        <v>114</v>
      </c>
      <c r="C46" s="477"/>
      <c r="D46" s="191"/>
      <c r="E46" s="191"/>
      <c r="F46" s="478"/>
      <c r="G46" s="191"/>
      <c r="H46" s="191"/>
      <c r="I46" s="191"/>
      <c r="J46" s="191"/>
      <c r="K46" s="477"/>
      <c r="L46" s="191"/>
      <c r="M46" s="191"/>
      <c r="N46" s="478"/>
      <c r="O46" s="191"/>
      <c r="P46" s="191"/>
      <c r="Q46" s="191"/>
      <c r="R46" s="191"/>
      <c r="S46" s="477"/>
      <c r="T46" s="191"/>
      <c r="U46" s="191"/>
      <c r="V46" s="478"/>
      <c r="W46" s="191"/>
      <c r="X46" s="191"/>
      <c r="Y46" s="191"/>
      <c r="Z46" s="191"/>
      <c r="AA46" s="477">
        <f>AA45/W45-1</f>
        <v>-6.8972067253108782E-2</v>
      </c>
      <c r="AB46" s="191">
        <f t="shared" ref="AB46:AM46" si="265">AB45/X45-1</f>
        <v>-0.17898346191002712</v>
      </c>
      <c r="AC46" s="191">
        <f t="shared" si="265"/>
        <v>1.656494970835376E-2</v>
      </c>
      <c r="AD46" s="478">
        <f t="shared" si="265"/>
        <v>1.310547859807154E-2</v>
      </c>
      <c r="AE46" s="191">
        <f t="shared" si="265"/>
        <v>1.7735874512264216E-2</v>
      </c>
      <c r="AF46" s="191">
        <f t="shared" si="265"/>
        <v>9.839501810528839E-2</v>
      </c>
      <c r="AG46" s="191">
        <f t="shared" si="265"/>
        <v>8.9052189617606414E-2</v>
      </c>
      <c r="AH46" s="191">
        <f t="shared" si="265"/>
        <v>6.4787483546852265E-2</v>
      </c>
      <c r="AI46" s="477">
        <f t="shared" si="265"/>
        <v>1.1088363121399603E-2</v>
      </c>
      <c r="AJ46" s="191">
        <f t="shared" si="265"/>
        <v>2.0222887323326777E-3</v>
      </c>
      <c r="AK46" s="191">
        <f t="shared" si="265"/>
        <v>1.0131361879718748E-2</v>
      </c>
      <c r="AL46" s="478">
        <f t="shared" si="265"/>
        <v>0.11597088051974791</v>
      </c>
      <c r="AM46" s="477">
        <f t="shared" si="265"/>
        <v>0.24681557301472745</v>
      </c>
      <c r="AN46" s="191">
        <f>AN45/AJ45-1</f>
        <v>0.25033635303614665</v>
      </c>
      <c r="AO46" s="191">
        <f>AO45/AK45-1</f>
        <v>0.1721144309580136</v>
      </c>
      <c r="AP46" s="478">
        <f>AP45/AL45-1</f>
        <v>0.13290283758964283</v>
      </c>
      <c r="AQ46" s="191">
        <f>AQ45/AM45-1</f>
        <v>0.11978417266187047</v>
      </c>
      <c r="AR46" s="191">
        <f>AR45/AN45-1</f>
        <v>0.36482758620689659</v>
      </c>
      <c r="AS46" s="191"/>
      <c r="AT46" s="478"/>
      <c r="AU46" s="72"/>
      <c r="AV46" s="72"/>
      <c r="AW46" s="742"/>
      <c r="AX46" s="781"/>
      <c r="AY46" s="742"/>
      <c r="AZ46" s="742"/>
      <c r="BA46" s="72"/>
      <c r="BB46" s="781"/>
      <c r="BC46" s="742"/>
      <c r="BD46" s="742"/>
      <c r="BE46" s="72"/>
      <c r="BF46" s="296"/>
      <c r="BG46" s="742"/>
      <c r="BH46" s="742"/>
      <c r="BI46" s="72"/>
      <c r="BJ46" s="296"/>
      <c r="BK46" s="742"/>
      <c r="BL46" s="742"/>
      <c r="BM46" s="72"/>
      <c r="BN46" s="296"/>
      <c r="BU46" s="54"/>
      <c r="BV46" s="54">
        <f>BV43/BU43-1</f>
        <v>4.6843567498901617E-2</v>
      </c>
      <c r="BW46" s="54">
        <f>BW43/BV43-1</f>
        <v>7.7688300966211044E-2</v>
      </c>
      <c r="BX46" s="54">
        <f>BX43/BW43-1</f>
        <v>5.2893752397536131E-2</v>
      </c>
      <c r="BY46" s="54">
        <f>BY43/BX43-1</f>
        <v>0.11149866936998221</v>
      </c>
      <c r="BZ46" s="54">
        <f>BZ43/BY43-1</f>
        <v>0.309656085630996</v>
      </c>
      <c r="CA46" s="54"/>
      <c r="CB46" s="54"/>
      <c r="CC46" s="54"/>
      <c r="CD46" s="54"/>
      <c r="CE46" s="54"/>
    </row>
    <row r="47" spans="1:84">
      <c r="B47" s="192" t="s">
        <v>115</v>
      </c>
      <c r="C47" s="479"/>
      <c r="D47" s="181"/>
      <c r="E47" s="181"/>
      <c r="F47" s="480"/>
      <c r="G47" s="181"/>
      <c r="H47" s="181"/>
      <c r="I47" s="181"/>
      <c r="J47" s="181"/>
      <c r="K47" s="479"/>
      <c r="L47" s="181"/>
      <c r="M47" s="181"/>
      <c r="N47" s="480"/>
      <c r="O47" s="181"/>
      <c r="P47" s="181"/>
      <c r="Q47" s="181"/>
      <c r="R47" s="181"/>
      <c r="S47" s="479"/>
      <c r="T47" s="181"/>
      <c r="U47" s="181"/>
      <c r="V47" s="480"/>
      <c r="W47" s="181"/>
      <c r="X47" s="181">
        <f t="shared" ref="X47:AL47" si="266">X45/W45-1</f>
        <v>0.10287838766151847</v>
      </c>
      <c r="Y47" s="181">
        <f t="shared" si="266"/>
        <v>-0.17371511937939654</v>
      </c>
      <c r="Z47" s="181">
        <f t="shared" si="266"/>
        <v>9.154968279292186E-3</v>
      </c>
      <c r="AA47" s="479">
        <f t="shared" si="266"/>
        <v>1.2388995710753692E-2</v>
      </c>
      <c r="AB47" s="181">
        <f t="shared" si="266"/>
        <v>-2.7439066086243136E-2</v>
      </c>
      <c r="AC47" s="181">
        <f t="shared" si="266"/>
        <v>2.3088097673382935E-2</v>
      </c>
      <c r="AD47" s="480">
        <f t="shared" si="266"/>
        <v>5.7207140690112013E-3</v>
      </c>
      <c r="AE47" s="181">
        <f t="shared" si="266"/>
        <v>1.7016116941802162E-2</v>
      </c>
      <c r="AF47" s="181">
        <f t="shared" si="266"/>
        <v>4.9639804754493921E-2</v>
      </c>
      <c r="AG47" s="181">
        <f t="shared" si="266"/>
        <v>1.4385821655380271E-2</v>
      </c>
      <c r="AH47" s="181">
        <f t="shared" si="266"/>
        <v>-1.668731903427112E-2</v>
      </c>
      <c r="AI47" s="479">
        <f t="shared" si="266"/>
        <v>-3.4273808777803616E-2</v>
      </c>
      <c r="AJ47" s="181">
        <f t="shared" si="266"/>
        <v>4.0228053122567164E-2</v>
      </c>
      <c r="AK47" s="181">
        <f t="shared" si="266"/>
        <v>2.2594949256604657E-2</v>
      </c>
      <c r="AL47" s="480">
        <f t="shared" si="266"/>
        <v>8.634219252587183E-2</v>
      </c>
      <c r="AM47" s="479">
        <f t="shared" ref="AM47:AR47" si="267">AM45/AL45-1</f>
        <v>7.8955083418707606E-2</v>
      </c>
      <c r="AN47" s="181">
        <f t="shared" si="267"/>
        <v>4.3165467625899234E-2</v>
      </c>
      <c r="AO47" s="181">
        <f t="shared" si="267"/>
        <v>-4.1379310344827558E-2</v>
      </c>
      <c r="AP47" s="480">
        <f t="shared" si="267"/>
        <v>5.0000000000000044E-2</v>
      </c>
      <c r="AQ47" s="479">
        <f t="shared" si="267"/>
        <v>6.6461116820828892E-2</v>
      </c>
      <c r="AR47" s="181">
        <f t="shared" si="267"/>
        <v>0.27144233858014766</v>
      </c>
      <c r="AS47" s="369"/>
      <c r="AT47" s="561"/>
      <c r="AU47" s="597"/>
      <c r="AV47" s="181"/>
      <c r="AW47" s="744"/>
      <c r="AX47" s="779"/>
      <c r="AY47" s="833"/>
      <c r="AZ47" s="744"/>
      <c r="BA47" s="181"/>
      <c r="BB47" s="779"/>
      <c r="BC47" s="833"/>
      <c r="BD47" s="744"/>
      <c r="BE47" s="181"/>
      <c r="BF47" s="480"/>
      <c r="BG47" s="833"/>
      <c r="BH47" s="744"/>
      <c r="BI47" s="181"/>
      <c r="BJ47" s="480"/>
      <c r="BK47" s="833"/>
      <c r="BL47" s="744"/>
      <c r="BM47" s="181"/>
      <c r="BN47" s="480"/>
      <c r="BU47" s="54"/>
      <c r="BW47" s="54"/>
      <c r="BX47" s="54"/>
      <c r="BY47" s="54"/>
      <c r="BZ47" s="54"/>
      <c r="CE47" s="925"/>
    </row>
    <row r="48" spans="1:84">
      <c r="B48" s="192"/>
      <c r="C48" s="477"/>
      <c r="D48" s="191"/>
      <c r="E48" s="191"/>
      <c r="F48" s="478"/>
      <c r="G48" s="191"/>
      <c r="H48" s="191"/>
      <c r="I48" s="191"/>
      <c r="J48" s="191"/>
      <c r="K48" s="477"/>
      <c r="L48" s="191"/>
      <c r="M48" s="191"/>
      <c r="N48" s="478"/>
      <c r="O48" s="191"/>
      <c r="P48" s="191"/>
      <c r="Q48" s="191"/>
      <c r="R48" s="191"/>
      <c r="S48" s="477"/>
      <c r="T48" s="191"/>
      <c r="U48" s="191"/>
      <c r="V48" s="478"/>
      <c r="W48" s="191"/>
      <c r="X48" s="191"/>
      <c r="Y48" s="191"/>
      <c r="Z48" s="191"/>
      <c r="AA48" s="477"/>
      <c r="AB48" s="191"/>
      <c r="AC48" s="191"/>
      <c r="AD48" s="478"/>
      <c r="AE48" s="191"/>
      <c r="AF48" s="191"/>
      <c r="AG48" s="191"/>
      <c r="AH48" s="191"/>
      <c r="AI48" s="477"/>
      <c r="AJ48" s="191"/>
      <c r="AK48" s="191"/>
      <c r="AL48" s="478"/>
      <c r="AM48" s="477"/>
      <c r="AN48" s="84"/>
      <c r="AO48" s="84"/>
      <c r="AP48" s="478"/>
      <c r="AQ48" s="654"/>
      <c r="AR48" s="84"/>
      <c r="AS48" s="84"/>
      <c r="AT48" s="478"/>
      <c r="BF48" s="16"/>
      <c r="BJ48" s="16"/>
      <c r="BN48" s="16"/>
      <c r="CE48" s="925"/>
    </row>
    <row r="49" spans="2:83">
      <c r="B49" s="498" t="s">
        <v>260</v>
      </c>
      <c r="C49" s="489"/>
      <c r="D49" s="89"/>
      <c r="E49" s="89"/>
      <c r="F49" s="490"/>
      <c r="G49" s="89"/>
      <c r="H49" s="89"/>
      <c r="I49" s="89"/>
      <c r="J49" s="89"/>
      <c r="K49" s="489"/>
      <c r="L49" s="89"/>
      <c r="M49" s="89"/>
      <c r="N49" s="490"/>
      <c r="O49" s="89"/>
      <c r="P49" s="89"/>
      <c r="Q49" s="89"/>
      <c r="R49" s="89"/>
      <c r="S49" s="489"/>
      <c r="T49" s="89"/>
      <c r="U49" s="89"/>
      <c r="V49" s="490"/>
      <c r="W49" s="188">
        <v>244.01130593607303</v>
      </c>
      <c r="X49" s="188">
        <v>219.23642731277533</v>
      </c>
      <c r="Y49" s="188">
        <v>161.05503592814372</v>
      </c>
      <c r="Z49" s="188">
        <v>170.0583482142857</v>
      </c>
      <c r="AA49" s="491">
        <v>222.92454216867475</v>
      </c>
      <c r="AB49" s="188">
        <v>275.77623400365633</v>
      </c>
      <c r="AC49" s="188">
        <v>253.69624870466325</v>
      </c>
      <c r="AD49" s="492">
        <v>232.50558659217876</v>
      </c>
      <c r="AE49" s="188">
        <v>219.00000000000003</v>
      </c>
      <c r="AF49" s="188">
        <v>285</v>
      </c>
      <c r="AG49" s="188">
        <v>315</v>
      </c>
      <c r="AH49" s="188">
        <v>324.45</v>
      </c>
      <c r="AI49" s="484">
        <f>AI53*AI56</f>
        <v>301.73849999999999</v>
      </c>
      <c r="AJ49" s="483">
        <f>AJ53*AJ56</f>
        <v>297.19760846511628</v>
      </c>
      <c r="AK49" s="483">
        <f>AK53*AK56</f>
        <v>287.61058883720926</v>
      </c>
      <c r="AL49" s="485">
        <f>AL53*AL56</f>
        <v>349.4127919200958</v>
      </c>
      <c r="AM49" s="484">
        <f>AM53*AM56</f>
        <v>319.08590832892833</v>
      </c>
      <c r="AN49" s="89">
        <f t="shared" ref="AN49:AT49" si="268">AN53*AN56</f>
        <v>335.59335581571565</v>
      </c>
      <c r="AO49" s="89">
        <f t="shared" si="268"/>
        <v>380.62998416618478</v>
      </c>
      <c r="AP49" s="485">
        <f>AP53*AP56</f>
        <v>418.553522895821</v>
      </c>
      <c r="AQ49" s="89">
        <f t="shared" si="268"/>
        <v>324.09794149337597</v>
      </c>
      <c r="AR49" s="89">
        <f t="shared" si="268"/>
        <v>320.85696207844228</v>
      </c>
      <c r="AS49" s="89">
        <f t="shared" si="268"/>
        <v>363.85179499695357</v>
      </c>
      <c r="AT49" s="485">
        <f t="shared" si="268"/>
        <v>378.40586679683173</v>
      </c>
      <c r="AU49" s="47">
        <f t="shared" ref="AU49:AX49" si="269">AU53*AU56</f>
        <v>242.41394137277425</v>
      </c>
      <c r="AV49" s="47">
        <f t="shared" si="269"/>
        <v>249.73484240223206</v>
      </c>
      <c r="AW49" s="47">
        <f t="shared" si="269"/>
        <v>357.12082463519187</v>
      </c>
      <c r="AX49" s="782">
        <f t="shared" si="269"/>
        <v>371.51279386799013</v>
      </c>
      <c r="AY49" s="47">
        <f t="shared" ref="AY49:AZ49" si="270">AY53*AY56</f>
        <v>271.76160871443477</v>
      </c>
      <c r="AZ49" s="883">
        <f t="shared" si="270"/>
        <v>356.52948970464132</v>
      </c>
      <c r="BA49" s="883">
        <f t="shared" ref="BA49:BB49" si="271">BA53*BA56</f>
        <v>422.30918055514758</v>
      </c>
      <c r="BB49" s="782">
        <f t="shared" si="271"/>
        <v>460.64218487413831</v>
      </c>
      <c r="BC49" s="47">
        <f t="shared" ref="BC49:BD49" si="272">BC53*BC56</f>
        <v>451.4293411766555</v>
      </c>
      <c r="BD49" s="883">
        <f t="shared" si="272"/>
        <v>521.40088905903724</v>
      </c>
      <c r="BE49" s="47">
        <f t="shared" ref="BE49:BJ49" si="273">BE53*BE56</f>
        <v>569.05693031903331</v>
      </c>
      <c r="BF49" s="208">
        <f t="shared" si="273"/>
        <v>614.97982459577918</v>
      </c>
      <c r="BG49" s="47">
        <f t="shared" si="273"/>
        <v>495.12025678206174</v>
      </c>
      <c r="BH49" s="883">
        <f t="shared" si="273"/>
        <v>598.30331829544355</v>
      </c>
      <c r="BI49" s="47">
        <f t="shared" si="273"/>
        <v>659.09093543426059</v>
      </c>
      <c r="BJ49" s="208">
        <f t="shared" si="273"/>
        <v>665.68184478860314</v>
      </c>
      <c r="BK49" s="47">
        <f t="shared" ref="BK49:BN49" si="274">BK53*BK56</f>
        <v>541.46561255104984</v>
      </c>
      <c r="BL49" s="883">
        <f t="shared" si="274"/>
        <v>654.30704620668871</v>
      </c>
      <c r="BM49" s="47">
        <f t="shared" si="274"/>
        <v>714.11071022998021</v>
      </c>
      <c r="BN49" s="208">
        <f t="shared" si="274"/>
        <v>721.25181733227998</v>
      </c>
      <c r="BP49" s="104">
        <f>SUM(C49:F49)</f>
        <v>0</v>
      </c>
      <c r="BQ49" s="104">
        <f>SUM(G49:J49)</f>
        <v>0</v>
      </c>
      <c r="BR49" s="104">
        <f>SUM(K49:N49)</f>
        <v>0</v>
      </c>
      <c r="BS49" s="104">
        <f>SUM(O49:R49)</f>
        <v>0</v>
      </c>
      <c r="BT49" s="104">
        <f>SUM(S49:V49)</f>
        <v>0</v>
      </c>
      <c r="BU49" s="104">
        <f>SUM(W49:Z49)</f>
        <v>794.36111739127784</v>
      </c>
      <c r="BV49" s="104">
        <f>SUM(AA49:AD49)</f>
        <v>984.90261146917305</v>
      </c>
      <c r="BW49" s="104">
        <f>SUM(AE49:AH49)</f>
        <v>1143.45</v>
      </c>
      <c r="BX49" s="104">
        <f>SUM(AI49:AL49)</f>
        <v>1235.9594892224213</v>
      </c>
      <c r="BY49" s="104">
        <f>SUM(AM49:AP49)</f>
        <v>1453.8627712066498</v>
      </c>
      <c r="BZ49" s="104">
        <f>SUM(AQ49:AT49)</f>
        <v>1387.2125653656035</v>
      </c>
      <c r="CA49" s="104">
        <f>SUM(AU49:AX49)</f>
        <v>1220.7824022781883</v>
      </c>
      <c r="CB49" s="104">
        <f>SUM(AY49:BB49)</f>
        <v>1511.2424638483621</v>
      </c>
      <c r="CC49" s="104">
        <f>SUM(BC49:BF49)</f>
        <v>2156.8669851505051</v>
      </c>
      <c r="CD49" s="104">
        <f>SUM(BG49:BJ49)</f>
        <v>2418.1963553003689</v>
      </c>
      <c r="CE49" s="104">
        <f>SUM(BK49:BN49)</f>
        <v>2631.1351863199989</v>
      </c>
    </row>
    <row r="50" spans="2:83">
      <c r="B50" s="152" t="s">
        <v>114</v>
      </c>
      <c r="C50" s="295"/>
      <c r="D50" s="72"/>
      <c r="E50" s="72"/>
      <c r="F50" s="296"/>
      <c r="G50" s="72"/>
      <c r="H50" s="72"/>
      <c r="I50" s="72"/>
      <c r="J50" s="72"/>
      <c r="K50" s="295"/>
      <c r="L50" s="72"/>
      <c r="M50" s="72"/>
      <c r="N50" s="296"/>
      <c r="O50" s="72"/>
      <c r="P50" s="72"/>
      <c r="Q50" s="72"/>
      <c r="R50" s="72"/>
      <c r="S50" s="295"/>
      <c r="T50" s="72"/>
      <c r="U50" s="72"/>
      <c r="V50" s="296"/>
      <c r="W50" s="72"/>
      <c r="X50" s="72"/>
      <c r="Y50" s="72"/>
      <c r="Z50" s="72"/>
      <c r="AA50" s="295">
        <f>AA49/W49-1</f>
        <v>-8.6417158772645886E-2</v>
      </c>
      <c r="AB50" s="72">
        <f t="shared" ref="AB50:AP50" si="275">AB49/X49-1</f>
        <v>0.25789421668607115</v>
      </c>
      <c r="AC50" s="72">
        <f t="shared" si="275"/>
        <v>0.57521462922682098</v>
      </c>
      <c r="AD50" s="296">
        <f t="shared" si="275"/>
        <v>0.36721066053872908</v>
      </c>
      <c r="AE50" s="72">
        <f t="shared" si="275"/>
        <v>-1.7604800846491075E-2</v>
      </c>
      <c r="AF50" s="72">
        <f t="shared" si="275"/>
        <v>3.3446558691570871E-2</v>
      </c>
      <c r="AG50" s="72">
        <f t="shared" si="275"/>
        <v>0.24164232466323377</v>
      </c>
      <c r="AH50" s="72">
        <f t="shared" si="275"/>
        <v>0.39545034059372641</v>
      </c>
      <c r="AI50" s="477">
        <f t="shared" si="275"/>
        <v>0.37780136986301338</v>
      </c>
      <c r="AJ50" s="191">
        <f t="shared" si="275"/>
        <v>4.2798626193390366E-2</v>
      </c>
      <c r="AK50" s="191">
        <f t="shared" si="275"/>
        <v>-8.6950511627907123E-2</v>
      </c>
      <c r="AL50" s="478">
        <f t="shared" si="275"/>
        <v>7.6938794637373409E-2</v>
      </c>
      <c r="AM50" s="477">
        <f t="shared" si="275"/>
        <v>5.7491531007572316E-2</v>
      </c>
      <c r="AN50" s="191">
        <f t="shared" si="275"/>
        <v>0.12919265248766654</v>
      </c>
      <c r="AO50" s="191">
        <f t="shared" si="275"/>
        <v>0.32342131666656226</v>
      </c>
      <c r="AP50" s="478">
        <f t="shared" si="275"/>
        <v>0.19787693116723792</v>
      </c>
      <c r="AQ50" s="191">
        <f>AQ49/AM49-1</f>
        <v>1.570747260728611E-2</v>
      </c>
      <c r="AR50" s="191">
        <f>AR49/AN49-1</f>
        <v>-4.391145856107348E-2</v>
      </c>
      <c r="AS50" s="191">
        <f>AS49/AO49-1</f>
        <v>-4.4080051144645971E-2</v>
      </c>
      <c r="AT50" s="478">
        <f>AT49/AP49-1</f>
        <v>-9.5920005215156534E-2</v>
      </c>
      <c r="AU50" s="72">
        <f t="shared" ref="AU50:AV50" si="276">AU49/AQ49-1</f>
        <v>-0.25203492420907958</v>
      </c>
      <c r="AV50" s="72">
        <f t="shared" si="276"/>
        <v>-0.22166300901029679</v>
      </c>
      <c r="AW50" s="72">
        <f>AW49/AS49-1</f>
        <v>-1.8499208893055119E-2</v>
      </c>
      <c r="AX50" s="781">
        <f>AX49/AT49-1</f>
        <v>-1.8216083664851168E-2</v>
      </c>
      <c r="AY50" s="72">
        <f t="shared" ref="AY50:BA50" si="277">AY49/AU49-1</f>
        <v>0.1210642720277002</v>
      </c>
      <c r="AZ50" s="742">
        <f t="shared" si="277"/>
        <v>0.42763214886292045</v>
      </c>
      <c r="BA50" s="742">
        <f t="shared" si="277"/>
        <v>0.18253865757211796</v>
      </c>
      <c r="BB50" s="781">
        <f>BB49/AX49-1</f>
        <v>0.23990934491967608</v>
      </c>
      <c r="BC50" s="72">
        <f t="shared" ref="BC50" si="278">BC49/AY49-1</f>
        <v>0.66112256735650377</v>
      </c>
      <c r="BD50" s="742">
        <f t="shared" ref="BD50" si="279">BD49/AZ49-1</f>
        <v>0.46243411587349992</v>
      </c>
      <c r="BE50" s="72">
        <f t="shared" ref="BE50" si="280">BE49/BA49-1</f>
        <v>0.34748889325820032</v>
      </c>
      <c r="BF50" s="296">
        <f t="shared" ref="BF50" si="281">BF49/BB49-1</f>
        <v>0.33504886176200022</v>
      </c>
      <c r="BG50" s="72">
        <f t="shared" ref="BG50" si="282">BG49/BC49-1</f>
        <v>9.6783508780190042E-2</v>
      </c>
      <c r="BH50" s="742">
        <f t="shared" ref="BH50" si="283">BH49/BD49-1</f>
        <v>0.14749194113418329</v>
      </c>
      <c r="BI50" s="72">
        <f t="shared" ref="BI50" si="284">BI49/BE49-1</f>
        <v>0.15821616488310064</v>
      </c>
      <c r="BJ50" s="296">
        <f t="shared" ref="BJ50" si="285">BJ49/BF49-1</f>
        <v>8.2445013909439924E-2</v>
      </c>
      <c r="BK50" s="72">
        <f t="shared" ref="BK50" si="286">BK49/BG49-1</f>
        <v>9.3604240856960175E-2</v>
      </c>
      <c r="BL50" s="742">
        <f t="shared" ref="BL50" si="287">BL49/BH49-1</f>
        <v>9.3604240856960175E-2</v>
      </c>
      <c r="BM50" s="72">
        <f t="shared" ref="BM50" si="288">BM49/BI49-1</f>
        <v>8.3478275663840362E-2</v>
      </c>
      <c r="BN50" s="296">
        <f t="shared" ref="BN50" si="289">BN49/BJ49-1</f>
        <v>8.3478275663840362E-2</v>
      </c>
      <c r="BV50" s="54">
        <f t="shared" ref="BV50:CE50" si="290">BV49/BU49-1</f>
        <v>0.23986759913884392</v>
      </c>
      <c r="BW50" s="54">
        <f t="shared" si="290"/>
        <v>0.16097773189404263</v>
      </c>
      <c r="BX50" s="54">
        <f t="shared" si="290"/>
        <v>8.0903834205624525E-2</v>
      </c>
      <c r="BY50" s="54">
        <f t="shared" si="290"/>
        <v>0.1763029321627021</v>
      </c>
      <c r="BZ50" s="54">
        <f t="shared" si="290"/>
        <v>-4.5843532939308429E-2</v>
      </c>
      <c r="CA50" s="54">
        <f t="shared" si="290"/>
        <v>-0.11997452102342521</v>
      </c>
      <c r="CB50" s="54">
        <f t="shared" si="290"/>
        <v>0.23792943036213976</v>
      </c>
      <c r="CC50" s="54">
        <f t="shared" si="290"/>
        <v>0.42721438600796535</v>
      </c>
      <c r="CD50" s="54">
        <f t="shared" si="290"/>
        <v>0.12116156070311779</v>
      </c>
      <c r="CE50" s="54">
        <f t="shared" si="290"/>
        <v>8.8056881962002898E-2</v>
      </c>
    </row>
    <row r="51" spans="2:83">
      <c r="B51" s="152" t="s">
        <v>115</v>
      </c>
      <c r="C51" s="231"/>
      <c r="D51" s="54"/>
      <c r="E51" s="54"/>
      <c r="F51" s="232"/>
      <c r="G51" s="54"/>
      <c r="H51" s="54"/>
      <c r="I51" s="54"/>
      <c r="J51" s="54"/>
      <c r="K51" s="231"/>
      <c r="L51" s="54"/>
      <c r="M51" s="54"/>
      <c r="N51" s="232"/>
      <c r="O51" s="54"/>
      <c r="P51" s="54"/>
      <c r="Q51" s="54"/>
      <c r="R51" s="54"/>
      <c r="S51" s="231"/>
      <c r="T51" s="54"/>
      <c r="U51" s="54"/>
      <c r="V51" s="232"/>
      <c r="W51" s="54"/>
      <c r="X51" s="54">
        <f>X49/W49-1</f>
        <v>-0.10153168324826845</v>
      </c>
      <c r="Y51" s="54">
        <f t="shared" ref="Y51:AP51" si="291">Y49/X49-1</f>
        <v>-0.26538195361862327</v>
      </c>
      <c r="Z51" s="54">
        <f t="shared" si="291"/>
        <v>5.5902084863455492E-2</v>
      </c>
      <c r="AA51" s="231">
        <f t="shared" si="291"/>
        <v>0.31087091289263769</v>
      </c>
      <c r="AB51" s="54">
        <f t="shared" si="291"/>
        <v>0.23708332568870594</v>
      </c>
      <c r="AC51" s="54">
        <f t="shared" si="291"/>
        <v>-8.0064859028789015E-2</v>
      </c>
      <c r="AD51" s="232">
        <f t="shared" si="291"/>
        <v>-8.3527691957137606E-2</v>
      </c>
      <c r="AE51" s="54">
        <f t="shared" si="291"/>
        <v>-5.8087148743947825E-2</v>
      </c>
      <c r="AF51" s="54">
        <f t="shared" si="291"/>
        <v>0.3013698630136985</v>
      </c>
      <c r="AG51" s="54">
        <f t="shared" si="291"/>
        <v>0.10526315789473695</v>
      </c>
      <c r="AH51" s="54">
        <f t="shared" si="291"/>
        <v>3.0000000000000027E-2</v>
      </c>
      <c r="AI51" s="479">
        <f t="shared" si="291"/>
        <v>-6.9999999999999951E-2</v>
      </c>
      <c r="AJ51" s="181">
        <f t="shared" si="291"/>
        <v>-1.5049095607235108E-2</v>
      </c>
      <c r="AK51" s="181">
        <f t="shared" si="291"/>
        <v>-3.2258064516129115E-2</v>
      </c>
      <c r="AL51" s="480">
        <f t="shared" si="291"/>
        <v>0.21488152898941859</v>
      </c>
      <c r="AM51" s="479">
        <f t="shared" si="291"/>
        <v>-8.6793856127919566E-2</v>
      </c>
      <c r="AN51" s="181">
        <f t="shared" si="291"/>
        <v>5.1733552174829001E-2</v>
      </c>
      <c r="AO51" s="181">
        <f t="shared" si="291"/>
        <v>0.13420000000000032</v>
      </c>
      <c r="AP51" s="480">
        <f t="shared" si="291"/>
        <v>9.9633608247422289E-2</v>
      </c>
      <c r="AQ51" s="181">
        <f>AQ49/AP49-1</f>
        <v>-0.22567145236035979</v>
      </c>
      <c r="AR51" s="181">
        <f>AR49/AQ49-1</f>
        <v>-9.9999999999997868E-3</v>
      </c>
      <c r="AS51" s="181">
        <f>AS49/AR49-1</f>
        <v>0.13400000000000012</v>
      </c>
      <c r="AT51" s="480">
        <f>AT49/AS49-1</f>
        <v>4.0000000000000036E-2</v>
      </c>
      <c r="AU51" s="54">
        <f t="shared" ref="AU51:AV51" si="292">AU49/AT49-1</f>
        <v>-0.35938112317130733</v>
      </c>
      <c r="AV51" s="54">
        <f t="shared" si="292"/>
        <v>3.0200000000000227E-2</v>
      </c>
      <c r="AW51" s="54">
        <f>AW49/AV49-1</f>
        <v>0.43000000000000016</v>
      </c>
      <c r="AX51" s="763">
        <f>AX49/AW49-1</f>
        <v>4.0300000000000002E-2</v>
      </c>
      <c r="AY51" s="54">
        <f t="shared" ref="AY51:BA51" si="293">AY49/AX49-1</f>
        <v>-0.26849999999999996</v>
      </c>
      <c r="AZ51" s="897">
        <f t="shared" si="293"/>
        <v>0.3119200000000002</v>
      </c>
      <c r="BA51" s="897">
        <f t="shared" si="293"/>
        <v>0.18449999999999989</v>
      </c>
      <c r="BB51" s="763">
        <f>BB49/BA49-1</f>
        <v>9.0770000000000017E-2</v>
      </c>
      <c r="BC51" s="54">
        <f t="shared" ref="BC51" si="294">BC49/BB49-1</f>
        <v>-2.0000000000000129E-2</v>
      </c>
      <c r="BD51" s="897">
        <f t="shared" ref="BD51" si="295">BD49/BC49-1</f>
        <v>0.15500000000000025</v>
      </c>
      <c r="BE51" s="54">
        <f t="shared" ref="BE51" si="296">BE49/BD49-1</f>
        <v>9.1400000000000148E-2</v>
      </c>
      <c r="BF51" s="232">
        <f t="shared" ref="BF51" si="297">BF49/BE49-1</f>
        <v>8.0699999999999772E-2</v>
      </c>
      <c r="BG51" s="54">
        <f t="shared" ref="BG51" si="298">BG49/BF49-1</f>
        <v>-0.19490000000000007</v>
      </c>
      <c r="BH51" s="897">
        <f t="shared" ref="BH51" si="299">BH49/BG49-1</f>
        <v>0.20840000000000036</v>
      </c>
      <c r="BI51" s="54">
        <f t="shared" ref="BI51" si="300">BI49/BH49-1</f>
        <v>0.10159999999999991</v>
      </c>
      <c r="BJ51" s="232">
        <f t="shared" ref="BJ51" si="301">BJ49/BI49-1</f>
        <v>1.0000000000000009E-2</v>
      </c>
      <c r="BK51" s="54">
        <f t="shared" ref="BK51" si="302">BK49/BJ49-1</f>
        <v>-0.18659999999999988</v>
      </c>
      <c r="BL51" s="897">
        <f t="shared" ref="BL51" si="303">BL49/BK49-1</f>
        <v>0.20840000000000014</v>
      </c>
      <c r="BM51" s="54">
        <f t="shared" ref="BM51" si="304">BM49/BL49-1</f>
        <v>9.1400000000000148E-2</v>
      </c>
      <c r="BN51" s="232">
        <f t="shared" ref="BN51" si="305">BN49/BM49-1</f>
        <v>1.0000000000000009E-2</v>
      </c>
      <c r="CE51" s="925"/>
    </row>
    <row r="52" spans="2:83">
      <c r="B52" s="152" t="s">
        <v>311</v>
      </c>
      <c r="C52" s="231"/>
      <c r="D52" s="54"/>
      <c r="E52" s="54"/>
      <c r="F52" s="232"/>
      <c r="G52" s="54"/>
      <c r="H52" s="54"/>
      <c r="I52" s="54"/>
      <c r="J52" s="54"/>
      <c r="K52" s="231"/>
      <c r="L52" s="54"/>
      <c r="M52" s="54"/>
      <c r="N52" s="232"/>
      <c r="O52" s="54"/>
      <c r="P52" s="54"/>
      <c r="Q52" s="54"/>
      <c r="R52" s="54"/>
      <c r="S52" s="231"/>
      <c r="T52" s="54"/>
      <c r="U52" s="54"/>
      <c r="V52" s="232"/>
      <c r="W52" s="54">
        <f>W49/W$22</f>
        <v>0.25140694400795505</v>
      </c>
      <c r="X52" s="54">
        <f t="shared" ref="X52:AO52" si="306">X49/X$22</f>
        <v>0.28639488142815106</v>
      </c>
      <c r="Y52" s="54">
        <f t="shared" si="306"/>
        <v>0.20335796692350508</v>
      </c>
      <c r="Z52" s="54">
        <f t="shared" si="306"/>
        <v>0.20798911515620824</v>
      </c>
      <c r="AA52" s="231">
        <f t="shared" si="306"/>
        <v>0.27268056483392011</v>
      </c>
      <c r="AB52" s="54">
        <f t="shared" si="306"/>
        <v>0.35227977615105183</v>
      </c>
      <c r="AC52" s="54">
        <f t="shared" si="306"/>
        <v>0.31355480085164478</v>
      </c>
      <c r="AD52" s="232">
        <f t="shared" si="306"/>
        <v>0.29907948324446332</v>
      </c>
      <c r="AE52" s="54">
        <f t="shared" si="306"/>
        <v>0.30150131132419655</v>
      </c>
      <c r="AF52" s="54">
        <f t="shared" si="306"/>
        <v>0.35686380574588289</v>
      </c>
      <c r="AG52" s="54">
        <f t="shared" si="306"/>
        <v>0.35226664012551878</v>
      </c>
      <c r="AH52" s="54">
        <f t="shared" si="306"/>
        <v>0.38972317582647253</v>
      </c>
      <c r="AI52" s="479">
        <f t="shared" si="306"/>
        <v>0.38406761884275092</v>
      </c>
      <c r="AJ52" s="181">
        <f t="shared" si="306"/>
        <v>0.34613686080354744</v>
      </c>
      <c r="AK52" s="181">
        <f t="shared" si="306"/>
        <v>0.32801068029739899</v>
      </c>
      <c r="AL52" s="480">
        <f t="shared" si="306"/>
        <v>0.36894511526747098</v>
      </c>
      <c r="AM52" s="479">
        <f t="shared" si="306"/>
        <v>0.35558175267860198</v>
      </c>
      <c r="AN52" s="181">
        <f t="shared" si="306"/>
        <v>0.38223348574650406</v>
      </c>
      <c r="AO52" s="181">
        <f t="shared" si="306"/>
        <v>0.38393876847288411</v>
      </c>
      <c r="AP52" s="480">
        <f>AP49/AP$22</f>
        <v>0.39037580678618727</v>
      </c>
      <c r="AQ52" s="181">
        <f>AQ49/AQ$22</f>
        <v>0.34478504414188932</v>
      </c>
      <c r="AR52" s="181">
        <f>AR49/AR$22</f>
        <v>0.33457451728721821</v>
      </c>
      <c r="AS52" s="181">
        <f>AS49/AS$22</f>
        <v>0.32779440990716541</v>
      </c>
      <c r="AT52" s="480">
        <f>AT49/AT$22</f>
        <v>0.32122739116878757</v>
      </c>
      <c r="AU52" s="54">
        <f t="shared" ref="AU52:AV52" si="307">AU49/AU$22</f>
        <v>0.22466537661980931</v>
      </c>
      <c r="AV52" s="54">
        <f t="shared" si="307"/>
        <v>0.20880839665738465</v>
      </c>
      <c r="AW52" s="54">
        <f>AW49/AW$22</f>
        <v>0.21044244233069645</v>
      </c>
      <c r="AX52" s="763">
        <f>AX49/AX$22</f>
        <v>0.20081772641512979</v>
      </c>
      <c r="AY52" s="54">
        <f t="shared" ref="AY52:AZ52" si="308">AY49/AY$22</f>
        <v>0.17398310417057283</v>
      </c>
      <c r="AZ52" s="897">
        <f t="shared" si="308"/>
        <v>0.18794385329712246</v>
      </c>
      <c r="BA52" s="897">
        <f t="shared" ref="BA52" si="309">BA49/BA$22</f>
        <v>0.19048677517146936</v>
      </c>
      <c r="BB52" s="763">
        <f>BB49/BB$22</f>
        <v>0.18717683253723622</v>
      </c>
      <c r="BC52" s="54">
        <f t="shared" ref="BC52:BD52" si="310">BC49/BC$22</f>
        <v>0.18317284908961642</v>
      </c>
      <c r="BD52" s="897">
        <f t="shared" si="310"/>
        <v>0.19100382033020238</v>
      </c>
      <c r="BE52" s="54">
        <f t="shared" ref="BE52:BJ52" si="311">BE49/BE$22</f>
        <v>0.19258940938867544</v>
      </c>
      <c r="BF52" s="232">
        <f t="shared" si="311"/>
        <v>0.19670543393119005</v>
      </c>
      <c r="BG52" s="54">
        <f t="shared" si="311"/>
        <v>0.17569518244334245</v>
      </c>
      <c r="BH52" s="897">
        <f t="shared" si="311"/>
        <v>0.1860071331361195</v>
      </c>
      <c r="BI52" s="54">
        <f t="shared" si="311"/>
        <v>0.1895622194189788</v>
      </c>
      <c r="BJ52" s="232">
        <f t="shared" si="311"/>
        <v>0.18698804154483581</v>
      </c>
      <c r="BK52" s="54">
        <f t="shared" ref="BK52:BN52" si="312">BK49/BK$22</f>
        <v>0.16649408067541738</v>
      </c>
      <c r="BL52" s="897">
        <f t="shared" si="312"/>
        <v>0.17622075204143611</v>
      </c>
      <c r="BM52" s="54">
        <f t="shared" si="312"/>
        <v>0.17927008005856182</v>
      </c>
      <c r="BN52" s="232">
        <f t="shared" si="312"/>
        <v>0.17605812134488458</v>
      </c>
      <c r="CE52" s="925"/>
    </row>
    <row r="53" spans="2:83">
      <c r="B53" s="114" t="s">
        <v>409</v>
      </c>
      <c r="C53" s="297"/>
      <c r="D53" s="68"/>
      <c r="E53" s="68"/>
      <c r="F53" s="298"/>
      <c r="G53" s="68"/>
      <c r="H53" s="68"/>
      <c r="I53" s="68"/>
      <c r="J53" s="68"/>
      <c r="K53" s="297"/>
      <c r="L53" s="68"/>
      <c r="M53" s="68"/>
      <c r="N53" s="298"/>
      <c r="O53" s="68"/>
      <c r="P53" s="68"/>
      <c r="Q53" s="68"/>
      <c r="R53" s="68"/>
      <c r="S53" s="297"/>
      <c r="T53" s="68"/>
      <c r="U53" s="68"/>
      <c r="V53" s="298"/>
      <c r="W53" s="438">
        <v>9.1999999999999993</v>
      </c>
      <c r="X53" s="438">
        <v>8.4749999999999996</v>
      </c>
      <c r="Y53" s="438">
        <v>5.7</v>
      </c>
      <c r="Z53" s="438">
        <v>5.35</v>
      </c>
      <c r="AA53" s="439">
        <v>7.4249999999999998</v>
      </c>
      <c r="AB53" s="438">
        <v>9.625</v>
      </c>
      <c r="AC53" s="438">
        <v>8.8000000000000007</v>
      </c>
      <c r="AD53" s="440">
        <v>7.7</v>
      </c>
      <c r="AE53" s="438">
        <v>8.3000000000000007</v>
      </c>
      <c r="AF53" s="438">
        <v>9.85</v>
      </c>
      <c r="AG53" s="438">
        <v>11.02</v>
      </c>
      <c r="AH53" s="438">
        <v>8.9949999999999992</v>
      </c>
      <c r="AI53" s="496">
        <v>9.6750000000000007</v>
      </c>
      <c r="AJ53" s="495">
        <v>8.99</v>
      </c>
      <c r="AK53" s="495">
        <v>8.6999999999999993</v>
      </c>
      <c r="AL53" s="497">
        <v>8.98</v>
      </c>
      <c r="AM53" s="496">
        <v>7.67</v>
      </c>
      <c r="AN53" s="504">
        <f t="shared" ref="AN53:AT53" si="313">AM53*(1+AN55)</f>
        <v>8.0227147254901912</v>
      </c>
      <c r="AO53" s="504">
        <f t="shared" si="313"/>
        <v>8.5040776090196033</v>
      </c>
      <c r="AP53" s="560">
        <f t="shared" si="313"/>
        <v>8.6741591611999951</v>
      </c>
      <c r="AQ53" s="504">
        <f t="shared" si="313"/>
        <v>6.6791025541239968</v>
      </c>
      <c r="AR53" s="504">
        <f t="shared" si="313"/>
        <v>6.0111922987115971</v>
      </c>
      <c r="AS53" s="504">
        <f t="shared" si="313"/>
        <v>6.492087682608525</v>
      </c>
      <c r="AT53" s="560">
        <f t="shared" si="313"/>
        <v>6.7517711899128665</v>
      </c>
      <c r="AU53" s="427">
        <f t="shared" ref="AU53" si="314">AT53*(1+AU55)</f>
        <v>4.3253120762863064</v>
      </c>
      <c r="AV53" s="427">
        <f t="shared" ref="AV53" si="315">AU53*(1+AV55)</f>
        <v>4.4118183178120329</v>
      </c>
      <c r="AW53" s="427">
        <f t="shared" ref="AW53" si="316">AV53*(1+AW55)</f>
        <v>5.7353638131556428</v>
      </c>
      <c r="AX53" s="780">
        <f t="shared" ref="AX53:BB53" si="317">AW53*(1+AX55)</f>
        <v>5.9074247275503122</v>
      </c>
      <c r="AY53" s="427">
        <f t="shared" si="317"/>
        <v>4.5487170402137407</v>
      </c>
      <c r="AZ53" s="743">
        <f t="shared" si="317"/>
        <v>5.6404091298650387</v>
      </c>
      <c r="BA53" s="743">
        <f t="shared" si="317"/>
        <v>6.4864704993447937</v>
      </c>
      <c r="BB53" s="780">
        <f t="shared" si="317"/>
        <v>6.6810646143251375</v>
      </c>
      <c r="BC53" s="427">
        <f t="shared" ref="BC53" si="318">BB53*(1+BC55)</f>
        <v>6.5474433220386343</v>
      </c>
      <c r="BD53" s="743">
        <f t="shared" ref="BD53" si="319">BC53*(1+BD55)</f>
        <v>7.2021876542424987</v>
      </c>
      <c r="BE53" s="427">
        <f t="shared" ref="BE53" si="320">BD53*(1+BE55)</f>
        <v>7.7063407900394738</v>
      </c>
      <c r="BF53" s="428">
        <f t="shared" ref="BF53" si="321">BE53*(1+BF55)</f>
        <v>8.245784645342237</v>
      </c>
      <c r="BG53" s="427">
        <f t="shared" ref="BG53" si="322">BF53*(1+BG55)</f>
        <v>6.8440012556340566</v>
      </c>
      <c r="BH53" s="743">
        <f t="shared" ref="BH53" si="323">BG53*(1+BH55)</f>
        <v>7.8021614314228254</v>
      </c>
      <c r="BI53" s="427">
        <f t="shared" ref="BI53" si="324">BH53*(1+BI55)</f>
        <v>8.4263343459366524</v>
      </c>
      <c r="BJ53" s="428">
        <f t="shared" ref="BJ53" si="325">BI53*(1+BJ55)</f>
        <v>8.4263343459366524</v>
      </c>
      <c r="BK53" s="427">
        <f t="shared" ref="BK53" si="326">BJ53*(1+BK55)</f>
        <v>6.9938575071274212</v>
      </c>
      <c r="BL53" s="743">
        <f t="shared" ref="BL53" si="327">BK53*(1+BL55)</f>
        <v>7.972997558125261</v>
      </c>
      <c r="BM53" s="427">
        <f t="shared" ref="BM53" si="328">BL53*(1+BM55)</f>
        <v>8.5311073871940302</v>
      </c>
      <c r="BN53" s="428">
        <f t="shared" ref="BN53" si="329">BM53*(1+BN55)</f>
        <v>8.5311073871940302</v>
      </c>
      <c r="BP53" s="104">
        <f>SUM(C53:F53)</f>
        <v>0</v>
      </c>
      <c r="BQ53" s="104">
        <f>SUM(G53:J53)</f>
        <v>0</v>
      </c>
      <c r="BR53" s="104">
        <f>SUM(K53:N53)</f>
        <v>0</v>
      </c>
      <c r="BS53" s="104">
        <f>SUM(O53:R53)</f>
        <v>0</v>
      </c>
      <c r="BT53" s="104">
        <f>SUM(S53:V53)</f>
        <v>0</v>
      </c>
      <c r="BU53" s="104">
        <f>SUM(W53:Z53)</f>
        <v>28.724999999999994</v>
      </c>
      <c r="BV53" s="104">
        <f>SUM(AA53:AD53)</f>
        <v>33.550000000000004</v>
      </c>
      <c r="BW53" s="104">
        <f>SUM(AE53:AH53)</f>
        <v>38.164999999999999</v>
      </c>
      <c r="BX53" s="59">
        <f>SUM(AI53:AL53)</f>
        <v>36.344999999999999</v>
      </c>
      <c r="BY53" s="59">
        <f>SUM(AM53:AP53)</f>
        <v>32.870951495709789</v>
      </c>
      <c r="BZ53" s="59">
        <f>SUM(AQ53:AT53)</f>
        <v>25.934153725356985</v>
      </c>
      <c r="CA53" s="59">
        <f>SUM(AU53:AX53)</f>
        <v>20.379918934804294</v>
      </c>
      <c r="CB53" s="59">
        <f>SUM(AY53:BB53)</f>
        <v>23.356661283748711</v>
      </c>
      <c r="CC53" s="59">
        <f>SUM(BC53:BF53)</f>
        <v>29.701756411662842</v>
      </c>
      <c r="CD53" s="59">
        <f>SUM(BG53:BJ53)</f>
        <v>31.498831378930188</v>
      </c>
      <c r="CE53" s="59">
        <f>SUM(BK53:BN53)</f>
        <v>32.029069839640741</v>
      </c>
    </row>
    <row r="54" spans="2:83">
      <c r="B54" s="152" t="s">
        <v>114</v>
      </c>
      <c r="C54" s="295"/>
      <c r="D54" s="72"/>
      <c r="E54" s="72"/>
      <c r="F54" s="296"/>
      <c r="G54" s="72"/>
      <c r="H54" s="72"/>
      <c r="I54" s="72"/>
      <c r="J54" s="72"/>
      <c r="K54" s="295"/>
      <c r="L54" s="72"/>
      <c r="M54" s="72"/>
      <c r="N54" s="296"/>
      <c r="O54" s="72"/>
      <c r="P54" s="72"/>
      <c r="Q54" s="72"/>
      <c r="R54" s="72"/>
      <c r="S54" s="295"/>
      <c r="T54" s="72"/>
      <c r="U54" s="72"/>
      <c r="V54" s="296"/>
      <c r="W54" s="72"/>
      <c r="X54" s="72"/>
      <c r="Y54" s="72"/>
      <c r="Z54" s="72"/>
      <c r="AA54" s="295">
        <f>AA53/W53-1</f>
        <v>-0.19293478260869557</v>
      </c>
      <c r="AB54" s="72">
        <f t="shared" ref="AB54:AM54" si="330">AB53/X53-1</f>
        <v>0.13569321533923318</v>
      </c>
      <c r="AC54" s="72">
        <f t="shared" si="330"/>
        <v>0.54385964912280715</v>
      </c>
      <c r="AD54" s="296">
        <f t="shared" si="330"/>
        <v>0.43925233644859829</v>
      </c>
      <c r="AE54" s="72">
        <f t="shared" si="330"/>
        <v>0.11784511784511786</v>
      </c>
      <c r="AF54" s="72">
        <f t="shared" si="330"/>
        <v>2.3376623376623273E-2</v>
      </c>
      <c r="AG54" s="72">
        <f t="shared" si="330"/>
        <v>0.2522727272727272</v>
      </c>
      <c r="AH54" s="72">
        <f t="shared" si="330"/>
        <v>0.16818181818181799</v>
      </c>
      <c r="AI54" s="477">
        <f t="shared" si="330"/>
        <v>0.1656626506024097</v>
      </c>
      <c r="AJ54" s="191">
        <f t="shared" si="330"/>
        <v>-8.7309644670050757E-2</v>
      </c>
      <c r="AK54" s="191">
        <f t="shared" si="330"/>
        <v>-0.21052631578947367</v>
      </c>
      <c r="AL54" s="478">
        <f t="shared" si="330"/>
        <v>-1.6675931072817063E-3</v>
      </c>
      <c r="AM54" s="477">
        <f t="shared" si="330"/>
        <v>-0.20723514211886307</v>
      </c>
      <c r="AN54" s="191">
        <f t="shared" ref="AN54:AT54" si="331">AN53/AJ53-1</f>
        <v>-0.10759569238151379</v>
      </c>
      <c r="AO54" s="191">
        <f t="shared" si="331"/>
        <v>-2.251981505521794E-2</v>
      </c>
      <c r="AP54" s="478">
        <f t="shared" si="331"/>
        <v>-3.4057999866370259E-2</v>
      </c>
      <c r="AQ54" s="191">
        <f t="shared" si="331"/>
        <v>-0.12919132280000045</v>
      </c>
      <c r="AR54" s="191">
        <f t="shared" si="331"/>
        <v>-0.25072839999999985</v>
      </c>
      <c r="AS54" s="191">
        <f t="shared" si="331"/>
        <v>-0.2365912</v>
      </c>
      <c r="AT54" s="478">
        <f t="shared" si="331"/>
        <v>-0.22162239999999989</v>
      </c>
      <c r="AU54" s="72">
        <f t="shared" ref="AU54" si="332">AU53/AQ53-1</f>
        <v>-0.35241118979141106</v>
      </c>
      <c r="AV54" s="72">
        <f t="shared" ref="AV54" si="333">AV53/AR53-1</f>
        <v>-0.26606601509693251</v>
      </c>
      <c r="AW54" s="72">
        <f t="shared" ref="AW54" si="334">AW53/AS53-1</f>
        <v>-0.11656094409815954</v>
      </c>
      <c r="AX54" s="781">
        <f t="shared" ref="AX54:BB54" si="335">AX53/AT53-1</f>
        <v>-0.12505555040490801</v>
      </c>
      <c r="AY54" s="742">
        <f t="shared" si="335"/>
        <v>5.1650600000000102E-2</v>
      </c>
      <c r="AZ54" s="742">
        <f t="shared" si="335"/>
        <v>0.2784772000000002</v>
      </c>
      <c r="BA54" s="742">
        <f t="shared" si="335"/>
        <v>0.13096060000000009</v>
      </c>
      <c r="BB54" s="781">
        <f t="shared" si="335"/>
        <v>0.13096059999999987</v>
      </c>
      <c r="BC54" s="742">
        <f t="shared" ref="BC54" si="336">BC53/AY53-1</f>
        <v>0.4394043999999997</v>
      </c>
      <c r="BD54" s="742">
        <f t="shared" ref="BD54" si="337">BD53/AZ53-1</f>
        <v>0.276891</v>
      </c>
      <c r="BE54" s="72">
        <f t="shared" ref="BE54" si="338">BE53/BA53-1</f>
        <v>0.18806380000000011</v>
      </c>
      <c r="BF54" s="296">
        <f t="shared" ref="BF54" si="339">BF53/BB53-1</f>
        <v>0.23420220000000014</v>
      </c>
      <c r="BG54" s="742">
        <f t="shared" ref="BG54" si="340">BG53/BC53-1</f>
        <v>4.5293700000000214E-2</v>
      </c>
      <c r="BH54" s="742">
        <f t="shared" ref="BH54" si="341">BH53/BD53-1</f>
        <v>8.3304380000000178E-2</v>
      </c>
      <c r="BI54" s="72">
        <f t="shared" ref="BI54" si="342">BI53/BE53-1</f>
        <v>9.3428720000000132E-2</v>
      </c>
      <c r="BJ54" s="296">
        <f t="shared" ref="BJ54" si="343">BJ53/BF53-1</f>
        <v>2.1896000000000138E-2</v>
      </c>
      <c r="BK54" s="742">
        <f t="shared" ref="BK54" si="344">BK53/BG53-1</f>
        <v>2.1896000000000138E-2</v>
      </c>
      <c r="BL54" s="742">
        <f t="shared" ref="BL54" si="345">BL53/BH53-1</f>
        <v>2.1896000000000138E-2</v>
      </c>
      <c r="BM54" s="72">
        <f t="shared" ref="BM54" si="346">BM53/BI53-1</f>
        <v>1.2434000000000056E-2</v>
      </c>
      <c r="BN54" s="296">
        <f t="shared" ref="BN54" si="347">BN53/BJ53-1</f>
        <v>1.2434000000000056E-2</v>
      </c>
      <c r="BV54" s="54">
        <f t="shared" ref="BV54:CE54" si="348">BV53/BU53-1</f>
        <v>0.16797214969538765</v>
      </c>
      <c r="BW54" s="54">
        <f t="shared" si="348"/>
        <v>0.13755588673621433</v>
      </c>
      <c r="BX54" s="54">
        <f t="shared" si="348"/>
        <v>-4.7687671950740196E-2</v>
      </c>
      <c r="BY54" s="54">
        <f t="shared" si="348"/>
        <v>-9.5585321345170171E-2</v>
      </c>
      <c r="BZ54" s="54">
        <f t="shared" si="348"/>
        <v>-0.21103124353604952</v>
      </c>
      <c r="CA54" s="54">
        <f t="shared" si="348"/>
        <v>-0.21416680294919621</v>
      </c>
      <c r="CB54" s="54">
        <f t="shared" si="348"/>
        <v>0.14606252156679655</v>
      </c>
      <c r="CC54" s="54">
        <f t="shared" si="348"/>
        <v>0.27166104996046569</v>
      </c>
      <c r="CD54" s="54">
        <f t="shared" si="348"/>
        <v>6.0503996543507244E-2</v>
      </c>
      <c r="CE54" s="54">
        <f t="shared" si="348"/>
        <v>1.6833591517469326E-2</v>
      </c>
    </row>
    <row r="55" spans="2:83">
      <c r="B55" s="152" t="s">
        <v>115</v>
      </c>
      <c r="C55" s="231"/>
      <c r="D55" s="54"/>
      <c r="E55" s="54"/>
      <c r="F55" s="232"/>
      <c r="G55" s="54"/>
      <c r="H55" s="54"/>
      <c r="I55" s="54"/>
      <c r="J55" s="54"/>
      <c r="K55" s="231"/>
      <c r="L55" s="54"/>
      <c r="M55" s="54"/>
      <c r="N55" s="232"/>
      <c r="O55" s="54"/>
      <c r="P55" s="54"/>
      <c r="Q55" s="54"/>
      <c r="R55" s="54"/>
      <c r="S55" s="231"/>
      <c r="T55" s="54"/>
      <c r="U55" s="54"/>
      <c r="V55" s="232"/>
      <c r="W55" s="54"/>
      <c r="X55" s="54">
        <f>X53/W53-1</f>
        <v>-7.8804347826086918E-2</v>
      </c>
      <c r="Y55" s="54">
        <f>Y53/X53-1</f>
        <v>-0.32743362831858402</v>
      </c>
      <c r="Z55" s="54">
        <f>Z53/Y53-1</f>
        <v>-6.1403508771929904E-2</v>
      </c>
      <c r="AA55" s="231">
        <f>AA53/Z53-1</f>
        <v>0.38785046728971961</v>
      </c>
      <c r="AB55" s="54">
        <f t="shared" ref="AB55:AM55" si="349">AB53/AA53-1</f>
        <v>0.29629629629629628</v>
      </c>
      <c r="AC55" s="54">
        <f t="shared" si="349"/>
        <v>-8.5714285714285632E-2</v>
      </c>
      <c r="AD55" s="232">
        <f t="shared" si="349"/>
        <v>-0.125</v>
      </c>
      <c r="AE55" s="54">
        <f t="shared" si="349"/>
        <v>7.7922077922077948E-2</v>
      </c>
      <c r="AF55" s="54">
        <f t="shared" si="349"/>
        <v>0.18674698795180711</v>
      </c>
      <c r="AG55" s="54">
        <f t="shared" si="349"/>
        <v>0.11878172588832481</v>
      </c>
      <c r="AH55" s="54">
        <f t="shared" si="349"/>
        <v>-0.18375680580762255</v>
      </c>
      <c r="AI55" s="479">
        <f t="shared" si="349"/>
        <v>7.5597554196776162E-2</v>
      </c>
      <c r="AJ55" s="181">
        <f t="shared" si="349"/>
        <v>-7.0801033591731288E-2</v>
      </c>
      <c r="AK55" s="181">
        <f t="shared" si="349"/>
        <v>-3.2258064516129115E-2</v>
      </c>
      <c r="AL55" s="480">
        <f t="shared" si="349"/>
        <v>3.218390804597715E-2</v>
      </c>
      <c r="AM55" s="479">
        <f t="shared" si="349"/>
        <v>-0.14587973273942101</v>
      </c>
      <c r="AN55" s="369">
        <v>4.5986274509803277E-2</v>
      </c>
      <c r="AO55" s="369">
        <v>0.06</v>
      </c>
      <c r="AP55" s="561">
        <v>0.02</v>
      </c>
      <c r="AQ55" s="369">
        <v>-0.23</v>
      </c>
      <c r="AR55" s="369">
        <v>-0.1</v>
      </c>
      <c r="AS55" s="369">
        <v>0.08</v>
      </c>
      <c r="AT55" s="561">
        <v>0.04</v>
      </c>
      <c r="AU55" s="825">
        <v>-0.35938112317130727</v>
      </c>
      <c r="AV55" s="834">
        <v>0.02</v>
      </c>
      <c r="AW55" s="834">
        <v>0.3</v>
      </c>
      <c r="AX55" s="835">
        <v>0.03</v>
      </c>
      <c r="AY55" s="836">
        <v>-0.23</v>
      </c>
      <c r="AZ55" s="836">
        <v>0.24</v>
      </c>
      <c r="BA55" s="836">
        <v>0.15</v>
      </c>
      <c r="BB55" s="837">
        <v>0.03</v>
      </c>
      <c r="BC55" s="981">
        <v>-0.02</v>
      </c>
      <c r="BD55" s="981">
        <v>0.1</v>
      </c>
      <c r="BE55" s="981">
        <v>7.0000000000000007E-2</v>
      </c>
      <c r="BF55" s="817">
        <v>7.0000000000000007E-2</v>
      </c>
      <c r="BG55" s="981">
        <v>-0.17</v>
      </c>
      <c r="BH55" s="981">
        <v>0.14000000000000001</v>
      </c>
      <c r="BI55" s="981">
        <v>0.08</v>
      </c>
      <c r="BJ55" s="983">
        <v>0</v>
      </c>
      <c r="BK55" s="981">
        <v>-0.17</v>
      </c>
      <c r="BL55" s="993">
        <v>0.14000000000000001</v>
      </c>
      <c r="BM55" s="981">
        <v>7.0000000000000007E-2</v>
      </c>
      <c r="BN55" s="983">
        <v>0</v>
      </c>
      <c r="CE55" s="925"/>
    </row>
    <row r="56" spans="2:83">
      <c r="B56" s="114" t="s">
        <v>410</v>
      </c>
      <c r="C56" s="231"/>
      <c r="D56" s="54"/>
      <c r="E56" s="54"/>
      <c r="F56" s="232"/>
      <c r="G56" s="54"/>
      <c r="H56" s="54"/>
      <c r="I56" s="54"/>
      <c r="J56" s="54"/>
      <c r="K56" s="231"/>
      <c r="L56" s="54"/>
      <c r="M56" s="54"/>
      <c r="N56" s="232"/>
      <c r="O56" s="54"/>
      <c r="P56" s="54"/>
      <c r="Q56" s="54"/>
      <c r="R56" s="54"/>
      <c r="S56" s="231"/>
      <c r="T56" s="54"/>
      <c r="U56" s="54"/>
      <c r="V56" s="232"/>
      <c r="W56" s="504">
        <f>W49/W53</f>
        <v>26.522968036529679</v>
      </c>
      <c r="X56" s="504">
        <f t="shared" ref="X56:AH56" si="350">X49/X53</f>
        <v>25.868604992657858</v>
      </c>
      <c r="Y56" s="504">
        <f t="shared" si="350"/>
        <v>28.255269461077845</v>
      </c>
      <c r="Z56" s="504">
        <f t="shared" si="350"/>
        <v>31.786607142857143</v>
      </c>
      <c r="AA56" s="596">
        <f t="shared" si="350"/>
        <v>30.023507362784478</v>
      </c>
      <c r="AB56" s="504">
        <f t="shared" si="350"/>
        <v>28.652076260120136</v>
      </c>
      <c r="AC56" s="504">
        <f t="shared" si="350"/>
        <v>28.829119170984459</v>
      </c>
      <c r="AD56" s="560">
        <f t="shared" si="350"/>
        <v>30.19553072625698</v>
      </c>
      <c r="AE56" s="504">
        <f t="shared" si="350"/>
        <v>26.3855421686747</v>
      </c>
      <c r="AF56" s="504">
        <f t="shared" si="350"/>
        <v>28.934010152284266</v>
      </c>
      <c r="AG56" s="504">
        <f t="shared" si="350"/>
        <v>28.584392014519057</v>
      </c>
      <c r="AH56" s="504">
        <f t="shared" si="350"/>
        <v>36.070038910505836</v>
      </c>
      <c r="AI56" s="596">
        <f t="shared" ref="AI56:AT56" si="351">AH56*(1+AI57)</f>
        <v>31.187441860465114</v>
      </c>
      <c r="AJ56" s="504">
        <f t="shared" si="351"/>
        <v>33.058688372093023</v>
      </c>
      <c r="AK56" s="504">
        <f t="shared" si="351"/>
        <v>33.058688372093023</v>
      </c>
      <c r="AL56" s="560">
        <f t="shared" si="351"/>
        <v>38.910110458807992</v>
      </c>
      <c r="AM56" s="596">
        <f t="shared" si="351"/>
        <v>41.601813341450892</v>
      </c>
      <c r="AN56" s="504">
        <f t="shared" si="351"/>
        <v>41.830398723944505</v>
      </c>
      <c r="AO56" s="504">
        <f t="shared" si="351"/>
        <v>44.758526634620623</v>
      </c>
      <c r="AP56" s="560">
        <f t="shared" si="351"/>
        <v>48.252921708888465</v>
      </c>
      <c r="AQ56" s="504">
        <f t="shared" si="351"/>
        <v>48.524175047029701</v>
      </c>
      <c r="AR56" s="504">
        <f t="shared" si="351"/>
        <v>53.376592551732678</v>
      </c>
      <c r="AS56" s="504">
        <f t="shared" si="351"/>
        <v>56.045422179319317</v>
      </c>
      <c r="AT56" s="560">
        <f t="shared" si="351"/>
        <v>56.045422179319317</v>
      </c>
      <c r="AU56" s="504">
        <f t="shared" ref="AU56" si="352">AT56*(1+AU57)</f>
        <v>56.045422179319317</v>
      </c>
      <c r="AV56" s="504">
        <f t="shared" ref="AV56" si="353">AU56*(1+AV57)</f>
        <v>56.605876401112511</v>
      </c>
      <c r="AW56" s="504">
        <f t="shared" ref="AW56" si="354">AV56*(1+AW57)</f>
        <v>62.26646404122377</v>
      </c>
      <c r="AX56" s="815">
        <f t="shared" ref="AX56:BB56" si="355">AW56*(1+AX57)</f>
        <v>62.889128681636009</v>
      </c>
      <c r="AY56" s="887">
        <f t="shared" si="355"/>
        <v>59.744672247554206</v>
      </c>
      <c r="AZ56" s="887">
        <f t="shared" si="355"/>
        <v>63.209863237912352</v>
      </c>
      <c r="BA56" s="887">
        <f t="shared" si="355"/>
        <v>65.106159135049722</v>
      </c>
      <c r="BB56" s="815">
        <f t="shared" si="355"/>
        <v>68.947422524017654</v>
      </c>
      <c r="BC56" s="887">
        <f t="shared" ref="BC56" si="356">BB56*(1+BC57)</f>
        <v>68.947422524017654</v>
      </c>
      <c r="BD56" s="887">
        <f t="shared" ref="BD56" si="357">BC56*(1+BD57)</f>
        <v>72.394793650218546</v>
      </c>
      <c r="BE56" s="427">
        <f t="shared" ref="BE56" si="358">BD56*(1+BE57)</f>
        <v>73.842689523222916</v>
      </c>
      <c r="BF56" s="428">
        <f t="shared" ref="BF56" si="359">BE56*(1+BF57)</f>
        <v>74.581116418455139</v>
      </c>
      <c r="BG56" s="887">
        <f t="shared" ref="BG56" si="360">BF56*(1+BG57)</f>
        <v>72.343682925901476</v>
      </c>
      <c r="BH56" s="887">
        <f t="shared" ref="BH56" si="361">BG56*(1+BH57)</f>
        <v>76.684303901455564</v>
      </c>
      <c r="BI56" s="427">
        <f t="shared" ref="BI56" si="362">BH56*(1+BI57)</f>
        <v>78.21798997948467</v>
      </c>
      <c r="BJ56" s="428">
        <f t="shared" ref="BJ56" si="363">BI56*(1+BJ57)</f>
        <v>79.000169879279511</v>
      </c>
      <c r="BK56" s="887">
        <f t="shared" ref="BK56" si="364">BJ56*(1+BK57)</f>
        <v>77.420166481693926</v>
      </c>
      <c r="BL56" s="887">
        <f t="shared" ref="BL56" si="365">BK56*(1+BL57)</f>
        <v>82.065376470595567</v>
      </c>
      <c r="BM56" s="427">
        <f t="shared" ref="BM56" si="366">BL56*(1+BM57)</f>
        <v>83.706684000007485</v>
      </c>
      <c r="BN56" s="428">
        <f t="shared" ref="BN56" si="367">BM56*(1+BN57)</f>
        <v>84.543750840007561</v>
      </c>
      <c r="BX56" s="64">
        <f>AVERAGE(AI56:AL56)</f>
        <v>34.053732265864788</v>
      </c>
      <c r="BY56" s="64">
        <f>AVERAGE(AM56:AP56)</f>
        <v>44.110915102226123</v>
      </c>
      <c r="BZ56" s="64">
        <f>AVERAGE(AQ56:AT56)</f>
        <v>53.497902989350251</v>
      </c>
      <c r="CA56" s="64">
        <f>AVERAGE(AU56:AX56)</f>
        <v>59.451722825822898</v>
      </c>
      <c r="CB56" s="64">
        <f>AVERAGE(AY56:BB56)</f>
        <v>64.252029286133478</v>
      </c>
      <c r="CC56" s="64">
        <f>AVERAGE(BC56:BF56)</f>
        <v>72.441505528978553</v>
      </c>
      <c r="CD56" s="64">
        <f>AVERAGE(BG56:BJ56)</f>
        <v>76.561536671530305</v>
      </c>
      <c r="CE56" s="64">
        <f>AVERAGE(BK56:BN56)</f>
        <v>81.933994448076135</v>
      </c>
    </row>
    <row r="57" spans="2:83">
      <c r="B57" s="192" t="s">
        <v>115</v>
      </c>
      <c r="C57" s="231"/>
      <c r="D57" s="54"/>
      <c r="E57" s="54"/>
      <c r="F57" s="232"/>
      <c r="G57" s="54"/>
      <c r="H57" s="54"/>
      <c r="I57" s="54"/>
      <c r="J57" s="54"/>
      <c r="K57" s="231"/>
      <c r="L57" s="54"/>
      <c r="M57" s="54"/>
      <c r="N57" s="232"/>
      <c r="O57" s="54"/>
      <c r="P57" s="54"/>
      <c r="Q57" s="54"/>
      <c r="R57" s="54"/>
      <c r="S57" s="231"/>
      <c r="T57" s="54"/>
      <c r="U57" s="54"/>
      <c r="V57" s="232"/>
      <c r="W57" s="435"/>
      <c r="X57" s="435"/>
      <c r="Y57" s="435"/>
      <c r="Z57" s="435"/>
      <c r="AA57" s="436"/>
      <c r="AB57" s="435"/>
      <c r="AC57" s="435"/>
      <c r="AD57" s="437"/>
      <c r="AE57" s="435"/>
      <c r="AF57" s="435"/>
      <c r="AG57" s="435"/>
      <c r="AH57" s="437"/>
      <c r="AI57" s="597">
        <v>-0.1353643410852714</v>
      </c>
      <c r="AJ57" s="369">
        <v>0.06</v>
      </c>
      <c r="AK57" s="369">
        <v>0</v>
      </c>
      <c r="AL57" s="561">
        <v>0.17700103588061689</v>
      </c>
      <c r="AM57" s="597">
        <v>6.9177467010597571E-2</v>
      </c>
      <c r="AN57" s="369">
        <v>5.4946014159882317E-3</v>
      </c>
      <c r="AO57" s="369">
        <v>7.0000000000000007E-2</v>
      </c>
      <c r="AP57" s="561">
        <v>7.807216494845326E-2</v>
      </c>
      <c r="AQ57" s="597">
        <v>5.6214904410910819E-3</v>
      </c>
      <c r="AR57" s="369">
        <v>0.1</v>
      </c>
      <c r="AS57" s="369">
        <v>0.05</v>
      </c>
      <c r="AT57" s="561">
        <v>0</v>
      </c>
      <c r="AU57" s="190">
        <v>0</v>
      </c>
      <c r="AV57" s="836">
        <v>0.01</v>
      </c>
      <c r="AW57" s="836">
        <v>0.1</v>
      </c>
      <c r="AX57" s="837">
        <v>0.01</v>
      </c>
      <c r="AY57" s="864">
        <v>-0.05</v>
      </c>
      <c r="AZ57" s="836">
        <v>5.8000000000000003E-2</v>
      </c>
      <c r="BA57" s="836">
        <v>0.03</v>
      </c>
      <c r="BB57" s="837">
        <v>5.8999999999999997E-2</v>
      </c>
      <c r="BC57" s="942">
        <v>0</v>
      </c>
      <c r="BD57" s="816">
        <v>0.05</v>
      </c>
      <c r="BE57" s="816">
        <v>0.02</v>
      </c>
      <c r="BF57" s="817">
        <v>0.01</v>
      </c>
      <c r="BG57" s="942">
        <v>-0.03</v>
      </c>
      <c r="BH57" s="981">
        <v>0.06</v>
      </c>
      <c r="BI57" s="981">
        <v>0.02</v>
      </c>
      <c r="BJ57" s="983">
        <v>0.01</v>
      </c>
      <c r="BK57" s="942">
        <v>-0.02</v>
      </c>
      <c r="BL57" s="981">
        <v>0.06</v>
      </c>
      <c r="BM57" s="981">
        <v>0.02</v>
      </c>
      <c r="BN57" s="983">
        <v>0.01</v>
      </c>
      <c r="BX57" s="54"/>
      <c r="BY57" s="590">
        <f t="shared" ref="BY57" si="368">BY56/BX56-1</f>
        <v>0.29533276287728905</v>
      </c>
      <c r="BZ57" s="590">
        <f t="shared" ref="BZ57" si="369">BZ56/BY56-1</f>
        <v>0.21280419745022239</v>
      </c>
      <c r="CA57" s="590">
        <f t="shared" ref="CA57:CE57" si="370">CA56/BZ56-1</f>
        <v>0.11129071428571446</v>
      </c>
      <c r="CB57" s="590">
        <f t="shared" si="370"/>
        <v>8.0742932788914201E-2</v>
      </c>
      <c r="CC57" s="590">
        <f t="shared" si="370"/>
        <v>0.12745863957657888</v>
      </c>
      <c r="CD57" s="590">
        <f t="shared" si="370"/>
        <v>5.6873902778064478E-2</v>
      </c>
      <c r="CE57" s="590">
        <f t="shared" si="370"/>
        <v>7.0171760000000027E-2</v>
      </c>
    </row>
    <row r="58" spans="2:83">
      <c r="B58" s="114" t="s">
        <v>406</v>
      </c>
      <c r="C58" s="299"/>
      <c r="D58" s="71"/>
      <c r="E58" s="71"/>
      <c r="F58" s="300"/>
      <c r="G58" s="71"/>
      <c r="H58" s="71"/>
      <c r="I58" s="71"/>
      <c r="J58" s="71"/>
      <c r="K58" s="299"/>
      <c r="L58" s="71"/>
      <c r="M58" s="71"/>
      <c r="N58" s="300"/>
      <c r="O58" s="71"/>
      <c r="P58" s="71"/>
      <c r="Q58" s="71"/>
      <c r="R58" s="71"/>
      <c r="S58" s="299"/>
      <c r="T58" s="71"/>
      <c r="U58" s="71"/>
      <c r="V58" s="300"/>
      <c r="W58" s="438">
        <v>19.772750000000002</v>
      </c>
      <c r="X58" s="438">
        <v>18.857999999999997</v>
      </c>
      <c r="Y58" s="438">
        <v>20.416</v>
      </c>
      <c r="Z58" s="438">
        <v>22.255000000000003</v>
      </c>
      <c r="AA58" s="439">
        <v>21.135999999999999</v>
      </c>
      <c r="AB58" s="438">
        <v>21.5</v>
      </c>
      <c r="AC58" s="438">
        <v>21.862500000000001</v>
      </c>
      <c r="AD58" s="440">
        <v>22.06</v>
      </c>
      <c r="AE58" s="495">
        <v>22.18</v>
      </c>
      <c r="AF58" s="495">
        <v>23.289000000000001</v>
      </c>
      <c r="AG58" s="495">
        <v>23.445399999999999</v>
      </c>
      <c r="AH58" s="495">
        <v>23.609799999999996</v>
      </c>
      <c r="AI58" s="496">
        <v>22.2</v>
      </c>
      <c r="AJ58" s="495">
        <v>23.15</v>
      </c>
      <c r="AK58" s="495">
        <v>23.25</v>
      </c>
      <c r="AL58" s="497">
        <v>23.95</v>
      </c>
      <c r="AM58" s="496">
        <v>24.429000000000002</v>
      </c>
      <c r="AN58" s="495">
        <v>25.039746634996042</v>
      </c>
      <c r="AO58" s="495">
        <v>25.665751334858886</v>
      </c>
      <c r="AP58" s="497">
        <v>26.95</v>
      </c>
      <c r="AQ58" s="495">
        <v>27.623749999999998</v>
      </c>
      <c r="AR58" s="495">
        <v>27.080000000000002</v>
      </c>
      <c r="AS58" s="495"/>
      <c r="AT58" s="497"/>
      <c r="AU58" s="438"/>
      <c r="AV58" s="427"/>
      <c r="AW58" s="743"/>
      <c r="AX58" s="780"/>
      <c r="AY58" s="743"/>
      <c r="AZ58" s="743"/>
      <c r="BA58" s="427"/>
      <c r="BB58" s="780"/>
      <c r="BC58" s="743"/>
      <c r="BD58" s="743"/>
      <c r="BE58" s="427"/>
      <c r="BF58" s="428"/>
      <c r="BG58" s="743"/>
      <c r="BH58" s="743"/>
      <c r="BI58" s="427"/>
      <c r="BJ58" s="428"/>
      <c r="BK58" s="743"/>
      <c r="BL58" s="743"/>
      <c r="BM58" s="427"/>
      <c r="BN58" s="428"/>
      <c r="BU58" s="164">
        <f>AVERAGE(W58:Z58)</f>
        <v>20.3254375</v>
      </c>
      <c r="BV58" s="164">
        <f>AVERAGE(AA58:AD58)</f>
        <v>21.639624999999999</v>
      </c>
      <c r="BW58" s="164">
        <f>AVERAGE(AE58:AH58)</f>
        <v>23.131049999999998</v>
      </c>
      <c r="BX58" s="164">
        <f>AVERAGE(AI58:AL58)</f>
        <v>23.137499999999999</v>
      </c>
      <c r="BY58" s="536">
        <f>AVERAGE(AM58:AP58)</f>
        <v>25.521124492463734</v>
      </c>
      <c r="BZ58" s="536">
        <f>AVERAGE(AQ58:AT58)</f>
        <v>27.351875</v>
      </c>
      <c r="CA58" s="536"/>
      <c r="CB58" s="536"/>
      <c r="CC58" s="536"/>
      <c r="CD58" s="536"/>
      <c r="CE58" s="536"/>
    </row>
    <row r="59" spans="2:83">
      <c r="B59" s="152" t="s">
        <v>114</v>
      </c>
      <c r="C59" s="295"/>
      <c r="D59" s="72"/>
      <c r="E59" s="72"/>
      <c r="F59" s="296"/>
      <c r="G59" s="72"/>
      <c r="H59" s="72"/>
      <c r="I59" s="72"/>
      <c r="J59" s="72"/>
      <c r="K59" s="295"/>
      <c r="L59" s="72"/>
      <c r="M59" s="72"/>
      <c r="N59" s="296"/>
      <c r="O59" s="72"/>
      <c r="P59" s="72"/>
      <c r="Q59" s="72"/>
      <c r="R59" s="72"/>
      <c r="S59" s="295"/>
      <c r="T59" s="72"/>
      <c r="U59" s="72"/>
      <c r="V59" s="296"/>
      <c r="W59" s="72"/>
      <c r="X59" s="72"/>
      <c r="Y59" s="72"/>
      <c r="Z59" s="72"/>
      <c r="AA59" s="295">
        <f>AA58/W58-1</f>
        <v>6.8945897763335706E-2</v>
      </c>
      <c r="AB59" s="72">
        <f t="shared" ref="AB59:AM59" si="371">AB58/X58-1</f>
        <v>0.14009969243822273</v>
      </c>
      <c r="AC59" s="72">
        <f t="shared" si="371"/>
        <v>7.0851293103448398E-2</v>
      </c>
      <c r="AD59" s="296">
        <f t="shared" si="371"/>
        <v>-8.7620759379916091E-3</v>
      </c>
      <c r="AE59" s="191">
        <f t="shared" si="371"/>
        <v>4.9394398183194577E-2</v>
      </c>
      <c r="AF59" s="191">
        <f t="shared" si="371"/>
        <v>8.3209302325581547E-2</v>
      </c>
      <c r="AG59" s="191">
        <f t="shared" si="371"/>
        <v>7.2402515723270389E-2</v>
      </c>
      <c r="AH59" s="191">
        <f t="shared" si="371"/>
        <v>7.0253853127833166E-2</v>
      </c>
      <c r="AI59" s="477">
        <f t="shared" si="371"/>
        <v>9.0171325518473289E-4</v>
      </c>
      <c r="AJ59" s="191">
        <f t="shared" si="371"/>
        <v>-5.9684829747951307E-3</v>
      </c>
      <c r="AK59" s="191">
        <f t="shared" si="371"/>
        <v>-8.3342574662833568E-3</v>
      </c>
      <c r="AL59" s="478">
        <f t="shared" si="371"/>
        <v>1.4409270726562839E-2</v>
      </c>
      <c r="AM59" s="477">
        <f t="shared" si="371"/>
        <v>0.10040540540540555</v>
      </c>
      <c r="AN59" s="191">
        <f>AN58/AJ58-1</f>
        <v>8.1630524189893805E-2</v>
      </c>
      <c r="AO59" s="191">
        <f>AO58/AK58-1</f>
        <v>0.10390328321973707</v>
      </c>
      <c r="AP59" s="478">
        <f>AP58/AL58-1</f>
        <v>0.12526096033402934</v>
      </c>
      <c r="AQ59" s="191">
        <f>AQ58/AM58-1</f>
        <v>0.13077694543370555</v>
      </c>
      <c r="AR59" s="191">
        <f>AR58/AN58-1</f>
        <v>8.1480591427089744E-2</v>
      </c>
      <c r="AS59" s="191"/>
      <c r="AT59" s="478"/>
      <c r="AU59" s="72"/>
      <c r="AV59" s="72"/>
      <c r="AW59" s="742"/>
      <c r="AX59" s="781"/>
      <c r="AY59" s="742"/>
      <c r="AZ59" s="742"/>
      <c r="BA59" s="72"/>
      <c r="BB59" s="781"/>
      <c r="BC59" s="742"/>
      <c r="BD59" s="742"/>
      <c r="BE59" s="72"/>
      <c r="BF59" s="296"/>
      <c r="BG59" s="742"/>
      <c r="BH59" s="742"/>
      <c r="BI59" s="72"/>
      <c r="BJ59" s="296"/>
      <c r="BK59" s="742"/>
      <c r="BL59" s="742"/>
      <c r="BM59" s="72"/>
      <c r="BN59" s="296"/>
      <c r="BV59" s="54">
        <f>BV58/BU58-1</f>
        <v>6.4657279824849923E-2</v>
      </c>
      <c r="BW59" s="54">
        <f>BW58/BV58-1</f>
        <v>6.8921018732995609E-2</v>
      </c>
      <c r="BX59" s="54">
        <f>BX58/BW58-1</f>
        <v>2.7884596678484641E-4</v>
      </c>
      <c r="BY59" s="54">
        <f>BY58/BX58-1</f>
        <v>0.10301996725937257</v>
      </c>
      <c r="BZ59" s="54">
        <f>BZ58/BY58-1</f>
        <v>7.1734711692538422E-2</v>
      </c>
      <c r="CA59" s="99"/>
      <c r="CB59" s="99"/>
      <c r="CC59" s="99"/>
      <c r="CD59" s="99"/>
      <c r="CE59" s="99"/>
    </row>
    <row r="60" spans="2:83">
      <c r="B60" s="152" t="s">
        <v>115</v>
      </c>
      <c r="C60" s="231"/>
      <c r="D60" s="54"/>
      <c r="E60" s="54"/>
      <c r="F60" s="232"/>
      <c r="G60" s="54"/>
      <c r="H60" s="54"/>
      <c r="I60" s="54"/>
      <c r="J60" s="54"/>
      <c r="K60" s="231"/>
      <c r="L60" s="54"/>
      <c r="M60" s="54"/>
      <c r="N60" s="232"/>
      <c r="O60" s="54"/>
      <c r="P60" s="54"/>
      <c r="Q60" s="54"/>
      <c r="R60" s="54"/>
      <c r="S60" s="231"/>
      <c r="T60" s="54"/>
      <c r="U60" s="54"/>
      <c r="V60" s="232"/>
      <c r="W60" s="54"/>
      <c r="X60" s="54">
        <f>X58/W58-1</f>
        <v>-4.6263165214752933E-2</v>
      </c>
      <c r="Y60" s="54">
        <f>Y58/X58-1</f>
        <v>8.2617456782267729E-2</v>
      </c>
      <c r="Z60" s="54">
        <f>Z58/Y58-1</f>
        <v>9.0076410658307404E-2</v>
      </c>
      <c r="AA60" s="231">
        <f>AA58/Z58-1</f>
        <v>-5.0280835767243515E-2</v>
      </c>
      <c r="AB60" s="54">
        <f t="shared" ref="AB60:AM60" si="372">AB58/AA58-1</f>
        <v>1.7221801665405101E-2</v>
      </c>
      <c r="AC60" s="54">
        <f t="shared" si="372"/>
        <v>1.6860465116279144E-2</v>
      </c>
      <c r="AD60" s="232">
        <f t="shared" si="372"/>
        <v>9.0337335620354065E-3</v>
      </c>
      <c r="AE60" s="181">
        <f t="shared" si="372"/>
        <v>5.4397098821397094E-3</v>
      </c>
      <c r="AF60" s="181">
        <f t="shared" si="372"/>
        <v>5.0000000000000044E-2</v>
      </c>
      <c r="AG60" s="181">
        <f t="shared" si="372"/>
        <v>6.7156168148052586E-3</v>
      </c>
      <c r="AH60" s="181">
        <f t="shared" si="372"/>
        <v>7.0120364762382703E-3</v>
      </c>
      <c r="AI60" s="479">
        <f t="shared" si="372"/>
        <v>-5.9712492270158846E-2</v>
      </c>
      <c r="AJ60" s="181">
        <f t="shared" si="372"/>
        <v>4.2792792792792689E-2</v>
      </c>
      <c r="AK60" s="181">
        <f t="shared" si="372"/>
        <v>4.3196544276458138E-3</v>
      </c>
      <c r="AL60" s="480">
        <f t="shared" si="372"/>
        <v>3.0107526881720359E-2</v>
      </c>
      <c r="AM60" s="479">
        <f t="shared" si="372"/>
        <v>2.0000000000000018E-2</v>
      </c>
      <c r="AN60" s="181">
        <f>AN58/AM58-1</f>
        <v>2.5000885627575409E-2</v>
      </c>
      <c r="AO60" s="181">
        <f>AO58/AN58-1</f>
        <v>2.5000440658929257E-2</v>
      </c>
      <c r="AP60" s="480">
        <f>AP58/AO58-1</f>
        <v>5.0037446727572155E-2</v>
      </c>
      <c r="AQ60" s="479">
        <f>AQ58/AP58-1</f>
        <v>2.4999999999999911E-2</v>
      </c>
      <c r="AR60" s="181">
        <f>AR58/AQ58-1</f>
        <v>-1.9684148604009133E-2</v>
      </c>
      <c r="AS60" s="369"/>
      <c r="AT60" s="561"/>
      <c r="AU60" s="597"/>
      <c r="AV60" s="72"/>
      <c r="AW60" s="742"/>
      <c r="AX60" s="781"/>
      <c r="AY60" s="742"/>
      <c r="AZ60" s="742"/>
      <c r="BA60" s="72"/>
      <c r="BB60" s="781"/>
      <c r="BC60" s="742"/>
      <c r="BD60" s="742"/>
      <c r="BE60" s="72"/>
      <c r="BF60" s="296"/>
      <c r="BG60" s="742"/>
      <c r="BH60" s="742"/>
      <c r="BI60" s="72"/>
      <c r="BJ60" s="296"/>
      <c r="BK60" s="742"/>
      <c r="BL60" s="742"/>
      <c r="BM60" s="72"/>
      <c r="BN60" s="296"/>
      <c r="CE60" s="925"/>
    </row>
    <row r="61" spans="2:83">
      <c r="B61" s="152"/>
      <c r="C61" s="231"/>
      <c r="D61" s="54"/>
      <c r="E61" s="54"/>
      <c r="F61" s="232"/>
      <c r="G61" s="54"/>
      <c r="H61" s="54"/>
      <c r="I61" s="54"/>
      <c r="J61" s="54"/>
      <c r="K61" s="231"/>
      <c r="L61" s="54"/>
      <c r="M61" s="54"/>
      <c r="N61" s="232"/>
      <c r="O61" s="54"/>
      <c r="P61" s="54"/>
      <c r="Q61" s="54"/>
      <c r="R61" s="54"/>
      <c r="S61" s="231"/>
      <c r="T61" s="54"/>
      <c r="U61" s="54"/>
      <c r="V61" s="232"/>
      <c r="W61" s="54"/>
      <c r="X61" s="54"/>
      <c r="Y61" s="54"/>
      <c r="Z61" s="54"/>
      <c r="AA61" s="231"/>
      <c r="AB61" s="54"/>
      <c r="AC61" s="54"/>
      <c r="AD61" s="232"/>
      <c r="AE61" s="181"/>
      <c r="AF61" s="181"/>
      <c r="AG61" s="181"/>
      <c r="AH61" s="181"/>
      <c r="AI61" s="479"/>
      <c r="AJ61" s="181"/>
      <c r="AK61" s="181"/>
      <c r="AL61" s="480"/>
      <c r="AM61" s="479"/>
      <c r="AN61" s="181"/>
      <c r="AO61" s="181"/>
      <c r="AP61" s="480"/>
      <c r="AQ61" s="181"/>
      <c r="AR61" s="191"/>
      <c r="AS61" s="72"/>
      <c r="AT61" s="480"/>
      <c r="AU61" s="181"/>
      <c r="AV61" s="72"/>
      <c r="AW61" s="742"/>
      <c r="AX61" s="781"/>
      <c r="AY61" s="742"/>
      <c r="AZ61" s="742"/>
      <c r="BA61" s="72"/>
      <c r="BB61" s="781"/>
      <c r="BC61" s="742"/>
      <c r="BD61" s="742"/>
      <c r="BE61" s="72"/>
      <c r="BF61" s="296"/>
      <c r="BG61" s="742"/>
      <c r="BH61" s="742"/>
      <c r="BI61" s="72"/>
      <c r="BJ61" s="296"/>
      <c r="BK61" s="742"/>
      <c r="BL61" s="742"/>
      <c r="BM61" s="72"/>
      <c r="BN61" s="296"/>
      <c r="CE61" s="925"/>
    </row>
    <row r="62" spans="2:83">
      <c r="B62" s="488" t="s">
        <v>442</v>
      </c>
      <c r="C62" s="231"/>
      <c r="D62" s="54"/>
      <c r="E62" s="54"/>
      <c r="F62" s="232"/>
      <c r="G62" s="54"/>
      <c r="H62" s="54"/>
      <c r="I62" s="54"/>
      <c r="J62" s="54"/>
      <c r="K62" s="231"/>
      <c r="L62" s="54"/>
      <c r="M62" s="54"/>
      <c r="N62" s="232"/>
      <c r="O62" s="54"/>
      <c r="P62" s="54"/>
      <c r="Q62" s="54"/>
      <c r="R62" s="54"/>
      <c r="S62" s="231"/>
      <c r="T62" s="54"/>
      <c r="U62" s="54"/>
      <c r="V62" s="232"/>
      <c r="W62" s="365">
        <f t="shared" ref="W62:Z62" si="373">W49+W36</f>
        <v>580.85300000000007</v>
      </c>
      <c r="X62" s="88">
        <f t="shared" si="373"/>
        <v>440.41300000000001</v>
      </c>
      <c r="Y62" s="88">
        <f t="shared" si="373"/>
        <v>471.86300000000006</v>
      </c>
      <c r="Z62" s="366">
        <f t="shared" si="373"/>
        <v>534.01499999999999</v>
      </c>
      <c r="AA62" s="365">
        <f t="shared" ref="AA62:AD62" si="374">AA49+AA36</f>
        <v>560.68900000000008</v>
      </c>
      <c r="AB62" s="88">
        <f t="shared" si="374"/>
        <v>548.5440000000001</v>
      </c>
      <c r="AC62" s="88">
        <f t="shared" si="374"/>
        <v>556.40200000000004</v>
      </c>
      <c r="AD62" s="366">
        <f t="shared" si="374"/>
        <v>540.5</v>
      </c>
      <c r="AE62" s="365">
        <f t="shared" ref="AE62:AH62" si="375">AE49+AE36</f>
        <v>503.70000000000005</v>
      </c>
      <c r="AF62" s="88">
        <f t="shared" si="375"/>
        <v>595</v>
      </c>
      <c r="AG62" s="88">
        <f t="shared" si="375"/>
        <v>670.30000000000007</v>
      </c>
      <c r="AH62" s="366">
        <f t="shared" si="375"/>
        <v>615.85000000000014</v>
      </c>
      <c r="AI62" s="628">
        <f>AI49+AI36</f>
        <v>562.71080500000016</v>
      </c>
      <c r="AJ62" s="88">
        <f t="shared" ref="AJ62:AV62" si="376">AJ49+AJ36</f>
        <v>602.31993500000135</v>
      </c>
      <c r="AK62" s="88">
        <f t="shared" si="376"/>
        <v>607.25598789247738</v>
      </c>
      <c r="AL62" s="366">
        <f t="shared" si="376"/>
        <v>707.33380963983791</v>
      </c>
      <c r="AM62" s="365">
        <f t="shared" si="376"/>
        <v>649.36300000000006</v>
      </c>
      <c r="AN62" s="88">
        <f t="shared" si="376"/>
        <v>586.9801382372782</v>
      </c>
      <c r="AO62" s="88">
        <f t="shared" si="376"/>
        <v>695.38200000000006</v>
      </c>
      <c r="AP62" s="366">
        <f t="shared" si="376"/>
        <v>794.18099999999981</v>
      </c>
      <c r="AQ62" s="88">
        <f t="shared" si="376"/>
        <v>670.99702438936583</v>
      </c>
      <c r="AR62" s="97">
        <f t="shared" si="376"/>
        <v>710.00335702798782</v>
      </c>
      <c r="AS62" s="73">
        <f t="shared" si="376"/>
        <v>837.99536735065658</v>
      </c>
      <c r="AT62" s="366">
        <f t="shared" si="376"/>
        <v>878.00028091401805</v>
      </c>
      <c r="AU62" s="88">
        <f t="shared" si="376"/>
        <v>747.00429963113243</v>
      </c>
      <c r="AV62" s="73">
        <f t="shared" si="376"/>
        <v>832.83946040559078</v>
      </c>
      <c r="AW62" s="73">
        <f t="shared" ref="AW62:AZ62" si="377">AW49+AW36</f>
        <v>1249.9706157219348</v>
      </c>
      <c r="AX62" s="760">
        <f t="shared" si="377"/>
        <v>1328.9804011026476</v>
      </c>
      <c r="AY62" s="88">
        <f t="shared" si="377"/>
        <v>948.21247322572026</v>
      </c>
      <c r="AZ62" s="906">
        <f t="shared" si="377"/>
        <v>1245.6565060182752</v>
      </c>
      <c r="BA62" s="73">
        <f t="shared" ref="BA62:BB62" si="378">BA49+BA36</f>
        <v>1477.0138754817881</v>
      </c>
      <c r="BB62" s="760">
        <f t="shared" si="378"/>
        <v>1601.3053124373002</v>
      </c>
      <c r="BC62" s="88">
        <f t="shared" ref="BC62:BD62" si="379">BC49+BC36</f>
        <v>1569.2792061885541</v>
      </c>
      <c r="BD62" s="906">
        <f t="shared" si="379"/>
        <v>1787.9247861175186</v>
      </c>
      <c r="BE62" s="73">
        <f t="shared" ref="BE62:BJ62" si="380">BE49+BE36</f>
        <v>1951.3411115686599</v>
      </c>
      <c r="BF62" s="238">
        <f t="shared" si="380"/>
        <v>2011.0868476579021</v>
      </c>
      <c r="BG62" s="88">
        <f t="shared" si="380"/>
        <v>1646.210497296782</v>
      </c>
      <c r="BH62" s="906">
        <f t="shared" si="380"/>
        <v>1989.2807649334318</v>
      </c>
      <c r="BI62" s="73">
        <f t="shared" si="380"/>
        <v>2191.3916906506688</v>
      </c>
      <c r="BJ62" s="238">
        <f t="shared" si="380"/>
        <v>2213.3056075571753</v>
      </c>
      <c r="BK62" s="88">
        <f t="shared" ref="BK62:BN62" si="381">BK49+BK36</f>
        <v>1830.6362069372703</v>
      </c>
      <c r="BL62" s="906">
        <f t="shared" si="381"/>
        <v>2212.1407924629975</v>
      </c>
      <c r="BM62" s="73">
        <f t="shared" si="381"/>
        <v>2398.4405566823016</v>
      </c>
      <c r="BN62" s="238">
        <f t="shared" si="381"/>
        <v>2422.4249622491247</v>
      </c>
      <c r="BU62" s="59">
        <f>SUM(W62:Z62)</f>
        <v>2027.1440000000002</v>
      </c>
      <c r="BV62" s="59">
        <f>SUM(AA62:AD62)</f>
        <v>2206.1350000000002</v>
      </c>
      <c r="BW62" s="59">
        <f>SUM(AE62:AH62)</f>
        <v>2384.8500000000004</v>
      </c>
      <c r="BX62" s="59">
        <f>SUM(AI62:AL62)</f>
        <v>2479.620537532317</v>
      </c>
      <c r="BY62" s="59">
        <f>SUM(AM62:AP62)</f>
        <v>2725.9061382372784</v>
      </c>
      <c r="BZ62" s="59">
        <f>SUM(AQ62:AT62)</f>
        <v>3096.9960296820282</v>
      </c>
      <c r="CA62" s="59">
        <f>SUM(AU62:AX62)</f>
        <v>4158.7947768613058</v>
      </c>
      <c r="CB62" s="59">
        <f>SUM(AY62:BB62)</f>
        <v>5272.1881671630836</v>
      </c>
      <c r="CC62" s="59">
        <f>SUM(BC62:BF62)</f>
        <v>7319.631951532634</v>
      </c>
      <c r="CD62" s="59">
        <f>SUM(BG62:BJ62)</f>
        <v>8040.1885604380568</v>
      </c>
      <c r="CE62" s="59">
        <f>SUM(BK62:BN62)</f>
        <v>8863.6425183316933</v>
      </c>
    </row>
    <row r="63" spans="2:83">
      <c r="B63" s="152" t="s">
        <v>114</v>
      </c>
      <c r="C63" s="231"/>
      <c r="D63" s="54"/>
      <c r="E63" s="54"/>
      <c r="F63" s="232"/>
      <c r="G63" s="54"/>
      <c r="H63" s="54"/>
      <c r="I63" s="54"/>
      <c r="J63" s="54"/>
      <c r="K63" s="231"/>
      <c r="L63" s="54"/>
      <c r="M63" s="54"/>
      <c r="N63" s="232"/>
      <c r="O63" s="54"/>
      <c r="P63" s="54"/>
      <c r="Q63" s="54"/>
      <c r="R63" s="54"/>
      <c r="S63" s="231"/>
      <c r="T63" s="54"/>
      <c r="U63" s="54"/>
      <c r="V63" s="232"/>
      <c r="W63" s="633"/>
      <c r="X63" s="625"/>
      <c r="Y63" s="625"/>
      <c r="Z63" s="634"/>
      <c r="AA63" s="633">
        <f>AA62/W62-1</f>
        <v>-3.4714463039701937E-2</v>
      </c>
      <c r="AB63" s="625">
        <f t="shared" ref="AB63" si="382">AB62/X62-1</f>
        <v>0.24552181702175013</v>
      </c>
      <c r="AC63" s="625">
        <f t="shared" ref="AC63" si="383">AC62/Y62-1</f>
        <v>0.17916005281193903</v>
      </c>
      <c r="AD63" s="634">
        <f t="shared" ref="AD63" si="384">AD62/Z62-1</f>
        <v>1.2143853637070157E-2</v>
      </c>
      <c r="AE63" s="633">
        <f>AE62/AA62-1</f>
        <v>-0.10164101667769476</v>
      </c>
      <c r="AF63" s="625">
        <f t="shared" ref="AF63" si="385">AF62/AB62-1</f>
        <v>8.4689651149223888E-2</v>
      </c>
      <c r="AG63" s="625">
        <f t="shared" ref="AG63" si="386">AG62/AC62-1</f>
        <v>0.20470451220520425</v>
      </c>
      <c r="AH63" s="634">
        <f t="shared" ref="AH63" si="387">AH62/AD62-1</f>
        <v>0.13940795559667007</v>
      </c>
      <c r="AI63" s="633"/>
      <c r="AJ63" s="625"/>
      <c r="AK63" s="625"/>
      <c r="AL63" s="634"/>
      <c r="AM63" s="633">
        <f>AM62/AI62-1</f>
        <v>0.15399063645134703</v>
      </c>
      <c r="AN63" s="625">
        <f t="shared" ref="AN63" si="388">AN62/AJ62-1</f>
        <v>-2.5467854990924632E-2</v>
      </c>
      <c r="AO63" s="625">
        <f t="shared" ref="AO63" si="389">AO62/AK62-1</f>
        <v>0.14512168486533983</v>
      </c>
      <c r="AP63" s="634">
        <f t="shared" ref="AP63" si="390">AP62/AL62-1</f>
        <v>0.12278105355148083</v>
      </c>
      <c r="AQ63" s="625">
        <f t="shared" ref="AQ63" si="391">AQ62/AM62-1</f>
        <v>3.3315763893793982E-2</v>
      </c>
      <c r="AR63" s="640">
        <f t="shared" ref="AR63" si="392">AR62/AN62-1</f>
        <v>0.20958668066717312</v>
      </c>
      <c r="AS63" s="577">
        <f t="shared" ref="AS63" si="393">AS62/AO62-1</f>
        <v>0.20508636598395769</v>
      </c>
      <c r="AT63" s="634">
        <f t="shared" ref="AT63" si="394">AT62/AP62-1</f>
        <v>0.10554178570630413</v>
      </c>
      <c r="AU63" s="625">
        <f t="shared" ref="AU63" si="395">AU62/AQ62-1</f>
        <v>0.11327513011095136</v>
      </c>
      <c r="AV63" s="577">
        <f t="shared" ref="AV63" si="396">AV62/AR62-1</f>
        <v>0.17300777828964664</v>
      </c>
      <c r="AW63" s="577">
        <f t="shared" ref="AW63" si="397">AW62/AS62-1</f>
        <v>0.49161995927704027</v>
      </c>
      <c r="AX63" s="783">
        <f t="shared" ref="AX63:BB63" si="398">AX62/AT62-1</f>
        <v>0.51364461947455098</v>
      </c>
      <c r="AY63" s="625">
        <f t="shared" si="398"/>
        <v>0.26935343436971326</v>
      </c>
      <c r="AZ63" s="888">
        <f t="shared" si="398"/>
        <v>0.49567421482604046</v>
      </c>
      <c r="BA63" s="577">
        <f t="shared" ref="BA63" si="399">BA62/AW62-1</f>
        <v>0.18163887766971376</v>
      </c>
      <c r="BB63" s="783">
        <f t="shared" si="398"/>
        <v>0.20491266169817557</v>
      </c>
      <c r="BC63" s="625">
        <f t="shared" ref="BC63" si="400">BC62/AY62-1</f>
        <v>0.65498688374139324</v>
      </c>
      <c r="BD63" s="888">
        <f t="shared" ref="BD63" si="401">BD62/AZ62-1</f>
        <v>0.43532729727603381</v>
      </c>
      <c r="BE63" s="577">
        <f t="shared" ref="BE63" si="402">BE62/BA62-1</f>
        <v>0.32113932303591297</v>
      </c>
      <c r="BF63" s="579">
        <f t="shared" ref="BF63" si="403">BF62/BB62-1</f>
        <v>0.25590468728095672</v>
      </c>
      <c r="BG63" s="625">
        <f t="shared" ref="BG63" si="404">BG62/BC62-1</f>
        <v>4.9023329185045261E-2</v>
      </c>
      <c r="BH63" s="888">
        <f t="shared" ref="BH63" si="405">BH62/BD62-1</f>
        <v>0.11261993814245286</v>
      </c>
      <c r="BI63" s="577">
        <f t="shared" ref="BI63" si="406">BI62/BE62-1</f>
        <v>0.12301825532135435</v>
      </c>
      <c r="BJ63" s="579">
        <f t="shared" ref="BJ63" si="407">BJ62/BF62-1</f>
        <v>0.10055197772029367</v>
      </c>
      <c r="BK63" s="625">
        <f t="shared" ref="BK63" si="408">BK62/BG62-1</f>
        <v>0.11203045415111323</v>
      </c>
      <c r="BL63" s="888">
        <f t="shared" ref="BL63" si="409">BL62/BH62-1</f>
        <v>0.11203045415111301</v>
      </c>
      <c r="BM63" s="577">
        <f t="shared" ref="BM63" si="410">BM62/BI62-1</f>
        <v>9.4482819714514665E-2</v>
      </c>
      <c r="BN63" s="579">
        <f t="shared" ref="BN63" si="411">BN62/BJ62-1</f>
        <v>9.4482819714514887E-2</v>
      </c>
      <c r="BO63" s="580"/>
      <c r="BP63" s="623"/>
      <c r="BQ63" s="623"/>
      <c r="BR63" s="623"/>
      <c r="BS63" s="623"/>
      <c r="BT63" s="623"/>
      <c r="BU63" s="623"/>
      <c r="BV63" s="623">
        <f>BV62/BU62-1</f>
        <v>8.8297131333541223E-2</v>
      </c>
      <c r="BW63" s="623">
        <f t="shared" ref="BW63:BX63" si="412">BW62/BV62-1</f>
        <v>8.1008188528807201E-2</v>
      </c>
      <c r="BX63" s="623">
        <f t="shared" si="412"/>
        <v>3.9738573718395953E-2</v>
      </c>
      <c r="BY63" s="623">
        <f t="shared" ref="BY63:CE63" si="413">BY62/BX62-1</f>
        <v>9.9323907419343049E-2</v>
      </c>
      <c r="BZ63" s="623">
        <f t="shared" si="413"/>
        <v>0.13613450816935213</v>
      </c>
      <c r="CA63" s="623">
        <f t="shared" si="413"/>
        <v>0.34284795233925225</v>
      </c>
      <c r="CB63" s="623">
        <f t="shared" si="413"/>
        <v>0.26772020502104921</v>
      </c>
      <c r="CC63" s="623">
        <f t="shared" si="413"/>
        <v>0.38834801024775656</v>
      </c>
      <c r="CD63" s="623">
        <f t="shared" si="413"/>
        <v>9.8441644836329223E-2</v>
      </c>
      <c r="CE63" s="623">
        <f t="shared" si="413"/>
        <v>0.10241724453397305</v>
      </c>
    </row>
    <row r="64" spans="2:83">
      <c r="B64" s="152" t="s">
        <v>115</v>
      </c>
      <c r="W64" s="635"/>
      <c r="X64" s="580">
        <f t="shared" ref="X64" si="414">X62/W62-1</f>
        <v>-0.24178234424200273</v>
      </c>
      <c r="Y64" s="580">
        <f t="shared" ref="Y64" si="415">Y62/X62-1</f>
        <v>7.1410244475072382E-2</v>
      </c>
      <c r="Z64" s="636">
        <f t="shared" ref="Z64" si="416">Z62/Y62-1</f>
        <v>0.13171619728607653</v>
      </c>
      <c r="AA64" s="635">
        <f>AA62/Z62-1</f>
        <v>4.9949907774126334E-2</v>
      </c>
      <c r="AB64" s="580">
        <f t="shared" ref="AB64" si="417">AB62/AA62-1</f>
        <v>-2.1660849419196659E-2</v>
      </c>
      <c r="AC64" s="580">
        <f t="shared" ref="AC64" si="418">AC62/AB62-1</f>
        <v>1.4325195426437842E-2</v>
      </c>
      <c r="AD64" s="636">
        <f t="shared" ref="AD64" si="419">AD62/AC62-1</f>
        <v>-2.858005542755071E-2</v>
      </c>
      <c r="AE64" s="635">
        <f>AE62/AD62-1</f>
        <v>-6.80851063829786E-2</v>
      </c>
      <c r="AF64" s="580">
        <f t="shared" ref="AF64" si="420">AF62/AE62-1</f>
        <v>0.1812586857256302</v>
      </c>
      <c r="AG64" s="580">
        <f t="shared" ref="AG64" si="421">AG62/AF62-1</f>
        <v>0.12655462184873967</v>
      </c>
      <c r="AH64" s="636">
        <f t="shared" ref="AH64" si="422">AH62/AG62-1</f>
        <v>-8.1232284051916959E-2</v>
      </c>
      <c r="AI64" s="635"/>
      <c r="AJ64" s="580">
        <f t="shared" ref="AJ64" si="423">AJ62/AI62-1</f>
        <v>7.0389851497522304E-2</v>
      </c>
      <c r="AK64" s="580">
        <f t="shared" ref="AK64" si="424">AK62/AJ62-1</f>
        <v>8.195068111893189E-3</v>
      </c>
      <c r="AL64" s="636">
        <f t="shared" ref="AL64" si="425">AL62/AK62-1</f>
        <v>0.16480335104588639</v>
      </c>
      <c r="AM64" s="635">
        <f>AM62/AL62-1</f>
        <v>-8.1956791616331182E-2</v>
      </c>
      <c r="AN64" s="580">
        <f t="shared" ref="AN64" si="426">AN62/AM62-1</f>
        <v>-9.6067779905417816E-2</v>
      </c>
      <c r="AO64" s="580">
        <f t="shared" ref="AO64" si="427">AO62/AN62-1</f>
        <v>0.18467722279029131</v>
      </c>
      <c r="AP64" s="636">
        <f t="shared" ref="AP64" si="428">AP62/AO62-1</f>
        <v>0.1420787423315526</v>
      </c>
      <c r="AQ64" s="580">
        <f t="shared" ref="AQ64" si="429">AQ62/AP62-1</f>
        <v>-0.1551081876935283</v>
      </c>
      <c r="AR64" s="580">
        <f t="shared" ref="AR64" si="430">AR62/AQ62-1</f>
        <v>5.8131901067846492E-2</v>
      </c>
      <c r="AS64" s="623">
        <f t="shared" ref="AS64" si="431">AS62/AR62-1</f>
        <v>0.1802695847220106</v>
      </c>
      <c r="AT64" s="636">
        <f t="shared" ref="AT64" si="432">AT62/AS62-1</f>
        <v>4.7738824248919176E-2</v>
      </c>
      <c r="AU64" s="623">
        <f t="shared" ref="AU64" si="433">AU62/AT62-1</f>
        <v>-0.1491981086230586</v>
      </c>
      <c r="AV64" s="623">
        <f t="shared" ref="AV64" si="434">AV62/AU62-1</f>
        <v>0.11490584567832252</v>
      </c>
      <c r="AW64" s="623">
        <f t="shared" ref="AW64" si="435">AW62/AV62-1</f>
        <v>0.500854216385475</v>
      </c>
      <c r="AX64" s="624">
        <f t="shared" ref="AX64:BB64" si="436">AX62/AW62-1</f>
        <v>6.320931419262199E-2</v>
      </c>
      <c r="AY64" s="623">
        <f t="shared" si="436"/>
        <v>-0.2865113191744636</v>
      </c>
      <c r="AZ64" s="623">
        <f t="shared" si="436"/>
        <v>0.31368922176343172</v>
      </c>
      <c r="BA64" s="623">
        <f t="shared" ref="BA64" si="437">BA62/AZ62-1</f>
        <v>0.18573127370646003</v>
      </c>
      <c r="BB64" s="624">
        <f t="shared" si="436"/>
        <v>8.4150487018931575E-2</v>
      </c>
      <c r="BC64" s="623">
        <f t="shared" ref="BC64" si="438">BC62/BB62-1</f>
        <v>-2.0000000000000129E-2</v>
      </c>
      <c r="BD64" s="623">
        <f t="shared" ref="BD64" si="439">BD62/BC62-1</f>
        <v>0.13932866698718849</v>
      </c>
      <c r="BE64" s="623">
        <f t="shared" ref="BE64" si="440">BE62/BD62-1</f>
        <v>9.1400000000000148E-2</v>
      </c>
      <c r="BF64" s="624">
        <f t="shared" ref="BF64" si="441">BF62/BE62-1</f>
        <v>3.0617781655414067E-2</v>
      </c>
      <c r="BG64" s="623">
        <f t="shared" ref="BG64" si="442">BG62/BF62-1</f>
        <v>-0.18143241838911761</v>
      </c>
      <c r="BH64" s="623">
        <f t="shared" ref="BH64" si="443">BH62/BG62-1</f>
        <v>0.20840000000000014</v>
      </c>
      <c r="BI64" s="623">
        <f t="shared" ref="BI64" si="444">BI62/BH62-1</f>
        <v>0.10160000000000013</v>
      </c>
      <c r="BJ64" s="624">
        <f t="shared" ref="BJ64" si="445">BJ62/BI62-1</f>
        <v>1.0000000000000009E-2</v>
      </c>
      <c r="BK64" s="623">
        <f t="shared" ref="BK64" si="446">BK62/BJ62-1</f>
        <v>-0.17289496728933751</v>
      </c>
      <c r="BL64" s="623">
        <f t="shared" ref="BL64" si="447">BL62/BK62-1</f>
        <v>0.20839999999999992</v>
      </c>
      <c r="BM64" s="623">
        <f t="shared" ref="BM64" si="448">BM62/BL62-1</f>
        <v>8.4216956196480508E-2</v>
      </c>
      <c r="BN64" s="624">
        <f t="shared" ref="BN64" si="449">BN62/BM62-1</f>
        <v>1.0000000000000009E-2</v>
      </c>
      <c r="BO64" s="580"/>
      <c r="BP64" s="623"/>
      <c r="BQ64" s="623"/>
      <c r="BR64" s="623"/>
      <c r="BS64" s="623"/>
      <c r="BT64" s="623"/>
      <c r="BU64" s="623"/>
      <c r="BV64" s="623"/>
      <c r="BW64" s="623"/>
      <c r="BX64" s="623"/>
      <c r="CE64" s="925"/>
    </row>
    <row r="65" spans="1:86">
      <c r="B65" s="152"/>
      <c r="W65" s="635"/>
      <c r="X65" s="580"/>
      <c r="Y65" s="580"/>
      <c r="Z65" s="636"/>
      <c r="AA65" s="635"/>
      <c r="AB65" s="580"/>
      <c r="AC65" s="580"/>
      <c r="AD65" s="636"/>
      <c r="AE65" s="635"/>
      <c r="AF65" s="580"/>
      <c r="AG65" s="580"/>
      <c r="AH65" s="636"/>
      <c r="AI65" s="635"/>
      <c r="AJ65" s="580"/>
      <c r="AK65" s="580"/>
      <c r="AL65" s="636"/>
      <c r="AM65" s="635"/>
      <c r="AN65" s="580"/>
      <c r="AO65" s="580"/>
      <c r="AP65" s="636"/>
      <c r="AQ65" s="580"/>
      <c r="AR65" s="580"/>
      <c r="AS65" s="623"/>
      <c r="AT65" s="636"/>
      <c r="AU65" s="623"/>
      <c r="AV65" s="623"/>
      <c r="AW65" s="623"/>
      <c r="AX65" s="624"/>
      <c r="AY65" s="623"/>
      <c r="AZ65" s="623"/>
      <c r="BA65" s="623"/>
      <c r="BB65" s="624"/>
      <c r="BC65" s="623"/>
      <c r="BD65" s="623"/>
      <c r="BE65" s="623"/>
      <c r="BF65" s="624"/>
      <c r="BG65" s="623"/>
      <c r="BH65" s="623"/>
      <c r="BI65" s="623"/>
      <c r="BJ65" s="624"/>
      <c r="BK65" s="623"/>
      <c r="BL65" s="623"/>
      <c r="BM65" s="623"/>
      <c r="BN65" s="624"/>
      <c r="BO65" s="580"/>
      <c r="BP65" s="623"/>
      <c r="BQ65" s="623"/>
      <c r="BR65" s="623"/>
      <c r="BS65" s="623"/>
      <c r="BT65" s="623"/>
      <c r="BU65" s="623"/>
      <c r="BV65" s="623"/>
      <c r="BW65" s="623"/>
      <c r="BX65" s="623"/>
      <c r="CE65" s="925"/>
    </row>
    <row r="66" spans="1:86">
      <c r="B66" s="488" t="s">
        <v>415</v>
      </c>
      <c r="C66" s="231"/>
      <c r="D66" s="54"/>
      <c r="E66" s="54"/>
      <c r="F66" s="232"/>
      <c r="G66" s="54"/>
      <c r="H66" s="54"/>
      <c r="I66" s="54"/>
      <c r="J66" s="54"/>
      <c r="K66" s="231"/>
      <c r="L66" s="54"/>
      <c r="M66" s="54"/>
      <c r="N66" s="232"/>
      <c r="O66" s="54"/>
      <c r="P66" s="54"/>
      <c r="Q66" s="54"/>
      <c r="R66" s="54"/>
      <c r="S66" s="231"/>
      <c r="T66" s="54"/>
      <c r="U66" s="54"/>
      <c r="V66" s="232"/>
      <c r="W66" s="628">
        <f t="shared" ref="W66:Z66" si="450">W53+W40</f>
        <v>21.9</v>
      </c>
      <c r="X66" s="629">
        <f t="shared" si="450"/>
        <v>17.024999999999999</v>
      </c>
      <c r="Y66" s="629">
        <f t="shared" si="450"/>
        <v>16.7</v>
      </c>
      <c r="Z66" s="630">
        <f t="shared" si="450"/>
        <v>16.799999999999997</v>
      </c>
      <c r="AA66" s="628">
        <f t="shared" ref="AA66:AD66" si="451">AA53+AA40</f>
        <v>18.675000000000001</v>
      </c>
      <c r="AB66" s="629">
        <f t="shared" si="451"/>
        <v>19.145</v>
      </c>
      <c r="AC66" s="629">
        <f t="shared" si="451"/>
        <v>19.3</v>
      </c>
      <c r="AD66" s="630">
        <f t="shared" si="451"/>
        <v>17.899999999999999</v>
      </c>
      <c r="AE66" s="628">
        <f t="shared" ref="AE66:AH66" si="452">AE53+AE40</f>
        <v>18.05</v>
      </c>
      <c r="AF66" s="629">
        <f t="shared" si="452"/>
        <v>18.600000000000001</v>
      </c>
      <c r="AG66" s="629">
        <f t="shared" si="452"/>
        <v>22.25</v>
      </c>
      <c r="AH66" s="630">
        <f t="shared" si="452"/>
        <v>18.524999999999999</v>
      </c>
      <c r="AI66" s="628">
        <f>AI53+AI40</f>
        <v>19.185000000000002</v>
      </c>
      <c r="AJ66" s="629">
        <f t="shared" ref="AJ66:AT66" si="453">AJ53+AJ40</f>
        <v>17.66</v>
      </c>
      <c r="AK66" s="629">
        <f t="shared" si="453"/>
        <v>18.074999999999999</v>
      </c>
      <c r="AL66" s="630">
        <f t="shared" si="453"/>
        <v>18.700000000000003</v>
      </c>
      <c r="AM66" s="628">
        <f t="shared" si="453"/>
        <v>16.75</v>
      </c>
      <c r="AN66" s="629">
        <f t="shared" si="453"/>
        <v>15.105114725490193</v>
      </c>
      <c r="AO66" s="629">
        <f t="shared" si="453"/>
        <v>17.073781609019605</v>
      </c>
      <c r="AP66" s="630">
        <f t="shared" si="453"/>
        <v>18.100833561199998</v>
      </c>
      <c r="AQ66" s="629">
        <f t="shared" si="453"/>
        <v>15.47275122496035</v>
      </c>
      <c r="AR66" s="639">
        <f t="shared" si="453"/>
        <v>13.925675958115924</v>
      </c>
      <c r="AS66" s="631">
        <f t="shared" si="453"/>
        <v>15.514599054329459</v>
      </c>
      <c r="AT66" s="630">
        <f t="shared" si="453"/>
        <v>16.135183016502641</v>
      </c>
      <c r="AU66" s="629">
        <f t="shared" ref="AU66:AX66" si="454">AU53+AU40</f>
        <v>13.708723902876081</v>
      </c>
      <c r="AV66" s="631">
        <f t="shared" si="454"/>
        <v>14.545903090528988</v>
      </c>
      <c r="AW66" s="631">
        <f t="shared" si="454"/>
        <v>19.842009816777644</v>
      </c>
      <c r="AX66" s="784">
        <f t="shared" si="454"/>
        <v>20.88522665512599</v>
      </c>
      <c r="AY66" s="629">
        <f t="shared" ref="AY66:AZ66" si="455">AY53+AY40</f>
        <v>15.782068485895497</v>
      </c>
      <c r="AZ66" s="907">
        <f t="shared" si="455"/>
        <v>19.569764922510416</v>
      </c>
      <c r="BA66" s="631">
        <f t="shared" ref="BA66:BB66" si="456">BA53+BA40</f>
        <v>22.505229660886979</v>
      </c>
      <c r="BB66" s="784">
        <f t="shared" si="456"/>
        <v>23.180386550713589</v>
      </c>
      <c r="BC66" s="629">
        <f t="shared" ref="BC66:BD66" si="457">BC53+BC40</f>
        <v>22.716778819699318</v>
      </c>
      <c r="BD66" s="907">
        <f t="shared" si="457"/>
        <v>24.98845670166925</v>
      </c>
      <c r="BE66" s="631">
        <f t="shared" ref="BE66:BJ66" si="458">BE53+BE40</f>
        <v>26.737648670786101</v>
      </c>
      <c r="BF66" s="632">
        <f t="shared" si="458"/>
        <v>27.277092526088865</v>
      </c>
      <c r="BG66" s="629">
        <f t="shared" si="458"/>
        <v>23.020612954268692</v>
      </c>
      <c r="BH66" s="907">
        <f t="shared" si="458"/>
        <v>26.24349876786631</v>
      </c>
      <c r="BI66" s="631">
        <f t="shared" si="458"/>
        <v>28.342978669295618</v>
      </c>
      <c r="BJ66" s="632">
        <f t="shared" si="458"/>
        <v>28.342978669295618</v>
      </c>
      <c r="BK66" s="629">
        <f t="shared" ref="BK66:BN66" si="459">BK53+BK40</f>
        <v>23.923005181982539</v>
      </c>
      <c r="BL66" s="907">
        <f t="shared" si="459"/>
        <v>27.272225907460101</v>
      </c>
      <c r="BM66" s="631">
        <f t="shared" si="459"/>
        <v>28.988289437488962</v>
      </c>
      <c r="BN66" s="632">
        <f t="shared" si="459"/>
        <v>28.988289437488962</v>
      </c>
      <c r="BU66" s="536">
        <f>SUM(W66:Z66)</f>
        <v>72.424999999999997</v>
      </c>
      <c r="BV66" s="536">
        <f>SUM(AA66:AD66)</f>
        <v>75.02000000000001</v>
      </c>
      <c r="BW66" s="536">
        <f>SUM(AE66:AH66)</f>
        <v>77.425000000000011</v>
      </c>
      <c r="BX66" s="536">
        <f>SUM(AI66:AL66)</f>
        <v>73.62</v>
      </c>
      <c r="BY66" s="536">
        <f>SUM(AM66:AP66)</f>
        <v>67.029729895709806</v>
      </c>
      <c r="BZ66" s="536">
        <f>SUM(AQ66:AT66)</f>
        <v>61.048209253908368</v>
      </c>
      <c r="CA66" s="536">
        <f>SUM(AU66:AX66)</f>
        <v>68.981863465308706</v>
      </c>
      <c r="CB66" s="536">
        <f>SUM(AY66:BB66)</f>
        <v>81.037449620006484</v>
      </c>
      <c r="CC66" s="536">
        <f>SUM(BC66:BF66)</f>
        <v>101.71997671824353</v>
      </c>
      <c r="CD66" s="536">
        <f>SUM(BG66:BJ66)</f>
        <v>105.95006906072624</v>
      </c>
      <c r="CE66" s="536">
        <f>SUM(BK66:BN66)</f>
        <v>109.17180996442056</v>
      </c>
      <c r="CF66" s="926"/>
    </row>
    <row r="67" spans="1:86">
      <c r="B67" s="152" t="s">
        <v>114</v>
      </c>
      <c r="C67" s="231"/>
      <c r="D67" s="54"/>
      <c r="E67" s="54"/>
      <c r="F67" s="232"/>
      <c r="G67" s="54"/>
      <c r="H67" s="54"/>
      <c r="I67" s="54"/>
      <c r="J67" s="54"/>
      <c r="K67" s="231"/>
      <c r="L67" s="54"/>
      <c r="M67" s="54"/>
      <c r="N67" s="232"/>
      <c r="O67" s="54"/>
      <c r="P67" s="54"/>
      <c r="Q67" s="54"/>
      <c r="R67" s="54"/>
      <c r="S67" s="231"/>
      <c r="T67" s="54"/>
      <c r="U67" s="54"/>
      <c r="V67" s="232"/>
      <c r="W67" s="633"/>
      <c r="X67" s="625"/>
      <c r="Y67" s="625"/>
      <c r="Z67" s="634"/>
      <c r="AA67" s="633">
        <f>AA66/W66-1</f>
        <v>-0.14726027397260266</v>
      </c>
      <c r="AB67" s="625">
        <f t="shared" ref="AB67" si="460">AB66/X66-1</f>
        <v>0.12452276064610879</v>
      </c>
      <c r="AC67" s="625">
        <f t="shared" ref="AC67" si="461">AC66/Y66-1</f>
        <v>0.15568862275449113</v>
      </c>
      <c r="AD67" s="634">
        <f t="shared" ref="AD67" si="462">AD66/Z66-1</f>
        <v>6.5476190476190466E-2</v>
      </c>
      <c r="AE67" s="633">
        <f>AE66/AA66-1</f>
        <v>-3.3467202141900909E-2</v>
      </c>
      <c r="AF67" s="625">
        <f t="shared" ref="AF67" si="463">AF66/AB66-1</f>
        <v>-2.846696265343418E-2</v>
      </c>
      <c r="AG67" s="625">
        <f t="shared" ref="AG67" si="464">AG66/AC66-1</f>
        <v>0.15284974093264236</v>
      </c>
      <c r="AH67" s="634">
        <f t="shared" ref="AH67" si="465">AH66/AD66-1</f>
        <v>3.4916201117318524E-2</v>
      </c>
      <c r="AI67" s="633"/>
      <c r="AJ67" s="625"/>
      <c r="AK67" s="625"/>
      <c r="AL67" s="634"/>
      <c r="AM67" s="633">
        <f>AM66/AI66-1</f>
        <v>-0.12692207453739912</v>
      </c>
      <c r="AN67" s="625">
        <f t="shared" ref="AN67:AT67" si="466">AN66/AJ66-1</f>
        <v>-0.14467074034596872</v>
      </c>
      <c r="AO67" s="625">
        <f t="shared" si="466"/>
        <v>-5.5392442101266592E-2</v>
      </c>
      <c r="AP67" s="634">
        <f t="shared" si="466"/>
        <v>-3.2040986032085828E-2</v>
      </c>
      <c r="AQ67" s="625">
        <f t="shared" si="466"/>
        <v>-7.6253658211322461E-2</v>
      </c>
      <c r="AR67" s="640">
        <f t="shared" si="466"/>
        <v>-7.8082079402147175E-2</v>
      </c>
      <c r="AS67" s="577">
        <f t="shared" si="466"/>
        <v>-9.1320282196093783E-2</v>
      </c>
      <c r="AT67" s="634">
        <f t="shared" si="466"/>
        <v>-0.10859447649476339</v>
      </c>
      <c r="AU67" s="625">
        <f t="shared" ref="AU67" si="467">AU66/AQ66-1</f>
        <v>-0.11400863986222265</v>
      </c>
      <c r="AV67" s="577">
        <f t="shared" ref="AV67" si="468">AV66/AR66-1</f>
        <v>4.4538386091886206E-2</v>
      </c>
      <c r="AW67" s="577">
        <f t="shared" ref="AW67" si="469">AW66/AS66-1</f>
        <v>0.27892507871420569</v>
      </c>
      <c r="AX67" s="783">
        <f t="shared" ref="AX67:BB67" si="470">AX66/AT66-1</f>
        <v>0.29439044067644793</v>
      </c>
      <c r="AY67" s="625">
        <f t="shared" si="470"/>
        <v>0.15124271213781104</v>
      </c>
      <c r="AZ67" s="888">
        <f t="shared" si="470"/>
        <v>0.34537985030661478</v>
      </c>
      <c r="BA67" s="577">
        <f t="shared" ref="BA67" si="471">BA66/AW66-1</f>
        <v>0.13422127439214449</v>
      </c>
      <c r="BB67" s="783">
        <f t="shared" si="470"/>
        <v>0.10989394242577122</v>
      </c>
      <c r="BC67" s="625">
        <f t="shared" ref="BC67" si="472">BC66/AY66-1</f>
        <v>0.43940440000000014</v>
      </c>
      <c r="BD67" s="888">
        <f t="shared" ref="BD67" si="473">BD66/AZ66-1</f>
        <v>0.27689100000000022</v>
      </c>
      <c r="BE67" s="577">
        <f t="shared" ref="BE67" si="474">BE66/BA66-1</f>
        <v>0.18806380000000011</v>
      </c>
      <c r="BF67" s="579">
        <f t="shared" ref="BF67" si="475">BF66/BB66-1</f>
        <v>0.17673156426501269</v>
      </c>
      <c r="BG67" s="625">
        <f t="shared" ref="BG67" si="476">BG66/BC66-1</f>
        <v>1.3374877529110707E-2</v>
      </c>
      <c r="BH67" s="888">
        <f t="shared" ref="BH67" si="477">BH66/BD66-1</f>
        <v>5.0224873075623844E-2</v>
      </c>
      <c r="BI67" s="577">
        <f t="shared" ref="BI67" si="478">BI66/BE66-1</f>
        <v>6.0040058805302499E-2</v>
      </c>
      <c r="BJ67" s="579">
        <f t="shared" ref="BJ67" si="479">BJ66/BF66-1</f>
        <v>3.9076237402769332E-2</v>
      </c>
      <c r="BK67" s="625">
        <f t="shared" ref="BK67" si="480">BK66/BG66-1</f>
        <v>3.9199313654527002E-2</v>
      </c>
      <c r="BL67" s="888">
        <f t="shared" ref="BL67" si="481">BL66/BH66-1</f>
        <v>3.9199313654527224E-2</v>
      </c>
      <c r="BM67" s="577">
        <f t="shared" ref="BM67" si="482">BM66/BI66-1</f>
        <v>2.2767923432564841E-2</v>
      </c>
      <c r="BN67" s="579">
        <f t="shared" ref="BN67" si="483">BN66/BJ66-1</f>
        <v>2.2767923432564841E-2</v>
      </c>
      <c r="BO67" s="580"/>
      <c r="BP67" s="623"/>
      <c r="BQ67" s="623"/>
      <c r="BR67" s="623"/>
      <c r="BS67" s="623"/>
      <c r="BT67" s="623"/>
      <c r="BU67" s="623"/>
      <c r="BV67" s="623">
        <f t="shared" ref="BV67" si="484">BV66/BU66-1</f>
        <v>3.5830169140490309E-2</v>
      </c>
      <c r="BW67" s="623">
        <f t="shared" ref="BW67" si="485">BW66/BV66-1</f>
        <v>3.2058117835243927E-2</v>
      </c>
      <c r="BX67" s="623">
        <f t="shared" ref="BX67" si="486">BX66/BW66-1</f>
        <v>-4.914433322570233E-2</v>
      </c>
      <c r="BY67" s="623">
        <f t="shared" ref="BY67:CE67" si="487">BY66/BX66-1</f>
        <v>-8.951738799633524E-2</v>
      </c>
      <c r="BZ67" s="623">
        <f t="shared" si="487"/>
        <v>-8.9236830449831217E-2</v>
      </c>
      <c r="CA67" s="623">
        <f t="shared" si="487"/>
        <v>0.12995719789917382</v>
      </c>
      <c r="CB67" s="623">
        <f t="shared" si="487"/>
        <v>0.17476457650003296</v>
      </c>
      <c r="CC67" s="623">
        <f t="shared" si="487"/>
        <v>0.25522184120082381</v>
      </c>
      <c r="CD67" s="623">
        <f t="shared" si="487"/>
        <v>4.1585659758846871E-2</v>
      </c>
      <c r="CE67" s="623">
        <f t="shared" si="487"/>
        <v>3.0408105745053815E-2</v>
      </c>
    </row>
    <row r="68" spans="1:86">
      <c r="B68" s="152" t="s">
        <v>115</v>
      </c>
      <c r="W68" s="635"/>
      <c r="X68" s="580">
        <f t="shared" ref="X68" si="488">X66/W66-1</f>
        <v>-0.2226027397260274</v>
      </c>
      <c r="Y68" s="580">
        <f t="shared" ref="Y68" si="489">Y66/X66-1</f>
        <v>-1.9089574155653377E-2</v>
      </c>
      <c r="Z68" s="636">
        <f t="shared" ref="Z68" si="490">Z66/Y66-1</f>
        <v>5.9880239520957446E-3</v>
      </c>
      <c r="AA68" s="635">
        <f>AA66/Z66-1</f>
        <v>0.11160714285714302</v>
      </c>
      <c r="AB68" s="580">
        <f t="shared" ref="AB68" si="491">AB66/AA66-1</f>
        <v>2.5167336010709418E-2</v>
      </c>
      <c r="AC68" s="580">
        <f t="shared" ref="AC68" si="492">AC66/AB66-1</f>
        <v>8.0961086445547892E-3</v>
      </c>
      <c r="AD68" s="636">
        <f t="shared" ref="AD68" si="493">AD66/AC66-1</f>
        <v>-7.253886010362709E-2</v>
      </c>
      <c r="AE68" s="635">
        <f>AE66/AD66-1</f>
        <v>8.379888268156499E-3</v>
      </c>
      <c r="AF68" s="580">
        <f t="shared" ref="AF68" si="494">AF66/AE66-1</f>
        <v>3.0470914127423754E-2</v>
      </c>
      <c r="AG68" s="580">
        <f t="shared" ref="AG68" si="495">AG66/AF66-1</f>
        <v>0.19623655913978477</v>
      </c>
      <c r="AH68" s="636">
        <f t="shared" ref="AH68" si="496">AH66/AG66-1</f>
        <v>-0.16741573033707868</v>
      </c>
      <c r="AI68" s="635"/>
      <c r="AJ68" s="580">
        <f t="shared" ref="AJ68:AL68" si="497">AJ66/AI66-1</f>
        <v>-7.9489184258535461E-2</v>
      </c>
      <c r="AK68" s="580">
        <f t="shared" si="497"/>
        <v>2.349943374858432E-2</v>
      </c>
      <c r="AL68" s="636">
        <f t="shared" si="497"/>
        <v>3.4578146611341731E-2</v>
      </c>
      <c r="AM68" s="635">
        <f>AM66/AL66-1</f>
        <v>-0.10427807486631024</v>
      </c>
      <c r="AN68" s="580">
        <f t="shared" ref="AN68:AT68" si="498">AN66/AM66-1</f>
        <v>-9.8202105940883966E-2</v>
      </c>
      <c r="AO68" s="580">
        <f t="shared" si="498"/>
        <v>0.13033114407315605</v>
      </c>
      <c r="AP68" s="636">
        <f t="shared" si="498"/>
        <v>6.0153747757780263E-2</v>
      </c>
      <c r="AQ68" s="580">
        <f t="shared" si="498"/>
        <v>-0.14519123262218536</v>
      </c>
      <c r="AR68" s="580">
        <f t="shared" si="498"/>
        <v>-9.9987083379762032E-2</v>
      </c>
      <c r="AS68" s="623">
        <f t="shared" si="498"/>
        <v>0.11410024913638073</v>
      </c>
      <c r="AT68" s="636">
        <f t="shared" si="498"/>
        <v>4.0000000000000258E-2</v>
      </c>
      <c r="AU68" s="623">
        <f t="shared" ref="AU68" si="499">AU66/AT66-1</f>
        <v>-0.15038311689088635</v>
      </c>
      <c r="AV68" s="623">
        <f t="shared" ref="AV68" si="500">AV66/AU66-1</f>
        <v>6.1069082256246077E-2</v>
      </c>
      <c r="AW68" s="623">
        <f t="shared" ref="AW68" si="501">AW66/AV66-1</f>
        <v>0.36409610962532901</v>
      </c>
      <c r="AX68" s="624">
        <f t="shared" ref="AX68:BB68" si="502">AX66/AW66-1</f>
        <v>5.2576167836901444E-2</v>
      </c>
      <c r="AY68" s="623">
        <f t="shared" si="502"/>
        <v>-0.24434296325809779</v>
      </c>
      <c r="AZ68" s="623">
        <f t="shared" si="502"/>
        <v>0.24</v>
      </c>
      <c r="BA68" s="623">
        <f t="shared" ref="BA68" si="503">BA66/AZ66-1</f>
        <v>0.15000000000000013</v>
      </c>
      <c r="BB68" s="624">
        <f t="shared" si="502"/>
        <v>3.0000000000000027E-2</v>
      </c>
      <c r="BC68" s="623">
        <f t="shared" ref="BC68" si="504">BC66/BB66-1</f>
        <v>-2.0000000000000018E-2</v>
      </c>
      <c r="BD68" s="623">
        <f t="shared" ref="BD68" si="505">BD66/BC66-1</f>
        <v>0.10000000000000009</v>
      </c>
      <c r="BE68" s="623">
        <f t="shared" ref="BE68" si="506">BE66/BD66-1</f>
        <v>7.0000000000000062E-2</v>
      </c>
      <c r="BF68" s="624">
        <f t="shared" ref="BF68" si="507">BF66/BE66-1</f>
        <v>2.0175441077291412E-2</v>
      </c>
      <c r="BG68" s="623">
        <f t="shared" ref="BG68" si="508">BG66/BF66-1</f>
        <v>-0.1560459410308892</v>
      </c>
      <c r="BH68" s="623">
        <f t="shared" ref="BH68" si="509">BH66/BG66-1</f>
        <v>0.14000000000000012</v>
      </c>
      <c r="BI68" s="623">
        <f t="shared" ref="BI68" si="510">BI66/BH66-1</f>
        <v>8.0000000000000071E-2</v>
      </c>
      <c r="BJ68" s="624">
        <f t="shared" ref="BJ68" si="511">BJ66/BI66-1</f>
        <v>0</v>
      </c>
      <c r="BK68" s="623">
        <f t="shared" ref="BK68" si="512">BK66/BJ66-1</f>
        <v>-0.15594597656389952</v>
      </c>
      <c r="BL68" s="623">
        <f t="shared" ref="BL68" si="513">BL66/BK66-1</f>
        <v>0.14000000000000035</v>
      </c>
      <c r="BM68" s="623">
        <f t="shared" ref="BM68" si="514">BM66/BL66-1</f>
        <v>6.2923486181575061E-2</v>
      </c>
      <c r="BN68" s="624">
        <f t="shared" ref="BN68" si="515">BN66/BM66-1</f>
        <v>0</v>
      </c>
      <c r="BO68" s="580"/>
      <c r="BP68" s="623"/>
      <c r="BQ68" s="623"/>
      <c r="BR68" s="623"/>
      <c r="BS68" s="623"/>
      <c r="BT68" s="623"/>
      <c r="BU68" s="623"/>
      <c r="BV68" s="623"/>
      <c r="BW68" s="623"/>
      <c r="BX68" s="623"/>
      <c r="CE68" s="925"/>
    </row>
    <row r="69" spans="1:86">
      <c r="B69" s="152"/>
      <c r="AE69" s="90"/>
      <c r="AF69" s="90"/>
      <c r="AG69" s="90"/>
      <c r="AH69" s="90"/>
      <c r="AI69" s="481"/>
      <c r="AJ69" s="90"/>
      <c r="AK69" s="90"/>
      <c r="AL69" s="482"/>
      <c r="AM69" s="655"/>
      <c r="AN69" s="656"/>
      <c r="AO69" s="656"/>
      <c r="AP69" s="657"/>
      <c r="AQ69" s="656"/>
      <c r="AR69" s="656"/>
      <c r="AS69" s="656"/>
      <c r="AT69" s="657"/>
      <c r="AU69" s="46"/>
      <c r="AV69" s="46"/>
      <c r="AW69" s="46"/>
      <c r="AX69" s="785"/>
      <c r="AY69" s="46"/>
      <c r="AZ69" s="730"/>
      <c r="BA69" s="46"/>
      <c r="BB69" s="785"/>
      <c r="BC69" s="46"/>
      <c r="BD69" s="730"/>
      <c r="BE69" s="46"/>
      <c r="BF69" s="658"/>
      <c r="BG69" s="46"/>
      <c r="BH69" s="730"/>
      <c r="BI69" s="46"/>
      <c r="BJ69" s="658"/>
      <c r="BK69" s="46"/>
      <c r="BL69" s="730"/>
      <c r="BM69" s="46"/>
      <c r="BN69" s="658"/>
      <c r="CE69" s="925"/>
    </row>
    <row r="70" spans="1:86" s="9" customFormat="1">
      <c r="A70" s="85"/>
      <c r="B70" s="378" t="s">
        <v>261</v>
      </c>
      <c r="C70" s="268"/>
      <c r="F70" s="269"/>
      <c r="K70" s="268"/>
      <c r="N70" s="269"/>
      <c r="S70" s="268"/>
      <c r="V70" s="269"/>
      <c r="W70" s="93">
        <f t="shared" ref="W70:AO70" si="516">W73+W76+W79+W82</f>
        <v>389.72999999999996</v>
      </c>
      <c r="X70" s="93">
        <f t="shared" si="516"/>
        <v>325.09100000000007</v>
      </c>
      <c r="Y70" s="93">
        <f t="shared" si="516"/>
        <v>320.11500000000001</v>
      </c>
      <c r="Z70" s="93">
        <f t="shared" si="516"/>
        <v>283.61599999999999</v>
      </c>
      <c r="AA70" s="331">
        <f t="shared" si="516"/>
        <v>256.84100000000001</v>
      </c>
      <c r="AB70" s="93">
        <f t="shared" si="516"/>
        <v>234.28899999999993</v>
      </c>
      <c r="AC70" s="93">
        <f t="shared" si="516"/>
        <v>252.69499999999996</v>
      </c>
      <c r="AD70" s="274">
        <f t="shared" si="516"/>
        <v>236.904</v>
      </c>
      <c r="AE70" s="483">
        <f t="shared" si="516"/>
        <v>222.66499999999999</v>
      </c>
      <c r="AF70" s="483">
        <f t="shared" si="516"/>
        <v>203.62400000000002</v>
      </c>
      <c r="AG70" s="483">
        <f t="shared" si="516"/>
        <v>223.90899999999988</v>
      </c>
      <c r="AH70" s="483">
        <f t="shared" si="516"/>
        <v>216.66400000000004</v>
      </c>
      <c r="AI70" s="484">
        <f>AI73+AI76+AI79+AI82</f>
        <v>222.92819499999999</v>
      </c>
      <c r="AJ70" s="483">
        <f t="shared" si="516"/>
        <v>256.29306500000001</v>
      </c>
      <c r="AK70" s="483">
        <f t="shared" si="516"/>
        <v>269.57775099999998</v>
      </c>
      <c r="AL70" s="485">
        <f t="shared" si="516"/>
        <v>239.72353700000002</v>
      </c>
      <c r="AM70" s="484">
        <f t="shared" si="516"/>
        <v>248</v>
      </c>
      <c r="AN70" s="483">
        <f t="shared" si="516"/>
        <v>291</v>
      </c>
      <c r="AO70" s="483">
        <f t="shared" si="516"/>
        <v>296</v>
      </c>
      <c r="AP70" s="485">
        <f>AP73+AP76+AP79+AP82</f>
        <v>278</v>
      </c>
      <c r="AQ70" s="483">
        <f>AQ73+AQ76+AQ79+AQ82</f>
        <v>269</v>
      </c>
      <c r="AR70" s="483">
        <f>AR73+AR76+AR79+AR82</f>
        <v>249</v>
      </c>
      <c r="AS70" s="483">
        <f>AS73+AS76+AS79+AS82</f>
        <v>272</v>
      </c>
      <c r="AT70" s="485">
        <f>AT73+AT76+AT79+AT82</f>
        <v>300</v>
      </c>
      <c r="AU70" s="93">
        <f t="shared" ref="AU70:AV70" si="517">AU73+AU76+AU79+AU82</f>
        <v>332</v>
      </c>
      <c r="AV70" s="93">
        <f t="shared" si="517"/>
        <v>365</v>
      </c>
      <c r="AW70" s="93">
        <f>AW73+AW76+AW79+AW82</f>
        <v>447</v>
      </c>
      <c r="AX70" s="786">
        <f>AX73+AX76+AX79+AX82</f>
        <v>521</v>
      </c>
      <c r="AY70" s="93">
        <f t="shared" ref="AY70:AZ70" si="518">AY73+AY76+AY79+AY82</f>
        <v>614</v>
      </c>
      <c r="AZ70" s="908">
        <f t="shared" si="518"/>
        <v>651</v>
      </c>
      <c r="BA70" s="93">
        <f t="shared" ref="BA70" si="519">BA73+BA76+BA79+BA82</f>
        <v>740</v>
      </c>
      <c r="BB70" s="786">
        <f>BB73+BB76+BB79+BB82</f>
        <v>860</v>
      </c>
      <c r="BC70" s="93">
        <f t="shared" ref="BC70:BD70" si="520">BC73+BC76+BC79+BC82</f>
        <v>895.22</v>
      </c>
      <c r="BD70" s="908">
        <f t="shared" si="520"/>
        <v>941.86820000000012</v>
      </c>
      <c r="BE70" s="93">
        <f t="shared" ref="BE70:BJ70" si="521">BE73+BE76+BE79+BE82</f>
        <v>1003.4264019999999</v>
      </c>
      <c r="BF70" s="274">
        <f t="shared" si="521"/>
        <v>1115.3129284199999</v>
      </c>
      <c r="BG70" s="93">
        <f t="shared" si="521"/>
        <v>1171.8534353425</v>
      </c>
      <c r="BH70" s="908">
        <f t="shared" si="521"/>
        <v>1227.2803862865426</v>
      </c>
      <c r="BI70" s="93">
        <f t="shared" si="521"/>
        <v>1285.5191487266052</v>
      </c>
      <c r="BJ70" s="274">
        <f t="shared" si="521"/>
        <v>1346.7180136805853</v>
      </c>
      <c r="BK70" s="93">
        <f t="shared" ref="BK70:BN70" si="522">BK73+BK76+BK79+BK82</f>
        <v>1421.5251333006738</v>
      </c>
      <c r="BL70" s="908">
        <f t="shared" si="522"/>
        <v>1500.8557679695477</v>
      </c>
      <c r="BM70" s="93">
        <f t="shared" si="522"/>
        <v>1584.9944370249752</v>
      </c>
      <c r="BN70" s="274">
        <f t="shared" si="522"/>
        <v>1674.2438640608073</v>
      </c>
      <c r="BO70" s="85"/>
      <c r="BP70" s="59">
        <f>SUM(C70:F70)</f>
        <v>0</v>
      </c>
      <c r="BQ70" s="59">
        <f>SUM(G70:J70)</f>
        <v>0</v>
      </c>
      <c r="BR70" s="59">
        <f>SUM(K70:N70)</f>
        <v>0</v>
      </c>
      <c r="BS70" s="59">
        <f>SUM(O70:R70)</f>
        <v>0</v>
      </c>
      <c r="BT70" s="59">
        <f>SUM(S70:V70)</f>
        <v>0</v>
      </c>
      <c r="BU70" s="59">
        <f>SUM(W70:Z70)</f>
        <v>1318.5520000000001</v>
      </c>
      <c r="BV70" s="59">
        <f>SUM(AA70:AD70)</f>
        <v>980.72899999999993</v>
      </c>
      <c r="BW70" s="59">
        <f>SUM(AE70:AH70)</f>
        <v>866.86199999999985</v>
      </c>
      <c r="BX70" s="104">
        <f>SUM(AI70:AL70)</f>
        <v>988.52254800000014</v>
      </c>
      <c r="BY70" s="104">
        <f>SUM(AM70:AP70)</f>
        <v>1113</v>
      </c>
      <c r="BZ70" s="104">
        <f>SUM(AQ70:AT70)</f>
        <v>1090</v>
      </c>
      <c r="CA70" s="104">
        <f>SUM(AU70:AX70)</f>
        <v>1665</v>
      </c>
      <c r="CB70" s="104">
        <f>SUM(AY70:BB70)</f>
        <v>2865</v>
      </c>
      <c r="CC70" s="104">
        <f>SUM(BC70:BF70)</f>
        <v>3955.8275304200001</v>
      </c>
      <c r="CD70" s="104">
        <f>SUM(BG70:BJ70)</f>
        <v>5031.3709840362326</v>
      </c>
      <c r="CE70" s="104">
        <f>SUM(BK70:BN70)</f>
        <v>6181.6192023560034</v>
      </c>
    </row>
    <row r="71" spans="1:86">
      <c r="B71" s="152" t="s">
        <v>114</v>
      </c>
      <c r="C71" s="295"/>
      <c r="D71" s="72"/>
      <c r="E71" s="72"/>
      <c r="F71" s="296"/>
      <c r="G71" s="72"/>
      <c r="H71" s="72"/>
      <c r="I71" s="72"/>
      <c r="J71" s="72"/>
      <c r="K71" s="295"/>
      <c r="L71" s="72"/>
      <c r="M71" s="72"/>
      <c r="N71" s="296"/>
      <c r="O71" s="72"/>
      <c r="P71" s="72"/>
      <c r="Q71" s="72"/>
      <c r="R71" s="72"/>
      <c r="S71" s="295"/>
      <c r="T71" s="72"/>
      <c r="U71" s="72"/>
      <c r="V71" s="296"/>
      <c r="W71" s="72"/>
      <c r="X71" s="72"/>
      <c r="Y71" s="72"/>
      <c r="Z71" s="72"/>
      <c r="AA71" s="295"/>
      <c r="AB71" s="72"/>
      <c r="AC71" s="72"/>
      <c r="AD71" s="296"/>
      <c r="AE71" s="191"/>
      <c r="AF71" s="191"/>
      <c r="AG71" s="191"/>
      <c r="AH71" s="191"/>
      <c r="AI71" s="477">
        <f t="shared" ref="AI71:AP71" si="523">AI70/AE70-1</f>
        <v>1.1820223205263325E-3</v>
      </c>
      <c r="AJ71" s="191">
        <f t="shared" si="523"/>
        <v>0.25865843417278889</v>
      </c>
      <c r="AK71" s="191">
        <f t="shared" si="523"/>
        <v>0.20396121192091488</v>
      </c>
      <c r="AL71" s="478">
        <f t="shared" si="523"/>
        <v>0.10642994221467328</v>
      </c>
      <c r="AM71" s="477">
        <f t="shared" si="523"/>
        <v>0.1124658323277592</v>
      </c>
      <c r="AN71" s="127">
        <f t="shared" si="523"/>
        <v>0.13541893925221893</v>
      </c>
      <c r="AO71" s="127">
        <f t="shared" si="523"/>
        <v>9.8013463284661206E-2</v>
      </c>
      <c r="AP71" s="478">
        <f t="shared" si="523"/>
        <v>0.1596691900970908</v>
      </c>
      <c r="AQ71" s="127">
        <f>AQ70/AM70-1</f>
        <v>8.4677419354838745E-2</v>
      </c>
      <c r="AR71" s="127">
        <f>AR70/AN70-1</f>
        <v>-0.14432989690721654</v>
      </c>
      <c r="AS71" s="127">
        <f>AS70/AO70-1</f>
        <v>-8.108108108108103E-2</v>
      </c>
      <c r="AT71" s="478">
        <f>AT70/AP70-1</f>
        <v>7.9136690647481966E-2</v>
      </c>
      <c r="AU71" s="35">
        <f t="shared" ref="AU71:AV71" si="524">AU70/AQ70-1</f>
        <v>0.23420074349442377</v>
      </c>
      <c r="AV71" s="35">
        <f t="shared" si="524"/>
        <v>0.46586345381526106</v>
      </c>
      <c r="AW71" s="35">
        <f>AW70/AS70-1</f>
        <v>0.64338235294117641</v>
      </c>
      <c r="AX71" s="36">
        <f>AX70/AT70-1</f>
        <v>0.73666666666666658</v>
      </c>
      <c r="AY71" s="818">
        <f t="shared" ref="AY71:AZ71" si="525">AY70/AU70-1</f>
        <v>0.84939759036144569</v>
      </c>
      <c r="AZ71" s="818">
        <f t="shared" si="525"/>
        <v>0.78356164383561633</v>
      </c>
      <c r="BA71" s="35">
        <f t="shared" ref="BA71" si="526">BA70/AW70-1</f>
        <v>0.65548098434004465</v>
      </c>
      <c r="BB71" s="36">
        <f>BB70/AX70-1</f>
        <v>0.65067178502879086</v>
      </c>
      <c r="BC71" s="818">
        <f t="shared" ref="BC71" si="527">BC70/AY70-1</f>
        <v>0.458013029315961</v>
      </c>
      <c r="BD71" s="818">
        <f t="shared" ref="BD71" si="528">BD70/AZ70-1</f>
        <v>0.4468021505376345</v>
      </c>
      <c r="BE71" s="818">
        <f t="shared" ref="BE71" si="529">BE70/BA70-1</f>
        <v>0.35598162432432434</v>
      </c>
      <c r="BF71" s="36">
        <f t="shared" ref="BF71" si="530">BF70/BB70-1</f>
        <v>0.29687549816279057</v>
      </c>
      <c r="BG71" s="818">
        <f t="shared" ref="BG71" si="531">BG70/BC70-1</f>
        <v>0.30901167907609306</v>
      </c>
      <c r="BH71" s="818">
        <f t="shared" ref="BH71" si="532">BH70/BD70-1</f>
        <v>0.30302773390856852</v>
      </c>
      <c r="BI71" s="818">
        <f t="shared" ref="BI71" si="533">BI70/BE70-1</f>
        <v>0.28112948410002603</v>
      </c>
      <c r="BJ71" s="36">
        <f t="shared" ref="BJ71" si="534">BJ70/BF70-1</f>
        <v>0.2074799631242541</v>
      </c>
      <c r="BK71" s="818">
        <f t="shared" ref="BK71" si="535">BK70/BG70-1</f>
        <v>0.21305710290058744</v>
      </c>
      <c r="BL71" s="818">
        <f t="shared" ref="BL71" si="536">BL70/BH70-1</f>
        <v>0.22291188284266394</v>
      </c>
      <c r="BM71" s="818">
        <f t="shared" ref="BM71" si="537">BM70/BI70-1</f>
        <v>0.23296058140792453</v>
      </c>
      <c r="BN71" s="36">
        <f t="shared" ref="BN71" si="538">BN70/BJ70-1</f>
        <v>0.24320299205406237</v>
      </c>
      <c r="BY71" s="759">
        <f>BY70/BX70-1</f>
        <v>0.12592272402065618</v>
      </c>
      <c r="BZ71" s="759">
        <f t="shared" ref="BZ71:CA71" si="539">BZ70/BY70-1</f>
        <v>-2.0664869721473522E-2</v>
      </c>
      <c r="CA71" s="759">
        <f t="shared" si="539"/>
        <v>0.52752293577981657</v>
      </c>
      <c r="CB71" s="759">
        <f>CB70/CA70-1</f>
        <v>0.72072072072072069</v>
      </c>
      <c r="CC71" s="759">
        <f>CC70/CB70-1</f>
        <v>0.3807425935148343</v>
      </c>
      <c r="CD71" s="759">
        <f>CD70/CC70-1</f>
        <v>0.2718883584649201</v>
      </c>
      <c r="CE71" s="759">
        <f>CE70/CD70-1</f>
        <v>0.22861526648886188</v>
      </c>
    </row>
    <row r="72" spans="1:86">
      <c r="B72" s="152" t="s">
        <v>115</v>
      </c>
      <c r="C72" s="231"/>
      <c r="D72" s="54"/>
      <c r="E72" s="54"/>
      <c r="F72" s="232"/>
      <c r="G72" s="54"/>
      <c r="H72" s="54"/>
      <c r="I72" s="54"/>
      <c r="J72" s="54"/>
      <c r="K72" s="231"/>
      <c r="L72" s="54"/>
      <c r="M72" s="54"/>
      <c r="N72" s="232"/>
      <c r="O72" s="54"/>
      <c r="P72" s="54"/>
      <c r="Q72" s="54"/>
      <c r="R72" s="54"/>
      <c r="S72" s="231"/>
      <c r="T72" s="54"/>
      <c r="U72" s="54"/>
      <c r="V72" s="232"/>
      <c r="W72" s="54"/>
      <c r="X72" s="54"/>
      <c r="Y72" s="54"/>
      <c r="Z72" s="54"/>
      <c r="AA72" s="231"/>
      <c r="AB72" s="54"/>
      <c r="AC72" s="54"/>
      <c r="AD72" s="232"/>
      <c r="AE72" s="181"/>
      <c r="AF72" s="181">
        <f t="shared" ref="AF72:AP72" si="540">AF70/AE70-1</f>
        <v>-8.551411312958912E-2</v>
      </c>
      <c r="AG72" s="181">
        <f t="shared" si="540"/>
        <v>9.9619887636034354E-2</v>
      </c>
      <c r="AH72" s="181">
        <f t="shared" si="540"/>
        <v>-3.2356894988588403E-2</v>
      </c>
      <c r="AI72" s="479">
        <f t="shared" si="540"/>
        <v>2.8912025071077485E-2</v>
      </c>
      <c r="AJ72" s="181">
        <f t="shared" si="540"/>
        <v>0.14966644304458665</v>
      </c>
      <c r="AK72" s="181">
        <f t="shared" si="540"/>
        <v>5.1833965932710502E-2</v>
      </c>
      <c r="AL72" s="480">
        <f t="shared" si="540"/>
        <v>-0.11074435441818031</v>
      </c>
      <c r="AM72" s="479">
        <f t="shared" si="540"/>
        <v>3.4525032892368746E-2</v>
      </c>
      <c r="AN72" s="181">
        <f t="shared" si="540"/>
        <v>0.17338709677419351</v>
      </c>
      <c r="AO72" s="181">
        <f t="shared" si="540"/>
        <v>1.7182130584192379E-2</v>
      </c>
      <c r="AP72" s="480">
        <f t="shared" si="540"/>
        <v>-6.0810810810810856E-2</v>
      </c>
      <c r="AQ72" s="181">
        <f>AQ70/AP70-1</f>
        <v>-3.2374100719424481E-2</v>
      </c>
      <c r="AR72" s="181">
        <f>AR70/AQ70-1</f>
        <v>-7.4349442379182173E-2</v>
      </c>
      <c r="AS72" s="181">
        <f>AS70/AR70-1</f>
        <v>9.2369477911646625E-2</v>
      </c>
      <c r="AT72" s="480">
        <f>AT70/AS70-1</f>
        <v>0.10294117647058831</v>
      </c>
      <c r="AU72" s="54">
        <f t="shared" ref="AU72:AV72" si="541">AU70/AT70-1</f>
        <v>0.10666666666666669</v>
      </c>
      <c r="AV72" s="181">
        <f t="shared" si="541"/>
        <v>9.9397590361445687E-2</v>
      </c>
      <c r="AW72" s="181">
        <f>AW70/AV70-1</f>
        <v>0.22465753424657531</v>
      </c>
      <c r="AX72" s="779">
        <f>AX70/AW70-1</f>
        <v>0.16554809843400453</v>
      </c>
      <c r="AY72" s="54">
        <f t="shared" ref="AY72:AZ72" si="542">AY70/AX70-1</f>
        <v>0.17850287907869489</v>
      </c>
      <c r="AZ72" s="744">
        <f t="shared" si="542"/>
        <v>6.0260586319218268E-2</v>
      </c>
      <c r="BA72" s="54">
        <f t="shared" ref="BA72" si="543">BA70/AZ70-1</f>
        <v>0.13671274961597546</v>
      </c>
      <c r="BB72" s="779">
        <f>BB70/BA70-1</f>
        <v>0.16216216216216206</v>
      </c>
      <c r="BC72" s="54">
        <f t="shared" ref="BC72" si="544">BC70/BB70-1</f>
        <v>4.0953488372093005E-2</v>
      </c>
      <c r="BD72" s="744">
        <f t="shared" ref="BD72" si="545">BD70/BC70-1</f>
        <v>5.210808516342369E-2</v>
      </c>
      <c r="BE72" s="54">
        <f t="shared" ref="BE72" si="546">BE70/BD70-1</f>
        <v>6.5357554273516971E-2</v>
      </c>
      <c r="BF72" s="232">
        <f t="shared" ref="BF72" si="547">BF70/BE70-1</f>
        <v>0.11150446729026764</v>
      </c>
      <c r="BG72" s="54">
        <f t="shared" ref="BG72" si="548">BG70/BF70-1</f>
        <v>5.0694747170731524E-2</v>
      </c>
      <c r="BH72" s="744">
        <f t="shared" ref="BH72" si="549">BH70/BG70-1</f>
        <v>4.7298535185710255E-2</v>
      </c>
      <c r="BI72" s="54">
        <f t="shared" ref="BI72" si="550">BI70/BH70-1</f>
        <v>4.7453510290569545E-2</v>
      </c>
      <c r="BJ72" s="232">
        <f t="shared" ref="BJ72" si="551">BJ70/BI70-1</f>
        <v>4.760634255398033E-2</v>
      </c>
      <c r="BK72" s="54">
        <f t="shared" ref="BK72" si="552">BK70/BJ70-1</f>
        <v>5.5547723324529175E-2</v>
      </c>
      <c r="BL72" s="744">
        <f t="shared" ref="BL72" si="553">BL70/BK70-1</f>
        <v>5.5806705636413323E-2</v>
      </c>
      <c r="BM72" s="54">
        <f t="shared" ref="BM72" si="554">BM70/BL70-1</f>
        <v>5.6060462871296179E-2</v>
      </c>
      <c r="BN72" s="232">
        <f t="shared" ref="BN72" si="555">BN70/BM70-1</f>
        <v>5.6308984404609408E-2</v>
      </c>
      <c r="CE72" s="925"/>
    </row>
    <row r="73" spans="1:86">
      <c r="B73" s="114" t="s">
        <v>266</v>
      </c>
      <c r="C73" s="43"/>
      <c r="D73" s="29"/>
      <c r="E73" s="29"/>
      <c r="F73" s="44"/>
      <c r="G73" s="29"/>
      <c r="H73" s="29"/>
      <c r="I73" s="29"/>
      <c r="J73" s="29"/>
      <c r="K73" s="43"/>
      <c r="L73" s="29"/>
      <c r="M73" s="29"/>
      <c r="N73" s="44"/>
      <c r="O73" s="29"/>
      <c r="P73" s="29"/>
      <c r="Q73" s="29"/>
      <c r="R73" s="29"/>
      <c r="S73" s="43">
        <f t="shared" ref="S73:AH73" si="556">S309</f>
        <v>3</v>
      </c>
      <c r="T73" s="29">
        <f t="shared" si="556"/>
        <v>3</v>
      </c>
      <c r="U73" s="29">
        <f t="shared" si="556"/>
        <v>5</v>
      </c>
      <c r="V73" s="44">
        <f t="shared" si="556"/>
        <v>10</v>
      </c>
      <c r="W73" s="29">
        <f t="shared" si="556"/>
        <v>25</v>
      </c>
      <c r="X73" s="29">
        <f t="shared" si="556"/>
        <v>25</v>
      </c>
      <c r="Y73" s="29">
        <f t="shared" si="556"/>
        <v>25</v>
      </c>
      <c r="Z73" s="29">
        <f t="shared" si="556"/>
        <v>27</v>
      </c>
      <c r="AA73" s="43">
        <f t="shared" si="556"/>
        <v>27.5</v>
      </c>
      <c r="AB73" s="29">
        <f t="shared" si="556"/>
        <v>22</v>
      </c>
      <c r="AC73" s="29">
        <f t="shared" si="556"/>
        <v>22</v>
      </c>
      <c r="AD73" s="44">
        <f t="shared" si="556"/>
        <v>27.5</v>
      </c>
      <c r="AE73" s="88">
        <f t="shared" si="556"/>
        <v>27.5</v>
      </c>
      <c r="AF73" s="88">
        <f t="shared" si="556"/>
        <v>27</v>
      </c>
      <c r="AG73" s="88">
        <f t="shared" si="556"/>
        <v>52</v>
      </c>
      <c r="AH73" s="88">
        <f t="shared" si="556"/>
        <v>30</v>
      </c>
      <c r="AI73" s="365">
        <v>30</v>
      </c>
      <c r="AJ73" s="88">
        <v>47</v>
      </c>
      <c r="AK73" s="88">
        <v>53</v>
      </c>
      <c r="AL73" s="366">
        <f>AL75*AL22</f>
        <v>35.988242</v>
      </c>
      <c r="AM73" s="462">
        <v>50</v>
      </c>
      <c r="AN73" s="459">
        <v>74</v>
      </c>
      <c r="AO73" s="459">
        <v>80</v>
      </c>
      <c r="AP73" s="562">
        <v>78</v>
      </c>
      <c r="AQ73" s="459">
        <v>79</v>
      </c>
      <c r="AR73" s="459">
        <v>65</v>
      </c>
      <c r="AS73" s="459">
        <v>72</v>
      </c>
      <c r="AT73" s="562">
        <v>85</v>
      </c>
      <c r="AU73" s="838">
        <v>131</v>
      </c>
      <c r="AV73" s="838">
        <v>135</v>
      </c>
      <c r="AW73" s="839">
        <v>220</v>
      </c>
      <c r="AX73" s="840">
        <v>276</v>
      </c>
      <c r="AY73" s="838">
        <v>384</v>
      </c>
      <c r="AZ73" s="838">
        <v>391</v>
      </c>
      <c r="BA73" s="838">
        <v>474</v>
      </c>
      <c r="BB73" s="840">
        <v>576</v>
      </c>
      <c r="BC73" s="939">
        <v>600</v>
      </c>
      <c r="BD73" s="939">
        <v>640</v>
      </c>
      <c r="BE73" s="939">
        <f>BD73*1.085</f>
        <v>694.4</v>
      </c>
      <c r="BF73" s="944">
        <f t="shared" ref="BF73" si="557">BE73*1.15</f>
        <v>798.56</v>
      </c>
      <c r="BG73" s="939">
        <f>BF73*1.06</f>
        <v>846.47360000000003</v>
      </c>
      <c r="BH73" s="939">
        <f t="shared" ref="BH73:BJ73" si="558">BG73*1.055</f>
        <v>893.02964799999995</v>
      </c>
      <c r="BI73" s="939">
        <f t="shared" si="558"/>
        <v>942.14627863999988</v>
      </c>
      <c r="BJ73" s="939">
        <f t="shared" si="558"/>
        <v>993.96432396519981</v>
      </c>
      <c r="BK73" s="939">
        <f>BJ73*1.065</f>
        <v>1058.5720050229377</v>
      </c>
      <c r="BL73" s="939">
        <f t="shared" ref="BL73:BN73" si="559">BK73*1.065</f>
        <v>1127.3791853494286</v>
      </c>
      <c r="BM73" s="939">
        <f t="shared" si="559"/>
        <v>1200.6588323971414</v>
      </c>
      <c r="BN73" s="939">
        <f t="shared" si="559"/>
        <v>1278.7016565029555</v>
      </c>
      <c r="BP73" s="59">
        <f>SUM(C73:F73)</f>
        <v>0</v>
      </c>
      <c r="BQ73" s="59">
        <f>SUM(G73:J73)</f>
        <v>0</v>
      </c>
      <c r="BR73" s="59">
        <f>SUM(K73:N73)</f>
        <v>0</v>
      </c>
      <c r="BS73" s="59">
        <f>SUM(O73:R73)</f>
        <v>0</v>
      </c>
      <c r="BT73" s="59">
        <f>SUM(S73:V73)</f>
        <v>21</v>
      </c>
      <c r="BU73" s="59">
        <f>SUM(W73:Z73)</f>
        <v>102</v>
      </c>
      <c r="BV73" s="59">
        <f>SUM(AA73:AD73)</f>
        <v>99</v>
      </c>
      <c r="BW73" s="59">
        <f>SUM(AE73:AH73)</f>
        <v>136.5</v>
      </c>
      <c r="BX73" s="59">
        <f>SUM(AI73:AL73)</f>
        <v>165.98824200000001</v>
      </c>
      <c r="BY73" s="59">
        <f>SUM(AM73:AP73)</f>
        <v>282</v>
      </c>
      <c r="BZ73" s="59">
        <f>SUM(AQ73:AT73)</f>
        <v>301</v>
      </c>
      <c r="CA73" s="14">
        <f>SUM(AU73:AX73)</f>
        <v>762</v>
      </c>
      <c r="CB73" s="14">
        <f>SUM(AY73:BB73)</f>
        <v>1825</v>
      </c>
      <c r="CC73" s="926">
        <f>SUM(BC73:BF73)</f>
        <v>2732.96</v>
      </c>
      <c r="CD73" s="926">
        <f>SUM(BG73:BJ73)</f>
        <v>3675.6138506051993</v>
      </c>
      <c r="CE73" s="926">
        <f>SUM(BK73:BN73)</f>
        <v>4665.3116792724632</v>
      </c>
    </row>
    <row r="74" spans="1:86">
      <c r="A74" s="821"/>
      <c r="B74" s="152" t="s">
        <v>114</v>
      </c>
      <c r="C74" s="43"/>
      <c r="D74" s="29"/>
      <c r="E74" s="29"/>
      <c r="F74" s="44"/>
      <c r="G74" s="29"/>
      <c r="H74" s="29"/>
      <c r="I74" s="29"/>
      <c r="J74" s="29"/>
      <c r="K74" s="43"/>
      <c r="L74" s="29"/>
      <c r="M74" s="29"/>
      <c r="N74" s="44"/>
      <c r="O74" s="29"/>
      <c r="P74" s="29"/>
      <c r="Q74" s="29"/>
      <c r="R74" s="29"/>
      <c r="S74" s="43"/>
      <c r="T74" s="29"/>
      <c r="U74" s="29"/>
      <c r="V74" s="44"/>
      <c r="W74" s="921">
        <f>W73/S73-1</f>
        <v>7.3333333333333339</v>
      </c>
      <c r="X74" s="922">
        <f t="shared" ref="X74" si="560">X73/T73-1</f>
        <v>7.3333333333333339</v>
      </c>
      <c r="Y74" s="922">
        <f t="shared" ref="Y74" si="561">Y73/U73-1</f>
        <v>4</v>
      </c>
      <c r="Z74" s="923">
        <f t="shared" ref="Z74" si="562">Z73/V73-1</f>
        <v>1.7000000000000002</v>
      </c>
      <c r="AA74" s="921">
        <f>AA73/W73-1</f>
        <v>0.10000000000000009</v>
      </c>
      <c r="AB74" s="922">
        <f t="shared" ref="AB74" si="563">AB73/X73-1</f>
        <v>-0.12</v>
      </c>
      <c r="AC74" s="922">
        <f t="shared" ref="AC74" si="564">AC73/Y73-1</f>
        <v>-0.12</v>
      </c>
      <c r="AD74" s="923">
        <f t="shared" ref="AD74" si="565">AD73/Z73-1</f>
        <v>1.8518518518518601E-2</v>
      </c>
      <c r="AE74" s="921">
        <f>AE73/AA73-1</f>
        <v>0</v>
      </c>
      <c r="AF74" s="922">
        <f t="shared" ref="AF74" si="566">AF73/AB73-1</f>
        <v>0.22727272727272729</v>
      </c>
      <c r="AG74" s="922">
        <f t="shared" ref="AG74" si="567">AG73/AC73-1</f>
        <v>1.3636363636363638</v>
      </c>
      <c r="AH74" s="923">
        <f t="shared" ref="AH74" si="568">AH73/AD73-1</f>
        <v>9.0909090909090828E-2</v>
      </c>
      <c r="AI74" s="921">
        <f>AI73/AE73-1</f>
        <v>9.0909090909090828E-2</v>
      </c>
      <c r="AJ74" s="922">
        <f t="shared" ref="AJ74" si="569">AJ73/AF73-1</f>
        <v>0.7407407407407407</v>
      </c>
      <c r="AK74" s="922">
        <f t="shared" ref="AK74" si="570">AK73/AG73-1</f>
        <v>1.9230769230769162E-2</v>
      </c>
      <c r="AL74" s="923">
        <f t="shared" ref="AL74" si="571">AL73/AH73-1</f>
        <v>0.19960806666666664</v>
      </c>
      <c r="AM74" s="921">
        <f>AM73/AI73-1</f>
        <v>0.66666666666666674</v>
      </c>
      <c r="AN74" s="922">
        <f t="shared" ref="AN74" si="572">AN73/AJ73-1</f>
        <v>0.57446808510638303</v>
      </c>
      <c r="AO74" s="922">
        <f t="shared" ref="AO74" si="573">AO73/AK73-1</f>
        <v>0.50943396226415105</v>
      </c>
      <c r="AP74" s="923">
        <f t="shared" ref="AP74" si="574">AP73/AL73-1</f>
        <v>1.1673745552783603</v>
      </c>
      <c r="AQ74" s="921">
        <f>AQ73/AM73-1</f>
        <v>0.58000000000000007</v>
      </c>
      <c r="AR74" s="922">
        <f t="shared" ref="AR74" si="575">AR73/AN73-1</f>
        <v>-0.1216216216216216</v>
      </c>
      <c r="AS74" s="922">
        <f t="shared" ref="AS74" si="576">AS73/AO73-1</f>
        <v>-9.9999999999999978E-2</v>
      </c>
      <c r="AT74" s="923">
        <f t="shared" ref="AT74" si="577">AT73/AP73-1</f>
        <v>8.9743589743589647E-2</v>
      </c>
      <c r="AU74" s="921">
        <f>AU73/AQ73-1</f>
        <v>0.65822784810126578</v>
      </c>
      <c r="AV74" s="922">
        <f t="shared" ref="AV74" si="578">AV73/AR73-1</f>
        <v>1.0769230769230771</v>
      </c>
      <c r="AW74" s="922">
        <f t="shared" ref="AW74" si="579">AW73/AS73-1</f>
        <v>2.0555555555555554</v>
      </c>
      <c r="AX74" s="923">
        <f t="shared" ref="AX74" si="580">AX73/AT73-1</f>
        <v>2.2470588235294118</v>
      </c>
      <c r="AY74" s="921">
        <f>AY73/AU73-1</f>
        <v>1.9312977099236641</v>
      </c>
      <c r="AZ74" s="922">
        <f t="shared" ref="AZ74:BB74" si="581">AZ73/AV73-1</f>
        <v>1.8962962962962964</v>
      </c>
      <c r="BA74" s="922">
        <f t="shared" si="581"/>
        <v>1.1545454545454548</v>
      </c>
      <c r="BB74" s="923">
        <f t="shared" si="581"/>
        <v>1.0869565217391304</v>
      </c>
      <c r="BC74" s="921">
        <f t="shared" ref="BC74" si="582">BC73/AY73-1</f>
        <v>0.5625</v>
      </c>
      <c r="BD74" s="922">
        <f t="shared" ref="BD74" si="583">BD73/AZ73-1</f>
        <v>0.63682864450127874</v>
      </c>
      <c r="BE74" s="922">
        <f t="shared" ref="BE74" si="584">BE73/BA73-1</f>
        <v>0.46497890295358646</v>
      </c>
      <c r="BF74" s="923">
        <f t="shared" ref="BF74" si="585">BF73/BB73-1</f>
        <v>0.38638888888888889</v>
      </c>
      <c r="BG74" s="921">
        <f t="shared" ref="BG74" si="586">BG73/BC73-1</f>
        <v>0.41078933333333345</v>
      </c>
      <c r="BH74" s="922">
        <f t="shared" ref="BH74" si="587">BH73/BD73-1</f>
        <v>0.39535882499999997</v>
      </c>
      <c r="BI74" s="922">
        <f t="shared" ref="BI74" si="588">BI73/BE73-1</f>
        <v>0.3567774749999999</v>
      </c>
      <c r="BJ74" s="923">
        <f t="shared" ref="BJ74" si="589">BJ73/BF73-1</f>
        <v>0.24469585749999978</v>
      </c>
      <c r="BK74" s="921">
        <f t="shared" ref="BK74" si="590">BK73/BG73-1</f>
        <v>0.25056706437499954</v>
      </c>
      <c r="BL74" s="922">
        <f t="shared" ref="BL74" si="591">BL73/BH73-1</f>
        <v>0.26242078062499963</v>
      </c>
      <c r="BM74" s="922">
        <f t="shared" ref="BM74" si="592">BM73/BI73-1</f>
        <v>0.27438685437499966</v>
      </c>
      <c r="BN74" s="923">
        <f t="shared" ref="BN74" si="593">BN73/BJ73-1</f>
        <v>0.28646635062499959</v>
      </c>
      <c r="BO74" s="821"/>
      <c r="BP74" s="59"/>
      <c r="BQ74" s="59"/>
      <c r="BR74" s="59"/>
      <c r="BS74" s="59"/>
      <c r="BT74" s="59"/>
      <c r="BU74" s="924">
        <f t="shared" ref="BU74" si="594">BU73/BT73-1</f>
        <v>3.8571428571428568</v>
      </c>
      <c r="BV74" s="924">
        <f t="shared" ref="BV74" si="595">BV73/BU73-1</f>
        <v>-2.9411764705882359E-2</v>
      </c>
      <c r="BW74" s="924">
        <f t="shared" ref="BW74" si="596">BW73/BV73-1</f>
        <v>0.3787878787878789</v>
      </c>
      <c r="BX74" s="924">
        <f t="shared" ref="BX74" si="597">BX73/BW73-1</f>
        <v>0.2160310769230771</v>
      </c>
      <c r="BY74" s="924">
        <f t="shared" ref="BY74" si="598">BY73/BX73-1</f>
        <v>0.69891551716054678</v>
      </c>
      <c r="BZ74" s="924">
        <f t="shared" ref="BZ74" si="599">BZ73/BY73-1</f>
        <v>6.7375886524822626E-2</v>
      </c>
      <c r="CA74" s="924">
        <f t="shared" ref="CA74" si="600">CA73/BZ73-1</f>
        <v>1.5315614617940199</v>
      </c>
      <c r="CB74" s="924">
        <f t="shared" ref="CB74:CE74" si="601">CB73/CA73-1</f>
        <v>1.3950131233595799</v>
      </c>
      <c r="CC74" s="924">
        <f t="shared" si="601"/>
        <v>0.49751232876712326</v>
      </c>
      <c r="CD74" s="924">
        <f t="shared" si="601"/>
        <v>0.34492047106624302</v>
      </c>
      <c r="CE74" s="924">
        <f t="shared" si="601"/>
        <v>0.2692605558944412</v>
      </c>
    </row>
    <row r="75" spans="1:86">
      <c r="B75" s="152" t="s">
        <v>311</v>
      </c>
      <c r="C75" s="43"/>
      <c r="D75" s="29"/>
      <c r="E75" s="29"/>
      <c r="F75" s="44"/>
      <c r="G75" s="29"/>
      <c r="H75" s="29"/>
      <c r="I75" s="29"/>
      <c r="J75" s="29"/>
      <c r="K75" s="43"/>
      <c r="L75" s="29"/>
      <c r="M75" s="29"/>
      <c r="N75" s="44"/>
      <c r="O75" s="29"/>
      <c r="P75" s="29"/>
      <c r="Q75" s="29"/>
      <c r="R75" s="29"/>
      <c r="S75" s="231">
        <f t="shared" ref="S75:AG75" si="602">S73/S$22</f>
        <v>4.5904408659407647E-3</v>
      </c>
      <c r="T75" s="54">
        <f t="shared" si="602"/>
        <v>4.0970005858710842E-3</v>
      </c>
      <c r="U75" s="54">
        <f t="shared" si="602"/>
        <v>5.9011254626482358E-3</v>
      </c>
      <c r="V75" s="232">
        <f t="shared" si="602"/>
        <v>1.0668624003550517E-2</v>
      </c>
      <c r="W75" s="54">
        <f t="shared" si="602"/>
        <v>2.575771469312774E-2</v>
      </c>
      <c r="X75" s="54">
        <f t="shared" si="602"/>
        <v>3.265822255664242E-2</v>
      </c>
      <c r="Y75" s="54">
        <f t="shared" si="602"/>
        <v>3.1566533413806948E-2</v>
      </c>
      <c r="Z75" s="54">
        <f t="shared" si="602"/>
        <v>3.3022231299938483E-2</v>
      </c>
      <c r="AA75" s="231">
        <f t="shared" si="602"/>
        <v>3.3637909312196491E-2</v>
      </c>
      <c r="AB75" s="54">
        <f t="shared" si="602"/>
        <v>2.8103056462872669E-2</v>
      </c>
      <c r="AC75" s="54">
        <f t="shared" si="602"/>
        <v>2.7190806541119297E-2</v>
      </c>
      <c r="AD75" s="232">
        <f t="shared" si="602"/>
        <v>3.5374142659415179E-2</v>
      </c>
      <c r="AE75" s="181">
        <f t="shared" si="602"/>
        <v>3.7859753705093167E-2</v>
      </c>
      <c r="AF75" s="181">
        <f t="shared" si="602"/>
        <v>3.3808150018031009E-2</v>
      </c>
      <c r="AG75" s="181">
        <f t="shared" si="602"/>
        <v>5.8151953290561831E-2</v>
      </c>
      <c r="AH75" s="181">
        <f>AH73/AH$22</f>
        <v>3.6035430034810217E-2</v>
      </c>
      <c r="AI75" s="383">
        <v>4.4999999999999998E-2</v>
      </c>
      <c r="AJ75" s="190">
        <v>7.0000000000000007E-2</v>
      </c>
      <c r="AK75" s="190">
        <v>5.2499999999999998E-2</v>
      </c>
      <c r="AL75" s="384">
        <v>3.7999999999999999E-2</v>
      </c>
      <c r="AM75" s="477">
        <f t="shared" ref="AM75:AU75" si="603">AM73/AM$22</f>
        <v>5.5718811673759666E-2</v>
      </c>
      <c r="AN75" s="181">
        <f t="shared" si="603"/>
        <v>8.428438005421536E-2</v>
      </c>
      <c r="AO75" s="181">
        <f t="shared" si="603"/>
        <v>8.0695433243694159E-2</v>
      </c>
      <c r="AP75" s="480">
        <f t="shared" si="603"/>
        <v>7.274891086486332E-2</v>
      </c>
      <c r="AQ75" s="181">
        <f t="shared" si="603"/>
        <v>8.4042553191489358E-2</v>
      </c>
      <c r="AR75" s="181">
        <f t="shared" si="603"/>
        <v>6.7778936392075079E-2</v>
      </c>
      <c r="AS75" s="181">
        <f t="shared" si="603"/>
        <v>6.4864864864864868E-2</v>
      </c>
      <c r="AT75" s="480">
        <f t="shared" si="603"/>
        <v>7.2156196943972836E-2</v>
      </c>
      <c r="AU75" s="181">
        <f t="shared" si="603"/>
        <v>0.12140871177015755</v>
      </c>
      <c r="AV75" s="181">
        <f t="shared" ref="AV75:AZ75" si="604">AV73/AV$22</f>
        <v>0.112876254180602</v>
      </c>
      <c r="AW75" s="181">
        <f t="shared" si="604"/>
        <v>0.12964054213317619</v>
      </c>
      <c r="AX75" s="779">
        <f t="shared" si="604"/>
        <v>0.14918918918918919</v>
      </c>
      <c r="AY75" s="744">
        <f t="shared" si="604"/>
        <v>0.24583866837387963</v>
      </c>
      <c r="AZ75" s="744">
        <f t="shared" si="604"/>
        <v>0.20611491829204007</v>
      </c>
      <c r="BA75" s="744">
        <f t="shared" ref="BA75:BB75" si="605">BA73/BA$22</f>
        <v>0.21380243572395127</v>
      </c>
      <c r="BB75" s="779">
        <f t="shared" si="605"/>
        <v>0.23405119869971555</v>
      </c>
      <c r="BC75" s="744">
        <f t="shared" ref="BC75:BD75" si="606">BC73/BC$22</f>
        <v>0.2434571691049249</v>
      </c>
      <c r="BD75" s="744">
        <f t="shared" si="606"/>
        <v>0.23445001260342738</v>
      </c>
      <c r="BE75" s="54">
        <f t="shared" ref="BE75:BJ75" si="607">BE73/BE$22</f>
        <v>0.23501002932082771</v>
      </c>
      <c r="BF75" s="232">
        <f t="shared" si="607"/>
        <v>0.25542478799745855</v>
      </c>
      <c r="BG75" s="744">
        <f t="shared" si="607"/>
        <v>0.30037416475758516</v>
      </c>
      <c r="BH75" s="744">
        <f t="shared" si="607"/>
        <v>0.27763490448838274</v>
      </c>
      <c r="BI75" s="54">
        <f t="shared" si="607"/>
        <v>0.27097222855698577</v>
      </c>
      <c r="BJ75" s="232">
        <f t="shared" si="607"/>
        <v>0.27920160923528231</v>
      </c>
      <c r="BK75" s="744">
        <f t="shared" ref="BK75:BN75" si="608">BK73/BK$22</f>
        <v>0.32549799787777051</v>
      </c>
      <c r="BL75" s="744">
        <f t="shared" si="608"/>
        <v>0.30363054934209111</v>
      </c>
      <c r="BM75" s="54">
        <f t="shared" si="608"/>
        <v>0.30141293489007592</v>
      </c>
      <c r="BN75" s="232">
        <f t="shared" si="608"/>
        <v>0.3121320542902522</v>
      </c>
      <c r="BT75" s="54">
        <f t="shared" ref="BT75:CA75" si="609">BT73/BT$22</f>
        <v>6.6237719605639544E-3</v>
      </c>
      <c r="BU75" s="54">
        <f t="shared" si="609"/>
        <v>3.0486930073742504E-2</v>
      </c>
      <c r="BV75" s="54">
        <f t="shared" si="609"/>
        <v>3.1065021914960914E-2</v>
      </c>
      <c r="BW75" s="54">
        <f t="shared" si="609"/>
        <v>4.1977887340576288E-2</v>
      </c>
      <c r="BX75" s="54">
        <f t="shared" si="609"/>
        <v>4.7860827578093644E-2</v>
      </c>
      <c r="BY75" s="54">
        <f t="shared" si="609"/>
        <v>7.345842800006043E-2</v>
      </c>
      <c r="BZ75" s="54">
        <f t="shared" si="609"/>
        <v>7.1889180797707189E-2</v>
      </c>
      <c r="CA75" s="54">
        <f t="shared" si="609"/>
        <v>0.13088285812435591</v>
      </c>
      <c r="CB75" s="54">
        <f t="shared" ref="CB75:CC75" si="610">CB73/CB$22</f>
        <v>0.22428413420179427</v>
      </c>
      <c r="CC75" s="54">
        <f t="shared" si="610"/>
        <v>0.24238125323179449</v>
      </c>
      <c r="CD75" s="54">
        <f t="shared" ref="CD75:CE75" si="611">CD73/CD$22</f>
        <v>0.28119168474881662</v>
      </c>
      <c r="CE75" s="54">
        <f t="shared" si="611"/>
        <v>0.31008511290019741</v>
      </c>
    </row>
    <row r="76" spans="1:86">
      <c r="B76" s="114" t="s">
        <v>267</v>
      </c>
      <c r="C76" s="43"/>
      <c r="D76" s="29"/>
      <c r="E76" s="29"/>
      <c r="F76" s="44"/>
      <c r="G76" s="29"/>
      <c r="H76" s="29"/>
      <c r="I76" s="29"/>
      <c r="J76" s="29"/>
      <c r="K76" s="43"/>
      <c r="L76" s="29"/>
      <c r="M76" s="29"/>
      <c r="N76" s="44"/>
      <c r="O76" s="29"/>
      <c r="P76" s="29"/>
      <c r="Q76" s="29"/>
      <c r="R76" s="29"/>
      <c r="S76" s="43">
        <f>S307</f>
        <v>103.148</v>
      </c>
      <c r="T76" s="29">
        <f t="shared" ref="T76:AE76" si="612">T307</f>
        <v>113.626</v>
      </c>
      <c r="U76" s="29">
        <f t="shared" si="612"/>
        <v>124.63800000000001</v>
      </c>
      <c r="V76" s="44">
        <f t="shared" si="612"/>
        <v>147.81100000000006</v>
      </c>
      <c r="W76" s="29">
        <f t="shared" si="612"/>
        <v>164.73</v>
      </c>
      <c r="X76" s="29">
        <f t="shared" si="612"/>
        <v>190.09100000000001</v>
      </c>
      <c r="Y76" s="29">
        <f t="shared" si="612"/>
        <v>185.11500000000001</v>
      </c>
      <c r="Z76" s="29">
        <f t="shared" si="612"/>
        <v>176.61600000000001</v>
      </c>
      <c r="AA76" s="43">
        <f t="shared" si="612"/>
        <v>174.34100000000001</v>
      </c>
      <c r="AB76" s="29">
        <f t="shared" si="612"/>
        <v>182.78899999999999</v>
      </c>
      <c r="AC76" s="29">
        <f t="shared" si="612"/>
        <v>202.79499999999999</v>
      </c>
      <c r="AD76" s="44">
        <f t="shared" si="612"/>
        <v>194.40899999999999</v>
      </c>
      <c r="AE76" s="88">
        <f t="shared" si="612"/>
        <v>185.1</v>
      </c>
      <c r="AF76" s="88">
        <f>AF78*AF22</f>
        <v>169.308288</v>
      </c>
      <c r="AG76" s="88">
        <f>AG78*AG22</f>
        <v>169.89971</v>
      </c>
      <c r="AH76" s="88">
        <f>AH78*AH22</f>
        <v>185.65062200000003</v>
      </c>
      <c r="AI76" s="365">
        <v>189</v>
      </c>
      <c r="AJ76" s="88">
        <v>205</v>
      </c>
      <c r="AK76" s="88">
        <f>AK78*AK22</f>
        <v>212.19358599999998</v>
      </c>
      <c r="AL76" s="366">
        <v>199</v>
      </c>
      <c r="AM76" s="459">
        <v>191</v>
      </c>
      <c r="AN76" s="459">
        <v>208</v>
      </c>
      <c r="AO76" s="459">
        <v>206</v>
      </c>
      <c r="AP76" s="562">
        <v>190</v>
      </c>
      <c r="AQ76" s="459">
        <v>181</v>
      </c>
      <c r="AR76" s="459">
        <v>176</v>
      </c>
      <c r="AS76" s="459">
        <v>190</v>
      </c>
      <c r="AT76" s="562">
        <v>203</v>
      </c>
      <c r="AU76" s="841">
        <v>189</v>
      </c>
      <c r="AV76" s="841">
        <v>214</v>
      </c>
      <c r="AW76" s="842">
        <v>207</v>
      </c>
      <c r="AX76" s="843">
        <v>225</v>
      </c>
      <c r="AY76" s="841">
        <v>205</v>
      </c>
      <c r="AZ76" s="841">
        <v>235</v>
      </c>
      <c r="BA76" s="841">
        <v>239</v>
      </c>
      <c r="BB76" s="843">
        <v>254</v>
      </c>
      <c r="BC76" s="940">
        <f>BB76*1.03</f>
        <v>261.62</v>
      </c>
      <c r="BD76" s="940">
        <f>BC76*1.01</f>
        <v>264.2362</v>
      </c>
      <c r="BE76" s="940">
        <f t="shared" ref="BE76:BF76" si="613">BD76*1.01</f>
        <v>266.87856199999999</v>
      </c>
      <c r="BF76" s="940">
        <f t="shared" si="613"/>
        <v>269.54734761999998</v>
      </c>
      <c r="BG76" s="940">
        <f>BF76*1.025</f>
        <v>276.28603131049994</v>
      </c>
      <c r="BH76" s="940">
        <f t="shared" ref="BH76:BN76" si="614">BG76*1.025</f>
        <v>283.19318209326241</v>
      </c>
      <c r="BI76" s="940">
        <f t="shared" si="614"/>
        <v>290.27301164559395</v>
      </c>
      <c r="BJ76" s="940">
        <f t="shared" si="614"/>
        <v>297.52983693673377</v>
      </c>
      <c r="BK76" s="940">
        <f>BJ76*1.025</f>
        <v>304.96808286015209</v>
      </c>
      <c r="BL76" s="940">
        <f t="shared" si="614"/>
        <v>312.59228493165585</v>
      </c>
      <c r="BM76" s="940">
        <f t="shared" si="614"/>
        <v>320.40709205494721</v>
      </c>
      <c r="BN76" s="940">
        <f t="shared" si="614"/>
        <v>328.41726935632084</v>
      </c>
      <c r="BP76" s="59">
        <f>SUM(C76:F76)</f>
        <v>0</v>
      </c>
      <c r="BQ76" s="59">
        <f>SUM(G76:J76)</f>
        <v>0</v>
      </c>
      <c r="BR76" s="59">
        <f>SUM(K76:N76)</f>
        <v>0</v>
      </c>
      <c r="BS76" s="59">
        <f>SUM(O76:R76)</f>
        <v>0</v>
      </c>
      <c r="BT76" s="59">
        <f>SUM(S76:V76)</f>
        <v>489.22300000000007</v>
      </c>
      <c r="BU76" s="59">
        <f>SUM(W76:Z76)</f>
        <v>716.55200000000002</v>
      </c>
      <c r="BV76" s="59">
        <f>SUM(AA76:AD76)</f>
        <v>754.33399999999995</v>
      </c>
      <c r="BW76" s="59">
        <f>SUM(AE76:AH76)</f>
        <v>709.95862</v>
      </c>
      <c r="BX76" s="59">
        <f>SUM(AI76:AL76)</f>
        <v>805.19358599999998</v>
      </c>
      <c r="BY76" s="59">
        <f>SUM(AM76:AP76)</f>
        <v>795</v>
      </c>
      <c r="BZ76" s="59">
        <f>SUM(AQ76:AT76)</f>
        <v>750</v>
      </c>
      <c r="CA76" s="14">
        <f>SUM(AU76:AX76)</f>
        <v>835</v>
      </c>
      <c r="CB76" s="14">
        <f>SUM(AY76:BB76)</f>
        <v>933</v>
      </c>
      <c r="CC76" s="926">
        <f>SUM(BC76:BF76)</f>
        <v>1062.28210962</v>
      </c>
      <c r="CD76" s="926">
        <f>SUM(BG76:BJ76)</f>
        <v>1147.28206198609</v>
      </c>
      <c r="CE76" s="926">
        <f>SUM(BK76:BN76)</f>
        <v>1266.3847292030759</v>
      </c>
      <c r="CF76" s="623"/>
    </row>
    <row r="77" spans="1:86">
      <c r="A77" s="821"/>
      <c r="B77" s="152" t="s">
        <v>114</v>
      </c>
      <c r="C77" s="43"/>
      <c r="D77" s="29"/>
      <c r="E77" s="29"/>
      <c r="F77" s="44"/>
      <c r="G77" s="29"/>
      <c r="H77" s="29"/>
      <c r="I77" s="29"/>
      <c r="J77" s="29"/>
      <c r="K77" s="43"/>
      <c r="L77" s="29"/>
      <c r="M77" s="29"/>
      <c r="N77" s="44"/>
      <c r="O77" s="29"/>
      <c r="P77" s="29"/>
      <c r="Q77" s="29"/>
      <c r="R77" s="29"/>
      <c r="S77" s="43"/>
      <c r="T77" s="29"/>
      <c r="U77" s="29"/>
      <c r="V77" s="44"/>
      <c r="W77" s="921">
        <f>W76/S76-1</f>
        <v>0.59702563307092715</v>
      </c>
      <c r="X77" s="922">
        <f t="shared" ref="X77" si="615">X76/T76-1</f>
        <v>0.67295337334764938</v>
      </c>
      <c r="Y77" s="922">
        <f t="shared" ref="Y77" si="616">Y76/U76-1</f>
        <v>0.48522120059692875</v>
      </c>
      <c r="Z77" s="923">
        <f t="shared" ref="Z77" si="617">Z76/V76-1</f>
        <v>0.1948772418832152</v>
      </c>
      <c r="AA77" s="921">
        <f>AA76/W76-1</f>
        <v>5.8343956777757722E-2</v>
      </c>
      <c r="AB77" s="922">
        <f t="shared" ref="AB77" si="618">AB76/X76-1</f>
        <v>-3.8413181055389378E-2</v>
      </c>
      <c r="AC77" s="922">
        <f t="shared" ref="AC77" si="619">AC76/Y76-1</f>
        <v>9.5508197606892997E-2</v>
      </c>
      <c r="AD77" s="923">
        <f t="shared" ref="AD77" si="620">AD76/Z76-1</f>
        <v>0.10074398695474907</v>
      </c>
      <c r="AE77" s="921">
        <f>AE76/AA76-1</f>
        <v>6.1712391233272657E-2</v>
      </c>
      <c r="AF77" s="922">
        <f t="shared" ref="AF77" si="621">AF76/AB76-1</f>
        <v>-7.3750127195837734E-2</v>
      </c>
      <c r="AG77" s="922">
        <f t="shared" ref="AG77" si="622">AG76/AC76-1</f>
        <v>-0.1622095712418945</v>
      </c>
      <c r="AH77" s="923">
        <f t="shared" ref="AH77" si="623">AH76/AD76-1</f>
        <v>-4.5051299065372308E-2</v>
      </c>
      <c r="AI77" s="921">
        <f>AI76/AE76-1</f>
        <v>2.1069692058346856E-2</v>
      </c>
      <c r="AJ77" s="922">
        <f t="shared" ref="AJ77" si="624">AJ76/AF76-1</f>
        <v>0.21080900658566692</v>
      </c>
      <c r="AK77" s="922">
        <f t="shared" ref="AK77" si="625">AK76/AG76-1</f>
        <v>0.2489343625130378</v>
      </c>
      <c r="AL77" s="923">
        <f t="shared" ref="AL77" si="626">AL76/AH76-1</f>
        <v>7.1905915833667233E-2</v>
      </c>
      <c r="AM77" s="921">
        <f>AM76/AI76-1</f>
        <v>1.0582010582010692E-2</v>
      </c>
      <c r="AN77" s="922">
        <f t="shared" ref="AN77" si="627">AN76/AJ76-1</f>
        <v>1.4634146341463428E-2</v>
      </c>
      <c r="AO77" s="922">
        <f t="shared" ref="AO77" si="628">AO76/AK76-1</f>
        <v>-2.9188375184912463E-2</v>
      </c>
      <c r="AP77" s="923">
        <f t="shared" ref="AP77" si="629">AP76/AL76-1</f>
        <v>-4.5226130653266305E-2</v>
      </c>
      <c r="AQ77" s="921">
        <f>AQ76/AM76-1</f>
        <v>-5.2356020942408432E-2</v>
      </c>
      <c r="AR77" s="922">
        <f t="shared" ref="AR77" si="630">AR76/AN76-1</f>
        <v>-0.15384615384615385</v>
      </c>
      <c r="AS77" s="922">
        <f t="shared" ref="AS77" si="631">AS76/AO76-1</f>
        <v>-7.7669902912621325E-2</v>
      </c>
      <c r="AT77" s="923">
        <f t="shared" ref="AT77" si="632">AT76/AP76-1</f>
        <v>6.8421052631578938E-2</v>
      </c>
      <c r="AU77" s="921">
        <f>AU76/AQ76-1</f>
        <v>4.4198895027624419E-2</v>
      </c>
      <c r="AV77" s="922">
        <f t="shared" ref="AV77" si="633">AV76/AR76-1</f>
        <v>0.21590909090909083</v>
      </c>
      <c r="AW77" s="922">
        <f t="shared" ref="AW77" si="634">AW76/AS76-1</f>
        <v>8.9473684210526372E-2</v>
      </c>
      <c r="AX77" s="923">
        <f t="shared" ref="AX77" si="635">AX76/AT76-1</f>
        <v>0.10837438423645329</v>
      </c>
      <c r="AY77" s="921">
        <f>AY76/AU76-1</f>
        <v>8.4656084656084651E-2</v>
      </c>
      <c r="AZ77" s="922">
        <f t="shared" ref="AZ77:BB77" si="636">AZ76/AV76-1</f>
        <v>9.8130841121495394E-2</v>
      </c>
      <c r="BA77" s="922">
        <f t="shared" si="636"/>
        <v>0.15458937198067635</v>
      </c>
      <c r="BB77" s="923">
        <f t="shared" si="636"/>
        <v>0.12888888888888883</v>
      </c>
      <c r="BC77" s="921">
        <f t="shared" ref="BC77" si="637">BC76/AY76-1</f>
        <v>0.27619512195121954</v>
      </c>
      <c r="BD77" s="922">
        <f t="shared" ref="BD77" si="638">BD76/AZ76-1</f>
        <v>0.12440936170212757</v>
      </c>
      <c r="BE77" s="922">
        <f t="shared" ref="BE77" si="639">BE76/BA76-1</f>
        <v>0.11664670292887025</v>
      </c>
      <c r="BF77" s="923">
        <f t="shared" ref="BF77" si="640">BF76/BB76-1</f>
        <v>6.1210030000000026E-2</v>
      </c>
      <c r="BG77" s="921">
        <f t="shared" ref="BG77" si="641">BG76/BC76-1</f>
        <v>5.6058524999999637E-2</v>
      </c>
      <c r="BH77" s="922">
        <f t="shared" ref="BH77" si="642">BH76/BD76-1</f>
        <v>7.1742562499999663E-2</v>
      </c>
      <c r="BI77" s="922">
        <f t="shared" ref="BI77" si="643">BI76/BE76-1</f>
        <v>8.76595312499997E-2</v>
      </c>
      <c r="BJ77" s="923">
        <f t="shared" ref="BJ77" si="644">BJ76/BF76-1</f>
        <v>0.10381289062499954</v>
      </c>
      <c r="BK77" s="921">
        <f t="shared" ref="BK77" si="645">BK76/BG76-1</f>
        <v>0.10381289062499954</v>
      </c>
      <c r="BL77" s="922">
        <f t="shared" ref="BL77" si="646">BL76/BH76-1</f>
        <v>0.10381289062499954</v>
      </c>
      <c r="BM77" s="922">
        <f t="shared" ref="BM77" si="647">BM76/BI76-1</f>
        <v>0.10381289062499954</v>
      </c>
      <c r="BN77" s="923">
        <f t="shared" ref="BN77" si="648">BN76/BJ76-1</f>
        <v>0.10381289062499954</v>
      </c>
      <c r="BO77" s="821"/>
      <c r="BP77" s="59"/>
      <c r="BQ77" s="59"/>
      <c r="BR77" s="59"/>
      <c r="BS77" s="59"/>
      <c r="BT77" s="59"/>
      <c r="BU77" s="924">
        <f t="shared" ref="BU77" si="649">BU76/BT76-1</f>
        <v>0.46467357421870981</v>
      </c>
      <c r="BV77" s="924">
        <f t="shared" ref="BV77" si="650">BV76/BU76-1</f>
        <v>5.2727506168428695E-2</v>
      </c>
      <c r="BW77" s="924">
        <f t="shared" ref="BW77" si="651">BW76/BV76-1</f>
        <v>-5.8827230378055262E-2</v>
      </c>
      <c r="BX77" s="924">
        <f t="shared" ref="BX77" si="652">BX76/BW76-1</f>
        <v>0.13414157292716578</v>
      </c>
      <c r="BY77" s="924">
        <f t="shared" ref="BY77" si="653">BY76/BX76-1</f>
        <v>-1.2659795330262291E-2</v>
      </c>
      <c r="BZ77" s="924">
        <f t="shared" ref="BZ77" si="654">BZ76/BY76-1</f>
        <v>-5.6603773584905648E-2</v>
      </c>
      <c r="CA77" s="924">
        <f t="shared" ref="CA77" si="655">CA76/BZ76-1</f>
        <v>0.11333333333333329</v>
      </c>
      <c r="CB77" s="924">
        <f t="shared" ref="CB77:CE77" si="656">CB76/CA76-1</f>
        <v>0.11736526946107784</v>
      </c>
      <c r="CC77" s="924">
        <f t="shared" si="656"/>
        <v>0.13856603389067534</v>
      </c>
      <c r="CD77" s="924">
        <f t="shared" si="656"/>
        <v>8.0016364387889505E-2</v>
      </c>
      <c r="CE77" s="924">
        <f t="shared" si="656"/>
        <v>0.10381289062499954</v>
      </c>
      <c r="CF77" s="623"/>
    </row>
    <row r="78" spans="1:86">
      <c r="B78" s="152" t="s">
        <v>311</v>
      </c>
      <c r="C78" s="43"/>
      <c r="D78" s="29"/>
      <c r="E78" s="29"/>
      <c r="F78" s="44"/>
      <c r="G78" s="29"/>
      <c r="H78" s="29"/>
      <c r="I78" s="29"/>
      <c r="J78" s="29"/>
      <c r="K78" s="43"/>
      <c r="L78" s="29"/>
      <c r="M78" s="29"/>
      <c r="N78" s="44"/>
      <c r="O78" s="29"/>
      <c r="P78" s="29"/>
      <c r="Q78" s="29"/>
      <c r="R78" s="29"/>
      <c r="S78" s="326">
        <f t="shared" ref="S78:AE78" si="657">S76/S$22</f>
        <v>0.15783159814668599</v>
      </c>
      <c r="T78" s="49">
        <f t="shared" si="657"/>
        <v>0.15517526285672928</v>
      </c>
      <c r="U78" s="49">
        <f t="shared" si="657"/>
        <v>0.14710089508271018</v>
      </c>
      <c r="V78" s="327">
        <f t="shared" si="657"/>
        <v>0.15769399825888061</v>
      </c>
      <c r="W78" s="49">
        <f t="shared" si="657"/>
        <v>0.1697227336559573</v>
      </c>
      <c r="X78" s="49">
        <f t="shared" si="657"/>
        <v>0.24832136736058857</v>
      </c>
      <c r="Y78" s="49">
        <f t="shared" si="657"/>
        <v>0.23373755331587492</v>
      </c>
      <c r="Z78" s="49">
        <f t="shared" si="657"/>
        <v>0.21600942234333095</v>
      </c>
      <c r="AA78" s="326">
        <f t="shared" si="657"/>
        <v>0.21325333626900542</v>
      </c>
      <c r="AB78" s="49">
        <f t="shared" si="657"/>
        <v>0.23349679944509236</v>
      </c>
      <c r="AC78" s="49">
        <f t="shared" si="657"/>
        <v>0.25064361875028579</v>
      </c>
      <c r="AD78" s="327">
        <f t="shared" si="657"/>
        <v>0.25007460728269987</v>
      </c>
      <c r="AE78" s="179">
        <f t="shared" si="657"/>
        <v>0.25483056039319074</v>
      </c>
      <c r="AF78" s="190">
        <v>0.21199999999999999</v>
      </c>
      <c r="AG78" s="190">
        <v>0.19</v>
      </c>
      <c r="AH78" s="190">
        <v>0.223</v>
      </c>
      <c r="AI78" s="383">
        <v>0.23699999999999999</v>
      </c>
      <c r="AJ78" s="190">
        <v>0.23499999999999999</v>
      </c>
      <c r="AK78" s="190">
        <v>0.24199999999999999</v>
      </c>
      <c r="AL78" s="384">
        <v>0.20499999999999999</v>
      </c>
      <c r="AM78" s="477">
        <f t="shared" ref="AM78:AU78" si="658">AM76/AM$22</f>
        <v>0.21284586059376193</v>
      </c>
      <c r="AN78" s="181">
        <f t="shared" si="658"/>
        <v>0.23690744663887559</v>
      </c>
      <c r="AO78" s="181">
        <f t="shared" si="658"/>
        <v>0.20779074060251246</v>
      </c>
      <c r="AP78" s="480">
        <f t="shared" si="658"/>
        <v>0.17720888544005167</v>
      </c>
      <c r="AQ78" s="181">
        <f t="shared" si="658"/>
        <v>0.1925531914893617</v>
      </c>
      <c r="AR78" s="181">
        <f t="shared" si="658"/>
        <v>0.1835245046923879</v>
      </c>
      <c r="AS78" s="181">
        <f t="shared" si="658"/>
        <v>0.17117117117117117</v>
      </c>
      <c r="AT78" s="480">
        <f t="shared" si="658"/>
        <v>0.17232597623089982</v>
      </c>
      <c r="AU78" s="181">
        <f t="shared" si="658"/>
        <v>0.17516218721037999</v>
      </c>
      <c r="AV78" s="181">
        <f t="shared" ref="AV78:AZ78" si="659">AV76/AV$22</f>
        <v>0.17892976588628762</v>
      </c>
      <c r="AW78" s="181">
        <f t="shared" si="659"/>
        <v>0.12197996464348851</v>
      </c>
      <c r="AX78" s="779">
        <f t="shared" si="659"/>
        <v>0.12162162162162163</v>
      </c>
      <c r="AY78" s="744">
        <f t="shared" si="659"/>
        <v>0.13124199743918052</v>
      </c>
      <c r="AZ78" s="744">
        <f t="shared" si="659"/>
        <v>0.1238798102266737</v>
      </c>
      <c r="BA78" s="744">
        <f t="shared" ref="BA78:BB78" si="660">BA76/BA$22</f>
        <v>0.10780333784393324</v>
      </c>
      <c r="BB78" s="779">
        <f t="shared" si="660"/>
        <v>0.10321007720438846</v>
      </c>
      <c r="BC78" s="744">
        <f t="shared" ref="BC78:BD78" si="661">BC76/BC$22</f>
        <v>0.10615544096871742</v>
      </c>
      <c r="BD78" s="744">
        <f t="shared" si="661"/>
        <v>9.6797156906690246E-2</v>
      </c>
      <c r="BE78" s="54">
        <f t="shared" ref="BE78:BJ78" si="662">BE76/BE$22</f>
        <v>9.0321340266014308E-2</v>
      </c>
      <c r="BF78" s="232">
        <f t="shared" si="662"/>
        <v>8.6216532409732219E-2</v>
      </c>
      <c r="BG78" s="744">
        <f t="shared" si="662"/>
        <v>9.8041079945174234E-2</v>
      </c>
      <c r="BH78" s="744">
        <f t="shared" si="662"/>
        <v>8.8042219245809503E-2</v>
      </c>
      <c r="BI78" s="54">
        <f t="shared" si="662"/>
        <v>8.3485894535501745E-2</v>
      </c>
      <c r="BJ78" s="232">
        <f t="shared" si="662"/>
        <v>8.3575242355635737E-2</v>
      </c>
      <c r="BK78" s="744">
        <f t="shared" ref="BK78:BN78" si="663">BK76/BK$22</f>
        <v>9.3773970893411801E-2</v>
      </c>
      <c r="BL78" s="744">
        <f t="shared" si="663"/>
        <v>8.4188681525533229E-2</v>
      </c>
      <c r="BM78" s="54">
        <f t="shared" si="663"/>
        <v>8.0434874062486686E-2</v>
      </c>
      <c r="BN78" s="232">
        <f t="shared" si="663"/>
        <v>8.0166907133702128E-2</v>
      </c>
      <c r="BT78" s="54">
        <f t="shared" ref="BT78:CA78" si="664">BT76/BT$22</f>
        <v>0.15430959951728476</v>
      </c>
      <c r="BU78" s="54">
        <f t="shared" si="664"/>
        <v>0.21417128155098372</v>
      </c>
      <c r="BV78" s="54">
        <f t="shared" si="664"/>
        <v>0.23670103273939519</v>
      </c>
      <c r="BW78" s="54">
        <f t="shared" si="664"/>
        <v>0.21833379462879862</v>
      </c>
      <c r="BX78" s="54">
        <f t="shared" si="664"/>
        <v>0.23216844110279156</v>
      </c>
      <c r="BY78" s="54">
        <f t="shared" si="664"/>
        <v>0.20709024914910654</v>
      </c>
      <c r="BZ78" s="54">
        <f t="shared" si="664"/>
        <v>0.17912586577501791</v>
      </c>
      <c r="CA78" s="54">
        <f t="shared" si="664"/>
        <v>0.14342150463758158</v>
      </c>
      <c r="CB78" s="54">
        <f t="shared" ref="CB78:CC78" si="665">CB76/CB$22</f>
        <v>0.11466142312891729</v>
      </c>
      <c r="CC78" s="54">
        <f t="shared" si="665"/>
        <v>9.4211868821867162E-2</v>
      </c>
      <c r="CD78" s="54">
        <f t="shared" ref="CD78:CE78" si="666">CD76/CD$22</f>
        <v>8.7769332961580529E-2</v>
      </c>
      <c r="CE78" s="54">
        <f t="shared" si="666"/>
        <v>8.4171664987506209E-2</v>
      </c>
    </row>
    <row r="79" spans="1:86">
      <c r="B79" s="114" t="s">
        <v>268</v>
      </c>
      <c r="C79" s="231"/>
      <c r="D79" s="54"/>
      <c r="E79" s="54"/>
      <c r="F79" s="232"/>
      <c r="G79" s="54"/>
      <c r="H79" s="54"/>
      <c r="I79" s="54"/>
      <c r="J79" s="54"/>
      <c r="K79" s="231"/>
      <c r="L79" s="54"/>
      <c r="M79" s="54"/>
      <c r="N79" s="232"/>
      <c r="O79" s="54"/>
      <c r="P79" s="54"/>
      <c r="Q79" s="54"/>
      <c r="R79" s="54"/>
      <c r="S79" s="231"/>
      <c r="T79" s="54"/>
      <c r="U79" s="54"/>
      <c r="V79" s="232"/>
      <c r="W79" s="54"/>
      <c r="X79" s="54"/>
      <c r="Y79" s="54"/>
      <c r="Z79" s="54"/>
      <c r="AA79" s="231"/>
      <c r="AB79" s="54"/>
      <c r="AC79" s="54"/>
      <c r="AD79" s="232"/>
      <c r="AE79" s="181"/>
      <c r="AF79" s="181"/>
      <c r="AG79" s="181"/>
      <c r="AH79" s="181"/>
      <c r="AI79" s="365">
        <f>AI81*AI22</f>
        <v>3.9281950000000001</v>
      </c>
      <c r="AJ79" s="88">
        <f>AJ81*AJ22</f>
        <v>4.2930650000000004</v>
      </c>
      <c r="AK79" s="88">
        <f>AK81*AK22</f>
        <v>4.3841650000000003</v>
      </c>
      <c r="AL79" s="366">
        <f>AL81*AL22</f>
        <v>4.7352949999999998</v>
      </c>
      <c r="AM79" s="462">
        <v>7</v>
      </c>
      <c r="AN79" s="459">
        <v>9</v>
      </c>
      <c r="AO79" s="459">
        <v>10</v>
      </c>
      <c r="AP79" s="562">
        <v>10</v>
      </c>
      <c r="AQ79" s="459">
        <v>9</v>
      </c>
      <c r="AR79" s="459">
        <v>8</v>
      </c>
      <c r="AS79" s="459">
        <v>10</v>
      </c>
      <c r="AT79" s="562">
        <v>12</v>
      </c>
      <c r="AU79" s="844">
        <v>12</v>
      </c>
      <c r="AV79" s="844">
        <v>16</v>
      </c>
      <c r="AW79" s="845">
        <v>20</v>
      </c>
      <c r="AX79" s="846">
        <v>20</v>
      </c>
      <c r="AY79" s="844">
        <v>25</v>
      </c>
      <c r="AZ79" s="844">
        <v>25</v>
      </c>
      <c r="BA79" s="844">
        <v>27</v>
      </c>
      <c r="BB79" s="846">
        <v>30</v>
      </c>
      <c r="BC79" s="941">
        <f>BB79*1.12</f>
        <v>33.6</v>
      </c>
      <c r="BD79" s="941">
        <f t="shared" ref="BD79:BF79" si="667">BC79*1.12</f>
        <v>37.632000000000005</v>
      </c>
      <c r="BE79" s="941">
        <f t="shared" si="667"/>
        <v>42.147840000000009</v>
      </c>
      <c r="BF79" s="941">
        <f t="shared" si="667"/>
        <v>47.205580800000014</v>
      </c>
      <c r="BG79" s="941">
        <f>BF79*1.04</f>
        <v>49.093804032000016</v>
      </c>
      <c r="BH79" s="941">
        <f t="shared" ref="BH79:BJ79" si="668">BG79*1.04</f>
        <v>51.057556193280021</v>
      </c>
      <c r="BI79" s="941">
        <f t="shared" si="668"/>
        <v>53.099858441011222</v>
      </c>
      <c r="BJ79" s="941">
        <f t="shared" si="668"/>
        <v>55.223852778651676</v>
      </c>
      <c r="BK79" s="941">
        <f>BJ79*1.05</f>
        <v>57.98504541758426</v>
      </c>
      <c r="BL79" s="941">
        <f t="shared" ref="BL79:BN79" si="669">BK79*1.05</f>
        <v>60.884297688463477</v>
      </c>
      <c r="BM79" s="941">
        <f t="shared" si="669"/>
        <v>63.928512572886653</v>
      </c>
      <c r="BN79" s="941">
        <f t="shared" si="669"/>
        <v>67.124938201530995</v>
      </c>
      <c r="BP79" s="59">
        <f>SUM(C79:F79)</f>
        <v>0</v>
      </c>
      <c r="BQ79" s="59">
        <f>SUM(G79:J79)</f>
        <v>0</v>
      </c>
      <c r="BR79" s="59">
        <f>SUM(K79:N79)</f>
        <v>0</v>
      </c>
      <c r="BS79" s="59">
        <f>SUM(O79:R79)</f>
        <v>0</v>
      </c>
      <c r="BT79" s="59">
        <f>SUM(S79:V79)</f>
        <v>0</v>
      </c>
      <c r="BU79" s="59">
        <f>SUM(W79:Z79)</f>
        <v>0</v>
      </c>
      <c r="BV79" s="59">
        <f>SUM(AA79:AD79)</f>
        <v>0</v>
      </c>
      <c r="BW79" s="59">
        <f>SUM(AE79:AH79)</f>
        <v>0</v>
      </c>
      <c r="BX79" s="59">
        <f>SUM(AI79:AL79)</f>
        <v>17.340720000000001</v>
      </c>
      <c r="BY79" s="59">
        <f>SUM(AM79:AP79)</f>
        <v>36</v>
      </c>
      <c r="BZ79" s="59">
        <f>SUM(AQ79:AT79)</f>
        <v>39</v>
      </c>
      <c r="CA79" s="14">
        <f>SUM(AU79:AX79)</f>
        <v>68</v>
      </c>
      <c r="CB79" s="14">
        <f>SUM(AY79:BB79)</f>
        <v>107</v>
      </c>
      <c r="CC79" s="926">
        <f>SUM(BC79:BF79)</f>
        <v>160.58542080000001</v>
      </c>
      <c r="CD79" s="926">
        <f>SUM(BG79:BJ79)</f>
        <v>208.47507144494296</v>
      </c>
      <c r="CE79" s="926">
        <f>SUM(BK79:BN79)</f>
        <v>249.92279388046538</v>
      </c>
      <c r="CF79" s="84"/>
      <c r="CG79" s="84"/>
      <c r="CH79" s="84"/>
    </row>
    <row r="80" spans="1:86">
      <c r="A80" s="821"/>
      <c r="B80" s="152" t="s">
        <v>114</v>
      </c>
      <c r="C80" s="231"/>
      <c r="D80" s="54"/>
      <c r="E80" s="54"/>
      <c r="F80" s="232"/>
      <c r="G80" s="54"/>
      <c r="H80" s="54"/>
      <c r="I80" s="54"/>
      <c r="J80" s="54"/>
      <c r="K80" s="231"/>
      <c r="L80" s="54"/>
      <c r="M80" s="54"/>
      <c r="N80" s="232"/>
      <c r="O80" s="54"/>
      <c r="P80" s="54"/>
      <c r="Q80" s="54"/>
      <c r="R80" s="54"/>
      <c r="S80" s="231"/>
      <c r="T80" s="54"/>
      <c r="U80" s="54"/>
      <c r="V80" s="232"/>
      <c r="W80" s="54"/>
      <c r="X80" s="54"/>
      <c r="Y80" s="54"/>
      <c r="Z80" s="54"/>
      <c r="AA80" s="231"/>
      <c r="AB80" s="54"/>
      <c r="AC80" s="54"/>
      <c r="AD80" s="232"/>
      <c r="AE80" s="181"/>
      <c r="AF80" s="181"/>
      <c r="AG80" s="181"/>
      <c r="AH80" s="181"/>
      <c r="AI80" s="365"/>
      <c r="AJ80" s="88"/>
      <c r="AK80" s="88"/>
      <c r="AL80" s="366"/>
      <c r="AM80" s="921">
        <f>AM79/AI79-1</f>
        <v>0.78198892875735537</v>
      </c>
      <c r="AN80" s="922">
        <f t="shared" ref="AN80" si="670">AN79/AJ79-1</f>
        <v>1.0964043171952902</v>
      </c>
      <c r="AO80" s="922">
        <f t="shared" ref="AO80" si="671">AO79/AK79-1</f>
        <v>1.2809360505364191</v>
      </c>
      <c r="AP80" s="923">
        <f t="shared" ref="AP80" si="672">AP79/AL79-1</f>
        <v>1.1118008487327611</v>
      </c>
      <c r="AQ80" s="921">
        <f>AQ79/AM79-1</f>
        <v>0.28571428571428581</v>
      </c>
      <c r="AR80" s="922">
        <f t="shared" ref="AR80" si="673">AR79/AN79-1</f>
        <v>-0.11111111111111116</v>
      </c>
      <c r="AS80" s="922">
        <f t="shared" ref="AS80" si="674">AS79/AO79-1</f>
        <v>0</v>
      </c>
      <c r="AT80" s="923">
        <f t="shared" ref="AT80" si="675">AT79/AP79-1</f>
        <v>0.19999999999999996</v>
      </c>
      <c r="AU80" s="921">
        <f>AU79/AQ79-1</f>
        <v>0.33333333333333326</v>
      </c>
      <c r="AV80" s="922">
        <f t="shared" ref="AV80" si="676">AV79/AR79-1</f>
        <v>1</v>
      </c>
      <c r="AW80" s="922">
        <f t="shared" ref="AW80" si="677">AW79/AS79-1</f>
        <v>1</v>
      </c>
      <c r="AX80" s="923">
        <f t="shared" ref="AX80" si="678">AX79/AT79-1</f>
        <v>0.66666666666666674</v>
      </c>
      <c r="AY80" s="921">
        <f>AY79/AU79-1</f>
        <v>1.0833333333333335</v>
      </c>
      <c r="AZ80" s="922">
        <f t="shared" ref="AZ80:BB80" si="679">AZ79/AV79-1</f>
        <v>0.5625</v>
      </c>
      <c r="BA80" s="922">
        <f t="shared" si="679"/>
        <v>0.35000000000000009</v>
      </c>
      <c r="BB80" s="923">
        <f t="shared" si="679"/>
        <v>0.5</v>
      </c>
      <c r="BC80" s="921">
        <f t="shared" ref="BC80" si="680">BC79/AY79-1</f>
        <v>0.34400000000000008</v>
      </c>
      <c r="BD80" s="922">
        <f t="shared" ref="BD80" si="681">BD79/AZ79-1</f>
        <v>0.50528000000000017</v>
      </c>
      <c r="BE80" s="922">
        <f t="shared" ref="BE80" si="682">BE79/BA79-1</f>
        <v>0.56103111111111148</v>
      </c>
      <c r="BF80" s="923">
        <f t="shared" ref="BF80" si="683">BF79/BB79-1</f>
        <v>0.57351936000000037</v>
      </c>
      <c r="BG80" s="921">
        <f t="shared" ref="BG80" si="684">BG79/BC79-1</f>
        <v>0.46112512000000039</v>
      </c>
      <c r="BH80" s="922">
        <f t="shared" ref="BH80" si="685">BH79/BD79-1</f>
        <v>0.35675904000000047</v>
      </c>
      <c r="BI80" s="922">
        <f t="shared" ref="BI80" si="686">BI79/BE79-1</f>
        <v>0.25984768000000025</v>
      </c>
      <c r="BJ80" s="923">
        <f t="shared" ref="BJ80" si="687">BJ79/BF79-1</f>
        <v>0.16985856000000021</v>
      </c>
      <c r="BK80" s="921">
        <f t="shared" ref="BK80" si="688">BK79/BG79-1</f>
        <v>0.18110720000000025</v>
      </c>
      <c r="BL80" s="922">
        <f t="shared" ref="BL80" si="689">BL79/BH79-1</f>
        <v>0.19246400000000019</v>
      </c>
      <c r="BM80" s="922">
        <f t="shared" ref="BM80" si="690">BM79/BI79-1</f>
        <v>0.20393000000000017</v>
      </c>
      <c r="BN80" s="923">
        <f t="shared" ref="BN80" si="691">BN79/BJ79-1</f>
        <v>0.21550625000000023</v>
      </c>
      <c r="BO80" s="821"/>
      <c r="BP80" s="59"/>
      <c r="BQ80" s="59"/>
      <c r="BR80" s="59"/>
      <c r="BS80" s="59"/>
      <c r="BT80" s="59"/>
      <c r="BU80" s="59"/>
      <c r="BV80" s="59"/>
      <c r="BW80" s="59"/>
      <c r="BX80" s="59"/>
      <c r="BY80" s="924">
        <f t="shared" ref="BY80" si="692">BY79/BX79-1</f>
        <v>1.0760383651889884</v>
      </c>
      <c r="BZ80" s="924">
        <f t="shared" ref="BZ80" si="693">BZ79/BY79-1</f>
        <v>8.3333333333333259E-2</v>
      </c>
      <c r="CA80" s="924">
        <f t="shared" ref="CA80" si="694">CA79/BZ79-1</f>
        <v>0.74358974358974361</v>
      </c>
      <c r="CB80" s="924">
        <f t="shared" ref="CB80:CE80" si="695">CB79/CA79-1</f>
        <v>0.57352941176470584</v>
      </c>
      <c r="CC80" s="924">
        <f t="shared" si="695"/>
        <v>0.50079832523364498</v>
      </c>
      <c r="CD80" s="924">
        <f t="shared" si="695"/>
        <v>0.29821916838009077</v>
      </c>
      <c r="CE80" s="924">
        <f t="shared" si="695"/>
        <v>0.19881380612198774</v>
      </c>
      <c r="CF80" s="821"/>
      <c r="CG80" s="821"/>
      <c r="CH80" s="821"/>
    </row>
    <row r="81" spans="1:226">
      <c r="B81" s="152" t="s">
        <v>311</v>
      </c>
      <c r="C81" s="231"/>
      <c r="D81" s="54"/>
      <c r="E81" s="54"/>
      <c r="F81" s="232"/>
      <c r="G81" s="54"/>
      <c r="H81" s="54"/>
      <c r="I81" s="54"/>
      <c r="J81" s="54"/>
      <c r="K81" s="231"/>
      <c r="L81" s="54"/>
      <c r="M81" s="54"/>
      <c r="N81" s="232"/>
      <c r="O81" s="54"/>
      <c r="P81" s="54"/>
      <c r="Q81" s="54"/>
      <c r="R81" s="54"/>
      <c r="S81" s="231"/>
      <c r="T81" s="54"/>
      <c r="U81" s="54"/>
      <c r="V81" s="232"/>
      <c r="W81" s="54"/>
      <c r="X81" s="54"/>
      <c r="Y81" s="54"/>
      <c r="Z81" s="54"/>
      <c r="AA81" s="231"/>
      <c r="AB81" s="54"/>
      <c r="AC81" s="54"/>
      <c r="AD81" s="232"/>
      <c r="AE81" s="181"/>
      <c r="AF81" s="181"/>
      <c r="AG81" s="181"/>
      <c r="AH81" s="181"/>
      <c r="AI81" s="383">
        <v>5.0000000000000001E-3</v>
      </c>
      <c r="AJ81" s="190">
        <f>AI81</f>
        <v>5.0000000000000001E-3</v>
      </c>
      <c r="AK81" s="190">
        <f>AJ81</f>
        <v>5.0000000000000001E-3</v>
      </c>
      <c r="AL81" s="384">
        <f>AK81</f>
        <v>5.0000000000000001E-3</v>
      </c>
      <c r="AM81" s="477">
        <f t="shared" ref="AM81" si="696">AM79/AM$22</f>
        <v>7.8006336343263531E-3</v>
      </c>
      <c r="AN81" s="181">
        <f>AN79/AN$22</f>
        <v>1.0250802979566733E-2</v>
      </c>
      <c r="AO81" s="181">
        <f t="shared" ref="AO81:AT81" si="697">AO79/AO$22</f>
        <v>1.008692915546177E-2</v>
      </c>
      <c r="AP81" s="480">
        <f t="shared" si="697"/>
        <v>9.326783444213246E-3</v>
      </c>
      <c r="AQ81" s="181">
        <f t="shared" si="697"/>
        <v>9.5744680851063829E-3</v>
      </c>
      <c r="AR81" s="181">
        <f t="shared" si="697"/>
        <v>8.3420229405630868E-3</v>
      </c>
      <c r="AS81" s="181">
        <f t="shared" si="697"/>
        <v>9.0090090090090089E-3</v>
      </c>
      <c r="AT81" s="480">
        <f t="shared" si="697"/>
        <v>1.0186757215619695E-2</v>
      </c>
      <c r="AU81" s="181">
        <f>AU79/AU$22</f>
        <v>1.1121408711770158E-2</v>
      </c>
      <c r="AV81" s="181">
        <f t="shared" ref="AV81:AX81" si="698">AV79/AV$22</f>
        <v>1.3377926421404682E-2</v>
      </c>
      <c r="AW81" s="181">
        <f t="shared" si="698"/>
        <v>1.1785503830288745E-2</v>
      </c>
      <c r="AX81" s="779">
        <f t="shared" si="698"/>
        <v>1.0810810810810811E-2</v>
      </c>
      <c r="AY81" s="744">
        <f>AY79/AY$22</f>
        <v>1.6005121638924456E-2</v>
      </c>
      <c r="AZ81" s="744">
        <f t="shared" ref="AZ81:BB81" si="699">AZ79/AZ$22</f>
        <v>1.3178703215603585E-2</v>
      </c>
      <c r="BA81" s="744">
        <f t="shared" si="699"/>
        <v>1.2178619756427604E-2</v>
      </c>
      <c r="BB81" s="779">
        <f t="shared" si="699"/>
        <v>1.2190166598943519E-2</v>
      </c>
      <c r="BC81" s="744">
        <f t="shared" ref="BC81:BD81" si="700">BC79/BC$22</f>
        <v>1.3633601469875795E-2</v>
      </c>
      <c r="BD81" s="744">
        <f t="shared" si="700"/>
        <v>1.3785660741081533E-2</v>
      </c>
      <c r="BE81" s="54">
        <f t="shared" ref="BE81:BJ81" si="701">BE79/BE$22</f>
        <v>1.4264350682905469E-2</v>
      </c>
      <c r="BF81" s="232">
        <f t="shared" si="701"/>
        <v>1.5099022575807582E-2</v>
      </c>
      <c r="BG81" s="744">
        <f t="shared" si="701"/>
        <v>1.7421110807099679E-2</v>
      </c>
      <c r="BH81" s="744">
        <f t="shared" si="701"/>
        <v>1.5873336085625158E-2</v>
      </c>
      <c r="BI81" s="54">
        <f t="shared" si="701"/>
        <v>1.5272136932485039E-2</v>
      </c>
      <c r="BJ81" s="232">
        <f t="shared" si="701"/>
        <v>1.5512215269923201E-2</v>
      </c>
      <c r="BK81" s="744">
        <f t="shared" ref="BK81:BN81" si="702">BK79/BK$22</f>
        <v>1.7829695193825094E-2</v>
      </c>
      <c r="BL81" s="744">
        <f t="shared" si="702"/>
        <v>1.6397617583941624E-2</v>
      </c>
      <c r="BM81" s="54">
        <f t="shared" si="702"/>
        <v>1.6048589389277342E-2</v>
      </c>
      <c r="BN81" s="232">
        <f t="shared" si="702"/>
        <v>1.6385248856445562E-2</v>
      </c>
      <c r="BT81" s="54">
        <f t="shared" ref="BT81:CA81" si="703">BT79/BT$22</f>
        <v>0</v>
      </c>
      <c r="BU81" s="54">
        <f t="shared" si="703"/>
        <v>0</v>
      </c>
      <c r="BV81" s="54">
        <f t="shared" si="703"/>
        <v>0</v>
      </c>
      <c r="BW81" s="54">
        <f t="shared" si="703"/>
        <v>0</v>
      </c>
      <c r="BX81" s="54">
        <f t="shared" si="703"/>
        <v>5.0000000000000001E-3</v>
      </c>
      <c r="BY81" s="54">
        <f t="shared" si="703"/>
        <v>9.3776716595821829E-3</v>
      </c>
      <c r="BZ81" s="54">
        <f t="shared" si="703"/>
        <v>9.3145450203009315E-3</v>
      </c>
      <c r="CA81" s="54">
        <f t="shared" si="703"/>
        <v>1.1679835108210237E-2</v>
      </c>
      <c r="CB81" s="54">
        <f t="shared" ref="CB81:CC81" si="704">CB79/CB$22</f>
        <v>1.3149809512105199E-2</v>
      </c>
      <c r="CC81" s="54">
        <f t="shared" si="704"/>
        <v>1.4242028988444426E-2</v>
      </c>
      <c r="CD81" s="54">
        <f t="shared" ref="CD81:CE81" si="705">CD79/CD$22</f>
        <v>1.594875276631174E-2</v>
      </c>
      <c r="CE81" s="54">
        <f t="shared" si="705"/>
        <v>1.6611395568932767E-2</v>
      </c>
      <c r="CF81" s="84"/>
      <c r="CG81" s="84"/>
      <c r="CH81" s="84"/>
    </row>
    <row r="82" spans="1:226" s="46" customFormat="1">
      <c r="A82" s="84"/>
      <c r="B82" s="114" t="s">
        <v>312</v>
      </c>
      <c r="C82" s="292"/>
      <c r="D82" s="57"/>
      <c r="E82" s="57"/>
      <c r="F82" s="293"/>
      <c r="G82" s="57"/>
      <c r="H82" s="57"/>
      <c r="I82" s="57"/>
      <c r="J82" s="57"/>
      <c r="K82" s="292"/>
      <c r="L82" s="57"/>
      <c r="M82" s="57"/>
      <c r="N82" s="293"/>
      <c r="O82" s="57"/>
      <c r="P82" s="57"/>
      <c r="Q82" s="57"/>
      <c r="R82" s="57"/>
      <c r="S82" s="292"/>
      <c r="T82" s="57"/>
      <c r="U82" s="57"/>
      <c r="V82" s="293"/>
      <c r="W82" s="53">
        <f t="shared" ref="W82:AH82" si="706">W22-W36-W49-W73-W76-W79</f>
        <v>199.99999999999997</v>
      </c>
      <c r="X82" s="53">
        <f t="shared" si="706"/>
        <v>110.00000000000006</v>
      </c>
      <c r="Y82" s="53">
        <f t="shared" si="706"/>
        <v>110</v>
      </c>
      <c r="Z82" s="53">
        <f t="shared" si="706"/>
        <v>79.999999999999972</v>
      </c>
      <c r="AA82" s="294">
        <f t="shared" si="706"/>
        <v>55</v>
      </c>
      <c r="AB82" s="53">
        <f t="shared" si="706"/>
        <v>29.499999999999943</v>
      </c>
      <c r="AC82" s="53">
        <f t="shared" si="706"/>
        <v>27.899999999999977</v>
      </c>
      <c r="AD82" s="282">
        <f t="shared" si="706"/>
        <v>14.995000000000005</v>
      </c>
      <c r="AE82" s="150">
        <f t="shared" si="706"/>
        <v>10.064999999999998</v>
      </c>
      <c r="AF82" s="150">
        <f t="shared" si="706"/>
        <v>7.3157120000000191</v>
      </c>
      <c r="AG82" s="150">
        <f t="shared" si="706"/>
        <v>2.0092899999998792</v>
      </c>
      <c r="AH82" s="150">
        <f t="shared" si="706"/>
        <v>1.0133780000000172</v>
      </c>
      <c r="AI82" s="699"/>
      <c r="AJ82" s="700"/>
      <c r="AK82" s="700"/>
      <c r="AL82" s="701"/>
      <c r="AM82" s="699"/>
      <c r="AN82" s="702"/>
      <c r="AO82" s="702"/>
      <c r="AP82" s="703"/>
      <c r="AQ82" s="704"/>
      <c r="AR82" s="704"/>
      <c r="AS82" s="704"/>
      <c r="AT82" s="705"/>
      <c r="AU82" s="704"/>
      <c r="AV82" s="704"/>
      <c r="AW82" s="745"/>
      <c r="AX82" s="787"/>
      <c r="AY82" s="745"/>
      <c r="AZ82" s="745"/>
      <c r="BA82" s="704"/>
      <c r="BB82" s="787"/>
      <c r="BC82" s="745"/>
      <c r="BD82" s="745"/>
      <c r="BE82" s="704"/>
      <c r="BF82" s="706"/>
      <c r="BG82" s="745"/>
      <c r="BH82" s="745"/>
      <c r="BI82" s="704"/>
      <c r="BJ82" s="706"/>
      <c r="BK82" s="745"/>
      <c r="BL82" s="745"/>
      <c r="BM82" s="704"/>
      <c r="BN82" s="706"/>
      <c r="BO82" s="88"/>
      <c r="BP82" s="59">
        <f>SUM(C82:F82)</f>
        <v>0</v>
      </c>
      <c r="BQ82" s="59">
        <f>SUM(G82:J82)</f>
        <v>0</v>
      </c>
      <c r="BR82" s="59">
        <f>SUM(K82:N82)</f>
        <v>0</v>
      </c>
      <c r="BS82" s="59">
        <f>SUM(O82:R82)</f>
        <v>0</v>
      </c>
      <c r="BT82" s="59">
        <f>SUM(S82:V82)</f>
        <v>0</v>
      </c>
      <c r="BU82" s="59">
        <f>SUM(W82:Z82)</f>
        <v>500</v>
      </c>
      <c r="BV82" s="59">
        <f>SUM(AA82:AD82)</f>
        <v>127.39499999999992</v>
      </c>
      <c r="BW82" s="59">
        <f>SUM(AE82:AH82)</f>
        <v>20.403379999999913</v>
      </c>
      <c r="BX82" s="59"/>
      <c r="BY82" s="59"/>
      <c r="BZ82" s="59"/>
      <c r="CA82" s="165"/>
      <c r="CB82" s="165"/>
      <c r="CC82" s="165"/>
      <c r="CD82" s="165"/>
      <c r="CE82" s="165"/>
      <c r="CF82" s="88"/>
      <c r="CG82" s="88"/>
      <c r="CH82" s="88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  <c r="DS82" s="29"/>
      <c r="DT82" s="29"/>
      <c r="DU82" s="29"/>
      <c r="DV82" s="29"/>
      <c r="DW82" s="29"/>
      <c r="DX82" s="29"/>
      <c r="DY82" s="29"/>
      <c r="DZ82" s="29"/>
      <c r="EA82" s="29"/>
      <c r="EB82" s="29"/>
      <c r="EC82" s="29"/>
      <c r="ED82" s="29"/>
      <c r="EE82" s="29"/>
      <c r="EF82" s="29"/>
      <c r="EG82" s="29"/>
      <c r="EH82" s="29"/>
      <c r="EI82" s="29"/>
      <c r="EJ82" s="29"/>
      <c r="EK82" s="29"/>
      <c r="EL82" s="29"/>
      <c r="EM82" s="29"/>
      <c r="EN82" s="29"/>
      <c r="EO82" s="29"/>
      <c r="EP82" s="29"/>
      <c r="EQ82" s="29"/>
      <c r="ER82" s="29"/>
      <c r="ES82" s="29"/>
      <c r="ET82" s="29"/>
      <c r="EU82" s="29"/>
      <c r="EV82" s="29"/>
      <c r="EW82" s="29"/>
      <c r="EX82" s="29"/>
      <c r="EY82" s="29"/>
      <c r="EZ82" s="29"/>
      <c r="FA82" s="29"/>
      <c r="FB82" s="29"/>
      <c r="FC82" s="29"/>
      <c r="FD82" s="29"/>
      <c r="FE82" s="29"/>
      <c r="FF82" s="29"/>
      <c r="FG82" s="29"/>
      <c r="FH82" s="29"/>
      <c r="FI82" s="29"/>
      <c r="FJ82" s="29"/>
      <c r="FK82" s="29"/>
      <c r="FL82" s="29"/>
      <c r="FM82" s="29"/>
      <c r="FN82" s="29"/>
      <c r="FO82" s="29"/>
      <c r="FP82" s="29"/>
      <c r="FQ82" s="29"/>
      <c r="FR82" s="29"/>
      <c r="FS82" s="29"/>
      <c r="FT82" s="29"/>
      <c r="FU82" s="29"/>
      <c r="FV82" s="29"/>
      <c r="FW82" s="29"/>
      <c r="FX82" s="29"/>
      <c r="FY82" s="29"/>
      <c r="FZ82" s="29"/>
      <c r="GA82" s="29"/>
      <c r="GB82" s="29"/>
      <c r="GC82" s="29"/>
      <c r="GD82" s="29"/>
      <c r="GE82" s="29"/>
      <c r="GF82" s="29"/>
      <c r="GG82" s="29"/>
      <c r="GH82" s="29"/>
      <c r="GI82" s="29"/>
      <c r="GJ82" s="29"/>
      <c r="GK82" s="29"/>
      <c r="GL82" s="29"/>
      <c r="GM82" s="29"/>
      <c r="GN82" s="29"/>
      <c r="GO82" s="29"/>
      <c r="GP82" s="29"/>
      <c r="GQ82" s="29"/>
      <c r="GR82" s="29"/>
      <c r="GS82" s="29"/>
      <c r="GT82" s="29"/>
      <c r="GU82" s="29"/>
      <c r="GV82" s="29"/>
      <c r="GW82" s="29"/>
      <c r="GX82" s="29"/>
      <c r="GY82" s="29"/>
      <c r="GZ82" s="29"/>
      <c r="HA82" s="29"/>
      <c r="HB82" s="29"/>
      <c r="HC82" s="29"/>
      <c r="HD82" s="29"/>
      <c r="HE82" s="29"/>
      <c r="HF82" s="29"/>
      <c r="HG82" s="29"/>
      <c r="HH82" s="29"/>
      <c r="HI82" s="29"/>
      <c r="HJ82" s="29"/>
      <c r="HK82" s="29"/>
      <c r="HL82" s="29"/>
      <c r="HM82" s="29"/>
      <c r="HN82" s="29"/>
      <c r="HO82" s="29"/>
      <c r="HP82" s="29"/>
      <c r="HQ82" s="29"/>
      <c r="HR82" s="29"/>
    </row>
    <row r="83" spans="1:226" s="46" customFormat="1">
      <c r="A83" s="84"/>
      <c r="B83" s="152" t="s">
        <v>311</v>
      </c>
      <c r="C83" s="292"/>
      <c r="D83" s="57"/>
      <c r="E83" s="57"/>
      <c r="F83" s="293"/>
      <c r="G83" s="57"/>
      <c r="H83" s="57"/>
      <c r="I83" s="57"/>
      <c r="J83" s="57"/>
      <c r="K83" s="292"/>
      <c r="L83" s="57"/>
      <c r="M83" s="57"/>
      <c r="N83" s="293"/>
      <c r="O83" s="57"/>
      <c r="P83" s="57"/>
      <c r="Q83" s="57"/>
      <c r="R83" s="57"/>
      <c r="S83" s="292"/>
      <c r="T83" s="57"/>
      <c r="U83" s="57"/>
      <c r="V83" s="293"/>
      <c r="W83" s="49">
        <f t="shared" ref="W83:AH83" si="707">W82/W$22</f>
        <v>0.20606171754502189</v>
      </c>
      <c r="X83" s="49">
        <f t="shared" si="707"/>
        <v>0.14369617924922673</v>
      </c>
      <c r="Y83" s="49">
        <f t="shared" si="707"/>
        <v>0.13889274702075058</v>
      </c>
      <c r="Z83" s="49">
        <f t="shared" si="707"/>
        <v>9.7843648296113986E-2</v>
      </c>
      <c r="AA83" s="326">
        <f t="shared" si="707"/>
        <v>6.7275818624392983E-2</v>
      </c>
      <c r="AB83" s="49">
        <f t="shared" si="707"/>
        <v>3.7683643893397373E-2</v>
      </c>
      <c r="AC83" s="49">
        <f t="shared" si="707"/>
        <v>3.4482886477146715E-2</v>
      </c>
      <c r="AD83" s="327">
        <f t="shared" si="707"/>
        <v>1.9288555242833849E-2</v>
      </c>
      <c r="AE83" s="179">
        <f t="shared" si="707"/>
        <v>1.3856669856064097E-2</v>
      </c>
      <c r="AF83" s="179">
        <f t="shared" si="707"/>
        <v>9.1603958809151984E-3</v>
      </c>
      <c r="AG83" s="179">
        <f t="shared" si="707"/>
        <v>2.2470026582151145E-3</v>
      </c>
      <c r="AH83" s="179">
        <f t="shared" si="707"/>
        <v>1.2172504005938845E-3</v>
      </c>
      <c r="AI83" s="707"/>
      <c r="AJ83" s="704"/>
      <c r="AK83" s="704"/>
      <c r="AL83" s="706"/>
      <c r="AM83" s="699"/>
      <c r="AN83" s="702"/>
      <c r="AO83" s="704"/>
      <c r="AP83" s="706"/>
      <c r="AQ83" s="704"/>
      <c r="AR83" s="708"/>
      <c r="AS83" s="708"/>
      <c r="AT83" s="706"/>
      <c r="AU83" s="704"/>
      <c r="AV83" s="708"/>
      <c r="AW83" s="745"/>
      <c r="AX83" s="787"/>
      <c r="AY83" s="745"/>
      <c r="AZ83" s="909"/>
      <c r="BA83" s="704"/>
      <c r="BB83" s="787"/>
      <c r="BC83" s="745"/>
      <c r="BD83" s="909"/>
      <c r="BE83" s="704"/>
      <c r="BF83" s="706"/>
      <c r="BG83" s="745"/>
      <c r="BH83" s="909"/>
      <c r="BI83" s="704"/>
      <c r="BJ83" s="706"/>
      <c r="BK83" s="745"/>
      <c r="BL83" s="909"/>
      <c r="BM83" s="704"/>
      <c r="BN83" s="706"/>
      <c r="BO83" s="88"/>
      <c r="BP83" s="56"/>
      <c r="BQ83" s="56"/>
      <c r="BR83" s="56"/>
      <c r="BS83" s="56"/>
      <c r="BT83" s="54">
        <f t="shared" ref="BT83:BW83" si="708">BT82/BT$22</f>
        <v>0</v>
      </c>
      <c r="BU83" s="54">
        <f t="shared" si="708"/>
        <v>0.14944573565560051</v>
      </c>
      <c r="BV83" s="54">
        <f t="shared" si="708"/>
        <v>3.997503501875195E-2</v>
      </c>
      <c r="BW83" s="54">
        <f t="shared" si="708"/>
        <v>6.2746577802707971E-3</v>
      </c>
      <c r="BX83" s="54"/>
      <c r="BY83" s="54"/>
      <c r="BZ83" s="54"/>
      <c r="CA83" s="165"/>
      <c r="CB83" s="165"/>
      <c r="CC83" s="165"/>
      <c r="CD83" s="165"/>
      <c r="CE83" s="165"/>
      <c r="CF83" s="88"/>
      <c r="CG83" s="88"/>
      <c r="CH83" s="88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29"/>
      <c r="FL83" s="2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29"/>
      <c r="GF83" s="2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29"/>
      <c r="GZ83" s="29"/>
      <c r="HA83" s="29"/>
      <c r="HB83" s="29"/>
      <c r="HC83" s="29"/>
      <c r="HD83" s="29"/>
      <c r="HE83" s="29"/>
      <c r="HF83" s="29"/>
      <c r="HG83" s="29"/>
      <c r="HH83" s="29"/>
      <c r="HI83" s="29"/>
      <c r="HJ83" s="29"/>
      <c r="HK83" s="29"/>
      <c r="HL83" s="29"/>
      <c r="HM83" s="29"/>
      <c r="HN83" s="29"/>
      <c r="HO83" s="29"/>
      <c r="HP83" s="29"/>
      <c r="HQ83" s="29"/>
      <c r="HR83" s="29"/>
    </row>
    <row r="84" spans="1:226" s="46" customFormat="1">
      <c r="A84" s="84"/>
      <c r="B84" s="152"/>
      <c r="C84" s="292"/>
      <c r="D84" s="57"/>
      <c r="E84" s="57"/>
      <c r="F84" s="293"/>
      <c r="G84" s="57"/>
      <c r="H84" s="57"/>
      <c r="I84" s="57"/>
      <c r="J84" s="57"/>
      <c r="K84" s="292"/>
      <c r="L84" s="57"/>
      <c r="M84" s="57"/>
      <c r="N84" s="293"/>
      <c r="O84" s="57"/>
      <c r="P84" s="57"/>
      <c r="Q84" s="57"/>
      <c r="R84" s="57"/>
      <c r="S84" s="292"/>
      <c r="T84" s="57"/>
      <c r="U84" s="57"/>
      <c r="V84" s="293"/>
      <c r="W84" s="49"/>
      <c r="X84" s="49"/>
      <c r="Y84" s="49"/>
      <c r="Z84" s="49"/>
      <c r="AA84" s="326"/>
      <c r="AB84" s="49"/>
      <c r="AC84" s="49"/>
      <c r="AD84" s="327"/>
      <c r="AE84" s="179"/>
      <c r="AF84" s="179"/>
      <c r="AG84" s="179"/>
      <c r="AH84" s="179"/>
      <c r="AI84" s="486"/>
      <c r="AJ84" s="179"/>
      <c r="AK84" s="179"/>
      <c r="AL84" s="487"/>
      <c r="AM84" s="374"/>
      <c r="AN84" s="459"/>
      <c r="AO84" s="179"/>
      <c r="AP84" s="487"/>
      <c r="AQ84" s="179"/>
      <c r="AR84" s="179"/>
      <c r="AS84" s="179"/>
      <c r="AT84" s="487"/>
      <c r="AU84" s="49"/>
      <c r="AV84" s="49"/>
      <c r="AW84" s="746"/>
      <c r="AX84" s="788"/>
      <c r="AY84" s="746"/>
      <c r="AZ84" s="746"/>
      <c r="BA84" s="49"/>
      <c r="BB84" s="788"/>
      <c r="BC84" s="746"/>
      <c r="BD84" s="746"/>
      <c r="BE84" s="49"/>
      <c r="BF84" s="327"/>
      <c r="BG84" s="746"/>
      <c r="BH84" s="746"/>
      <c r="BI84" s="49"/>
      <c r="BJ84" s="327"/>
      <c r="BK84" s="746"/>
      <c r="BL84" s="746"/>
      <c r="BM84" s="49"/>
      <c r="BN84" s="327"/>
      <c r="BO84" s="88"/>
      <c r="BP84" s="56"/>
      <c r="BQ84" s="56"/>
      <c r="BR84" s="56"/>
      <c r="BS84" s="56"/>
      <c r="BT84" s="54"/>
      <c r="BU84" s="54"/>
      <c r="BV84" s="54"/>
      <c r="BW84" s="54"/>
      <c r="BX84" s="54"/>
      <c r="BY84" s="54"/>
      <c r="BZ84" s="54"/>
      <c r="CA84" s="165"/>
      <c r="CB84" s="165"/>
      <c r="CC84" s="165"/>
      <c r="CD84" s="165"/>
      <c r="CE84" s="165"/>
      <c r="CF84" s="88"/>
      <c r="CG84" s="88"/>
      <c r="CH84" s="88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29"/>
      <c r="FL84" s="2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29"/>
      <c r="GF84" s="2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29"/>
      <c r="GZ84" s="29"/>
      <c r="HA84" s="29"/>
      <c r="HB84" s="29"/>
      <c r="HC84" s="29"/>
      <c r="HD84" s="29"/>
      <c r="HE84" s="29"/>
      <c r="HF84" s="29"/>
      <c r="HG84" s="29"/>
      <c r="HH84" s="29"/>
      <c r="HI84" s="29"/>
      <c r="HJ84" s="29"/>
      <c r="HK84" s="29"/>
      <c r="HL84" s="29"/>
      <c r="HM84" s="29"/>
      <c r="HN84" s="29"/>
      <c r="HO84" s="29"/>
      <c r="HP84" s="29"/>
      <c r="HQ84" s="29"/>
      <c r="HR84" s="29"/>
    </row>
    <row r="85" spans="1:226" s="46" customFormat="1">
      <c r="A85" s="84"/>
      <c r="B85" s="379" t="s">
        <v>411</v>
      </c>
      <c r="C85" s="292"/>
      <c r="D85" s="57"/>
      <c r="E85" s="57"/>
      <c r="F85" s="293"/>
      <c r="G85" s="57"/>
      <c r="H85" s="57"/>
      <c r="I85" s="57"/>
      <c r="J85" s="57"/>
      <c r="K85" s="292"/>
      <c r="L85" s="57"/>
      <c r="M85" s="57"/>
      <c r="N85" s="293"/>
      <c r="O85" s="57"/>
      <c r="P85" s="57"/>
      <c r="Q85" s="57"/>
      <c r="R85" s="57"/>
      <c r="S85" s="292"/>
      <c r="T85" s="57"/>
      <c r="U85" s="57"/>
      <c r="V85" s="293"/>
      <c r="W85" s="49"/>
      <c r="X85" s="49"/>
      <c r="Y85" s="49"/>
      <c r="Z85" s="49"/>
      <c r="AA85" s="326"/>
      <c r="AB85" s="49"/>
      <c r="AC85" s="49"/>
      <c r="AD85" s="327"/>
      <c r="AE85" s="179"/>
      <c r="AF85" s="179"/>
      <c r="AG85" s="179"/>
      <c r="AH85" s="179"/>
      <c r="AI85" s="603">
        <f>AI36+AI49+AI144</f>
        <v>562.81080500000019</v>
      </c>
      <c r="AJ85" s="601">
        <f t="shared" ref="AJ85:AV85" si="709">AJ36+AJ49+AJ144</f>
        <v>606.94493500000135</v>
      </c>
      <c r="AK85" s="601">
        <f t="shared" si="709"/>
        <v>609.38998789247739</v>
      </c>
      <c r="AL85" s="602">
        <f t="shared" si="709"/>
        <v>707.4928096398379</v>
      </c>
      <c r="AM85" s="603">
        <f t="shared" si="709"/>
        <v>651.36300000000006</v>
      </c>
      <c r="AN85" s="601">
        <f t="shared" si="709"/>
        <v>588.82413823727825</v>
      </c>
      <c r="AO85" s="601">
        <f t="shared" si="709"/>
        <v>696.38200000000006</v>
      </c>
      <c r="AP85" s="602">
        <f t="shared" si="709"/>
        <v>795.18099999999981</v>
      </c>
      <c r="AQ85" s="601">
        <f t="shared" si="709"/>
        <v>708.49702438936583</v>
      </c>
      <c r="AR85" s="601">
        <f t="shared" si="709"/>
        <v>739.50335702798782</v>
      </c>
      <c r="AS85" s="601">
        <f t="shared" si="709"/>
        <v>862.5953673506566</v>
      </c>
      <c r="AT85" s="602">
        <f t="shared" si="709"/>
        <v>921.00028091401805</v>
      </c>
      <c r="AU85" s="565">
        <f t="shared" si="709"/>
        <v>765.30429963113238</v>
      </c>
      <c r="AV85" s="601">
        <f t="shared" si="709"/>
        <v>850.83946040559078</v>
      </c>
      <c r="AW85" s="601">
        <f t="shared" ref="AW85:AZ85" si="710">AW36+AW49+AW144</f>
        <v>1337.9706157219348</v>
      </c>
      <c r="AX85" s="789">
        <f t="shared" si="710"/>
        <v>1428.9804011026476</v>
      </c>
      <c r="AY85" s="565">
        <f t="shared" si="710"/>
        <v>1105.2124732257203</v>
      </c>
      <c r="AZ85" s="903">
        <f t="shared" si="710"/>
        <v>1405.6565060182752</v>
      </c>
      <c r="BA85" s="565">
        <f t="shared" ref="BA85:BB85" si="711">BA36+BA49+BA144</f>
        <v>1717.0138754817881</v>
      </c>
      <c r="BB85" s="789">
        <f t="shared" si="711"/>
        <v>1884.3053124373002</v>
      </c>
      <c r="BC85" s="565">
        <f t="shared" ref="BC85:BD85" si="712">BC36+BC49+BC144</f>
        <v>1849.2792061885541</v>
      </c>
      <c r="BD85" s="903">
        <f t="shared" si="712"/>
        <v>2037.9247861175186</v>
      </c>
      <c r="BE85" s="565">
        <f t="shared" ref="BE85:BJ85" si="713">BE36+BE49+BE144</f>
        <v>2226.3411115686599</v>
      </c>
      <c r="BF85" s="641">
        <f t="shared" si="713"/>
        <v>2246.0868476579021</v>
      </c>
      <c r="BG85" s="565">
        <f t="shared" si="713"/>
        <v>1926.210497296782</v>
      </c>
      <c r="BH85" s="903">
        <f t="shared" si="713"/>
        <v>2251.7807649334318</v>
      </c>
      <c r="BI85" s="565">
        <f t="shared" si="713"/>
        <v>2480.1416906506688</v>
      </c>
      <c r="BJ85" s="641">
        <f t="shared" si="713"/>
        <v>2460.0556075571753</v>
      </c>
      <c r="BK85" s="565">
        <f t="shared" ref="BK85:BN85" si="714">BK36+BK49+BK144</f>
        <v>2110.6362069372703</v>
      </c>
      <c r="BL85" s="903">
        <f t="shared" si="714"/>
        <v>2474.6407924629975</v>
      </c>
      <c r="BM85" s="565">
        <f t="shared" si="714"/>
        <v>2687.1905566823016</v>
      </c>
      <c r="BN85" s="641">
        <f t="shared" si="714"/>
        <v>2669.1749622491247</v>
      </c>
      <c r="BO85" s="88"/>
      <c r="BP85" s="56"/>
      <c r="BQ85" s="56"/>
      <c r="BR85" s="56"/>
      <c r="BS85" s="56"/>
      <c r="BT85" s="54"/>
      <c r="BU85" s="54"/>
      <c r="BV85" s="54"/>
      <c r="BW85" s="54"/>
      <c r="BX85" s="565">
        <f>BX248+BX253</f>
        <v>2486.6385375323171</v>
      </c>
      <c r="BY85" s="565">
        <f>BY248+BY253</f>
        <v>2731.75</v>
      </c>
      <c r="BZ85" s="565">
        <f t="shared" ref="BZ85:CA85" si="715">BZ248+BZ253</f>
        <v>3231.5960296820281</v>
      </c>
      <c r="CA85" s="565">
        <f t="shared" si="715"/>
        <v>4383.0947768613059</v>
      </c>
      <c r="CB85" s="565">
        <f t="shared" ref="CB85:CC85" si="716">CB248+CB253</f>
        <v>6112.1881671630836</v>
      </c>
      <c r="CC85" s="565">
        <f t="shared" si="716"/>
        <v>8359.631951532634</v>
      </c>
      <c r="CD85" s="565">
        <f t="shared" ref="CD85:CE85" si="717">CD248+CD253</f>
        <v>9118.1885604380586</v>
      </c>
      <c r="CE85" s="565">
        <f t="shared" si="717"/>
        <v>9941.6425183316933</v>
      </c>
      <c r="CF85" s="88"/>
      <c r="CG85" s="88"/>
      <c r="CH85" s="88"/>
      <c r="CI85" s="29"/>
      <c r="CJ85" s="29"/>
      <c r="CK85" s="29"/>
      <c r="CL85" s="29"/>
      <c r="CM85" s="29"/>
      <c r="CN85" s="29"/>
      <c r="CO85" s="29"/>
      <c r="CP85" s="29"/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  <c r="DS85" s="29"/>
      <c r="DT85" s="29"/>
      <c r="DU85" s="29"/>
      <c r="DV85" s="29"/>
      <c r="DW85" s="29"/>
      <c r="DX85" s="29"/>
      <c r="DY85" s="29"/>
      <c r="DZ85" s="29"/>
      <c r="EA85" s="29"/>
      <c r="EB85" s="29"/>
      <c r="EC85" s="29"/>
      <c r="ED85" s="29"/>
      <c r="EE85" s="29"/>
      <c r="EF85" s="29"/>
      <c r="EG85" s="29"/>
      <c r="EH85" s="29"/>
      <c r="EI85" s="29"/>
      <c r="EJ85" s="29"/>
      <c r="EK85" s="29"/>
      <c r="EL85" s="29"/>
      <c r="EM85" s="29"/>
      <c r="EN85" s="29"/>
      <c r="EO85" s="29"/>
      <c r="EP85" s="29"/>
      <c r="EQ85" s="29"/>
      <c r="ER85" s="29"/>
      <c r="ES85" s="29"/>
      <c r="ET85" s="29"/>
      <c r="EU85" s="29"/>
      <c r="EV85" s="29"/>
      <c r="EW85" s="29"/>
      <c r="EX85" s="29"/>
      <c r="EY85" s="29"/>
      <c r="EZ85" s="29"/>
      <c r="FA85" s="29"/>
      <c r="FB85" s="29"/>
      <c r="FC85" s="29"/>
      <c r="FD85" s="29"/>
      <c r="FE85" s="29"/>
      <c r="FF85" s="29"/>
      <c r="FG85" s="29"/>
      <c r="FH85" s="29"/>
      <c r="FI85" s="29"/>
      <c r="FJ85" s="29"/>
      <c r="FK85" s="29"/>
      <c r="FL85" s="29"/>
      <c r="FM85" s="29"/>
      <c r="FN85" s="29"/>
      <c r="FO85" s="29"/>
      <c r="FP85" s="29"/>
      <c r="FQ85" s="29"/>
      <c r="FR85" s="29"/>
      <c r="FS85" s="29"/>
      <c r="FT85" s="29"/>
      <c r="FU85" s="29"/>
      <c r="FV85" s="29"/>
      <c r="FW85" s="29"/>
      <c r="FX85" s="29"/>
      <c r="FY85" s="29"/>
      <c r="FZ85" s="29"/>
      <c r="GA85" s="29"/>
      <c r="GB85" s="29"/>
      <c r="GC85" s="29"/>
      <c r="GD85" s="29"/>
      <c r="GE85" s="29"/>
      <c r="GF85" s="29"/>
      <c r="GG85" s="29"/>
      <c r="GH85" s="29"/>
      <c r="GI85" s="29"/>
      <c r="GJ85" s="29"/>
      <c r="GK85" s="29"/>
      <c r="GL85" s="29"/>
      <c r="GM85" s="29"/>
      <c r="GN85" s="29"/>
      <c r="GO85" s="29"/>
      <c r="GP85" s="29"/>
      <c r="GQ85" s="29"/>
      <c r="GR85" s="29"/>
      <c r="GS85" s="29"/>
      <c r="GT85" s="29"/>
      <c r="GU85" s="29"/>
      <c r="GV85" s="29"/>
      <c r="GW85" s="29"/>
      <c r="GX85" s="29"/>
      <c r="GY85" s="29"/>
      <c r="GZ85" s="29"/>
      <c r="HA85" s="29"/>
      <c r="HB85" s="29"/>
      <c r="HC85" s="29"/>
      <c r="HD85" s="29"/>
      <c r="HE85" s="29"/>
      <c r="HF85" s="29"/>
      <c r="HG85" s="29"/>
      <c r="HH85" s="29"/>
      <c r="HI85" s="29"/>
      <c r="HJ85" s="29"/>
      <c r="HK85" s="29"/>
      <c r="HL85" s="29"/>
      <c r="HM85" s="29"/>
      <c r="HN85" s="29"/>
      <c r="HO85" s="29"/>
      <c r="HP85" s="29"/>
      <c r="HQ85" s="29"/>
      <c r="HR85" s="29"/>
    </row>
    <row r="86" spans="1:226" s="46" customFormat="1">
      <c r="A86" s="84"/>
      <c r="B86" s="379" t="s">
        <v>401</v>
      </c>
      <c r="C86" s="292"/>
      <c r="D86" s="57"/>
      <c r="E86" s="57"/>
      <c r="F86" s="293"/>
      <c r="G86" s="57"/>
      <c r="H86" s="57"/>
      <c r="I86" s="57"/>
      <c r="J86" s="57"/>
      <c r="K86" s="292"/>
      <c r="L86" s="57"/>
      <c r="M86" s="57"/>
      <c r="N86" s="293"/>
      <c r="O86" s="57"/>
      <c r="P86" s="57"/>
      <c r="Q86" s="57"/>
      <c r="R86" s="57"/>
      <c r="S86" s="292"/>
      <c r="T86" s="57"/>
      <c r="U86" s="57"/>
      <c r="V86" s="293"/>
      <c r="W86" s="49"/>
      <c r="X86" s="49"/>
      <c r="Y86" s="49"/>
      <c r="Z86" s="49"/>
      <c r="AA86" s="326"/>
      <c r="AB86" s="49"/>
      <c r="AC86" s="49"/>
      <c r="AD86" s="327"/>
      <c r="AE86" s="179"/>
      <c r="AF86" s="179"/>
      <c r="AG86" s="179"/>
      <c r="AH86" s="179"/>
      <c r="AI86" s="603">
        <f>AI76</f>
        <v>189</v>
      </c>
      <c r="AJ86" s="601">
        <f>AJ76</f>
        <v>205</v>
      </c>
      <c r="AK86" s="601">
        <f>AK76</f>
        <v>212.19358599999998</v>
      </c>
      <c r="AL86" s="602">
        <f>AL76</f>
        <v>199</v>
      </c>
      <c r="AM86" s="601">
        <f>AM249</f>
        <v>191</v>
      </c>
      <c r="AN86" s="601">
        <f>AN76</f>
        <v>208</v>
      </c>
      <c r="AO86" s="601">
        <f>AO76</f>
        <v>206</v>
      </c>
      <c r="AP86" s="602">
        <f>AP76</f>
        <v>190</v>
      </c>
      <c r="AQ86" s="601">
        <f>AQ249</f>
        <v>181</v>
      </c>
      <c r="AR86" s="601">
        <f>AR76</f>
        <v>176</v>
      </c>
      <c r="AS86" s="601">
        <f t="shared" ref="AS86:AV86" si="718">AS76</f>
        <v>190</v>
      </c>
      <c r="AT86" s="602">
        <f t="shared" si="718"/>
        <v>203</v>
      </c>
      <c r="AU86" s="565">
        <f t="shared" si="718"/>
        <v>189</v>
      </c>
      <c r="AV86" s="601">
        <f t="shared" si="718"/>
        <v>214</v>
      </c>
      <c r="AW86" s="601">
        <f t="shared" ref="AW86:AZ86" si="719">AW76</f>
        <v>207</v>
      </c>
      <c r="AX86" s="789">
        <f t="shared" si="719"/>
        <v>225</v>
      </c>
      <c r="AY86" s="565">
        <f t="shared" si="719"/>
        <v>205</v>
      </c>
      <c r="AZ86" s="903">
        <f t="shared" si="719"/>
        <v>235</v>
      </c>
      <c r="BA86" s="565">
        <f t="shared" ref="BA86:BB86" si="720">BA76</f>
        <v>239</v>
      </c>
      <c r="BB86" s="789">
        <f t="shared" si="720"/>
        <v>254</v>
      </c>
      <c r="BC86" s="565">
        <f t="shared" ref="BC86:BD86" si="721">BC76</f>
        <v>261.62</v>
      </c>
      <c r="BD86" s="903">
        <f t="shared" si="721"/>
        <v>264.2362</v>
      </c>
      <c r="BE86" s="565">
        <f t="shared" ref="BE86:BJ86" si="722">BE76</f>
        <v>266.87856199999999</v>
      </c>
      <c r="BF86" s="641">
        <f t="shared" si="722"/>
        <v>269.54734761999998</v>
      </c>
      <c r="BG86" s="565">
        <f t="shared" si="722"/>
        <v>276.28603131049994</v>
      </c>
      <c r="BH86" s="903">
        <f t="shared" si="722"/>
        <v>283.19318209326241</v>
      </c>
      <c r="BI86" s="565">
        <f t="shared" si="722"/>
        <v>290.27301164559395</v>
      </c>
      <c r="BJ86" s="641">
        <f t="shared" si="722"/>
        <v>297.52983693673377</v>
      </c>
      <c r="BK86" s="565">
        <f t="shared" ref="BK86:BN86" si="723">BK76</f>
        <v>304.96808286015209</v>
      </c>
      <c r="BL86" s="903">
        <f t="shared" si="723"/>
        <v>312.59228493165585</v>
      </c>
      <c r="BM86" s="565">
        <f t="shared" si="723"/>
        <v>320.40709205494721</v>
      </c>
      <c r="BN86" s="641">
        <f t="shared" si="723"/>
        <v>328.41726935632084</v>
      </c>
      <c r="BO86" s="88"/>
      <c r="BP86" s="56"/>
      <c r="BQ86" s="56"/>
      <c r="BR86" s="56"/>
      <c r="BS86" s="56"/>
      <c r="BT86" s="54"/>
      <c r="BU86" s="54"/>
      <c r="BV86" s="54"/>
      <c r="BW86" s="54"/>
      <c r="BX86" s="565">
        <f>BX249</f>
        <v>805</v>
      </c>
      <c r="BY86" s="565">
        <f>BY249</f>
        <v>795</v>
      </c>
      <c r="BZ86" s="565">
        <f t="shared" ref="BZ86:CA86" si="724">BZ249</f>
        <v>750</v>
      </c>
      <c r="CA86" s="565">
        <f t="shared" si="724"/>
        <v>835</v>
      </c>
      <c r="CB86" s="565">
        <f t="shared" ref="CB86:CC86" si="725">CB249</f>
        <v>933</v>
      </c>
      <c r="CC86" s="565">
        <f t="shared" si="725"/>
        <v>1062.28210962</v>
      </c>
      <c r="CD86" s="565">
        <f t="shared" ref="CD86:CE86" si="726">CD249</f>
        <v>1147.28206198609</v>
      </c>
      <c r="CE86" s="565">
        <f t="shared" si="726"/>
        <v>1266.3847292030759</v>
      </c>
      <c r="CF86" s="88"/>
      <c r="CG86" s="88"/>
      <c r="CH86" s="88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29"/>
      <c r="FL86" s="2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29"/>
      <c r="GF86" s="2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29"/>
      <c r="GZ86" s="29"/>
      <c r="HA86" s="29"/>
      <c r="HB86" s="29"/>
      <c r="HC86" s="29"/>
      <c r="HD86" s="29"/>
      <c r="HE86" s="29"/>
      <c r="HF86" s="29"/>
      <c r="HG86" s="29"/>
      <c r="HH86" s="29"/>
      <c r="HI86" s="29"/>
      <c r="HJ86" s="29"/>
      <c r="HK86" s="29"/>
      <c r="HL86" s="29"/>
      <c r="HM86" s="29"/>
      <c r="HN86" s="29"/>
      <c r="HO86" s="29"/>
      <c r="HP86" s="29"/>
      <c r="HQ86" s="29"/>
      <c r="HR86" s="29"/>
    </row>
    <row r="87" spans="1:226" s="46" customFormat="1">
      <c r="A87" s="84"/>
      <c r="B87" s="379" t="s">
        <v>402</v>
      </c>
      <c r="C87" s="292"/>
      <c r="D87" s="57"/>
      <c r="E87" s="57"/>
      <c r="F87" s="293"/>
      <c r="G87" s="57"/>
      <c r="H87" s="57"/>
      <c r="I87" s="57"/>
      <c r="J87" s="57"/>
      <c r="K87" s="292"/>
      <c r="L87" s="57"/>
      <c r="M87" s="57"/>
      <c r="N87" s="293"/>
      <c r="O87" s="57"/>
      <c r="P87" s="57"/>
      <c r="Q87" s="57"/>
      <c r="R87" s="57"/>
      <c r="S87" s="292"/>
      <c r="T87" s="57"/>
      <c r="U87" s="57"/>
      <c r="V87" s="293"/>
      <c r="W87" s="49"/>
      <c r="X87" s="49"/>
      <c r="Y87" s="49"/>
      <c r="Z87" s="49"/>
      <c r="AA87" s="326"/>
      <c r="AB87" s="49"/>
      <c r="AC87" s="49"/>
      <c r="AD87" s="327"/>
      <c r="AE87" s="179"/>
      <c r="AF87" s="179"/>
      <c r="AG87" s="179"/>
      <c r="AH87" s="179"/>
      <c r="AI87" s="603">
        <f>AI73+AI79</f>
        <v>33.928195000000002</v>
      </c>
      <c r="AJ87" s="601">
        <f>AJ73+AJ79</f>
        <v>51.293064999999999</v>
      </c>
      <c r="AK87" s="601">
        <f>AK73+AK79</f>
        <v>57.384165000000003</v>
      </c>
      <c r="AL87" s="602">
        <f>AL73+AL79</f>
        <v>40.723537</v>
      </c>
      <c r="AM87" s="601">
        <f>AM250</f>
        <v>57</v>
      </c>
      <c r="AN87" s="601">
        <f>AN73+AN79</f>
        <v>83</v>
      </c>
      <c r="AO87" s="601">
        <f>AO73+AO79</f>
        <v>90</v>
      </c>
      <c r="AP87" s="602">
        <f>AP73+AP79</f>
        <v>88</v>
      </c>
      <c r="AQ87" s="601">
        <f>AQ250</f>
        <v>88</v>
      </c>
      <c r="AR87" s="601">
        <f>AR73+AR79</f>
        <v>73</v>
      </c>
      <c r="AS87" s="601">
        <f t="shared" ref="AS87:AV87" si="727">AS73+AS79</f>
        <v>82</v>
      </c>
      <c r="AT87" s="602">
        <f t="shared" si="727"/>
        <v>97</v>
      </c>
      <c r="AU87" s="565">
        <f t="shared" si="727"/>
        <v>143</v>
      </c>
      <c r="AV87" s="601">
        <f t="shared" si="727"/>
        <v>151</v>
      </c>
      <c r="AW87" s="601">
        <f t="shared" ref="AW87:AZ87" si="728">AW73+AW79</f>
        <v>240</v>
      </c>
      <c r="AX87" s="789">
        <f t="shared" si="728"/>
        <v>296</v>
      </c>
      <c r="AY87" s="565">
        <f t="shared" si="728"/>
        <v>409</v>
      </c>
      <c r="AZ87" s="903">
        <f t="shared" si="728"/>
        <v>416</v>
      </c>
      <c r="BA87" s="565">
        <f t="shared" ref="BA87:BB87" si="729">BA73+BA79</f>
        <v>501</v>
      </c>
      <c r="BB87" s="789">
        <f t="shared" si="729"/>
        <v>606</v>
      </c>
      <c r="BC87" s="565">
        <f t="shared" ref="BC87:BD87" si="730">BC73+BC79</f>
        <v>633.6</v>
      </c>
      <c r="BD87" s="903">
        <f t="shared" si="730"/>
        <v>677.63200000000006</v>
      </c>
      <c r="BE87" s="565">
        <f t="shared" ref="BE87:BJ87" si="731">BE73+BE79</f>
        <v>736.54783999999995</v>
      </c>
      <c r="BF87" s="641">
        <f t="shared" si="731"/>
        <v>845.76558079999995</v>
      </c>
      <c r="BG87" s="565">
        <f t="shared" si="731"/>
        <v>895.56740403200001</v>
      </c>
      <c r="BH87" s="903">
        <f t="shared" si="731"/>
        <v>944.08720419327994</v>
      </c>
      <c r="BI87" s="565">
        <f t="shared" si="731"/>
        <v>995.24613708101106</v>
      </c>
      <c r="BJ87" s="641">
        <f t="shared" si="731"/>
        <v>1049.1881767438515</v>
      </c>
      <c r="BK87" s="565">
        <f t="shared" ref="BK87:BN87" si="732">BK73+BK79</f>
        <v>1116.5570504405218</v>
      </c>
      <c r="BL87" s="903">
        <f t="shared" si="732"/>
        <v>1188.263483037892</v>
      </c>
      <c r="BM87" s="565">
        <f t="shared" si="732"/>
        <v>1264.587344970028</v>
      </c>
      <c r="BN87" s="641">
        <f t="shared" si="732"/>
        <v>1345.8265947044865</v>
      </c>
      <c r="BO87" s="88"/>
      <c r="BP87" s="56"/>
      <c r="BQ87" s="56"/>
      <c r="BR87" s="56"/>
      <c r="BS87" s="56"/>
      <c r="BT87" s="54"/>
      <c r="BU87" s="54"/>
      <c r="BV87" s="54"/>
      <c r="BW87" s="54"/>
      <c r="BX87" s="565">
        <f>BX250</f>
        <v>183</v>
      </c>
      <c r="BY87" s="565">
        <f>BY250</f>
        <v>318</v>
      </c>
      <c r="BZ87" s="565">
        <f t="shared" ref="BZ87:CA87" si="733">BZ250</f>
        <v>340</v>
      </c>
      <c r="CA87" s="565">
        <f t="shared" si="733"/>
        <v>830</v>
      </c>
      <c r="CB87" s="565">
        <f t="shared" ref="CB87:CC87" si="734">CB250</f>
        <v>1932</v>
      </c>
      <c r="CC87" s="565">
        <f t="shared" si="734"/>
        <v>2893.5454208000001</v>
      </c>
      <c r="CD87" s="565">
        <f t="shared" ref="CD87:CE87" si="735">CD250</f>
        <v>3884.0889220501422</v>
      </c>
      <c r="CE87" s="565">
        <f t="shared" si="735"/>
        <v>4915.2344731529283</v>
      </c>
      <c r="CF87" s="88"/>
      <c r="CG87" s="88"/>
      <c r="CH87" s="88"/>
      <c r="CI87" s="29"/>
      <c r="CJ87" s="2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29"/>
      <c r="DX87" s="2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29"/>
      <c r="ER87" s="2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29"/>
      <c r="FL87" s="2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29"/>
      <c r="GF87" s="2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29"/>
      <c r="GZ87" s="29"/>
      <c r="HA87" s="29"/>
      <c r="HB87" s="29"/>
      <c r="HC87" s="29"/>
      <c r="HD87" s="29"/>
      <c r="HE87" s="29"/>
      <c r="HF87" s="29"/>
      <c r="HG87" s="29"/>
      <c r="HH87" s="29"/>
      <c r="HI87" s="29"/>
      <c r="HJ87" s="29"/>
      <c r="HK87" s="29"/>
      <c r="HL87" s="29"/>
      <c r="HM87" s="29"/>
      <c r="HN87" s="29"/>
      <c r="HO87" s="29"/>
      <c r="HP87" s="29"/>
      <c r="HQ87" s="29"/>
      <c r="HR87" s="29"/>
    </row>
    <row r="88" spans="1:226" s="46" customFormat="1">
      <c r="A88" s="84"/>
      <c r="B88" s="91"/>
      <c r="C88" s="292"/>
      <c r="D88" s="57"/>
      <c r="E88" s="57"/>
      <c r="F88" s="293"/>
      <c r="G88" s="57"/>
      <c r="H88" s="57"/>
      <c r="I88" s="57"/>
      <c r="J88" s="57"/>
      <c r="K88" s="292"/>
      <c r="L88" s="57"/>
      <c r="M88" s="57"/>
      <c r="N88" s="293"/>
      <c r="O88" s="57"/>
      <c r="P88" s="57"/>
      <c r="Q88" s="57"/>
      <c r="R88" s="57"/>
      <c r="S88" s="292"/>
      <c r="T88" s="57"/>
      <c r="U88" s="57"/>
      <c r="V88" s="293"/>
      <c r="W88" s="57"/>
      <c r="X88" s="57"/>
      <c r="Y88" s="57"/>
      <c r="Z88" s="57"/>
      <c r="AA88" s="292"/>
      <c r="AB88" s="57"/>
      <c r="AC88" s="57"/>
      <c r="AD88" s="293"/>
      <c r="AE88" s="371"/>
      <c r="AF88" s="371"/>
      <c r="AG88" s="371"/>
      <c r="AH88" s="371"/>
      <c r="AI88" s="370"/>
      <c r="AJ88" s="709"/>
      <c r="AK88" s="709"/>
      <c r="AL88" s="710"/>
      <c r="AM88" s="711"/>
      <c r="AN88" s="709"/>
      <c r="AO88" s="709"/>
      <c r="AP88" s="710"/>
      <c r="AQ88" s="709"/>
      <c r="AR88" s="709"/>
      <c r="AS88" s="709"/>
      <c r="AT88" s="710"/>
      <c r="AU88" s="680"/>
      <c r="AV88" s="680"/>
      <c r="AW88" s="747"/>
      <c r="AX88" s="790"/>
      <c r="AY88" s="747"/>
      <c r="AZ88" s="747"/>
      <c r="BA88" s="680"/>
      <c r="BB88" s="790"/>
      <c r="BC88" s="747"/>
      <c r="BD88" s="747"/>
      <c r="BE88" s="680"/>
      <c r="BF88" s="680"/>
      <c r="BG88" s="747"/>
      <c r="BH88" s="747"/>
      <c r="BI88" s="680"/>
      <c r="BJ88" s="680"/>
      <c r="BK88" s="747"/>
      <c r="BL88" s="747"/>
      <c r="BM88" s="680"/>
      <c r="BN88" s="680"/>
      <c r="BO88" s="88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945">
        <f t="shared" ref="BZ88:CE88" si="736">BZ87/BY87-1</f>
        <v>6.9182389937106903E-2</v>
      </c>
      <c r="CA88" s="945">
        <f t="shared" si="736"/>
        <v>1.4411764705882355</v>
      </c>
      <c r="CB88" s="945">
        <f t="shared" si="736"/>
        <v>1.3277108433734939</v>
      </c>
      <c r="CC88" s="945">
        <f t="shared" si="736"/>
        <v>0.49769431718426516</v>
      </c>
      <c r="CD88" s="945">
        <f t="shared" si="736"/>
        <v>0.3423286512558974</v>
      </c>
      <c r="CE88" s="945">
        <f t="shared" si="736"/>
        <v>0.26547938829333373</v>
      </c>
      <c r="CF88" s="88"/>
      <c r="CG88" s="88"/>
      <c r="CH88" s="88"/>
      <c r="CI88" s="29"/>
      <c r="CJ88" s="29"/>
      <c r="CK88" s="29"/>
      <c r="CL88" s="29"/>
      <c r="CM88" s="29"/>
      <c r="CN88" s="29"/>
      <c r="CO88" s="29"/>
      <c r="CP88" s="29"/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  <c r="DS88" s="29"/>
      <c r="DT88" s="29"/>
      <c r="DU88" s="29"/>
      <c r="DV88" s="29"/>
      <c r="DW88" s="29"/>
      <c r="DX88" s="29"/>
      <c r="DY88" s="29"/>
      <c r="DZ88" s="29"/>
      <c r="EA88" s="29"/>
      <c r="EB88" s="29"/>
      <c r="EC88" s="29"/>
      <c r="ED88" s="29"/>
      <c r="EE88" s="29"/>
      <c r="EF88" s="29"/>
      <c r="EG88" s="29"/>
      <c r="EH88" s="29"/>
      <c r="EI88" s="29"/>
      <c r="EJ88" s="29"/>
      <c r="EK88" s="29"/>
      <c r="EL88" s="29"/>
      <c r="EM88" s="29"/>
      <c r="EN88" s="29"/>
      <c r="EO88" s="29"/>
      <c r="EP88" s="29"/>
      <c r="EQ88" s="29"/>
      <c r="ER88" s="29"/>
      <c r="ES88" s="29"/>
      <c r="ET88" s="29"/>
      <c r="EU88" s="29"/>
      <c r="EV88" s="29"/>
      <c r="EW88" s="29"/>
      <c r="EX88" s="29"/>
      <c r="EY88" s="29"/>
      <c r="EZ88" s="29"/>
      <c r="FA88" s="29"/>
      <c r="FB88" s="29"/>
      <c r="FC88" s="29"/>
      <c r="FD88" s="29"/>
      <c r="FE88" s="29"/>
      <c r="FF88" s="29"/>
      <c r="FG88" s="29"/>
      <c r="FH88" s="29"/>
      <c r="FI88" s="29"/>
      <c r="FJ88" s="29"/>
      <c r="FK88" s="29"/>
      <c r="FL88" s="29"/>
      <c r="FM88" s="29"/>
      <c r="FN88" s="29"/>
      <c r="FO88" s="29"/>
      <c r="FP88" s="29"/>
      <c r="FQ88" s="29"/>
      <c r="FR88" s="29"/>
      <c r="FS88" s="29"/>
      <c r="FT88" s="29"/>
      <c r="FU88" s="29"/>
      <c r="FV88" s="29"/>
      <c r="FW88" s="29"/>
      <c r="FX88" s="29"/>
      <c r="FY88" s="29"/>
      <c r="FZ88" s="29"/>
      <c r="GA88" s="29"/>
      <c r="GB88" s="29"/>
      <c r="GC88" s="29"/>
      <c r="GD88" s="29"/>
      <c r="GE88" s="29"/>
      <c r="GF88" s="29"/>
      <c r="GG88" s="29"/>
      <c r="GH88" s="29"/>
      <c r="GI88" s="29"/>
      <c r="GJ88" s="29"/>
      <c r="GK88" s="29"/>
      <c r="GL88" s="29"/>
      <c r="GM88" s="29"/>
      <c r="GN88" s="29"/>
      <c r="GO88" s="29"/>
      <c r="GP88" s="29"/>
      <c r="GQ88" s="29"/>
      <c r="GR88" s="29"/>
      <c r="GS88" s="29"/>
      <c r="GT88" s="29"/>
      <c r="GU88" s="29"/>
      <c r="GV88" s="29"/>
      <c r="GW88" s="29"/>
      <c r="GX88" s="29"/>
      <c r="GY88" s="29"/>
      <c r="GZ88" s="29"/>
      <c r="HA88" s="29"/>
      <c r="HB88" s="29"/>
      <c r="HC88" s="29"/>
      <c r="HD88" s="29"/>
      <c r="HE88" s="29"/>
      <c r="HF88" s="29"/>
      <c r="HG88" s="29"/>
      <c r="HH88" s="29"/>
      <c r="HI88" s="29"/>
      <c r="HJ88" s="29"/>
      <c r="HK88" s="29"/>
      <c r="HL88" s="29"/>
      <c r="HM88" s="29"/>
      <c r="HN88" s="29"/>
      <c r="HO88" s="29"/>
      <c r="HP88" s="29"/>
      <c r="HQ88" s="29"/>
      <c r="HR88" s="29"/>
    </row>
    <row r="89" spans="1:226" s="85" customFormat="1">
      <c r="B89" s="377" t="s">
        <v>317</v>
      </c>
      <c r="C89" s="338"/>
      <c r="D89" s="168"/>
      <c r="E89" s="168"/>
      <c r="F89" s="339"/>
      <c r="G89" s="168"/>
      <c r="H89" s="168"/>
      <c r="I89" s="168"/>
      <c r="J89" s="168"/>
      <c r="K89" s="338"/>
      <c r="L89" s="168"/>
      <c r="M89" s="168"/>
      <c r="N89" s="339"/>
      <c r="O89" s="168"/>
      <c r="P89" s="168"/>
      <c r="Q89" s="168"/>
      <c r="R89" s="168"/>
      <c r="S89" s="338"/>
      <c r="T89" s="168"/>
      <c r="U89" s="168"/>
      <c r="V89" s="339"/>
      <c r="W89" s="168"/>
      <c r="X89" s="168"/>
      <c r="Y89" s="168"/>
      <c r="Z89" s="168"/>
      <c r="AA89" s="338"/>
      <c r="AB89" s="168"/>
      <c r="AC89" s="168"/>
      <c r="AD89" s="339"/>
      <c r="AE89" s="168"/>
      <c r="AF89" s="168"/>
      <c r="AG89" s="168"/>
      <c r="AH89" s="168"/>
      <c r="AI89" s="338"/>
      <c r="AJ89" s="168"/>
      <c r="AK89" s="168"/>
      <c r="AL89" s="339"/>
      <c r="AM89" s="338"/>
      <c r="AN89" s="168"/>
      <c r="AO89" s="168"/>
      <c r="AP89" s="339"/>
      <c r="AQ89" s="168"/>
      <c r="AR89" s="168"/>
      <c r="AS89" s="168"/>
      <c r="AT89" s="339"/>
      <c r="AU89" s="168"/>
      <c r="AV89" s="168"/>
      <c r="AW89" s="748"/>
      <c r="AX89" s="791"/>
      <c r="AY89" s="748"/>
      <c r="AZ89" s="748"/>
      <c r="BA89" s="168"/>
      <c r="BB89" s="791"/>
      <c r="BC89" s="748"/>
      <c r="BD89" s="748"/>
      <c r="BE89" s="168"/>
      <c r="BF89" s="339"/>
      <c r="BG89" s="748"/>
      <c r="BH89" s="748"/>
      <c r="BI89" s="168"/>
      <c r="BJ89" s="339"/>
      <c r="BK89" s="748"/>
      <c r="BL89" s="748"/>
      <c r="BM89" s="168"/>
      <c r="BN89" s="339"/>
    </row>
    <row r="90" spans="1:226" s="84" customFormat="1">
      <c r="B90" s="379" t="s">
        <v>264</v>
      </c>
      <c r="C90" s="380"/>
      <c r="D90" s="381"/>
      <c r="E90" s="381"/>
      <c r="F90" s="382"/>
      <c r="G90" s="381"/>
      <c r="H90" s="381"/>
      <c r="I90" s="381"/>
      <c r="J90" s="381"/>
      <c r="K90" s="380"/>
      <c r="L90" s="381"/>
      <c r="M90" s="381"/>
      <c r="N90" s="382"/>
      <c r="O90" s="381"/>
      <c r="P90" s="381"/>
      <c r="Q90" s="381"/>
      <c r="R90" s="381"/>
      <c r="S90" s="380"/>
      <c r="T90" s="381"/>
      <c r="U90" s="381"/>
      <c r="V90" s="382"/>
      <c r="W90" s="190"/>
      <c r="X90" s="190"/>
      <c r="Y90" s="190"/>
      <c r="Z90" s="190"/>
      <c r="AA90" s="383"/>
      <c r="AB90" s="190"/>
      <c r="AC90" s="190"/>
      <c r="AD90" s="384"/>
      <c r="AE90" s="190">
        <v>0.35866947664207932</v>
      </c>
      <c r="AF90" s="190">
        <v>0.4179629470967724</v>
      </c>
      <c r="AG90" s="190">
        <v>0.44726734309034655</v>
      </c>
      <c r="AH90" s="190">
        <v>0.4462989478380236</v>
      </c>
      <c r="AI90" s="383">
        <v>0.46811123789553044</v>
      </c>
      <c r="AJ90" s="190">
        <v>0.4828029379810353</v>
      </c>
      <c r="AK90" s="190">
        <v>0.48807815128725529</v>
      </c>
      <c r="AL90" s="384">
        <v>0.49023616188349106</v>
      </c>
      <c r="AM90" s="383">
        <v>0.48106454956163675</v>
      </c>
      <c r="AN90" s="190">
        <v>0.4744531720238146</v>
      </c>
      <c r="AO90" s="190">
        <v>0.47233440869223808</v>
      </c>
      <c r="AP90" s="384">
        <v>0.50472328411491274</v>
      </c>
      <c r="AQ90" s="190">
        <v>0.49588129218599836</v>
      </c>
      <c r="AR90" s="190">
        <v>0.49219835274573315</v>
      </c>
      <c r="AS90" s="190">
        <v>0.51554439834024901</v>
      </c>
      <c r="AT90" s="384">
        <v>0.51039696567086812</v>
      </c>
      <c r="AU90" s="848">
        <v>0.5</v>
      </c>
      <c r="AV90" s="848">
        <v>0.50609317817464983</v>
      </c>
      <c r="AW90" s="850">
        <v>0.52</v>
      </c>
      <c r="AX90" s="850">
        <v>0.55300000000000005</v>
      </c>
      <c r="AY90" s="848">
        <v>0.55500000000000005</v>
      </c>
      <c r="AZ90" s="848">
        <v>0.55000000000000004</v>
      </c>
      <c r="BA90" s="848">
        <v>0.56499999999999995</v>
      </c>
      <c r="BB90" s="864">
        <v>0.55300000000000005</v>
      </c>
      <c r="BC90" s="938">
        <v>0.61499999999999999</v>
      </c>
      <c r="BD90" s="938">
        <v>0.61</v>
      </c>
      <c r="BE90" s="938">
        <v>0.6</v>
      </c>
      <c r="BF90" s="938">
        <v>0.59</v>
      </c>
      <c r="BG90" s="938">
        <v>0.59</v>
      </c>
      <c r="BH90" s="938">
        <v>0.59</v>
      </c>
      <c r="BI90" s="938">
        <v>0.59</v>
      </c>
      <c r="BJ90" s="938">
        <v>0.59</v>
      </c>
      <c r="BK90" s="938">
        <v>0.59</v>
      </c>
      <c r="BL90" s="938">
        <v>0.59</v>
      </c>
      <c r="BM90" s="938">
        <v>0.59</v>
      </c>
      <c r="BN90" s="938">
        <v>0.59</v>
      </c>
      <c r="BY90" s="186"/>
      <c r="CA90" s="85"/>
      <c r="CB90" s="85"/>
      <c r="CC90" s="85"/>
      <c r="CD90" s="85"/>
      <c r="CE90" s="85"/>
    </row>
    <row r="91" spans="1:226" s="84" customFormat="1">
      <c r="B91" s="379" t="s">
        <v>263</v>
      </c>
      <c r="C91" s="380"/>
      <c r="D91" s="381"/>
      <c r="E91" s="381"/>
      <c r="F91" s="382"/>
      <c r="G91" s="381"/>
      <c r="H91" s="381"/>
      <c r="I91" s="381"/>
      <c r="J91" s="381"/>
      <c r="K91" s="380"/>
      <c r="L91" s="381"/>
      <c r="M91" s="381"/>
      <c r="N91" s="382"/>
      <c r="O91" s="381"/>
      <c r="P91" s="381"/>
      <c r="Q91" s="381"/>
      <c r="R91" s="381"/>
      <c r="S91" s="380"/>
      <c r="T91" s="381"/>
      <c r="U91" s="381"/>
      <c r="V91" s="382"/>
      <c r="W91" s="190"/>
      <c r="X91" s="190"/>
      <c r="Y91" s="190"/>
      <c r="Z91" s="190"/>
      <c r="AA91" s="383"/>
      <c r="AB91" s="190"/>
      <c r="AC91" s="190"/>
      <c r="AD91" s="384"/>
      <c r="AE91" s="190">
        <v>0.36</v>
      </c>
      <c r="AF91" s="190">
        <v>0.42</v>
      </c>
      <c r="AG91" s="190">
        <v>0.42</v>
      </c>
      <c r="AH91" s="190">
        <v>0.41</v>
      </c>
      <c r="AI91" s="383">
        <v>0.41</v>
      </c>
      <c r="AJ91" s="190">
        <v>0.42</v>
      </c>
      <c r="AK91" s="190">
        <v>0.42</v>
      </c>
      <c r="AL91" s="384">
        <v>0.43</v>
      </c>
      <c r="AM91" s="383">
        <v>0.44</v>
      </c>
      <c r="AN91" s="190">
        <v>0.46</v>
      </c>
      <c r="AO91" s="190">
        <v>0.46</v>
      </c>
      <c r="AP91" s="384">
        <v>0.46</v>
      </c>
      <c r="AQ91" s="190">
        <v>0.47</v>
      </c>
      <c r="AR91" s="190">
        <v>0.45</v>
      </c>
      <c r="AS91" s="190">
        <v>0.47</v>
      </c>
      <c r="AT91" s="384">
        <v>0.47</v>
      </c>
      <c r="AU91" s="848">
        <v>0.46</v>
      </c>
      <c r="AV91" s="848">
        <v>0.47</v>
      </c>
      <c r="AW91" s="850">
        <v>0.47</v>
      </c>
      <c r="AX91" s="850">
        <v>0.5</v>
      </c>
      <c r="AY91" s="848">
        <v>0.505</v>
      </c>
      <c r="AZ91" s="848">
        <v>0.5</v>
      </c>
      <c r="BA91" s="848">
        <v>0.56499999999999995</v>
      </c>
      <c r="BB91" s="864">
        <v>0.5</v>
      </c>
      <c r="BC91" s="938">
        <v>0.61</v>
      </c>
      <c r="BD91" s="938">
        <v>0.6</v>
      </c>
      <c r="BE91" s="938">
        <v>0.6</v>
      </c>
      <c r="BF91" s="938">
        <v>0.59</v>
      </c>
      <c r="BG91" s="938">
        <v>0.59</v>
      </c>
      <c r="BH91" s="938">
        <v>0.59</v>
      </c>
      <c r="BI91" s="938">
        <v>0.59</v>
      </c>
      <c r="BJ91" s="938">
        <v>0.59</v>
      </c>
      <c r="BK91" s="938">
        <v>0.59</v>
      </c>
      <c r="BL91" s="938">
        <v>0.59</v>
      </c>
      <c r="BM91" s="938">
        <v>0.59</v>
      </c>
      <c r="BN91" s="938">
        <v>0.59</v>
      </c>
      <c r="CA91" s="85"/>
      <c r="CB91" s="85"/>
      <c r="CC91" s="85"/>
      <c r="CD91" s="85"/>
      <c r="CE91" s="85"/>
    </row>
    <row r="92" spans="1:226" s="84" customFormat="1">
      <c r="B92" s="84" t="s">
        <v>262</v>
      </c>
      <c r="C92" s="380"/>
      <c r="D92" s="381"/>
      <c r="E92" s="381"/>
      <c r="F92" s="382"/>
      <c r="G92" s="381"/>
      <c r="H92" s="381"/>
      <c r="I92" s="381"/>
      <c r="J92" s="381"/>
      <c r="K92" s="380"/>
      <c r="L92" s="381"/>
      <c r="M92" s="381"/>
      <c r="N92" s="382"/>
      <c r="O92" s="381"/>
      <c r="P92" s="381"/>
      <c r="Q92" s="381"/>
      <c r="R92" s="381"/>
      <c r="S92" s="380"/>
      <c r="T92" s="381"/>
      <c r="U92" s="381"/>
      <c r="V92" s="382"/>
      <c r="W92" s="381"/>
      <c r="X92" s="381"/>
      <c r="Y92" s="381"/>
      <c r="Z92" s="381"/>
      <c r="AA92" s="380"/>
      <c r="AB92" s="381"/>
      <c r="AC92" s="381"/>
      <c r="AD92" s="382"/>
      <c r="AE92" s="381"/>
      <c r="AF92" s="381"/>
      <c r="AG92" s="381"/>
      <c r="AH92" s="381"/>
      <c r="AI92" s="380"/>
      <c r="AJ92" s="381"/>
      <c r="AK92" s="381"/>
      <c r="AL92" s="382"/>
      <c r="AM92" s="380"/>
      <c r="AN92" s="381"/>
      <c r="AO92" s="381"/>
      <c r="AP92" s="382"/>
      <c r="AQ92" s="381"/>
      <c r="AR92" s="381"/>
      <c r="AS92" s="381"/>
      <c r="AT92" s="382"/>
      <c r="AU92" s="849"/>
      <c r="AV92" s="849"/>
      <c r="AW92" s="851"/>
      <c r="AX92" s="851"/>
      <c r="AY92" s="849"/>
      <c r="AZ92" s="849"/>
      <c r="BA92" s="849"/>
      <c r="BB92" s="851"/>
      <c r="BC92" s="849"/>
      <c r="BD92" s="849"/>
      <c r="BE92" s="381"/>
      <c r="BF92" s="382"/>
      <c r="BG92" s="849"/>
      <c r="BH92" s="849"/>
      <c r="BI92" s="381"/>
      <c r="BJ92" s="382"/>
      <c r="BK92" s="849"/>
      <c r="BL92" s="849"/>
      <c r="BM92" s="381"/>
      <c r="BN92" s="382"/>
      <c r="CA92" s="85"/>
      <c r="CB92" s="85"/>
      <c r="CC92" s="85"/>
      <c r="CD92" s="85"/>
      <c r="CE92" s="85"/>
    </row>
    <row r="93" spans="1:226" s="84" customFormat="1">
      <c r="B93" s="124" t="s">
        <v>272</v>
      </c>
      <c r="C93" s="385"/>
      <c r="D93" s="386"/>
      <c r="E93" s="386"/>
      <c r="F93" s="387"/>
      <c r="G93" s="386"/>
      <c r="H93" s="386"/>
      <c r="I93" s="386"/>
      <c r="J93" s="386"/>
      <c r="K93" s="385"/>
      <c r="L93" s="386"/>
      <c r="M93" s="386"/>
      <c r="N93" s="387"/>
      <c r="O93" s="386"/>
      <c r="P93" s="386"/>
      <c r="Q93" s="386"/>
      <c r="R93" s="386"/>
      <c r="S93" s="385"/>
      <c r="T93" s="386"/>
      <c r="U93" s="386"/>
      <c r="V93" s="387"/>
      <c r="W93" s="386"/>
      <c r="X93" s="386"/>
      <c r="Y93" s="386"/>
      <c r="Z93" s="386"/>
      <c r="AA93" s="385"/>
      <c r="AB93" s="386"/>
      <c r="AC93" s="386"/>
      <c r="AD93" s="387"/>
      <c r="AE93" s="190">
        <v>0.7</v>
      </c>
      <c r="AF93" s="190">
        <f>AE93</f>
        <v>0.7</v>
      </c>
      <c r="AG93" s="190">
        <f>AF93</f>
        <v>0.7</v>
      </c>
      <c r="AH93" s="190">
        <f>AG93</f>
        <v>0.7</v>
      </c>
      <c r="AI93" s="383">
        <v>0.75</v>
      </c>
      <c r="AJ93" s="190">
        <v>0.75</v>
      </c>
      <c r="AK93" s="190">
        <v>0.77</v>
      </c>
      <c r="AL93" s="384">
        <v>0.77</v>
      </c>
      <c r="AM93" s="383">
        <v>0.8</v>
      </c>
      <c r="AN93" s="190">
        <v>0.8</v>
      </c>
      <c r="AO93" s="190">
        <v>0.8</v>
      </c>
      <c r="AP93" s="384">
        <v>0.8</v>
      </c>
      <c r="AQ93" s="190">
        <v>0.8</v>
      </c>
      <c r="AR93" s="190">
        <v>0.75</v>
      </c>
      <c r="AS93" s="190">
        <v>0.75</v>
      </c>
      <c r="AT93" s="384">
        <v>0.75</v>
      </c>
      <c r="AU93" s="848">
        <v>0.75</v>
      </c>
      <c r="AV93" s="848">
        <v>0.75</v>
      </c>
      <c r="AW93" s="848">
        <v>0.75</v>
      </c>
      <c r="AX93" s="848">
        <v>0.75</v>
      </c>
      <c r="AY93" s="848">
        <v>0.75</v>
      </c>
      <c r="AZ93" s="848">
        <v>0.75</v>
      </c>
      <c r="BA93" s="848">
        <v>0.75</v>
      </c>
      <c r="BB93" s="848">
        <v>0.75</v>
      </c>
      <c r="BC93" s="938">
        <v>0.75</v>
      </c>
      <c r="BD93" s="938">
        <v>0.74</v>
      </c>
      <c r="BE93" s="158">
        <v>0.74</v>
      </c>
      <c r="BF93" s="158">
        <v>0.74</v>
      </c>
      <c r="BG93" s="938">
        <v>0.74</v>
      </c>
      <c r="BH93" s="938">
        <v>0.74</v>
      </c>
      <c r="BI93" s="158">
        <v>0.74</v>
      </c>
      <c r="BJ93" s="158">
        <v>0.74</v>
      </c>
      <c r="BK93" s="938">
        <v>0.74</v>
      </c>
      <c r="BL93" s="938">
        <v>0.74</v>
      </c>
      <c r="BM93" s="158">
        <v>0.74</v>
      </c>
      <c r="BN93" s="158">
        <v>0.74</v>
      </c>
      <c r="CA93" s="85"/>
      <c r="CB93" s="85"/>
      <c r="CC93" s="85"/>
      <c r="CD93" s="85"/>
      <c r="CE93" s="85"/>
    </row>
    <row r="94" spans="1:226" s="84" customFormat="1">
      <c r="B94" s="124" t="s">
        <v>271</v>
      </c>
      <c r="C94" s="385"/>
      <c r="D94" s="386"/>
      <c r="E94" s="386"/>
      <c r="F94" s="387"/>
      <c r="G94" s="386"/>
      <c r="H94" s="386"/>
      <c r="I94" s="386"/>
      <c r="J94" s="386"/>
      <c r="K94" s="385"/>
      <c r="L94" s="386"/>
      <c r="M94" s="386"/>
      <c r="N94" s="387"/>
      <c r="O94" s="386"/>
      <c r="P94" s="386"/>
      <c r="Q94" s="386"/>
      <c r="R94" s="386"/>
      <c r="S94" s="385"/>
      <c r="T94" s="386"/>
      <c r="U94" s="386"/>
      <c r="V94" s="387"/>
      <c r="W94" s="386"/>
      <c r="X94" s="386"/>
      <c r="Y94" s="386"/>
      <c r="Z94" s="386"/>
      <c r="AA94" s="385"/>
      <c r="AB94" s="386"/>
      <c r="AC94" s="386"/>
      <c r="AD94" s="387"/>
      <c r="AE94" s="190">
        <v>0.7</v>
      </c>
      <c r="AF94" s="190">
        <f t="shared" ref="AF94:AM96" si="737">AE94</f>
        <v>0.7</v>
      </c>
      <c r="AG94" s="190">
        <f t="shared" si="737"/>
        <v>0.7</v>
      </c>
      <c r="AH94" s="190">
        <f t="shared" si="737"/>
        <v>0.7</v>
      </c>
      <c r="AI94" s="383">
        <f t="shared" si="737"/>
        <v>0.7</v>
      </c>
      <c r="AJ94" s="190">
        <f t="shared" si="737"/>
        <v>0.7</v>
      </c>
      <c r="AK94" s="190">
        <f t="shared" si="737"/>
        <v>0.7</v>
      </c>
      <c r="AL94" s="384">
        <f t="shared" si="737"/>
        <v>0.7</v>
      </c>
      <c r="AM94" s="383">
        <f t="shared" si="737"/>
        <v>0.7</v>
      </c>
      <c r="AN94" s="190">
        <v>0.7</v>
      </c>
      <c r="AO94" s="190">
        <v>0.7</v>
      </c>
      <c r="AP94" s="384">
        <v>0.7</v>
      </c>
      <c r="AQ94" s="190">
        <v>0.7</v>
      </c>
      <c r="AR94" s="190">
        <v>0.68</v>
      </c>
      <c r="AS94" s="190">
        <v>0.7</v>
      </c>
      <c r="AT94" s="384">
        <v>0.72</v>
      </c>
      <c r="AU94" s="848">
        <v>0.72</v>
      </c>
      <c r="AV94" s="848">
        <v>0.72</v>
      </c>
      <c r="AW94" s="850">
        <v>0.72</v>
      </c>
      <c r="AX94" s="850">
        <v>0.72</v>
      </c>
      <c r="AY94" s="848">
        <v>0.72</v>
      </c>
      <c r="AZ94" s="848">
        <v>0.72</v>
      </c>
      <c r="BA94" s="848">
        <v>0.72</v>
      </c>
      <c r="BB94" s="864">
        <v>0.72</v>
      </c>
      <c r="BC94" s="938">
        <v>0.74</v>
      </c>
      <c r="BD94" s="938">
        <v>0.72</v>
      </c>
      <c r="BE94" s="158">
        <v>0.72</v>
      </c>
      <c r="BF94" s="332">
        <v>0.72</v>
      </c>
      <c r="BG94" s="938">
        <v>0.72</v>
      </c>
      <c r="BH94" s="938">
        <v>0.72</v>
      </c>
      <c r="BI94" s="158">
        <v>0.72</v>
      </c>
      <c r="BJ94" s="332">
        <v>0.72</v>
      </c>
      <c r="BK94" s="938">
        <v>0.72</v>
      </c>
      <c r="BL94" s="938">
        <v>0.72</v>
      </c>
      <c r="BM94" s="158">
        <v>0.72</v>
      </c>
      <c r="BN94" s="332">
        <v>0.72</v>
      </c>
      <c r="CA94" s="85"/>
      <c r="CB94" s="85"/>
      <c r="CC94" s="85"/>
      <c r="CD94" s="85"/>
      <c r="CE94" s="85"/>
    </row>
    <row r="95" spans="1:226" s="84" customFormat="1">
      <c r="B95" s="124" t="s">
        <v>313</v>
      </c>
      <c r="C95" s="385"/>
      <c r="D95" s="386"/>
      <c r="E95" s="386"/>
      <c r="F95" s="387"/>
      <c r="G95" s="386"/>
      <c r="H95" s="386"/>
      <c r="I95" s="386"/>
      <c r="J95" s="386"/>
      <c r="K95" s="385"/>
      <c r="L95" s="386"/>
      <c r="M95" s="386"/>
      <c r="N95" s="387"/>
      <c r="O95" s="386"/>
      <c r="P95" s="386"/>
      <c r="Q95" s="386"/>
      <c r="R95" s="386"/>
      <c r="S95" s="385"/>
      <c r="T95" s="386"/>
      <c r="U95" s="386"/>
      <c r="V95" s="387"/>
      <c r="W95" s="190"/>
      <c r="X95" s="190"/>
      <c r="Y95" s="190"/>
      <c r="Z95" s="190"/>
      <c r="AA95" s="383"/>
      <c r="AB95" s="190"/>
      <c r="AC95" s="190"/>
      <c r="AD95" s="384"/>
      <c r="AE95" s="190">
        <v>0.7</v>
      </c>
      <c r="AF95" s="190">
        <f t="shared" si="737"/>
        <v>0.7</v>
      </c>
      <c r="AG95" s="190">
        <f t="shared" si="737"/>
        <v>0.7</v>
      </c>
      <c r="AH95" s="190">
        <f t="shared" si="737"/>
        <v>0.7</v>
      </c>
      <c r="AI95" s="383">
        <v>0.75</v>
      </c>
      <c r="AJ95" s="190">
        <v>0.75</v>
      </c>
      <c r="AK95" s="190">
        <v>0.77</v>
      </c>
      <c r="AL95" s="384">
        <v>0.77</v>
      </c>
      <c r="AM95" s="383">
        <v>0.8</v>
      </c>
      <c r="AN95" s="190">
        <v>0.8</v>
      </c>
      <c r="AO95" s="190">
        <v>0.8</v>
      </c>
      <c r="AP95" s="384">
        <v>0.8</v>
      </c>
      <c r="AQ95" s="190">
        <v>0.8</v>
      </c>
      <c r="AR95" s="190">
        <v>0.7</v>
      </c>
      <c r="AS95" s="190">
        <v>0.7</v>
      </c>
      <c r="AT95" s="384">
        <v>0.7</v>
      </c>
      <c r="AU95" s="848">
        <v>0.7</v>
      </c>
      <c r="AV95" s="848">
        <v>0.7</v>
      </c>
      <c r="AW95" s="850">
        <v>0.7</v>
      </c>
      <c r="AX95" s="850">
        <v>0.7</v>
      </c>
      <c r="AY95" s="848">
        <v>0.7</v>
      </c>
      <c r="AZ95" s="848">
        <v>0.7</v>
      </c>
      <c r="BA95" s="848">
        <v>0.7</v>
      </c>
      <c r="BB95" s="864">
        <v>0.7</v>
      </c>
      <c r="BC95" s="938">
        <v>0.7</v>
      </c>
      <c r="BD95" s="938">
        <v>0.7</v>
      </c>
      <c r="BE95" s="158">
        <v>0.7</v>
      </c>
      <c r="BF95" s="332">
        <v>0.7</v>
      </c>
      <c r="BG95" s="938">
        <v>0.7</v>
      </c>
      <c r="BH95" s="938">
        <v>0.7</v>
      </c>
      <c r="BI95" s="158">
        <v>0.7</v>
      </c>
      <c r="BJ95" s="332">
        <v>0.7</v>
      </c>
      <c r="BK95" s="938">
        <v>0.7</v>
      </c>
      <c r="BL95" s="938">
        <v>0.7</v>
      </c>
      <c r="BM95" s="158">
        <v>0.7</v>
      </c>
      <c r="BN95" s="332">
        <v>0.7</v>
      </c>
      <c r="CA95" s="85"/>
      <c r="CB95" s="85"/>
      <c r="CC95" s="85"/>
      <c r="CD95" s="85"/>
      <c r="CE95" s="85"/>
    </row>
    <row r="96" spans="1:226" s="84" customFormat="1">
      <c r="B96" s="124" t="s">
        <v>314</v>
      </c>
      <c r="C96" s="385"/>
      <c r="D96" s="386"/>
      <c r="E96" s="386"/>
      <c r="F96" s="387"/>
      <c r="G96" s="386"/>
      <c r="H96" s="386"/>
      <c r="I96" s="386"/>
      <c r="J96" s="386"/>
      <c r="K96" s="385"/>
      <c r="L96" s="386"/>
      <c r="M96" s="386"/>
      <c r="N96" s="387"/>
      <c r="O96" s="386"/>
      <c r="P96" s="386"/>
      <c r="Q96" s="386"/>
      <c r="R96" s="386"/>
      <c r="S96" s="385"/>
      <c r="T96" s="386"/>
      <c r="U96" s="386"/>
      <c r="V96" s="387"/>
      <c r="W96" s="190"/>
      <c r="X96" s="190"/>
      <c r="Y96" s="190"/>
      <c r="Z96" s="190"/>
      <c r="AA96" s="383"/>
      <c r="AB96" s="190"/>
      <c r="AC96" s="190"/>
      <c r="AD96" s="384"/>
      <c r="AE96" s="190">
        <v>0.4</v>
      </c>
      <c r="AF96" s="190">
        <f t="shared" si="737"/>
        <v>0.4</v>
      </c>
      <c r="AG96" s="190">
        <f t="shared" si="737"/>
        <v>0.4</v>
      </c>
      <c r="AH96" s="190">
        <f t="shared" si="737"/>
        <v>0.4</v>
      </c>
      <c r="AI96" s="383">
        <f t="shared" si="737"/>
        <v>0.4</v>
      </c>
      <c r="AJ96" s="190">
        <f t="shared" si="737"/>
        <v>0.4</v>
      </c>
      <c r="AK96" s="190">
        <f t="shared" si="737"/>
        <v>0.4</v>
      </c>
      <c r="AL96" s="384">
        <f t="shared" si="737"/>
        <v>0.4</v>
      </c>
      <c r="AM96" s="383">
        <f t="shared" si="737"/>
        <v>0.4</v>
      </c>
      <c r="AN96" s="190">
        <v>0.4</v>
      </c>
      <c r="AO96" s="190">
        <v>0.4</v>
      </c>
      <c r="AP96" s="384">
        <v>0.4</v>
      </c>
      <c r="AQ96" s="190">
        <v>0.4</v>
      </c>
      <c r="AR96" s="190">
        <v>0.4</v>
      </c>
      <c r="AS96" s="190">
        <v>0.4</v>
      </c>
      <c r="AT96" s="384">
        <v>0.4</v>
      </c>
      <c r="AU96" s="848">
        <v>0.4</v>
      </c>
      <c r="AV96" s="848">
        <v>0.4</v>
      </c>
      <c r="AW96" s="850">
        <v>0.4</v>
      </c>
      <c r="AX96" s="850">
        <v>0.4</v>
      </c>
      <c r="AY96" s="848">
        <v>0.4</v>
      </c>
      <c r="AZ96" s="848">
        <v>0.4</v>
      </c>
      <c r="BA96" s="848">
        <v>0.4</v>
      </c>
      <c r="BB96" s="864">
        <v>0.4</v>
      </c>
      <c r="BC96" s="938">
        <v>0.4</v>
      </c>
      <c r="BD96" s="938">
        <v>0.4</v>
      </c>
      <c r="BE96" s="158">
        <v>0.4</v>
      </c>
      <c r="BF96" s="332">
        <v>0.4</v>
      </c>
      <c r="BG96" s="938">
        <v>0.4</v>
      </c>
      <c r="BH96" s="938">
        <v>0.4</v>
      </c>
      <c r="BI96" s="158">
        <v>0.4</v>
      </c>
      <c r="BJ96" s="332">
        <v>0.4</v>
      </c>
      <c r="BK96" s="938">
        <v>0.4</v>
      </c>
      <c r="BL96" s="938">
        <v>0.4</v>
      </c>
      <c r="BM96" s="158">
        <v>0.4</v>
      </c>
      <c r="BN96" s="332">
        <v>0.4</v>
      </c>
      <c r="CA96" s="85"/>
      <c r="CB96" s="85"/>
      <c r="CC96" s="85"/>
      <c r="CD96" s="85"/>
      <c r="CE96" s="85"/>
    </row>
    <row r="97" spans="1:84" s="84" customFormat="1">
      <c r="C97" s="388"/>
      <c r="D97" s="389"/>
      <c r="E97" s="389"/>
      <c r="F97" s="390"/>
      <c r="G97" s="389"/>
      <c r="H97" s="389"/>
      <c r="I97" s="389"/>
      <c r="J97" s="389"/>
      <c r="K97" s="388"/>
      <c r="L97" s="389"/>
      <c r="M97" s="389"/>
      <c r="N97" s="390"/>
      <c r="O97" s="389"/>
      <c r="P97" s="389"/>
      <c r="Q97" s="389"/>
      <c r="R97" s="389"/>
      <c r="S97" s="388"/>
      <c r="T97" s="389"/>
      <c r="U97" s="389"/>
      <c r="V97" s="390"/>
      <c r="W97" s="389"/>
      <c r="X97" s="389"/>
      <c r="Y97" s="389"/>
      <c r="Z97" s="389"/>
      <c r="AA97" s="388"/>
      <c r="AB97" s="389"/>
      <c r="AC97" s="389"/>
      <c r="AD97" s="390"/>
      <c r="AE97" s="389"/>
      <c r="AF97" s="389"/>
      <c r="AG97" s="389"/>
      <c r="AH97" s="389"/>
      <c r="AI97" s="388"/>
      <c r="AJ97" s="389"/>
      <c r="AK97" s="389"/>
      <c r="AL97" s="390"/>
      <c r="AM97" s="388"/>
      <c r="AN97" s="389"/>
      <c r="AO97" s="389"/>
      <c r="AP97" s="390"/>
      <c r="AQ97" s="389"/>
      <c r="AR97" s="389"/>
      <c r="AS97" s="389"/>
      <c r="AT97" s="390"/>
      <c r="AU97" s="389"/>
      <c r="AV97" s="389"/>
      <c r="AW97" s="749"/>
      <c r="AX97" s="792"/>
      <c r="AY97" s="749"/>
      <c r="AZ97" s="749"/>
      <c r="BA97" s="389"/>
      <c r="BB97" s="792"/>
      <c r="BC97" s="749"/>
      <c r="BD97" s="749"/>
      <c r="BE97" s="389"/>
      <c r="BF97" s="390"/>
      <c r="BG97" s="749"/>
      <c r="BH97" s="749"/>
      <c r="BI97" s="389"/>
      <c r="BJ97" s="390"/>
      <c r="BK97" s="749"/>
      <c r="BL97" s="749"/>
      <c r="BM97" s="389"/>
      <c r="BN97" s="390"/>
      <c r="CC97" s="821"/>
      <c r="CD97" s="821"/>
      <c r="CE97" s="821"/>
    </row>
    <row r="98" spans="1:84" s="84" customFormat="1">
      <c r="B98" s="377" t="s">
        <v>316</v>
      </c>
      <c r="C98" s="388"/>
      <c r="D98" s="389"/>
      <c r="E98" s="389"/>
      <c r="F98" s="390"/>
      <c r="G98" s="389"/>
      <c r="H98" s="389"/>
      <c r="I98" s="389"/>
      <c r="J98" s="389"/>
      <c r="K98" s="388"/>
      <c r="L98" s="389"/>
      <c r="M98" s="389"/>
      <c r="N98" s="390"/>
      <c r="O98" s="389"/>
      <c r="P98" s="389"/>
      <c r="Q98" s="389"/>
      <c r="R98" s="389"/>
      <c r="S98" s="388"/>
      <c r="T98" s="389"/>
      <c r="U98" s="389"/>
      <c r="V98" s="390"/>
      <c r="W98" s="389"/>
      <c r="X98" s="389"/>
      <c r="Y98" s="389"/>
      <c r="Z98" s="389"/>
      <c r="AA98" s="388"/>
      <c r="AB98" s="389"/>
      <c r="AC98" s="389"/>
      <c r="AD98" s="390"/>
      <c r="AE98" s="389"/>
      <c r="AF98" s="389"/>
      <c r="AG98" s="389"/>
      <c r="AH98" s="389"/>
      <c r="AI98" s="388"/>
      <c r="AJ98" s="389"/>
      <c r="AK98" s="389"/>
      <c r="AL98" s="390"/>
      <c r="AM98" s="388"/>
      <c r="AN98" s="389"/>
      <c r="AO98" s="389"/>
      <c r="AP98" s="390"/>
      <c r="AQ98" s="389"/>
      <c r="AR98" s="389"/>
      <c r="AS98" s="389"/>
      <c r="AT98" s="390"/>
      <c r="AU98" s="389"/>
      <c r="AV98" s="389"/>
      <c r="AW98" s="749"/>
      <c r="AX98" s="792"/>
      <c r="AY98" s="389"/>
      <c r="AZ98" s="749"/>
      <c r="BA98" s="389"/>
      <c r="BB98" s="792"/>
      <c r="BC98" s="389"/>
      <c r="BD98" s="749"/>
      <c r="BE98" s="389"/>
      <c r="BF98" s="390"/>
      <c r="BG98" s="389"/>
      <c r="BH98" s="749"/>
      <c r="BI98" s="389"/>
      <c r="BJ98" s="390"/>
      <c r="BK98" s="389"/>
      <c r="BL98" s="749"/>
      <c r="BM98" s="389"/>
      <c r="BN98" s="390"/>
      <c r="CC98" s="821"/>
      <c r="CD98" s="821"/>
      <c r="CE98" s="821"/>
    </row>
    <row r="99" spans="1:84" s="84" customFormat="1">
      <c r="B99" s="379" t="s">
        <v>264</v>
      </c>
      <c r="C99" s="374"/>
      <c r="D99" s="150"/>
      <c r="E99" s="150"/>
      <c r="F99" s="375"/>
      <c r="G99" s="150"/>
      <c r="H99" s="150"/>
      <c r="I99" s="150"/>
      <c r="J99" s="150"/>
      <c r="K99" s="374"/>
      <c r="L99" s="150"/>
      <c r="M99" s="150"/>
      <c r="N99" s="375"/>
      <c r="O99" s="150"/>
      <c r="P99" s="150"/>
      <c r="Q99" s="150"/>
      <c r="R99" s="150"/>
      <c r="S99" s="374"/>
      <c r="T99" s="150"/>
      <c r="U99" s="150"/>
      <c r="V99" s="375"/>
      <c r="W99" s="150">
        <f t="shared" ref="W99:AT99" si="738">W36*W90</f>
        <v>0</v>
      </c>
      <c r="X99" s="150">
        <f t="shared" si="738"/>
        <v>0</v>
      </c>
      <c r="Y99" s="150">
        <f t="shared" si="738"/>
        <v>0</v>
      </c>
      <c r="Z99" s="150">
        <f t="shared" si="738"/>
        <v>0</v>
      </c>
      <c r="AA99" s="374">
        <f t="shared" si="738"/>
        <v>0</v>
      </c>
      <c r="AB99" s="150">
        <f t="shared" si="738"/>
        <v>0</v>
      </c>
      <c r="AC99" s="150">
        <f t="shared" si="738"/>
        <v>0</v>
      </c>
      <c r="AD99" s="375">
        <f t="shared" si="738"/>
        <v>0</v>
      </c>
      <c r="AE99" s="150">
        <f t="shared" si="738"/>
        <v>102.11319999999998</v>
      </c>
      <c r="AF99" s="150">
        <f t="shared" si="738"/>
        <v>129.56851359999945</v>
      </c>
      <c r="AG99" s="150">
        <f t="shared" si="738"/>
        <v>158.91408700000017</v>
      </c>
      <c r="AH99" s="150">
        <f t="shared" si="738"/>
        <v>130.05151340000012</v>
      </c>
      <c r="AI99" s="374">
        <f t="shared" si="738"/>
        <v>122.16406875000004</v>
      </c>
      <c r="AJ99" s="150">
        <f t="shared" si="738"/>
        <v>147.31395569465133</v>
      </c>
      <c r="AK99" s="150">
        <f t="shared" si="738"/>
        <v>156.01193543837221</v>
      </c>
      <c r="AL99" s="375">
        <f t="shared" si="738"/>
        <v>175.46582598435933</v>
      </c>
      <c r="AM99" s="374">
        <f t="shared" si="738"/>
        <v>158.8846003352715</v>
      </c>
      <c r="AN99" s="150">
        <f t="shared" si="738"/>
        <v>119.27125632477085</v>
      </c>
      <c r="AO99" s="150">
        <f t="shared" si="738"/>
        <v>148.66820728355509</v>
      </c>
      <c r="AP99" s="375">
        <f t="shared" si="738"/>
        <v>189.5879338478203</v>
      </c>
      <c r="AQ99" s="150">
        <f t="shared" si="738"/>
        <v>172.02076548460124</v>
      </c>
      <c r="AR99" s="150">
        <f t="shared" si="738"/>
        <v>191.5372145711068</v>
      </c>
      <c r="AS99" s="150">
        <f t="shared" si="738"/>
        <v>244.44206273598613</v>
      </c>
      <c r="AT99" s="375">
        <f t="shared" si="738"/>
        <v>254.99147303152699</v>
      </c>
      <c r="AU99" s="150">
        <f t="shared" ref="AU99:AX99" si="739">AU36*AU90</f>
        <v>252.29517912917908</v>
      </c>
      <c r="AV99" s="150">
        <f t="shared" si="739"/>
        <v>295.10526933363496</v>
      </c>
      <c r="AW99" s="150">
        <f t="shared" si="739"/>
        <v>464.28189136510633</v>
      </c>
      <c r="AX99" s="774">
        <f t="shared" si="739"/>
        <v>529.47958680076567</v>
      </c>
      <c r="AY99" s="150">
        <f t="shared" ref="AY99:AZ99" si="740">AY36*AY90</f>
        <v>375.4302298037635</v>
      </c>
      <c r="AZ99" s="905">
        <f t="shared" si="740"/>
        <v>489.01985897249864</v>
      </c>
      <c r="BA99" s="150">
        <f t="shared" ref="BA99:BB99" si="741">BA36*BA90</f>
        <v>595.90815263355182</v>
      </c>
      <c r="BB99" s="774">
        <f t="shared" si="741"/>
        <v>630.78670954242853</v>
      </c>
      <c r="BC99" s="150">
        <f t="shared" ref="BC99:BD99" si="742">BC36*BC90</f>
        <v>687.4776669823176</v>
      </c>
      <c r="BD99" s="905">
        <f t="shared" si="742"/>
        <v>772.57957720567356</v>
      </c>
      <c r="BE99" s="150">
        <f t="shared" ref="BE99:BJ99" si="743">BE36*BE90</f>
        <v>829.37050874977592</v>
      </c>
      <c r="BF99" s="375">
        <f t="shared" si="743"/>
        <v>823.70314360665247</v>
      </c>
      <c r="BG99" s="150">
        <f t="shared" si="743"/>
        <v>679.14324190368495</v>
      </c>
      <c r="BH99" s="905">
        <f t="shared" si="743"/>
        <v>820.67669351641314</v>
      </c>
      <c r="BI99" s="150">
        <f t="shared" si="743"/>
        <v>904.05744557768071</v>
      </c>
      <c r="BJ99" s="375">
        <f t="shared" si="743"/>
        <v>913.0980200334576</v>
      </c>
      <c r="BK99" s="150">
        <f t="shared" ref="BK99:BN99" si="744">BK36*BK90</f>
        <v>760.61065068787002</v>
      </c>
      <c r="BL99" s="905">
        <f t="shared" si="744"/>
        <v>919.12191029122232</v>
      </c>
      <c r="BM99" s="150">
        <f t="shared" si="744"/>
        <v>993.75460940686969</v>
      </c>
      <c r="BN99" s="375">
        <f t="shared" si="744"/>
        <v>1003.6921555009383</v>
      </c>
      <c r="BX99" s="59">
        <f t="shared" ref="BX99:BX104" si="745">SUM(AI99:AL99)</f>
        <v>600.95578586738293</v>
      </c>
      <c r="BY99" s="59">
        <f t="shared" ref="BY99:BY104" si="746">SUM(AM99:AP99)</f>
        <v>616.41199779141766</v>
      </c>
      <c r="BZ99" s="59">
        <f t="shared" ref="BZ99:BZ104" si="747">SUM(AQ99:AT99)</f>
        <v>862.99151582322122</v>
      </c>
      <c r="CA99" s="88">
        <f t="shared" ref="CA99:CA100" si="748">SUM(AU99:AX99)</f>
        <v>1541.1619266286859</v>
      </c>
      <c r="CB99" s="88">
        <f>SUM(AY99:BB99)</f>
        <v>2091.1449509522427</v>
      </c>
      <c r="CC99" s="88">
        <f>SUM(BC99:BF99)</f>
        <v>3113.1308965444196</v>
      </c>
      <c r="CD99" s="88">
        <f>SUM(BG99:BJ99)</f>
        <v>3316.9754010312363</v>
      </c>
      <c r="CE99" s="88">
        <f>SUM(BK99:BN99)</f>
        <v>3677.1793258869002</v>
      </c>
    </row>
    <row r="100" spans="1:84" s="84" customFormat="1">
      <c r="B100" s="379" t="s">
        <v>263</v>
      </c>
      <c r="C100" s="374"/>
      <c r="D100" s="150"/>
      <c r="E100" s="150"/>
      <c r="F100" s="375"/>
      <c r="G100" s="150"/>
      <c r="H100" s="150"/>
      <c r="I100" s="150"/>
      <c r="J100" s="150"/>
      <c r="K100" s="374"/>
      <c r="L100" s="150"/>
      <c r="M100" s="150"/>
      <c r="N100" s="375"/>
      <c r="O100" s="150"/>
      <c r="P100" s="150"/>
      <c r="Q100" s="150"/>
      <c r="R100" s="150"/>
      <c r="S100" s="374"/>
      <c r="T100" s="150"/>
      <c r="U100" s="150"/>
      <c r="V100" s="375"/>
      <c r="W100" s="150">
        <f t="shared" ref="W100:AT100" si="749">W49*W91</f>
        <v>0</v>
      </c>
      <c r="X100" s="150">
        <f t="shared" si="749"/>
        <v>0</v>
      </c>
      <c r="Y100" s="150">
        <f t="shared" si="749"/>
        <v>0</v>
      </c>
      <c r="Z100" s="150">
        <f t="shared" si="749"/>
        <v>0</v>
      </c>
      <c r="AA100" s="374">
        <f t="shared" si="749"/>
        <v>0</v>
      </c>
      <c r="AB100" s="150">
        <f t="shared" si="749"/>
        <v>0</v>
      </c>
      <c r="AC100" s="150">
        <f t="shared" si="749"/>
        <v>0</v>
      </c>
      <c r="AD100" s="375">
        <f t="shared" si="749"/>
        <v>0</v>
      </c>
      <c r="AE100" s="150">
        <f t="shared" si="749"/>
        <v>78.84</v>
      </c>
      <c r="AF100" s="150">
        <f t="shared" si="749"/>
        <v>119.69999999999999</v>
      </c>
      <c r="AG100" s="150">
        <f t="shared" si="749"/>
        <v>132.29999999999998</v>
      </c>
      <c r="AH100" s="150">
        <f t="shared" si="749"/>
        <v>133.02449999999999</v>
      </c>
      <c r="AI100" s="374">
        <f t="shared" si="749"/>
        <v>123.71278499999998</v>
      </c>
      <c r="AJ100" s="150">
        <f t="shared" si="749"/>
        <v>124.82299555534883</v>
      </c>
      <c r="AK100" s="150">
        <f t="shared" si="749"/>
        <v>120.79644731162789</v>
      </c>
      <c r="AL100" s="375">
        <f t="shared" si="749"/>
        <v>150.24750052564119</v>
      </c>
      <c r="AM100" s="374">
        <f t="shared" si="749"/>
        <v>140.39779966472847</v>
      </c>
      <c r="AN100" s="150">
        <f t="shared" si="749"/>
        <v>154.37294367522921</v>
      </c>
      <c r="AO100" s="150">
        <f t="shared" si="749"/>
        <v>175.089792716445</v>
      </c>
      <c r="AP100" s="375">
        <f t="shared" si="749"/>
        <v>192.53462053207767</v>
      </c>
      <c r="AQ100" s="150">
        <f t="shared" si="749"/>
        <v>152.32603250188669</v>
      </c>
      <c r="AR100" s="150">
        <f t="shared" si="749"/>
        <v>144.38563293529904</v>
      </c>
      <c r="AS100" s="150">
        <f t="shared" si="749"/>
        <v>171.01034364856818</v>
      </c>
      <c r="AT100" s="375">
        <f t="shared" si="749"/>
        <v>177.85075739451091</v>
      </c>
      <c r="AU100" s="150">
        <f t="shared" ref="AU100:AX100" si="750">AU49*AU91</f>
        <v>111.51041303147616</v>
      </c>
      <c r="AV100" s="150">
        <f t="shared" si="750"/>
        <v>117.37537592904906</v>
      </c>
      <c r="AW100" s="150">
        <f t="shared" si="750"/>
        <v>167.84678757854016</v>
      </c>
      <c r="AX100" s="774">
        <f t="shared" si="750"/>
        <v>185.75639693399506</v>
      </c>
      <c r="AY100" s="150">
        <f t="shared" ref="AY100:AZ100" si="751">AY49*AY91</f>
        <v>137.23961240078955</v>
      </c>
      <c r="AZ100" s="905">
        <f t="shared" si="751"/>
        <v>178.26474485232066</v>
      </c>
      <c r="BA100" s="150">
        <f t="shared" ref="BA100:BB100" si="752">BA49*BA91</f>
        <v>238.60468701365835</v>
      </c>
      <c r="BB100" s="774">
        <f t="shared" si="752"/>
        <v>230.32109243706915</v>
      </c>
      <c r="BC100" s="150">
        <f t="shared" ref="BC100:BD100" si="753">BC49*BC91</f>
        <v>275.37189811775983</v>
      </c>
      <c r="BD100" s="905">
        <f t="shared" si="753"/>
        <v>312.84053343542234</v>
      </c>
      <c r="BE100" s="150">
        <f t="shared" ref="BE100:BJ100" si="754">BE49*BE91</f>
        <v>341.43415819141995</v>
      </c>
      <c r="BF100" s="375">
        <f t="shared" si="754"/>
        <v>362.83809651150972</v>
      </c>
      <c r="BG100" s="150">
        <f t="shared" si="754"/>
        <v>292.12095150141641</v>
      </c>
      <c r="BH100" s="905">
        <f t="shared" si="754"/>
        <v>352.99895779431165</v>
      </c>
      <c r="BI100" s="150">
        <f t="shared" si="754"/>
        <v>388.8636519062137</v>
      </c>
      <c r="BJ100" s="375">
        <f t="shared" si="754"/>
        <v>392.75228842527582</v>
      </c>
      <c r="BK100" s="150">
        <f t="shared" ref="BK100:BN100" si="755">BK49*BK91</f>
        <v>319.46471140511937</v>
      </c>
      <c r="BL100" s="905">
        <f t="shared" si="755"/>
        <v>386.0411572619463</v>
      </c>
      <c r="BM100" s="150">
        <f t="shared" si="755"/>
        <v>421.32531903568832</v>
      </c>
      <c r="BN100" s="375">
        <f t="shared" si="755"/>
        <v>425.53857222604518</v>
      </c>
      <c r="BX100" s="59">
        <f t="shared" si="745"/>
        <v>519.57972839261788</v>
      </c>
      <c r="BY100" s="59">
        <f t="shared" si="746"/>
        <v>662.3951565884804</v>
      </c>
      <c r="BZ100" s="59">
        <f t="shared" si="747"/>
        <v>645.57276648026482</v>
      </c>
      <c r="CA100" s="88">
        <f t="shared" si="748"/>
        <v>582.48897347306047</v>
      </c>
      <c r="CB100" s="88">
        <f>SUM(AY100:BB100)</f>
        <v>784.43013670383777</v>
      </c>
      <c r="CC100" s="88">
        <f>SUM(BC100:BF100)</f>
        <v>1292.4846862561119</v>
      </c>
      <c r="CD100" s="88">
        <f>SUM(BG100:BJ100)</f>
        <v>1426.7358496272177</v>
      </c>
      <c r="CE100" s="88">
        <f>SUM(BK100:BN100)</f>
        <v>1552.3697599287993</v>
      </c>
    </row>
    <row r="101" spans="1:84" s="84" customFormat="1">
      <c r="B101" s="84" t="s">
        <v>262</v>
      </c>
      <c r="C101" s="374"/>
      <c r="D101" s="150"/>
      <c r="E101" s="150"/>
      <c r="F101" s="375"/>
      <c r="G101" s="150"/>
      <c r="H101" s="150"/>
      <c r="I101" s="150"/>
      <c r="J101" s="150"/>
      <c r="K101" s="374"/>
      <c r="L101" s="150"/>
      <c r="M101" s="150"/>
      <c r="N101" s="375"/>
      <c r="O101" s="150"/>
      <c r="P101" s="150"/>
      <c r="Q101" s="150"/>
      <c r="R101" s="150"/>
      <c r="S101" s="374"/>
      <c r="T101" s="150"/>
      <c r="U101" s="150"/>
      <c r="V101" s="375"/>
      <c r="W101" s="150"/>
      <c r="X101" s="150"/>
      <c r="Y101" s="150"/>
      <c r="Z101" s="150"/>
      <c r="AA101" s="374"/>
      <c r="AB101" s="150"/>
      <c r="AC101" s="150"/>
      <c r="AD101" s="375"/>
      <c r="AE101" s="150"/>
      <c r="AF101" s="150"/>
      <c r="AG101" s="150"/>
      <c r="AH101" s="150"/>
      <c r="AI101" s="374"/>
      <c r="AJ101" s="150"/>
      <c r="AK101" s="150"/>
      <c r="AL101" s="375"/>
      <c r="AM101" s="374"/>
      <c r="AN101" s="150"/>
      <c r="AO101" s="150"/>
      <c r="AP101" s="375"/>
      <c r="AQ101" s="150"/>
      <c r="AR101" s="150"/>
      <c r="AS101" s="150"/>
      <c r="AT101" s="375"/>
      <c r="AU101" s="150"/>
      <c r="AV101" s="150"/>
      <c r="AW101" s="150"/>
      <c r="AX101" s="774"/>
      <c r="AY101" s="150"/>
      <c r="AZ101" s="905"/>
      <c r="BA101" s="150"/>
      <c r="BB101" s="774"/>
      <c r="BC101" s="150"/>
      <c r="BD101" s="905"/>
      <c r="BE101" s="150"/>
      <c r="BF101" s="375"/>
      <c r="BG101" s="150"/>
      <c r="BH101" s="905"/>
      <c r="BI101" s="150"/>
      <c r="BJ101" s="375"/>
      <c r="BK101" s="150"/>
      <c r="BL101" s="905"/>
      <c r="BM101" s="150"/>
      <c r="BN101" s="375"/>
      <c r="CA101" s="88"/>
      <c r="CB101" s="88"/>
      <c r="CC101" s="88"/>
      <c r="CD101" s="88"/>
      <c r="CE101" s="88"/>
    </row>
    <row r="102" spans="1:84">
      <c r="B102" s="114" t="s">
        <v>266</v>
      </c>
      <c r="C102" s="294"/>
      <c r="D102" s="53"/>
      <c r="E102" s="53"/>
      <c r="F102" s="282"/>
      <c r="G102" s="53"/>
      <c r="H102" s="53"/>
      <c r="I102" s="53"/>
      <c r="J102" s="53"/>
      <c r="K102" s="294"/>
      <c r="L102" s="53"/>
      <c r="M102" s="53"/>
      <c r="N102" s="282"/>
      <c r="O102" s="53"/>
      <c r="P102" s="53"/>
      <c r="Q102" s="53"/>
      <c r="R102" s="53"/>
      <c r="S102" s="294">
        <f t="shared" ref="S102:AT102" si="756">S73*S93</f>
        <v>0</v>
      </c>
      <c r="T102" s="53">
        <f t="shared" si="756"/>
        <v>0</v>
      </c>
      <c r="U102" s="53">
        <f t="shared" si="756"/>
        <v>0</v>
      </c>
      <c r="V102" s="282">
        <f t="shared" si="756"/>
        <v>0</v>
      </c>
      <c r="W102" s="53">
        <f t="shared" si="756"/>
        <v>0</v>
      </c>
      <c r="X102" s="53">
        <f t="shared" si="756"/>
        <v>0</v>
      </c>
      <c r="Y102" s="53">
        <f t="shared" si="756"/>
        <v>0</v>
      </c>
      <c r="Z102" s="53">
        <f t="shared" si="756"/>
        <v>0</v>
      </c>
      <c r="AA102" s="294">
        <f t="shared" si="756"/>
        <v>0</v>
      </c>
      <c r="AB102" s="53">
        <f t="shared" si="756"/>
        <v>0</v>
      </c>
      <c r="AC102" s="53">
        <f t="shared" si="756"/>
        <v>0</v>
      </c>
      <c r="AD102" s="282">
        <f t="shared" si="756"/>
        <v>0</v>
      </c>
      <c r="AE102" s="53">
        <f t="shared" si="756"/>
        <v>19.25</v>
      </c>
      <c r="AF102" s="53">
        <f t="shared" si="756"/>
        <v>18.899999999999999</v>
      </c>
      <c r="AG102" s="53">
        <f t="shared" si="756"/>
        <v>36.4</v>
      </c>
      <c r="AH102" s="53">
        <f t="shared" si="756"/>
        <v>21</v>
      </c>
      <c r="AI102" s="374">
        <f t="shared" si="756"/>
        <v>22.5</v>
      </c>
      <c r="AJ102" s="150">
        <f t="shared" si="756"/>
        <v>35.25</v>
      </c>
      <c r="AK102" s="150">
        <f t="shared" si="756"/>
        <v>40.81</v>
      </c>
      <c r="AL102" s="375">
        <f t="shared" si="756"/>
        <v>27.71094634</v>
      </c>
      <c r="AM102" s="374">
        <f t="shared" si="756"/>
        <v>40</v>
      </c>
      <c r="AN102" s="150">
        <f t="shared" si="756"/>
        <v>59.2</v>
      </c>
      <c r="AO102" s="150">
        <f t="shared" si="756"/>
        <v>64</v>
      </c>
      <c r="AP102" s="375">
        <f t="shared" si="756"/>
        <v>62.400000000000006</v>
      </c>
      <c r="AQ102" s="150">
        <f t="shared" si="756"/>
        <v>63.2</v>
      </c>
      <c r="AR102" s="150">
        <f t="shared" si="756"/>
        <v>48.75</v>
      </c>
      <c r="AS102" s="53">
        <f t="shared" si="756"/>
        <v>54</v>
      </c>
      <c r="AT102" s="375">
        <f t="shared" si="756"/>
        <v>63.75</v>
      </c>
      <c r="AU102" s="53">
        <f t="shared" ref="AU102:AX102" si="757">AU73*AU93</f>
        <v>98.25</v>
      </c>
      <c r="AV102" s="53">
        <f t="shared" si="757"/>
        <v>101.25</v>
      </c>
      <c r="AW102" s="53">
        <f t="shared" si="757"/>
        <v>165</v>
      </c>
      <c r="AX102" s="793">
        <f t="shared" si="757"/>
        <v>207</v>
      </c>
      <c r="AY102" s="53">
        <f t="shared" ref="AY102:AZ102" si="758">AY73*AY93</f>
        <v>288</v>
      </c>
      <c r="AZ102" s="910">
        <f t="shared" si="758"/>
        <v>293.25</v>
      </c>
      <c r="BA102" s="53">
        <f t="shared" ref="BA102:BB102" si="759">BA73*BA93</f>
        <v>355.5</v>
      </c>
      <c r="BB102" s="793">
        <f t="shared" si="759"/>
        <v>432</v>
      </c>
      <c r="BC102" s="53">
        <f t="shared" ref="BC102:BD102" si="760">BC73*BC93</f>
        <v>450</v>
      </c>
      <c r="BD102" s="910">
        <f t="shared" si="760"/>
        <v>473.6</v>
      </c>
      <c r="BE102" s="53">
        <f t="shared" ref="BE102:BJ102" si="761">BE73*BE93</f>
        <v>513.85599999999999</v>
      </c>
      <c r="BF102" s="282">
        <f t="shared" si="761"/>
        <v>590.93439999999998</v>
      </c>
      <c r="BG102" s="53">
        <f t="shared" si="761"/>
        <v>626.39046400000007</v>
      </c>
      <c r="BH102" s="910">
        <f t="shared" si="761"/>
        <v>660.84193951999998</v>
      </c>
      <c r="BI102" s="53">
        <f t="shared" si="761"/>
        <v>697.18824619359987</v>
      </c>
      <c r="BJ102" s="282">
        <f t="shared" si="761"/>
        <v>735.5335997342479</v>
      </c>
      <c r="BK102" s="53">
        <f t="shared" ref="BK102:BN102" si="762">BK73*BK93</f>
        <v>783.34328371697381</v>
      </c>
      <c r="BL102" s="910">
        <f t="shared" si="762"/>
        <v>834.26059715857707</v>
      </c>
      <c r="BM102" s="53">
        <f t="shared" si="762"/>
        <v>888.48753597388463</v>
      </c>
      <c r="BN102" s="282">
        <f t="shared" si="762"/>
        <v>946.2392258121871</v>
      </c>
      <c r="BX102" s="59">
        <f t="shared" si="745"/>
        <v>126.27094633999999</v>
      </c>
      <c r="BY102" s="59">
        <f t="shared" si="746"/>
        <v>225.6</v>
      </c>
      <c r="BZ102" s="59">
        <f t="shared" si="747"/>
        <v>229.7</v>
      </c>
      <c r="CA102" s="29">
        <f t="shared" ref="CA102:CA105" si="763">SUM(AU102:AX102)</f>
        <v>571.5</v>
      </c>
      <c r="CB102" s="29">
        <f>SUM(AY102:BB102)</f>
        <v>1368.75</v>
      </c>
      <c r="CC102" s="29">
        <f>SUM(BC102:BF102)</f>
        <v>2028.3904000000002</v>
      </c>
      <c r="CD102" s="29">
        <f>SUM(BG102:BJ102)</f>
        <v>2719.9542494478474</v>
      </c>
      <c r="CE102" s="29">
        <f>SUM(BK102:BN102)</f>
        <v>3452.3306426616227</v>
      </c>
    </row>
    <row r="103" spans="1:84">
      <c r="B103" s="114" t="s">
        <v>267</v>
      </c>
      <c r="C103" s="294"/>
      <c r="D103" s="53"/>
      <c r="E103" s="53"/>
      <c r="F103" s="282"/>
      <c r="G103" s="53"/>
      <c r="H103" s="53"/>
      <c r="I103" s="53"/>
      <c r="J103" s="53"/>
      <c r="K103" s="294"/>
      <c r="L103" s="53"/>
      <c r="M103" s="53"/>
      <c r="N103" s="282"/>
      <c r="O103" s="53"/>
      <c r="P103" s="53"/>
      <c r="Q103" s="53"/>
      <c r="R103" s="53"/>
      <c r="S103" s="294">
        <f t="shared" ref="S103:AT103" si="764">S76*S94</f>
        <v>0</v>
      </c>
      <c r="T103" s="53">
        <f t="shared" si="764"/>
        <v>0</v>
      </c>
      <c r="U103" s="53">
        <f t="shared" si="764"/>
        <v>0</v>
      </c>
      <c r="V103" s="282">
        <f t="shared" si="764"/>
        <v>0</v>
      </c>
      <c r="W103" s="53">
        <f t="shared" si="764"/>
        <v>0</v>
      </c>
      <c r="X103" s="53">
        <f t="shared" si="764"/>
        <v>0</v>
      </c>
      <c r="Y103" s="53">
        <f t="shared" si="764"/>
        <v>0</v>
      </c>
      <c r="Z103" s="53">
        <f t="shared" si="764"/>
        <v>0</v>
      </c>
      <c r="AA103" s="294">
        <f t="shared" si="764"/>
        <v>0</v>
      </c>
      <c r="AB103" s="53">
        <f t="shared" si="764"/>
        <v>0</v>
      </c>
      <c r="AC103" s="53">
        <f t="shared" si="764"/>
        <v>0</v>
      </c>
      <c r="AD103" s="282">
        <f t="shared" si="764"/>
        <v>0</v>
      </c>
      <c r="AE103" s="53">
        <f t="shared" si="764"/>
        <v>129.57</v>
      </c>
      <c r="AF103" s="53">
        <f t="shared" si="764"/>
        <v>118.51580159999999</v>
      </c>
      <c r="AG103" s="53">
        <f t="shared" si="764"/>
        <v>118.92979699999999</v>
      </c>
      <c r="AH103" s="53">
        <f t="shared" si="764"/>
        <v>129.9554354</v>
      </c>
      <c r="AI103" s="374">
        <f t="shared" si="764"/>
        <v>132.29999999999998</v>
      </c>
      <c r="AJ103" s="150">
        <f t="shared" si="764"/>
        <v>143.5</v>
      </c>
      <c r="AK103" s="150">
        <f t="shared" si="764"/>
        <v>148.53551019999998</v>
      </c>
      <c r="AL103" s="375">
        <f t="shared" si="764"/>
        <v>139.29999999999998</v>
      </c>
      <c r="AM103" s="374">
        <f t="shared" si="764"/>
        <v>133.69999999999999</v>
      </c>
      <c r="AN103" s="150">
        <f t="shared" si="764"/>
        <v>145.6</v>
      </c>
      <c r="AO103" s="150">
        <f t="shared" si="764"/>
        <v>144.19999999999999</v>
      </c>
      <c r="AP103" s="375">
        <f t="shared" si="764"/>
        <v>133</v>
      </c>
      <c r="AQ103" s="150">
        <f t="shared" si="764"/>
        <v>126.69999999999999</v>
      </c>
      <c r="AR103" s="150">
        <f t="shared" si="764"/>
        <v>119.68</v>
      </c>
      <c r="AS103" s="53">
        <f t="shared" si="764"/>
        <v>133</v>
      </c>
      <c r="AT103" s="375">
        <f t="shared" si="764"/>
        <v>146.16</v>
      </c>
      <c r="AU103" s="53">
        <f t="shared" ref="AU103:AX103" si="765">AU76*AU94</f>
        <v>136.07999999999998</v>
      </c>
      <c r="AV103" s="53">
        <f t="shared" si="765"/>
        <v>154.07999999999998</v>
      </c>
      <c r="AW103" s="53">
        <f t="shared" si="765"/>
        <v>149.04</v>
      </c>
      <c r="AX103" s="793">
        <f t="shared" si="765"/>
        <v>162</v>
      </c>
      <c r="AY103" s="53">
        <f t="shared" ref="AY103:AZ103" si="766">AY76*AY94</f>
        <v>147.6</v>
      </c>
      <c r="AZ103" s="910">
        <f t="shared" si="766"/>
        <v>169.2</v>
      </c>
      <c r="BA103" s="53">
        <f t="shared" ref="BA103:BB103" si="767">BA76*BA94</f>
        <v>172.07999999999998</v>
      </c>
      <c r="BB103" s="793">
        <f t="shared" si="767"/>
        <v>182.88</v>
      </c>
      <c r="BC103" s="53">
        <f t="shared" ref="BC103:BD103" si="768">BC76*BC94</f>
        <v>193.59880000000001</v>
      </c>
      <c r="BD103" s="910">
        <f t="shared" si="768"/>
        <v>190.25006399999998</v>
      </c>
      <c r="BE103" s="53">
        <f t="shared" ref="BE103:BJ103" si="769">BE76*BE94</f>
        <v>192.15256463999998</v>
      </c>
      <c r="BF103" s="282">
        <f t="shared" si="769"/>
        <v>194.07409028639998</v>
      </c>
      <c r="BG103" s="53">
        <f t="shared" si="769"/>
        <v>198.92594254355996</v>
      </c>
      <c r="BH103" s="910">
        <f t="shared" si="769"/>
        <v>203.89909110714893</v>
      </c>
      <c r="BI103" s="53">
        <f t="shared" si="769"/>
        <v>208.99656838482764</v>
      </c>
      <c r="BJ103" s="282">
        <f t="shared" si="769"/>
        <v>214.2214825944483</v>
      </c>
      <c r="BK103" s="53">
        <f t="shared" ref="BK103:BN103" si="770">BK76*BK94</f>
        <v>219.57701965930951</v>
      </c>
      <c r="BL103" s="910">
        <f t="shared" si="770"/>
        <v>225.06644515079222</v>
      </c>
      <c r="BM103" s="53">
        <f t="shared" si="770"/>
        <v>230.69310627956199</v>
      </c>
      <c r="BN103" s="282">
        <f t="shared" si="770"/>
        <v>236.460433936551</v>
      </c>
      <c r="BX103" s="59">
        <f t="shared" si="745"/>
        <v>563.63551019999989</v>
      </c>
      <c r="BY103" s="59">
        <f t="shared" si="746"/>
        <v>556.5</v>
      </c>
      <c r="BZ103" s="59">
        <f t="shared" si="747"/>
        <v>525.54</v>
      </c>
      <c r="CA103" s="29">
        <f t="shared" si="763"/>
        <v>601.19999999999993</v>
      </c>
      <c r="CB103" s="29">
        <f>SUM(AY103:BB103)</f>
        <v>671.76</v>
      </c>
      <c r="CC103" s="29">
        <f>SUM(BC103:BF103)</f>
        <v>770.07551892639992</v>
      </c>
      <c r="CD103" s="29">
        <f>SUM(BG103:BJ103)</f>
        <v>826.04308462998472</v>
      </c>
      <c r="CE103" s="29">
        <f>SUM(BK103:BN103)</f>
        <v>911.79700502621472</v>
      </c>
    </row>
    <row r="104" spans="1:84">
      <c r="B104" s="114" t="s">
        <v>268</v>
      </c>
      <c r="C104" s="294"/>
      <c r="D104" s="53"/>
      <c r="E104" s="53"/>
      <c r="F104" s="282"/>
      <c r="G104" s="53"/>
      <c r="H104" s="53"/>
      <c r="I104" s="53"/>
      <c r="J104" s="53"/>
      <c r="K104" s="294"/>
      <c r="L104" s="53"/>
      <c r="M104" s="53"/>
      <c r="N104" s="282"/>
      <c r="O104" s="53"/>
      <c r="P104" s="53"/>
      <c r="Q104" s="53"/>
      <c r="R104" s="53"/>
      <c r="S104" s="294"/>
      <c r="T104" s="53"/>
      <c r="U104" s="53"/>
      <c r="V104" s="282"/>
      <c r="W104" s="53">
        <f t="shared" ref="W104:AT104" si="771">W79*W95</f>
        <v>0</v>
      </c>
      <c r="X104" s="53">
        <f t="shared" si="771"/>
        <v>0</v>
      </c>
      <c r="Y104" s="53">
        <f t="shared" si="771"/>
        <v>0</v>
      </c>
      <c r="Z104" s="53">
        <f t="shared" si="771"/>
        <v>0</v>
      </c>
      <c r="AA104" s="294">
        <f t="shared" si="771"/>
        <v>0</v>
      </c>
      <c r="AB104" s="53">
        <f t="shared" si="771"/>
        <v>0</v>
      </c>
      <c r="AC104" s="53">
        <f t="shared" si="771"/>
        <v>0</v>
      </c>
      <c r="AD104" s="282">
        <f t="shared" si="771"/>
        <v>0</v>
      </c>
      <c r="AE104" s="53">
        <f t="shared" si="771"/>
        <v>0</v>
      </c>
      <c r="AF104" s="53">
        <f t="shared" si="771"/>
        <v>0</v>
      </c>
      <c r="AG104" s="53">
        <f t="shared" si="771"/>
        <v>0</v>
      </c>
      <c r="AH104" s="53">
        <f t="shared" si="771"/>
        <v>0</v>
      </c>
      <c r="AI104" s="374">
        <f t="shared" si="771"/>
        <v>2.94614625</v>
      </c>
      <c r="AJ104" s="150">
        <f t="shared" si="771"/>
        <v>3.2197987500000003</v>
      </c>
      <c r="AK104" s="150">
        <f t="shared" si="771"/>
        <v>3.3758070500000001</v>
      </c>
      <c r="AL104" s="375">
        <f t="shared" si="771"/>
        <v>3.6461771499999998</v>
      </c>
      <c r="AM104" s="374">
        <f t="shared" si="771"/>
        <v>5.6000000000000005</v>
      </c>
      <c r="AN104" s="150">
        <f t="shared" si="771"/>
        <v>7.2</v>
      </c>
      <c r="AO104" s="150">
        <f t="shared" si="771"/>
        <v>8</v>
      </c>
      <c r="AP104" s="375">
        <f t="shared" si="771"/>
        <v>8</v>
      </c>
      <c r="AQ104" s="150">
        <f t="shared" si="771"/>
        <v>7.2</v>
      </c>
      <c r="AR104" s="150">
        <f t="shared" si="771"/>
        <v>5.6</v>
      </c>
      <c r="AS104" s="53">
        <f t="shared" si="771"/>
        <v>7</v>
      </c>
      <c r="AT104" s="375">
        <f t="shared" si="771"/>
        <v>8.3999999999999986</v>
      </c>
      <c r="AU104" s="53">
        <f t="shared" ref="AU104:AX104" si="772">AU79*AU95</f>
        <v>8.3999999999999986</v>
      </c>
      <c r="AV104" s="53">
        <f t="shared" si="772"/>
        <v>11.2</v>
      </c>
      <c r="AW104" s="53">
        <f t="shared" si="772"/>
        <v>14</v>
      </c>
      <c r="AX104" s="793">
        <f t="shared" si="772"/>
        <v>14</v>
      </c>
      <c r="AY104" s="53">
        <f t="shared" ref="AY104:AZ104" si="773">AY79*AY95</f>
        <v>17.5</v>
      </c>
      <c r="AZ104" s="910">
        <f t="shared" si="773"/>
        <v>17.5</v>
      </c>
      <c r="BA104" s="53">
        <f t="shared" ref="BA104:BB104" si="774">BA79*BA95</f>
        <v>18.899999999999999</v>
      </c>
      <c r="BB104" s="793">
        <f t="shared" si="774"/>
        <v>21</v>
      </c>
      <c r="BC104" s="53">
        <f t="shared" ref="BC104:BD104" si="775">BC79*BC95</f>
        <v>23.52</v>
      </c>
      <c r="BD104" s="910">
        <f t="shared" si="775"/>
        <v>26.342400000000001</v>
      </c>
      <c r="BE104" s="53">
        <f t="shared" ref="BE104:BJ104" si="776">BE79*BE95</f>
        <v>29.503488000000004</v>
      </c>
      <c r="BF104" s="282">
        <f t="shared" si="776"/>
        <v>33.043906560000011</v>
      </c>
      <c r="BG104" s="53">
        <f t="shared" si="776"/>
        <v>34.365662822400012</v>
      </c>
      <c r="BH104" s="910">
        <f t="shared" si="776"/>
        <v>35.740289335296012</v>
      </c>
      <c r="BI104" s="53">
        <f t="shared" si="776"/>
        <v>37.169900908707852</v>
      </c>
      <c r="BJ104" s="282">
        <f t="shared" si="776"/>
        <v>38.656696945056169</v>
      </c>
      <c r="BK104" s="53">
        <f t="shared" ref="BK104:BN104" si="777">BK79*BK95</f>
        <v>40.589531792308982</v>
      </c>
      <c r="BL104" s="910">
        <f t="shared" si="777"/>
        <v>42.619008381924431</v>
      </c>
      <c r="BM104" s="53">
        <f t="shared" si="777"/>
        <v>44.749958801020654</v>
      </c>
      <c r="BN104" s="282">
        <f t="shared" si="777"/>
        <v>46.987456741071696</v>
      </c>
      <c r="BX104" s="59">
        <f t="shared" si="745"/>
        <v>13.187929200000001</v>
      </c>
      <c r="BY104" s="59">
        <f t="shared" si="746"/>
        <v>28.8</v>
      </c>
      <c r="BZ104" s="59">
        <f t="shared" si="747"/>
        <v>28.2</v>
      </c>
      <c r="CA104" s="29">
        <f t="shared" si="763"/>
        <v>47.599999999999994</v>
      </c>
      <c r="CB104" s="29">
        <f>SUM(AY104:BB104)</f>
        <v>74.900000000000006</v>
      </c>
      <c r="CC104" s="29">
        <f>SUM(BC104:BF104)</f>
        <v>112.40979456000002</v>
      </c>
      <c r="CD104" s="29">
        <f>SUM(BG104:BJ104)</f>
        <v>145.93255001146002</v>
      </c>
      <c r="CE104" s="29">
        <f>SUM(BK104:BN104)</f>
        <v>174.94595571632576</v>
      </c>
    </row>
    <row r="105" spans="1:84">
      <c r="B105" s="114" t="s">
        <v>315</v>
      </c>
      <c r="C105" s="294"/>
      <c r="D105" s="53"/>
      <c r="E105" s="53"/>
      <c r="F105" s="282"/>
      <c r="G105" s="53"/>
      <c r="H105" s="53"/>
      <c r="I105" s="53"/>
      <c r="J105" s="53"/>
      <c r="K105" s="294"/>
      <c r="L105" s="53"/>
      <c r="M105" s="53"/>
      <c r="N105" s="282"/>
      <c r="O105" s="53"/>
      <c r="P105" s="53"/>
      <c r="Q105" s="53"/>
      <c r="R105" s="53"/>
      <c r="S105" s="294"/>
      <c r="T105" s="53"/>
      <c r="U105" s="53"/>
      <c r="V105" s="282"/>
      <c r="W105" s="53">
        <f t="shared" ref="W105:AT105" si="778">W82*W96</f>
        <v>0</v>
      </c>
      <c r="X105" s="53">
        <f t="shared" si="778"/>
        <v>0</v>
      </c>
      <c r="Y105" s="53">
        <f t="shared" si="778"/>
        <v>0</v>
      </c>
      <c r="Z105" s="53">
        <f t="shared" si="778"/>
        <v>0</v>
      </c>
      <c r="AA105" s="294">
        <f t="shared" si="778"/>
        <v>0</v>
      </c>
      <c r="AB105" s="53">
        <f t="shared" si="778"/>
        <v>0</v>
      </c>
      <c r="AC105" s="53">
        <f t="shared" si="778"/>
        <v>0</v>
      </c>
      <c r="AD105" s="282">
        <f t="shared" si="778"/>
        <v>0</v>
      </c>
      <c r="AE105" s="53">
        <f t="shared" si="778"/>
        <v>4.0259999999999989</v>
      </c>
      <c r="AF105" s="53">
        <f t="shared" si="778"/>
        <v>2.9262848000000079</v>
      </c>
      <c r="AG105" s="53">
        <f t="shared" si="778"/>
        <v>0.80371599999995169</v>
      </c>
      <c r="AH105" s="53">
        <f t="shared" si="778"/>
        <v>0.40535120000000691</v>
      </c>
      <c r="AI105" s="374">
        <f t="shared" si="778"/>
        <v>0</v>
      </c>
      <c r="AJ105" s="150">
        <f t="shared" si="778"/>
        <v>0</v>
      </c>
      <c r="AK105" s="150">
        <f t="shared" si="778"/>
        <v>0</v>
      </c>
      <c r="AL105" s="375">
        <f t="shared" si="778"/>
        <v>0</v>
      </c>
      <c r="AM105" s="374">
        <f t="shared" si="778"/>
        <v>0</v>
      </c>
      <c r="AN105" s="150">
        <f t="shared" si="778"/>
        <v>0</v>
      </c>
      <c r="AO105" s="150">
        <f t="shared" si="778"/>
        <v>0</v>
      </c>
      <c r="AP105" s="375">
        <f t="shared" si="778"/>
        <v>0</v>
      </c>
      <c r="AQ105" s="150">
        <f t="shared" si="778"/>
        <v>0</v>
      </c>
      <c r="AR105" s="150">
        <f t="shared" si="778"/>
        <v>0</v>
      </c>
      <c r="AS105" s="53">
        <f t="shared" si="778"/>
        <v>0</v>
      </c>
      <c r="AT105" s="375">
        <f t="shared" si="778"/>
        <v>0</v>
      </c>
      <c r="AU105" s="53">
        <f t="shared" ref="AU105:AX105" si="779">AU82*AU96</f>
        <v>0</v>
      </c>
      <c r="AV105" s="53">
        <f t="shared" si="779"/>
        <v>0</v>
      </c>
      <c r="AW105" s="53">
        <f t="shared" si="779"/>
        <v>0</v>
      </c>
      <c r="AX105" s="793">
        <f t="shared" si="779"/>
        <v>0</v>
      </c>
      <c r="AY105" s="53">
        <f t="shared" ref="AY105:AZ105" si="780">AY82*AY96</f>
        <v>0</v>
      </c>
      <c r="AZ105" s="910">
        <f t="shared" si="780"/>
        <v>0</v>
      </c>
      <c r="BA105" s="53">
        <f t="shared" ref="BA105:BB105" si="781">BA82*BA96</f>
        <v>0</v>
      </c>
      <c r="BB105" s="793">
        <f t="shared" si="781"/>
        <v>0</v>
      </c>
      <c r="BC105" s="53">
        <f t="shared" ref="BC105:BD105" si="782">BC82*BC96</f>
        <v>0</v>
      </c>
      <c r="BD105" s="910">
        <f t="shared" si="782"/>
        <v>0</v>
      </c>
      <c r="BE105" s="53">
        <f t="shared" ref="BE105:BJ105" si="783">BE82*BE96</f>
        <v>0</v>
      </c>
      <c r="BF105" s="282">
        <f t="shared" si="783"/>
        <v>0</v>
      </c>
      <c r="BG105" s="53">
        <f t="shared" si="783"/>
        <v>0</v>
      </c>
      <c r="BH105" s="910">
        <f t="shared" si="783"/>
        <v>0</v>
      </c>
      <c r="BI105" s="53">
        <f t="shared" si="783"/>
        <v>0</v>
      </c>
      <c r="BJ105" s="282">
        <f t="shared" si="783"/>
        <v>0</v>
      </c>
      <c r="BK105" s="53">
        <f t="shared" ref="BK105:BN105" si="784">BK82*BK96</f>
        <v>0</v>
      </c>
      <c r="BL105" s="910">
        <f t="shared" si="784"/>
        <v>0</v>
      </c>
      <c r="BM105" s="53">
        <f t="shared" si="784"/>
        <v>0</v>
      </c>
      <c r="BN105" s="282">
        <f t="shared" si="784"/>
        <v>0</v>
      </c>
      <c r="BX105" s="29">
        <f>SUM(AI105:AL105)</f>
        <v>0</v>
      </c>
      <c r="BY105" s="29">
        <f>SUM(AM105:AP105)</f>
        <v>0</v>
      </c>
      <c r="BZ105" s="29">
        <f>SUM(AQ105:AT105)</f>
        <v>0</v>
      </c>
      <c r="CA105" s="46">
        <f t="shared" si="763"/>
        <v>0</v>
      </c>
      <c r="CB105" s="46">
        <f>SUM(AY105:BB105)</f>
        <v>0</v>
      </c>
      <c r="CC105" s="46">
        <f>SUM(BC105:BF105)</f>
        <v>0</v>
      </c>
      <c r="CD105" s="46">
        <f>SUM(BG105:BJ105)</f>
        <v>0</v>
      </c>
      <c r="CE105" s="46">
        <f>SUM(BK105:BN105)</f>
        <v>0</v>
      </c>
    </row>
    <row r="106" spans="1:84">
      <c r="B106" s="249" t="s">
        <v>250</v>
      </c>
      <c r="C106" s="391"/>
      <c r="D106" s="392"/>
      <c r="E106" s="392"/>
      <c r="F106" s="393"/>
      <c r="G106" s="392"/>
      <c r="H106" s="392"/>
      <c r="I106" s="392"/>
      <c r="J106" s="392"/>
      <c r="K106" s="391"/>
      <c r="L106" s="392"/>
      <c r="M106" s="392"/>
      <c r="N106" s="393"/>
      <c r="O106" s="392"/>
      <c r="P106" s="392"/>
      <c r="Q106" s="392"/>
      <c r="R106" s="392"/>
      <c r="S106" s="391"/>
      <c r="T106" s="392"/>
      <c r="U106" s="392"/>
      <c r="V106" s="393"/>
      <c r="W106" s="55">
        <f>SUM(W99:W105)</f>
        <v>0</v>
      </c>
      <c r="X106" s="55">
        <f t="shared" ref="X106:AO106" si="785">SUM(X99:X105)</f>
        <v>0</v>
      </c>
      <c r="Y106" s="55">
        <f t="shared" si="785"/>
        <v>0</v>
      </c>
      <c r="Z106" s="55">
        <f t="shared" si="785"/>
        <v>0</v>
      </c>
      <c r="AA106" s="394">
        <f t="shared" si="785"/>
        <v>0</v>
      </c>
      <c r="AB106" s="55">
        <f t="shared" si="785"/>
        <v>0</v>
      </c>
      <c r="AC106" s="55">
        <f t="shared" si="785"/>
        <v>0</v>
      </c>
      <c r="AD106" s="283">
        <f t="shared" si="785"/>
        <v>0</v>
      </c>
      <c r="AE106" s="55">
        <f t="shared" si="785"/>
        <v>333.79919999999998</v>
      </c>
      <c r="AF106" s="55">
        <f t="shared" si="785"/>
        <v>389.61059999999941</v>
      </c>
      <c r="AG106" s="55">
        <f t="shared" si="785"/>
        <v>447.34760000000011</v>
      </c>
      <c r="AH106" s="55">
        <f t="shared" si="785"/>
        <v>414.43680000000006</v>
      </c>
      <c r="AI106" s="394">
        <f t="shared" si="785"/>
        <v>403.62299999999999</v>
      </c>
      <c r="AJ106" s="55">
        <f t="shared" si="785"/>
        <v>454.10675000000015</v>
      </c>
      <c r="AK106" s="55">
        <f t="shared" si="785"/>
        <v>469.52970000000005</v>
      </c>
      <c r="AL106" s="283">
        <f t="shared" si="785"/>
        <v>496.37045000000046</v>
      </c>
      <c r="AM106" s="394">
        <f t="shared" si="785"/>
        <v>478.58239999999995</v>
      </c>
      <c r="AN106" s="55">
        <f t="shared" si="785"/>
        <v>485.64420000000001</v>
      </c>
      <c r="AO106" s="55">
        <f t="shared" si="785"/>
        <v>539.95800000000008</v>
      </c>
      <c r="AP106" s="283">
        <f>SUM(AP99:AP105)</f>
        <v>585.522554379898</v>
      </c>
      <c r="AQ106" s="55">
        <f>SUM(AQ99:AQ105)</f>
        <v>521.44679798648792</v>
      </c>
      <c r="AR106" s="55">
        <f>SUM(AR99:AR105)</f>
        <v>509.95284750640587</v>
      </c>
      <c r="AS106" s="55">
        <f>SUM(AS99:AS105)</f>
        <v>609.45240638455425</v>
      </c>
      <c r="AT106" s="283">
        <f>SUM(AT99:AT105)</f>
        <v>651.15223042603782</v>
      </c>
      <c r="AU106" s="55">
        <f t="shared" ref="AU106:AV106" si="786">SUM(AU99:AU105)</f>
        <v>606.53559216065526</v>
      </c>
      <c r="AV106" s="55">
        <f t="shared" si="786"/>
        <v>679.01064526268397</v>
      </c>
      <c r="AW106" s="55">
        <f>SUM(AW99:AW105)</f>
        <v>960.16867894364646</v>
      </c>
      <c r="AX106" s="794">
        <f>SUM(AX99:AX105)</f>
        <v>1098.2359837347608</v>
      </c>
      <c r="AY106" s="55">
        <f t="shared" ref="AY106:AZ106" si="787">SUM(AY99:AY105)</f>
        <v>965.76984220455313</v>
      </c>
      <c r="AZ106" s="911">
        <f t="shared" si="787"/>
        <v>1147.2346038248193</v>
      </c>
      <c r="BA106" s="55">
        <f t="shared" ref="BA106" si="788">SUM(BA99:BA105)</f>
        <v>1380.9928396472101</v>
      </c>
      <c r="BB106" s="794">
        <f>SUM(BB99:BB105)</f>
        <v>1496.9878019794978</v>
      </c>
      <c r="BC106" s="55">
        <f t="shared" ref="BC106:BD106" si="789">SUM(BC99:BC105)</f>
        <v>1629.9683651000773</v>
      </c>
      <c r="BD106" s="911">
        <f t="shared" si="789"/>
        <v>1775.612574641096</v>
      </c>
      <c r="BE106" s="55">
        <f t="shared" ref="BE106:BJ106" si="790">SUM(BE99:BE105)</f>
        <v>1906.3167195811959</v>
      </c>
      <c r="BF106" s="283">
        <f t="shared" si="790"/>
        <v>2004.5936369645622</v>
      </c>
      <c r="BG106" s="55">
        <f t="shared" si="790"/>
        <v>1830.9462627710616</v>
      </c>
      <c r="BH106" s="911">
        <f t="shared" si="790"/>
        <v>2074.1569712731698</v>
      </c>
      <c r="BI106" s="55">
        <f t="shared" si="790"/>
        <v>2236.2758129710296</v>
      </c>
      <c r="BJ106" s="283">
        <f t="shared" si="790"/>
        <v>2294.2620877324857</v>
      </c>
      <c r="BK106" s="55">
        <f t="shared" ref="BK106:BN106" si="791">SUM(BK99:BK105)</f>
        <v>2123.5851972615819</v>
      </c>
      <c r="BL106" s="911">
        <f t="shared" si="791"/>
        <v>2407.1091182444625</v>
      </c>
      <c r="BM106" s="55">
        <f t="shared" si="791"/>
        <v>2579.0105294970253</v>
      </c>
      <c r="BN106" s="283">
        <f t="shared" si="791"/>
        <v>2658.9178442167931</v>
      </c>
      <c r="BP106" s="254"/>
      <c r="BQ106" s="254"/>
      <c r="BR106" s="254"/>
      <c r="BS106" s="254"/>
      <c r="BT106" s="254"/>
      <c r="BU106" s="254"/>
      <c r="BV106" s="254"/>
      <c r="BW106" s="254"/>
      <c r="BX106" s="55">
        <f>SUM(AI106:AL106)</f>
        <v>1823.6299000000008</v>
      </c>
      <c r="BY106" s="55">
        <f>SUM(AM106:AP106)</f>
        <v>2089.7071543798979</v>
      </c>
      <c r="BZ106" s="55">
        <f>SUM(AQ106:AT106)</f>
        <v>2292.004282303486</v>
      </c>
      <c r="CA106" s="55">
        <f>SUM(AU106:AX106)</f>
        <v>3343.9509001017464</v>
      </c>
      <c r="CB106" s="55">
        <f>SUM(AY106:BB106)</f>
        <v>4990.9850876560804</v>
      </c>
      <c r="CC106" s="55">
        <f>SUM(BC106:BF106)</f>
        <v>7316.4912962869312</v>
      </c>
      <c r="CD106" s="55">
        <f>SUM(BG106:BJ106)</f>
        <v>8435.6411347477479</v>
      </c>
      <c r="CE106" s="55">
        <f>SUM(BK106:BN106)</f>
        <v>9768.6226892198629</v>
      </c>
    </row>
    <row r="107" spans="1:84">
      <c r="B107" s="91" t="s">
        <v>265</v>
      </c>
      <c r="C107" s="292"/>
      <c r="D107" s="57"/>
      <c r="E107" s="57"/>
      <c r="F107" s="301"/>
      <c r="G107" s="57"/>
      <c r="H107" s="57"/>
      <c r="I107" s="57"/>
      <c r="J107" s="159"/>
      <c r="K107" s="292"/>
      <c r="L107" s="57"/>
      <c r="M107" s="57"/>
      <c r="N107" s="301"/>
      <c r="O107" s="57"/>
      <c r="P107" s="57"/>
      <c r="Q107" s="57"/>
      <c r="R107" s="159"/>
      <c r="S107" s="292"/>
      <c r="T107" s="57"/>
      <c r="U107" s="57"/>
      <c r="V107" s="301"/>
      <c r="W107" s="57">
        <f t="shared" ref="W107:AT107" si="792">W106/W22</f>
        <v>0</v>
      </c>
      <c r="X107" s="57">
        <f t="shared" si="792"/>
        <v>0</v>
      </c>
      <c r="Y107" s="57">
        <f t="shared" si="792"/>
        <v>0</v>
      </c>
      <c r="Z107" s="57">
        <f t="shared" si="792"/>
        <v>0</v>
      </c>
      <c r="AA107" s="292">
        <f t="shared" si="792"/>
        <v>0</v>
      </c>
      <c r="AB107" s="57">
        <f t="shared" si="792"/>
        <v>0</v>
      </c>
      <c r="AC107" s="57">
        <f t="shared" si="792"/>
        <v>0</v>
      </c>
      <c r="AD107" s="293">
        <f t="shared" si="792"/>
        <v>0</v>
      </c>
      <c r="AE107" s="57">
        <f t="shared" si="792"/>
        <v>0.45954747268935037</v>
      </c>
      <c r="AF107" s="57">
        <f t="shared" si="792"/>
        <v>0.4878523560524094</v>
      </c>
      <c r="AG107" s="57">
        <f t="shared" si="792"/>
        <v>0.50027186038163352</v>
      </c>
      <c r="AH107" s="57">
        <f t="shared" si="792"/>
        <v>0.49781361034168797</v>
      </c>
      <c r="AI107" s="292">
        <f t="shared" si="792"/>
        <v>0.51375122670845008</v>
      </c>
      <c r="AJ107" s="57">
        <f t="shared" si="792"/>
        <v>0.52888408398195708</v>
      </c>
      <c r="AK107" s="57">
        <f t="shared" si="792"/>
        <v>0.53548360976377496</v>
      </c>
      <c r="AL107" s="293">
        <f t="shared" si="792"/>
        <v>0.52411776879793182</v>
      </c>
      <c r="AM107" s="292">
        <f t="shared" si="792"/>
        <v>0.53332085231951831</v>
      </c>
      <c r="AN107" s="57">
        <f t="shared" si="792"/>
        <v>0.55313811248547806</v>
      </c>
      <c r="AO107" s="57">
        <f t="shared" si="792"/>
        <v>0.54465180929248269</v>
      </c>
      <c r="AP107" s="293">
        <f t="shared" si="792"/>
        <v>0.54610420664038828</v>
      </c>
      <c r="AQ107" s="57">
        <f t="shared" si="792"/>
        <v>0.55473063615583817</v>
      </c>
      <c r="AR107" s="57">
        <f t="shared" si="792"/>
        <v>0.53175479406298842</v>
      </c>
      <c r="AS107" s="57">
        <f t="shared" si="792"/>
        <v>0.54905622196806692</v>
      </c>
      <c r="AT107" s="293">
        <f t="shared" si="792"/>
        <v>0.55276080681327489</v>
      </c>
      <c r="AU107" s="57">
        <f t="shared" ref="AU107:AX107" si="793">AU106/AU22</f>
        <v>0.5621275182211819</v>
      </c>
      <c r="AV107" s="57">
        <f t="shared" si="793"/>
        <v>0.56773465322966887</v>
      </c>
      <c r="AW107" s="57">
        <f t="shared" si="793"/>
        <v>0.5658035821706815</v>
      </c>
      <c r="AX107" s="795">
        <f t="shared" si="793"/>
        <v>0.59364107228905993</v>
      </c>
      <c r="AY107" s="57">
        <f t="shared" ref="AY107:AZ107" si="794">AY106/AY22</f>
        <v>0.61829055198755001</v>
      </c>
      <c r="AZ107" s="819">
        <f t="shared" si="794"/>
        <v>0.60476257449911397</v>
      </c>
      <c r="BA107" s="57">
        <f t="shared" ref="BA107:BB107" si="795">BA106/BA22</f>
        <v>0.62291061779305823</v>
      </c>
      <c r="BB107" s="795">
        <f t="shared" si="795"/>
        <v>0.6082843567572116</v>
      </c>
      <c r="BC107" s="57">
        <f t="shared" ref="BC107:BD107" si="796">BC106/BC22</f>
        <v>0.66137913982974583</v>
      </c>
      <c r="BD107" s="819">
        <f t="shared" si="796"/>
        <v>0.65045686016157678</v>
      </c>
      <c r="BE107" s="57">
        <f t="shared" ref="BE107:BJ107" si="797">BE106/BE22</f>
        <v>0.64516640000512815</v>
      </c>
      <c r="BF107" s="293">
        <f t="shared" si="797"/>
        <v>0.64118275989622275</v>
      </c>
      <c r="BG107" s="57">
        <f t="shared" si="797"/>
        <v>0.6497177872952915</v>
      </c>
      <c r="BH107" s="819">
        <f t="shared" si="797"/>
        <v>0.64483679114463144</v>
      </c>
      <c r="BI107" s="57">
        <f t="shared" si="797"/>
        <v>0.64317893563573636</v>
      </c>
      <c r="BJ107" s="293">
        <f t="shared" si="797"/>
        <v>0.6444513665712166</v>
      </c>
      <c r="BK107" s="57">
        <f t="shared" ref="BK107:BN107" si="798">BK106/BK22</f>
        <v>0.65297658236912992</v>
      </c>
      <c r="BL107" s="819">
        <f t="shared" si="798"/>
        <v>0.64829284893386663</v>
      </c>
      <c r="BM107" s="57">
        <f t="shared" si="798"/>
        <v>0.64743381869445527</v>
      </c>
      <c r="BN107" s="293">
        <f t="shared" si="798"/>
        <v>0.64904388344512809</v>
      </c>
      <c r="BY107" s="57">
        <f t="shared" ref="BY107:CE107" si="799">BY106/BY22</f>
        <v>0.54434965440151384</v>
      </c>
      <c r="BZ107" s="57">
        <f t="shared" si="799"/>
        <v>0.547409668570214</v>
      </c>
      <c r="CA107" s="57">
        <f t="shared" si="799"/>
        <v>0.57436463416381767</v>
      </c>
      <c r="CB107" s="57">
        <f t="shared" si="799"/>
        <v>0.61336918860219747</v>
      </c>
      <c r="CC107" s="57">
        <f t="shared" si="799"/>
        <v>0.64888630995460705</v>
      </c>
      <c r="CD107" s="57">
        <f t="shared" si="799"/>
        <v>0.64534312880162237</v>
      </c>
      <c r="CE107" s="57">
        <f t="shared" si="799"/>
        <v>0.64928233689598813</v>
      </c>
    </row>
    <row r="108" spans="1:84">
      <c r="B108" s="91"/>
      <c r="C108" s="292"/>
      <c r="D108" s="57"/>
      <c r="E108" s="57"/>
      <c r="F108" s="301"/>
      <c r="G108" s="57"/>
      <c r="H108" s="57"/>
      <c r="I108" s="57"/>
      <c r="J108" s="159"/>
      <c r="K108" s="292"/>
      <c r="L108" s="57"/>
      <c r="M108" s="57"/>
      <c r="N108" s="301"/>
      <c r="O108" s="57"/>
      <c r="P108" s="57"/>
      <c r="Q108" s="57"/>
      <c r="R108" s="159"/>
      <c r="S108" s="292"/>
      <c r="T108" s="57"/>
      <c r="U108" s="57"/>
      <c r="V108" s="301"/>
      <c r="W108" s="57"/>
      <c r="X108" s="57"/>
      <c r="Y108" s="57"/>
      <c r="Z108" s="57"/>
      <c r="AA108" s="292"/>
      <c r="AB108" s="57"/>
      <c r="AC108" s="57"/>
      <c r="AD108" s="293"/>
      <c r="AE108" s="57"/>
      <c r="AF108" s="57"/>
      <c r="AG108" s="57"/>
      <c r="AH108" s="57"/>
      <c r="AI108" s="588"/>
      <c r="AJ108" s="589"/>
      <c r="AK108" s="589"/>
      <c r="AL108" s="608"/>
      <c r="AM108" s="588"/>
      <c r="AN108" s="589"/>
      <c r="AO108" s="589"/>
      <c r="AP108" s="608"/>
      <c r="AQ108" s="57"/>
      <c r="AR108" s="57"/>
      <c r="AS108" s="57"/>
      <c r="AT108" s="608"/>
      <c r="AU108" s="57"/>
      <c r="AV108" s="57"/>
      <c r="AW108" s="750"/>
      <c r="AX108" s="795"/>
      <c r="AY108" s="57"/>
      <c r="AZ108" s="819"/>
      <c r="BA108" s="57"/>
      <c r="BB108" s="795"/>
      <c r="BC108" s="57"/>
      <c r="BD108" s="819"/>
      <c r="BE108" s="57"/>
      <c r="BF108" s="293"/>
      <c r="BG108" s="57"/>
      <c r="BH108" s="819"/>
      <c r="BI108" s="57"/>
      <c r="BJ108" s="293"/>
      <c r="BK108" s="57"/>
      <c r="BL108" s="819"/>
      <c r="BM108" s="57"/>
      <c r="BN108" s="293"/>
      <c r="CE108" s="925"/>
    </row>
    <row r="109" spans="1:84">
      <c r="A109" s="550"/>
      <c r="B109" s="357" t="s">
        <v>327</v>
      </c>
      <c r="C109" s="358"/>
      <c r="D109" s="359"/>
      <c r="E109" s="359"/>
      <c r="F109" s="360"/>
      <c r="G109" s="359"/>
      <c r="H109" s="359"/>
      <c r="I109" s="359"/>
      <c r="J109" s="359"/>
      <c r="K109" s="358"/>
      <c r="L109" s="359"/>
      <c r="M109" s="359"/>
      <c r="N109" s="360"/>
      <c r="O109" s="359"/>
      <c r="P109" s="359"/>
      <c r="Q109" s="359"/>
      <c r="R109" s="359"/>
      <c r="S109" s="358"/>
      <c r="T109" s="359"/>
      <c r="U109" s="359"/>
      <c r="V109" s="360"/>
      <c r="W109" s="359"/>
      <c r="X109" s="359"/>
      <c r="Y109" s="359"/>
      <c r="Z109" s="359"/>
      <c r="AA109" s="358"/>
      <c r="AB109" s="359"/>
      <c r="AC109" s="359"/>
      <c r="AD109" s="360"/>
      <c r="AE109" s="359"/>
      <c r="AF109" s="359"/>
      <c r="AG109" s="359"/>
      <c r="AH109" s="359"/>
      <c r="AI109" s="358"/>
      <c r="AJ109" s="359"/>
      <c r="AK109" s="359"/>
      <c r="AL109" s="360"/>
      <c r="AM109" s="358"/>
      <c r="AN109" s="359"/>
      <c r="AO109" s="359"/>
      <c r="AP109" s="360"/>
      <c r="AQ109" s="359"/>
      <c r="AR109" s="359"/>
      <c r="AS109" s="359"/>
      <c r="AT109" s="360"/>
      <c r="AU109" s="359"/>
      <c r="AV109" s="359"/>
      <c r="AW109" s="359"/>
      <c r="AX109" s="360"/>
      <c r="AY109" s="359"/>
      <c r="AZ109" s="359"/>
      <c r="BA109" s="359"/>
      <c r="BB109" s="360"/>
      <c r="BC109" s="359"/>
      <c r="BD109" s="359"/>
      <c r="BE109" s="359"/>
      <c r="BF109" s="360"/>
      <c r="BG109" s="359"/>
      <c r="BH109" s="359"/>
      <c r="BI109" s="359"/>
      <c r="BJ109" s="360"/>
      <c r="BK109" s="359"/>
      <c r="BL109" s="359"/>
      <c r="BM109" s="359"/>
      <c r="BN109" s="360"/>
      <c r="BO109" s="359"/>
      <c r="BP109" s="359"/>
      <c r="BQ109" s="359"/>
      <c r="BR109" s="359"/>
      <c r="BS109" s="359"/>
      <c r="BT109" s="359"/>
      <c r="BU109" s="359"/>
      <c r="BV109" s="359"/>
      <c r="BW109" s="359"/>
      <c r="BX109" s="359"/>
      <c r="BY109" s="359"/>
      <c r="BZ109" s="359"/>
      <c r="CA109" s="359"/>
      <c r="CB109" s="359"/>
      <c r="CC109" s="359"/>
      <c r="CD109" s="359"/>
      <c r="CE109" s="359"/>
    </row>
    <row r="110" spans="1:84">
      <c r="A110" s="510"/>
      <c r="B110" s="65" t="s">
        <v>229</v>
      </c>
      <c r="C110" s="237"/>
      <c r="D110" s="73"/>
      <c r="E110" s="73"/>
      <c r="F110" s="238"/>
      <c r="G110" s="73">
        <f t="shared" ref="G110:AQ110" si="800">G223</f>
        <v>57.384999999999998</v>
      </c>
      <c r="H110" s="73">
        <f t="shared" si="800"/>
        <v>55.692999999999998</v>
      </c>
      <c r="I110" s="73">
        <f t="shared" si="800"/>
        <v>48.942999999999998</v>
      </c>
      <c r="J110" s="73">
        <f t="shared" si="800"/>
        <v>71.202000000000055</v>
      </c>
      <c r="K110" s="237">
        <f t="shared" si="800"/>
        <v>67.225999999999999</v>
      </c>
      <c r="L110" s="73">
        <f t="shared" si="800"/>
        <v>62.182000000000002</v>
      </c>
      <c r="M110" s="73">
        <f t="shared" si="800"/>
        <v>65.873000000000005</v>
      </c>
      <c r="N110" s="238">
        <f t="shared" si="800"/>
        <v>55.856000000000009</v>
      </c>
      <c r="O110" s="73">
        <f t="shared" si="800"/>
        <v>42.465000000000003</v>
      </c>
      <c r="P110" s="73">
        <f t="shared" si="800"/>
        <v>34.625</v>
      </c>
      <c r="Q110" s="73">
        <f t="shared" si="800"/>
        <v>34.173999999999999</v>
      </c>
      <c r="R110" s="73">
        <f t="shared" si="800"/>
        <v>25.069999999999993</v>
      </c>
      <c r="S110" s="237">
        <f t="shared" si="800"/>
        <v>10.699</v>
      </c>
      <c r="T110" s="73">
        <f t="shared" si="800"/>
        <v>44.277000000000001</v>
      </c>
      <c r="U110" s="73">
        <f t="shared" si="800"/>
        <v>55.91</v>
      </c>
      <c r="V110" s="238">
        <f t="shared" si="800"/>
        <v>45.16</v>
      </c>
      <c r="W110" s="73">
        <f t="shared" si="800"/>
        <v>31.23</v>
      </c>
      <c r="X110" s="73">
        <f t="shared" si="800"/>
        <v>45.704000000000001</v>
      </c>
      <c r="Y110" s="73">
        <f t="shared" si="800"/>
        <v>51.933999999999997</v>
      </c>
      <c r="Z110" s="73">
        <f t="shared" si="800"/>
        <v>68.74499999999999</v>
      </c>
      <c r="AA110" s="237">
        <f t="shared" si="800"/>
        <v>122.60899999999999</v>
      </c>
      <c r="AB110" s="73">
        <f t="shared" si="800"/>
        <v>167.684</v>
      </c>
      <c r="AC110" s="73">
        <f t="shared" si="800"/>
        <v>191.083</v>
      </c>
      <c r="AD110" s="238">
        <f t="shared" si="800"/>
        <v>109.79</v>
      </c>
      <c r="AE110" s="73">
        <f t="shared" si="800"/>
        <v>132.512</v>
      </c>
      <c r="AF110" s="73">
        <f t="shared" si="800"/>
        <v>179.64599999999999</v>
      </c>
      <c r="AG110" s="73">
        <f t="shared" si="800"/>
        <v>243.90100000000001</v>
      </c>
      <c r="AH110" s="73">
        <f t="shared" si="800"/>
        <v>208.38800000000009</v>
      </c>
      <c r="AI110" s="237">
        <f t="shared" si="800"/>
        <v>103.1</v>
      </c>
      <c r="AJ110" s="73">
        <f t="shared" si="800"/>
        <v>52.625</v>
      </c>
      <c r="AK110" s="73">
        <f t="shared" si="800"/>
        <v>111.134</v>
      </c>
      <c r="AL110" s="238">
        <f t="shared" si="800"/>
        <v>131.15899999999996</v>
      </c>
      <c r="AM110" s="237">
        <f t="shared" si="800"/>
        <v>139.42400000000001</v>
      </c>
      <c r="AN110" s="73">
        <f t="shared" si="800"/>
        <v>158.84399999999999</v>
      </c>
      <c r="AO110" s="73">
        <f t="shared" si="800"/>
        <v>168</v>
      </c>
      <c r="AP110" s="238">
        <f>AP223</f>
        <v>112.333</v>
      </c>
      <c r="AQ110" s="237">
        <f t="shared" si="800"/>
        <v>145</v>
      </c>
      <c r="AR110" s="73">
        <f>AR223</f>
        <v>128</v>
      </c>
      <c r="AS110" s="73">
        <f>AS223</f>
        <v>129</v>
      </c>
      <c r="AT110" s="238">
        <f>AT223</f>
        <v>157</v>
      </c>
      <c r="AU110" s="237">
        <f t="shared" ref="AU110" si="801">AU223</f>
        <v>160</v>
      </c>
      <c r="AV110" s="73">
        <f t="shared" ref="AV110" si="802">AV120</f>
        <v>166</v>
      </c>
      <c r="AW110" s="73">
        <f>AW223</f>
        <v>241</v>
      </c>
      <c r="AX110" s="760">
        <f>AX223</f>
        <v>257</v>
      </c>
      <c r="AY110" s="237">
        <f t="shared" ref="AY110" si="803">AY223</f>
        <v>332</v>
      </c>
      <c r="AZ110" s="906">
        <f t="shared" ref="AZ110" si="804">AZ120</f>
        <v>333</v>
      </c>
      <c r="BA110" s="73">
        <f t="shared" ref="BA110" si="805">BA120</f>
        <v>419</v>
      </c>
      <c r="BB110" s="760">
        <f>BB223</f>
        <v>450</v>
      </c>
      <c r="BC110" s="237">
        <f t="shared" ref="BC110:BD110" si="806">BC120</f>
        <v>457</v>
      </c>
      <c r="BD110" s="906">
        <f t="shared" si="806"/>
        <v>428</v>
      </c>
      <c r="BE110" s="73">
        <f t="shared" ref="BE110:BJ110" si="807">BE120</f>
        <v>454</v>
      </c>
      <c r="BF110" s="238">
        <f t="shared" si="807"/>
        <v>414</v>
      </c>
      <c r="BG110" s="237">
        <f t="shared" si="807"/>
        <v>471.06</v>
      </c>
      <c r="BH110" s="906">
        <f t="shared" si="807"/>
        <v>466.4699</v>
      </c>
      <c r="BI110" s="73">
        <f t="shared" si="807"/>
        <v>506.54125850000003</v>
      </c>
      <c r="BJ110" s="238">
        <f t="shared" si="807"/>
        <v>479.34016352749995</v>
      </c>
      <c r="BK110" s="237">
        <f t="shared" ref="BK110:BN110" si="808">BK120</f>
        <v>526.59025078242496</v>
      </c>
      <c r="BL110" s="906">
        <f t="shared" si="808"/>
        <v>524.02471966135477</v>
      </c>
      <c r="BM110" s="73">
        <f t="shared" si="808"/>
        <v>566.20806438829277</v>
      </c>
      <c r="BN110" s="238">
        <f t="shared" si="808"/>
        <v>541.20927553312936</v>
      </c>
      <c r="BP110" s="59">
        <f>SUM(C110:F110)</f>
        <v>0</v>
      </c>
      <c r="BQ110" s="59">
        <f>SUM(G110:J110)</f>
        <v>233.22300000000007</v>
      </c>
      <c r="BR110" s="59">
        <f>SUM(K110:N110)</f>
        <v>251.137</v>
      </c>
      <c r="BS110" s="59">
        <f>SUM(O110:R110)</f>
        <v>136.334</v>
      </c>
      <c r="BT110" s="59">
        <f>SUM(S110:V110)</f>
        <v>156.04599999999999</v>
      </c>
      <c r="BU110" s="59">
        <f>SUM(W110:Z110)</f>
        <v>197.613</v>
      </c>
      <c r="BV110" s="59">
        <f>SUM(AA110:AD110)</f>
        <v>591.16599999999994</v>
      </c>
      <c r="BW110" s="48">
        <f>SUM(AE110:AH110)</f>
        <v>764.44700000000012</v>
      </c>
      <c r="BX110" s="48">
        <f>SUM(AI110:AL110)</f>
        <v>398.01799999999992</v>
      </c>
      <c r="BY110" s="29">
        <f>SUM(AM110:AP110)</f>
        <v>578.601</v>
      </c>
      <c r="BZ110" s="29">
        <f>SUM(AQ110:AT110)</f>
        <v>559</v>
      </c>
      <c r="CA110" s="29">
        <f>SUM(AU110:AX110)</f>
        <v>824</v>
      </c>
      <c r="CB110" s="29">
        <f>SUM(AY110:BB110)</f>
        <v>1534</v>
      </c>
      <c r="CC110" s="29">
        <f>SUM(BC110:BF110)</f>
        <v>1753</v>
      </c>
      <c r="CD110" s="29">
        <f>SUM(BG110:BJ110)</f>
        <v>1923.4113220274999</v>
      </c>
      <c r="CE110" s="29">
        <f>SUM(BK110:BN110)</f>
        <v>2158.0323103652017</v>
      </c>
      <c r="CF110" s="925"/>
    </row>
    <row r="111" spans="1:84">
      <c r="B111" s="91" t="s">
        <v>114</v>
      </c>
      <c r="K111" s="34">
        <f>K110/G110-1</f>
        <v>0.17149080770236136</v>
      </c>
      <c r="L111" s="35">
        <f t="shared" ref="L111:AL111" si="809">L110/H110-1</f>
        <v>0.11651374499488276</v>
      </c>
      <c r="M111" s="35">
        <f t="shared" si="809"/>
        <v>0.34591259219908888</v>
      </c>
      <c r="N111" s="36">
        <f t="shared" si="809"/>
        <v>-0.21552765371759264</v>
      </c>
      <c r="O111" s="35">
        <f t="shared" si="809"/>
        <v>-0.36832475530300768</v>
      </c>
      <c r="P111" s="35">
        <f t="shared" si="809"/>
        <v>-0.44316683284551805</v>
      </c>
      <c r="Q111" s="35">
        <f t="shared" si="809"/>
        <v>-0.48121385089490387</v>
      </c>
      <c r="R111" s="35">
        <f t="shared" si="809"/>
        <v>-0.55116728731022646</v>
      </c>
      <c r="S111" s="34">
        <f t="shared" si="809"/>
        <v>-0.74805133639467791</v>
      </c>
      <c r="T111" s="35">
        <f t="shared" si="809"/>
        <v>0.27875812274368239</v>
      </c>
      <c r="U111" s="35">
        <f t="shared" si="809"/>
        <v>0.63603909404810666</v>
      </c>
      <c r="V111" s="36">
        <f t="shared" si="809"/>
        <v>0.80135620263262908</v>
      </c>
      <c r="W111" s="35">
        <f t="shared" si="809"/>
        <v>1.9189643891952519</v>
      </c>
      <c r="X111" s="35">
        <f t="shared" si="809"/>
        <v>3.2228922465388443E-2</v>
      </c>
      <c r="Y111" s="35">
        <f t="shared" si="809"/>
        <v>-7.1114290824539461E-2</v>
      </c>
      <c r="Z111" s="35">
        <f t="shared" si="809"/>
        <v>0.52225420726306448</v>
      </c>
      <c r="AA111" s="34">
        <f t="shared" si="809"/>
        <v>2.9260006404098622</v>
      </c>
      <c r="AB111" s="35">
        <f t="shared" si="809"/>
        <v>2.6689130054262207</v>
      </c>
      <c r="AC111" s="35">
        <f t="shared" si="809"/>
        <v>2.6793430122848232</v>
      </c>
      <c r="AD111" s="36">
        <f t="shared" si="809"/>
        <v>0.59706160448032608</v>
      </c>
      <c r="AE111" s="35">
        <f t="shared" si="809"/>
        <v>8.0768948445872679E-2</v>
      </c>
      <c r="AF111" s="35">
        <f t="shared" si="809"/>
        <v>7.1336561627823647E-2</v>
      </c>
      <c r="AG111" s="35">
        <f t="shared" si="809"/>
        <v>0.27641391437228857</v>
      </c>
      <c r="AH111" s="35">
        <f t="shared" si="809"/>
        <v>0.89805993259859807</v>
      </c>
      <c r="AI111" s="34">
        <f t="shared" si="809"/>
        <v>-0.22195725670127997</v>
      </c>
      <c r="AJ111" s="35">
        <f t="shared" si="809"/>
        <v>-0.70706277902096337</v>
      </c>
      <c r="AK111" s="35">
        <f t="shared" si="809"/>
        <v>-0.54434791165267882</v>
      </c>
      <c r="AL111" s="36">
        <f t="shared" si="809"/>
        <v>-0.37060195404725849</v>
      </c>
      <c r="AM111" s="34">
        <f t="shared" ref="AM111:AT111" si="810">AM110/AI110-1</f>
        <v>0.35231813773035903</v>
      </c>
      <c r="AN111" s="35">
        <f t="shared" si="810"/>
        <v>2.0184133016627079</v>
      </c>
      <c r="AO111" s="35">
        <f t="shared" si="810"/>
        <v>0.51168859215001716</v>
      </c>
      <c r="AP111" s="36">
        <f t="shared" si="810"/>
        <v>-0.14353570856746367</v>
      </c>
      <c r="AQ111" s="35">
        <f t="shared" si="810"/>
        <v>3.9993114528345197E-2</v>
      </c>
      <c r="AR111" s="35">
        <f t="shared" si="810"/>
        <v>-0.19417793558459873</v>
      </c>
      <c r="AS111" s="35">
        <f t="shared" si="810"/>
        <v>-0.2321428571428571</v>
      </c>
      <c r="AT111" s="36">
        <f t="shared" si="810"/>
        <v>0.3976302600304451</v>
      </c>
      <c r="AU111" s="35">
        <f t="shared" ref="AU111" si="811">AU110/AQ110-1</f>
        <v>0.10344827586206895</v>
      </c>
      <c r="AV111" s="35">
        <f t="shared" ref="AV111" si="812">AV110/AR110-1</f>
        <v>0.296875</v>
      </c>
      <c r="AW111" s="35">
        <f t="shared" ref="AW111" si="813">AW110/AS110-1</f>
        <v>0.86821705426356588</v>
      </c>
      <c r="AX111" s="36">
        <f t="shared" ref="AX111:BB111" si="814">AX110/AT110-1</f>
        <v>0.63694267515923575</v>
      </c>
      <c r="AY111" s="818">
        <f t="shared" si="814"/>
        <v>1.0750000000000002</v>
      </c>
      <c r="AZ111" s="818">
        <f t="shared" si="814"/>
        <v>1.0060240963855422</v>
      </c>
      <c r="BA111" s="35">
        <f t="shared" ref="BA111" si="815">BA110/AW110-1</f>
        <v>0.7385892116182573</v>
      </c>
      <c r="BB111" s="36">
        <f t="shared" si="814"/>
        <v>0.75097276264591439</v>
      </c>
      <c r="BC111" s="818">
        <f t="shared" ref="BC111" si="816">BC110/AY110-1</f>
        <v>0.37650602409638556</v>
      </c>
      <c r="BD111" s="818">
        <f t="shared" ref="BD111" si="817">BD110/AZ110-1</f>
        <v>0.28528528528528518</v>
      </c>
      <c r="BE111" s="818">
        <f t="shared" ref="BE111" si="818">BE110/BA110-1</f>
        <v>8.3532219570405797E-2</v>
      </c>
      <c r="BF111" s="36">
        <f t="shared" ref="BF111" si="819">BF110/BB110-1</f>
        <v>-7.999999999999996E-2</v>
      </c>
      <c r="BG111" s="818">
        <f t="shared" ref="BG111" si="820">BG110/BC110-1</f>
        <v>3.0765864332603865E-2</v>
      </c>
      <c r="BH111" s="818">
        <f t="shared" ref="BH111" si="821">BH110/BD110-1</f>
        <v>8.9882943925233549E-2</v>
      </c>
      <c r="BI111" s="818">
        <f t="shared" ref="BI111" si="822">BI110/BE110-1</f>
        <v>0.11572964427312771</v>
      </c>
      <c r="BJ111" s="36">
        <f t="shared" ref="BJ111" si="823">BJ110/BF110-1</f>
        <v>0.15782648195048288</v>
      </c>
      <c r="BK111" s="818">
        <f t="shared" ref="BK111" si="824">BK110/BG110-1</f>
        <v>0.11788360459904257</v>
      </c>
      <c r="BL111" s="818">
        <f t="shared" ref="BL111" si="825">BL110/BH110-1</f>
        <v>0.12338378030684249</v>
      </c>
      <c r="BM111" s="818">
        <f t="shared" ref="BM111" si="826">BM110/BI110-1</f>
        <v>0.1177925882384816</v>
      </c>
      <c r="BN111" s="36">
        <f t="shared" ref="BN111" si="827">BN110/BJ110-1</f>
        <v>0.12907141256499344</v>
      </c>
      <c r="BR111" s="35">
        <f t="shared" ref="BR111:CE111" si="828">BR110/BQ110-1</f>
        <v>7.6810606158054462E-2</v>
      </c>
      <c r="BS111" s="35">
        <f t="shared" si="828"/>
        <v>-0.45713295930109854</v>
      </c>
      <c r="BT111" s="35">
        <f t="shared" si="828"/>
        <v>0.14458609004356937</v>
      </c>
      <c r="BU111" s="35">
        <f t="shared" si="828"/>
        <v>0.26637658126449892</v>
      </c>
      <c r="BV111" s="35">
        <f t="shared" si="828"/>
        <v>1.9915339577861779</v>
      </c>
      <c r="BW111" s="35">
        <f t="shared" si="828"/>
        <v>0.29311733083431757</v>
      </c>
      <c r="BX111" s="35">
        <f t="shared" si="828"/>
        <v>-0.47933865918762208</v>
      </c>
      <c r="BY111" s="35">
        <f t="shared" si="828"/>
        <v>0.45370561130401166</v>
      </c>
      <c r="BZ111" s="35">
        <f t="shared" si="828"/>
        <v>-3.3876540137331212E-2</v>
      </c>
      <c r="CA111" s="35">
        <f t="shared" si="828"/>
        <v>0.47406082289803231</v>
      </c>
      <c r="CB111" s="35">
        <f t="shared" si="828"/>
        <v>0.86165048543689315</v>
      </c>
      <c r="CC111" s="818">
        <f t="shared" si="828"/>
        <v>0.14276401564537156</v>
      </c>
      <c r="CD111" s="818">
        <f t="shared" si="828"/>
        <v>9.721125044352541E-2</v>
      </c>
      <c r="CE111" s="818">
        <f t="shared" si="828"/>
        <v>0.12198170284782561</v>
      </c>
      <c r="CF111" s="925"/>
    </row>
    <row r="112" spans="1:84">
      <c r="B112" s="91" t="s">
        <v>115</v>
      </c>
      <c r="H112" s="35">
        <f>H110/G110-1</f>
        <v>-2.9485057070663068E-2</v>
      </c>
      <c r="I112" s="35">
        <f t="shared" ref="I112:AM112" si="829">I110/H110-1</f>
        <v>-0.12120015082685431</v>
      </c>
      <c r="J112" s="35">
        <f t="shared" si="829"/>
        <v>0.45479435261426682</v>
      </c>
      <c r="K112" s="34">
        <f t="shared" si="829"/>
        <v>-5.5841128058201406E-2</v>
      </c>
      <c r="L112" s="35">
        <f t="shared" si="829"/>
        <v>-7.50304941540475E-2</v>
      </c>
      <c r="M112" s="35">
        <f t="shared" si="829"/>
        <v>5.9358013573059809E-2</v>
      </c>
      <c r="N112" s="36">
        <f t="shared" si="829"/>
        <v>-0.15206533784706933</v>
      </c>
      <c r="O112" s="35">
        <f t="shared" si="829"/>
        <v>-0.23974147808650825</v>
      </c>
      <c r="P112" s="35">
        <f t="shared" si="829"/>
        <v>-0.18462263040150717</v>
      </c>
      <c r="Q112" s="35">
        <f t="shared" si="829"/>
        <v>-1.3025270758122764E-2</v>
      </c>
      <c r="R112" s="35">
        <f t="shared" si="829"/>
        <v>-0.26640135775735962</v>
      </c>
      <c r="S112" s="34">
        <f t="shared" si="829"/>
        <v>-0.57323494216194648</v>
      </c>
      <c r="T112" s="35">
        <f t="shared" si="829"/>
        <v>3.138424151789887</v>
      </c>
      <c r="U112" s="35">
        <f t="shared" si="829"/>
        <v>0.26273234410642088</v>
      </c>
      <c r="V112" s="36">
        <f t="shared" si="829"/>
        <v>-0.19227329636916479</v>
      </c>
      <c r="W112" s="35">
        <f t="shared" si="829"/>
        <v>-0.30845881310894596</v>
      </c>
      <c r="X112" s="35">
        <f t="shared" si="829"/>
        <v>0.46346461735510736</v>
      </c>
      <c r="Y112" s="35">
        <f t="shared" si="829"/>
        <v>0.13631192018204086</v>
      </c>
      <c r="Z112" s="35">
        <f t="shared" si="829"/>
        <v>0.32369931066353441</v>
      </c>
      <c r="AA112" s="34">
        <f t="shared" si="829"/>
        <v>0.78353334787984608</v>
      </c>
      <c r="AB112" s="35">
        <f t="shared" si="829"/>
        <v>0.36763206616153798</v>
      </c>
      <c r="AC112" s="35">
        <f t="shared" si="829"/>
        <v>0.13954223420242839</v>
      </c>
      <c r="AD112" s="36">
        <f t="shared" si="829"/>
        <v>-0.42543292705264202</v>
      </c>
      <c r="AE112" s="35">
        <f t="shared" si="829"/>
        <v>0.20695873941160392</v>
      </c>
      <c r="AF112" s="35">
        <f t="shared" si="829"/>
        <v>0.355696087901473</v>
      </c>
      <c r="AG112" s="35">
        <f t="shared" si="829"/>
        <v>0.35767565100252741</v>
      </c>
      <c r="AH112" s="35">
        <f t="shared" si="829"/>
        <v>-0.14560415906453816</v>
      </c>
      <c r="AI112" s="34">
        <f t="shared" si="829"/>
        <v>-0.50524982244659022</v>
      </c>
      <c r="AJ112" s="35">
        <f t="shared" si="829"/>
        <v>-0.48957322987390883</v>
      </c>
      <c r="AK112" s="35">
        <f t="shared" si="829"/>
        <v>1.1118099762470308</v>
      </c>
      <c r="AL112" s="36">
        <f t="shared" si="829"/>
        <v>0.18018788129645258</v>
      </c>
      <c r="AM112" s="34">
        <f t="shared" si="829"/>
        <v>6.3015119053972946E-2</v>
      </c>
      <c r="AN112" s="35">
        <f t="shared" ref="AN112:AT112" si="830">AN110/AM110-1</f>
        <v>0.13928735368372713</v>
      </c>
      <c r="AO112" s="35">
        <f t="shared" si="830"/>
        <v>5.7641459545214158E-2</v>
      </c>
      <c r="AP112" s="36">
        <f t="shared" si="830"/>
        <v>-0.33135119047619044</v>
      </c>
      <c r="AQ112" s="35">
        <f t="shared" si="830"/>
        <v>0.29080501722557051</v>
      </c>
      <c r="AR112" s="35">
        <f t="shared" si="830"/>
        <v>-0.11724137931034484</v>
      </c>
      <c r="AS112" s="35">
        <f t="shared" si="830"/>
        <v>7.8125E-3</v>
      </c>
      <c r="AT112" s="36">
        <f t="shared" si="830"/>
        <v>0.21705426356589141</v>
      </c>
      <c r="AU112" s="35">
        <f t="shared" ref="AU112" si="831">AU110/AT110-1</f>
        <v>1.9108280254777066E-2</v>
      </c>
      <c r="AV112" s="35">
        <f t="shared" ref="AV112" si="832">AV110/AU110-1</f>
        <v>3.7500000000000089E-2</v>
      </c>
      <c r="AW112" s="35">
        <f t="shared" ref="AW112" si="833">AW110/AV110-1</f>
        <v>0.45180722891566272</v>
      </c>
      <c r="AX112" s="36">
        <f t="shared" ref="AX112:BB112" si="834">AX110/AW110-1</f>
        <v>6.639004149377592E-2</v>
      </c>
      <c r="AY112" s="818">
        <f t="shared" si="834"/>
        <v>0.29182879377431914</v>
      </c>
      <c r="AZ112" s="818">
        <f t="shared" si="834"/>
        <v>3.0120481927711218E-3</v>
      </c>
      <c r="BA112" s="35">
        <f t="shared" ref="BA112" si="835">BA110/AZ110-1</f>
        <v>0.25825825825825821</v>
      </c>
      <c r="BB112" s="36">
        <f t="shared" si="834"/>
        <v>7.398568019093088E-2</v>
      </c>
      <c r="BC112" s="818">
        <f t="shared" ref="BC112" si="836">BC110/BB110-1</f>
        <v>1.5555555555555545E-2</v>
      </c>
      <c r="BD112" s="818">
        <f t="shared" ref="BD112" si="837">BD110/BC110-1</f>
        <v>-6.3457330415754964E-2</v>
      </c>
      <c r="BE112" s="818">
        <f t="shared" ref="BE112" si="838">BE110/BD110-1</f>
        <v>6.0747663551401931E-2</v>
      </c>
      <c r="BF112" s="36">
        <f t="shared" ref="BF112" si="839">BF110/BE110-1</f>
        <v>-8.8105726872246715E-2</v>
      </c>
      <c r="BG112" s="818">
        <f t="shared" ref="BG112" si="840">BG110/BF110-1</f>
        <v>0.13782608695652177</v>
      </c>
      <c r="BH112" s="818">
        <f t="shared" ref="BH112" si="841">BH110/BG110-1</f>
        <v>-9.7441939455695792E-3</v>
      </c>
      <c r="BI112" s="818">
        <f t="shared" ref="BI112" si="842">BI110/BH110-1</f>
        <v>8.5903417348043298E-2</v>
      </c>
      <c r="BJ112" s="36">
        <f t="shared" ref="BJ112" si="843">BJ110/BI110-1</f>
        <v>-5.3699663188443103E-2</v>
      </c>
      <c r="BK112" s="818">
        <f t="shared" ref="BK112" si="844">BK110/BJ110-1</f>
        <v>9.8573186330158657E-2</v>
      </c>
      <c r="BL112" s="818">
        <f t="shared" ref="BL112" si="845">BL110/BK110-1</f>
        <v>-4.8719685130103052E-3</v>
      </c>
      <c r="BM112" s="818">
        <f t="shared" ref="BM112" si="846">BM110/BL110-1</f>
        <v>8.0498768749303506E-2</v>
      </c>
      <c r="BN112" s="36">
        <f t="shared" ref="BN112" si="847">BN110/BM110-1</f>
        <v>-4.4151241261763063E-2</v>
      </c>
      <c r="CE112" s="925"/>
    </row>
    <row r="113" spans="1:226">
      <c r="B113" s="91" t="s">
        <v>173</v>
      </c>
      <c r="G113" s="57">
        <f>G110/G$6</f>
        <v>8.416604698983729E-2</v>
      </c>
      <c r="H113" s="57">
        <f t="shared" ref="H113:AL113" si="848">H110/H$6</f>
        <v>8.1005761295324191E-2</v>
      </c>
      <c r="I113" s="57">
        <f t="shared" si="848"/>
        <v>5.9644979355863957E-2</v>
      </c>
      <c r="J113" s="57">
        <f t="shared" si="848"/>
        <v>8.1015118225272645E-2</v>
      </c>
      <c r="K113" s="292">
        <f t="shared" si="848"/>
        <v>7.9625242810442032E-2</v>
      </c>
      <c r="L113" s="57">
        <f t="shared" si="848"/>
        <v>6.648682228231291E-2</v>
      </c>
      <c r="M113" s="57">
        <f t="shared" si="848"/>
        <v>5.904730830219157E-2</v>
      </c>
      <c r="N113" s="293">
        <f t="shared" si="848"/>
        <v>4.6441013361269795E-2</v>
      </c>
      <c r="O113" s="57">
        <f t="shared" si="848"/>
        <v>3.68176190492705E-2</v>
      </c>
      <c r="P113" s="57">
        <f t="shared" si="848"/>
        <v>3.8787869282920114E-2</v>
      </c>
      <c r="Q113" s="57">
        <f t="shared" si="848"/>
        <v>3.8070305406865665E-2</v>
      </c>
      <c r="R113" s="57">
        <f t="shared" si="848"/>
        <v>5.2105416302947169E-2</v>
      </c>
      <c r="S113" s="292">
        <f t="shared" si="848"/>
        <v>1.6107348196636413E-2</v>
      </c>
      <c r="T113" s="57">
        <f t="shared" si="848"/>
        <v>5.7019780559418948E-2</v>
      </c>
      <c r="U113" s="57">
        <f t="shared" si="848"/>
        <v>6.1901714559026398E-2</v>
      </c>
      <c r="V113" s="293">
        <f t="shared" si="848"/>
        <v>4.5964937994153611E-2</v>
      </c>
      <c r="W113" s="57">
        <f t="shared" si="848"/>
        <v>3.1173482476270522E-2</v>
      </c>
      <c r="X113" s="57">
        <f t="shared" si="848"/>
        <v>5.6340667251802257E-2</v>
      </c>
      <c r="Y113" s="57">
        <f t="shared" si="848"/>
        <v>6.153959180578069E-2</v>
      </c>
      <c r="Z113" s="57">
        <f t="shared" si="848"/>
        <v>7.7557379712447083E-2</v>
      </c>
      <c r="AA113" s="292">
        <f t="shared" si="848"/>
        <v>0.12744701618125667</v>
      </c>
      <c r="AB113" s="57">
        <f t="shared" si="848"/>
        <v>0.16495936614931181</v>
      </c>
      <c r="AC113" s="57">
        <f t="shared" si="848"/>
        <v>0.17922208257517491</v>
      </c>
      <c r="AD113" s="293">
        <f t="shared" si="848"/>
        <v>0.11518116983531161</v>
      </c>
      <c r="AE113" s="57">
        <f t="shared" si="848"/>
        <v>0.14327526795454965</v>
      </c>
      <c r="AF113" s="57">
        <f t="shared" si="848"/>
        <v>0.17203022206900515</v>
      </c>
      <c r="AG113" s="57">
        <f t="shared" si="848"/>
        <v>0.20255707535025871</v>
      </c>
      <c r="AH113" s="57">
        <f t="shared" si="848"/>
        <v>0.18826237553098657</v>
      </c>
      <c r="AI113" s="292">
        <f t="shared" si="848"/>
        <v>0.10798762803237323</v>
      </c>
      <c r="AJ113" s="57">
        <f t="shared" si="848"/>
        <v>5.3850750789469909E-2</v>
      </c>
      <c r="AK113" s="57">
        <f t="shared" si="848"/>
        <v>0.10544352906684933</v>
      </c>
      <c r="AL113" s="293">
        <f t="shared" si="848"/>
        <v>0.11462763214702087</v>
      </c>
      <c r="AM113" s="292">
        <f t="shared" ref="AM113:AT113" si="849">AM110/AM$6</f>
        <v>0.12642876638915765</v>
      </c>
      <c r="AN113" s="57">
        <f t="shared" si="849"/>
        <v>0.1440338621575156</v>
      </c>
      <c r="AO113" s="57">
        <f>AO110/AO$6</f>
        <v>0.1371001042940079</v>
      </c>
      <c r="AP113" s="293">
        <f>AP110/AP$6</f>
        <v>8.9829462125174134E-2</v>
      </c>
      <c r="AQ113" s="57">
        <f t="shared" si="849"/>
        <v>0.1259774109470026</v>
      </c>
      <c r="AR113" s="57">
        <f t="shared" si="849"/>
        <v>0.11101474414570685</v>
      </c>
      <c r="AS113" s="57">
        <f t="shared" si="849"/>
        <v>9.8850574712643677E-2</v>
      </c>
      <c r="AT113" s="293">
        <f t="shared" si="849"/>
        <v>0.11206281227694503</v>
      </c>
      <c r="AU113" s="57">
        <f t="shared" ref="AU113:AX113" si="850">AU110/AU$6</f>
        <v>0.12260536398467432</v>
      </c>
      <c r="AV113" s="57">
        <f t="shared" si="850"/>
        <v>0.11624649859943978</v>
      </c>
      <c r="AW113" s="57">
        <f t="shared" si="850"/>
        <v>0.12025948103792415</v>
      </c>
      <c r="AX113" s="795">
        <f t="shared" si="850"/>
        <v>0.11826967326277037</v>
      </c>
      <c r="AY113" s="57">
        <f t="shared" ref="AY113:AZ113" si="851">AY110/AY$6</f>
        <v>0.17139907072792979</v>
      </c>
      <c r="AZ113" s="819">
        <f t="shared" si="851"/>
        <v>0.1493273542600897</v>
      </c>
      <c r="BA113" s="57">
        <f t="shared" ref="BA113:BB113" si="852">BA110/BA$6</f>
        <v>0.15895295902883155</v>
      </c>
      <c r="BB113" s="795">
        <f t="shared" si="852"/>
        <v>0.15458605290278254</v>
      </c>
      <c r="BC113" s="57">
        <f t="shared" ref="BC113:BD113" si="853">BC110/BC$6</f>
        <v>0.156426535743</v>
      </c>
      <c r="BD113" s="819">
        <f t="shared" si="853"/>
        <v>0.13553770050209105</v>
      </c>
      <c r="BE113" s="57">
        <f t="shared" ref="BE113:BJ113" si="854">BE110/BE$6</f>
        <v>0.13318596771203811</v>
      </c>
      <c r="BF113" s="293">
        <f t="shared" si="854"/>
        <v>0.1169359468377987</v>
      </c>
      <c r="BG113" s="57">
        <f t="shared" si="854"/>
        <v>0.14321746752242587</v>
      </c>
      <c r="BH113" s="819">
        <f t="shared" si="854"/>
        <v>0.1266538059312548</v>
      </c>
      <c r="BI113" s="57">
        <f t="shared" si="854"/>
        <v>0.12716137813479139</v>
      </c>
      <c r="BJ113" s="293">
        <f t="shared" si="854"/>
        <v>0.11866724292953373</v>
      </c>
      <c r="BK113" s="57">
        <f t="shared" ref="BK113:BN113" si="855">BK110/BK$6</f>
        <v>0.13935561470454605</v>
      </c>
      <c r="BL113" s="819">
        <f t="shared" si="855"/>
        <v>0.12367762279677327</v>
      </c>
      <c r="BM113" s="57">
        <f t="shared" si="855"/>
        <v>0.12445109586801327</v>
      </c>
      <c r="BN113" s="293">
        <f t="shared" si="855"/>
        <v>0.1166932945732352</v>
      </c>
      <c r="BX113" s="57">
        <f t="shared" ref="BX113:CA113" si="856">BX110/BX$6</f>
        <v>9.6368617017928079E-2</v>
      </c>
      <c r="BY113" s="57">
        <f t="shared" si="856"/>
        <v>0.12359289433936552</v>
      </c>
      <c r="BZ113" s="57">
        <f t="shared" si="856"/>
        <v>0.11157684630738524</v>
      </c>
      <c r="CA113" s="57">
        <f t="shared" si="856"/>
        <v>0.11924746743849493</v>
      </c>
      <c r="CB113" s="57">
        <f t="shared" ref="CB113:CC113" si="857">CB110/CB$6</f>
        <v>0.15791640930615605</v>
      </c>
      <c r="CC113" s="57">
        <f t="shared" si="857"/>
        <v>0.13455159471680453</v>
      </c>
      <c r="CD113" s="57">
        <f t="shared" ref="CD113:CE113" si="858">CD110/CD$6</f>
        <v>0.12827042740872072</v>
      </c>
      <c r="CE113" s="57">
        <f t="shared" si="858"/>
        <v>0.1254429707746571</v>
      </c>
    </row>
    <row r="114" spans="1:226">
      <c r="B114" s="91"/>
      <c r="G114" s="57"/>
      <c r="H114" s="57"/>
      <c r="I114" s="57"/>
      <c r="J114" s="57"/>
      <c r="K114" s="292"/>
      <c r="L114" s="57"/>
      <c r="M114" s="57"/>
      <c r="N114" s="293"/>
      <c r="O114" s="57"/>
      <c r="P114" s="57"/>
      <c r="Q114" s="57"/>
      <c r="R114" s="57"/>
      <c r="S114" s="292"/>
      <c r="T114" s="57"/>
      <c r="U114" s="57"/>
      <c r="V114" s="293"/>
      <c r="W114" s="57"/>
      <c r="X114" s="57"/>
      <c r="Y114" s="57"/>
      <c r="Z114" s="57"/>
      <c r="AA114" s="292"/>
      <c r="AB114" s="57"/>
      <c r="AC114" s="57"/>
      <c r="AD114" s="293"/>
      <c r="AE114" s="57"/>
      <c r="AF114" s="57"/>
      <c r="AG114" s="57"/>
      <c r="AH114" s="57"/>
      <c r="AI114" s="292"/>
      <c r="AJ114" s="57"/>
      <c r="AK114" s="57"/>
      <c r="AL114" s="293"/>
      <c r="AM114" s="292"/>
      <c r="AN114" s="57"/>
      <c r="AO114" s="57"/>
      <c r="AP114" s="293"/>
      <c r="AQ114" s="57"/>
      <c r="AR114" s="57"/>
      <c r="AS114" s="57"/>
      <c r="AT114" s="293"/>
      <c r="AU114" s="57"/>
      <c r="AV114" s="57"/>
      <c r="AW114" s="57"/>
      <c r="AX114" s="795"/>
      <c r="AY114" s="57"/>
      <c r="AZ114" s="819"/>
      <c r="BA114" s="57"/>
      <c r="BB114" s="795"/>
      <c r="BC114" s="57"/>
      <c r="BD114" s="819"/>
      <c r="BE114" s="57"/>
      <c r="BF114" s="293"/>
      <c r="BG114" s="57"/>
      <c r="BH114" s="819"/>
      <c r="BI114" s="57"/>
      <c r="BJ114" s="293"/>
      <c r="BK114" s="57"/>
      <c r="BL114" s="819"/>
      <c r="BM114" s="57"/>
      <c r="BN114" s="293"/>
      <c r="CE114" s="925"/>
    </row>
    <row r="115" spans="1:226" s="46" customFormat="1">
      <c r="A115" s="84"/>
      <c r="B115" s="162" t="s">
        <v>117</v>
      </c>
      <c r="C115" s="294"/>
      <c r="D115" s="53"/>
      <c r="E115" s="53"/>
      <c r="F115" s="282"/>
      <c r="G115" s="53"/>
      <c r="H115" s="53"/>
      <c r="I115" s="53"/>
      <c r="J115" s="53"/>
      <c r="K115" s="294"/>
      <c r="L115" s="53"/>
      <c r="M115" s="53"/>
      <c r="N115" s="282"/>
      <c r="O115" s="53"/>
      <c r="P115" s="53"/>
      <c r="Q115" s="53"/>
      <c r="R115" s="53"/>
      <c r="S115" s="294"/>
      <c r="T115" s="53"/>
      <c r="U115" s="53"/>
      <c r="V115" s="282"/>
      <c r="W115" s="53"/>
      <c r="X115" s="53"/>
      <c r="Y115" s="53"/>
      <c r="Z115" s="53"/>
      <c r="AA115" s="294"/>
      <c r="AB115" s="53"/>
      <c r="AC115" s="53"/>
      <c r="AD115" s="282"/>
      <c r="AE115" s="53">
        <f t="shared" ref="AE115:AO115" si="859">AE180</f>
        <v>63.564799999999998</v>
      </c>
      <c r="AF115" s="53">
        <f t="shared" si="859"/>
        <v>85.108400000000003</v>
      </c>
      <c r="AG115" s="53">
        <f t="shared" si="859"/>
        <v>123.31040000000002</v>
      </c>
      <c r="AH115" s="53">
        <f t="shared" si="859"/>
        <v>105.16520000000004</v>
      </c>
      <c r="AI115" s="294">
        <f t="shared" si="859"/>
        <v>48.945</v>
      </c>
      <c r="AJ115" s="53">
        <f t="shared" si="859"/>
        <v>25.431249999999999</v>
      </c>
      <c r="AK115" s="53">
        <f t="shared" si="859"/>
        <v>48.885300000000001</v>
      </c>
      <c r="AL115" s="282">
        <f t="shared" si="859"/>
        <v>56.871549999999985</v>
      </c>
      <c r="AM115" s="294">
        <f t="shared" si="859"/>
        <v>59.619600000000005</v>
      </c>
      <c r="AN115" s="53">
        <f t="shared" si="859"/>
        <v>67.329800000000006</v>
      </c>
      <c r="AO115" s="53">
        <f t="shared" si="859"/>
        <v>70.739999999999995</v>
      </c>
      <c r="AP115" s="282">
        <f>AP180</f>
        <v>48.083200000000005</v>
      </c>
      <c r="AQ115" s="53">
        <f>AQ180</f>
        <v>65.550000000000011</v>
      </c>
      <c r="AR115" s="53">
        <f>AR180</f>
        <v>58.050000000000004</v>
      </c>
      <c r="AS115" s="53">
        <f>AS180</f>
        <v>58.550000000000004</v>
      </c>
      <c r="AT115" s="282">
        <f>AT180</f>
        <v>71.150000000000006</v>
      </c>
      <c r="AU115" s="53">
        <f t="shared" ref="AU115:AV115" si="860">AU180</f>
        <v>72</v>
      </c>
      <c r="AV115" s="53">
        <f t="shared" si="860"/>
        <v>74.7</v>
      </c>
      <c r="AW115" s="53">
        <f>AW180</f>
        <v>108.44999999999999</v>
      </c>
      <c r="AX115" s="793">
        <f>AX180</f>
        <v>123.36</v>
      </c>
      <c r="AY115" s="53">
        <f t="shared" ref="AY115:AZ115" si="861">AY180</f>
        <v>149.4</v>
      </c>
      <c r="AZ115" s="910">
        <f t="shared" si="861"/>
        <v>149.85</v>
      </c>
      <c r="BA115" s="53">
        <f t="shared" ref="BA115" si="862">BA180</f>
        <v>188.55</v>
      </c>
      <c r="BB115" s="793">
        <f>BB180</f>
        <v>216</v>
      </c>
      <c r="BC115" s="53">
        <f t="shared" ref="BC115:BD115" si="863">BC180</f>
        <v>205.65</v>
      </c>
      <c r="BD115" s="910">
        <f t="shared" si="863"/>
        <v>192.6</v>
      </c>
      <c r="BE115" s="53">
        <f t="shared" ref="BE115:BJ115" si="864">BE180</f>
        <v>204.3</v>
      </c>
      <c r="BF115" s="282">
        <f t="shared" si="864"/>
        <v>186.3</v>
      </c>
      <c r="BG115" s="53">
        <f t="shared" si="864"/>
        <v>211.977</v>
      </c>
      <c r="BH115" s="910">
        <f t="shared" si="864"/>
        <v>209.91145499999999</v>
      </c>
      <c r="BI115" s="53">
        <f t="shared" si="864"/>
        <v>227.94356632500001</v>
      </c>
      <c r="BJ115" s="282">
        <f t="shared" si="864"/>
        <v>215.703073587375</v>
      </c>
      <c r="BK115" s="53">
        <f t="shared" ref="BK115:BN115" si="865">BK180</f>
        <v>236.96561285209125</v>
      </c>
      <c r="BL115" s="910">
        <f t="shared" si="865"/>
        <v>235.81112384760962</v>
      </c>
      <c r="BM115" s="53">
        <f t="shared" si="865"/>
        <v>254.79362897473175</v>
      </c>
      <c r="BN115" s="282">
        <f t="shared" si="865"/>
        <v>243.54417398990824</v>
      </c>
      <c r="BO115" s="88"/>
      <c r="BP115" s="59"/>
      <c r="BQ115" s="59"/>
      <c r="BR115" s="59"/>
      <c r="BS115" s="59"/>
      <c r="BT115" s="59"/>
      <c r="BU115" s="59">
        <f>SUM(W115:Z115)</f>
        <v>0</v>
      </c>
      <c r="BV115" s="59">
        <f>SUM(AA115:AD115)</f>
        <v>0</v>
      </c>
      <c r="BW115" s="48">
        <f>SUM(AE115:AH115)</f>
        <v>377.14880000000005</v>
      </c>
      <c r="BX115" s="48">
        <f>SUM(AI115:AL115)</f>
        <v>180.13309999999998</v>
      </c>
      <c r="BY115" s="59">
        <f t="shared" ref="BY115:CA115" si="866">BY110*BY181</f>
        <v>245.77260000000001</v>
      </c>
      <c r="BZ115" s="59">
        <f t="shared" si="866"/>
        <v>253.3</v>
      </c>
      <c r="CA115" s="59">
        <f t="shared" si="866"/>
        <v>378.51</v>
      </c>
      <c r="CB115" s="59">
        <f t="shared" ref="CB115:CC115" si="867">CB110*CB181</f>
        <v>703.8</v>
      </c>
      <c r="CC115" s="59">
        <f t="shared" si="867"/>
        <v>788.85</v>
      </c>
      <c r="CD115" s="59">
        <f t="shared" ref="CD115:CE115" si="868">CD110*CD181</f>
        <v>865.53509491237503</v>
      </c>
      <c r="CE115" s="59">
        <f t="shared" si="868"/>
        <v>971.1145396643409</v>
      </c>
      <c r="CF115" s="88"/>
      <c r="CG115" s="88"/>
      <c r="CH115" s="88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  <c r="DO115" s="29"/>
      <c r="DP115" s="29"/>
      <c r="DQ115" s="29"/>
      <c r="DR115" s="29"/>
      <c r="DS115" s="29"/>
      <c r="DT115" s="29"/>
      <c r="DU115" s="29"/>
      <c r="DV115" s="29"/>
      <c r="DW115" s="29"/>
      <c r="DX115" s="29"/>
      <c r="DY115" s="29"/>
      <c r="DZ115" s="29"/>
      <c r="EA115" s="29"/>
      <c r="EB115" s="29"/>
      <c r="EC115" s="29"/>
      <c r="ED115" s="29"/>
      <c r="EE115" s="29"/>
      <c r="EF115" s="29"/>
      <c r="EG115" s="29"/>
      <c r="EH115" s="29"/>
      <c r="EI115" s="29"/>
      <c r="EJ115" s="29"/>
      <c r="EK115" s="29"/>
      <c r="EL115" s="29"/>
      <c r="EM115" s="29"/>
      <c r="EN115" s="29"/>
      <c r="EO115" s="29"/>
      <c r="EP115" s="29"/>
      <c r="EQ115" s="29"/>
      <c r="ER115" s="29"/>
      <c r="ES115" s="29"/>
      <c r="ET115" s="29"/>
      <c r="EU115" s="29"/>
      <c r="EV115" s="29"/>
      <c r="EW115" s="29"/>
      <c r="EX115" s="29"/>
      <c r="EY115" s="29"/>
      <c r="EZ115" s="29"/>
      <c r="FA115" s="29"/>
      <c r="FB115" s="29"/>
      <c r="FC115" s="29"/>
      <c r="FD115" s="29"/>
      <c r="FE115" s="29"/>
      <c r="FF115" s="29"/>
      <c r="FG115" s="29"/>
      <c r="FH115" s="29"/>
      <c r="FI115" s="29"/>
      <c r="FJ115" s="29"/>
      <c r="FK115" s="29"/>
      <c r="FL115" s="29"/>
      <c r="FM115" s="29"/>
      <c r="FN115" s="29"/>
      <c r="FO115" s="29"/>
      <c r="FP115" s="29"/>
      <c r="FQ115" s="29"/>
      <c r="FR115" s="29"/>
      <c r="FS115" s="29"/>
      <c r="FT115" s="29"/>
      <c r="FU115" s="29"/>
      <c r="FV115" s="29"/>
      <c r="FW115" s="29"/>
      <c r="FX115" s="29"/>
      <c r="FY115" s="29"/>
      <c r="FZ115" s="29"/>
      <c r="GA115" s="29"/>
      <c r="GB115" s="29"/>
      <c r="GC115" s="29"/>
      <c r="GD115" s="29"/>
      <c r="GE115" s="29"/>
      <c r="GF115" s="29"/>
      <c r="GG115" s="29"/>
      <c r="GH115" s="29"/>
      <c r="GI115" s="29"/>
      <c r="GJ115" s="29"/>
      <c r="GK115" s="29"/>
      <c r="GL115" s="29"/>
      <c r="GM115" s="29"/>
      <c r="GN115" s="29"/>
      <c r="GO115" s="29"/>
      <c r="GP115" s="29"/>
      <c r="GQ115" s="29"/>
      <c r="GR115" s="29"/>
      <c r="GS115" s="29"/>
      <c r="GT115" s="29"/>
      <c r="GU115" s="29"/>
      <c r="GV115" s="29"/>
      <c r="GW115" s="29"/>
      <c r="GX115" s="29"/>
      <c r="GY115" s="29"/>
      <c r="GZ115" s="29"/>
      <c r="HA115" s="29"/>
      <c r="HB115" s="29"/>
      <c r="HC115" s="29"/>
      <c r="HD115" s="29"/>
      <c r="HE115" s="29"/>
      <c r="HF115" s="29"/>
      <c r="HG115" s="29"/>
      <c r="HH115" s="29"/>
      <c r="HI115" s="29"/>
      <c r="HJ115" s="29"/>
      <c r="HK115" s="29"/>
      <c r="HL115" s="29"/>
      <c r="HM115" s="29"/>
      <c r="HN115" s="29"/>
      <c r="HO115" s="29"/>
      <c r="HP115" s="29"/>
      <c r="HQ115" s="29"/>
      <c r="HR115" s="29"/>
    </row>
    <row r="116" spans="1:226">
      <c r="B116" s="91" t="s">
        <v>282</v>
      </c>
      <c r="C116" s="292"/>
      <c r="D116" s="57"/>
      <c r="E116" s="57"/>
      <c r="F116" s="293"/>
      <c r="G116" s="57"/>
      <c r="H116" s="57"/>
      <c r="I116" s="57"/>
      <c r="J116" s="57"/>
      <c r="K116" s="292"/>
      <c r="L116" s="57"/>
      <c r="M116" s="57"/>
      <c r="N116" s="293"/>
      <c r="O116" s="57"/>
      <c r="P116" s="57"/>
      <c r="Q116" s="57"/>
      <c r="R116" s="57"/>
      <c r="S116" s="292"/>
      <c r="T116" s="57"/>
      <c r="U116" s="57"/>
      <c r="V116" s="293"/>
      <c r="W116" s="57">
        <f>W115/W110</f>
        <v>0</v>
      </c>
      <c r="X116" s="57">
        <f t="shared" ref="X116:AO116" si="869">X115/X110</f>
        <v>0</v>
      </c>
      <c r="Y116" s="57">
        <f t="shared" si="869"/>
        <v>0</v>
      </c>
      <c r="Z116" s="57">
        <f t="shared" si="869"/>
        <v>0</v>
      </c>
      <c r="AA116" s="292">
        <f t="shared" si="869"/>
        <v>0</v>
      </c>
      <c r="AB116" s="57">
        <f t="shared" si="869"/>
        <v>0</v>
      </c>
      <c r="AC116" s="57">
        <f t="shared" si="869"/>
        <v>0</v>
      </c>
      <c r="AD116" s="293">
        <f t="shared" si="869"/>
        <v>0</v>
      </c>
      <c r="AE116" s="57">
        <f t="shared" si="869"/>
        <v>0.47969089591886016</v>
      </c>
      <c r="AF116" s="57">
        <f t="shared" si="869"/>
        <v>0.47375616490208527</v>
      </c>
      <c r="AG116" s="57">
        <f t="shared" si="869"/>
        <v>0.50557562289617508</v>
      </c>
      <c r="AH116" s="57">
        <f t="shared" si="869"/>
        <v>0.50466053707507152</v>
      </c>
      <c r="AI116" s="292">
        <f t="shared" si="869"/>
        <v>0.47473326867119303</v>
      </c>
      <c r="AJ116" s="57">
        <f t="shared" si="869"/>
        <v>0.48325415676959615</v>
      </c>
      <c r="AK116" s="57">
        <f t="shared" si="869"/>
        <v>0.43987708532042402</v>
      </c>
      <c r="AL116" s="293">
        <f t="shared" si="869"/>
        <v>0.4336076822787609</v>
      </c>
      <c r="AM116" s="292">
        <f t="shared" si="869"/>
        <v>0.42761361028230438</v>
      </c>
      <c r="AN116" s="57">
        <f t="shared" si="869"/>
        <v>0.42387373775528198</v>
      </c>
      <c r="AO116" s="57">
        <f t="shared" si="869"/>
        <v>0.42107142857142854</v>
      </c>
      <c r="AP116" s="293">
        <f>AP115/AP110</f>
        <v>0.42804162623627967</v>
      </c>
      <c r="AQ116" s="57">
        <f>AQ115/AQ110</f>
        <v>0.45206896551724146</v>
      </c>
      <c r="AR116" s="57">
        <f>AR115/AR110</f>
        <v>0.45351562500000003</v>
      </c>
      <c r="AS116" s="57">
        <f>AS115/AS110</f>
        <v>0.45387596899224808</v>
      </c>
      <c r="AT116" s="293">
        <f>AT115/AT110</f>
        <v>0.45318471337579619</v>
      </c>
      <c r="AU116" s="57">
        <f t="shared" ref="AU116:AV116" si="870">AU115/AU110</f>
        <v>0.45</v>
      </c>
      <c r="AV116" s="57">
        <f t="shared" si="870"/>
        <v>0.45</v>
      </c>
      <c r="AW116" s="57">
        <f>AW115/AW110</f>
        <v>0.44999999999999996</v>
      </c>
      <c r="AX116" s="795">
        <f>AX115/AX110</f>
        <v>0.48</v>
      </c>
      <c r="AY116" s="57">
        <f t="shared" ref="AY116:AZ116" si="871">AY115/AY110</f>
        <v>0.45</v>
      </c>
      <c r="AZ116" s="819">
        <f t="shared" si="871"/>
        <v>0.44999999999999996</v>
      </c>
      <c r="BA116" s="57">
        <f t="shared" ref="BA116" si="872">BA115/BA110</f>
        <v>0.45</v>
      </c>
      <c r="BB116" s="795">
        <f>BB115/BB110</f>
        <v>0.48</v>
      </c>
      <c r="BC116" s="57">
        <f t="shared" ref="BC116:BD116" si="873">BC115/BC110</f>
        <v>0.45</v>
      </c>
      <c r="BD116" s="819">
        <f t="shared" si="873"/>
        <v>0.45</v>
      </c>
      <c r="BE116" s="57">
        <f t="shared" ref="BE116:BJ116" si="874">BE115/BE110</f>
        <v>0.45</v>
      </c>
      <c r="BF116" s="293">
        <f t="shared" si="874"/>
        <v>0.45</v>
      </c>
      <c r="BG116" s="57">
        <f t="shared" si="874"/>
        <v>0.45</v>
      </c>
      <c r="BH116" s="819">
        <f t="shared" si="874"/>
        <v>0.44999999999999996</v>
      </c>
      <c r="BI116" s="57">
        <f t="shared" si="874"/>
        <v>0.45</v>
      </c>
      <c r="BJ116" s="293">
        <f t="shared" si="874"/>
        <v>0.45000000000000007</v>
      </c>
      <c r="BK116" s="57">
        <f t="shared" ref="BK116:BN116" si="875">BK115/BK110</f>
        <v>0.45000000000000007</v>
      </c>
      <c r="BL116" s="819">
        <f t="shared" si="875"/>
        <v>0.44999999999999996</v>
      </c>
      <c r="BM116" s="57">
        <f t="shared" si="875"/>
        <v>0.45</v>
      </c>
      <c r="BN116" s="293">
        <f t="shared" si="875"/>
        <v>0.45000000000000007</v>
      </c>
      <c r="BP116" s="57"/>
      <c r="BQ116" s="57"/>
      <c r="BR116" s="57"/>
      <c r="BS116" s="57"/>
      <c r="BT116" s="57"/>
      <c r="BU116" s="57">
        <f t="shared" ref="BU116:BZ116" si="876">BU115/BU110</f>
        <v>0</v>
      </c>
      <c r="BV116" s="57">
        <f t="shared" si="876"/>
        <v>0</v>
      </c>
      <c r="BW116" s="57">
        <f t="shared" si="876"/>
        <v>0.49336160649462946</v>
      </c>
      <c r="BX116" s="57">
        <f t="shared" si="876"/>
        <v>0.45257526041535817</v>
      </c>
      <c r="BY116" s="57">
        <f t="shared" si="876"/>
        <v>0.42477043765911227</v>
      </c>
      <c r="BZ116" s="57">
        <f t="shared" si="876"/>
        <v>0.45313059033989267</v>
      </c>
      <c r="CA116" s="57">
        <f>CA115/CA110</f>
        <v>0.45935679611650482</v>
      </c>
      <c r="CB116" s="57">
        <f>CB115/CB110</f>
        <v>0.45880052151238587</v>
      </c>
      <c r="CC116" s="57">
        <f>CC115/CC110</f>
        <v>0.45</v>
      </c>
      <c r="CD116" s="57">
        <f>CD115/CD110</f>
        <v>0.45000000000000007</v>
      </c>
      <c r="CE116" s="57">
        <f>CE115/CE110</f>
        <v>0.45000000000000007</v>
      </c>
    </row>
    <row r="117" spans="1:226">
      <c r="B117" s="91"/>
      <c r="G117" s="57"/>
      <c r="H117" s="57"/>
      <c r="I117" s="57"/>
      <c r="J117" s="57"/>
      <c r="K117" s="292"/>
      <c r="L117" s="57"/>
      <c r="M117" s="57"/>
      <c r="N117" s="293"/>
      <c r="O117" s="57"/>
      <c r="P117" s="57"/>
      <c r="Q117" s="57"/>
      <c r="R117" s="57"/>
      <c r="S117" s="292"/>
      <c r="T117" s="57"/>
      <c r="U117" s="57"/>
      <c r="V117" s="293"/>
      <c r="W117" s="57"/>
      <c r="X117" s="57"/>
      <c r="Y117" s="57"/>
      <c r="Z117" s="57"/>
      <c r="AA117" s="292"/>
      <c r="AB117" s="57"/>
      <c r="AC117" s="57"/>
      <c r="AD117" s="293"/>
      <c r="AE117" s="57"/>
      <c r="AF117" s="57"/>
      <c r="AG117" s="57"/>
      <c r="AH117" s="57"/>
      <c r="AI117" s="292"/>
      <c r="AJ117" s="57"/>
      <c r="AK117" s="57"/>
      <c r="AL117" s="293"/>
      <c r="AM117" s="292"/>
      <c r="AN117" s="57"/>
      <c r="AO117" s="57"/>
      <c r="AP117" s="293"/>
      <c r="AQ117" s="57"/>
      <c r="AR117" s="57"/>
      <c r="AS117" s="57"/>
      <c r="AT117" s="293"/>
      <c r="AU117" s="57"/>
      <c r="AV117" s="57"/>
      <c r="AW117" s="57"/>
      <c r="AX117" s="795"/>
      <c r="AY117" s="57"/>
      <c r="AZ117" s="819"/>
      <c r="BA117" s="57"/>
      <c r="BB117" s="795"/>
      <c r="BC117" s="57"/>
      <c r="BD117" s="819"/>
      <c r="BE117" s="57"/>
      <c r="BF117" s="293"/>
      <c r="BG117" s="57"/>
      <c r="BH117" s="819"/>
      <c r="BI117" s="57"/>
      <c r="BJ117" s="293"/>
      <c r="BK117" s="57"/>
      <c r="BL117" s="819"/>
      <c r="BM117" s="57"/>
      <c r="BN117" s="293"/>
      <c r="CE117" s="925"/>
    </row>
    <row r="118" spans="1:226">
      <c r="B118" s="357" t="s">
        <v>318</v>
      </c>
      <c r="C118" s="358"/>
      <c r="D118" s="359"/>
      <c r="E118" s="359"/>
      <c r="F118" s="360"/>
      <c r="G118" s="359"/>
      <c r="H118" s="359"/>
      <c r="I118" s="359"/>
      <c r="J118" s="359"/>
      <c r="K118" s="358"/>
      <c r="L118" s="359"/>
      <c r="M118" s="359"/>
      <c r="N118" s="360"/>
      <c r="O118" s="359"/>
      <c r="P118" s="359"/>
      <c r="Q118" s="359"/>
      <c r="R118" s="359"/>
      <c r="S118" s="358"/>
      <c r="T118" s="359"/>
      <c r="U118" s="359"/>
      <c r="V118" s="360"/>
      <c r="W118" s="359"/>
      <c r="X118" s="359"/>
      <c r="Y118" s="359"/>
      <c r="Z118" s="359"/>
      <c r="AA118" s="358"/>
      <c r="AB118" s="359"/>
      <c r="AC118" s="359"/>
      <c r="AD118" s="360"/>
      <c r="AE118" s="359"/>
      <c r="AF118" s="359"/>
      <c r="AG118" s="359"/>
      <c r="AH118" s="359"/>
      <c r="AI118" s="358"/>
      <c r="AJ118" s="359"/>
      <c r="AK118" s="359"/>
      <c r="AL118" s="360"/>
      <c r="AM118" s="358"/>
      <c r="AN118" s="359"/>
      <c r="AO118" s="359"/>
      <c r="AP118" s="360"/>
      <c r="AQ118" s="359"/>
      <c r="AR118" s="359"/>
      <c r="AS118" s="359"/>
      <c r="AT118" s="360"/>
      <c r="AU118" s="359"/>
      <c r="AV118" s="359"/>
      <c r="AW118" s="359"/>
      <c r="AX118" s="360"/>
      <c r="AY118" s="359"/>
      <c r="AZ118" s="359"/>
      <c r="BA118" s="359"/>
      <c r="BB118" s="360"/>
      <c r="BC118" s="359"/>
      <c r="BD118" s="359"/>
      <c r="BE118" s="359"/>
      <c r="BF118" s="360"/>
      <c r="BG118" s="359"/>
      <c r="BH118" s="359"/>
      <c r="BI118" s="359"/>
      <c r="BJ118" s="360"/>
      <c r="BK118" s="359"/>
      <c r="BL118" s="359"/>
      <c r="BM118" s="359"/>
      <c r="BN118" s="360"/>
      <c r="BO118" s="359"/>
      <c r="BP118" s="359"/>
      <c r="BQ118" s="359"/>
      <c r="BR118" s="359"/>
      <c r="BS118" s="359"/>
      <c r="BT118" s="359"/>
      <c r="BU118" s="359"/>
      <c r="BV118" s="359"/>
      <c r="BW118" s="359"/>
      <c r="BX118" s="359"/>
      <c r="BY118" s="359"/>
      <c r="BZ118" s="359"/>
      <c r="CA118" s="359"/>
      <c r="CB118" s="359"/>
      <c r="CC118" s="359"/>
      <c r="CD118" s="359"/>
      <c r="CE118" s="359"/>
    </row>
    <row r="119" spans="1:226">
      <c r="B119" s="5" t="s">
        <v>319</v>
      </c>
      <c r="C119" s="43"/>
      <c r="D119" s="29"/>
      <c r="E119" s="29"/>
      <c r="F119" s="44"/>
      <c r="G119" s="29">
        <f t="shared" ref="G119:AS119" si="877">G110</f>
        <v>57.384999999999998</v>
      </c>
      <c r="H119" s="29">
        <f t="shared" si="877"/>
        <v>55.692999999999998</v>
      </c>
      <c r="I119" s="29">
        <f t="shared" si="877"/>
        <v>48.942999999999998</v>
      </c>
      <c r="J119" s="29">
        <f t="shared" si="877"/>
        <v>71.202000000000055</v>
      </c>
      <c r="K119" s="43">
        <f t="shared" si="877"/>
        <v>67.225999999999999</v>
      </c>
      <c r="L119" s="29">
        <f t="shared" si="877"/>
        <v>62.182000000000002</v>
      </c>
      <c r="M119" s="29">
        <f t="shared" si="877"/>
        <v>65.873000000000005</v>
      </c>
      <c r="N119" s="44">
        <f t="shared" si="877"/>
        <v>55.856000000000009</v>
      </c>
      <c r="O119" s="29">
        <f t="shared" si="877"/>
        <v>42.465000000000003</v>
      </c>
      <c r="P119" s="29">
        <f t="shared" si="877"/>
        <v>34.625</v>
      </c>
      <c r="Q119" s="29">
        <f t="shared" si="877"/>
        <v>34.173999999999999</v>
      </c>
      <c r="R119" s="29">
        <f t="shared" si="877"/>
        <v>25.069999999999993</v>
      </c>
      <c r="S119" s="43">
        <f t="shared" si="877"/>
        <v>10.699</v>
      </c>
      <c r="T119" s="29">
        <f t="shared" si="877"/>
        <v>44.277000000000001</v>
      </c>
      <c r="U119" s="29">
        <f t="shared" si="877"/>
        <v>55.91</v>
      </c>
      <c r="V119" s="44">
        <f t="shared" si="877"/>
        <v>45.16</v>
      </c>
      <c r="W119" s="29">
        <f t="shared" si="877"/>
        <v>31.23</v>
      </c>
      <c r="X119" s="29">
        <f t="shared" si="877"/>
        <v>45.704000000000001</v>
      </c>
      <c r="Y119" s="29">
        <f t="shared" si="877"/>
        <v>51.933999999999997</v>
      </c>
      <c r="Z119" s="29">
        <f t="shared" si="877"/>
        <v>68.74499999999999</v>
      </c>
      <c r="AA119" s="43">
        <f t="shared" si="877"/>
        <v>122.60899999999999</v>
      </c>
      <c r="AB119" s="29">
        <f t="shared" si="877"/>
        <v>167.684</v>
      </c>
      <c r="AC119" s="29">
        <f t="shared" si="877"/>
        <v>191.083</v>
      </c>
      <c r="AD119" s="44">
        <f t="shared" si="877"/>
        <v>109.79</v>
      </c>
      <c r="AE119" s="29">
        <f t="shared" si="877"/>
        <v>132.512</v>
      </c>
      <c r="AF119" s="29">
        <f t="shared" si="877"/>
        <v>179.64599999999999</v>
      </c>
      <c r="AG119" s="29">
        <f t="shared" si="877"/>
        <v>243.90100000000001</v>
      </c>
      <c r="AH119" s="29">
        <f t="shared" si="877"/>
        <v>208.38800000000009</v>
      </c>
      <c r="AI119" s="43">
        <f t="shared" si="877"/>
        <v>103.1</v>
      </c>
      <c r="AJ119" s="29">
        <f t="shared" si="877"/>
        <v>52.625</v>
      </c>
      <c r="AK119" s="29">
        <f t="shared" si="877"/>
        <v>111.134</v>
      </c>
      <c r="AL119" s="44">
        <f t="shared" si="877"/>
        <v>131.15899999999996</v>
      </c>
      <c r="AM119" s="43">
        <f t="shared" si="877"/>
        <v>139.42400000000001</v>
      </c>
      <c r="AN119" s="29">
        <f t="shared" si="877"/>
        <v>158.84399999999999</v>
      </c>
      <c r="AO119" s="29">
        <f t="shared" si="877"/>
        <v>168</v>
      </c>
      <c r="AP119" s="44">
        <f t="shared" si="877"/>
        <v>112.333</v>
      </c>
      <c r="AQ119" s="43">
        <f t="shared" si="877"/>
        <v>145</v>
      </c>
      <c r="AR119" s="29">
        <f t="shared" si="877"/>
        <v>128</v>
      </c>
      <c r="AS119" s="29">
        <f t="shared" si="877"/>
        <v>129</v>
      </c>
      <c r="AT119" s="44">
        <f>AT110</f>
        <v>157</v>
      </c>
      <c r="AU119" s="43">
        <f t="shared" ref="AU119" si="878">AU110</f>
        <v>160</v>
      </c>
      <c r="AV119" s="649"/>
      <c r="AW119" s="649"/>
      <c r="AX119" s="760"/>
      <c r="AY119" s="43">
        <f t="shared" ref="AY119" si="879">AY110</f>
        <v>332</v>
      </c>
      <c r="AZ119" s="912"/>
      <c r="BA119" s="73"/>
      <c r="BB119" s="760"/>
      <c r="BC119" s="43"/>
      <c r="BD119" s="912"/>
      <c r="BE119" s="73"/>
      <c r="BF119" s="238"/>
      <c r="BG119" s="43"/>
      <c r="BH119" s="912"/>
      <c r="BI119" s="73"/>
      <c r="BJ119" s="238"/>
      <c r="BK119" s="43"/>
      <c r="BL119" s="912"/>
      <c r="BM119" s="73"/>
      <c r="BN119" s="238"/>
      <c r="BO119" s="88"/>
      <c r="BP119" s="29"/>
      <c r="BQ119" s="29"/>
      <c r="BR119" s="29"/>
      <c r="BS119" s="29"/>
      <c r="BT119" s="29"/>
      <c r="BU119" s="48">
        <f>SUM(W119:Z119)</f>
        <v>197.613</v>
      </c>
      <c r="BV119" s="48">
        <f>SUM(AA119:AD119)</f>
        <v>591.16599999999994</v>
      </c>
      <c r="BW119" s="48">
        <f>SUM(AE119:AH119)</f>
        <v>764.44700000000012</v>
      </c>
      <c r="BX119" s="48">
        <f>SUM(AI119:AL119)</f>
        <v>398.01799999999992</v>
      </c>
      <c r="BY119" s="29">
        <f>SUM(AM119:AP119)</f>
        <v>578.601</v>
      </c>
      <c r="BZ119" s="29">
        <f>SUM(AQ119:AT119)</f>
        <v>559</v>
      </c>
      <c r="CA119" s="29"/>
      <c r="CB119" s="29"/>
      <c r="CC119" s="29"/>
      <c r="CD119" s="29"/>
      <c r="CE119" s="29"/>
    </row>
    <row r="120" spans="1:226">
      <c r="B120" s="5" t="s">
        <v>320</v>
      </c>
      <c r="W120" s="14">
        <f t="shared" ref="W120:AH120" si="880">W127+W131+W132+W138+W133+W135</f>
        <v>31.23</v>
      </c>
      <c r="X120" s="14">
        <f t="shared" si="880"/>
        <v>45.704000000000001</v>
      </c>
      <c r="Y120" s="14">
        <f t="shared" si="880"/>
        <v>51.933999999999997</v>
      </c>
      <c r="Z120" s="14">
        <f t="shared" si="880"/>
        <v>68.74499999999999</v>
      </c>
      <c r="AA120" s="23">
        <f t="shared" si="880"/>
        <v>122.60899999999999</v>
      </c>
      <c r="AB120" s="14">
        <f t="shared" si="880"/>
        <v>167.684</v>
      </c>
      <c r="AC120" s="14">
        <f t="shared" si="880"/>
        <v>191.083</v>
      </c>
      <c r="AD120" s="24">
        <f t="shared" si="880"/>
        <v>109.79</v>
      </c>
      <c r="AE120" s="14">
        <f t="shared" si="880"/>
        <v>132.512</v>
      </c>
      <c r="AF120" s="14">
        <f t="shared" si="880"/>
        <v>179.64599999999999</v>
      </c>
      <c r="AG120" s="14">
        <f t="shared" si="880"/>
        <v>243.90100000000001</v>
      </c>
      <c r="AH120" s="14">
        <f t="shared" si="880"/>
        <v>208.38800000000009</v>
      </c>
      <c r="AI120" s="23">
        <f t="shared" ref="AI120:AX120" si="881">AI138+AI141+AI144</f>
        <v>103.1</v>
      </c>
      <c r="AJ120" s="14">
        <f t="shared" si="881"/>
        <v>52.625</v>
      </c>
      <c r="AK120" s="14">
        <f t="shared" si="881"/>
        <v>111.134</v>
      </c>
      <c r="AL120" s="24">
        <f t="shared" si="881"/>
        <v>131.15899999999996</v>
      </c>
      <c r="AM120" s="23">
        <f t="shared" si="881"/>
        <v>139.42400000000001</v>
      </c>
      <c r="AN120" s="14">
        <f t="shared" si="881"/>
        <v>158.84399999999999</v>
      </c>
      <c r="AO120" s="14">
        <f t="shared" si="881"/>
        <v>168</v>
      </c>
      <c r="AP120" s="24">
        <f t="shared" si="881"/>
        <v>112.333</v>
      </c>
      <c r="AQ120" s="14">
        <f t="shared" si="881"/>
        <v>145</v>
      </c>
      <c r="AR120" s="14">
        <f t="shared" si="881"/>
        <v>128</v>
      </c>
      <c r="AS120" s="14">
        <f t="shared" si="881"/>
        <v>129</v>
      </c>
      <c r="AT120" s="24">
        <f t="shared" si="881"/>
        <v>157</v>
      </c>
      <c r="AU120" s="14">
        <f t="shared" si="881"/>
        <v>160</v>
      </c>
      <c r="AV120" s="14">
        <f t="shared" si="881"/>
        <v>166</v>
      </c>
      <c r="AW120" s="847">
        <f t="shared" si="881"/>
        <v>241</v>
      </c>
      <c r="AX120" s="847">
        <f t="shared" si="881"/>
        <v>257</v>
      </c>
      <c r="AY120" s="847">
        <f t="shared" ref="AY120:AZ120" si="882">AY138+AY141+AY144</f>
        <v>332</v>
      </c>
      <c r="AZ120" s="847">
        <f t="shared" si="882"/>
        <v>333</v>
      </c>
      <c r="BA120" s="14">
        <f t="shared" ref="BA120:BB120" si="883">BA138+BA141+BA144</f>
        <v>419</v>
      </c>
      <c r="BB120" s="980">
        <f t="shared" si="883"/>
        <v>450</v>
      </c>
      <c r="BC120" s="926">
        <f t="shared" ref="BC120:BD120" si="884">BC138+BC141+BC144</f>
        <v>457</v>
      </c>
      <c r="BD120" s="926">
        <f t="shared" si="884"/>
        <v>428</v>
      </c>
      <c r="BE120" s="926">
        <f t="shared" ref="BE120:BJ120" si="885">BE138+BE141+BE144</f>
        <v>454</v>
      </c>
      <c r="BF120" s="24">
        <f t="shared" si="885"/>
        <v>414</v>
      </c>
      <c r="BG120" s="926">
        <f t="shared" si="885"/>
        <v>471.06</v>
      </c>
      <c r="BH120" s="926">
        <f t="shared" si="885"/>
        <v>466.4699</v>
      </c>
      <c r="BI120" s="926">
        <f t="shared" si="885"/>
        <v>506.54125850000003</v>
      </c>
      <c r="BJ120" s="24">
        <f t="shared" si="885"/>
        <v>479.34016352749995</v>
      </c>
      <c r="BK120" s="926">
        <f t="shared" ref="BK120:BN120" si="886">BK138+BK141+BK144</f>
        <v>526.59025078242496</v>
      </c>
      <c r="BL120" s="926">
        <f t="shared" si="886"/>
        <v>524.02471966135477</v>
      </c>
      <c r="BM120" s="926">
        <f t="shared" si="886"/>
        <v>566.20806438829277</v>
      </c>
      <c r="BN120" s="24">
        <f t="shared" si="886"/>
        <v>541.20927553312936</v>
      </c>
      <c r="BY120" s="29"/>
      <c r="BZ120" s="29"/>
      <c r="CA120" s="14">
        <f>CA110</f>
        <v>824</v>
      </c>
      <c r="CB120" s="14">
        <f>CB110</f>
        <v>1534</v>
      </c>
      <c r="CC120" s="926">
        <f>CC110</f>
        <v>1753</v>
      </c>
      <c r="CD120" s="926">
        <f>CD110</f>
        <v>1923.4113220274999</v>
      </c>
      <c r="CE120" s="926">
        <f>CE110</f>
        <v>2158.0323103652017</v>
      </c>
    </row>
    <row r="121" spans="1:226">
      <c r="B121" s="347" t="s">
        <v>246</v>
      </c>
      <c r="C121" s="348"/>
      <c r="D121" s="347"/>
      <c r="E121" s="347"/>
      <c r="F121" s="349"/>
      <c r="G121" s="347"/>
      <c r="H121" s="347"/>
      <c r="I121" s="347"/>
      <c r="J121" s="347"/>
      <c r="K121" s="348"/>
      <c r="L121" s="347"/>
      <c r="M121" s="347"/>
      <c r="N121" s="349"/>
      <c r="O121" s="347"/>
      <c r="P121" s="347"/>
      <c r="Q121" s="347"/>
      <c r="R121" s="347"/>
      <c r="S121" s="348"/>
      <c r="T121" s="347"/>
      <c r="U121" s="347"/>
      <c r="V121" s="349"/>
      <c r="W121" s="350">
        <f>W120-W119</f>
        <v>0</v>
      </c>
      <c r="X121" s="350">
        <f t="shared" ref="X121:AM121" si="887">X120-X119</f>
        <v>0</v>
      </c>
      <c r="Y121" s="350">
        <f t="shared" si="887"/>
        <v>0</v>
      </c>
      <c r="Z121" s="350">
        <f t="shared" si="887"/>
        <v>0</v>
      </c>
      <c r="AA121" s="351">
        <f t="shared" si="887"/>
        <v>0</v>
      </c>
      <c r="AB121" s="350">
        <f t="shared" si="887"/>
        <v>0</v>
      </c>
      <c r="AC121" s="350">
        <f t="shared" si="887"/>
        <v>0</v>
      </c>
      <c r="AD121" s="352">
        <f t="shared" si="887"/>
        <v>0</v>
      </c>
      <c r="AE121" s="350">
        <f t="shared" si="887"/>
        <v>0</v>
      </c>
      <c r="AF121" s="350">
        <f t="shared" si="887"/>
        <v>0</v>
      </c>
      <c r="AG121" s="350">
        <f t="shared" si="887"/>
        <v>0</v>
      </c>
      <c r="AH121" s="350">
        <f t="shared" si="887"/>
        <v>0</v>
      </c>
      <c r="AI121" s="351">
        <f t="shared" si="887"/>
        <v>0</v>
      </c>
      <c r="AJ121" s="350">
        <f t="shared" si="887"/>
        <v>0</v>
      </c>
      <c r="AK121" s="350">
        <f t="shared" si="887"/>
        <v>0</v>
      </c>
      <c r="AL121" s="352">
        <f t="shared" si="887"/>
        <v>0</v>
      </c>
      <c r="AM121" s="351">
        <f t="shared" si="887"/>
        <v>0</v>
      </c>
      <c r="AN121" s="350">
        <f t="shared" ref="AN121:AT121" si="888">AN120-AN119</f>
        <v>0</v>
      </c>
      <c r="AO121" s="350">
        <f t="shared" si="888"/>
        <v>0</v>
      </c>
      <c r="AP121" s="352">
        <f t="shared" si="888"/>
        <v>0</v>
      </c>
      <c r="AQ121" s="350">
        <f t="shared" si="888"/>
        <v>0</v>
      </c>
      <c r="AR121" s="350">
        <f t="shared" si="888"/>
        <v>0</v>
      </c>
      <c r="AS121" s="350">
        <f t="shared" si="888"/>
        <v>0</v>
      </c>
      <c r="AT121" s="352">
        <f t="shared" si="888"/>
        <v>0</v>
      </c>
      <c r="AU121" s="350">
        <f>AU120-AU110</f>
        <v>0</v>
      </c>
      <c r="AV121" s="859">
        <f t="shared" ref="AV121:AX121" si="889">AV120-AV110</f>
        <v>0</v>
      </c>
      <c r="AW121" s="859">
        <f t="shared" si="889"/>
        <v>0</v>
      </c>
      <c r="AX121" s="859">
        <f t="shared" si="889"/>
        <v>0</v>
      </c>
      <c r="AY121" s="859">
        <f>AY120-AY110</f>
        <v>0</v>
      </c>
      <c r="AZ121" s="859">
        <f t="shared" ref="AZ121" si="890">AZ120-AZ110</f>
        <v>0</v>
      </c>
      <c r="BA121" s="350">
        <f t="shared" ref="BA121:BB121" si="891">BA120-BA110</f>
        <v>0</v>
      </c>
      <c r="BB121" s="859">
        <f t="shared" si="891"/>
        <v>0</v>
      </c>
      <c r="BC121" s="859">
        <f t="shared" ref="BC121:BD121" si="892">BC120-BC110</f>
        <v>0</v>
      </c>
      <c r="BD121" s="859">
        <f t="shared" si="892"/>
        <v>0</v>
      </c>
      <c r="BE121" s="859">
        <f t="shared" ref="BE121:BJ121" si="893">BE120-BE110</f>
        <v>0</v>
      </c>
      <c r="BF121" s="352">
        <f t="shared" si="893"/>
        <v>0</v>
      </c>
      <c r="BG121" s="859">
        <f t="shared" si="893"/>
        <v>0</v>
      </c>
      <c r="BH121" s="859">
        <f t="shared" si="893"/>
        <v>0</v>
      </c>
      <c r="BI121" s="859">
        <f t="shared" si="893"/>
        <v>0</v>
      </c>
      <c r="BJ121" s="352">
        <f t="shared" si="893"/>
        <v>0</v>
      </c>
      <c r="BK121" s="859">
        <f t="shared" ref="BK121:BN121" si="894">BK120-BK110</f>
        <v>0</v>
      </c>
      <c r="BL121" s="859">
        <f t="shared" si="894"/>
        <v>0</v>
      </c>
      <c r="BM121" s="859">
        <f t="shared" si="894"/>
        <v>0</v>
      </c>
      <c r="BN121" s="352">
        <f t="shared" si="894"/>
        <v>0</v>
      </c>
      <c r="BO121" s="85"/>
      <c r="BP121" s="347"/>
      <c r="BQ121" s="347"/>
      <c r="BR121" s="347"/>
      <c r="BS121" s="347"/>
      <c r="BT121" s="347"/>
      <c r="BU121" s="347"/>
      <c r="BV121" s="347"/>
      <c r="BW121" s="347"/>
      <c r="BX121" s="646">
        <f>BX119-BX110</f>
        <v>0</v>
      </c>
      <c r="BY121" s="646">
        <f>BY119-BY110</f>
        <v>0</v>
      </c>
      <c r="BZ121" s="646">
        <f>BZ119-BZ110</f>
        <v>0</v>
      </c>
      <c r="CA121" s="646">
        <f t="shared" ref="CA121" si="895">CA120-CA110</f>
        <v>0</v>
      </c>
      <c r="CB121" s="646">
        <f t="shared" ref="CB121:CC121" si="896">CB120-CB110</f>
        <v>0</v>
      </c>
      <c r="CC121" s="646">
        <f t="shared" si="896"/>
        <v>0</v>
      </c>
      <c r="CD121" s="646">
        <f t="shared" ref="CD121:CE121" si="897">CD120-CD110</f>
        <v>0</v>
      </c>
      <c r="CE121" s="646">
        <f t="shared" si="897"/>
        <v>0</v>
      </c>
    </row>
    <row r="122" spans="1:226">
      <c r="B122" s="91"/>
      <c r="G122" s="57"/>
      <c r="H122" s="57"/>
      <c r="I122" s="57"/>
      <c r="J122" s="57"/>
      <c r="K122" s="292"/>
      <c r="L122" s="57"/>
      <c r="M122" s="57"/>
      <c r="N122" s="293"/>
      <c r="O122" s="57"/>
      <c r="P122" s="57"/>
      <c r="Q122" s="57"/>
      <c r="R122" s="57"/>
      <c r="S122" s="292"/>
      <c r="T122" s="57"/>
      <c r="U122" s="57"/>
      <c r="V122" s="293"/>
      <c r="W122" s="57"/>
      <c r="X122" s="57"/>
      <c r="Y122" s="57"/>
      <c r="Z122" s="57"/>
      <c r="AA122" s="292"/>
      <c r="AB122" s="57"/>
      <c r="AC122" s="57"/>
      <c r="AD122" s="293"/>
      <c r="AE122" s="57"/>
      <c r="AF122" s="57"/>
      <c r="AG122" s="57"/>
      <c r="AH122" s="57"/>
      <c r="AI122" s="681"/>
      <c r="AJ122" s="682"/>
      <c r="AK122" s="682"/>
      <c r="AL122" s="608"/>
      <c r="AM122" s="681"/>
      <c r="AN122" s="682"/>
      <c r="AO122" s="682"/>
      <c r="AP122" s="608"/>
      <c r="AQ122" s="682"/>
      <c r="AR122" s="682"/>
      <c r="AS122" s="682"/>
      <c r="AT122" s="608"/>
      <c r="AU122" s="682"/>
      <c r="AV122" s="682"/>
      <c r="AW122" s="751"/>
      <c r="AX122" s="796"/>
      <c r="AY122" s="682"/>
      <c r="AZ122" s="751"/>
      <c r="BA122" s="682"/>
      <c r="BB122" s="796"/>
      <c r="BC122" s="682"/>
      <c r="BD122" s="751"/>
      <c r="BE122" s="682"/>
      <c r="BF122" s="608"/>
      <c r="BG122" s="682"/>
      <c r="BH122" s="751"/>
      <c r="BI122" s="682"/>
      <c r="BJ122" s="608"/>
      <c r="BK122" s="682"/>
      <c r="BL122" s="751"/>
      <c r="BM122" s="682"/>
      <c r="BN122" s="608"/>
      <c r="CE122" s="925"/>
    </row>
    <row r="123" spans="1:226">
      <c r="B123" s="377" t="s">
        <v>230</v>
      </c>
      <c r="C123" s="361"/>
      <c r="D123" s="84"/>
      <c r="E123" s="84"/>
      <c r="F123" s="362"/>
      <c r="G123" s="84"/>
      <c r="H123" s="84"/>
      <c r="I123" s="84"/>
      <c r="J123" s="84"/>
      <c r="K123" s="361"/>
      <c r="L123" s="84"/>
      <c r="M123" s="84"/>
      <c r="N123" s="362"/>
      <c r="O123" s="84"/>
      <c r="P123" s="84"/>
      <c r="Q123" s="84"/>
      <c r="R123" s="84"/>
      <c r="S123" s="361"/>
      <c r="T123" s="84"/>
      <c r="U123" s="84"/>
      <c r="V123" s="362"/>
      <c r="W123" s="84"/>
      <c r="X123" s="84"/>
      <c r="Y123" s="84"/>
      <c r="Z123" s="84"/>
      <c r="AA123" s="361"/>
      <c r="AB123" s="84"/>
      <c r="AC123" s="84"/>
      <c r="AD123" s="362"/>
      <c r="AE123" s="84"/>
      <c r="AF123" s="84"/>
      <c r="AG123" s="84"/>
      <c r="AH123" s="84"/>
      <c r="AI123" s="481"/>
      <c r="AJ123" s="84"/>
      <c r="AK123" s="84"/>
      <c r="AL123" s="362"/>
      <c r="AM123" s="592"/>
      <c r="AN123" s="178"/>
      <c r="AO123" s="178"/>
      <c r="AP123" s="593"/>
      <c r="AQ123" s="178"/>
      <c r="AR123" s="178"/>
      <c r="AS123" s="46"/>
      <c r="AT123" s="593"/>
      <c r="AU123" s="46"/>
      <c r="AV123" s="46"/>
      <c r="AW123" s="730"/>
      <c r="AX123" s="785"/>
      <c r="AY123" s="730"/>
      <c r="AZ123" s="730"/>
      <c r="BA123" s="46"/>
      <c r="BB123" s="785"/>
      <c r="BC123" s="730"/>
      <c r="BD123" s="730"/>
      <c r="BE123" s="46"/>
      <c r="BF123" s="658"/>
      <c r="BG123" s="730"/>
      <c r="BH123" s="730"/>
      <c r="BI123" s="46"/>
      <c r="BJ123" s="658"/>
      <c r="BK123" s="730"/>
      <c r="BL123" s="730"/>
      <c r="BM123" s="46"/>
      <c r="BN123" s="658"/>
      <c r="CE123" s="925"/>
    </row>
    <row r="124" spans="1:226">
      <c r="B124" s="84" t="s">
        <v>231</v>
      </c>
      <c r="C124" s="302"/>
      <c r="D124" s="63"/>
      <c r="E124" s="63"/>
      <c r="F124" s="303"/>
      <c r="G124" s="63"/>
      <c r="H124" s="63"/>
      <c r="I124" s="63"/>
      <c r="J124" s="63"/>
      <c r="K124" s="302"/>
      <c r="L124" s="63"/>
      <c r="M124" s="63"/>
      <c r="N124" s="303"/>
      <c r="O124" s="63"/>
      <c r="P124" s="63"/>
      <c r="Q124" s="63"/>
      <c r="R124" s="63"/>
      <c r="S124" s="302"/>
      <c r="T124" s="63"/>
      <c r="U124" s="63"/>
      <c r="V124" s="303"/>
      <c r="W124" s="458">
        <v>6.23</v>
      </c>
      <c r="X124" s="459">
        <v>10.704000000000001</v>
      </c>
      <c r="Y124" s="458">
        <v>21.933999999999997</v>
      </c>
      <c r="Z124" s="458">
        <v>33.74499999999999</v>
      </c>
      <c r="AA124" s="460">
        <v>30</v>
      </c>
      <c r="AB124" s="459">
        <v>50</v>
      </c>
      <c r="AC124" s="458">
        <v>50</v>
      </c>
      <c r="AD124" s="461">
        <v>26.834500000000006</v>
      </c>
      <c r="AE124" s="458">
        <v>37.799999999999997</v>
      </c>
      <c r="AF124" s="459">
        <v>25</v>
      </c>
      <c r="AG124" s="458">
        <v>35</v>
      </c>
      <c r="AH124" s="458">
        <v>45</v>
      </c>
      <c r="AI124" s="460">
        <v>15</v>
      </c>
      <c r="AJ124" s="459">
        <v>0</v>
      </c>
      <c r="AK124" s="458">
        <v>0</v>
      </c>
      <c r="AL124" s="461">
        <v>50</v>
      </c>
      <c r="AM124" s="460">
        <v>42.423999999999999</v>
      </c>
      <c r="AN124" s="459">
        <v>60</v>
      </c>
      <c r="AO124" s="458">
        <v>35.200000000000003</v>
      </c>
      <c r="AP124" s="461">
        <v>19</v>
      </c>
      <c r="AQ124" s="458">
        <v>5</v>
      </c>
      <c r="AR124" s="458">
        <v>5</v>
      </c>
      <c r="AS124" s="458">
        <v>4</v>
      </c>
      <c r="AT124" s="461">
        <v>2</v>
      </c>
      <c r="AU124" s="686"/>
      <c r="AV124" s="686"/>
      <c r="AW124" s="752"/>
      <c r="AX124" s="797"/>
      <c r="AY124" s="752"/>
      <c r="AZ124" s="752"/>
      <c r="BA124" s="686"/>
      <c r="BB124" s="797"/>
      <c r="BC124" s="752"/>
      <c r="BD124" s="752"/>
      <c r="BE124" s="686"/>
      <c r="BF124" s="687"/>
      <c r="BG124" s="752"/>
      <c r="BH124" s="752"/>
      <c r="BI124" s="686"/>
      <c r="BJ124" s="687"/>
      <c r="BK124" s="752"/>
      <c r="BL124" s="752"/>
      <c r="BM124" s="686"/>
      <c r="BN124" s="687"/>
      <c r="BP124" s="59">
        <f>SUM(C124:F124)</f>
        <v>0</v>
      </c>
      <c r="BQ124" s="59">
        <f>SUM(G124:J124)</f>
        <v>0</v>
      </c>
      <c r="BR124" s="59">
        <f>SUM(K124:N124)</f>
        <v>0</v>
      </c>
      <c r="BS124" s="59">
        <f>SUM(O124:R124)</f>
        <v>0</v>
      </c>
      <c r="BT124" s="59">
        <f>SUM(S124:V124)</f>
        <v>0</v>
      </c>
      <c r="BU124" s="59">
        <f>SUM(W124:Z124)</f>
        <v>72.612999999999985</v>
      </c>
      <c r="BV124" s="59">
        <f>SUM(AA124:AD124)</f>
        <v>156.83449999999999</v>
      </c>
      <c r="BW124" s="59">
        <f>SUM(AE124:AH124)</f>
        <v>142.80000000000001</v>
      </c>
      <c r="BX124" s="59">
        <f>SUM(AI124:AL124)</f>
        <v>65</v>
      </c>
      <c r="BY124" s="29">
        <f>SUM(AM124:AP124)</f>
        <v>156.62400000000002</v>
      </c>
      <c r="BZ124" s="29">
        <f>SUM(AQ124:AT124)</f>
        <v>16</v>
      </c>
      <c r="CA124" s="29"/>
      <c r="CB124" s="29"/>
      <c r="CC124" s="29"/>
      <c r="CD124" s="29"/>
      <c r="CE124" s="29"/>
    </row>
    <row r="125" spans="1:226">
      <c r="B125" s="84" t="s">
        <v>232</v>
      </c>
      <c r="C125" s="302"/>
      <c r="D125" s="63"/>
      <c r="E125" s="63"/>
      <c r="F125" s="303"/>
      <c r="G125" s="63"/>
      <c r="H125" s="63"/>
      <c r="I125" s="63"/>
      <c r="J125" s="63"/>
      <c r="K125" s="302"/>
      <c r="L125" s="63"/>
      <c r="M125" s="63"/>
      <c r="N125" s="303"/>
      <c r="O125" s="63"/>
      <c r="P125" s="63"/>
      <c r="Q125" s="63"/>
      <c r="R125" s="63"/>
      <c r="S125" s="302"/>
      <c r="T125" s="63"/>
      <c r="U125" s="63"/>
      <c r="V125" s="303"/>
      <c r="W125" s="459"/>
      <c r="X125" s="459"/>
      <c r="Y125" s="458"/>
      <c r="Z125" s="458"/>
      <c r="AA125" s="462">
        <v>50</v>
      </c>
      <c r="AB125" s="459">
        <v>60</v>
      </c>
      <c r="AC125" s="458">
        <v>80</v>
      </c>
      <c r="AD125" s="461">
        <v>21.955500000000001</v>
      </c>
      <c r="AE125" s="459">
        <v>37.799999999999997</v>
      </c>
      <c r="AF125" s="459">
        <v>40</v>
      </c>
      <c r="AG125" s="458">
        <v>70</v>
      </c>
      <c r="AH125" s="458">
        <v>35</v>
      </c>
      <c r="AI125" s="462">
        <v>20</v>
      </c>
      <c r="AJ125" s="459">
        <v>5</v>
      </c>
      <c r="AK125" s="458">
        <v>37.5</v>
      </c>
      <c r="AL125" s="461">
        <v>20</v>
      </c>
      <c r="AM125" s="462">
        <v>28</v>
      </c>
      <c r="AN125" s="459">
        <v>30</v>
      </c>
      <c r="AO125" s="458">
        <v>58</v>
      </c>
      <c r="AP125" s="461">
        <v>15</v>
      </c>
      <c r="AQ125" s="458">
        <v>5</v>
      </c>
      <c r="AR125" s="458">
        <v>5</v>
      </c>
      <c r="AS125" s="458">
        <v>4</v>
      </c>
      <c r="AT125" s="461">
        <v>2</v>
      </c>
      <c r="AU125" s="686"/>
      <c r="AV125" s="686"/>
      <c r="AW125" s="752"/>
      <c r="AX125" s="797"/>
      <c r="AY125" s="752"/>
      <c r="AZ125" s="752"/>
      <c r="BA125" s="686"/>
      <c r="BB125" s="797"/>
      <c r="BC125" s="752"/>
      <c r="BD125" s="752"/>
      <c r="BE125" s="686"/>
      <c r="BF125" s="687"/>
      <c r="BG125" s="752"/>
      <c r="BH125" s="752"/>
      <c r="BI125" s="686"/>
      <c r="BJ125" s="687"/>
      <c r="BK125" s="752"/>
      <c r="BL125" s="752"/>
      <c r="BM125" s="686"/>
      <c r="BN125" s="687"/>
      <c r="BP125" s="59">
        <f>SUM(C125:F125)</f>
        <v>0</v>
      </c>
      <c r="BQ125" s="59">
        <f>SUM(G125:J125)</f>
        <v>0</v>
      </c>
      <c r="BR125" s="59">
        <f>SUM(K125:N125)</f>
        <v>0</v>
      </c>
      <c r="BS125" s="59">
        <f>SUM(O125:R125)</f>
        <v>0</v>
      </c>
      <c r="BT125" s="59">
        <f>SUM(S125:V125)</f>
        <v>0</v>
      </c>
      <c r="BU125" s="59">
        <f>SUM(W125:Z125)</f>
        <v>0</v>
      </c>
      <c r="BV125" s="59">
        <f>SUM(AA125:AD125)</f>
        <v>211.9555</v>
      </c>
      <c r="BW125" s="59">
        <f>SUM(AE125:AH125)</f>
        <v>182.8</v>
      </c>
      <c r="BX125" s="59">
        <f>SUM(AI125:AL125)</f>
        <v>82.5</v>
      </c>
      <c r="BY125" s="29">
        <f>SUM(AM125:AP125)</f>
        <v>131</v>
      </c>
      <c r="BZ125" s="29">
        <f>SUM(AQ125:AT125)</f>
        <v>16</v>
      </c>
      <c r="CA125" s="29"/>
      <c r="CB125" s="29"/>
      <c r="CC125" s="29"/>
      <c r="CD125" s="29"/>
      <c r="CE125" s="29"/>
    </row>
    <row r="126" spans="1:226">
      <c r="B126" s="84" t="s">
        <v>233</v>
      </c>
      <c r="C126" s="302"/>
      <c r="D126" s="63"/>
      <c r="E126" s="63"/>
      <c r="F126" s="303"/>
      <c r="G126" s="63"/>
      <c r="H126" s="63"/>
      <c r="I126" s="63"/>
      <c r="J126" s="63"/>
      <c r="K126" s="302"/>
      <c r="L126" s="63"/>
      <c r="M126" s="63"/>
      <c r="N126" s="303"/>
      <c r="O126" s="63"/>
      <c r="P126" s="63"/>
      <c r="Q126" s="63"/>
      <c r="R126" s="63"/>
      <c r="S126" s="302"/>
      <c r="T126" s="63"/>
      <c r="U126" s="63"/>
      <c r="V126" s="303"/>
      <c r="W126" s="458"/>
      <c r="X126" s="459"/>
      <c r="Y126" s="458"/>
      <c r="Z126" s="458"/>
      <c r="AA126" s="460"/>
      <c r="AB126" s="459"/>
      <c r="AC126" s="458"/>
      <c r="AD126" s="461"/>
      <c r="AE126" s="458"/>
      <c r="AF126" s="459">
        <v>20</v>
      </c>
      <c r="AG126" s="458">
        <v>70</v>
      </c>
      <c r="AH126" s="458">
        <v>75.400000000000006</v>
      </c>
      <c r="AI126" s="460">
        <v>4</v>
      </c>
      <c r="AJ126" s="459">
        <v>0</v>
      </c>
      <c r="AK126" s="458">
        <v>25</v>
      </c>
      <c r="AL126" s="461">
        <v>13</v>
      </c>
      <c r="AM126" s="460">
        <v>10</v>
      </c>
      <c r="AN126" s="459">
        <v>10</v>
      </c>
      <c r="AO126" s="458">
        <v>0</v>
      </c>
      <c r="AP126" s="461">
        <v>0</v>
      </c>
      <c r="AQ126" s="458">
        <v>0</v>
      </c>
      <c r="AR126" s="458">
        <v>0</v>
      </c>
      <c r="AS126" s="458">
        <v>0</v>
      </c>
      <c r="AT126" s="461">
        <v>0</v>
      </c>
      <c r="AU126" s="686"/>
      <c r="AV126" s="686"/>
      <c r="AW126" s="752"/>
      <c r="AX126" s="797"/>
      <c r="AY126" s="752"/>
      <c r="AZ126" s="752"/>
      <c r="BA126" s="686"/>
      <c r="BB126" s="797"/>
      <c r="BC126" s="752"/>
      <c r="BD126" s="752"/>
      <c r="BE126" s="686"/>
      <c r="BF126" s="687"/>
      <c r="BG126" s="752"/>
      <c r="BH126" s="752"/>
      <c r="BI126" s="686"/>
      <c r="BJ126" s="687"/>
      <c r="BK126" s="752"/>
      <c r="BL126" s="752"/>
      <c r="BM126" s="686"/>
      <c r="BN126" s="687"/>
      <c r="BP126" s="59">
        <f>SUM(C126:F126)</f>
        <v>0</v>
      </c>
      <c r="BQ126" s="59">
        <f>SUM(G126:J126)</f>
        <v>0</v>
      </c>
      <c r="BR126" s="59">
        <f>SUM(K126:N126)</f>
        <v>0</v>
      </c>
      <c r="BS126" s="59">
        <f>SUM(O126:R126)</f>
        <v>0</v>
      </c>
      <c r="BT126" s="59">
        <f>SUM(S126:V126)</f>
        <v>0</v>
      </c>
      <c r="BU126" s="59">
        <f>SUM(W126:Z126)</f>
        <v>0</v>
      </c>
      <c r="BV126" s="59">
        <f>SUM(AA126:AD126)</f>
        <v>0</v>
      </c>
      <c r="BW126" s="59">
        <f>SUM(AE126:AH126)</f>
        <v>165.4</v>
      </c>
      <c r="BX126" s="59">
        <f>SUM(AI126:AL126)</f>
        <v>42</v>
      </c>
      <c r="BY126" s="29">
        <f>SUM(AM126:AP126)</f>
        <v>20</v>
      </c>
      <c r="BZ126" s="29">
        <f>SUM(AQ126:AT126)</f>
        <v>0</v>
      </c>
      <c r="CA126" s="29"/>
      <c r="CB126" s="29"/>
      <c r="CC126" s="29"/>
      <c r="CD126" s="29"/>
      <c r="CE126" s="29"/>
    </row>
    <row r="127" spans="1:226" s="9" customFormat="1">
      <c r="A127" s="85"/>
      <c r="B127" s="85" t="s">
        <v>237</v>
      </c>
      <c r="C127" s="304"/>
      <c r="D127" s="160"/>
      <c r="E127" s="160"/>
      <c r="F127" s="305"/>
      <c r="G127" s="160"/>
      <c r="H127" s="160"/>
      <c r="I127" s="160"/>
      <c r="J127" s="160"/>
      <c r="K127" s="304"/>
      <c r="L127" s="160"/>
      <c r="M127" s="160"/>
      <c r="N127" s="305"/>
      <c r="O127" s="160"/>
      <c r="P127" s="160"/>
      <c r="Q127" s="160"/>
      <c r="R127" s="160"/>
      <c r="S127" s="304"/>
      <c r="T127" s="160"/>
      <c r="U127" s="160"/>
      <c r="V127" s="305"/>
      <c r="W127" s="161">
        <f t="shared" ref="W127:AO127" si="898">SUM(W124:W126)</f>
        <v>6.23</v>
      </c>
      <c r="X127" s="161">
        <f t="shared" si="898"/>
        <v>10.704000000000001</v>
      </c>
      <c r="Y127" s="161">
        <f t="shared" si="898"/>
        <v>21.933999999999997</v>
      </c>
      <c r="Z127" s="161">
        <f t="shared" si="898"/>
        <v>33.74499999999999</v>
      </c>
      <c r="AA127" s="334">
        <f t="shared" si="898"/>
        <v>80</v>
      </c>
      <c r="AB127" s="161">
        <f t="shared" si="898"/>
        <v>110</v>
      </c>
      <c r="AC127" s="161">
        <f t="shared" si="898"/>
        <v>130</v>
      </c>
      <c r="AD127" s="335">
        <f t="shared" si="898"/>
        <v>48.790000000000006</v>
      </c>
      <c r="AE127" s="161">
        <f t="shared" si="898"/>
        <v>75.599999999999994</v>
      </c>
      <c r="AF127" s="161">
        <f t="shared" si="898"/>
        <v>85</v>
      </c>
      <c r="AG127" s="161">
        <f t="shared" si="898"/>
        <v>175</v>
      </c>
      <c r="AH127" s="161">
        <f t="shared" si="898"/>
        <v>155.4</v>
      </c>
      <c r="AI127" s="334">
        <f t="shared" si="898"/>
        <v>39</v>
      </c>
      <c r="AJ127" s="161">
        <f t="shared" si="898"/>
        <v>5</v>
      </c>
      <c r="AK127" s="161">
        <f>SUM(AK124:AK126)</f>
        <v>62.5</v>
      </c>
      <c r="AL127" s="335">
        <f t="shared" si="898"/>
        <v>83</v>
      </c>
      <c r="AM127" s="334">
        <f t="shared" si="898"/>
        <v>80.424000000000007</v>
      </c>
      <c r="AN127" s="161">
        <f t="shared" si="898"/>
        <v>100</v>
      </c>
      <c r="AO127" s="161">
        <f t="shared" si="898"/>
        <v>93.2</v>
      </c>
      <c r="AP127" s="335">
        <f>SUM(AP124:AP126)</f>
        <v>34</v>
      </c>
      <c r="AQ127" s="161">
        <f>SUM(AQ124:AQ126)</f>
        <v>10</v>
      </c>
      <c r="AR127" s="161">
        <f>SUM(AR124:AR126)</f>
        <v>10</v>
      </c>
      <c r="AS127" s="161">
        <f>SUM(AS124:AS126)</f>
        <v>8</v>
      </c>
      <c r="AT127" s="335">
        <f>SUM(AT124:AT126)</f>
        <v>4</v>
      </c>
      <c r="AU127" s="688"/>
      <c r="AV127" s="688"/>
      <c r="AW127" s="688"/>
      <c r="AX127" s="689"/>
      <c r="AY127" s="688"/>
      <c r="AZ127" s="688"/>
      <c r="BA127" s="688"/>
      <c r="BB127" s="689"/>
      <c r="BC127" s="688"/>
      <c r="BD127" s="688"/>
      <c r="BE127" s="688"/>
      <c r="BF127" s="689"/>
      <c r="BG127" s="688"/>
      <c r="BH127" s="688"/>
      <c r="BI127" s="688"/>
      <c r="BJ127" s="689"/>
      <c r="BK127" s="688"/>
      <c r="BL127" s="688"/>
      <c r="BM127" s="688"/>
      <c r="BN127" s="689"/>
      <c r="BO127" s="85"/>
      <c r="BP127" s="59">
        <f>SUM(C127:F127)</f>
        <v>0</v>
      </c>
      <c r="BQ127" s="59">
        <f>SUM(G127:J127)</f>
        <v>0</v>
      </c>
      <c r="BR127" s="59">
        <f>SUM(K127:N127)</f>
        <v>0</v>
      </c>
      <c r="BS127" s="59">
        <f>SUM(O127:R127)</f>
        <v>0</v>
      </c>
      <c r="BT127" s="59">
        <f>SUM(S127:V127)</f>
        <v>0</v>
      </c>
      <c r="BU127" s="59">
        <f>SUM(W127:Z127)</f>
        <v>72.612999999999985</v>
      </c>
      <c r="BV127" s="59">
        <f>SUM(AA127:AD127)</f>
        <v>368.79</v>
      </c>
      <c r="BW127" s="59">
        <f>SUM(AE127:AH127)</f>
        <v>491</v>
      </c>
      <c r="BX127" s="104">
        <f>SUM(AI127:AL127)</f>
        <v>189.5</v>
      </c>
      <c r="BY127" s="47">
        <f>SUM(AM127:AP127)</f>
        <v>307.62400000000002</v>
      </c>
      <c r="BZ127" s="47">
        <f>SUM(AQ127:AT127)</f>
        <v>32</v>
      </c>
      <c r="CA127" s="47"/>
      <c r="CB127" s="47"/>
      <c r="CC127" s="47"/>
      <c r="CD127" s="47"/>
      <c r="CE127" s="47"/>
    </row>
    <row r="128" spans="1:226" s="9" customFormat="1">
      <c r="A128" s="85"/>
      <c r="B128" s="189" t="s">
        <v>115</v>
      </c>
      <c r="C128" s="304"/>
      <c r="D128" s="160"/>
      <c r="E128" s="160"/>
      <c r="F128" s="305"/>
      <c r="G128" s="160"/>
      <c r="H128" s="160"/>
      <c r="I128" s="160"/>
      <c r="J128" s="160"/>
      <c r="K128" s="304"/>
      <c r="L128" s="160"/>
      <c r="M128" s="160"/>
      <c r="N128" s="305"/>
      <c r="O128" s="160"/>
      <c r="P128" s="160"/>
      <c r="Q128" s="160"/>
      <c r="R128" s="160"/>
      <c r="S128" s="304"/>
      <c r="T128" s="160"/>
      <c r="U128" s="160"/>
      <c r="V128" s="305"/>
      <c r="W128" s="161"/>
      <c r="X128" s="167">
        <f>X127/W127-1</f>
        <v>0.71813804173354723</v>
      </c>
      <c r="Y128" s="167">
        <f t="shared" ref="Y128:AM128" si="899">Y127/X127-1</f>
        <v>1.0491405082212255</v>
      </c>
      <c r="Z128" s="167">
        <f t="shared" si="899"/>
        <v>0.53847907358438918</v>
      </c>
      <c r="AA128" s="336">
        <f t="shared" si="899"/>
        <v>1.3707215883834647</v>
      </c>
      <c r="AB128" s="167">
        <f t="shared" si="899"/>
        <v>0.375</v>
      </c>
      <c r="AC128" s="167">
        <f t="shared" si="899"/>
        <v>0.18181818181818188</v>
      </c>
      <c r="AD128" s="337">
        <f t="shared" si="899"/>
        <v>-0.62469230769230766</v>
      </c>
      <c r="AE128" s="167">
        <f t="shared" si="899"/>
        <v>0.54949784791965528</v>
      </c>
      <c r="AF128" s="167">
        <f t="shared" si="899"/>
        <v>0.12433862433862441</v>
      </c>
      <c r="AG128" s="167">
        <f t="shared" si="899"/>
        <v>1.0588235294117645</v>
      </c>
      <c r="AH128" s="167">
        <f t="shared" si="899"/>
        <v>-0.11199999999999999</v>
      </c>
      <c r="AI128" s="336">
        <f t="shared" si="899"/>
        <v>-0.74903474903474909</v>
      </c>
      <c r="AJ128" s="167">
        <f t="shared" si="899"/>
        <v>-0.87179487179487181</v>
      </c>
      <c r="AK128" s="167">
        <f t="shared" si="899"/>
        <v>11.5</v>
      </c>
      <c r="AL128" s="337">
        <f t="shared" si="899"/>
        <v>0.32800000000000007</v>
      </c>
      <c r="AM128" s="336">
        <f t="shared" si="899"/>
        <v>-3.1036144578313163E-2</v>
      </c>
      <c r="AN128" s="167">
        <f t="shared" ref="AN128:AT128" si="900">AN127/AM127-1</f>
        <v>0.24340992738486023</v>
      </c>
      <c r="AO128" s="167">
        <f t="shared" si="900"/>
        <v>-6.7999999999999949E-2</v>
      </c>
      <c r="AP128" s="337">
        <f t="shared" si="900"/>
        <v>-0.63519313304721026</v>
      </c>
      <c r="AQ128" s="167">
        <f t="shared" si="900"/>
        <v>-0.70588235294117641</v>
      </c>
      <c r="AR128" s="167">
        <f t="shared" si="900"/>
        <v>0</v>
      </c>
      <c r="AS128" s="167">
        <f t="shared" si="900"/>
        <v>-0.19999999999999996</v>
      </c>
      <c r="AT128" s="337">
        <f t="shared" si="900"/>
        <v>-0.5</v>
      </c>
      <c r="AU128" s="690"/>
      <c r="AV128" s="690"/>
      <c r="AW128" s="690"/>
      <c r="AX128" s="691"/>
      <c r="AY128" s="690"/>
      <c r="AZ128" s="690"/>
      <c r="BA128" s="690"/>
      <c r="BB128" s="691"/>
      <c r="BC128" s="690"/>
      <c r="BD128" s="690"/>
      <c r="BE128" s="690"/>
      <c r="BF128" s="691"/>
      <c r="BG128" s="690"/>
      <c r="BH128" s="690"/>
      <c r="BI128" s="690"/>
      <c r="BJ128" s="691"/>
      <c r="BK128" s="690"/>
      <c r="BL128" s="690"/>
      <c r="BM128" s="690"/>
      <c r="BN128" s="691"/>
      <c r="BO128" s="85"/>
      <c r="BY128" s="623">
        <f>BY127/BX127-1</f>
        <v>0.62334564643799495</v>
      </c>
      <c r="BZ128" s="623">
        <f>BZ127/BY127-1</f>
        <v>-0.89597690687332587</v>
      </c>
      <c r="CA128" s="623"/>
      <c r="CB128" s="623"/>
      <c r="CC128" s="623"/>
      <c r="CD128" s="623"/>
      <c r="CE128" s="623"/>
    </row>
    <row r="129" spans="1:84" s="9" customFormat="1">
      <c r="A129" s="85"/>
      <c r="B129" s="189" t="s">
        <v>321</v>
      </c>
      <c r="C129" s="304"/>
      <c r="D129" s="160"/>
      <c r="E129" s="160"/>
      <c r="F129" s="305"/>
      <c r="G129" s="160"/>
      <c r="H129" s="160"/>
      <c r="I129" s="160"/>
      <c r="J129" s="160"/>
      <c r="K129" s="304"/>
      <c r="L129" s="160"/>
      <c r="M129" s="160"/>
      <c r="N129" s="305"/>
      <c r="O129" s="160"/>
      <c r="P129" s="160"/>
      <c r="Q129" s="160"/>
      <c r="R129" s="160"/>
      <c r="S129" s="304"/>
      <c r="T129" s="160"/>
      <c r="U129" s="160"/>
      <c r="V129" s="305"/>
      <c r="W129" s="167">
        <f t="shared" ref="W129:AO129" si="901">W127/W$110</f>
        <v>0.1994876721101505</v>
      </c>
      <c r="X129" s="167">
        <f t="shared" si="901"/>
        <v>0.23420269560651147</v>
      </c>
      <c r="Y129" s="167">
        <f t="shared" si="901"/>
        <v>0.42234374398274732</v>
      </c>
      <c r="Z129" s="167">
        <f t="shared" si="901"/>
        <v>0.49087206342279432</v>
      </c>
      <c r="AA129" s="336">
        <f t="shared" si="901"/>
        <v>0.65248064987072729</v>
      </c>
      <c r="AB129" s="167">
        <f t="shared" si="901"/>
        <v>0.65599580162686955</v>
      </c>
      <c r="AC129" s="167">
        <f t="shared" si="901"/>
        <v>0.68033263032294866</v>
      </c>
      <c r="AD129" s="337">
        <f t="shared" si="901"/>
        <v>0.44439384279078242</v>
      </c>
      <c r="AE129" s="167">
        <f t="shared" si="901"/>
        <v>0.57051436851002169</v>
      </c>
      <c r="AF129" s="167">
        <f t="shared" si="901"/>
        <v>0.47315275597564099</v>
      </c>
      <c r="AG129" s="167">
        <f t="shared" si="901"/>
        <v>0.71750423327497626</v>
      </c>
      <c r="AH129" s="167">
        <f t="shared" si="901"/>
        <v>0.74572432193792315</v>
      </c>
      <c r="AI129" s="336">
        <f t="shared" si="901"/>
        <v>0.37827352085354027</v>
      </c>
      <c r="AJ129" s="167">
        <f t="shared" si="901"/>
        <v>9.5011876484560567E-2</v>
      </c>
      <c r="AK129" s="167">
        <f t="shared" si="901"/>
        <v>0.56238414886533372</v>
      </c>
      <c r="AL129" s="337">
        <f t="shared" si="901"/>
        <v>0.63281970737806803</v>
      </c>
      <c r="AM129" s="336">
        <f t="shared" si="901"/>
        <v>0.57683038788156993</v>
      </c>
      <c r="AN129" s="167">
        <f t="shared" si="901"/>
        <v>0.62954848782453232</v>
      </c>
      <c r="AO129" s="167">
        <f t="shared" si="901"/>
        <v>0.55476190476190479</v>
      </c>
      <c r="AP129" s="337">
        <f>AP127/AP$110</f>
        <v>0.30267152128047858</v>
      </c>
      <c r="AQ129" s="167">
        <f>AQ127/AQ$110</f>
        <v>6.8965517241379309E-2</v>
      </c>
      <c r="AR129" s="167">
        <f>AR127/AR$110</f>
        <v>7.8125E-2</v>
      </c>
      <c r="AS129" s="167">
        <f>AS127/AS$110</f>
        <v>6.2015503875968991E-2</v>
      </c>
      <c r="AT129" s="337">
        <f>AT127/AT$110</f>
        <v>2.5477707006369428E-2</v>
      </c>
      <c r="AU129" s="690"/>
      <c r="AV129" s="690"/>
      <c r="AW129" s="690"/>
      <c r="AX129" s="691"/>
      <c r="AY129" s="690"/>
      <c r="AZ129" s="690"/>
      <c r="BA129" s="690"/>
      <c r="BB129" s="691"/>
      <c r="BC129" s="690"/>
      <c r="BD129" s="690"/>
      <c r="BE129" s="690"/>
      <c r="BF129" s="691"/>
      <c r="BG129" s="690"/>
      <c r="BH129" s="690"/>
      <c r="BI129" s="690"/>
      <c r="BJ129" s="691"/>
      <c r="BK129" s="690"/>
      <c r="BL129" s="690"/>
      <c r="BM129" s="690"/>
      <c r="BN129" s="691"/>
      <c r="BO129" s="85"/>
      <c r="BX129" s="167">
        <f>BX127/BX$110</f>
        <v>0.47610912069303407</v>
      </c>
      <c r="BY129" s="167">
        <f>BY127/BY$110</f>
        <v>0.53166862829480077</v>
      </c>
      <c r="BZ129" s="167">
        <f>BZ127/BZ$110</f>
        <v>5.7245080500894455E-2</v>
      </c>
      <c r="CA129" s="167"/>
      <c r="CB129" s="167"/>
      <c r="CC129" s="858"/>
      <c r="CD129" s="858"/>
      <c r="CE129" s="858"/>
    </row>
    <row r="130" spans="1:84">
      <c r="B130" s="84"/>
      <c r="C130" s="361"/>
      <c r="D130" s="84"/>
      <c r="E130" s="84"/>
      <c r="F130" s="362"/>
      <c r="G130" s="84"/>
      <c r="H130" s="84"/>
      <c r="I130" s="84"/>
      <c r="J130" s="84"/>
      <c r="K130" s="361"/>
      <c r="L130" s="84"/>
      <c r="M130" s="84"/>
      <c r="N130" s="362"/>
      <c r="O130" s="84"/>
      <c r="P130" s="84"/>
      <c r="Q130" s="84"/>
      <c r="R130" s="84"/>
      <c r="S130" s="361"/>
      <c r="T130" s="84"/>
      <c r="U130" s="84"/>
      <c r="V130" s="362"/>
      <c r="W130" s="84"/>
      <c r="X130" s="84"/>
      <c r="Y130" s="84"/>
      <c r="Z130" s="84"/>
      <c r="AA130" s="361"/>
      <c r="AB130" s="84"/>
      <c r="AC130" s="84"/>
      <c r="AD130" s="362"/>
      <c r="AE130" s="84"/>
      <c r="AF130" s="84"/>
      <c r="AG130" s="84"/>
      <c r="AH130" s="84"/>
      <c r="AI130" s="361"/>
      <c r="AJ130" s="84"/>
      <c r="AK130" s="84"/>
      <c r="AL130" s="362"/>
      <c r="AM130" s="361"/>
      <c r="AN130" s="84"/>
      <c r="AO130" s="84" t="s">
        <v>383</v>
      </c>
      <c r="AP130" s="362"/>
      <c r="AQ130" s="84"/>
      <c r="AR130" s="84"/>
      <c r="AS130" s="84"/>
      <c r="AT130" s="362"/>
      <c r="AU130" s="692"/>
      <c r="AV130" s="692"/>
      <c r="AW130" s="692"/>
      <c r="AX130" s="693"/>
      <c r="AY130" s="692"/>
      <c r="AZ130" s="692"/>
      <c r="BA130" s="692"/>
      <c r="BB130" s="693"/>
      <c r="BC130" s="692"/>
      <c r="BD130" s="692"/>
      <c r="BE130" s="692"/>
      <c r="BF130" s="693"/>
      <c r="BG130" s="692"/>
      <c r="BH130" s="692"/>
      <c r="BI130" s="692"/>
      <c r="BJ130" s="693"/>
      <c r="BK130" s="692"/>
      <c r="BL130" s="692"/>
      <c r="BM130" s="692"/>
      <c r="BN130" s="693"/>
      <c r="CE130" s="925"/>
    </row>
    <row r="131" spans="1:84">
      <c r="B131" s="84" t="s">
        <v>234</v>
      </c>
      <c r="C131" s="302"/>
      <c r="D131" s="63"/>
      <c r="E131" s="63"/>
      <c r="F131" s="303"/>
      <c r="G131" s="63"/>
      <c r="H131" s="63"/>
      <c r="I131" s="63"/>
      <c r="J131" s="63"/>
      <c r="K131" s="302"/>
      <c r="L131" s="63"/>
      <c r="M131" s="63"/>
      <c r="N131" s="303"/>
      <c r="O131" s="63"/>
      <c r="P131" s="63"/>
      <c r="Q131" s="63"/>
      <c r="R131" s="63"/>
      <c r="S131" s="302"/>
      <c r="T131" s="63"/>
      <c r="U131" s="63"/>
      <c r="V131" s="303"/>
      <c r="W131" s="458">
        <v>0</v>
      </c>
      <c r="X131" s="459">
        <v>0</v>
      </c>
      <c r="Y131" s="458">
        <v>0</v>
      </c>
      <c r="Z131" s="458">
        <v>0</v>
      </c>
      <c r="AA131" s="460">
        <v>1</v>
      </c>
      <c r="AB131" s="459">
        <v>1</v>
      </c>
      <c r="AC131" s="458">
        <v>1</v>
      </c>
      <c r="AD131" s="461">
        <v>1</v>
      </c>
      <c r="AE131" s="458">
        <v>1</v>
      </c>
      <c r="AF131" s="459">
        <v>1</v>
      </c>
      <c r="AG131" s="458">
        <v>1</v>
      </c>
      <c r="AH131" s="458">
        <v>1</v>
      </c>
      <c r="AI131" s="460">
        <v>4</v>
      </c>
      <c r="AJ131" s="459">
        <v>4</v>
      </c>
      <c r="AK131" s="458">
        <v>4</v>
      </c>
      <c r="AL131" s="461">
        <v>4</v>
      </c>
      <c r="AM131" s="460">
        <v>4</v>
      </c>
      <c r="AN131" s="459">
        <v>5</v>
      </c>
      <c r="AO131" s="458">
        <v>5</v>
      </c>
      <c r="AP131" s="461">
        <v>5</v>
      </c>
      <c r="AQ131" s="458">
        <v>5</v>
      </c>
      <c r="AR131" s="458">
        <v>2</v>
      </c>
      <c r="AS131" s="458">
        <v>1</v>
      </c>
      <c r="AT131" s="461">
        <v>1</v>
      </c>
      <c r="AU131" s="686"/>
      <c r="AV131" s="686"/>
      <c r="AW131" s="752"/>
      <c r="AX131" s="797"/>
      <c r="AY131" s="752"/>
      <c r="AZ131" s="752"/>
      <c r="BA131" s="686"/>
      <c r="BB131" s="797"/>
      <c r="BC131" s="752"/>
      <c r="BD131" s="752"/>
      <c r="BE131" s="686"/>
      <c r="BF131" s="687"/>
      <c r="BG131" s="752"/>
      <c r="BH131" s="752"/>
      <c r="BI131" s="686"/>
      <c r="BJ131" s="687"/>
      <c r="BK131" s="752"/>
      <c r="BL131" s="752"/>
      <c r="BM131" s="686"/>
      <c r="BN131" s="687"/>
      <c r="BP131" s="59">
        <f>SUM(C131:F131)</f>
        <v>0</v>
      </c>
      <c r="BQ131" s="59">
        <f>SUM(G131:J131)</f>
        <v>0</v>
      </c>
      <c r="BR131" s="59">
        <f>SUM(K131:N131)</f>
        <v>0</v>
      </c>
      <c r="BS131" s="59">
        <f>SUM(O131:R131)</f>
        <v>0</v>
      </c>
      <c r="BT131" s="59">
        <f>SUM(S131:V131)</f>
        <v>0</v>
      </c>
      <c r="BU131" s="59">
        <f>SUM(W131:Z131)</f>
        <v>0</v>
      </c>
      <c r="BV131" s="59">
        <f>SUM(AA131:AD131)</f>
        <v>4</v>
      </c>
      <c r="BW131" s="59">
        <f>SUM(AE131:AH131)</f>
        <v>4</v>
      </c>
      <c r="BX131" s="59">
        <f>SUM(AI131:AL131)</f>
        <v>16</v>
      </c>
      <c r="BY131" s="29">
        <f>SUM(AM131:AP131)</f>
        <v>19</v>
      </c>
      <c r="BZ131" s="29">
        <f>SUM(AQ131:AT131)</f>
        <v>9</v>
      </c>
      <c r="CA131" s="29"/>
      <c r="CB131" s="29"/>
      <c r="CC131" s="29"/>
      <c r="CD131" s="29"/>
      <c r="CE131" s="29"/>
    </row>
    <row r="132" spans="1:84">
      <c r="B132" s="84" t="s">
        <v>235</v>
      </c>
      <c r="C132" s="302"/>
      <c r="D132" s="63"/>
      <c r="E132" s="63"/>
      <c r="F132" s="303"/>
      <c r="G132" s="63"/>
      <c r="H132" s="63"/>
      <c r="I132" s="63"/>
      <c r="J132" s="63"/>
      <c r="K132" s="302"/>
      <c r="L132" s="63"/>
      <c r="M132" s="63"/>
      <c r="N132" s="303"/>
      <c r="O132" s="63"/>
      <c r="P132" s="63"/>
      <c r="Q132" s="63"/>
      <c r="R132" s="63"/>
      <c r="S132" s="302"/>
      <c r="T132" s="63"/>
      <c r="U132" s="63"/>
      <c r="V132" s="303"/>
      <c r="W132" s="458">
        <v>5</v>
      </c>
      <c r="X132" s="459">
        <v>5</v>
      </c>
      <c r="Y132" s="458">
        <v>5</v>
      </c>
      <c r="Z132" s="458">
        <v>5</v>
      </c>
      <c r="AA132" s="460">
        <v>10</v>
      </c>
      <c r="AB132" s="459">
        <v>10</v>
      </c>
      <c r="AC132" s="458">
        <v>10</v>
      </c>
      <c r="AD132" s="461">
        <v>10</v>
      </c>
      <c r="AE132" s="458">
        <v>5</v>
      </c>
      <c r="AF132" s="459">
        <v>5</v>
      </c>
      <c r="AG132" s="458">
        <v>5</v>
      </c>
      <c r="AH132" s="458">
        <v>5</v>
      </c>
      <c r="AI132" s="460">
        <v>5</v>
      </c>
      <c r="AJ132" s="459">
        <v>4</v>
      </c>
      <c r="AK132" s="458">
        <v>4</v>
      </c>
      <c r="AL132" s="461">
        <v>4</v>
      </c>
      <c r="AM132" s="460">
        <v>2</v>
      </c>
      <c r="AN132" s="459">
        <v>2</v>
      </c>
      <c r="AO132" s="458">
        <v>2</v>
      </c>
      <c r="AP132" s="461">
        <v>1</v>
      </c>
      <c r="AQ132" s="458">
        <v>1</v>
      </c>
      <c r="AR132" s="458">
        <v>1</v>
      </c>
      <c r="AS132" s="458">
        <v>1</v>
      </c>
      <c r="AT132" s="461">
        <v>1</v>
      </c>
      <c r="AU132" s="686"/>
      <c r="AV132" s="686"/>
      <c r="AW132" s="752"/>
      <c r="AX132" s="797"/>
      <c r="AY132" s="752"/>
      <c r="AZ132" s="752"/>
      <c r="BA132" s="686"/>
      <c r="BB132" s="797"/>
      <c r="BC132" s="752"/>
      <c r="BD132" s="752"/>
      <c r="BE132" s="686"/>
      <c r="BF132" s="687"/>
      <c r="BG132" s="752"/>
      <c r="BH132" s="752"/>
      <c r="BI132" s="686"/>
      <c r="BJ132" s="687"/>
      <c r="BK132" s="752"/>
      <c r="BL132" s="752"/>
      <c r="BM132" s="686"/>
      <c r="BN132" s="687"/>
      <c r="BP132" s="59">
        <f>SUM(C132:F132)</f>
        <v>0</v>
      </c>
      <c r="BQ132" s="59">
        <f>SUM(G132:J132)</f>
        <v>0</v>
      </c>
      <c r="BR132" s="59">
        <f>SUM(K132:N132)</f>
        <v>0</v>
      </c>
      <c r="BS132" s="59">
        <f>SUM(O132:R132)</f>
        <v>0</v>
      </c>
      <c r="BT132" s="59">
        <f>SUM(S132:V132)</f>
        <v>0</v>
      </c>
      <c r="BU132" s="59">
        <f>SUM(W132:Z132)</f>
        <v>20</v>
      </c>
      <c r="BV132" s="59">
        <f>SUM(AA132:AD132)</f>
        <v>40</v>
      </c>
      <c r="BW132" s="59">
        <f>SUM(AE132:AH132)</f>
        <v>20</v>
      </c>
      <c r="BX132" s="59">
        <f>SUM(AI132:AL132)</f>
        <v>17</v>
      </c>
      <c r="BY132" s="29">
        <f>SUM(AM132:AP132)</f>
        <v>7</v>
      </c>
      <c r="BZ132" s="29">
        <f>SUM(AQ132:AT132)</f>
        <v>4</v>
      </c>
      <c r="CA132" s="29"/>
      <c r="CB132" s="29"/>
      <c r="CC132" s="29"/>
      <c r="CD132" s="29"/>
      <c r="CE132" s="29"/>
      <c r="CF132" s="14"/>
    </row>
    <row r="133" spans="1:84">
      <c r="B133" s="84" t="s">
        <v>253</v>
      </c>
      <c r="C133" s="302"/>
      <c r="D133" s="63"/>
      <c r="E133" s="63"/>
      <c r="F133" s="303"/>
      <c r="G133" s="63"/>
      <c r="H133" s="63"/>
      <c r="I133" s="63"/>
      <c r="J133" s="63"/>
      <c r="K133" s="302"/>
      <c r="L133" s="63"/>
      <c r="M133" s="63"/>
      <c r="N133" s="303"/>
      <c r="O133" s="63"/>
      <c r="P133" s="63"/>
      <c r="Q133" s="63"/>
      <c r="R133" s="63"/>
      <c r="S133" s="302"/>
      <c r="T133" s="63"/>
      <c r="U133" s="63"/>
      <c r="V133" s="303"/>
      <c r="W133" s="458">
        <v>20</v>
      </c>
      <c r="X133" s="459">
        <v>30</v>
      </c>
      <c r="Y133" s="458">
        <v>25</v>
      </c>
      <c r="Z133" s="458">
        <v>30</v>
      </c>
      <c r="AA133" s="460">
        <v>31</v>
      </c>
      <c r="AB133" s="459">
        <v>46</v>
      </c>
      <c r="AC133" s="458">
        <v>50.082999999999998</v>
      </c>
      <c r="AD133" s="461">
        <v>50</v>
      </c>
      <c r="AE133" s="458">
        <v>50</v>
      </c>
      <c r="AF133" s="459">
        <v>50</v>
      </c>
      <c r="AG133" s="458">
        <v>50</v>
      </c>
      <c r="AH133" s="458">
        <v>46</v>
      </c>
      <c r="AI133" s="460">
        <v>35</v>
      </c>
      <c r="AJ133" s="459">
        <v>15</v>
      </c>
      <c r="AK133" s="458">
        <v>10</v>
      </c>
      <c r="AL133" s="461">
        <v>10</v>
      </c>
      <c r="AM133" s="460">
        <v>16</v>
      </c>
      <c r="AN133" s="459">
        <v>10</v>
      </c>
      <c r="AO133" s="458">
        <v>15</v>
      </c>
      <c r="AP133" s="461">
        <v>15.333</v>
      </c>
      <c r="AQ133" s="458">
        <v>15</v>
      </c>
      <c r="AR133" s="458">
        <v>15</v>
      </c>
      <c r="AS133" s="458">
        <v>15</v>
      </c>
      <c r="AT133" s="461">
        <v>15</v>
      </c>
      <c r="AU133" s="686"/>
      <c r="AV133" s="686"/>
      <c r="AW133" s="752"/>
      <c r="AX133" s="797"/>
      <c r="AY133" s="752"/>
      <c r="AZ133" s="752"/>
      <c r="BA133" s="686"/>
      <c r="BB133" s="797"/>
      <c r="BC133" s="752"/>
      <c r="BD133" s="752"/>
      <c r="BE133" s="686"/>
      <c r="BF133" s="687"/>
      <c r="BG133" s="752"/>
      <c r="BH133" s="752"/>
      <c r="BI133" s="686"/>
      <c r="BJ133" s="687"/>
      <c r="BK133" s="752"/>
      <c r="BL133" s="752"/>
      <c r="BM133" s="686"/>
      <c r="BN133" s="687"/>
      <c r="BP133" s="59">
        <f>SUM(C133:F133)</f>
        <v>0</v>
      </c>
      <c r="BQ133" s="59">
        <f>SUM(G133:J133)</f>
        <v>0</v>
      </c>
      <c r="BR133" s="59">
        <f>SUM(K133:N133)</f>
        <v>0</v>
      </c>
      <c r="BS133" s="59">
        <f>SUM(O133:R133)</f>
        <v>0</v>
      </c>
      <c r="BT133" s="59">
        <f>SUM(S133:V133)</f>
        <v>0</v>
      </c>
      <c r="BU133" s="59">
        <f>SUM(W133:Z133)</f>
        <v>105</v>
      </c>
      <c r="BV133" s="59">
        <f>SUM(AA133:AD133)</f>
        <v>177.083</v>
      </c>
      <c r="BW133" s="59">
        <f>SUM(AE133:AH133)</f>
        <v>196</v>
      </c>
      <c r="BX133" s="59">
        <f>SUM(AI133:AL133)</f>
        <v>70</v>
      </c>
      <c r="BY133" s="29">
        <f>SUM(AM133:AP133)</f>
        <v>56.332999999999998</v>
      </c>
      <c r="BZ133" s="29">
        <f>SUM(AQ133:AT133)</f>
        <v>60</v>
      </c>
      <c r="CA133" s="29"/>
      <c r="CB133" s="29"/>
      <c r="CC133" s="29"/>
      <c r="CD133" s="29"/>
      <c r="CE133" s="29"/>
    </row>
    <row r="134" spans="1:84">
      <c r="B134" s="91" t="s">
        <v>321</v>
      </c>
      <c r="C134" s="302"/>
      <c r="D134" s="63"/>
      <c r="E134" s="63"/>
      <c r="F134" s="303"/>
      <c r="G134" s="63"/>
      <c r="H134" s="63"/>
      <c r="I134" s="63"/>
      <c r="J134" s="63"/>
      <c r="K134" s="302"/>
      <c r="L134" s="63"/>
      <c r="M134" s="63"/>
      <c r="N134" s="303"/>
      <c r="O134" s="63"/>
      <c r="P134" s="63"/>
      <c r="Q134" s="63"/>
      <c r="R134" s="63"/>
      <c r="S134" s="302"/>
      <c r="T134" s="63"/>
      <c r="U134" s="63"/>
      <c r="V134" s="303"/>
      <c r="W134" s="167">
        <f t="shared" ref="W134:AT134" si="902">W133/W$110</f>
        <v>0.64040986231187957</v>
      </c>
      <c r="X134" s="167">
        <f t="shared" si="902"/>
        <v>0.656397689480133</v>
      </c>
      <c r="Y134" s="167">
        <f t="shared" si="902"/>
        <v>0.48138021334771058</v>
      </c>
      <c r="Z134" s="167">
        <f t="shared" si="902"/>
        <v>0.43639537420903346</v>
      </c>
      <c r="AA134" s="336">
        <f t="shared" si="902"/>
        <v>0.25283625182490682</v>
      </c>
      <c r="AB134" s="167">
        <f t="shared" si="902"/>
        <v>0.27432551704396363</v>
      </c>
      <c r="AC134" s="167">
        <f t="shared" si="902"/>
        <v>0.26210076249587877</v>
      </c>
      <c r="AD134" s="337">
        <f t="shared" si="902"/>
        <v>0.45541488295837507</v>
      </c>
      <c r="AE134" s="167">
        <f t="shared" si="902"/>
        <v>0.37732431779763342</v>
      </c>
      <c r="AF134" s="167">
        <f t="shared" si="902"/>
        <v>0.2783251505739065</v>
      </c>
      <c r="AG134" s="167">
        <f t="shared" si="902"/>
        <v>0.20500120950713607</v>
      </c>
      <c r="AH134" s="167">
        <f t="shared" si="902"/>
        <v>0.22074207727892192</v>
      </c>
      <c r="AI134" s="336">
        <f t="shared" si="902"/>
        <v>0.33947623666343357</v>
      </c>
      <c r="AJ134" s="167">
        <f t="shared" si="902"/>
        <v>0.28503562945368172</v>
      </c>
      <c r="AK134" s="167">
        <f t="shared" si="902"/>
        <v>8.99814638184534E-2</v>
      </c>
      <c r="AL134" s="337">
        <f t="shared" si="902"/>
        <v>7.6243338238321454E-2</v>
      </c>
      <c r="AM134" s="336">
        <f t="shared" si="902"/>
        <v>0.11475786091347256</v>
      </c>
      <c r="AN134" s="167">
        <f t="shared" si="902"/>
        <v>6.2954848782453221E-2</v>
      </c>
      <c r="AO134" s="167">
        <f t="shared" si="902"/>
        <v>8.9285714285714288E-2</v>
      </c>
      <c r="AP134" s="337">
        <f t="shared" si="902"/>
        <v>0.13649595399392878</v>
      </c>
      <c r="AQ134" s="167">
        <f t="shared" si="902"/>
        <v>0.10344827586206896</v>
      </c>
      <c r="AR134" s="167">
        <f t="shared" si="902"/>
        <v>0.1171875</v>
      </c>
      <c r="AS134" s="167">
        <f t="shared" si="902"/>
        <v>0.11627906976744186</v>
      </c>
      <c r="AT134" s="337">
        <f t="shared" si="902"/>
        <v>9.5541401273885357E-2</v>
      </c>
      <c r="AU134" s="690"/>
      <c r="AV134" s="690"/>
      <c r="AW134" s="690"/>
      <c r="AX134" s="691"/>
      <c r="AY134" s="690"/>
      <c r="AZ134" s="690"/>
      <c r="BA134" s="690"/>
      <c r="BB134" s="691"/>
      <c r="BC134" s="690"/>
      <c r="BD134" s="690"/>
      <c r="BE134" s="690"/>
      <c r="BF134" s="691"/>
      <c r="BG134" s="690"/>
      <c r="BH134" s="690"/>
      <c r="BI134" s="690"/>
      <c r="BJ134" s="691"/>
      <c r="BK134" s="690"/>
      <c r="BL134" s="690"/>
      <c r="BM134" s="690"/>
      <c r="BN134" s="691"/>
      <c r="BX134" s="167">
        <f>BX133/BX$110</f>
        <v>0.17587144300006535</v>
      </c>
      <c r="BY134" s="167">
        <f>BY133/BY$110</f>
        <v>9.7360702798647072E-2</v>
      </c>
      <c r="BZ134" s="167">
        <f>BZ133/BZ$110</f>
        <v>0.1073345259391771</v>
      </c>
      <c r="CA134" s="167"/>
      <c r="CB134" s="167"/>
      <c r="CC134" s="858"/>
      <c r="CD134" s="858"/>
      <c r="CE134" s="858"/>
    </row>
    <row r="135" spans="1:84">
      <c r="B135" s="84" t="s">
        <v>384</v>
      </c>
      <c r="C135" s="302"/>
      <c r="D135" s="63"/>
      <c r="E135" s="63"/>
      <c r="F135" s="303"/>
      <c r="G135" s="63"/>
      <c r="H135" s="63"/>
      <c r="I135" s="63"/>
      <c r="J135" s="63"/>
      <c r="K135" s="302"/>
      <c r="L135" s="63"/>
      <c r="M135" s="63"/>
      <c r="N135" s="303"/>
      <c r="O135" s="63"/>
      <c r="P135" s="63"/>
      <c r="Q135" s="63"/>
      <c r="R135" s="63"/>
      <c r="S135" s="302"/>
      <c r="T135" s="63"/>
      <c r="U135" s="63"/>
      <c r="V135" s="303"/>
      <c r="W135" s="458">
        <f t="shared" ref="W135:AL135" si="903">W119-W127-W131-W132-W138-W133</f>
        <v>0</v>
      </c>
      <c r="X135" s="458">
        <f t="shared" si="903"/>
        <v>0</v>
      </c>
      <c r="Y135" s="458">
        <f t="shared" si="903"/>
        <v>0</v>
      </c>
      <c r="Z135" s="458">
        <f t="shared" si="903"/>
        <v>0</v>
      </c>
      <c r="AA135" s="460">
        <f t="shared" si="903"/>
        <v>0.60899999999999466</v>
      </c>
      <c r="AB135" s="458">
        <f t="shared" si="903"/>
        <v>0.6839999999999975</v>
      </c>
      <c r="AC135" s="458">
        <f t="shared" si="903"/>
        <v>0</v>
      </c>
      <c r="AD135" s="461">
        <f t="shared" si="903"/>
        <v>0</v>
      </c>
      <c r="AE135" s="458">
        <f t="shared" si="903"/>
        <v>0.91200000000000614</v>
      </c>
      <c r="AF135" s="458">
        <f t="shared" si="903"/>
        <v>38.645999999999987</v>
      </c>
      <c r="AG135" s="458">
        <f t="shared" si="903"/>
        <v>12.90100000000001</v>
      </c>
      <c r="AH135" s="458">
        <f t="shared" si="903"/>
        <v>0.98800000000008481</v>
      </c>
      <c r="AI135" s="460">
        <f t="shared" si="903"/>
        <v>9.9999999999994316E-2</v>
      </c>
      <c r="AJ135" s="458">
        <f t="shared" si="903"/>
        <v>4.625</v>
      </c>
      <c r="AK135" s="458">
        <f t="shared" si="903"/>
        <v>2.1340000000000003</v>
      </c>
      <c r="AL135" s="461">
        <f t="shared" si="903"/>
        <v>0.15899999999996339</v>
      </c>
      <c r="AM135" s="460">
        <v>2</v>
      </c>
      <c r="AN135" s="459">
        <v>1.8440000000000001</v>
      </c>
      <c r="AO135" s="458">
        <v>1</v>
      </c>
      <c r="AP135" s="461">
        <v>1</v>
      </c>
      <c r="AQ135" s="458">
        <v>37.5</v>
      </c>
      <c r="AR135" s="458">
        <v>29.5</v>
      </c>
      <c r="AS135" s="458">
        <v>24.599999999999994</v>
      </c>
      <c r="AT135" s="461">
        <v>43</v>
      </c>
      <c r="AU135" s="686"/>
      <c r="AV135" s="686"/>
      <c r="AW135" s="752"/>
      <c r="AX135" s="797"/>
      <c r="AY135" s="752"/>
      <c r="AZ135" s="752"/>
      <c r="BA135" s="686"/>
      <c r="BB135" s="797"/>
      <c r="BC135" s="752"/>
      <c r="BD135" s="752"/>
      <c r="BE135" s="686"/>
      <c r="BF135" s="687"/>
      <c r="BG135" s="752"/>
      <c r="BH135" s="752"/>
      <c r="BI135" s="686"/>
      <c r="BJ135" s="687"/>
      <c r="BK135" s="752"/>
      <c r="BL135" s="752"/>
      <c r="BM135" s="686"/>
      <c r="BN135" s="687"/>
      <c r="BP135" s="59">
        <f>SUM(C135:F135)</f>
        <v>0</v>
      </c>
      <c r="BQ135" s="59">
        <f>SUM(G135:J135)</f>
        <v>0</v>
      </c>
      <c r="BR135" s="59">
        <f>SUM(K135:N135)</f>
        <v>0</v>
      </c>
      <c r="BS135" s="59">
        <f>SUM(O135:R135)</f>
        <v>0</v>
      </c>
      <c r="BT135" s="59">
        <f>SUM(S135:V135)</f>
        <v>0</v>
      </c>
      <c r="BU135" s="59">
        <f>SUM(W135:Z135)</f>
        <v>0</v>
      </c>
      <c r="BV135" s="59">
        <f>SUM(AA135:AD135)</f>
        <v>1.2929999999999922</v>
      </c>
      <c r="BW135" s="59">
        <f>SUM(AE135:AH135)</f>
        <v>53.447000000000088</v>
      </c>
      <c r="BX135" s="59">
        <f>SUM(AI135:AL135)</f>
        <v>7.017999999999958</v>
      </c>
      <c r="BY135" s="29">
        <f>SUM(AM135:AP135)</f>
        <v>5.8440000000000003</v>
      </c>
      <c r="BZ135" s="29">
        <f>SUM(AQ135:AT135)</f>
        <v>134.6</v>
      </c>
      <c r="CA135" s="29"/>
      <c r="CB135" s="29"/>
      <c r="CC135" s="29"/>
      <c r="CD135" s="29"/>
      <c r="CE135" s="29"/>
    </row>
    <row r="136" spans="1:84">
      <c r="B136" s="91" t="s">
        <v>321</v>
      </c>
      <c r="C136" s="302"/>
      <c r="D136" s="63"/>
      <c r="E136" s="63"/>
      <c r="F136" s="303"/>
      <c r="G136" s="63"/>
      <c r="H136" s="63"/>
      <c r="I136" s="63"/>
      <c r="J136" s="63"/>
      <c r="K136" s="302"/>
      <c r="L136" s="63"/>
      <c r="M136" s="63"/>
      <c r="N136" s="303"/>
      <c r="O136" s="63"/>
      <c r="P136" s="63"/>
      <c r="Q136" s="63"/>
      <c r="R136" s="63"/>
      <c r="S136" s="302"/>
      <c r="T136" s="63"/>
      <c r="U136" s="63"/>
      <c r="V136" s="303"/>
      <c r="W136" s="167">
        <f t="shared" ref="W136:AT136" si="904">W135/W$110</f>
        <v>0</v>
      </c>
      <c r="X136" s="167">
        <f t="shared" si="904"/>
        <v>0</v>
      </c>
      <c r="Y136" s="167">
        <f t="shared" si="904"/>
        <v>0</v>
      </c>
      <c r="Z136" s="167">
        <f t="shared" si="904"/>
        <v>0</v>
      </c>
      <c r="AA136" s="336">
        <f t="shared" si="904"/>
        <v>4.9670089471408677E-3</v>
      </c>
      <c r="AB136" s="167">
        <f t="shared" si="904"/>
        <v>4.0791011664797925E-3</v>
      </c>
      <c r="AC136" s="167">
        <f t="shared" si="904"/>
        <v>0</v>
      </c>
      <c r="AD136" s="337">
        <f t="shared" si="904"/>
        <v>0</v>
      </c>
      <c r="AE136" s="167">
        <f t="shared" si="904"/>
        <v>6.8823955566288796E-3</v>
      </c>
      <c r="AF136" s="167">
        <f t="shared" si="904"/>
        <v>0.21512307538158373</v>
      </c>
      <c r="AG136" s="167">
        <f t="shared" si="904"/>
        <v>5.2894412077031293E-2</v>
      </c>
      <c r="AH136" s="167">
        <f t="shared" si="904"/>
        <v>4.7411559206868171E-3</v>
      </c>
      <c r="AI136" s="336">
        <f t="shared" si="904"/>
        <v>9.6993210475261225E-4</v>
      </c>
      <c r="AJ136" s="167">
        <f t="shared" si="904"/>
        <v>8.7885985748218529E-2</v>
      </c>
      <c r="AK136" s="167">
        <f t="shared" si="904"/>
        <v>1.9202044378857957E-2</v>
      </c>
      <c r="AL136" s="337">
        <f t="shared" si="904"/>
        <v>1.2122690779890319E-3</v>
      </c>
      <c r="AM136" s="336">
        <f t="shared" si="904"/>
        <v>1.4344732614184071E-2</v>
      </c>
      <c r="AN136" s="167">
        <f t="shared" si="904"/>
        <v>1.1608874115484375E-2</v>
      </c>
      <c r="AO136" s="167">
        <f t="shared" si="904"/>
        <v>5.9523809523809521E-3</v>
      </c>
      <c r="AP136" s="337">
        <f t="shared" si="904"/>
        <v>8.9021035670728988E-3</v>
      </c>
      <c r="AQ136" s="167">
        <f t="shared" si="904"/>
        <v>0.25862068965517243</v>
      </c>
      <c r="AR136" s="167">
        <f t="shared" si="904"/>
        <v>0.23046875</v>
      </c>
      <c r="AS136" s="167">
        <f t="shared" si="904"/>
        <v>0.19069767441860461</v>
      </c>
      <c r="AT136" s="337">
        <f t="shared" si="904"/>
        <v>0.27388535031847133</v>
      </c>
      <c r="AU136" s="690"/>
      <c r="AV136" s="690"/>
      <c r="AW136" s="690"/>
      <c r="AX136" s="691"/>
      <c r="AY136" s="690"/>
      <c r="AZ136" s="690"/>
      <c r="BA136" s="690"/>
      <c r="BB136" s="691"/>
      <c r="BC136" s="690"/>
      <c r="BD136" s="690"/>
      <c r="BE136" s="690"/>
      <c r="BF136" s="691"/>
      <c r="BG136" s="690"/>
      <c r="BH136" s="690"/>
      <c r="BI136" s="690"/>
      <c r="BJ136" s="691"/>
      <c r="BK136" s="690"/>
      <c r="BL136" s="690"/>
      <c r="BM136" s="690"/>
      <c r="BN136" s="691"/>
      <c r="BX136" s="167">
        <f>BX135/BX$110</f>
        <v>1.7632368385349304E-2</v>
      </c>
      <c r="BY136" s="167">
        <f>BY135/BY$110</f>
        <v>1.0100224507043714E-2</v>
      </c>
      <c r="BZ136" s="167">
        <f>BZ135/BZ$110</f>
        <v>0.24078711985688728</v>
      </c>
      <c r="CA136" s="167"/>
      <c r="CB136" s="167"/>
      <c r="CC136" s="858"/>
      <c r="CD136" s="858"/>
      <c r="CE136" s="858"/>
    </row>
    <row r="137" spans="1:84">
      <c r="B137" s="84"/>
      <c r="C137" s="302"/>
      <c r="D137" s="63"/>
      <c r="E137" s="63"/>
      <c r="F137" s="303"/>
      <c r="G137" s="63"/>
      <c r="H137" s="63"/>
      <c r="I137" s="63"/>
      <c r="J137" s="63"/>
      <c r="K137" s="302"/>
      <c r="L137" s="63"/>
      <c r="M137" s="63"/>
      <c r="N137" s="303"/>
      <c r="O137" s="63"/>
      <c r="P137" s="63"/>
      <c r="Q137" s="63"/>
      <c r="R137" s="63"/>
      <c r="S137" s="302"/>
      <c r="T137" s="63"/>
      <c r="U137" s="63"/>
      <c r="V137" s="303"/>
      <c r="W137" s="458"/>
      <c r="X137" s="459"/>
      <c r="Y137" s="458"/>
      <c r="Z137" s="458"/>
      <c r="AA137" s="460"/>
      <c r="AB137" s="459"/>
      <c r="AC137" s="458"/>
      <c r="AD137" s="461"/>
      <c r="AE137" s="458"/>
      <c r="AF137" s="459"/>
      <c r="AG137" s="458"/>
      <c r="AH137" s="458"/>
      <c r="AI137" s="460"/>
      <c r="AJ137" s="459"/>
      <c r="AK137" s="458"/>
      <c r="AL137" s="461"/>
      <c r="AM137" s="460"/>
      <c r="AN137" s="459"/>
      <c r="AO137" s="458"/>
      <c r="AP137" s="461"/>
      <c r="AQ137" s="458"/>
      <c r="AR137" s="458"/>
      <c r="AS137" s="458"/>
      <c r="AT137" s="461"/>
      <c r="AU137" s="458"/>
      <c r="AV137" s="458"/>
      <c r="AW137" s="753"/>
      <c r="AX137" s="798"/>
      <c r="AY137" s="889"/>
      <c r="AZ137" s="861"/>
      <c r="BA137" s="458"/>
      <c r="BB137" s="862"/>
      <c r="BC137" s="889"/>
      <c r="BD137" s="861"/>
      <c r="BE137" s="458"/>
      <c r="BF137" s="461"/>
      <c r="BG137" s="889"/>
      <c r="BH137" s="861"/>
      <c r="BI137" s="458"/>
      <c r="BJ137" s="461"/>
      <c r="BK137" s="889"/>
      <c r="BL137" s="861"/>
      <c r="BM137" s="458"/>
      <c r="BN137" s="461"/>
      <c r="BP137" s="59"/>
      <c r="BQ137" s="59"/>
      <c r="BR137" s="59"/>
      <c r="BS137" s="59"/>
      <c r="BT137" s="59"/>
      <c r="BU137" s="59"/>
      <c r="BV137" s="59"/>
      <c r="BW137" s="59"/>
      <c r="BX137" s="59"/>
      <c r="BY137" s="29"/>
      <c r="BZ137" s="29"/>
      <c r="CA137" s="29"/>
      <c r="CB137" s="29"/>
      <c r="CC137" s="29"/>
      <c r="CD137" s="29"/>
      <c r="CE137" s="29"/>
      <c r="CF137" s="14"/>
    </row>
    <row r="138" spans="1:84">
      <c r="B138" s="84" t="s">
        <v>236</v>
      </c>
      <c r="C138" s="302"/>
      <c r="D138" s="63"/>
      <c r="E138" s="63"/>
      <c r="F138" s="303"/>
      <c r="G138" s="63"/>
      <c r="H138" s="63"/>
      <c r="I138" s="63"/>
      <c r="J138" s="63"/>
      <c r="K138" s="302"/>
      <c r="L138" s="63"/>
      <c r="M138" s="63"/>
      <c r="N138" s="303"/>
      <c r="O138" s="63"/>
      <c r="P138" s="63"/>
      <c r="Q138" s="63"/>
      <c r="R138" s="63"/>
      <c r="S138" s="302"/>
      <c r="T138" s="63"/>
      <c r="U138" s="63"/>
      <c r="V138" s="303"/>
      <c r="W138" s="458"/>
      <c r="X138" s="459"/>
      <c r="Y138" s="458"/>
      <c r="Z138" s="458"/>
      <c r="AA138" s="460"/>
      <c r="AB138" s="459"/>
      <c r="AC138" s="458"/>
      <c r="AD138" s="461"/>
      <c r="AE138" s="458"/>
      <c r="AF138" s="459"/>
      <c r="AG138" s="458"/>
      <c r="AH138" s="458"/>
      <c r="AI138" s="460">
        <v>20</v>
      </c>
      <c r="AJ138" s="459">
        <v>20</v>
      </c>
      <c r="AK138" s="458">
        <v>28.5</v>
      </c>
      <c r="AL138" s="461">
        <v>30</v>
      </c>
      <c r="AM138" s="460">
        <v>35</v>
      </c>
      <c r="AN138" s="459">
        <v>40</v>
      </c>
      <c r="AO138" s="458">
        <v>51.8</v>
      </c>
      <c r="AP138" s="461">
        <v>56</v>
      </c>
      <c r="AQ138" s="458">
        <v>76.5</v>
      </c>
      <c r="AR138" s="458">
        <v>70.5</v>
      </c>
      <c r="AS138" s="458">
        <v>79.400000000000006</v>
      </c>
      <c r="AT138" s="461">
        <v>93</v>
      </c>
      <c r="AU138" s="852">
        <v>113</v>
      </c>
      <c r="AV138" s="852">
        <v>119</v>
      </c>
      <c r="AW138" s="853">
        <v>127</v>
      </c>
      <c r="AX138" s="854">
        <v>128</v>
      </c>
      <c r="AY138" s="852">
        <v>140</v>
      </c>
      <c r="AZ138" s="852">
        <v>142</v>
      </c>
      <c r="BA138" s="852">
        <v>144</v>
      </c>
      <c r="BB138" s="854">
        <v>132</v>
      </c>
      <c r="BC138" s="935">
        <v>140</v>
      </c>
      <c r="BD138" s="935">
        <v>140</v>
      </c>
      <c r="BE138" s="935">
        <v>140</v>
      </c>
      <c r="BF138" s="935">
        <v>140</v>
      </c>
      <c r="BG138" s="935">
        <f>BF138*1.075</f>
        <v>150.5</v>
      </c>
      <c r="BH138" s="935">
        <f t="shared" ref="BH138:BJ138" si="905">BG138*1.075</f>
        <v>161.78749999999999</v>
      </c>
      <c r="BI138" s="935">
        <f t="shared" si="905"/>
        <v>173.92156249999999</v>
      </c>
      <c r="BJ138" s="935">
        <f t="shared" si="905"/>
        <v>186.96567968749997</v>
      </c>
      <c r="BK138" s="935">
        <f>BJ138*1.07</f>
        <v>200.05327726562498</v>
      </c>
      <c r="BL138" s="935">
        <f t="shared" ref="BL138:BN138" si="906">BK138*1.07</f>
        <v>214.05700667421874</v>
      </c>
      <c r="BM138" s="935">
        <f t="shared" si="906"/>
        <v>229.04099714141407</v>
      </c>
      <c r="BN138" s="935">
        <f t="shared" si="906"/>
        <v>245.07386694131307</v>
      </c>
      <c r="BP138" s="59">
        <f>SUM(C138:F138)</f>
        <v>0</v>
      </c>
      <c r="BQ138" s="59">
        <f>SUM(G138:J138)</f>
        <v>0</v>
      </c>
      <c r="BR138" s="59">
        <f>SUM(K138:N138)</f>
        <v>0</v>
      </c>
      <c r="BS138" s="59">
        <f>SUM(O138:R138)</f>
        <v>0</v>
      </c>
      <c r="BT138" s="59">
        <f>SUM(S138:V138)</f>
        <v>0</v>
      </c>
      <c r="BU138" s="59">
        <f>SUM(W138:Z138)</f>
        <v>0</v>
      </c>
      <c r="BV138" s="59">
        <f>SUM(AA138:AD138)</f>
        <v>0</v>
      </c>
      <c r="BW138" s="59">
        <f>SUM(AE138:AH138)</f>
        <v>0</v>
      </c>
      <c r="BX138" s="59">
        <f>SUM(AI138:AL138)</f>
        <v>98.5</v>
      </c>
      <c r="BY138" s="29">
        <f>SUM(AM138:AP138)</f>
        <v>182.8</v>
      </c>
      <c r="BZ138" s="29">
        <f>SUM(AQ138:AT138)</f>
        <v>319.39999999999998</v>
      </c>
      <c r="CA138" s="29">
        <f t="shared" ref="CA138:CA147" si="907">SUM(AU138:AX138)</f>
        <v>487</v>
      </c>
      <c r="CB138" s="29">
        <f>SUM(AY138:BB138)</f>
        <v>558</v>
      </c>
      <c r="CC138" s="29">
        <f>SUM(BC138:BF138)</f>
        <v>560</v>
      </c>
      <c r="CD138" s="29">
        <f>SUM(BG138:BJ138)</f>
        <v>673.17474218749999</v>
      </c>
      <c r="CE138" s="29">
        <f>SUM(BK138:BN138)</f>
        <v>888.22514802257092</v>
      </c>
      <c r="CF138" s="14"/>
    </row>
    <row r="139" spans="1:84">
      <c r="B139" s="189" t="s">
        <v>321</v>
      </c>
      <c r="C139" s="302"/>
      <c r="D139" s="63"/>
      <c r="E139" s="63"/>
      <c r="F139" s="303"/>
      <c r="G139" s="63"/>
      <c r="H139" s="63"/>
      <c r="I139" s="63"/>
      <c r="J139" s="63"/>
      <c r="K139" s="302"/>
      <c r="L139" s="63"/>
      <c r="M139" s="63"/>
      <c r="N139" s="303"/>
      <c r="O139" s="63"/>
      <c r="P139" s="63"/>
      <c r="Q139" s="63"/>
      <c r="R139" s="63"/>
      <c r="S139" s="302"/>
      <c r="T139" s="63"/>
      <c r="U139" s="63"/>
      <c r="V139" s="303"/>
      <c r="W139" s="167">
        <f t="shared" ref="W139:AP139" si="908">W138/W$110</f>
        <v>0</v>
      </c>
      <c r="X139" s="167">
        <f t="shared" si="908"/>
        <v>0</v>
      </c>
      <c r="Y139" s="167">
        <f t="shared" si="908"/>
        <v>0</v>
      </c>
      <c r="Z139" s="167">
        <f t="shared" si="908"/>
        <v>0</v>
      </c>
      <c r="AA139" s="336">
        <f t="shared" si="908"/>
        <v>0</v>
      </c>
      <c r="AB139" s="167">
        <f t="shared" si="908"/>
        <v>0</v>
      </c>
      <c r="AC139" s="167">
        <f t="shared" si="908"/>
        <v>0</v>
      </c>
      <c r="AD139" s="337">
        <f t="shared" si="908"/>
        <v>0</v>
      </c>
      <c r="AE139" s="167">
        <f t="shared" si="908"/>
        <v>0</v>
      </c>
      <c r="AF139" s="167">
        <f t="shared" si="908"/>
        <v>0</v>
      </c>
      <c r="AG139" s="167">
        <f t="shared" si="908"/>
        <v>0</v>
      </c>
      <c r="AH139" s="167">
        <f t="shared" si="908"/>
        <v>0</v>
      </c>
      <c r="AI139" s="336">
        <f t="shared" si="908"/>
        <v>0.19398642095053348</v>
      </c>
      <c r="AJ139" s="167">
        <f t="shared" si="908"/>
        <v>0.38004750593824227</v>
      </c>
      <c r="AK139" s="167">
        <f t="shared" si="908"/>
        <v>0.2564471718825922</v>
      </c>
      <c r="AL139" s="337">
        <f t="shared" si="908"/>
        <v>0.22873001471496435</v>
      </c>
      <c r="AM139" s="336">
        <f t="shared" si="908"/>
        <v>0.25103282074822125</v>
      </c>
      <c r="AN139" s="167">
        <f t="shared" si="908"/>
        <v>0.25181939512981288</v>
      </c>
      <c r="AO139" s="167">
        <f t="shared" si="908"/>
        <v>0.30833333333333329</v>
      </c>
      <c r="AP139" s="337">
        <f t="shared" si="908"/>
        <v>0.49851779975608235</v>
      </c>
      <c r="AQ139" s="167">
        <f t="shared" ref="AQ139:AV139" si="909">AQ138/AQ$110</f>
        <v>0.52758620689655178</v>
      </c>
      <c r="AR139" s="167">
        <f t="shared" si="909"/>
        <v>0.55078125</v>
      </c>
      <c r="AS139" s="167">
        <f t="shared" si="909"/>
        <v>0.61550387596899225</v>
      </c>
      <c r="AT139" s="337">
        <f t="shared" si="909"/>
        <v>0.59235668789808915</v>
      </c>
      <c r="AU139" s="167">
        <f t="shared" si="909"/>
        <v>0.70625000000000004</v>
      </c>
      <c r="AV139" s="167">
        <f t="shared" si="909"/>
        <v>0.7168674698795181</v>
      </c>
      <c r="AW139" s="822">
        <f t="shared" ref="AW139:AZ139" si="910">AW138/AW$110</f>
        <v>0.52697095435684649</v>
      </c>
      <c r="AX139" s="823">
        <f t="shared" si="910"/>
        <v>0.49805447470817121</v>
      </c>
      <c r="AY139" s="858">
        <f t="shared" si="910"/>
        <v>0.42168674698795183</v>
      </c>
      <c r="AZ139" s="858">
        <f t="shared" si="910"/>
        <v>0.42642642642642642</v>
      </c>
      <c r="BA139" s="858">
        <f t="shared" ref="BA139:BB139" si="911">BA138/BA$110</f>
        <v>0.34367541766109783</v>
      </c>
      <c r="BB139" s="823">
        <f t="shared" si="911"/>
        <v>0.29333333333333333</v>
      </c>
      <c r="BC139" s="858">
        <f t="shared" ref="BC139:BD139" si="912">BC138/BC$110</f>
        <v>0.30634573304157547</v>
      </c>
      <c r="BD139" s="858">
        <f t="shared" si="912"/>
        <v>0.32710280373831774</v>
      </c>
      <c r="BE139" s="858">
        <f t="shared" ref="BE139:BJ139" si="913">BE138/BE$110</f>
        <v>0.30837004405286345</v>
      </c>
      <c r="BF139" s="823">
        <f t="shared" si="913"/>
        <v>0.33816425120772947</v>
      </c>
      <c r="BG139" s="858">
        <f t="shared" si="913"/>
        <v>0.31949220906041692</v>
      </c>
      <c r="BH139" s="858">
        <f t="shared" si="913"/>
        <v>0.34683373996907407</v>
      </c>
      <c r="BI139" s="858">
        <f t="shared" si="913"/>
        <v>0.34335122673921337</v>
      </c>
      <c r="BJ139" s="823">
        <f t="shared" si="913"/>
        <v>0.39004801582159443</v>
      </c>
      <c r="BK139" s="858">
        <f t="shared" ref="BK139:BN139" si="914">BK138/BK$110</f>
        <v>0.37990311626236778</v>
      </c>
      <c r="BL139" s="858">
        <f t="shared" si="914"/>
        <v>0.40848646760891499</v>
      </c>
      <c r="BM139" s="858">
        <f t="shared" si="914"/>
        <v>0.4045173701099794</v>
      </c>
      <c r="BN139" s="823">
        <f t="shared" si="914"/>
        <v>0.4528264352082621</v>
      </c>
      <c r="BX139" s="167">
        <f t="shared" ref="BX139:CE139" si="915">BX138/BX$110</f>
        <v>0.24747624479294911</v>
      </c>
      <c r="BY139" s="167">
        <f t="shared" si="915"/>
        <v>0.31593446952217508</v>
      </c>
      <c r="BZ139" s="167">
        <f t="shared" si="915"/>
        <v>0.57137745974955279</v>
      </c>
      <c r="CA139" s="167">
        <f t="shared" si="915"/>
        <v>0.59101941747572817</v>
      </c>
      <c r="CB139" s="167">
        <f t="shared" si="915"/>
        <v>0.36375488917861798</v>
      </c>
      <c r="CC139" s="858">
        <f t="shared" si="915"/>
        <v>0.31945236737022248</v>
      </c>
      <c r="CD139" s="858">
        <f t="shared" si="915"/>
        <v>0.34999000706614086</v>
      </c>
      <c r="CE139" s="858">
        <f t="shared" si="915"/>
        <v>0.41159029165427902</v>
      </c>
    </row>
    <row r="140" spans="1:84">
      <c r="B140" s="5" t="s">
        <v>449</v>
      </c>
      <c r="AW140" s="821"/>
      <c r="AX140" s="824"/>
      <c r="BB140" s="824"/>
      <c r="BF140" s="16"/>
      <c r="BJ140" s="16"/>
      <c r="BN140" s="16"/>
      <c r="BY140" s="759">
        <f>BY138/BX138-1</f>
        <v>0.85583756345177675</v>
      </c>
      <c r="BZ140" s="759">
        <f t="shared" ref="BZ140:CE140" si="916">BZ138/BY138-1</f>
        <v>0.74726477024070004</v>
      </c>
      <c r="CA140" s="759">
        <f t="shared" si="916"/>
        <v>0.52473387601753307</v>
      </c>
      <c r="CB140" s="759">
        <f t="shared" si="916"/>
        <v>0.14579055441478439</v>
      </c>
      <c r="CC140" s="759">
        <f t="shared" si="916"/>
        <v>3.5842293906809264E-3</v>
      </c>
      <c r="CD140" s="759">
        <f t="shared" si="916"/>
        <v>0.20209775390625007</v>
      </c>
      <c r="CE140" s="759">
        <f t="shared" si="916"/>
        <v>0.31945703300789141</v>
      </c>
    </row>
    <row r="141" spans="1:84">
      <c r="B141" s="84" t="s">
        <v>435</v>
      </c>
      <c r="C141" s="302"/>
      <c r="D141" s="63"/>
      <c r="E141" s="63"/>
      <c r="F141" s="303"/>
      <c r="G141" s="63"/>
      <c r="H141" s="63"/>
      <c r="I141" s="63"/>
      <c r="J141" s="63"/>
      <c r="K141" s="302"/>
      <c r="L141" s="63"/>
      <c r="M141" s="63"/>
      <c r="N141" s="303"/>
      <c r="O141" s="63"/>
      <c r="P141" s="63"/>
      <c r="Q141" s="63"/>
      <c r="R141" s="63"/>
      <c r="S141" s="302"/>
      <c r="T141" s="63"/>
      <c r="U141" s="63"/>
      <c r="V141" s="303"/>
      <c r="W141" s="167"/>
      <c r="X141" s="167"/>
      <c r="Y141" s="167"/>
      <c r="Z141" s="167"/>
      <c r="AA141" s="336"/>
      <c r="AB141" s="167"/>
      <c r="AC141" s="167"/>
      <c r="AD141" s="337"/>
      <c r="AE141" s="167"/>
      <c r="AF141" s="167"/>
      <c r="AG141" s="167"/>
      <c r="AH141" s="167"/>
      <c r="AI141" s="374">
        <f t="shared" ref="AI141:AT141" si="917">AI124+AI125+AI131+AI132+AI133+AI126</f>
        <v>83</v>
      </c>
      <c r="AJ141" s="150">
        <f t="shared" si="917"/>
        <v>28</v>
      </c>
      <c r="AK141" s="150">
        <f t="shared" si="917"/>
        <v>80.5</v>
      </c>
      <c r="AL141" s="375">
        <f t="shared" si="917"/>
        <v>101</v>
      </c>
      <c r="AM141" s="374">
        <f t="shared" si="917"/>
        <v>102.42400000000001</v>
      </c>
      <c r="AN141" s="150">
        <f t="shared" si="917"/>
        <v>117</v>
      </c>
      <c r="AO141" s="150">
        <f t="shared" si="917"/>
        <v>115.2</v>
      </c>
      <c r="AP141" s="375">
        <f t="shared" si="917"/>
        <v>55.332999999999998</v>
      </c>
      <c r="AQ141" s="150">
        <f t="shared" si="917"/>
        <v>31</v>
      </c>
      <c r="AR141" s="150">
        <f t="shared" si="917"/>
        <v>28</v>
      </c>
      <c r="AS141" s="150">
        <f t="shared" si="917"/>
        <v>25</v>
      </c>
      <c r="AT141" s="509">
        <f t="shared" si="917"/>
        <v>21</v>
      </c>
      <c r="AU141" s="855">
        <v>28.7</v>
      </c>
      <c r="AV141" s="855">
        <v>29</v>
      </c>
      <c r="AW141" s="856">
        <v>26</v>
      </c>
      <c r="AX141" s="857">
        <v>29</v>
      </c>
      <c r="AY141" s="855">
        <v>35</v>
      </c>
      <c r="AZ141" s="855">
        <v>31</v>
      </c>
      <c r="BA141" s="855">
        <v>35</v>
      </c>
      <c r="BB141" s="862">
        <v>35</v>
      </c>
      <c r="BC141" s="936">
        <v>37</v>
      </c>
      <c r="BD141" s="936">
        <v>38</v>
      </c>
      <c r="BE141" s="123">
        <v>39</v>
      </c>
      <c r="BF141" s="333">
        <f>BE141</f>
        <v>39</v>
      </c>
      <c r="BG141" s="936">
        <f>BF141*1.04</f>
        <v>40.56</v>
      </c>
      <c r="BH141" s="936">
        <f t="shared" ref="BH141:BJ141" si="918">BG141*1.04</f>
        <v>42.182400000000001</v>
      </c>
      <c r="BI141" s="936">
        <f t="shared" si="918"/>
        <v>43.869696000000005</v>
      </c>
      <c r="BJ141" s="936">
        <f t="shared" si="918"/>
        <v>45.624483840000003</v>
      </c>
      <c r="BK141" s="936">
        <f>BJ141*1.02</f>
        <v>46.536973516800003</v>
      </c>
      <c r="BL141" s="936">
        <f t="shared" ref="BL141:BN141" si="919">BK141*1.02</f>
        <v>47.467712987136004</v>
      </c>
      <c r="BM141" s="936">
        <f t="shared" si="919"/>
        <v>48.417067246878723</v>
      </c>
      <c r="BN141" s="936">
        <f t="shared" si="919"/>
        <v>49.385408591816301</v>
      </c>
      <c r="BX141" s="59">
        <f>SUM(AI141:AL141)</f>
        <v>292.5</v>
      </c>
      <c r="BY141" s="29">
        <f>SUM(AM141:AP141)</f>
        <v>389.95699999999999</v>
      </c>
      <c r="BZ141" s="29">
        <f>SUM(AQ141:AT141)</f>
        <v>105</v>
      </c>
      <c r="CA141" s="29">
        <f>SUM(AU141:AX141)</f>
        <v>112.7</v>
      </c>
      <c r="CB141" s="29">
        <f>SUM(AY141:BB141)</f>
        <v>136</v>
      </c>
      <c r="CC141" s="29">
        <f>SUM(BC141:BF141)</f>
        <v>153</v>
      </c>
      <c r="CD141" s="29">
        <f>SUM(BG141:BJ141)</f>
        <v>172.23657984000002</v>
      </c>
      <c r="CE141" s="29">
        <f>SUM(BK141:BN141)</f>
        <v>191.80716234263105</v>
      </c>
    </row>
    <row r="142" spans="1:84">
      <c r="B142" s="91" t="s">
        <v>321</v>
      </c>
      <c r="C142" s="302"/>
      <c r="D142" s="63"/>
      <c r="E142" s="63"/>
      <c r="F142" s="303"/>
      <c r="G142" s="63"/>
      <c r="H142" s="63"/>
      <c r="I142" s="63"/>
      <c r="J142" s="63"/>
      <c r="K142" s="302"/>
      <c r="L142" s="63"/>
      <c r="M142" s="63"/>
      <c r="N142" s="303"/>
      <c r="O142" s="63"/>
      <c r="P142" s="63"/>
      <c r="Q142" s="63"/>
      <c r="R142" s="63"/>
      <c r="S142" s="302"/>
      <c r="T142" s="63"/>
      <c r="U142" s="63"/>
      <c r="V142" s="303"/>
      <c r="W142" s="167"/>
      <c r="X142" s="167"/>
      <c r="Y142" s="167"/>
      <c r="Z142" s="167"/>
      <c r="AA142" s="336"/>
      <c r="AB142" s="167"/>
      <c r="AC142" s="167"/>
      <c r="AD142" s="337"/>
      <c r="AE142" s="167"/>
      <c r="AF142" s="167"/>
      <c r="AG142" s="167"/>
      <c r="AH142" s="337"/>
      <c r="AI142" s="167">
        <f t="shared" ref="AI142:AL142" si="920">AI141/AI$110</f>
        <v>0.80504364694471386</v>
      </c>
      <c r="AJ142" s="167">
        <f t="shared" si="920"/>
        <v>0.53206650831353919</v>
      </c>
      <c r="AK142" s="167">
        <f t="shared" si="920"/>
        <v>0.72435078373854989</v>
      </c>
      <c r="AL142" s="337">
        <f t="shared" si="920"/>
        <v>0.77005771620704666</v>
      </c>
      <c r="AM142" s="167">
        <f t="shared" ref="AM142:AP142" si="921">AM141/AM$110</f>
        <v>0.73462244663759468</v>
      </c>
      <c r="AN142" s="167">
        <f t="shared" si="921"/>
        <v>0.73657173075470272</v>
      </c>
      <c r="AO142" s="167">
        <f t="shared" si="921"/>
        <v>0.68571428571428572</v>
      </c>
      <c r="AP142" s="337">
        <f t="shared" si="921"/>
        <v>0.49258009667684471</v>
      </c>
      <c r="AQ142" s="167">
        <f t="shared" ref="AQ142:AT142" si="922">AQ141/AQ$110</f>
        <v>0.21379310344827587</v>
      </c>
      <c r="AR142" s="167">
        <f t="shared" si="922"/>
        <v>0.21875</v>
      </c>
      <c r="AS142" s="167">
        <f t="shared" si="922"/>
        <v>0.19379844961240311</v>
      </c>
      <c r="AT142" s="337">
        <f t="shared" si="922"/>
        <v>0.13375796178343949</v>
      </c>
      <c r="AU142" s="167">
        <f t="shared" ref="AU142:AX145" si="923">AU141/AU$110</f>
        <v>0.17937500000000001</v>
      </c>
      <c r="AV142" s="167">
        <f t="shared" si="923"/>
        <v>0.1746987951807229</v>
      </c>
      <c r="AW142" s="822">
        <f t="shared" si="923"/>
        <v>0.1078838174273859</v>
      </c>
      <c r="AX142" s="823">
        <f t="shared" si="923"/>
        <v>0.11284046692607004</v>
      </c>
      <c r="AY142" s="858">
        <f t="shared" ref="AY142:AZ142" si="924">AY141/AY$110</f>
        <v>0.10542168674698796</v>
      </c>
      <c r="AZ142" s="858">
        <f t="shared" si="924"/>
        <v>9.3093093093093091E-2</v>
      </c>
      <c r="BA142" s="858">
        <f t="shared" ref="BA142:BB142" si="925">BA141/BA$110</f>
        <v>8.3532219570405727E-2</v>
      </c>
      <c r="BB142" s="823">
        <f t="shared" si="925"/>
        <v>7.7777777777777779E-2</v>
      </c>
      <c r="BC142" s="858">
        <f t="shared" ref="BC142:BD142" si="926">BC141/BC$110</f>
        <v>8.0962800875273522E-2</v>
      </c>
      <c r="BD142" s="858">
        <f t="shared" si="926"/>
        <v>8.8785046728971959E-2</v>
      </c>
      <c r="BE142" s="858">
        <f t="shared" ref="BE142:BJ142" si="927">BE141/BE$110</f>
        <v>8.590308370044053E-2</v>
      </c>
      <c r="BF142" s="823">
        <f t="shared" si="927"/>
        <v>9.420289855072464E-2</v>
      </c>
      <c r="BG142" s="858">
        <f t="shared" si="927"/>
        <v>8.6103681059737619E-2</v>
      </c>
      <c r="BH142" s="858">
        <f t="shared" si="927"/>
        <v>9.0428985878831622E-2</v>
      </c>
      <c r="BI142" s="858">
        <f t="shared" si="927"/>
        <v>8.6606362786536967E-2</v>
      </c>
      <c r="BJ142" s="823">
        <f t="shared" si="927"/>
        <v>9.5181850617828537E-2</v>
      </c>
      <c r="BK142" s="858">
        <f t="shared" ref="BK142:BN142" si="928">BK141/BK$110</f>
        <v>8.8374164633040306E-2</v>
      </c>
      <c r="BL142" s="858">
        <f t="shared" si="928"/>
        <v>9.0582965280362138E-2</v>
      </c>
      <c r="BM142" s="858">
        <f t="shared" si="928"/>
        <v>8.5511087340634173E-2</v>
      </c>
      <c r="BN142" s="823">
        <f t="shared" si="928"/>
        <v>9.1250114926741024E-2</v>
      </c>
      <c r="BX142" s="167">
        <f t="shared" ref="BX142:BY142" si="929">BX141/BX$110</f>
        <v>0.73489138682170174</v>
      </c>
      <c r="BY142" s="167">
        <f t="shared" si="929"/>
        <v>0.67396530597078119</v>
      </c>
      <c r="BZ142" s="167">
        <f>BZ141/BZ$110</f>
        <v>0.18783542039355994</v>
      </c>
      <c r="CA142" s="167"/>
      <c r="CB142" s="167"/>
      <c r="CC142" s="858"/>
      <c r="CD142" s="858"/>
      <c r="CE142" s="858"/>
    </row>
    <row r="143" spans="1:84">
      <c r="A143" s="821"/>
      <c r="B143" s="5" t="s">
        <v>449</v>
      </c>
      <c r="C143" s="302"/>
      <c r="D143" s="63"/>
      <c r="E143" s="63"/>
      <c r="F143" s="303"/>
      <c r="G143" s="63"/>
      <c r="H143" s="63"/>
      <c r="I143" s="63"/>
      <c r="J143" s="63"/>
      <c r="K143" s="302"/>
      <c r="L143" s="63"/>
      <c r="M143" s="63"/>
      <c r="N143" s="303"/>
      <c r="O143" s="63"/>
      <c r="P143" s="63"/>
      <c r="Q143" s="63"/>
      <c r="R143" s="63"/>
      <c r="S143" s="302"/>
      <c r="T143" s="63"/>
      <c r="U143" s="63"/>
      <c r="V143" s="303"/>
      <c r="W143" s="822"/>
      <c r="X143" s="822"/>
      <c r="Y143" s="822"/>
      <c r="Z143" s="822"/>
      <c r="AA143" s="336"/>
      <c r="AB143" s="822"/>
      <c r="AC143" s="822"/>
      <c r="AD143" s="823"/>
      <c r="AE143" s="822"/>
      <c r="AF143" s="822"/>
      <c r="AG143" s="822"/>
      <c r="AH143" s="822"/>
      <c r="AI143" s="822"/>
      <c r="AJ143" s="822"/>
      <c r="AK143" s="822"/>
      <c r="AL143" s="823"/>
      <c r="AM143" s="822"/>
      <c r="AN143" s="822"/>
      <c r="AO143" s="822"/>
      <c r="AP143" s="823"/>
      <c r="AQ143" s="822"/>
      <c r="AR143" s="822"/>
      <c r="AS143" s="822"/>
      <c r="AT143" s="823"/>
      <c r="AU143" s="822"/>
      <c r="AV143" s="822"/>
      <c r="AW143" s="822"/>
      <c r="AX143" s="977"/>
      <c r="AY143" s="858"/>
      <c r="AZ143" s="858"/>
      <c r="BA143" s="858"/>
      <c r="BB143" s="977"/>
      <c r="BC143" s="858"/>
      <c r="BD143" s="858"/>
      <c r="BE143" s="858"/>
      <c r="BF143" s="977"/>
      <c r="BG143" s="858"/>
      <c r="BH143" s="858"/>
      <c r="BI143" s="858"/>
      <c r="BJ143" s="977"/>
      <c r="BK143" s="858"/>
      <c r="BL143" s="858"/>
      <c r="BM143" s="858"/>
      <c r="BN143" s="977"/>
      <c r="BO143" s="821"/>
      <c r="BX143" s="822"/>
      <c r="BY143" s="759">
        <f>BY141/BX141-1</f>
        <v>0.33318632478632471</v>
      </c>
      <c r="BZ143" s="759">
        <f t="shared" ref="BZ143:CE143" si="930">BZ141/BY141-1</f>
        <v>-0.73073954307782651</v>
      </c>
      <c r="CA143" s="759">
        <f t="shared" si="930"/>
        <v>7.333333333333325E-2</v>
      </c>
      <c r="CB143" s="759">
        <f t="shared" si="930"/>
        <v>0.20674356699201413</v>
      </c>
      <c r="CC143" s="759">
        <f t="shared" si="930"/>
        <v>0.125</v>
      </c>
      <c r="CD143" s="759">
        <f t="shared" si="930"/>
        <v>0.12572928000000005</v>
      </c>
      <c r="CE143" s="759">
        <f t="shared" si="930"/>
        <v>0.11362616768639522</v>
      </c>
    </row>
    <row r="144" spans="1:84">
      <c r="B144" s="84" t="s">
        <v>452</v>
      </c>
      <c r="C144" s="302"/>
      <c r="D144" s="63"/>
      <c r="E144" s="63"/>
      <c r="F144" s="303"/>
      <c r="G144" s="63"/>
      <c r="H144" s="63"/>
      <c r="I144" s="63"/>
      <c r="J144" s="63"/>
      <c r="K144" s="302"/>
      <c r="L144" s="63"/>
      <c r="M144" s="63"/>
      <c r="N144" s="303"/>
      <c r="O144" s="63"/>
      <c r="P144" s="63"/>
      <c r="Q144" s="63"/>
      <c r="R144" s="63"/>
      <c r="S144" s="302"/>
      <c r="T144" s="63"/>
      <c r="U144" s="63"/>
      <c r="V144" s="303"/>
      <c r="W144" s="167"/>
      <c r="X144" s="167"/>
      <c r="Y144" s="167"/>
      <c r="Z144" s="167"/>
      <c r="AA144" s="336"/>
      <c r="AB144" s="167"/>
      <c r="AC144" s="167"/>
      <c r="AD144" s="337"/>
      <c r="AE144" s="167"/>
      <c r="AF144" s="167"/>
      <c r="AG144" s="167"/>
      <c r="AH144" s="167"/>
      <c r="AI144" s="374">
        <f t="shared" ref="AI144:AT144" si="931">AI135</f>
        <v>9.9999999999994316E-2</v>
      </c>
      <c r="AJ144" s="150">
        <f t="shared" si="931"/>
        <v>4.625</v>
      </c>
      <c r="AK144" s="150">
        <f t="shared" si="931"/>
        <v>2.1340000000000003</v>
      </c>
      <c r="AL144" s="375">
        <f t="shared" si="931"/>
        <v>0.15899999999996339</v>
      </c>
      <c r="AM144" s="374">
        <f t="shared" si="931"/>
        <v>2</v>
      </c>
      <c r="AN144" s="150">
        <f t="shared" si="931"/>
        <v>1.8440000000000001</v>
      </c>
      <c r="AO144" s="150">
        <f t="shared" si="931"/>
        <v>1</v>
      </c>
      <c r="AP144" s="375">
        <f t="shared" si="931"/>
        <v>1</v>
      </c>
      <c r="AQ144" s="150">
        <f t="shared" si="931"/>
        <v>37.5</v>
      </c>
      <c r="AR144" s="150">
        <f t="shared" si="931"/>
        <v>29.5</v>
      </c>
      <c r="AS144" s="150">
        <f t="shared" si="931"/>
        <v>24.599999999999994</v>
      </c>
      <c r="AT144" s="509">
        <f t="shared" si="931"/>
        <v>43</v>
      </c>
      <c r="AU144" s="860">
        <v>18.3</v>
      </c>
      <c r="AV144" s="860">
        <v>18</v>
      </c>
      <c r="AW144" s="861">
        <v>88</v>
      </c>
      <c r="AX144" s="862">
        <v>100</v>
      </c>
      <c r="AY144" s="860">
        <v>157</v>
      </c>
      <c r="AZ144" s="860">
        <v>160</v>
      </c>
      <c r="BA144" s="860">
        <v>240</v>
      </c>
      <c r="BB144" s="862">
        <v>283</v>
      </c>
      <c r="BC144" s="937">
        <v>280</v>
      </c>
      <c r="BD144" s="937">
        <v>250</v>
      </c>
      <c r="BE144" s="937">
        <v>275</v>
      </c>
      <c r="BF144" s="937">
        <v>235</v>
      </c>
      <c r="BG144" s="937">
        <v>280</v>
      </c>
      <c r="BH144" s="937">
        <f>BD144*1.05</f>
        <v>262.5</v>
      </c>
      <c r="BI144" s="937">
        <f t="shared" ref="BI144:BJ144" si="932">BE144*1.05</f>
        <v>288.75</v>
      </c>
      <c r="BJ144" s="937">
        <f t="shared" si="932"/>
        <v>246.75</v>
      </c>
      <c r="BK144" s="937">
        <f>BG144</f>
        <v>280</v>
      </c>
      <c r="BL144" s="937">
        <f>BH144</f>
        <v>262.5</v>
      </c>
      <c r="BM144" s="937">
        <f t="shared" ref="BM144:BN144" si="933">BI144</f>
        <v>288.75</v>
      </c>
      <c r="BN144" s="937">
        <f t="shared" si="933"/>
        <v>246.75</v>
      </c>
      <c r="BX144" s="59">
        <f>SUM(AI144:AL144)</f>
        <v>7.017999999999958</v>
      </c>
      <c r="BY144" s="29">
        <f>SUM(AM144:AP144)</f>
        <v>5.8440000000000003</v>
      </c>
      <c r="BZ144" s="29">
        <f>SUM(AQ144:AT144)</f>
        <v>134.6</v>
      </c>
      <c r="CA144" s="29">
        <f>SUM(AU144:AX144)</f>
        <v>224.3</v>
      </c>
      <c r="CB144" s="29">
        <f>SUM(AY144:BB144)</f>
        <v>840</v>
      </c>
      <c r="CC144" s="29">
        <f>SUM(BC144:BF144)</f>
        <v>1040</v>
      </c>
      <c r="CD144" s="29">
        <f>SUM(BG144:BJ144)</f>
        <v>1078</v>
      </c>
      <c r="CE144" s="29">
        <f>SUM(BK144:BN144)</f>
        <v>1078</v>
      </c>
    </row>
    <row r="145" spans="1:83">
      <c r="B145" s="91" t="s">
        <v>321</v>
      </c>
      <c r="C145" s="302"/>
      <c r="D145" s="63"/>
      <c r="E145" s="63"/>
      <c r="F145" s="303"/>
      <c r="G145" s="63"/>
      <c r="H145" s="63"/>
      <c r="I145" s="63"/>
      <c r="J145" s="63"/>
      <c r="K145" s="302"/>
      <c r="L145" s="63"/>
      <c r="M145" s="63"/>
      <c r="N145" s="303"/>
      <c r="O145" s="63"/>
      <c r="P145" s="63"/>
      <c r="Q145" s="63"/>
      <c r="R145" s="63"/>
      <c r="S145" s="302"/>
      <c r="T145" s="63"/>
      <c r="U145" s="63"/>
      <c r="V145" s="303"/>
      <c r="W145" s="167"/>
      <c r="X145" s="167"/>
      <c r="Y145" s="167"/>
      <c r="Z145" s="167"/>
      <c r="AA145" s="336"/>
      <c r="AB145" s="167"/>
      <c r="AC145" s="167"/>
      <c r="AD145" s="337"/>
      <c r="AE145" s="167"/>
      <c r="AF145" s="167"/>
      <c r="AG145" s="167"/>
      <c r="AH145" s="167"/>
      <c r="AI145" s="336"/>
      <c r="AJ145" s="167"/>
      <c r="AK145" s="167"/>
      <c r="AL145" s="337"/>
      <c r="AM145" s="336"/>
      <c r="AN145" s="167"/>
      <c r="AO145" s="167"/>
      <c r="AP145" s="337"/>
      <c r="AQ145" s="167"/>
      <c r="AR145" s="167"/>
      <c r="AS145" s="167"/>
      <c r="AT145" s="337"/>
      <c r="AU145" s="167">
        <f t="shared" si="923"/>
        <v>0.114375</v>
      </c>
      <c r="AV145" s="167">
        <f t="shared" si="923"/>
        <v>0.10843373493975904</v>
      </c>
      <c r="AW145" s="858">
        <f t="shared" si="923"/>
        <v>0.36514522821576761</v>
      </c>
      <c r="AX145" s="858">
        <f t="shared" si="923"/>
        <v>0.38910505836575876</v>
      </c>
      <c r="AY145" s="858">
        <f t="shared" ref="AY145:AZ145" si="934">AY144/AY$110</f>
        <v>0.47289156626506024</v>
      </c>
      <c r="AZ145" s="858">
        <f t="shared" si="934"/>
        <v>0.48048048048048048</v>
      </c>
      <c r="BA145" s="858">
        <f t="shared" ref="BA145:BB145" si="935">BA144/BA$110</f>
        <v>0.57279236276849643</v>
      </c>
      <c r="BB145" s="858">
        <f t="shared" si="935"/>
        <v>0.62888888888888894</v>
      </c>
      <c r="BC145" s="858">
        <f t="shared" ref="BC145:BD145" si="936">BC144/BC$110</f>
        <v>0.61269146608315095</v>
      </c>
      <c r="BD145" s="858">
        <f t="shared" si="936"/>
        <v>0.58411214953271029</v>
      </c>
      <c r="BE145" s="858">
        <f t="shared" ref="BE145:BJ145" si="937">BE144/BE$110</f>
        <v>0.60572687224669608</v>
      </c>
      <c r="BF145" s="823">
        <f t="shared" si="937"/>
        <v>0.56763285024154586</v>
      </c>
      <c r="BG145" s="858">
        <f t="shared" si="937"/>
        <v>0.59440410987984549</v>
      </c>
      <c r="BH145" s="858">
        <f t="shared" si="937"/>
        <v>0.56273727415209429</v>
      </c>
      <c r="BI145" s="858">
        <f t="shared" si="937"/>
        <v>0.57004241047424964</v>
      </c>
      <c r="BJ145" s="823">
        <f t="shared" si="937"/>
        <v>0.5147701335605771</v>
      </c>
      <c r="BK145" s="858">
        <f t="shared" ref="BK145:BN145" si="938">BK144/BK$110</f>
        <v>0.53172271910459201</v>
      </c>
      <c r="BL145" s="858">
        <f t="shared" si="938"/>
        <v>0.50093056711072281</v>
      </c>
      <c r="BM145" s="858">
        <f t="shared" si="938"/>
        <v>0.50997154254938648</v>
      </c>
      <c r="BN145" s="823">
        <f t="shared" si="938"/>
        <v>0.45592344986499689</v>
      </c>
      <c r="BX145" s="167">
        <f t="shared" ref="BX145:BY145" si="939">BX144/BX$110</f>
        <v>1.7632368385349304E-2</v>
      </c>
      <c r="BY145" s="167">
        <f t="shared" si="939"/>
        <v>1.0100224507043714E-2</v>
      </c>
      <c r="BZ145" s="167">
        <f>BZ144/BZ$110</f>
        <v>0.24078711985688728</v>
      </c>
      <c r="CA145" s="167"/>
      <c r="CB145" s="167"/>
      <c r="CC145" s="858"/>
      <c r="CD145" s="858"/>
      <c r="CE145" s="858"/>
    </row>
    <row r="146" spans="1:83">
      <c r="A146" s="821"/>
      <c r="B146" s="5" t="s">
        <v>449</v>
      </c>
      <c r="C146" s="302"/>
      <c r="D146" s="63"/>
      <c r="E146" s="63"/>
      <c r="F146" s="303"/>
      <c r="G146" s="63"/>
      <c r="H146" s="63"/>
      <c r="I146" s="63"/>
      <c r="J146" s="63"/>
      <c r="K146" s="302"/>
      <c r="L146" s="63"/>
      <c r="M146" s="63"/>
      <c r="N146" s="303"/>
      <c r="O146" s="63"/>
      <c r="P146" s="63"/>
      <c r="Q146" s="63"/>
      <c r="R146" s="63"/>
      <c r="S146" s="302"/>
      <c r="T146" s="63"/>
      <c r="U146" s="63"/>
      <c r="V146" s="303"/>
      <c r="W146" s="822"/>
      <c r="X146" s="822"/>
      <c r="Y146" s="822"/>
      <c r="Z146" s="822"/>
      <c r="AA146" s="336"/>
      <c r="AB146" s="822"/>
      <c r="AC146" s="822"/>
      <c r="AD146" s="823"/>
      <c r="AE146" s="822"/>
      <c r="AF146" s="822"/>
      <c r="AG146" s="822"/>
      <c r="AH146" s="822"/>
      <c r="AI146" s="336"/>
      <c r="AJ146" s="822"/>
      <c r="AK146" s="822"/>
      <c r="AL146" s="823"/>
      <c r="AM146" s="336"/>
      <c r="AN146" s="822"/>
      <c r="AO146" s="822"/>
      <c r="AP146" s="823"/>
      <c r="AQ146" s="822"/>
      <c r="AR146" s="822"/>
      <c r="AS146" s="822"/>
      <c r="AT146" s="823"/>
      <c r="AU146" s="822"/>
      <c r="AV146" s="822"/>
      <c r="AW146" s="822"/>
      <c r="AX146" s="823"/>
      <c r="AY146" s="858"/>
      <c r="AZ146" s="858"/>
      <c r="BA146" s="822"/>
      <c r="BB146" s="823"/>
      <c r="BC146" s="858"/>
      <c r="BD146" s="858"/>
      <c r="BE146" s="858"/>
      <c r="BF146" s="823"/>
      <c r="BG146" s="858"/>
      <c r="BH146" s="858"/>
      <c r="BI146" s="858"/>
      <c r="BJ146" s="823"/>
      <c r="BK146" s="858"/>
      <c r="BL146" s="858"/>
      <c r="BM146" s="858"/>
      <c r="BN146" s="823"/>
      <c r="BO146" s="821"/>
      <c r="BX146" s="822"/>
      <c r="BY146" s="759">
        <f>BY144/BX144-1</f>
        <v>-0.16728412653177038</v>
      </c>
      <c r="BZ146" s="759">
        <f t="shared" ref="BZ146:CE146" si="940">BZ144/BY144-1</f>
        <v>22.032169746748799</v>
      </c>
      <c r="CA146" s="759">
        <f t="shared" si="940"/>
        <v>0.66641901931649339</v>
      </c>
      <c r="CB146" s="759">
        <f t="shared" si="940"/>
        <v>2.7449843958983502</v>
      </c>
      <c r="CC146" s="759">
        <f t="shared" si="940"/>
        <v>0.23809523809523814</v>
      </c>
      <c r="CD146" s="759">
        <f t="shared" si="940"/>
        <v>3.6538461538461631E-2</v>
      </c>
      <c r="CE146" s="759">
        <f t="shared" si="940"/>
        <v>0</v>
      </c>
    </row>
    <row r="147" spans="1:83">
      <c r="B147" s="395" t="s">
        <v>251</v>
      </c>
      <c r="C147" s="396"/>
      <c r="D147" s="397"/>
      <c r="E147" s="397"/>
      <c r="F147" s="398"/>
      <c r="G147" s="397"/>
      <c r="H147" s="397"/>
      <c r="I147" s="397"/>
      <c r="J147" s="397"/>
      <c r="K147" s="396"/>
      <c r="L147" s="397"/>
      <c r="M147" s="397"/>
      <c r="N147" s="398"/>
      <c r="O147" s="397"/>
      <c r="P147" s="397"/>
      <c r="Q147" s="397"/>
      <c r="R147" s="397"/>
      <c r="S147" s="396"/>
      <c r="T147" s="397"/>
      <c r="U147" s="397"/>
      <c r="V147" s="398"/>
      <c r="W147" s="399">
        <f t="shared" ref="W147:AT147" si="941">W127+W131+W132+W138+W133+W135</f>
        <v>31.23</v>
      </c>
      <c r="X147" s="399">
        <f t="shared" si="941"/>
        <v>45.704000000000001</v>
      </c>
      <c r="Y147" s="399">
        <f t="shared" si="941"/>
        <v>51.933999999999997</v>
      </c>
      <c r="Z147" s="399">
        <f t="shared" si="941"/>
        <v>68.74499999999999</v>
      </c>
      <c r="AA147" s="400">
        <f t="shared" si="941"/>
        <v>122.60899999999999</v>
      </c>
      <c r="AB147" s="399">
        <f t="shared" si="941"/>
        <v>167.684</v>
      </c>
      <c r="AC147" s="399">
        <f t="shared" si="941"/>
        <v>191.083</v>
      </c>
      <c r="AD147" s="401">
        <f t="shared" si="941"/>
        <v>109.79</v>
      </c>
      <c r="AE147" s="399">
        <f t="shared" si="941"/>
        <v>132.512</v>
      </c>
      <c r="AF147" s="399">
        <f t="shared" si="941"/>
        <v>179.64599999999999</v>
      </c>
      <c r="AG147" s="399">
        <f t="shared" si="941"/>
        <v>243.90100000000001</v>
      </c>
      <c r="AH147" s="399">
        <f t="shared" si="941"/>
        <v>208.38800000000009</v>
      </c>
      <c r="AI147" s="400">
        <f t="shared" si="941"/>
        <v>103.1</v>
      </c>
      <c r="AJ147" s="399">
        <f t="shared" si="941"/>
        <v>52.625</v>
      </c>
      <c r="AK147" s="399">
        <f t="shared" si="941"/>
        <v>111.134</v>
      </c>
      <c r="AL147" s="401">
        <f t="shared" si="941"/>
        <v>131.15899999999996</v>
      </c>
      <c r="AM147" s="400">
        <f t="shared" si="941"/>
        <v>139.42400000000001</v>
      </c>
      <c r="AN147" s="399">
        <f t="shared" si="941"/>
        <v>158.84399999999999</v>
      </c>
      <c r="AO147" s="399">
        <f t="shared" si="941"/>
        <v>168</v>
      </c>
      <c r="AP147" s="401">
        <f t="shared" si="941"/>
        <v>112.333</v>
      </c>
      <c r="AQ147" s="399">
        <f t="shared" si="941"/>
        <v>145</v>
      </c>
      <c r="AR147" s="399">
        <f t="shared" si="941"/>
        <v>128</v>
      </c>
      <c r="AS147" s="399">
        <f t="shared" si="941"/>
        <v>129</v>
      </c>
      <c r="AT147" s="401">
        <f t="shared" si="941"/>
        <v>157</v>
      </c>
      <c r="AU147" s="399">
        <f t="shared" ref="AU147:BA147" si="942">AU127+AU131+AU132+AU138+AU133+AU135+AU141+AU144</f>
        <v>160</v>
      </c>
      <c r="AV147" s="399">
        <f t="shared" si="942"/>
        <v>166</v>
      </c>
      <c r="AW147" s="399">
        <f t="shared" si="942"/>
        <v>241</v>
      </c>
      <c r="AX147" s="399">
        <f t="shared" si="942"/>
        <v>257</v>
      </c>
      <c r="AY147" s="399">
        <f t="shared" ref="AY147:AZ147" si="943">AY127+AY131+AY132+AY138+AY133+AY135+AY141+AY144</f>
        <v>332</v>
      </c>
      <c r="AZ147" s="913">
        <f t="shared" si="943"/>
        <v>333</v>
      </c>
      <c r="BA147" s="399">
        <f t="shared" si="942"/>
        <v>419</v>
      </c>
      <c r="BB147" s="399">
        <f t="shared" ref="BB147" si="944">BB127+BB131+BB132+BB138+BB133+BB135+BB141+BB144</f>
        <v>450</v>
      </c>
      <c r="BC147" s="399">
        <f t="shared" ref="BC147:BD147" si="945">BC127+BC131+BC132+BC138+BC133+BC135+BC141+BC144</f>
        <v>457</v>
      </c>
      <c r="BD147" s="913">
        <f t="shared" si="945"/>
        <v>428</v>
      </c>
      <c r="BE147" s="399">
        <f t="shared" ref="BE147:BJ147" si="946">BE127+BE131+BE132+BE138+BE133+BE135+BE141+BE144</f>
        <v>454</v>
      </c>
      <c r="BF147" s="399">
        <f t="shared" si="946"/>
        <v>414</v>
      </c>
      <c r="BG147" s="399">
        <f t="shared" si="946"/>
        <v>471.06</v>
      </c>
      <c r="BH147" s="913">
        <f t="shared" si="946"/>
        <v>466.4699</v>
      </c>
      <c r="BI147" s="399">
        <f t="shared" si="946"/>
        <v>506.54125850000003</v>
      </c>
      <c r="BJ147" s="399">
        <f t="shared" si="946"/>
        <v>479.34016352749995</v>
      </c>
      <c r="BK147" s="399">
        <f t="shared" ref="BK147:BN147" si="947">BK127+BK131+BK132+BK138+BK133+BK135+BK141+BK144</f>
        <v>526.59025078242496</v>
      </c>
      <c r="BL147" s="913">
        <f t="shared" si="947"/>
        <v>524.02471966135477</v>
      </c>
      <c r="BM147" s="399">
        <f t="shared" si="947"/>
        <v>566.20806438829277</v>
      </c>
      <c r="BN147" s="399">
        <f t="shared" si="947"/>
        <v>541.20927553312936</v>
      </c>
      <c r="BP147" s="106">
        <f>SUM(C147:F147)</f>
        <v>0</v>
      </c>
      <c r="BQ147" s="106">
        <f>SUM(G147:J147)</f>
        <v>0</v>
      </c>
      <c r="BR147" s="106">
        <f>SUM(K147:N147)</f>
        <v>0</v>
      </c>
      <c r="BS147" s="106">
        <f>SUM(O147:R147)</f>
        <v>0</v>
      </c>
      <c r="BT147" s="106">
        <f>SUM(S147:V147)</f>
        <v>0</v>
      </c>
      <c r="BU147" s="106">
        <f>SUM(W147:Z147)</f>
        <v>197.613</v>
      </c>
      <c r="BV147" s="106">
        <f>SUM(AA147:AD147)</f>
        <v>591.16599999999994</v>
      </c>
      <c r="BW147" s="106">
        <f>SUM(AE147:AH147)</f>
        <v>764.44700000000012</v>
      </c>
      <c r="BX147" s="106">
        <f>SUM(AI147:AL147)</f>
        <v>398.01799999999992</v>
      </c>
      <c r="BY147" s="106">
        <f>SUM(AM147:AP147)</f>
        <v>578.601</v>
      </c>
      <c r="BZ147" s="106">
        <f>SUM(AQ147:AT147)</f>
        <v>559</v>
      </c>
      <c r="CA147" s="106">
        <f t="shared" si="907"/>
        <v>824</v>
      </c>
      <c r="CB147" s="106">
        <f>SUM(AY147:BB147)</f>
        <v>1534</v>
      </c>
      <c r="CC147" s="106">
        <f>SUM(BC147:BF147)</f>
        <v>1753</v>
      </c>
      <c r="CD147" s="106">
        <f>SUM(BG147:BJ147)</f>
        <v>1923.4113220274999</v>
      </c>
      <c r="CE147" s="106">
        <f>SUM(BK147:BN147)</f>
        <v>2158.0323103652017</v>
      </c>
    </row>
    <row r="148" spans="1:83">
      <c r="B148" s="347" t="s">
        <v>246</v>
      </c>
      <c r="C148" s="348"/>
      <c r="D148" s="347"/>
      <c r="E148" s="347"/>
      <c r="F148" s="349"/>
      <c r="G148" s="347"/>
      <c r="H148" s="347"/>
      <c r="I148" s="347"/>
      <c r="J148" s="347"/>
      <c r="K148" s="348"/>
      <c r="L148" s="347"/>
      <c r="M148" s="347"/>
      <c r="N148" s="349"/>
      <c r="O148" s="347"/>
      <c r="P148" s="347"/>
      <c r="Q148" s="347"/>
      <c r="R148" s="347"/>
      <c r="S148" s="348"/>
      <c r="T148" s="347"/>
      <c r="U148" s="347"/>
      <c r="V148" s="349"/>
      <c r="W148" s="350">
        <f t="shared" ref="W148:AV148" si="948">W147-W110</f>
        <v>0</v>
      </c>
      <c r="X148" s="350">
        <f t="shared" si="948"/>
        <v>0</v>
      </c>
      <c r="Y148" s="350">
        <f t="shared" si="948"/>
        <v>0</v>
      </c>
      <c r="Z148" s="350">
        <f t="shared" si="948"/>
        <v>0</v>
      </c>
      <c r="AA148" s="351">
        <f t="shared" si="948"/>
        <v>0</v>
      </c>
      <c r="AB148" s="350">
        <f t="shared" si="948"/>
        <v>0</v>
      </c>
      <c r="AC148" s="350">
        <f t="shared" si="948"/>
        <v>0</v>
      </c>
      <c r="AD148" s="352">
        <f t="shared" si="948"/>
        <v>0</v>
      </c>
      <c r="AE148" s="350">
        <f t="shared" si="948"/>
        <v>0</v>
      </c>
      <c r="AF148" s="350">
        <f t="shared" si="948"/>
        <v>0</v>
      </c>
      <c r="AG148" s="350">
        <f t="shared" si="948"/>
        <v>0</v>
      </c>
      <c r="AH148" s="350">
        <f t="shared" si="948"/>
        <v>0</v>
      </c>
      <c r="AI148" s="351">
        <f t="shared" si="948"/>
        <v>0</v>
      </c>
      <c r="AJ148" s="350">
        <f t="shared" si="948"/>
        <v>0</v>
      </c>
      <c r="AK148" s="350">
        <f t="shared" si="948"/>
        <v>0</v>
      </c>
      <c r="AL148" s="352">
        <f t="shared" si="948"/>
        <v>0</v>
      </c>
      <c r="AM148" s="351">
        <f t="shared" si="948"/>
        <v>0</v>
      </c>
      <c r="AN148" s="350">
        <f t="shared" si="948"/>
        <v>0</v>
      </c>
      <c r="AO148" s="350">
        <f t="shared" si="948"/>
        <v>0</v>
      </c>
      <c r="AP148" s="568">
        <f t="shared" si="948"/>
        <v>0</v>
      </c>
      <c r="AQ148" s="350">
        <f t="shared" si="948"/>
        <v>0</v>
      </c>
      <c r="AR148" s="350">
        <f t="shared" si="948"/>
        <v>0</v>
      </c>
      <c r="AS148" s="350">
        <f t="shared" si="948"/>
        <v>0</v>
      </c>
      <c r="AT148" s="568">
        <f t="shared" si="948"/>
        <v>0</v>
      </c>
      <c r="AU148" s="350">
        <f t="shared" si="948"/>
        <v>0</v>
      </c>
      <c r="AV148" s="350">
        <f t="shared" si="948"/>
        <v>0</v>
      </c>
      <c r="AW148" s="350">
        <f t="shared" ref="AW148:AZ148" si="949">AW147-AW110</f>
        <v>0</v>
      </c>
      <c r="AX148" s="352">
        <f t="shared" si="949"/>
        <v>0</v>
      </c>
      <c r="AY148" s="859">
        <f t="shared" si="949"/>
        <v>0</v>
      </c>
      <c r="AZ148" s="859">
        <f t="shared" si="949"/>
        <v>0</v>
      </c>
      <c r="BA148" s="716">
        <f t="shared" ref="BA148:BB148" si="950">BA147-BA110</f>
        <v>0</v>
      </c>
      <c r="BB148" s="352">
        <f t="shared" si="950"/>
        <v>0</v>
      </c>
      <c r="BC148" s="859">
        <f t="shared" ref="BC148:BD148" si="951">BC147-BC110</f>
        <v>0</v>
      </c>
      <c r="BD148" s="859">
        <f t="shared" si="951"/>
        <v>0</v>
      </c>
      <c r="BE148" s="716">
        <f t="shared" ref="BE148:BJ148" si="952">BE147-BE110</f>
        <v>0</v>
      </c>
      <c r="BF148" s="725">
        <f t="shared" si="952"/>
        <v>0</v>
      </c>
      <c r="BG148" s="859">
        <f t="shared" si="952"/>
        <v>0</v>
      </c>
      <c r="BH148" s="859">
        <f t="shared" si="952"/>
        <v>0</v>
      </c>
      <c r="BI148" s="716">
        <f t="shared" si="952"/>
        <v>0</v>
      </c>
      <c r="BJ148" s="725">
        <f t="shared" si="952"/>
        <v>0</v>
      </c>
      <c r="BK148" s="859">
        <f t="shared" ref="BK148:BN148" si="953">BK147-BK110</f>
        <v>0</v>
      </c>
      <c r="BL148" s="859">
        <f t="shared" si="953"/>
        <v>0</v>
      </c>
      <c r="BM148" s="716">
        <f t="shared" si="953"/>
        <v>0</v>
      </c>
      <c r="BN148" s="725">
        <f t="shared" si="953"/>
        <v>0</v>
      </c>
      <c r="BO148" s="85"/>
      <c r="BP148" s="347"/>
      <c r="BQ148" s="347"/>
      <c r="BR148" s="347"/>
      <c r="BS148" s="347"/>
      <c r="BT148" s="347"/>
      <c r="BU148" s="347"/>
      <c r="BV148" s="347"/>
      <c r="BW148" s="347"/>
      <c r="BX148" s="646">
        <f t="shared" ref="BX148:CE148" si="954">BX147-BX110</f>
        <v>0</v>
      </c>
      <c r="BY148" s="646">
        <f t="shared" si="954"/>
        <v>0</v>
      </c>
      <c r="BZ148" s="646">
        <f t="shared" si="954"/>
        <v>0</v>
      </c>
      <c r="CA148" s="646">
        <f t="shared" si="954"/>
        <v>0</v>
      </c>
      <c r="CB148" s="646">
        <f t="shared" si="954"/>
        <v>0</v>
      </c>
      <c r="CC148" s="646">
        <f t="shared" si="954"/>
        <v>0</v>
      </c>
      <c r="CD148" s="646">
        <f t="shared" si="954"/>
        <v>0</v>
      </c>
      <c r="CE148" s="646">
        <f t="shared" si="954"/>
        <v>0</v>
      </c>
    </row>
    <row r="149" spans="1:83">
      <c r="B149" s="84"/>
      <c r="C149" s="361"/>
      <c r="D149" s="84"/>
      <c r="E149" s="84"/>
      <c r="F149" s="362"/>
      <c r="G149" s="84"/>
      <c r="H149" s="84"/>
      <c r="I149" s="84"/>
      <c r="J149" s="84"/>
      <c r="K149" s="361"/>
      <c r="L149" s="84"/>
      <c r="M149" s="84"/>
      <c r="N149" s="362"/>
      <c r="O149" s="84"/>
      <c r="P149" s="84"/>
      <c r="Q149" s="84"/>
      <c r="R149" s="84"/>
      <c r="S149" s="361"/>
      <c r="T149" s="84"/>
      <c r="U149" s="84"/>
      <c r="V149" s="362"/>
      <c r="W149" s="84"/>
      <c r="X149" s="84"/>
      <c r="Y149" s="84"/>
      <c r="Z149" s="84"/>
      <c r="AA149" s="361"/>
      <c r="AB149" s="84"/>
      <c r="AC149" s="84"/>
      <c r="AD149" s="362"/>
      <c r="AE149" s="84"/>
      <c r="AF149" s="84"/>
      <c r="AG149" s="84"/>
      <c r="AH149" s="84"/>
      <c r="AI149" s="361"/>
      <c r="AJ149" s="84"/>
      <c r="AK149" s="84"/>
      <c r="AL149" s="362"/>
      <c r="AM149" s="361"/>
      <c r="AN149" s="84"/>
      <c r="AP149" s="362"/>
      <c r="AQ149" s="14"/>
      <c r="AT149" s="362"/>
      <c r="BF149" s="16"/>
      <c r="BJ149" s="16"/>
      <c r="BN149" s="16"/>
      <c r="CE149" s="925"/>
    </row>
    <row r="150" spans="1:83">
      <c r="B150" s="377" t="s">
        <v>247</v>
      </c>
      <c r="C150" s="361"/>
      <c r="D150" s="84"/>
      <c r="E150" s="84"/>
      <c r="F150" s="362"/>
      <c r="G150" s="84"/>
      <c r="H150" s="84"/>
      <c r="I150" s="84"/>
      <c r="J150" s="84"/>
      <c r="K150" s="361"/>
      <c r="L150" s="84"/>
      <c r="M150" s="84"/>
      <c r="N150" s="362"/>
      <c r="O150" s="84"/>
      <c r="P150" s="84"/>
      <c r="Q150" s="84"/>
      <c r="R150" s="84"/>
      <c r="S150" s="361"/>
      <c r="T150" s="84"/>
      <c r="U150" s="84"/>
      <c r="V150" s="362"/>
      <c r="W150" s="84"/>
      <c r="X150" s="84"/>
      <c r="Y150" s="84"/>
      <c r="Z150" s="84"/>
      <c r="AA150" s="361"/>
      <c r="AB150" s="84"/>
      <c r="AC150" s="84"/>
      <c r="AD150" s="362"/>
      <c r="AE150" s="84"/>
      <c r="AF150" s="84"/>
      <c r="AG150" s="84"/>
      <c r="AH150" s="84"/>
      <c r="AI150" s="361"/>
      <c r="AJ150" s="84"/>
      <c r="AK150" s="84"/>
      <c r="AL150" s="362"/>
      <c r="AM150" s="361"/>
      <c r="AN150" s="84"/>
      <c r="AO150" s="84"/>
      <c r="AP150" s="362"/>
      <c r="AT150" s="362"/>
      <c r="BF150" s="16"/>
      <c r="BJ150" s="16"/>
      <c r="BN150" s="16"/>
      <c r="CE150" s="925"/>
    </row>
    <row r="151" spans="1:83">
      <c r="B151" s="84" t="s">
        <v>231</v>
      </c>
      <c r="C151" s="463"/>
      <c r="D151" s="464"/>
      <c r="E151" s="464"/>
      <c r="F151" s="465"/>
      <c r="G151" s="464"/>
      <c r="H151" s="464"/>
      <c r="I151" s="464"/>
      <c r="J151" s="464"/>
      <c r="K151" s="463"/>
      <c r="L151" s="464"/>
      <c r="M151" s="464"/>
      <c r="N151" s="465"/>
      <c r="O151" s="464"/>
      <c r="P151" s="464"/>
      <c r="Q151" s="464"/>
      <c r="R151" s="464"/>
      <c r="S151" s="463"/>
      <c r="T151" s="464"/>
      <c r="U151" s="464"/>
      <c r="V151" s="465"/>
      <c r="W151" s="190">
        <v>0.45</v>
      </c>
      <c r="X151" s="190">
        <v>0.45</v>
      </c>
      <c r="Y151" s="190">
        <v>0.45</v>
      </c>
      <c r="Z151" s="190">
        <v>0.45</v>
      </c>
      <c r="AA151" s="383">
        <v>0.45</v>
      </c>
      <c r="AB151" s="190">
        <v>0.45</v>
      </c>
      <c r="AC151" s="190">
        <v>0.45</v>
      </c>
      <c r="AD151" s="384">
        <v>0.45</v>
      </c>
      <c r="AE151" s="190">
        <v>0.45</v>
      </c>
      <c r="AF151" s="190">
        <v>0.45</v>
      </c>
      <c r="AG151" s="190">
        <v>0.45</v>
      </c>
      <c r="AH151" s="190">
        <v>0.45</v>
      </c>
      <c r="AI151" s="383">
        <v>0.45</v>
      </c>
      <c r="AJ151" s="190">
        <v>0.4</v>
      </c>
      <c r="AK151" s="190">
        <v>0.4</v>
      </c>
      <c r="AL151" s="384">
        <v>0.4</v>
      </c>
      <c r="AM151" s="383">
        <v>0.4</v>
      </c>
      <c r="AN151" s="190">
        <v>0.4</v>
      </c>
      <c r="AO151" s="190">
        <v>0.4</v>
      </c>
      <c r="AP151" s="384">
        <v>0.4</v>
      </c>
      <c r="AQ151" s="190">
        <v>0.45</v>
      </c>
      <c r="AR151" s="190">
        <v>0.45</v>
      </c>
      <c r="AS151" s="190">
        <v>0.45</v>
      </c>
      <c r="AT151" s="384">
        <v>0.45</v>
      </c>
      <c r="AU151" s="686"/>
      <c r="AV151" s="686"/>
      <c r="AW151" s="752"/>
      <c r="AX151" s="797"/>
      <c r="AY151" s="752"/>
      <c r="AZ151" s="752"/>
      <c r="BA151" s="686"/>
      <c r="BB151" s="797"/>
      <c r="BC151" s="752"/>
      <c r="BD151" s="752"/>
      <c r="BE151" s="686"/>
      <c r="BF151" s="687"/>
      <c r="BG151" s="752"/>
      <c r="BH151" s="752"/>
      <c r="BI151" s="686"/>
      <c r="BJ151" s="687"/>
      <c r="BK151" s="752"/>
      <c r="BL151" s="752"/>
      <c r="BM151" s="686"/>
      <c r="BN151" s="687"/>
      <c r="CE151" s="925"/>
    </row>
    <row r="152" spans="1:83">
      <c r="B152" s="84" t="s">
        <v>232</v>
      </c>
      <c r="C152" s="463"/>
      <c r="D152" s="464"/>
      <c r="E152" s="464"/>
      <c r="F152" s="465"/>
      <c r="G152" s="464"/>
      <c r="H152" s="464"/>
      <c r="I152" s="464"/>
      <c r="J152" s="464"/>
      <c r="K152" s="463"/>
      <c r="L152" s="464"/>
      <c r="M152" s="464"/>
      <c r="N152" s="465"/>
      <c r="O152" s="464"/>
      <c r="P152" s="464"/>
      <c r="Q152" s="464"/>
      <c r="R152" s="464"/>
      <c r="S152" s="463"/>
      <c r="T152" s="464"/>
      <c r="U152" s="464"/>
      <c r="V152" s="465"/>
      <c r="W152" s="190">
        <v>0.55000000000000004</v>
      </c>
      <c r="X152" s="190">
        <v>0.55000000000000004</v>
      </c>
      <c r="Y152" s="190">
        <v>0.55000000000000004</v>
      </c>
      <c r="Z152" s="190">
        <v>0.55000000000000004</v>
      </c>
      <c r="AA152" s="383">
        <v>0.55000000000000004</v>
      </c>
      <c r="AB152" s="190">
        <v>0.55000000000000004</v>
      </c>
      <c r="AC152" s="190">
        <v>0.55000000000000004</v>
      </c>
      <c r="AD152" s="384">
        <v>0.55000000000000004</v>
      </c>
      <c r="AE152" s="190">
        <v>0.55000000000000004</v>
      </c>
      <c r="AF152" s="190">
        <v>0.55000000000000004</v>
      </c>
      <c r="AG152" s="190">
        <v>0.55000000000000004</v>
      </c>
      <c r="AH152" s="190">
        <v>0.55000000000000004</v>
      </c>
      <c r="AI152" s="383">
        <v>0.45</v>
      </c>
      <c r="AJ152" s="190">
        <v>0.4</v>
      </c>
      <c r="AK152" s="190">
        <v>0.4</v>
      </c>
      <c r="AL152" s="384">
        <v>0.4</v>
      </c>
      <c r="AM152" s="383">
        <v>0.4</v>
      </c>
      <c r="AN152" s="190">
        <v>0.4</v>
      </c>
      <c r="AO152" s="190">
        <v>0.4</v>
      </c>
      <c r="AP152" s="384">
        <v>0.4</v>
      </c>
      <c r="AQ152" s="190">
        <v>0.45</v>
      </c>
      <c r="AR152" s="190">
        <v>0.45</v>
      </c>
      <c r="AS152" s="190">
        <v>0.45</v>
      </c>
      <c r="AT152" s="384">
        <v>0.45</v>
      </c>
      <c r="AU152" s="686"/>
      <c r="AV152" s="686"/>
      <c r="AW152" s="752"/>
      <c r="AX152" s="797"/>
      <c r="AY152" s="752"/>
      <c r="AZ152" s="752"/>
      <c r="BA152" s="686"/>
      <c r="BB152" s="797"/>
      <c r="BC152" s="752"/>
      <c r="BD152" s="752"/>
      <c r="BE152" s="686"/>
      <c r="BF152" s="687"/>
      <c r="BG152" s="752"/>
      <c r="BH152" s="752"/>
      <c r="BI152" s="686"/>
      <c r="BJ152" s="687"/>
      <c r="BK152" s="752"/>
      <c r="BL152" s="752"/>
      <c r="BM152" s="686"/>
      <c r="BN152" s="687"/>
      <c r="CE152" s="925"/>
    </row>
    <row r="153" spans="1:83">
      <c r="B153" s="84" t="s">
        <v>233</v>
      </c>
      <c r="C153" s="463"/>
      <c r="D153" s="464"/>
      <c r="E153" s="464"/>
      <c r="F153" s="465"/>
      <c r="G153" s="464"/>
      <c r="H153" s="464"/>
      <c r="I153" s="464"/>
      <c r="J153" s="464"/>
      <c r="K153" s="463"/>
      <c r="L153" s="464"/>
      <c r="M153" s="464"/>
      <c r="N153" s="465"/>
      <c r="O153" s="464"/>
      <c r="P153" s="464"/>
      <c r="Q153" s="464"/>
      <c r="R153" s="464"/>
      <c r="S153" s="463"/>
      <c r="T153" s="464"/>
      <c r="U153" s="464"/>
      <c r="V153" s="465"/>
      <c r="W153" s="190">
        <v>0.55000000000000004</v>
      </c>
      <c r="X153" s="190">
        <v>0.55000000000000004</v>
      </c>
      <c r="Y153" s="190">
        <v>0.55000000000000004</v>
      </c>
      <c r="Z153" s="190">
        <v>0.55000000000000004</v>
      </c>
      <c r="AA153" s="383">
        <v>0.55000000000000004</v>
      </c>
      <c r="AB153" s="190">
        <v>0.55000000000000004</v>
      </c>
      <c r="AC153" s="190">
        <v>0.55000000000000004</v>
      </c>
      <c r="AD153" s="384">
        <v>0.55000000000000004</v>
      </c>
      <c r="AE153" s="190">
        <v>0.55000000000000004</v>
      </c>
      <c r="AF153" s="190">
        <v>0.55000000000000004</v>
      </c>
      <c r="AG153" s="190">
        <v>0.55000000000000004</v>
      </c>
      <c r="AH153" s="190">
        <v>0.55000000000000004</v>
      </c>
      <c r="AI153" s="383">
        <v>0.45</v>
      </c>
      <c r="AJ153" s="190">
        <v>0.4</v>
      </c>
      <c r="AK153" s="190">
        <v>0.4</v>
      </c>
      <c r="AL153" s="384">
        <v>0.4</v>
      </c>
      <c r="AM153" s="383">
        <v>0.4</v>
      </c>
      <c r="AN153" s="190">
        <v>0.4</v>
      </c>
      <c r="AO153" s="190">
        <v>0.4</v>
      </c>
      <c r="AP153" s="384">
        <v>0.4</v>
      </c>
      <c r="AQ153" s="190">
        <v>0.45</v>
      </c>
      <c r="AR153" s="190">
        <v>0.45</v>
      </c>
      <c r="AS153" s="190">
        <v>0.45</v>
      </c>
      <c r="AT153" s="384">
        <v>0.45</v>
      </c>
      <c r="AU153" s="686"/>
      <c r="AV153" s="686"/>
      <c r="AW153" s="752"/>
      <c r="AX153" s="797"/>
      <c r="AY153" s="890"/>
      <c r="AZ153" s="752"/>
      <c r="BA153" s="720"/>
      <c r="BB153" s="797"/>
      <c r="BC153" s="890"/>
      <c r="BD153" s="752"/>
      <c r="BE153" s="720"/>
      <c r="BF153" s="726"/>
      <c r="BG153" s="890"/>
      <c r="BH153" s="752"/>
      <c r="BI153" s="720"/>
      <c r="BJ153" s="726"/>
      <c r="BK153" s="890"/>
      <c r="BL153" s="752"/>
      <c r="BM153" s="720"/>
      <c r="BN153" s="726"/>
      <c r="CE153" s="925"/>
    </row>
    <row r="154" spans="1:83">
      <c r="B154" s="411" t="s">
        <v>237</v>
      </c>
      <c r="C154" s="466"/>
      <c r="D154" s="467"/>
      <c r="E154" s="467"/>
      <c r="F154" s="468"/>
      <c r="G154" s="467"/>
      <c r="H154" s="467"/>
      <c r="I154" s="467"/>
      <c r="J154" s="467"/>
      <c r="K154" s="466"/>
      <c r="L154" s="467"/>
      <c r="M154" s="467"/>
      <c r="N154" s="468"/>
      <c r="O154" s="467"/>
      <c r="P154" s="467"/>
      <c r="Q154" s="467"/>
      <c r="R154" s="467"/>
      <c r="S154" s="466"/>
      <c r="T154" s="467"/>
      <c r="U154" s="467"/>
      <c r="V154" s="468"/>
      <c r="W154" s="467">
        <f t="shared" ref="W154:AT154" si="955">W169/W127</f>
        <v>0.45</v>
      </c>
      <c r="X154" s="467">
        <f t="shared" si="955"/>
        <v>0.45</v>
      </c>
      <c r="Y154" s="467">
        <f t="shared" si="955"/>
        <v>0.45</v>
      </c>
      <c r="Z154" s="467">
        <f t="shared" si="955"/>
        <v>0.45</v>
      </c>
      <c r="AA154" s="466">
        <f t="shared" si="955"/>
        <v>0.51249999999999996</v>
      </c>
      <c r="AB154" s="467">
        <f t="shared" si="955"/>
        <v>0.50454545454545452</v>
      </c>
      <c r="AC154" s="467">
        <f t="shared" si="955"/>
        <v>0.5115384615384615</v>
      </c>
      <c r="AD154" s="468">
        <f t="shared" si="955"/>
        <v>0.49500000000000005</v>
      </c>
      <c r="AE154" s="467">
        <f t="shared" si="955"/>
        <v>0.5</v>
      </c>
      <c r="AF154" s="467">
        <f t="shared" si="955"/>
        <v>0.52058823529411768</v>
      </c>
      <c r="AG154" s="467">
        <f t="shared" si="955"/>
        <v>0.53</v>
      </c>
      <c r="AH154" s="467">
        <f t="shared" si="955"/>
        <v>0.52104247104247103</v>
      </c>
      <c r="AI154" s="466">
        <f t="shared" si="955"/>
        <v>0.45</v>
      </c>
      <c r="AJ154" s="467">
        <f t="shared" si="955"/>
        <v>0.4</v>
      </c>
      <c r="AK154" s="467">
        <f t="shared" si="955"/>
        <v>0.4</v>
      </c>
      <c r="AL154" s="468">
        <f t="shared" si="955"/>
        <v>0.4</v>
      </c>
      <c r="AM154" s="466">
        <f t="shared" si="955"/>
        <v>0.4</v>
      </c>
      <c r="AN154" s="467">
        <f t="shared" si="955"/>
        <v>0.4</v>
      </c>
      <c r="AO154" s="467">
        <f t="shared" si="955"/>
        <v>0.4</v>
      </c>
      <c r="AP154" s="468">
        <f t="shared" si="955"/>
        <v>0.4</v>
      </c>
      <c r="AQ154" s="467">
        <f t="shared" si="955"/>
        <v>0.45</v>
      </c>
      <c r="AR154" s="467">
        <f t="shared" si="955"/>
        <v>0.45</v>
      </c>
      <c r="AS154" s="467">
        <f t="shared" si="955"/>
        <v>0.45</v>
      </c>
      <c r="AT154" s="468">
        <f t="shared" si="955"/>
        <v>0.45</v>
      </c>
      <c r="AU154" s="694"/>
      <c r="AV154" s="694"/>
      <c r="AW154" s="694"/>
      <c r="AX154" s="695"/>
      <c r="AY154" s="717"/>
      <c r="AZ154" s="694"/>
      <c r="BA154" s="717"/>
      <c r="BB154" s="695"/>
      <c r="BC154" s="717"/>
      <c r="BD154" s="694"/>
      <c r="BE154" s="717"/>
      <c r="BF154" s="727"/>
      <c r="BG154" s="717"/>
      <c r="BH154" s="694"/>
      <c r="BI154" s="717"/>
      <c r="BJ154" s="727"/>
      <c r="BK154" s="717"/>
      <c r="BL154" s="694"/>
      <c r="BM154" s="717"/>
      <c r="BN154" s="727"/>
      <c r="BP154" s="254"/>
      <c r="BQ154" s="254"/>
      <c r="BR154" s="254"/>
      <c r="BS154" s="254"/>
      <c r="BT154" s="254"/>
      <c r="BU154" s="254"/>
      <c r="BV154" s="254"/>
      <c r="BW154" s="254"/>
      <c r="BX154" s="254"/>
      <c r="BY154" s="254"/>
      <c r="BZ154" s="254"/>
      <c r="CA154" s="254"/>
      <c r="CB154" s="254"/>
      <c r="CC154" s="254"/>
      <c r="CD154" s="254"/>
      <c r="CE154" s="254"/>
    </row>
    <row r="155" spans="1:83">
      <c r="B155" s="84"/>
      <c r="C155" s="361"/>
      <c r="D155" s="84"/>
      <c r="E155" s="84"/>
      <c r="F155" s="362"/>
      <c r="G155" s="84"/>
      <c r="H155" s="84"/>
      <c r="I155" s="84"/>
      <c r="J155" s="84"/>
      <c r="K155" s="361"/>
      <c r="L155" s="84"/>
      <c r="M155" s="84"/>
      <c r="N155" s="362"/>
      <c r="O155" s="84"/>
      <c r="P155" s="84"/>
      <c r="Q155" s="84"/>
      <c r="R155" s="84"/>
      <c r="S155" s="361"/>
      <c r="T155" s="84"/>
      <c r="U155" s="84"/>
      <c r="V155" s="362"/>
      <c r="W155" s="84"/>
      <c r="X155" s="84"/>
      <c r="Y155" s="84"/>
      <c r="Z155" s="84"/>
      <c r="AA155" s="361"/>
      <c r="AB155" s="84"/>
      <c r="AC155" s="84"/>
      <c r="AD155" s="362"/>
      <c r="AE155" s="84"/>
      <c r="AF155" s="84"/>
      <c r="AG155" s="84"/>
      <c r="AH155" s="84"/>
      <c r="AI155" s="361"/>
      <c r="AJ155" s="84"/>
      <c r="AK155" s="84"/>
      <c r="AL155" s="362"/>
      <c r="AM155" s="361"/>
      <c r="AN155" s="84"/>
      <c r="AO155" s="84"/>
      <c r="AP155" s="362"/>
      <c r="AQ155" s="84"/>
      <c r="AR155" s="84"/>
      <c r="AS155" s="84"/>
      <c r="AT155" s="362"/>
      <c r="AU155" s="84"/>
      <c r="BF155" s="16"/>
      <c r="BJ155" s="16"/>
      <c r="BN155" s="16"/>
      <c r="CE155" s="925"/>
    </row>
    <row r="156" spans="1:83">
      <c r="B156" s="84" t="s">
        <v>234</v>
      </c>
      <c r="C156" s="463"/>
      <c r="D156" s="464"/>
      <c r="E156" s="464"/>
      <c r="F156" s="465"/>
      <c r="G156" s="464"/>
      <c r="H156" s="464"/>
      <c r="I156" s="464"/>
      <c r="J156" s="464"/>
      <c r="K156" s="463"/>
      <c r="L156" s="464"/>
      <c r="M156" s="464"/>
      <c r="N156" s="465"/>
      <c r="O156" s="464"/>
      <c r="P156" s="464"/>
      <c r="Q156" s="464"/>
      <c r="R156" s="464"/>
      <c r="S156" s="463"/>
      <c r="T156" s="464"/>
      <c r="U156" s="464"/>
      <c r="V156" s="465"/>
      <c r="W156" s="190">
        <v>0.4</v>
      </c>
      <c r="X156" s="190">
        <v>0.4</v>
      </c>
      <c r="Y156" s="190">
        <v>0.4</v>
      </c>
      <c r="Z156" s="190">
        <v>0.4</v>
      </c>
      <c r="AA156" s="383">
        <v>0.4</v>
      </c>
      <c r="AB156" s="190">
        <v>0.4</v>
      </c>
      <c r="AC156" s="190">
        <v>0.4</v>
      </c>
      <c r="AD156" s="384">
        <v>0.4</v>
      </c>
      <c r="AE156" s="190">
        <v>0.4</v>
      </c>
      <c r="AF156" s="190">
        <v>0.4</v>
      </c>
      <c r="AG156" s="190">
        <v>0.4</v>
      </c>
      <c r="AH156" s="190">
        <v>0.4</v>
      </c>
      <c r="AI156" s="383">
        <v>0.4</v>
      </c>
      <c r="AJ156" s="190">
        <v>0.4</v>
      </c>
      <c r="AK156" s="190">
        <v>0.4</v>
      </c>
      <c r="AL156" s="384">
        <v>0.4</v>
      </c>
      <c r="AM156" s="383">
        <v>0.4</v>
      </c>
      <c r="AN156" s="190">
        <v>0.4</v>
      </c>
      <c r="AO156" s="190">
        <v>0.35</v>
      </c>
      <c r="AP156" s="384">
        <v>0.35</v>
      </c>
      <c r="AQ156" s="190">
        <v>0.4</v>
      </c>
      <c r="AR156" s="190">
        <v>0.4</v>
      </c>
      <c r="AS156" s="190">
        <v>0.4</v>
      </c>
      <c r="AT156" s="384">
        <v>0.4</v>
      </c>
      <c r="AU156" s="686"/>
      <c r="AV156" s="686"/>
      <c r="AW156" s="752"/>
      <c r="AX156" s="797"/>
      <c r="AY156" s="752"/>
      <c r="AZ156" s="752"/>
      <c r="BA156" s="686"/>
      <c r="BB156" s="797"/>
      <c r="BC156" s="752"/>
      <c r="BD156" s="752"/>
      <c r="BE156" s="686"/>
      <c r="BF156" s="687"/>
      <c r="BG156" s="752"/>
      <c r="BH156" s="752"/>
      <c r="BI156" s="686"/>
      <c r="BJ156" s="687"/>
      <c r="BK156" s="752"/>
      <c r="BL156" s="752"/>
      <c r="BM156" s="686"/>
      <c r="BN156" s="687"/>
      <c r="CE156" s="925"/>
    </row>
    <row r="157" spans="1:83">
      <c r="B157" s="84" t="s">
        <v>235</v>
      </c>
      <c r="C157" s="463"/>
      <c r="D157" s="464"/>
      <c r="E157" s="464"/>
      <c r="F157" s="465"/>
      <c r="G157" s="464"/>
      <c r="H157" s="464"/>
      <c r="I157" s="464"/>
      <c r="J157" s="464"/>
      <c r="K157" s="463"/>
      <c r="L157" s="464"/>
      <c r="M157" s="464"/>
      <c r="N157" s="465"/>
      <c r="O157" s="464"/>
      <c r="P157" s="464"/>
      <c r="Q157" s="464"/>
      <c r="R157" s="464"/>
      <c r="S157" s="463"/>
      <c r="T157" s="464"/>
      <c r="U157" s="464"/>
      <c r="V157" s="465"/>
      <c r="W157" s="190">
        <v>1</v>
      </c>
      <c r="X157" s="190">
        <v>1</v>
      </c>
      <c r="Y157" s="190">
        <v>1</v>
      </c>
      <c r="Z157" s="190">
        <v>1</v>
      </c>
      <c r="AA157" s="383">
        <v>1</v>
      </c>
      <c r="AB157" s="190">
        <v>1</v>
      </c>
      <c r="AC157" s="190">
        <v>1</v>
      </c>
      <c r="AD157" s="384">
        <v>1</v>
      </c>
      <c r="AE157" s="190">
        <v>1</v>
      </c>
      <c r="AF157" s="190">
        <v>1</v>
      </c>
      <c r="AG157" s="190">
        <v>1</v>
      </c>
      <c r="AH157" s="190">
        <v>1</v>
      </c>
      <c r="AI157" s="383">
        <v>1</v>
      </c>
      <c r="AJ157" s="190">
        <v>1</v>
      </c>
      <c r="AK157" s="190">
        <v>1</v>
      </c>
      <c r="AL157" s="384">
        <v>1</v>
      </c>
      <c r="AM157" s="383">
        <v>1</v>
      </c>
      <c r="AN157" s="190">
        <v>1</v>
      </c>
      <c r="AO157" s="190">
        <v>1</v>
      </c>
      <c r="AP157" s="384">
        <v>1</v>
      </c>
      <c r="AQ157" s="190">
        <v>1</v>
      </c>
      <c r="AR157" s="190">
        <v>1</v>
      </c>
      <c r="AS157" s="190">
        <v>1</v>
      </c>
      <c r="AT157" s="384">
        <v>1</v>
      </c>
      <c r="AU157" s="686"/>
      <c r="AV157" s="686"/>
      <c r="AW157" s="752"/>
      <c r="AX157" s="797"/>
      <c r="AY157" s="752"/>
      <c r="AZ157" s="752"/>
      <c r="BA157" s="686"/>
      <c r="BB157" s="797"/>
      <c r="BC157" s="752"/>
      <c r="BD157" s="752"/>
      <c r="BE157" s="686"/>
      <c r="BF157" s="687"/>
      <c r="BG157" s="752"/>
      <c r="BH157" s="752"/>
      <c r="BI157" s="686"/>
      <c r="BJ157" s="687"/>
      <c r="BK157" s="752"/>
      <c r="BL157" s="752"/>
      <c r="BM157" s="686"/>
      <c r="BN157" s="687"/>
      <c r="CE157" s="925"/>
    </row>
    <row r="158" spans="1:83">
      <c r="B158" s="84" t="s">
        <v>253</v>
      </c>
      <c r="C158" s="463"/>
      <c r="D158" s="464"/>
      <c r="E158" s="464"/>
      <c r="F158" s="465"/>
      <c r="G158" s="464"/>
      <c r="H158" s="464"/>
      <c r="I158" s="464"/>
      <c r="J158" s="464"/>
      <c r="K158" s="463"/>
      <c r="L158" s="464"/>
      <c r="M158" s="464"/>
      <c r="N158" s="465"/>
      <c r="O158" s="464"/>
      <c r="P158" s="464"/>
      <c r="Q158" s="464"/>
      <c r="R158" s="464"/>
      <c r="S158" s="463"/>
      <c r="T158" s="464"/>
      <c r="U158" s="464"/>
      <c r="V158" s="465"/>
      <c r="W158" s="190">
        <v>0.3</v>
      </c>
      <c r="X158" s="190">
        <v>0.3</v>
      </c>
      <c r="Y158" s="190">
        <v>0.3</v>
      </c>
      <c r="Z158" s="190">
        <v>0.3</v>
      </c>
      <c r="AA158" s="383">
        <v>0.3</v>
      </c>
      <c r="AB158" s="190">
        <v>0.3</v>
      </c>
      <c r="AC158" s="190">
        <v>0.3</v>
      </c>
      <c r="AD158" s="384">
        <v>0.3</v>
      </c>
      <c r="AE158" s="190">
        <v>0.4</v>
      </c>
      <c r="AF158" s="190">
        <v>0.4</v>
      </c>
      <c r="AG158" s="190">
        <v>0.4</v>
      </c>
      <c r="AH158" s="190">
        <v>0.4</v>
      </c>
      <c r="AI158" s="383">
        <v>0.45</v>
      </c>
      <c r="AJ158" s="190">
        <v>0.45</v>
      </c>
      <c r="AK158" s="190">
        <v>0.45</v>
      </c>
      <c r="AL158" s="384">
        <v>0.45</v>
      </c>
      <c r="AM158" s="383">
        <v>0.45</v>
      </c>
      <c r="AN158" s="190">
        <v>0.45</v>
      </c>
      <c r="AO158" s="190">
        <v>0.4</v>
      </c>
      <c r="AP158" s="384">
        <v>0.4</v>
      </c>
      <c r="AQ158" s="190">
        <v>0.45</v>
      </c>
      <c r="AR158" s="190">
        <v>0.45</v>
      </c>
      <c r="AS158" s="190">
        <v>0.45</v>
      </c>
      <c r="AT158" s="384">
        <v>0.45</v>
      </c>
      <c r="AU158" s="686"/>
      <c r="AV158" s="686"/>
      <c r="AW158" s="752"/>
      <c r="AX158" s="797"/>
      <c r="AY158" s="752"/>
      <c r="AZ158" s="752"/>
      <c r="BA158" s="686"/>
      <c r="BB158" s="797"/>
      <c r="BC158" s="752"/>
      <c r="BD158" s="752"/>
      <c r="BE158" s="686"/>
      <c r="BF158" s="687"/>
      <c r="BG158" s="752"/>
      <c r="BH158" s="752"/>
      <c r="BI158" s="686"/>
      <c r="BJ158" s="687"/>
      <c r="BK158" s="752"/>
      <c r="BL158" s="752"/>
      <c r="BM158" s="686"/>
      <c r="BN158" s="687"/>
      <c r="CE158" s="925"/>
    </row>
    <row r="159" spans="1:83">
      <c r="B159" s="84" t="s">
        <v>252</v>
      </c>
      <c r="C159" s="463"/>
      <c r="D159" s="464"/>
      <c r="E159" s="464"/>
      <c r="F159" s="465"/>
      <c r="G159" s="464"/>
      <c r="H159" s="464"/>
      <c r="I159" s="464"/>
      <c r="J159" s="464"/>
      <c r="K159" s="463"/>
      <c r="L159" s="464"/>
      <c r="M159" s="464"/>
      <c r="N159" s="465"/>
      <c r="O159" s="464"/>
      <c r="P159" s="464"/>
      <c r="Q159" s="464"/>
      <c r="R159" s="464"/>
      <c r="S159" s="463"/>
      <c r="T159" s="464"/>
      <c r="U159" s="464"/>
      <c r="V159" s="465"/>
      <c r="W159" s="190">
        <v>0.3</v>
      </c>
      <c r="X159" s="190">
        <v>0.3</v>
      </c>
      <c r="Y159" s="190">
        <v>0.3</v>
      </c>
      <c r="Z159" s="190">
        <v>0.3</v>
      </c>
      <c r="AA159" s="383">
        <v>0.3</v>
      </c>
      <c r="AB159" s="190">
        <v>0.3</v>
      </c>
      <c r="AC159" s="190">
        <v>0.3</v>
      </c>
      <c r="AD159" s="384">
        <v>0.3</v>
      </c>
      <c r="AE159" s="190">
        <v>0.4</v>
      </c>
      <c r="AF159" s="190">
        <v>0.4</v>
      </c>
      <c r="AG159" s="190">
        <v>0.4</v>
      </c>
      <c r="AH159" s="190">
        <v>0.4</v>
      </c>
      <c r="AI159" s="383">
        <v>0.45</v>
      </c>
      <c r="AJ159" s="190">
        <v>0.45</v>
      </c>
      <c r="AK159" s="190">
        <v>0.45</v>
      </c>
      <c r="AL159" s="384">
        <v>0.45</v>
      </c>
      <c r="AM159" s="383">
        <v>0.45</v>
      </c>
      <c r="AN159" s="190">
        <v>0.45</v>
      </c>
      <c r="AO159" s="190">
        <v>0.4</v>
      </c>
      <c r="AP159" s="384">
        <v>0.4</v>
      </c>
      <c r="AQ159" s="190">
        <v>0.45</v>
      </c>
      <c r="AR159" s="190">
        <v>0.45</v>
      </c>
      <c r="AS159" s="190">
        <v>0.45</v>
      </c>
      <c r="AT159" s="384">
        <v>0.45</v>
      </c>
      <c r="AU159" s="686"/>
      <c r="AV159" s="686"/>
      <c r="AW159" s="752"/>
      <c r="AX159" s="797"/>
      <c r="AY159" s="752"/>
      <c r="AZ159" s="752"/>
      <c r="BA159" s="686"/>
      <c r="BB159" s="797"/>
      <c r="BC159" s="752"/>
      <c r="BD159" s="752"/>
      <c r="BE159" s="686"/>
      <c r="BF159" s="687"/>
      <c r="BG159" s="752"/>
      <c r="BH159" s="752"/>
      <c r="BI159" s="686"/>
      <c r="BJ159" s="687"/>
      <c r="BK159" s="752"/>
      <c r="BL159" s="752"/>
      <c r="BM159" s="686"/>
      <c r="BN159" s="687"/>
      <c r="CE159" s="925"/>
    </row>
    <row r="160" spans="1:83">
      <c r="B160" s="84"/>
      <c r="C160" s="463"/>
      <c r="D160" s="464"/>
      <c r="E160" s="464"/>
      <c r="F160" s="465"/>
      <c r="G160" s="464"/>
      <c r="H160" s="464"/>
      <c r="I160" s="464"/>
      <c r="J160" s="464"/>
      <c r="K160" s="463"/>
      <c r="L160" s="464"/>
      <c r="M160" s="464"/>
      <c r="N160" s="465"/>
      <c r="O160" s="464"/>
      <c r="P160" s="464"/>
      <c r="Q160" s="464"/>
      <c r="R160" s="464"/>
      <c r="S160" s="463"/>
      <c r="T160" s="464"/>
      <c r="U160" s="464"/>
      <c r="V160" s="465"/>
      <c r="W160" s="464"/>
      <c r="X160" s="464"/>
      <c r="Y160" s="464"/>
      <c r="Z160" s="464"/>
      <c r="AA160" s="463"/>
      <c r="AB160" s="464"/>
      <c r="AC160" s="464"/>
      <c r="AD160" s="465"/>
      <c r="AE160" s="464"/>
      <c r="AF160" s="464"/>
      <c r="AG160" s="464"/>
      <c r="AH160" s="464"/>
      <c r="AI160" s="383"/>
      <c r="AJ160" s="190"/>
      <c r="AK160" s="190"/>
      <c r="AL160" s="384"/>
      <c r="AM160" s="383"/>
      <c r="AN160" s="190"/>
      <c r="AO160" s="190"/>
      <c r="AP160" s="384"/>
      <c r="AQ160" s="190"/>
      <c r="AR160" s="190"/>
      <c r="AS160" s="190"/>
      <c r="AT160" s="384"/>
      <c r="AU160" s="84"/>
      <c r="BF160" s="16"/>
      <c r="BJ160" s="16"/>
      <c r="BN160" s="16"/>
      <c r="CE160" s="925"/>
    </row>
    <row r="161" spans="2:83">
      <c r="B161" s="84" t="s">
        <v>236</v>
      </c>
      <c r="C161" s="463"/>
      <c r="D161" s="464"/>
      <c r="E161" s="464"/>
      <c r="F161" s="465"/>
      <c r="G161" s="464"/>
      <c r="H161" s="464"/>
      <c r="I161" s="464"/>
      <c r="J161" s="464"/>
      <c r="K161" s="463"/>
      <c r="L161" s="464"/>
      <c r="M161" s="464"/>
      <c r="N161" s="465"/>
      <c r="O161" s="464"/>
      <c r="P161" s="464"/>
      <c r="Q161" s="464"/>
      <c r="R161" s="464"/>
      <c r="S161" s="463"/>
      <c r="T161" s="464"/>
      <c r="U161" s="464"/>
      <c r="V161" s="465"/>
      <c r="W161" s="464"/>
      <c r="X161" s="464"/>
      <c r="Y161" s="464"/>
      <c r="Z161" s="464"/>
      <c r="AA161" s="463"/>
      <c r="AB161" s="464"/>
      <c r="AC161" s="464"/>
      <c r="AD161" s="465"/>
      <c r="AE161" s="464"/>
      <c r="AF161" s="464"/>
      <c r="AG161" s="464"/>
      <c r="AH161" s="464"/>
      <c r="AI161" s="383">
        <v>0.45</v>
      </c>
      <c r="AJ161" s="190">
        <v>0.45</v>
      </c>
      <c r="AK161" s="190">
        <v>0.45</v>
      </c>
      <c r="AL161" s="384">
        <v>0.45</v>
      </c>
      <c r="AM161" s="383">
        <v>0.45</v>
      </c>
      <c r="AN161" s="190">
        <v>0.45</v>
      </c>
      <c r="AO161" s="190">
        <v>0.45</v>
      </c>
      <c r="AP161" s="384">
        <v>0.45</v>
      </c>
      <c r="AQ161" s="190">
        <v>0.45</v>
      </c>
      <c r="AR161" s="190">
        <v>0.45</v>
      </c>
      <c r="AS161" s="190">
        <v>0.45</v>
      </c>
      <c r="AT161" s="384">
        <v>0.45</v>
      </c>
      <c r="AU161" s="863">
        <v>0.45</v>
      </c>
      <c r="AV161" s="863">
        <v>0.45</v>
      </c>
      <c r="AW161" s="864">
        <v>0.45</v>
      </c>
      <c r="AX161" s="865">
        <v>0.48</v>
      </c>
      <c r="AY161" s="863">
        <v>0.45</v>
      </c>
      <c r="AZ161" s="863">
        <v>0.45</v>
      </c>
      <c r="BA161" s="864">
        <v>0.45</v>
      </c>
      <c r="BB161" s="865">
        <v>0.48</v>
      </c>
      <c r="BC161" s="863">
        <v>0.45</v>
      </c>
      <c r="BD161" s="863">
        <v>0.45</v>
      </c>
      <c r="BE161" s="864">
        <v>0.45</v>
      </c>
      <c r="BF161" s="865">
        <v>0.45</v>
      </c>
      <c r="BG161" s="863">
        <v>0.45</v>
      </c>
      <c r="BH161" s="863">
        <v>0.45</v>
      </c>
      <c r="BI161" s="864">
        <v>0.45</v>
      </c>
      <c r="BJ161" s="865">
        <v>0.45</v>
      </c>
      <c r="BK161" s="863">
        <v>0.45</v>
      </c>
      <c r="BL161" s="863">
        <v>0.45</v>
      </c>
      <c r="BM161" s="864">
        <v>0.45</v>
      </c>
      <c r="BN161" s="865">
        <v>0.45</v>
      </c>
      <c r="CE161" s="925"/>
    </row>
    <row r="162" spans="2:83">
      <c r="B162" s="84" t="s">
        <v>435</v>
      </c>
      <c r="C162" s="463"/>
      <c r="D162" s="464"/>
      <c r="E162" s="464"/>
      <c r="F162" s="465"/>
      <c r="G162" s="464"/>
      <c r="H162" s="464"/>
      <c r="I162" s="464"/>
      <c r="J162" s="464"/>
      <c r="K162" s="463"/>
      <c r="L162" s="464"/>
      <c r="M162" s="464"/>
      <c r="N162" s="465"/>
      <c r="O162" s="464"/>
      <c r="P162" s="464"/>
      <c r="Q162" s="464"/>
      <c r="R162" s="464"/>
      <c r="S162" s="463"/>
      <c r="T162" s="464"/>
      <c r="U162" s="464"/>
      <c r="V162" s="465"/>
      <c r="W162" s="190"/>
      <c r="X162" s="190"/>
      <c r="Y162" s="190"/>
      <c r="Z162" s="190"/>
      <c r="AA162" s="383"/>
      <c r="AB162" s="190"/>
      <c r="AC162" s="190"/>
      <c r="AD162" s="384"/>
      <c r="AE162" s="190"/>
      <c r="AF162" s="190"/>
      <c r="AG162" s="190"/>
      <c r="AH162" s="190"/>
      <c r="AI162" s="383">
        <v>0.45</v>
      </c>
      <c r="AJ162" s="190">
        <v>0.45</v>
      </c>
      <c r="AK162" s="190">
        <v>0.45</v>
      </c>
      <c r="AL162" s="384">
        <v>0.45</v>
      </c>
      <c r="AM162" s="383">
        <v>0.45</v>
      </c>
      <c r="AN162" s="190">
        <v>0.45</v>
      </c>
      <c r="AO162" s="190">
        <v>0.4</v>
      </c>
      <c r="AP162" s="384">
        <v>0.4</v>
      </c>
      <c r="AQ162" s="190">
        <v>0.45</v>
      </c>
      <c r="AR162" s="190">
        <v>0.45</v>
      </c>
      <c r="AS162" s="190">
        <v>0.45</v>
      </c>
      <c r="AT162" s="384">
        <v>0.45</v>
      </c>
      <c r="AU162" s="863">
        <v>0.45</v>
      </c>
      <c r="AV162" s="863">
        <v>0.45</v>
      </c>
      <c r="AW162" s="864">
        <v>0.45</v>
      </c>
      <c r="AX162" s="865">
        <v>0.48</v>
      </c>
      <c r="AY162" s="863">
        <v>0.45</v>
      </c>
      <c r="AZ162" s="863">
        <v>0.45</v>
      </c>
      <c r="BA162" s="864">
        <v>0.45</v>
      </c>
      <c r="BB162" s="865">
        <v>0.48</v>
      </c>
      <c r="BC162" s="863">
        <v>0.45</v>
      </c>
      <c r="BD162" s="863">
        <v>0.45</v>
      </c>
      <c r="BE162" s="864">
        <v>0.45</v>
      </c>
      <c r="BF162" s="865">
        <v>0.45</v>
      </c>
      <c r="BG162" s="863">
        <v>0.45</v>
      </c>
      <c r="BH162" s="863">
        <v>0.45</v>
      </c>
      <c r="BI162" s="864">
        <v>0.45</v>
      </c>
      <c r="BJ162" s="865">
        <v>0.45</v>
      </c>
      <c r="BK162" s="863">
        <v>0.45</v>
      </c>
      <c r="BL162" s="863">
        <v>0.45</v>
      </c>
      <c r="BM162" s="864">
        <v>0.45</v>
      </c>
      <c r="BN162" s="865">
        <v>0.45</v>
      </c>
      <c r="CE162" s="925"/>
    </row>
    <row r="163" spans="2:83">
      <c r="B163" s="84" t="s">
        <v>434</v>
      </c>
      <c r="C163" s="463"/>
      <c r="D163" s="464"/>
      <c r="E163" s="464"/>
      <c r="F163" s="465"/>
      <c r="G163" s="464"/>
      <c r="H163" s="464"/>
      <c r="I163" s="464"/>
      <c r="J163" s="464"/>
      <c r="K163" s="463"/>
      <c r="L163" s="464"/>
      <c r="M163" s="464"/>
      <c r="N163" s="465"/>
      <c r="O163" s="464"/>
      <c r="P163" s="464"/>
      <c r="Q163" s="464"/>
      <c r="R163" s="464"/>
      <c r="S163" s="463"/>
      <c r="T163" s="464"/>
      <c r="U163" s="464"/>
      <c r="V163" s="465"/>
      <c r="W163" s="190"/>
      <c r="X163" s="190"/>
      <c r="Y163" s="190"/>
      <c r="Z163" s="190"/>
      <c r="AA163" s="383"/>
      <c r="AB163" s="190"/>
      <c r="AC163" s="190"/>
      <c r="AD163" s="384"/>
      <c r="AE163" s="190"/>
      <c r="AF163" s="190"/>
      <c r="AG163" s="190"/>
      <c r="AH163" s="190"/>
      <c r="AI163" s="383">
        <v>0.45</v>
      </c>
      <c r="AJ163" s="190">
        <v>0.45</v>
      </c>
      <c r="AK163" s="190">
        <v>0.45</v>
      </c>
      <c r="AL163" s="384">
        <v>0.45</v>
      </c>
      <c r="AM163" s="383">
        <v>0.45</v>
      </c>
      <c r="AN163" s="190">
        <v>0.45</v>
      </c>
      <c r="AO163" s="190">
        <v>0.4</v>
      </c>
      <c r="AP163" s="384">
        <v>0.4</v>
      </c>
      <c r="AQ163" s="190">
        <v>0.45</v>
      </c>
      <c r="AR163" s="190">
        <v>0.45</v>
      </c>
      <c r="AS163" s="190">
        <v>0.45</v>
      </c>
      <c r="AT163" s="384">
        <v>0.45</v>
      </c>
      <c r="AU163" s="863">
        <v>0.45</v>
      </c>
      <c r="AV163" s="863">
        <v>0.45</v>
      </c>
      <c r="AW163" s="864">
        <v>0.45</v>
      </c>
      <c r="AX163" s="865">
        <v>0.48</v>
      </c>
      <c r="AY163" s="863">
        <v>0.45</v>
      </c>
      <c r="AZ163" s="863">
        <v>0.45</v>
      </c>
      <c r="BA163" s="864">
        <v>0.45</v>
      </c>
      <c r="BB163" s="865">
        <v>0.48</v>
      </c>
      <c r="BC163" s="863">
        <v>0.45</v>
      </c>
      <c r="BD163" s="863">
        <v>0.45</v>
      </c>
      <c r="BE163" s="864">
        <v>0.45</v>
      </c>
      <c r="BF163" s="865">
        <v>0.45</v>
      </c>
      <c r="BG163" s="863">
        <v>0.45</v>
      </c>
      <c r="BH163" s="863">
        <v>0.45</v>
      </c>
      <c r="BI163" s="864">
        <v>0.45</v>
      </c>
      <c r="BJ163" s="865">
        <v>0.45</v>
      </c>
      <c r="BK163" s="863">
        <v>0.45</v>
      </c>
      <c r="BL163" s="863">
        <v>0.45</v>
      </c>
      <c r="BM163" s="864">
        <v>0.45</v>
      </c>
      <c r="BN163" s="865">
        <v>0.45</v>
      </c>
      <c r="CE163" s="925"/>
    </row>
    <row r="164" spans="2:83">
      <c r="B164" s="189"/>
      <c r="C164" s="370"/>
      <c r="D164" s="371"/>
      <c r="E164" s="371"/>
      <c r="F164" s="469"/>
      <c r="G164" s="371"/>
      <c r="H164" s="371"/>
      <c r="I164" s="371"/>
      <c r="J164" s="470"/>
      <c r="K164" s="370"/>
      <c r="L164" s="371"/>
      <c r="M164" s="371"/>
      <c r="N164" s="469"/>
      <c r="O164" s="371"/>
      <c r="P164" s="371"/>
      <c r="Q164" s="371"/>
      <c r="R164" s="470"/>
      <c r="S164" s="370"/>
      <c r="T164" s="371"/>
      <c r="U164" s="371"/>
      <c r="V164" s="469"/>
      <c r="W164" s="371"/>
      <c r="X164" s="371"/>
      <c r="Y164" s="371"/>
      <c r="Z164" s="371"/>
      <c r="AA164" s="370"/>
      <c r="AB164" s="371"/>
      <c r="AC164" s="371"/>
      <c r="AD164" s="372"/>
      <c r="AE164" s="371"/>
      <c r="AF164" s="371"/>
      <c r="AG164" s="371"/>
      <c r="AH164" s="371"/>
      <c r="AI164" s="370"/>
      <c r="AJ164" s="371"/>
      <c r="AK164" s="371"/>
      <c r="AL164" s="372"/>
      <c r="AM164" s="370"/>
      <c r="AN164" s="371"/>
      <c r="AO164" s="371"/>
      <c r="AP164" s="372"/>
      <c r="AQ164" s="371"/>
      <c r="AR164" s="371"/>
      <c r="AS164" s="371"/>
      <c r="AT164" s="372"/>
      <c r="AU164" s="57"/>
      <c r="AV164" s="57"/>
      <c r="AW164" s="750"/>
      <c r="AX164" s="795"/>
      <c r="AY164" s="819"/>
      <c r="AZ164" s="819"/>
      <c r="BA164" s="57"/>
      <c r="BB164" s="795"/>
      <c r="BC164" s="819"/>
      <c r="BD164" s="819"/>
      <c r="BE164" s="57"/>
      <c r="BF164" s="293"/>
      <c r="BG164" s="819"/>
      <c r="BH164" s="819"/>
      <c r="BI164" s="57"/>
      <c r="BJ164" s="293"/>
      <c r="BK164" s="819"/>
      <c r="BL164" s="819"/>
      <c r="BM164" s="57"/>
      <c r="BN164" s="293"/>
      <c r="CE164" s="925"/>
    </row>
    <row r="165" spans="2:83">
      <c r="B165" s="377" t="s">
        <v>248</v>
      </c>
      <c r="C165" s="361"/>
      <c r="D165" s="84"/>
      <c r="E165" s="84"/>
      <c r="F165" s="362"/>
      <c r="G165" s="84"/>
      <c r="H165" s="84"/>
      <c r="I165" s="84"/>
      <c r="J165" s="84"/>
      <c r="K165" s="361"/>
      <c r="L165" s="84"/>
      <c r="M165" s="84"/>
      <c r="N165" s="362"/>
      <c r="O165" s="84"/>
      <c r="P165" s="84"/>
      <c r="Q165" s="84"/>
      <c r="R165" s="84"/>
      <c r="S165" s="361"/>
      <c r="T165" s="84"/>
      <c r="U165" s="84"/>
      <c r="V165" s="362"/>
      <c r="W165" s="84"/>
      <c r="X165" s="84"/>
      <c r="Y165" s="84"/>
      <c r="Z165" s="84"/>
      <c r="AA165" s="361"/>
      <c r="AB165" s="84"/>
      <c r="AC165" s="84"/>
      <c r="AD165" s="362"/>
      <c r="AE165" s="84"/>
      <c r="AF165" s="84"/>
      <c r="AG165" s="84"/>
      <c r="AH165" s="84"/>
      <c r="AI165" s="361"/>
      <c r="AJ165" s="84"/>
      <c r="AK165" s="84"/>
      <c r="AL165" s="362"/>
      <c r="AM165" s="361"/>
      <c r="AN165" s="84"/>
      <c r="AP165" s="362"/>
      <c r="AQ165" s="84"/>
      <c r="AR165" s="84"/>
      <c r="AT165" s="362"/>
      <c r="BF165" s="16"/>
      <c r="BJ165" s="16"/>
      <c r="BN165" s="16"/>
      <c r="CE165" s="925"/>
    </row>
    <row r="166" spans="2:83">
      <c r="B166" s="5" t="s">
        <v>231</v>
      </c>
      <c r="C166" s="306"/>
      <c r="D166" s="64"/>
      <c r="E166" s="64"/>
      <c r="F166" s="199"/>
      <c r="G166" s="64"/>
      <c r="H166" s="64"/>
      <c r="I166" s="64"/>
      <c r="J166" s="64"/>
      <c r="K166" s="306"/>
      <c r="L166" s="64"/>
      <c r="M166" s="64"/>
      <c r="N166" s="199"/>
      <c r="O166" s="64"/>
      <c r="P166" s="64"/>
      <c r="Q166" s="64"/>
      <c r="R166" s="64"/>
      <c r="S166" s="306"/>
      <c r="T166" s="64"/>
      <c r="U166" s="64"/>
      <c r="V166" s="199"/>
      <c r="W166" s="29">
        <f t="shared" ref="W166:AT166" si="956">W124*W151</f>
        <v>2.8035000000000001</v>
      </c>
      <c r="X166" s="29">
        <f t="shared" si="956"/>
        <v>4.8168000000000006</v>
      </c>
      <c r="Y166" s="29">
        <f t="shared" si="956"/>
        <v>9.8702999999999985</v>
      </c>
      <c r="Z166" s="29">
        <f t="shared" si="956"/>
        <v>15.185249999999996</v>
      </c>
      <c r="AA166" s="43">
        <f t="shared" si="956"/>
        <v>13.5</v>
      </c>
      <c r="AB166" s="29">
        <f t="shared" si="956"/>
        <v>22.5</v>
      </c>
      <c r="AC166" s="29">
        <f t="shared" si="956"/>
        <v>22.5</v>
      </c>
      <c r="AD166" s="44">
        <f t="shared" si="956"/>
        <v>12.075525000000003</v>
      </c>
      <c r="AE166" s="29">
        <f t="shared" si="956"/>
        <v>17.009999999999998</v>
      </c>
      <c r="AF166" s="29">
        <f t="shared" si="956"/>
        <v>11.25</v>
      </c>
      <c r="AG166" s="29">
        <f t="shared" si="956"/>
        <v>15.75</v>
      </c>
      <c r="AH166" s="29">
        <f t="shared" si="956"/>
        <v>20.25</v>
      </c>
      <c r="AI166" s="43">
        <f t="shared" si="956"/>
        <v>6.75</v>
      </c>
      <c r="AJ166" s="29">
        <f t="shared" si="956"/>
        <v>0</v>
      </c>
      <c r="AK166" s="29">
        <f t="shared" si="956"/>
        <v>0</v>
      </c>
      <c r="AL166" s="44">
        <f t="shared" si="956"/>
        <v>20</v>
      </c>
      <c r="AM166" s="43">
        <f t="shared" si="956"/>
        <v>16.9696</v>
      </c>
      <c r="AN166" s="29">
        <f t="shared" si="956"/>
        <v>24</v>
      </c>
      <c r="AO166" s="29">
        <f t="shared" si="956"/>
        <v>14.080000000000002</v>
      </c>
      <c r="AP166" s="44">
        <f t="shared" si="956"/>
        <v>7.6000000000000005</v>
      </c>
      <c r="AQ166" s="29">
        <f t="shared" si="956"/>
        <v>2.25</v>
      </c>
      <c r="AR166" s="29">
        <f t="shared" si="956"/>
        <v>2.25</v>
      </c>
      <c r="AS166" s="29">
        <f t="shared" si="956"/>
        <v>1.8</v>
      </c>
      <c r="AT166" s="44">
        <f t="shared" si="956"/>
        <v>0.9</v>
      </c>
      <c r="AU166" s="686"/>
      <c r="AV166" s="686"/>
      <c r="AW166" s="752"/>
      <c r="AX166" s="797"/>
      <c r="AY166" s="752"/>
      <c r="AZ166" s="752"/>
      <c r="BA166" s="686"/>
      <c r="BB166" s="797"/>
      <c r="BC166" s="752"/>
      <c r="BD166" s="752"/>
      <c r="BE166" s="686"/>
      <c r="BF166" s="687"/>
      <c r="BG166" s="752"/>
      <c r="BH166" s="752"/>
      <c r="BI166" s="686"/>
      <c r="BJ166" s="687"/>
      <c r="BK166" s="752"/>
      <c r="BL166" s="752"/>
      <c r="BM166" s="686"/>
      <c r="BN166" s="687"/>
      <c r="BX166" s="29">
        <f>SUM(AI166:AL166)</f>
        <v>26.75</v>
      </c>
      <c r="BY166" s="29">
        <f>SUM(AM166:AP166)</f>
        <v>62.6496</v>
      </c>
      <c r="BZ166" s="29">
        <f>SUM(AQ166:AT166)</f>
        <v>7.2</v>
      </c>
      <c r="CA166" s="29">
        <f t="shared" ref="CA166:CA178" si="957">SUM(AU166:AX166)</f>
        <v>0</v>
      </c>
      <c r="CB166" s="29">
        <f>SUM(AY166:BB166)</f>
        <v>0</v>
      </c>
      <c r="CC166" s="29">
        <f>SUM(BC166:BF166)</f>
        <v>0</v>
      </c>
      <c r="CD166" s="29">
        <f>SUM(BG166:BJ166)</f>
        <v>0</v>
      </c>
      <c r="CE166" s="29">
        <f>SUM(BK166:BN166)</f>
        <v>0</v>
      </c>
    </row>
    <row r="167" spans="2:83">
      <c r="B167" s="5" t="s">
        <v>232</v>
      </c>
      <c r="C167" s="306"/>
      <c r="D167" s="64"/>
      <c r="E167" s="64"/>
      <c r="F167" s="199"/>
      <c r="G167" s="64"/>
      <c r="H167" s="64"/>
      <c r="I167" s="64"/>
      <c r="J167" s="64"/>
      <c r="K167" s="306"/>
      <c r="L167" s="64"/>
      <c r="M167" s="64"/>
      <c r="N167" s="199"/>
      <c r="O167" s="64"/>
      <c r="P167" s="64"/>
      <c r="Q167" s="64"/>
      <c r="R167" s="64"/>
      <c r="S167" s="306"/>
      <c r="T167" s="64"/>
      <c r="U167" s="64"/>
      <c r="V167" s="199"/>
      <c r="W167" s="29">
        <f t="shared" ref="W167:AT167" si="958">W125*W152</f>
        <v>0</v>
      </c>
      <c r="X167" s="29">
        <f t="shared" si="958"/>
        <v>0</v>
      </c>
      <c r="Y167" s="29">
        <f t="shared" si="958"/>
        <v>0</v>
      </c>
      <c r="Z167" s="29">
        <f t="shared" si="958"/>
        <v>0</v>
      </c>
      <c r="AA167" s="43">
        <f t="shared" si="958"/>
        <v>27.500000000000004</v>
      </c>
      <c r="AB167" s="29">
        <f t="shared" si="958"/>
        <v>33</v>
      </c>
      <c r="AC167" s="29">
        <f t="shared" si="958"/>
        <v>44</v>
      </c>
      <c r="AD167" s="44">
        <f t="shared" si="958"/>
        <v>12.075525000000001</v>
      </c>
      <c r="AE167" s="29">
        <f t="shared" si="958"/>
        <v>20.79</v>
      </c>
      <c r="AF167" s="29">
        <f t="shared" si="958"/>
        <v>22</v>
      </c>
      <c r="AG167" s="29">
        <f t="shared" si="958"/>
        <v>38.5</v>
      </c>
      <c r="AH167" s="29">
        <f t="shared" si="958"/>
        <v>19.25</v>
      </c>
      <c r="AI167" s="43">
        <f t="shared" si="958"/>
        <v>9</v>
      </c>
      <c r="AJ167" s="29">
        <f t="shared" si="958"/>
        <v>2</v>
      </c>
      <c r="AK167" s="29">
        <f t="shared" si="958"/>
        <v>15</v>
      </c>
      <c r="AL167" s="44">
        <f t="shared" si="958"/>
        <v>8</v>
      </c>
      <c r="AM167" s="43">
        <f t="shared" si="958"/>
        <v>11.200000000000001</v>
      </c>
      <c r="AN167" s="29">
        <f t="shared" si="958"/>
        <v>12</v>
      </c>
      <c r="AO167" s="29">
        <f t="shared" si="958"/>
        <v>23.200000000000003</v>
      </c>
      <c r="AP167" s="44">
        <f t="shared" si="958"/>
        <v>6</v>
      </c>
      <c r="AQ167" s="29">
        <f t="shared" si="958"/>
        <v>2.25</v>
      </c>
      <c r="AR167" s="29">
        <f t="shared" si="958"/>
        <v>2.25</v>
      </c>
      <c r="AS167" s="29">
        <f t="shared" si="958"/>
        <v>1.8</v>
      </c>
      <c r="AT167" s="44">
        <f t="shared" si="958"/>
        <v>0.9</v>
      </c>
      <c r="AU167" s="686"/>
      <c r="AV167" s="686"/>
      <c r="AW167" s="752"/>
      <c r="AX167" s="797"/>
      <c r="AY167" s="752"/>
      <c r="AZ167" s="752"/>
      <c r="BA167" s="686"/>
      <c r="BB167" s="797"/>
      <c r="BC167" s="752"/>
      <c r="BD167" s="752"/>
      <c r="BE167" s="686"/>
      <c r="BF167" s="687"/>
      <c r="BG167" s="752"/>
      <c r="BH167" s="752"/>
      <c r="BI167" s="686"/>
      <c r="BJ167" s="687"/>
      <c r="BK167" s="752"/>
      <c r="BL167" s="752"/>
      <c r="BM167" s="686"/>
      <c r="BN167" s="687"/>
      <c r="BX167" s="29">
        <f t="shared" ref="BX167:BX176" si="959">SUM(AI167:AL167)</f>
        <v>34</v>
      </c>
      <c r="BY167" s="29">
        <f t="shared" ref="BY167:BY176" si="960">SUM(AM167:AP167)</f>
        <v>52.400000000000006</v>
      </c>
      <c r="BZ167" s="29">
        <f t="shared" ref="BZ167:BZ176" si="961">SUM(AQ167:AT167)</f>
        <v>7.2</v>
      </c>
      <c r="CA167" s="29">
        <f t="shared" si="957"/>
        <v>0</v>
      </c>
      <c r="CB167" s="29">
        <f>SUM(AY167:BB167)</f>
        <v>0</v>
      </c>
      <c r="CC167" s="29">
        <f t="shared" ref="CC167:CC168" si="962">SUM(BC167:BF167)</f>
        <v>0</v>
      </c>
      <c r="CD167" s="29">
        <f t="shared" ref="CD167:CD168" si="963">SUM(BG167:BJ167)</f>
        <v>0</v>
      </c>
      <c r="CE167" s="29">
        <f>SUM(BK167:BN167)</f>
        <v>0</v>
      </c>
    </row>
    <row r="168" spans="2:83">
      <c r="B168" s="5" t="s">
        <v>233</v>
      </c>
      <c r="C168" s="306"/>
      <c r="D168" s="64"/>
      <c r="E168" s="64"/>
      <c r="F168" s="199"/>
      <c r="G168" s="64"/>
      <c r="H168" s="64"/>
      <c r="I168" s="64"/>
      <c r="J168" s="64"/>
      <c r="K168" s="306"/>
      <c r="L168" s="64"/>
      <c r="M168" s="64"/>
      <c r="N168" s="199"/>
      <c r="O168" s="64"/>
      <c r="P168" s="64"/>
      <c r="Q168" s="64"/>
      <c r="R168" s="64"/>
      <c r="S168" s="306"/>
      <c r="T168" s="64"/>
      <c r="U168" s="64"/>
      <c r="V168" s="199"/>
      <c r="W168" s="29">
        <f t="shared" ref="W168:AT168" si="964">W126*W153</f>
        <v>0</v>
      </c>
      <c r="X168" s="29">
        <f t="shared" si="964"/>
        <v>0</v>
      </c>
      <c r="Y168" s="29">
        <f t="shared" si="964"/>
        <v>0</v>
      </c>
      <c r="Z168" s="29">
        <f t="shared" si="964"/>
        <v>0</v>
      </c>
      <c r="AA168" s="43">
        <f t="shared" si="964"/>
        <v>0</v>
      </c>
      <c r="AB168" s="29">
        <f t="shared" si="964"/>
        <v>0</v>
      </c>
      <c r="AC168" s="29">
        <f t="shared" si="964"/>
        <v>0</v>
      </c>
      <c r="AD168" s="44">
        <f t="shared" si="964"/>
        <v>0</v>
      </c>
      <c r="AE168" s="29">
        <f t="shared" si="964"/>
        <v>0</v>
      </c>
      <c r="AF168" s="29">
        <f t="shared" si="964"/>
        <v>11</v>
      </c>
      <c r="AG168" s="29">
        <f t="shared" si="964"/>
        <v>38.5</v>
      </c>
      <c r="AH168" s="29">
        <f t="shared" si="964"/>
        <v>41.470000000000006</v>
      </c>
      <c r="AI168" s="43">
        <f t="shared" si="964"/>
        <v>1.8</v>
      </c>
      <c r="AJ168" s="29">
        <f t="shared" si="964"/>
        <v>0</v>
      </c>
      <c r="AK168" s="29">
        <f t="shared" si="964"/>
        <v>10</v>
      </c>
      <c r="AL168" s="44">
        <f t="shared" si="964"/>
        <v>5.2</v>
      </c>
      <c r="AM168" s="43">
        <f t="shared" si="964"/>
        <v>4</v>
      </c>
      <c r="AN168" s="29">
        <f t="shared" si="964"/>
        <v>4</v>
      </c>
      <c r="AO168" s="29">
        <f t="shared" si="964"/>
        <v>0</v>
      </c>
      <c r="AP168" s="44">
        <f t="shared" si="964"/>
        <v>0</v>
      </c>
      <c r="AQ168" s="29">
        <f t="shared" si="964"/>
        <v>0</v>
      </c>
      <c r="AR168" s="29">
        <f t="shared" si="964"/>
        <v>0</v>
      </c>
      <c r="AS168" s="29">
        <f t="shared" si="964"/>
        <v>0</v>
      </c>
      <c r="AT168" s="44">
        <f t="shared" si="964"/>
        <v>0</v>
      </c>
      <c r="AU168" s="686"/>
      <c r="AV168" s="686"/>
      <c r="AW168" s="752"/>
      <c r="AX168" s="797"/>
      <c r="AY168" s="890"/>
      <c r="AZ168" s="752"/>
      <c r="BA168" s="720"/>
      <c r="BB168" s="797"/>
      <c r="BC168" s="890"/>
      <c r="BD168" s="752"/>
      <c r="BE168" s="720"/>
      <c r="BF168" s="726"/>
      <c r="BG168" s="890"/>
      <c r="BH168" s="752"/>
      <c r="BI168" s="720"/>
      <c r="BJ168" s="726"/>
      <c r="BK168" s="890"/>
      <c r="BL168" s="752"/>
      <c r="BM168" s="720"/>
      <c r="BN168" s="726"/>
      <c r="BX168" s="526">
        <f t="shared" si="959"/>
        <v>17</v>
      </c>
      <c r="BY168" s="526">
        <f t="shared" si="960"/>
        <v>8</v>
      </c>
      <c r="BZ168" s="526">
        <f t="shared" si="961"/>
        <v>0</v>
      </c>
      <c r="CA168" s="29">
        <f t="shared" si="957"/>
        <v>0</v>
      </c>
      <c r="CB168" s="29">
        <f>SUM(AY168:BB168)</f>
        <v>0</v>
      </c>
      <c r="CC168" s="29">
        <f t="shared" si="962"/>
        <v>0</v>
      </c>
      <c r="CD168" s="29">
        <f t="shared" si="963"/>
        <v>0</v>
      </c>
      <c r="CE168" s="29">
        <f>SUM(BK168:BN168)</f>
        <v>0</v>
      </c>
    </row>
    <row r="169" spans="2:83">
      <c r="B169" s="249" t="s">
        <v>237</v>
      </c>
      <c r="C169" s="408"/>
      <c r="D169" s="409"/>
      <c r="E169" s="409"/>
      <c r="F169" s="410"/>
      <c r="G169" s="409"/>
      <c r="H169" s="409"/>
      <c r="I169" s="409"/>
      <c r="J169" s="409"/>
      <c r="K169" s="408"/>
      <c r="L169" s="409"/>
      <c r="M169" s="409"/>
      <c r="N169" s="410"/>
      <c r="O169" s="409"/>
      <c r="P169" s="409"/>
      <c r="Q169" s="409"/>
      <c r="R169" s="409"/>
      <c r="S169" s="408"/>
      <c r="T169" s="409"/>
      <c r="U169" s="409"/>
      <c r="V169" s="410"/>
      <c r="W169" s="251">
        <f t="shared" ref="W169:AO169" si="965">SUM(W166:W168)</f>
        <v>2.8035000000000001</v>
      </c>
      <c r="X169" s="251">
        <f t="shared" si="965"/>
        <v>4.8168000000000006</v>
      </c>
      <c r="Y169" s="251">
        <f t="shared" si="965"/>
        <v>9.8702999999999985</v>
      </c>
      <c r="Z169" s="251">
        <f t="shared" si="965"/>
        <v>15.185249999999996</v>
      </c>
      <c r="AA169" s="250">
        <f t="shared" si="965"/>
        <v>41</v>
      </c>
      <c r="AB169" s="251">
        <f t="shared" si="965"/>
        <v>55.5</v>
      </c>
      <c r="AC169" s="251">
        <f t="shared" si="965"/>
        <v>66.5</v>
      </c>
      <c r="AD169" s="252">
        <f t="shared" si="965"/>
        <v>24.151050000000005</v>
      </c>
      <c r="AE169" s="251">
        <f t="shared" si="965"/>
        <v>37.799999999999997</v>
      </c>
      <c r="AF169" s="251">
        <f t="shared" si="965"/>
        <v>44.25</v>
      </c>
      <c r="AG169" s="251">
        <f t="shared" si="965"/>
        <v>92.75</v>
      </c>
      <c r="AH169" s="251">
        <f t="shared" si="965"/>
        <v>80.97</v>
      </c>
      <c r="AI169" s="250">
        <f t="shared" si="965"/>
        <v>17.55</v>
      </c>
      <c r="AJ169" s="251">
        <f t="shared" si="965"/>
        <v>2</v>
      </c>
      <c r="AK169" s="251">
        <f t="shared" si="965"/>
        <v>25</v>
      </c>
      <c r="AL169" s="252">
        <f t="shared" si="965"/>
        <v>33.200000000000003</v>
      </c>
      <c r="AM169" s="250">
        <f t="shared" si="965"/>
        <v>32.169600000000003</v>
      </c>
      <c r="AN169" s="251">
        <f t="shared" si="965"/>
        <v>40</v>
      </c>
      <c r="AO169" s="251">
        <f t="shared" si="965"/>
        <v>37.28</v>
      </c>
      <c r="AP169" s="252">
        <f>SUM(AP166:AP168)</f>
        <v>13.600000000000001</v>
      </c>
      <c r="AQ169" s="251">
        <f>SUM(AQ166:AQ168)</f>
        <v>4.5</v>
      </c>
      <c r="AR169" s="251">
        <f>SUM(AR166:AR168)</f>
        <v>4.5</v>
      </c>
      <c r="AS169" s="251">
        <f>SUM(AS166:AS168)</f>
        <v>3.6</v>
      </c>
      <c r="AT169" s="252">
        <f>SUM(AT166:AT168)</f>
        <v>1.8</v>
      </c>
      <c r="AU169" s="694"/>
      <c r="AV169" s="694"/>
      <c r="AW169" s="694"/>
      <c r="AX169" s="695"/>
      <c r="AY169" s="717"/>
      <c r="AZ169" s="694"/>
      <c r="BA169" s="717"/>
      <c r="BB169" s="695"/>
      <c r="BC169" s="717"/>
      <c r="BD169" s="694"/>
      <c r="BE169" s="717"/>
      <c r="BF169" s="727"/>
      <c r="BG169" s="717"/>
      <c r="BH169" s="694"/>
      <c r="BI169" s="717"/>
      <c r="BJ169" s="727"/>
      <c r="BK169" s="717"/>
      <c r="BL169" s="694"/>
      <c r="BM169" s="717"/>
      <c r="BN169" s="727"/>
      <c r="BP169" s="254"/>
      <c r="BQ169" s="254"/>
      <c r="BR169" s="254"/>
      <c r="BS169" s="254"/>
      <c r="BT169" s="254"/>
      <c r="BU169" s="254"/>
      <c r="BV169" s="254"/>
      <c r="BW169" s="254"/>
      <c r="BX169" s="29">
        <f t="shared" si="959"/>
        <v>77.75</v>
      </c>
      <c r="BY169" s="29">
        <f t="shared" si="960"/>
        <v>123.0496</v>
      </c>
      <c r="BZ169" s="29">
        <f t="shared" si="961"/>
        <v>14.4</v>
      </c>
      <c r="CA169" s="642">
        <f t="shared" si="957"/>
        <v>0</v>
      </c>
      <c r="CB169" s="642">
        <f>SUM(AY169:BB169)</f>
        <v>0</v>
      </c>
      <c r="CC169" s="642">
        <f>SUM(BC169:BF169)</f>
        <v>0</v>
      </c>
      <c r="CD169" s="642">
        <f>SUM(BG169:BJ169)</f>
        <v>0</v>
      </c>
      <c r="CE169" s="642">
        <f>SUM(BK169:BN169)</f>
        <v>0</v>
      </c>
    </row>
    <row r="170" spans="2:83">
      <c r="C170" s="306"/>
      <c r="D170" s="64"/>
      <c r="E170" s="64"/>
      <c r="F170" s="199"/>
      <c r="G170" s="64"/>
      <c r="H170" s="64"/>
      <c r="I170" s="64"/>
      <c r="J170" s="64"/>
      <c r="K170" s="306"/>
      <c r="L170" s="64"/>
      <c r="M170" s="64"/>
      <c r="N170" s="199"/>
      <c r="O170" s="64"/>
      <c r="P170" s="64"/>
      <c r="Q170" s="64"/>
      <c r="R170" s="64"/>
      <c r="S170" s="306"/>
      <c r="T170" s="64"/>
      <c r="U170" s="64"/>
      <c r="V170" s="199"/>
      <c r="W170" s="29"/>
      <c r="X170" s="29"/>
      <c r="Y170" s="29"/>
      <c r="Z170" s="29"/>
      <c r="AA170" s="43"/>
      <c r="AB170" s="29"/>
      <c r="AC170" s="29"/>
      <c r="AD170" s="44"/>
      <c r="AE170" s="29"/>
      <c r="AF170" s="29"/>
      <c r="AG170" s="29"/>
      <c r="AH170" s="29"/>
      <c r="AI170" s="43"/>
      <c r="AJ170" s="29"/>
      <c r="AK170" s="29"/>
      <c r="AL170" s="44"/>
      <c r="AM170" s="43"/>
      <c r="AN170" s="29"/>
      <c r="AO170" s="29"/>
      <c r="AP170" s="44"/>
      <c r="AQ170" s="29"/>
      <c r="AR170" s="29"/>
      <c r="AS170" s="29"/>
      <c r="AT170" s="44"/>
      <c r="AU170" s="29"/>
      <c r="AV170" s="29"/>
      <c r="AW170" s="741"/>
      <c r="AX170" s="761"/>
      <c r="AY170" s="741"/>
      <c r="AZ170" s="741"/>
      <c r="BA170" s="29"/>
      <c r="BB170" s="761"/>
      <c r="BC170" s="741"/>
      <c r="BD170" s="741"/>
      <c r="BE170" s="29"/>
      <c r="BF170" s="44"/>
      <c r="BG170" s="741"/>
      <c r="BH170" s="741"/>
      <c r="BI170" s="29"/>
      <c r="BJ170" s="44"/>
      <c r="BK170" s="741"/>
      <c r="BL170" s="741"/>
      <c r="BM170" s="29"/>
      <c r="BN170" s="44"/>
      <c r="BX170" s="29"/>
      <c r="BY170" s="29"/>
      <c r="BZ170" s="29"/>
      <c r="CA170" s="29"/>
      <c r="CB170" s="29"/>
      <c r="CC170" s="29"/>
      <c r="CD170" s="29"/>
      <c r="CE170" s="29"/>
    </row>
    <row r="171" spans="2:83">
      <c r="B171" s="5" t="s">
        <v>234</v>
      </c>
      <c r="C171" s="306"/>
      <c r="D171" s="64"/>
      <c r="E171" s="64"/>
      <c r="F171" s="199"/>
      <c r="G171" s="64"/>
      <c r="H171" s="64"/>
      <c r="I171" s="64"/>
      <c r="J171" s="64"/>
      <c r="K171" s="306"/>
      <c r="L171" s="64"/>
      <c r="M171" s="64"/>
      <c r="N171" s="199"/>
      <c r="O171" s="64"/>
      <c r="P171" s="64"/>
      <c r="Q171" s="64"/>
      <c r="R171" s="64"/>
      <c r="S171" s="306"/>
      <c r="T171" s="64"/>
      <c r="U171" s="64"/>
      <c r="V171" s="199"/>
      <c r="W171" s="29">
        <f t="shared" ref="W171:AT171" si="966">W131*W156</f>
        <v>0</v>
      </c>
      <c r="X171" s="29">
        <f t="shared" si="966"/>
        <v>0</v>
      </c>
      <c r="Y171" s="29">
        <f t="shared" si="966"/>
        <v>0</v>
      </c>
      <c r="Z171" s="29">
        <f t="shared" si="966"/>
        <v>0</v>
      </c>
      <c r="AA171" s="43">
        <f t="shared" si="966"/>
        <v>0.4</v>
      </c>
      <c r="AB171" s="29">
        <f t="shared" si="966"/>
        <v>0.4</v>
      </c>
      <c r="AC171" s="29">
        <f t="shared" si="966"/>
        <v>0.4</v>
      </c>
      <c r="AD171" s="44">
        <f t="shared" si="966"/>
        <v>0.4</v>
      </c>
      <c r="AE171" s="29">
        <f t="shared" si="966"/>
        <v>0.4</v>
      </c>
      <c r="AF171" s="29">
        <f t="shared" si="966"/>
        <v>0.4</v>
      </c>
      <c r="AG171" s="29">
        <f t="shared" si="966"/>
        <v>0.4</v>
      </c>
      <c r="AH171" s="29">
        <f t="shared" si="966"/>
        <v>0.4</v>
      </c>
      <c r="AI171" s="43">
        <f t="shared" si="966"/>
        <v>1.6</v>
      </c>
      <c r="AJ171" s="29">
        <f t="shared" si="966"/>
        <v>1.6</v>
      </c>
      <c r="AK171" s="29">
        <f t="shared" si="966"/>
        <v>1.6</v>
      </c>
      <c r="AL171" s="44">
        <f t="shared" si="966"/>
        <v>1.6</v>
      </c>
      <c r="AM171" s="43">
        <f t="shared" si="966"/>
        <v>1.6</v>
      </c>
      <c r="AN171" s="29">
        <f t="shared" si="966"/>
        <v>2</v>
      </c>
      <c r="AO171" s="29">
        <f t="shared" si="966"/>
        <v>1.75</v>
      </c>
      <c r="AP171" s="44">
        <f t="shared" si="966"/>
        <v>1.75</v>
      </c>
      <c r="AQ171" s="29">
        <f t="shared" si="966"/>
        <v>2</v>
      </c>
      <c r="AR171" s="29">
        <f t="shared" si="966"/>
        <v>0.8</v>
      </c>
      <c r="AS171" s="29">
        <f t="shared" si="966"/>
        <v>0.4</v>
      </c>
      <c r="AT171" s="44">
        <f t="shared" si="966"/>
        <v>0.4</v>
      </c>
      <c r="AU171" s="686"/>
      <c r="AV171" s="686"/>
      <c r="AW171" s="752"/>
      <c r="AX171" s="797"/>
      <c r="AY171" s="752"/>
      <c r="AZ171" s="752"/>
      <c r="BA171" s="686"/>
      <c r="BB171" s="797"/>
      <c r="BC171" s="752"/>
      <c r="BD171" s="752"/>
      <c r="BE171" s="686"/>
      <c r="BF171" s="687"/>
      <c r="BG171" s="752"/>
      <c r="BH171" s="752"/>
      <c r="BI171" s="686"/>
      <c r="BJ171" s="687"/>
      <c r="BK171" s="752"/>
      <c r="BL171" s="752"/>
      <c r="BM171" s="686"/>
      <c r="BN171" s="687"/>
      <c r="BX171" s="29">
        <f t="shared" si="959"/>
        <v>6.4</v>
      </c>
      <c r="BY171" s="29">
        <f t="shared" si="960"/>
        <v>7.1</v>
      </c>
      <c r="BZ171" s="29">
        <f t="shared" si="961"/>
        <v>3.5999999999999996</v>
      </c>
      <c r="CA171" s="29">
        <f t="shared" si="957"/>
        <v>0</v>
      </c>
      <c r="CB171" s="29">
        <f>SUM(AY171:BB171)</f>
        <v>0</v>
      </c>
      <c r="CC171" s="29">
        <f>SUM(BC171:BF171)</f>
        <v>0</v>
      </c>
      <c r="CD171" s="29">
        <f>SUM(BG171:BJ171)</f>
        <v>0</v>
      </c>
      <c r="CE171" s="29">
        <f>SUM(BK171:BN171)</f>
        <v>0</v>
      </c>
    </row>
    <row r="172" spans="2:83">
      <c r="B172" s="5" t="s">
        <v>235</v>
      </c>
      <c r="C172" s="306"/>
      <c r="D172" s="64"/>
      <c r="E172" s="64"/>
      <c r="F172" s="199"/>
      <c r="G172" s="64"/>
      <c r="H172" s="64"/>
      <c r="I172" s="64"/>
      <c r="J172" s="64"/>
      <c r="K172" s="306"/>
      <c r="L172" s="64"/>
      <c r="M172" s="64"/>
      <c r="N172" s="199"/>
      <c r="O172" s="64"/>
      <c r="P172" s="64"/>
      <c r="Q172" s="64"/>
      <c r="R172" s="64"/>
      <c r="S172" s="306"/>
      <c r="T172" s="64"/>
      <c r="U172" s="64"/>
      <c r="V172" s="199"/>
      <c r="W172" s="29">
        <f t="shared" ref="W172:AT172" si="967">W132*W157</f>
        <v>5</v>
      </c>
      <c r="X172" s="29">
        <f t="shared" si="967"/>
        <v>5</v>
      </c>
      <c r="Y172" s="29">
        <f t="shared" si="967"/>
        <v>5</v>
      </c>
      <c r="Z172" s="29">
        <f t="shared" si="967"/>
        <v>5</v>
      </c>
      <c r="AA172" s="43">
        <f t="shared" si="967"/>
        <v>10</v>
      </c>
      <c r="AB172" s="29">
        <f t="shared" si="967"/>
        <v>10</v>
      </c>
      <c r="AC172" s="29">
        <f t="shared" si="967"/>
        <v>10</v>
      </c>
      <c r="AD172" s="44">
        <f t="shared" si="967"/>
        <v>10</v>
      </c>
      <c r="AE172" s="29">
        <f t="shared" si="967"/>
        <v>5</v>
      </c>
      <c r="AF172" s="29">
        <f t="shared" si="967"/>
        <v>5</v>
      </c>
      <c r="AG172" s="29">
        <f t="shared" si="967"/>
        <v>5</v>
      </c>
      <c r="AH172" s="29">
        <f t="shared" si="967"/>
        <v>5</v>
      </c>
      <c r="AI172" s="43">
        <f t="shared" si="967"/>
        <v>5</v>
      </c>
      <c r="AJ172" s="29">
        <f t="shared" si="967"/>
        <v>4</v>
      </c>
      <c r="AK172" s="29">
        <f t="shared" si="967"/>
        <v>4</v>
      </c>
      <c r="AL172" s="44">
        <f t="shared" si="967"/>
        <v>4</v>
      </c>
      <c r="AM172" s="43">
        <f t="shared" si="967"/>
        <v>2</v>
      </c>
      <c r="AN172" s="29">
        <f t="shared" si="967"/>
        <v>2</v>
      </c>
      <c r="AO172" s="29">
        <f t="shared" si="967"/>
        <v>2</v>
      </c>
      <c r="AP172" s="44">
        <f t="shared" si="967"/>
        <v>1</v>
      </c>
      <c r="AQ172" s="29">
        <f t="shared" si="967"/>
        <v>1</v>
      </c>
      <c r="AR172" s="29">
        <f t="shared" si="967"/>
        <v>1</v>
      </c>
      <c r="AS172" s="29">
        <f t="shared" si="967"/>
        <v>1</v>
      </c>
      <c r="AT172" s="44">
        <f t="shared" si="967"/>
        <v>1</v>
      </c>
      <c r="AU172" s="686"/>
      <c r="AV172" s="686"/>
      <c r="AW172" s="752"/>
      <c r="AX172" s="797"/>
      <c r="AY172" s="752"/>
      <c r="AZ172" s="752"/>
      <c r="BA172" s="686"/>
      <c r="BB172" s="797"/>
      <c r="BC172" s="752"/>
      <c r="BD172" s="752"/>
      <c r="BE172" s="686"/>
      <c r="BF172" s="687"/>
      <c r="BG172" s="752"/>
      <c r="BH172" s="752"/>
      <c r="BI172" s="686"/>
      <c r="BJ172" s="687"/>
      <c r="BK172" s="752"/>
      <c r="BL172" s="752"/>
      <c r="BM172" s="686"/>
      <c r="BN172" s="687"/>
      <c r="BX172" s="29">
        <f t="shared" si="959"/>
        <v>17</v>
      </c>
      <c r="BY172" s="29">
        <f t="shared" si="960"/>
        <v>7</v>
      </c>
      <c r="BZ172" s="29">
        <f t="shared" si="961"/>
        <v>4</v>
      </c>
      <c r="CA172" s="29">
        <f t="shared" si="957"/>
        <v>0</v>
      </c>
      <c r="CB172" s="29">
        <f>SUM(AY172:BB172)</f>
        <v>0</v>
      </c>
      <c r="CC172" s="29">
        <f>SUM(BC172:BF172)</f>
        <v>0</v>
      </c>
      <c r="CD172" s="29">
        <f t="shared" ref="CD172:CD174" si="968">SUM(BG172:BJ172)</f>
        <v>0</v>
      </c>
      <c r="CE172" s="29">
        <f>SUM(BK172:BN172)</f>
        <v>0</v>
      </c>
    </row>
    <row r="173" spans="2:83">
      <c r="B173" s="5" t="s">
        <v>253</v>
      </c>
      <c r="C173" s="306"/>
      <c r="D173" s="64"/>
      <c r="E173" s="64"/>
      <c r="F173" s="199"/>
      <c r="G173" s="64"/>
      <c r="H173" s="64"/>
      <c r="I173" s="64"/>
      <c r="J173" s="64"/>
      <c r="K173" s="306"/>
      <c r="L173" s="64"/>
      <c r="M173" s="64"/>
      <c r="N173" s="199"/>
      <c r="O173" s="64"/>
      <c r="P173" s="64"/>
      <c r="Q173" s="64"/>
      <c r="R173" s="64"/>
      <c r="S173" s="306"/>
      <c r="T173" s="64"/>
      <c r="U173" s="64"/>
      <c r="V173" s="199"/>
      <c r="W173" s="29">
        <f t="shared" ref="W173:AT173" si="969">W133*W158</f>
        <v>6</v>
      </c>
      <c r="X173" s="29">
        <f t="shared" si="969"/>
        <v>9</v>
      </c>
      <c r="Y173" s="29">
        <f t="shared" si="969"/>
        <v>7.5</v>
      </c>
      <c r="Z173" s="29">
        <f t="shared" si="969"/>
        <v>9</v>
      </c>
      <c r="AA173" s="43">
        <f t="shared" si="969"/>
        <v>9.2999999999999989</v>
      </c>
      <c r="AB173" s="29">
        <f t="shared" si="969"/>
        <v>13.799999999999999</v>
      </c>
      <c r="AC173" s="29">
        <f t="shared" si="969"/>
        <v>15.024899999999999</v>
      </c>
      <c r="AD173" s="44">
        <f t="shared" si="969"/>
        <v>15</v>
      </c>
      <c r="AE173" s="29">
        <f t="shared" si="969"/>
        <v>20</v>
      </c>
      <c r="AF173" s="29">
        <f t="shared" si="969"/>
        <v>20</v>
      </c>
      <c r="AG173" s="29">
        <f t="shared" si="969"/>
        <v>20</v>
      </c>
      <c r="AH173" s="29">
        <f t="shared" si="969"/>
        <v>18.400000000000002</v>
      </c>
      <c r="AI173" s="43">
        <f t="shared" si="969"/>
        <v>15.75</v>
      </c>
      <c r="AJ173" s="29">
        <f t="shared" si="969"/>
        <v>6.75</v>
      </c>
      <c r="AK173" s="29">
        <f t="shared" si="969"/>
        <v>4.5</v>
      </c>
      <c r="AL173" s="44">
        <f t="shared" si="969"/>
        <v>4.5</v>
      </c>
      <c r="AM173" s="43">
        <f t="shared" si="969"/>
        <v>7.2</v>
      </c>
      <c r="AN173" s="29">
        <f t="shared" si="969"/>
        <v>4.5</v>
      </c>
      <c r="AO173" s="29">
        <f t="shared" si="969"/>
        <v>6</v>
      </c>
      <c r="AP173" s="44">
        <f t="shared" si="969"/>
        <v>6.1332000000000004</v>
      </c>
      <c r="AQ173" s="29">
        <f t="shared" si="969"/>
        <v>6.75</v>
      </c>
      <c r="AR173" s="29">
        <f t="shared" si="969"/>
        <v>6.75</v>
      </c>
      <c r="AS173" s="29">
        <f t="shared" si="969"/>
        <v>6.75</v>
      </c>
      <c r="AT173" s="44">
        <f t="shared" si="969"/>
        <v>6.75</v>
      </c>
      <c r="AU173" s="686"/>
      <c r="AV173" s="686"/>
      <c r="AW173" s="752"/>
      <c r="AX173" s="797"/>
      <c r="AY173" s="752"/>
      <c r="AZ173" s="752"/>
      <c r="BA173" s="686"/>
      <c r="BB173" s="797"/>
      <c r="BC173" s="752"/>
      <c r="BD173" s="752"/>
      <c r="BE173" s="686"/>
      <c r="BF173" s="687"/>
      <c r="BG173" s="752"/>
      <c r="BH173" s="752"/>
      <c r="BI173" s="686"/>
      <c r="BJ173" s="687"/>
      <c r="BK173" s="752"/>
      <c r="BL173" s="752"/>
      <c r="BM173" s="686"/>
      <c r="BN173" s="687"/>
      <c r="BX173" s="29">
        <f>SUM(AI173:AL173)</f>
        <v>31.5</v>
      </c>
      <c r="BY173" s="29">
        <f>SUM(AM173:AP173)</f>
        <v>23.833199999999998</v>
      </c>
      <c r="BZ173" s="29">
        <f>SUM(AQ173:AT173)</f>
        <v>27</v>
      </c>
      <c r="CA173" s="29">
        <f>SUM(AU173:AX173)</f>
        <v>0</v>
      </c>
      <c r="CB173" s="29">
        <f>SUM(AY173:BB173)</f>
        <v>0</v>
      </c>
      <c r="CC173" s="29">
        <f>SUM(BC173:BF173)</f>
        <v>0</v>
      </c>
      <c r="CD173" s="29">
        <f t="shared" si="968"/>
        <v>0</v>
      </c>
      <c r="CE173" s="29">
        <f>SUM(BK173:BN173)</f>
        <v>0</v>
      </c>
    </row>
    <row r="174" spans="2:83">
      <c r="B174" s="5" t="s">
        <v>252</v>
      </c>
      <c r="C174" s="306"/>
      <c r="D174" s="64"/>
      <c r="E174" s="64"/>
      <c r="F174" s="199"/>
      <c r="G174" s="64"/>
      <c r="H174" s="64"/>
      <c r="I174" s="64"/>
      <c r="J174" s="64"/>
      <c r="K174" s="306"/>
      <c r="L174" s="64"/>
      <c r="M174" s="64"/>
      <c r="N174" s="199"/>
      <c r="O174" s="64"/>
      <c r="P174" s="64"/>
      <c r="Q174" s="64"/>
      <c r="R174" s="64"/>
      <c r="S174" s="306"/>
      <c r="T174" s="64"/>
      <c r="U174" s="64"/>
      <c r="V174" s="199"/>
      <c r="W174" s="29">
        <f t="shared" ref="W174:AT174" si="970">W135*W159</f>
        <v>0</v>
      </c>
      <c r="X174" s="29">
        <f t="shared" si="970"/>
        <v>0</v>
      </c>
      <c r="Y174" s="29">
        <f t="shared" si="970"/>
        <v>0</v>
      </c>
      <c r="Z174" s="29">
        <f t="shared" si="970"/>
        <v>0</v>
      </c>
      <c r="AA174" s="43">
        <f t="shared" si="970"/>
        <v>0.18269999999999839</v>
      </c>
      <c r="AB174" s="29">
        <f t="shared" si="970"/>
        <v>0.20519999999999924</v>
      </c>
      <c r="AC174" s="29">
        <f t="shared" si="970"/>
        <v>0</v>
      </c>
      <c r="AD174" s="44">
        <f t="shared" si="970"/>
        <v>0</v>
      </c>
      <c r="AE174" s="29">
        <f t="shared" si="970"/>
        <v>0.36480000000000246</v>
      </c>
      <c r="AF174" s="29">
        <f t="shared" si="970"/>
        <v>15.458399999999996</v>
      </c>
      <c r="AG174" s="29">
        <f t="shared" si="970"/>
        <v>5.1604000000000045</v>
      </c>
      <c r="AH174" s="29">
        <f t="shared" si="970"/>
        <v>0.39520000000003397</v>
      </c>
      <c r="AI174" s="43">
        <f t="shared" si="970"/>
        <v>4.4999999999997445E-2</v>
      </c>
      <c r="AJ174" s="29">
        <f t="shared" si="970"/>
        <v>2.0812500000000003</v>
      </c>
      <c r="AK174" s="29">
        <f t="shared" si="970"/>
        <v>0.96030000000000015</v>
      </c>
      <c r="AL174" s="44">
        <f t="shared" si="970"/>
        <v>7.154999999998353E-2</v>
      </c>
      <c r="AM174" s="43">
        <f t="shared" si="970"/>
        <v>0.9</v>
      </c>
      <c r="AN174" s="29">
        <f t="shared" si="970"/>
        <v>0.82980000000000009</v>
      </c>
      <c r="AO174" s="29">
        <f t="shared" si="970"/>
        <v>0.4</v>
      </c>
      <c r="AP174" s="44">
        <f t="shared" si="970"/>
        <v>0.4</v>
      </c>
      <c r="AQ174" s="29">
        <f t="shared" si="970"/>
        <v>16.875</v>
      </c>
      <c r="AR174" s="29">
        <f t="shared" si="970"/>
        <v>13.275</v>
      </c>
      <c r="AS174" s="29">
        <f t="shared" si="970"/>
        <v>11.069999999999999</v>
      </c>
      <c r="AT174" s="44">
        <f t="shared" si="970"/>
        <v>19.350000000000001</v>
      </c>
      <c r="AU174" s="686"/>
      <c r="AV174" s="686"/>
      <c r="AW174" s="752"/>
      <c r="AX174" s="797"/>
      <c r="AY174" s="752"/>
      <c r="AZ174" s="752"/>
      <c r="BA174" s="686"/>
      <c r="BB174" s="797"/>
      <c r="BC174" s="752"/>
      <c r="BD174" s="752"/>
      <c r="BE174" s="686"/>
      <c r="BF174" s="687"/>
      <c r="BG174" s="752"/>
      <c r="BH174" s="752"/>
      <c r="BI174" s="686"/>
      <c r="BJ174" s="687"/>
      <c r="BK174" s="752"/>
      <c r="BL174" s="752"/>
      <c r="BM174" s="686"/>
      <c r="BN174" s="687"/>
      <c r="BX174" s="29">
        <f>SUM(AI174:AL174)</f>
        <v>3.158099999999981</v>
      </c>
      <c r="BY174" s="29">
        <f>SUM(AM174:AP174)</f>
        <v>2.5297999999999998</v>
      </c>
      <c r="BZ174" s="29">
        <f>SUM(AQ174:AT174)</f>
        <v>60.57</v>
      </c>
      <c r="CA174" s="29">
        <f>SUM(AU174:AX174)</f>
        <v>0</v>
      </c>
      <c r="CB174" s="29">
        <f>SUM(AY174:BB174)</f>
        <v>0</v>
      </c>
      <c r="CC174" s="29">
        <f>SUM(BC174:BF174)</f>
        <v>0</v>
      </c>
      <c r="CD174" s="29">
        <f t="shared" si="968"/>
        <v>0</v>
      </c>
      <c r="CE174" s="29">
        <f>SUM(BK174:BN174)</f>
        <v>0</v>
      </c>
    </row>
    <row r="175" spans="2:83">
      <c r="C175" s="306"/>
      <c r="D175" s="64"/>
      <c r="E175" s="64"/>
      <c r="F175" s="199"/>
      <c r="G175" s="64"/>
      <c r="H175" s="64"/>
      <c r="I175" s="64"/>
      <c r="J175" s="64"/>
      <c r="K175" s="306"/>
      <c r="L175" s="64"/>
      <c r="M175" s="64"/>
      <c r="N175" s="199"/>
      <c r="O175" s="64"/>
      <c r="P175" s="64"/>
      <c r="Q175" s="64"/>
      <c r="R175" s="64"/>
      <c r="S175" s="306"/>
      <c r="T175" s="64"/>
      <c r="U175" s="64"/>
      <c r="V175" s="199"/>
      <c r="W175" s="29"/>
      <c r="X175" s="29"/>
      <c r="Y175" s="29"/>
      <c r="Z175" s="29"/>
      <c r="AA175" s="43"/>
      <c r="AB175" s="29"/>
      <c r="AC175" s="29"/>
      <c r="AD175" s="44"/>
      <c r="AE175" s="29"/>
      <c r="AF175" s="29"/>
      <c r="AG175" s="29"/>
      <c r="AH175" s="29"/>
      <c r="AI175" s="43"/>
      <c r="AJ175" s="29"/>
      <c r="AK175" s="29"/>
      <c r="AL175" s="44"/>
      <c r="AM175" s="43"/>
      <c r="AN175" s="29"/>
      <c r="AO175" s="29"/>
      <c r="AP175" s="44"/>
      <c r="AQ175" s="29"/>
      <c r="AR175" s="29"/>
      <c r="AS175" s="29"/>
      <c r="AT175" s="44"/>
      <c r="AU175" s="29"/>
      <c r="AV175" s="29"/>
      <c r="AW175" s="741"/>
      <c r="AX175" s="761"/>
      <c r="AY175" s="29"/>
      <c r="AZ175" s="741"/>
      <c r="BA175" s="29"/>
      <c r="BB175" s="761"/>
      <c r="BC175" s="29"/>
      <c r="BD175" s="741"/>
      <c r="BE175" s="29"/>
      <c r="BF175" s="44"/>
      <c r="BG175" s="29"/>
      <c r="BH175" s="741"/>
      <c r="BI175" s="29"/>
      <c r="BJ175" s="44"/>
      <c r="BK175" s="29"/>
      <c r="BL175" s="741"/>
      <c r="BM175" s="29"/>
      <c r="BN175" s="44"/>
      <c r="BX175" s="29"/>
      <c r="BY175" s="29"/>
      <c r="BZ175" s="29"/>
      <c r="CA175" s="29"/>
      <c r="CB175" s="29"/>
      <c r="CC175" s="29"/>
      <c r="CD175" s="29"/>
      <c r="CE175" s="29"/>
    </row>
    <row r="176" spans="2:83">
      <c r="B176" s="5" t="s">
        <v>236</v>
      </c>
      <c r="C176" s="306"/>
      <c r="D176" s="64"/>
      <c r="E176" s="64"/>
      <c r="F176" s="199"/>
      <c r="G176" s="64"/>
      <c r="H176" s="64"/>
      <c r="I176" s="64"/>
      <c r="J176" s="64"/>
      <c r="K176" s="306"/>
      <c r="L176" s="64"/>
      <c r="M176" s="64"/>
      <c r="N176" s="199"/>
      <c r="O176" s="64"/>
      <c r="P176" s="64"/>
      <c r="Q176" s="64"/>
      <c r="R176" s="64"/>
      <c r="S176" s="306"/>
      <c r="T176" s="64"/>
      <c r="U176" s="64"/>
      <c r="V176" s="199"/>
      <c r="W176" s="29">
        <f t="shared" ref="W176:AV176" si="971">W138*W161</f>
        <v>0</v>
      </c>
      <c r="X176" s="29">
        <f t="shared" si="971"/>
        <v>0</v>
      </c>
      <c r="Y176" s="29">
        <f t="shared" si="971"/>
        <v>0</v>
      </c>
      <c r="Z176" s="29">
        <f t="shared" si="971"/>
        <v>0</v>
      </c>
      <c r="AA176" s="43">
        <f t="shared" si="971"/>
        <v>0</v>
      </c>
      <c r="AB176" s="29">
        <f t="shared" si="971"/>
        <v>0</v>
      </c>
      <c r="AC176" s="29">
        <f t="shared" si="971"/>
        <v>0</v>
      </c>
      <c r="AD176" s="44">
        <f t="shared" si="971"/>
        <v>0</v>
      </c>
      <c r="AE176" s="29">
        <f t="shared" si="971"/>
        <v>0</v>
      </c>
      <c r="AF176" s="29">
        <f t="shared" si="971"/>
        <v>0</v>
      </c>
      <c r="AG176" s="29">
        <f t="shared" si="971"/>
        <v>0</v>
      </c>
      <c r="AH176" s="29">
        <f t="shared" si="971"/>
        <v>0</v>
      </c>
      <c r="AI176" s="43">
        <f t="shared" si="971"/>
        <v>9</v>
      </c>
      <c r="AJ176" s="29">
        <f t="shared" si="971"/>
        <v>9</v>
      </c>
      <c r="AK176" s="29">
        <f t="shared" si="971"/>
        <v>12.825000000000001</v>
      </c>
      <c r="AL176" s="44">
        <f t="shared" si="971"/>
        <v>13.5</v>
      </c>
      <c r="AM176" s="43">
        <f t="shared" si="971"/>
        <v>15.75</v>
      </c>
      <c r="AN176" s="29">
        <f t="shared" si="971"/>
        <v>18</v>
      </c>
      <c r="AO176" s="29">
        <f t="shared" si="971"/>
        <v>23.31</v>
      </c>
      <c r="AP176" s="44">
        <f t="shared" si="971"/>
        <v>25.2</v>
      </c>
      <c r="AQ176" s="29">
        <f t="shared" si="971"/>
        <v>34.425000000000004</v>
      </c>
      <c r="AR176" s="29">
        <f t="shared" si="971"/>
        <v>31.725000000000001</v>
      </c>
      <c r="AS176" s="29">
        <f t="shared" si="971"/>
        <v>35.730000000000004</v>
      </c>
      <c r="AT176" s="44">
        <f t="shared" si="971"/>
        <v>41.85</v>
      </c>
      <c r="AU176" s="29">
        <f t="shared" si="971"/>
        <v>50.85</v>
      </c>
      <c r="AV176" s="29">
        <f t="shared" si="971"/>
        <v>53.550000000000004</v>
      </c>
      <c r="AW176" s="29">
        <f t="shared" ref="AW176:AZ176" si="972">AW138*AW161</f>
        <v>57.15</v>
      </c>
      <c r="AX176" s="761">
        <f t="shared" si="972"/>
        <v>61.44</v>
      </c>
      <c r="AY176" s="29">
        <f t="shared" si="972"/>
        <v>63</v>
      </c>
      <c r="AZ176" s="741">
        <f t="shared" si="972"/>
        <v>63.9</v>
      </c>
      <c r="BA176" s="29">
        <f t="shared" ref="BA176:BB176" si="973">BA138*BA161</f>
        <v>64.8</v>
      </c>
      <c r="BB176" s="761">
        <f t="shared" si="973"/>
        <v>63.36</v>
      </c>
      <c r="BC176" s="29">
        <f t="shared" ref="BC176:BD176" si="974">BC138*BC161</f>
        <v>63</v>
      </c>
      <c r="BD176" s="741">
        <f t="shared" si="974"/>
        <v>63</v>
      </c>
      <c r="BE176" s="29">
        <f t="shared" ref="BE176:BJ176" si="975">BE138*BE161</f>
        <v>63</v>
      </c>
      <c r="BF176" s="44">
        <f t="shared" si="975"/>
        <v>63</v>
      </c>
      <c r="BG176" s="29">
        <f t="shared" si="975"/>
        <v>67.725000000000009</v>
      </c>
      <c r="BH176" s="741">
        <f t="shared" si="975"/>
        <v>72.804374999999993</v>
      </c>
      <c r="BI176" s="29">
        <f t="shared" si="975"/>
        <v>78.264703124999997</v>
      </c>
      <c r="BJ176" s="44">
        <f t="shared" si="975"/>
        <v>84.134555859374984</v>
      </c>
      <c r="BK176" s="29">
        <f t="shared" ref="BK176:BN176" si="976">BK138*BK161</f>
        <v>90.02397476953125</v>
      </c>
      <c r="BL176" s="741">
        <f t="shared" si="976"/>
        <v>96.325653003398429</v>
      </c>
      <c r="BM176" s="29">
        <f t="shared" si="976"/>
        <v>103.06844871363633</v>
      </c>
      <c r="BN176" s="44">
        <f t="shared" si="976"/>
        <v>110.28324012359089</v>
      </c>
      <c r="BX176" s="29">
        <f t="shared" si="959"/>
        <v>44.325000000000003</v>
      </c>
      <c r="BY176" s="29">
        <f t="shared" si="960"/>
        <v>82.26</v>
      </c>
      <c r="BZ176" s="29">
        <f t="shared" si="961"/>
        <v>143.73000000000002</v>
      </c>
      <c r="CA176" s="29">
        <f t="shared" si="957"/>
        <v>222.99</v>
      </c>
      <c r="CB176" s="29">
        <f>SUM(AY176:BB176)</f>
        <v>255.06</v>
      </c>
      <c r="CC176" s="29">
        <f>SUM(BC176:BF176)</f>
        <v>252</v>
      </c>
      <c r="CD176" s="29">
        <f>SUM(BG176:BJ176)</f>
        <v>302.92863398437498</v>
      </c>
      <c r="CE176" s="29">
        <f>SUM(BK176:BN176)</f>
        <v>399.70131661015688</v>
      </c>
    </row>
    <row r="177" spans="1:226">
      <c r="B177" s="84" t="s">
        <v>435</v>
      </c>
      <c r="C177" s="306"/>
      <c r="D177" s="64"/>
      <c r="E177" s="64"/>
      <c r="F177" s="199"/>
      <c r="G177" s="64"/>
      <c r="H177" s="64"/>
      <c r="I177" s="64"/>
      <c r="J177" s="64"/>
      <c r="K177" s="306"/>
      <c r="L177" s="64"/>
      <c r="M177" s="64"/>
      <c r="N177" s="199"/>
      <c r="O177" s="64"/>
      <c r="P177" s="64"/>
      <c r="Q177" s="64"/>
      <c r="R177" s="64"/>
      <c r="S177" s="306"/>
      <c r="T177" s="64"/>
      <c r="U177" s="64"/>
      <c r="V177" s="199"/>
      <c r="W177" s="29"/>
      <c r="X177" s="29"/>
      <c r="Y177" s="29"/>
      <c r="Z177" s="29"/>
      <c r="AA177" s="43"/>
      <c r="AB177" s="29"/>
      <c r="AC177" s="29"/>
      <c r="AD177" s="44"/>
      <c r="AE177" s="29"/>
      <c r="AF177" s="29"/>
      <c r="AG177" s="29"/>
      <c r="AH177" s="29"/>
      <c r="AI177" s="43"/>
      <c r="AJ177" s="29"/>
      <c r="AK177" s="29"/>
      <c r="AL177" s="44"/>
      <c r="AM177" s="43"/>
      <c r="AN177" s="29"/>
      <c r="AO177" s="29"/>
      <c r="AP177" s="44"/>
      <c r="AQ177" s="29"/>
      <c r="AR177" s="29"/>
      <c r="AS177" s="29"/>
      <c r="AT177" s="44"/>
      <c r="AU177" s="29">
        <f t="shared" ref="AU177:BA177" si="977">AU141*AU162</f>
        <v>12.914999999999999</v>
      </c>
      <c r="AV177" s="29">
        <f t="shared" si="977"/>
        <v>13.05</v>
      </c>
      <c r="AW177" s="29">
        <f t="shared" ref="AW177:AX177" si="978">AW141*AW162</f>
        <v>11.700000000000001</v>
      </c>
      <c r="AX177" s="29">
        <f t="shared" si="978"/>
        <v>13.92</v>
      </c>
      <c r="AY177" s="29">
        <f t="shared" ref="AY177:AZ177" si="979">AY141*AY162</f>
        <v>15.75</v>
      </c>
      <c r="AZ177" s="741">
        <f t="shared" si="979"/>
        <v>13.950000000000001</v>
      </c>
      <c r="BA177" s="29">
        <f t="shared" si="977"/>
        <v>15.75</v>
      </c>
      <c r="BB177" s="29">
        <f t="shared" ref="BB177" si="980">BB141*BB162</f>
        <v>16.8</v>
      </c>
      <c r="BC177" s="29">
        <f t="shared" ref="BC177:BD177" si="981">BC141*BC162</f>
        <v>16.650000000000002</v>
      </c>
      <c r="BD177" s="741">
        <f t="shared" si="981"/>
        <v>17.100000000000001</v>
      </c>
      <c r="BE177" s="29">
        <f t="shared" ref="BE177:BJ177" si="982">BE141*BE162</f>
        <v>17.55</v>
      </c>
      <c r="BF177" s="44">
        <f t="shared" si="982"/>
        <v>17.55</v>
      </c>
      <c r="BG177" s="29">
        <f t="shared" si="982"/>
        <v>18.252000000000002</v>
      </c>
      <c r="BH177" s="741">
        <f t="shared" si="982"/>
        <v>18.98208</v>
      </c>
      <c r="BI177" s="29">
        <f t="shared" si="982"/>
        <v>19.741363200000002</v>
      </c>
      <c r="BJ177" s="44">
        <f t="shared" si="982"/>
        <v>20.531017728000002</v>
      </c>
      <c r="BK177" s="29">
        <f t="shared" ref="BK177:BN177" si="983">BK141*BK162</f>
        <v>20.941638082560001</v>
      </c>
      <c r="BL177" s="741">
        <f t="shared" si="983"/>
        <v>21.360470844211203</v>
      </c>
      <c r="BM177" s="29">
        <f t="shared" si="983"/>
        <v>21.787680261095424</v>
      </c>
      <c r="BN177" s="44">
        <f t="shared" si="983"/>
        <v>22.223433866317336</v>
      </c>
      <c r="BX177" s="29">
        <f t="shared" ref="BX177:BX178" si="984">SUM(AI177:AL177)</f>
        <v>0</v>
      </c>
      <c r="BY177" s="29">
        <f t="shared" ref="BY177:BY178" si="985">SUM(AM177:AP177)</f>
        <v>0</v>
      </c>
      <c r="BZ177" s="29">
        <f t="shared" ref="BZ177:BZ178" si="986">SUM(AQ177:AT177)</f>
        <v>0</v>
      </c>
      <c r="CA177" s="29">
        <f t="shared" si="957"/>
        <v>51.585000000000001</v>
      </c>
      <c r="CB177" s="29">
        <f>SUM(AY177:BB177)</f>
        <v>62.25</v>
      </c>
      <c r="CC177" s="29">
        <f>SUM(BC177:BF177)</f>
        <v>68.849999999999994</v>
      </c>
      <c r="CD177" s="29">
        <f>SUM(BG177:BJ177)</f>
        <v>77.50646092800001</v>
      </c>
      <c r="CE177" s="29">
        <f>SUM(BK177:BN177)</f>
        <v>86.313223054183965</v>
      </c>
    </row>
    <row r="178" spans="1:226">
      <c r="B178" s="84" t="s">
        <v>434</v>
      </c>
      <c r="C178" s="306"/>
      <c r="D178" s="64"/>
      <c r="E178" s="64"/>
      <c r="F178" s="199"/>
      <c r="G178" s="64"/>
      <c r="H178" s="64"/>
      <c r="I178" s="64"/>
      <c r="J178" s="64"/>
      <c r="K178" s="306"/>
      <c r="L178" s="64"/>
      <c r="M178" s="64"/>
      <c r="N178" s="199"/>
      <c r="O178" s="64"/>
      <c r="P178" s="64"/>
      <c r="Q178" s="64"/>
      <c r="R178" s="64"/>
      <c r="S178" s="306"/>
      <c r="T178" s="64"/>
      <c r="U178" s="64"/>
      <c r="V178" s="199"/>
      <c r="W178" s="29"/>
      <c r="X178" s="29"/>
      <c r="Y178" s="29"/>
      <c r="Z178" s="29"/>
      <c r="AA178" s="43"/>
      <c r="AB178" s="29"/>
      <c r="AC178" s="29"/>
      <c r="AD178" s="44"/>
      <c r="AE178" s="29"/>
      <c r="AF178" s="29"/>
      <c r="AG178" s="29"/>
      <c r="AH178" s="29"/>
      <c r="AI178" s="43"/>
      <c r="AJ178" s="29"/>
      <c r="AK178" s="29"/>
      <c r="AL178" s="44"/>
      <c r="AM178" s="43"/>
      <c r="AN178" s="29"/>
      <c r="AO178" s="29"/>
      <c r="AP178" s="44"/>
      <c r="AQ178" s="29"/>
      <c r="AR178" s="29"/>
      <c r="AS178" s="29"/>
      <c r="AT178" s="44"/>
      <c r="AU178" s="29">
        <f t="shared" ref="AU178:BA178" si="987">AU144*AU163</f>
        <v>8.2350000000000012</v>
      </c>
      <c r="AV178" s="29">
        <f t="shared" si="987"/>
        <v>8.1</v>
      </c>
      <c r="AW178" s="29">
        <f t="shared" ref="AW178:AX178" si="988">AW144*AW163</f>
        <v>39.6</v>
      </c>
      <c r="AX178" s="29">
        <f t="shared" si="988"/>
        <v>48</v>
      </c>
      <c r="AY178" s="29">
        <f t="shared" ref="AY178:AZ178" si="989">AY144*AY163</f>
        <v>70.650000000000006</v>
      </c>
      <c r="AZ178" s="741">
        <f t="shared" si="989"/>
        <v>72</v>
      </c>
      <c r="BA178" s="29">
        <f t="shared" si="987"/>
        <v>108</v>
      </c>
      <c r="BB178" s="29">
        <f t="shared" ref="BB178" si="990">BB144*BB163</f>
        <v>135.84</v>
      </c>
      <c r="BC178" s="29">
        <f t="shared" ref="BC178:BD178" si="991">BC144*BC163</f>
        <v>126</v>
      </c>
      <c r="BD178" s="741">
        <f t="shared" si="991"/>
        <v>112.5</v>
      </c>
      <c r="BE178" s="29">
        <f t="shared" ref="BE178:BJ178" si="992">BE144*BE163</f>
        <v>123.75</v>
      </c>
      <c r="BF178" s="44">
        <f t="shared" si="992"/>
        <v>105.75</v>
      </c>
      <c r="BG178" s="29">
        <f t="shared" si="992"/>
        <v>126</v>
      </c>
      <c r="BH178" s="741">
        <f t="shared" si="992"/>
        <v>118.125</v>
      </c>
      <c r="BI178" s="29">
        <f t="shared" si="992"/>
        <v>129.9375</v>
      </c>
      <c r="BJ178" s="44">
        <f t="shared" si="992"/>
        <v>111.03750000000001</v>
      </c>
      <c r="BK178" s="29">
        <f t="shared" ref="BK178:BN178" si="993">BK144*BK163</f>
        <v>126</v>
      </c>
      <c r="BL178" s="741">
        <f t="shared" si="993"/>
        <v>118.125</v>
      </c>
      <c r="BM178" s="29">
        <f t="shared" si="993"/>
        <v>129.9375</v>
      </c>
      <c r="BN178" s="44">
        <f t="shared" si="993"/>
        <v>111.03750000000001</v>
      </c>
      <c r="BX178" s="29">
        <f t="shared" si="984"/>
        <v>0</v>
      </c>
      <c r="BY178" s="29">
        <f t="shared" si="985"/>
        <v>0</v>
      </c>
      <c r="BZ178" s="29">
        <f t="shared" si="986"/>
        <v>0</v>
      </c>
      <c r="CA178" s="29">
        <f t="shared" si="957"/>
        <v>103.935</v>
      </c>
      <c r="CB178" s="29">
        <f>SUM(AY178:BB178)</f>
        <v>386.49</v>
      </c>
      <c r="CC178" s="29">
        <f>SUM(BC178:BF178)</f>
        <v>468</v>
      </c>
      <c r="CD178" s="29">
        <f>SUM(BG178:BJ178)</f>
        <v>485.1</v>
      </c>
      <c r="CE178" s="29">
        <f>SUM(BK178:BN178)</f>
        <v>485.1</v>
      </c>
    </row>
    <row r="179" spans="1:226">
      <c r="BA179" s="721"/>
      <c r="BE179" s="721"/>
      <c r="BF179" s="728"/>
      <c r="BI179" s="721"/>
      <c r="BJ179" s="728"/>
      <c r="BM179" s="721"/>
      <c r="BN179" s="728"/>
      <c r="CE179" s="925"/>
    </row>
    <row r="180" spans="1:226">
      <c r="B180" s="249" t="s">
        <v>250</v>
      </c>
      <c r="C180" s="402"/>
      <c r="D180" s="403"/>
      <c r="E180" s="403"/>
      <c r="F180" s="404"/>
      <c r="G180" s="403"/>
      <c r="H180" s="403"/>
      <c r="I180" s="403"/>
      <c r="J180" s="403"/>
      <c r="K180" s="402"/>
      <c r="L180" s="403"/>
      <c r="M180" s="403"/>
      <c r="N180" s="404"/>
      <c r="O180" s="403"/>
      <c r="P180" s="403"/>
      <c r="Q180" s="403"/>
      <c r="R180" s="403"/>
      <c r="S180" s="402"/>
      <c r="T180" s="403"/>
      <c r="U180" s="403"/>
      <c r="V180" s="404"/>
      <c r="W180" s="405">
        <f t="shared" ref="W180:AV180" si="994">SUM(W169:W178)</f>
        <v>13.8035</v>
      </c>
      <c r="X180" s="405">
        <f t="shared" si="994"/>
        <v>18.816800000000001</v>
      </c>
      <c r="Y180" s="405">
        <f t="shared" si="994"/>
        <v>22.3703</v>
      </c>
      <c r="Z180" s="405">
        <f t="shared" si="994"/>
        <v>29.185249999999996</v>
      </c>
      <c r="AA180" s="406">
        <f t="shared" si="994"/>
        <v>60.882699999999993</v>
      </c>
      <c r="AB180" s="405">
        <f t="shared" si="994"/>
        <v>79.905200000000008</v>
      </c>
      <c r="AC180" s="405">
        <f t="shared" si="994"/>
        <v>91.924900000000008</v>
      </c>
      <c r="AD180" s="407">
        <f t="shared" si="994"/>
        <v>49.551050000000004</v>
      </c>
      <c r="AE180" s="405">
        <f t="shared" si="994"/>
        <v>63.564799999999998</v>
      </c>
      <c r="AF180" s="405">
        <f t="shared" si="994"/>
        <v>85.108400000000003</v>
      </c>
      <c r="AG180" s="405">
        <f t="shared" si="994"/>
        <v>123.31040000000002</v>
      </c>
      <c r="AH180" s="405">
        <f t="shared" si="994"/>
        <v>105.16520000000004</v>
      </c>
      <c r="AI180" s="406">
        <f t="shared" si="994"/>
        <v>48.945</v>
      </c>
      <c r="AJ180" s="405">
        <f t="shared" si="994"/>
        <v>25.431249999999999</v>
      </c>
      <c r="AK180" s="405">
        <f t="shared" si="994"/>
        <v>48.885300000000001</v>
      </c>
      <c r="AL180" s="407">
        <f t="shared" si="994"/>
        <v>56.871549999999985</v>
      </c>
      <c r="AM180" s="406">
        <f t="shared" si="994"/>
        <v>59.619600000000005</v>
      </c>
      <c r="AN180" s="405">
        <f t="shared" si="994"/>
        <v>67.329800000000006</v>
      </c>
      <c r="AO180" s="405">
        <f t="shared" si="994"/>
        <v>70.739999999999995</v>
      </c>
      <c r="AP180" s="407">
        <f t="shared" si="994"/>
        <v>48.083200000000005</v>
      </c>
      <c r="AQ180" s="405">
        <f t="shared" si="994"/>
        <v>65.550000000000011</v>
      </c>
      <c r="AR180" s="405">
        <f t="shared" si="994"/>
        <v>58.050000000000004</v>
      </c>
      <c r="AS180" s="405">
        <f t="shared" si="994"/>
        <v>58.550000000000004</v>
      </c>
      <c r="AT180" s="407">
        <f t="shared" si="994"/>
        <v>71.150000000000006</v>
      </c>
      <c r="AU180" s="405">
        <f t="shared" si="994"/>
        <v>72</v>
      </c>
      <c r="AV180" s="405">
        <f t="shared" si="994"/>
        <v>74.7</v>
      </c>
      <c r="AW180" s="405">
        <f t="shared" ref="AW180:AZ180" si="995">SUM(AW169:AW178)</f>
        <v>108.44999999999999</v>
      </c>
      <c r="AX180" s="799">
        <f t="shared" si="995"/>
        <v>123.36</v>
      </c>
      <c r="AY180" s="405">
        <f t="shared" si="995"/>
        <v>149.4</v>
      </c>
      <c r="AZ180" s="914">
        <f t="shared" si="995"/>
        <v>149.85</v>
      </c>
      <c r="BA180" s="168">
        <f t="shared" ref="BA180:BB180" si="996">SUM(BA169:BA178)</f>
        <v>188.55</v>
      </c>
      <c r="BB180" s="799">
        <f t="shared" si="996"/>
        <v>216</v>
      </c>
      <c r="BC180" s="405">
        <f t="shared" ref="BC180:BD180" si="997">SUM(BC169:BC178)</f>
        <v>205.65</v>
      </c>
      <c r="BD180" s="914">
        <f t="shared" si="997"/>
        <v>192.6</v>
      </c>
      <c r="BE180" s="168">
        <f t="shared" ref="BE180:BJ180" si="998">SUM(BE169:BE178)</f>
        <v>204.3</v>
      </c>
      <c r="BF180" s="339">
        <f t="shared" si="998"/>
        <v>186.3</v>
      </c>
      <c r="BG180" s="405">
        <f t="shared" si="998"/>
        <v>211.977</v>
      </c>
      <c r="BH180" s="914">
        <f t="shared" si="998"/>
        <v>209.91145499999999</v>
      </c>
      <c r="BI180" s="168">
        <f t="shared" si="998"/>
        <v>227.94356632500001</v>
      </c>
      <c r="BJ180" s="339">
        <f t="shared" si="998"/>
        <v>215.703073587375</v>
      </c>
      <c r="BK180" s="405">
        <f t="shared" ref="BK180:BN180" si="999">SUM(BK169:BK178)</f>
        <v>236.96561285209125</v>
      </c>
      <c r="BL180" s="914">
        <f t="shared" si="999"/>
        <v>235.81112384760962</v>
      </c>
      <c r="BM180" s="168">
        <f t="shared" si="999"/>
        <v>254.79362897473175</v>
      </c>
      <c r="BN180" s="339">
        <f t="shared" si="999"/>
        <v>243.54417398990824</v>
      </c>
      <c r="BP180" s="254"/>
      <c r="BQ180" s="254"/>
      <c r="BR180" s="254"/>
      <c r="BS180" s="254"/>
      <c r="BT180" s="254"/>
      <c r="BU180" s="254"/>
      <c r="BV180" s="254"/>
      <c r="BW180" s="254"/>
      <c r="BX180" s="405">
        <f t="shared" ref="BX180:CD180" si="1000">SUM(BX169:BX178)</f>
        <v>180.13310000000001</v>
      </c>
      <c r="BY180" s="405">
        <f t="shared" si="1000"/>
        <v>245.77260000000001</v>
      </c>
      <c r="BZ180" s="405">
        <f t="shared" si="1000"/>
        <v>253.3</v>
      </c>
      <c r="CA180" s="405">
        <f t="shared" si="1000"/>
        <v>378.51</v>
      </c>
      <c r="CB180" s="405">
        <f t="shared" si="1000"/>
        <v>703.8</v>
      </c>
      <c r="CC180" s="405">
        <f t="shared" si="1000"/>
        <v>788.85</v>
      </c>
      <c r="CD180" s="405">
        <f t="shared" si="1000"/>
        <v>865.53509491237503</v>
      </c>
      <c r="CE180" s="405">
        <f t="shared" ref="CE180" si="1001">SUM(CE169:CE178)</f>
        <v>971.1145396643409</v>
      </c>
    </row>
    <row r="181" spans="1:226">
      <c r="B181" s="91" t="s">
        <v>249</v>
      </c>
      <c r="C181" s="34"/>
      <c r="D181" s="35"/>
      <c r="E181" s="35"/>
      <c r="F181" s="36"/>
      <c r="G181" s="35"/>
      <c r="H181" s="35"/>
      <c r="I181" s="35"/>
      <c r="J181" s="35"/>
      <c r="K181" s="34"/>
      <c r="L181" s="35"/>
      <c r="M181" s="35"/>
      <c r="N181" s="36"/>
      <c r="O181" s="35"/>
      <c r="P181" s="35"/>
      <c r="Q181" s="35"/>
      <c r="R181" s="35"/>
      <c r="S181" s="34"/>
      <c r="T181" s="35"/>
      <c r="U181" s="35"/>
      <c r="V181" s="36"/>
      <c r="W181" s="35">
        <f t="shared" ref="W181:AV181" si="1002">W180/W110</f>
        <v>0.44199487672110149</v>
      </c>
      <c r="X181" s="35">
        <f t="shared" si="1002"/>
        <v>0.41171013478032559</v>
      </c>
      <c r="Y181" s="35">
        <f t="shared" si="1002"/>
        <v>0.43074479146609163</v>
      </c>
      <c r="Z181" s="35">
        <f t="shared" si="1002"/>
        <v>0.42454360317113971</v>
      </c>
      <c r="AA181" s="34">
        <f t="shared" si="1002"/>
        <v>0.49655979577355658</v>
      </c>
      <c r="AB181" s="35">
        <f t="shared" si="1002"/>
        <v>0.47652250661959406</v>
      </c>
      <c r="AC181" s="35">
        <f t="shared" si="1002"/>
        <v>0.4810731462244156</v>
      </c>
      <c r="AD181" s="36">
        <f t="shared" si="1002"/>
        <v>0.45132571272429184</v>
      </c>
      <c r="AE181" s="35">
        <f t="shared" si="1002"/>
        <v>0.47969089591886016</v>
      </c>
      <c r="AF181" s="35">
        <f t="shared" si="1002"/>
        <v>0.47375616490208527</v>
      </c>
      <c r="AG181" s="35">
        <f t="shared" si="1002"/>
        <v>0.50557562289617508</v>
      </c>
      <c r="AH181" s="35">
        <f t="shared" si="1002"/>
        <v>0.50466053707507152</v>
      </c>
      <c r="AI181" s="34">
        <f t="shared" si="1002"/>
        <v>0.47473326867119303</v>
      </c>
      <c r="AJ181" s="35">
        <f t="shared" si="1002"/>
        <v>0.48325415676959615</v>
      </c>
      <c r="AK181" s="35">
        <f t="shared" si="1002"/>
        <v>0.43987708532042402</v>
      </c>
      <c r="AL181" s="36">
        <f t="shared" si="1002"/>
        <v>0.4336076822787609</v>
      </c>
      <c r="AM181" s="34">
        <f t="shared" si="1002"/>
        <v>0.42761361028230438</v>
      </c>
      <c r="AN181" s="35">
        <f t="shared" si="1002"/>
        <v>0.42387373775528198</v>
      </c>
      <c r="AO181" s="35">
        <f t="shared" si="1002"/>
        <v>0.42107142857142854</v>
      </c>
      <c r="AP181" s="36">
        <f t="shared" si="1002"/>
        <v>0.42804162623627967</v>
      </c>
      <c r="AQ181" s="35">
        <f t="shared" si="1002"/>
        <v>0.45206896551724146</v>
      </c>
      <c r="AR181" s="35">
        <f t="shared" si="1002"/>
        <v>0.45351562500000003</v>
      </c>
      <c r="AS181" s="35">
        <f t="shared" si="1002"/>
        <v>0.45387596899224808</v>
      </c>
      <c r="AT181" s="36">
        <f t="shared" si="1002"/>
        <v>0.45318471337579619</v>
      </c>
      <c r="AU181" s="35">
        <f t="shared" si="1002"/>
        <v>0.45</v>
      </c>
      <c r="AV181" s="35">
        <f t="shared" si="1002"/>
        <v>0.45</v>
      </c>
      <c r="AW181" s="35">
        <f t="shared" ref="AW181:AZ181" si="1003">AW180/AW110</f>
        <v>0.44999999999999996</v>
      </c>
      <c r="AX181" s="36">
        <f t="shared" si="1003"/>
        <v>0.48</v>
      </c>
      <c r="AY181" s="818">
        <f t="shared" si="1003"/>
        <v>0.45</v>
      </c>
      <c r="AZ181" s="818">
        <f t="shared" si="1003"/>
        <v>0.44999999999999996</v>
      </c>
      <c r="BA181" s="35">
        <f t="shared" ref="BA181:BB181" si="1004">BA180/BA110</f>
        <v>0.45</v>
      </c>
      <c r="BB181" s="36">
        <f t="shared" si="1004"/>
        <v>0.48</v>
      </c>
      <c r="BC181" s="818">
        <f t="shared" ref="BC181:BD181" si="1005">BC180/BC110</f>
        <v>0.45</v>
      </c>
      <c r="BD181" s="818">
        <f t="shared" si="1005"/>
        <v>0.45</v>
      </c>
      <c r="BE181" s="818">
        <f t="shared" ref="BE181:BJ181" si="1006">BE180/BE110</f>
        <v>0.45</v>
      </c>
      <c r="BF181" s="36">
        <f t="shared" si="1006"/>
        <v>0.45</v>
      </c>
      <c r="BG181" s="818">
        <f t="shared" si="1006"/>
        <v>0.45</v>
      </c>
      <c r="BH181" s="818">
        <f t="shared" si="1006"/>
        <v>0.44999999999999996</v>
      </c>
      <c r="BI181" s="818">
        <f t="shared" si="1006"/>
        <v>0.45</v>
      </c>
      <c r="BJ181" s="36">
        <f t="shared" si="1006"/>
        <v>0.45000000000000007</v>
      </c>
      <c r="BK181" s="818">
        <f t="shared" ref="BK181:BN181" si="1007">BK180/BK110</f>
        <v>0.45000000000000007</v>
      </c>
      <c r="BL181" s="818">
        <f t="shared" si="1007"/>
        <v>0.44999999999999996</v>
      </c>
      <c r="BM181" s="818">
        <f t="shared" si="1007"/>
        <v>0.45</v>
      </c>
      <c r="BN181" s="36">
        <f t="shared" si="1007"/>
        <v>0.45000000000000007</v>
      </c>
      <c r="BX181" s="35">
        <f t="shared" ref="BX181:CE181" si="1008">BX180/BX110</f>
        <v>0.45257526041535823</v>
      </c>
      <c r="BY181" s="35">
        <f t="shared" si="1008"/>
        <v>0.42477043765911227</v>
      </c>
      <c r="BZ181" s="35">
        <f t="shared" si="1008"/>
        <v>0.45313059033989267</v>
      </c>
      <c r="CA181" s="35">
        <f t="shared" si="1008"/>
        <v>0.45935679611650482</v>
      </c>
      <c r="CB181" s="35">
        <f t="shared" si="1008"/>
        <v>0.45880052151238587</v>
      </c>
      <c r="CC181" s="818">
        <f t="shared" si="1008"/>
        <v>0.45</v>
      </c>
      <c r="CD181" s="818">
        <f t="shared" si="1008"/>
        <v>0.45000000000000007</v>
      </c>
      <c r="CE181" s="818">
        <f t="shared" si="1008"/>
        <v>0.45000000000000007</v>
      </c>
    </row>
    <row r="182" spans="1:226">
      <c r="B182" s="91"/>
      <c r="C182" s="34"/>
      <c r="D182" s="35"/>
      <c r="E182" s="35"/>
      <c r="F182" s="36"/>
      <c r="G182" s="35"/>
      <c r="H182" s="35"/>
      <c r="I182" s="35"/>
      <c r="J182" s="35"/>
      <c r="K182" s="34"/>
      <c r="L182" s="35"/>
      <c r="M182" s="35"/>
      <c r="N182" s="36"/>
      <c r="O182" s="35"/>
      <c r="P182" s="35"/>
      <c r="Q182" s="35"/>
      <c r="R182" s="35"/>
      <c r="S182" s="34"/>
      <c r="T182" s="35"/>
      <c r="U182" s="35"/>
      <c r="V182" s="36"/>
      <c r="W182" s="35"/>
      <c r="X182" s="35"/>
      <c r="Y182" s="35"/>
      <c r="Z182" s="35"/>
      <c r="AA182" s="34"/>
      <c r="AB182" s="35"/>
      <c r="AC182" s="35"/>
      <c r="AD182" s="36"/>
      <c r="AE182" s="35"/>
      <c r="AF182" s="35"/>
      <c r="AG182" s="35"/>
      <c r="AH182" s="35"/>
      <c r="AI182" s="34"/>
      <c r="AJ182" s="35"/>
      <c r="AK182" s="35"/>
      <c r="AL182" s="36"/>
      <c r="AM182" s="34"/>
      <c r="AN182" s="35"/>
      <c r="AO182" s="35"/>
      <c r="AP182" s="36"/>
      <c r="AQ182" s="35"/>
      <c r="AR182" s="35"/>
      <c r="AS182" s="35"/>
      <c r="AT182" s="36"/>
      <c r="AU182" s="35"/>
      <c r="AV182" s="35"/>
      <c r="AW182" s="35"/>
      <c r="AX182" s="36"/>
      <c r="AY182" s="818"/>
      <c r="AZ182" s="818"/>
      <c r="BA182" s="35"/>
      <c r="BB182" s="36"/>
      <c r="BC182" s="818"/>
      <c r="BD182" s="818"/>
      <c r="BE182" s="818"/>
      <c r="BF182" s="36"/>
      <c r="BG182" s="818"/>
      <c r="BH182" s="818"/>
      <c r="BI182" s="818"/>
      <c r="BJ182" s="36"/>
      <c r="BK182" s="818"/>
      <c r="BL182" s="818"/>
      <c r="BM182" s="818"/>
      <c r="BN182" s="36"/>
      <c r="CE182" s="925"/>
    </row>
    <row r="183" spans="1:226">
      <c r="B183" s="357" t="s">
        <v>328</v>
      </c>
      <c r="C183" s="358"/>
      <c r="D183" s="359"/>
      <c r="E183" s="359"/>
      <c r="F183" s="360"/>
      <c r="G183" s="359"/>
      <c r="H183" s="359"/>
      <c r="I183" s="359"/>
      <c r="J183" s="359"/>
      <c r="K183" s="358"/>
      <c r="L183" s="359"/>
      <c r="M183" s="359"/>
      <c r="N183" s="360"/>
      <c r="O183" s="359"/>
      <c r="P183" s="359"/>
      <c r="Q183" s="359"/>
      <c r="R183" s="359"/>
      <c r="S183" s="358"/>
      <c r="T183" s="359"/>
      <c r="U183" s="359"/>
      <c r="V183" s="360"/>
      <c r="W183" s="359"/>
      <c r="X183" s="359"/>
      <c r="Y183" s="359"/>
      <c r="Z183" s="359"/>
      <c r="AA183" s="358"/>
      <c r="AB183" s="359"/>
      <c r="AC183" s="359"/>
      <c r="AD183" s="360"/>
      <c r="AE183" s="359"/>
      <c r="AF183" s="359"/>
      <c r="AG183" s="359"/>
      <c r="AH183" s="359"/>
      <c r="AI183" s="358"/>
      <c r="AJ183" s="359"/>
      <c r="AK183" s="359"/>
      <c r="AL183" s="360"/>
      <c r="AM183" s="358"/>
      <c r="AN183" s="359"/>
      <c r="AO183" s="359"/>
      <c r="AP183" s="360"/>
      <c r="AQ183" s="359"/>
      <c r="AR183" s="359"/>
      <c r="AS183" s="359"/>
      <c r="AT183" s="360"/>
      <c r="AU183" s="359"/>
      <c r="AV183" s="359"/>
      <c r="AW183" s="359"/>
      <c r="AX183" s="360"/>
      <c r="AY183" s="359"/>
      <c r="AZ183" s="359"/>
      <c r="BA183" s="359"/>
      <c r="BB183" s="360"/>
      <c r="BC183" s="359"/>
      <c r="BD183" s="359"/>
      <c r="BE183" s="359"/>
      <c r="BF183" s="360"/>
      <c r="BG183" s="359"/>
      <c r="BH183" s="359"/>
      <c r="BI183" s="359"/>
      <c r="BJ183" s="360"/>
      <c r="BK183" s="359"/>
      <c r="BL183" s="359"/>
      <c r="BM183" s="359"/>
      <c r="BN183" s="360"/>
      <c r="BP183" s="359"/>
      <c r="BQ183" s="359"/>
      <c r="BR183" s="359"/>
      <c r="BS183" s="359"/>
      <c r="BT183" s="359"/>
      <c r="BU183" s="359"/>
      <c r="BV183" s="359"/>
      <c r="BW183" s="359"/>
      <c r="BX183" s="359"/>
      <c r="BY183" s="359"/>
      <c r="BZ183" s="359"/>
      <c r="CA183" s="359"/>
      <c r="CB183" s="359"/>
      <c r="CC183" s="359"/>
      <c r="CD183" s="359"/>
      <c r="CE183" s="359"/>
    </row>
    <row r="184" spans="1:226">
      <c r="B184" s="5" t="s">
        <v>254</v>
      </c>
      <c r="C184" s="43">
        <f t="shared" ref="C184:U184" si="1009">C231</f>
        <v>0</v>
      </c>
      <c r="D184" s="29">
        <f t="shared" si="1009"/>
        <v>0</v>
      </c>
      <c r="E184" s="29">
        <f t="shared" si="1009"/>
        <v>0</v>
      </c>
      <c r="F184" s="44">
        <f t="shared" si="1009"/>
        <v>0</v>
      </c>
      <c r="G184" s="29">
        <f t="shared" si="1009"/>
        <v>1.1890000000000001</v>
      </c>
      <c r="H184" s="29">
        <f t="shared" si="1009"/>
        <v>2.452</v>
      </c>
      <c r="I184" s="29">
        <f t="shared" si="1009"/>
        <v>1.899</v>
      </c>
      <c r="J184" s="29">
        <f t="shared" si="1009"/>
        <v>1.42</v>
      </c>
      <c r="K184" s="43">
        <f t="shared" si="1009"/>
        <v>3.9359999999999999</v>
      </c>
      <c r="L184" s="29">
        <f t="shared" si="1009"/>
        <v>5.6580000000000004</v>
      </c>
      <c r="M184" s="29">
        <f t="shared" si="1009"/>
        <v>9.5060000000000002</v>
      </c>
      <c r="N184" s="44">
        <f t="shared" si="1009"/>
        <v>10.631</v>
      </c>
      <c r="O184" s="29">
        <f t="shared" si="1009"/>
        <v>10.914</v>
      </c>
      <c r="P184" s="29">
        <f t="shared" si="1009"/>
        <v>8.1280000000000001</v>
      </c>
      <c r="Q184" s="29">
        <f t="shared" si="1009"/>
        <v>5.1120000000000001</v>
      </c>
      <c r="R184" s="29">
        <f t="shared" si="1009"/>
        <v>-24.154</v>
      </c>
      <c r="S184" s="43">
        <f t="shared" si="1009"/>
        <v>0</v>
      </c>
      <c r="T184" s="29">
        <f t="shared" si="1009"/>
        <v>0</v>
      </c>
      <c r="U184" s="29">
        <f t="shared" si="1009"/>
        <v>0</v>
      </c>
      <c r="V184" s="44">
        <f t="shared" ref="V184:AN184" si="1010">V231</f>
        <v>0</v>
      </c>
      <c r="W184" s="29">
        <f t="shared" si="1010"/>
        <v>0</v>
      </c>
      <c r="X184" s="29">
        <f t="shared" si="1010"/>
        <v>0</v>
      </c>
      <c r="Y184" s="29">
        <f t="shared" si="1010"/>
        <v>0</v>
      </c>
      <c r="Z184" s="29">
        <f t="shared" si="1010"/>
        <v>0</v>
      </c>
      <c r="AA184" s="43">
        <f t="shared" si="1010"/>
        <v>21.900000000000006</v>
      </c>
      <c r="AB184" s="29">
        <f t="shared" si="1010"/>
        <v>66</v>
      </c>
      <c r="AC184" s="29">
        <f t="shared" si="1010"/>
        <v>66</v>
      </c>
      <c r="AD184" s="44">
        <f t="shared" si="1010"/>
        <v>66</v>
      </c>
      <c r="AE184" s="29">
        <f t="shared" si="1010"/>
        <v>66</v>
      </c>
      <c r="AF184" s="29">
        <f t="shared" si="1010"/>
        <v>66</v>
      </c>
      <c r="AG184" s="29">
        <f t="shared" si="1010"/>
        <v>66</v>
      </c>
      <c r="AH184" s="29">
        <f t="shared" si="1010"/>
        <v>66</v>
      </c>
      <c r="AI184" s="43">
        <f t="shared" si="1010"/>
        <v>66</v>
      </c>
      <c r="AJ184" s="29">
        <f t="shared" si="1010"/>
        <v>66</v>
      </c>
      <c r="AK184" s="29">
        <f t="shared" si="1010"/>
        <v>66</v>
      </c>
      <c r="AL184" s="44">
        <f t="shared" si="1010"/>
        <v>66</v>
      </c>
      <c r="AM184" s="43">
        <f t="shared" si="1010"/>
        <v>66</v>
      </c>
      <c r="AN184" s="29">
        <f t="shared" si="1010"/>
        <v>66</v>
      </c>
      <c r="AO184" s="29">
        <f t="shared" ref="AO184:AT184" si="1011">AO200</f>
        <v>66</v>
      </c>
      <c r="AP184" s="44">
        <f>AP200</f>
        <v>66</v>
      </c>
      <c r="AQ184" s="29">
        <f t="shared" si="1011"/>
        <v>66</v>
      </c>
      <c r="AR184" s="29">
        <f t="shared" si="1011"/>
        <v>66</v>
      </c>
      <c r="AS184" s="29">
        <f t="shared" si="1011"/>
        <v>66</v>
      </c>
      <c r="AT184" s="44">
        <f t="shared" si="1011"/>
        <v>66</v>
      </c>
      <c r="AU184" s="29">
        <f t="shared" ref="AU184:AX184" si="1012">AU200</f>
        <v>66</v>
      </c>
      <c r="AV184" s="29">
        <f t="shared" si="1012"/>
        <v>66</v>
      </c>
      <c r="AW184" s="29">
        <f t="shared" si="1012"/>
        <v>66</v>
      </c>
      <c r="AX184" s="761">
        <f t="shared" si="1012"/>
        <v>66</v>
      </c>
      <c r="AY184" s="29">
        <f t="shared" ref="AY184:AZ184" si="1013">AY200</f>
        <v>43</v>
      </c>
      <c r="AZ184" s="741">
        <f t="shared" si="1013"/>
        <v>0</v>
      </c>
      <c r="BA184" s="29">
        <f t="shared" ref="BA184:BB184" si="1014">BA200</f>
        <v>0</v>
      </c>
      <c r="BB184" s="761">
        <f t="shared" si="1014"/>
        <v>0</v>
      </c>
      <c r="BC184" s="29">
        <f t="shared" ref="BC184:BD184" si="1015">BC200</f>
        <v>0</v>
      </c>
      <c r="BD184" s="741">
        <f t="shared" si="1015"/>
        <v>0</v>
      </c>
      <c r="BE184" s="29">
        <f t="shared" ref="BE184:BJ184" si="1016">BE200</f>
        <v>0</v>
      </c>
      <c r="BF184" s="44">
        <f t="shared" si="1016"/>
        <v>0</v>
      </c>
      <c r="BG184" s="29">
        <f t="shared" si="1016"/>
        <v>0</v>
      </c>
      <c r="BH184" s="741">
        <f t="shared" si="1016"/>
        <v>0</v>
      </c>
      <c r="BI184" s="29">
        <f t="shared" si="1016"/>
        <v>0</v>
      </c>
      <c r="BJ184" s="44">
        <f t="shared" si="1016"/>
        <v>0</v>
      </c>
      <c r="BK184" s="29">
        <f t="shared" ref="BK184:BN184" si="1017">BK200</f>
        <v>0</v>
      </c>
      <c r="BL184" s="741">
        <f t="shared" si="1017"/>
        <v>0</v>
      </c>
      <c r="BM184" s="29">
        <f t="shared" si="1017"/>
        <v>0</v>
      </c>
      <c r="BN184" s="44">
        <f t="shared" si="1017"/>
        <v>0</v>
      </c>
      <c r="BP184" s="59"/>
      <c r="BQ184" s="59"/>
      <c r="BR184" s="59"/>
      <c r="BS184" s="59"/>
      <c r="BT184" s="59"/>
      <c r="BU184" s="59"/>
      <c r="BV184" s="59">
        <f>SUM(AA184:AD184)</f>
        <v>219.9</v>
      </c>
      <c r="BW184" s="48">
        <f>SUM(AE184:AH184)</f>
        <v>264</v>
      </c>
      <c r="BX184" s="48">
        <f>SUM(AI184:AL184)</f>
        <v>264</v>
      </c>
      <c r="BY184" s="29">
        <f>SUM(AM184:AP184)</f>
        <v>264</v>
      </c>
      <c r="BZ184" s="29">
        <f>SUM(AQ184:AT184)</f>
        <v>264</v>
      </c>
      <c r="CA184" s="29">
        <f>SUM(AU184:AX184)</f>
        <v>264</v>
      </c>
      <c r="CB184" s="29">
        <f>SUM(AY184:BB184)</f>
        <v>43</v>
      </c>
      <c r="CC184" s="29">
        <f>SUM(BC184:BF184)</f>
        <v>0</v>
      </c>
      <c r="CD184" s="29">
        <f>SUM(BG184:BJ184)</f>
        <v>0</v>
      </c>
      <c r="CE184" s="29">
        <f>SUM(BK184:BN184)</f>
        <v>0</v>
      </c>
    </row>
    <row r="185" spans="1:226">
      <c r="B185" s="91" t="s">
        <v>114</v>
      </c>
      <c r="AB185" s="35"/>
      <c r="AC185" s="35"/>
      <c r="AD185" s="36"/>
      <c r="AE185" s="35">
        <f>AE184/AA184-1</f>
        <v>2.0136986301369855</v>
      </c>
      <c r="AF185" s="35">
        <f>AF184/AB184-1</f>
        <v>0</v>
      </c>
      <c r="AG185" s="35">
        <f>AG184/AC184-1</f>
        <v>0</v>
      </c>
      <c r="AH185" s="35">
        <f>AH184/AD184-1</f>
        <v>0</v>
      </c>
      <c r="AI185" s="34">
        <f>AI184/AE184-1</f>
        <v>0</v>
      </c>
      <c r="AJ185" s="35">
        <f t="shared" ref="AJ185:AP185" si="1018">AJ184/AF184-1</f>
        <v>0</v>
      </c>
      <c r="AK185" s="35">
        <f t="shared" si="1018"/>
        <v>0</v>
      </c>
      <c r="AL185" s="36">
        <f t="shared" si="1018"/>
        <v>0</v>
      </c>
      <c r="AM185" s="34">
        <f t="shared" si="1018"/>
        <v>0</v>
      </c>
      <c r="AN185" s="35">
        <f t="shared" si="1018"/>
        <v>0</v>
      </c>
      <c r="AO185" s="35">
        <f t="shared" si="1018"/>
        <v>0</v>
      </c>
      <c r="AP185" s="36">
        <f t="shared" si="1018"/>
        <v>0</v>
      </c>
      <c r="AQ185" s="35">
        <f>AQ184/AM184-1</f>
        <v>0</v>
      </c>
      <c r="AR185" s="35">
        <f>AR184/AN184-1</f>
        <v>0</v>
      </c>
      <c r="AS185" s="35">
        <f>AS184/AO184-1</f>
        <v>0</v>
      </c>
      <c r="AT185" s="36">
        <f>AT184/AP184-1</f>
        <v>0</v>
      </c>
      <c r="AU185" s="35">
        <f t="shared" ref="AU185" si="1019">AU184/AQ184-1</f>
        <v>0</v>
      </c>
      <c r="AV185" s="35">
        <f>AV184/AR184-1</f>
        <v>0</v>
      </c>
      <c r="AW185" s="35">
        <f>AW184/AS184-1</f>
        <v>0</v>
      </c>
      <c r="AX185" s="36">
        <f>AX184/AT184-1</f>
        <v>0</v>
      </c>
      <c r="AY185" s="818">
        <f t="shared" ref="AY185" si="1020">AY184/AU184-1</f>
        <v>-0.34848484848484851</v>
      </c>
      <c r="AZ185" s="818">
        <f>AZ184/AV184-1</f>
        <v>-1</v>
      </c>
      <c r="BA185" s="35">
        <f t="shared" ref="BA185" si="1021">BA184/AW184-1</f>
        <v>-1</v>
      </c>
      <c r="BB185" s="36">
        <f>BB184/AX184-1</f>
        <v>-1</v>
      </c>
      <c r="BC185" s="818"/>
      <c r="BD185" s="818"/>
      <c r="BE185" s="818"/>
      <c r="BF185" s="36"/>
      <c r="BG185" s="818"/>
      <c r="BH185" s="818"/>
      <c r="BI185" s="818"/>
      <c r="BJ185" s="36"/>
      <c r="BK185" s="818"/>
      <c r="BL185" s="818"/>
      <c r="BM185" s="818"/>
      <c r="BN185" s="36"/>
      <c r="BR185" s="35"/>
      <c r="BS185" s="35"/>
      <c r="BT185" s="35"/>
      <c r="BU185" s="35"/>
      <c r="BV185" s="35"/>
      <c r="BW185" s="35">
        <f t="shared" ref="BW185:CC185" si="1022">BW184/BV184-1</f>
        <v>0.20054570259208737</v>
      </c>
      <c r="BX185" s="35">
        <f t="shared" si="1022"/>
        <v>0</v>
      </c>
      <c r="BY185" s="35">
        <f t="shared" si="1022"/>
        <v>0</v>
      </c>
      <c r="BZ185" s="35">
        <f t="shared" si="1022"/>
        <v>0</v>
      </c>
      <c r="CA185" s="35">
        <f t="shared" si="1022"/>
        <v>0</v>
      </c>
      <c r="CB185" s="35">
        <f t="shared" si="1022"/>
        <v>-0.83712121212121215</v>
      </c>
      <c r="CC185" s="818">
        <f t="shared" si="1022"/>
        <v>-1</v>
      </c>
      <c r="CD185" s="818"/>
      <c r="CE185" s="818"/>
      <c r="CF185" s="25"/>
    </row>
    <row r="186" spans="1:226">
      <c r="B186" s="91" t="s">
        <v>115</v>
      </c>
      <c r="AB186" s="35">
        <f>AB184/AA184-1</f>
        <v>2.0136986301369855</v>
      </c>
      <c r="AC186" s="35">
        <f>AC184/AB184-1</f>
        <v>0</v>
      </c>
      <c r="AD186" s="36">
        <f>AD184/AC184-1</f>
        <v>0</v>
      </c>
      <c r="AE186" s="35">
        <f>AE184/AD184-1</f>
        <v>0</v>
      </c>
      <c r="AF186" s="35">
        <f>AF184/AE184-1</f>
        <v>0</v>
      </c>
      <c r="AG186" s="35">
        <f t="shared" ref="AG186:AP186" si="1023">AG184/AF184-1</f>
        <v>0</v>
      </c>
      <c r="AH186" s="35">
        <f t="shared" si="1023"/>
        <v>0</v>
      </c>
      <c r="AI186" s="34">
        <f t="shared" si="1023"/>
        <v>0</v>
      </c>
      <c r="AJ186" s="35">
        <f t="shared" si="1023"/>
        <v>0</v>
      </c>
      <c r="AK186" s="35">
        <f t="shared" si="1023"/>
        <v>0</v>
      </c>
      <c r="AL186" s="36">
        <f t="shared" si="1023"/>
        <v>0</v>
      </c>
      <c r="AM186" s="34">
        <f t="shared" si="1023"/>
        <v>0</v>
      </c>
      <c r="AN186" s="35">
        <f t="shared" si="1023"/>
        <v>0</v>
      </c>
      <c r="AO186" s="35">
        <f t="shared" si="1023"/>
        <v>0</v>
      </c>
      <c r="AP186" s="36">
        <f t="shared" si="1023"/>
        <v>0</v>
      </c>
      <c r="AQ186" s="35">
        <f>AQ184/AP184-1</f>
        <v>0</v>
      </c>
      <c r="AR186" s="35">
        <f>AR184/AQ184-1</f>
        <v>0</v>
      </c>
      <c r="AS186" s="35">
        <f>AS184/AR184-1</f>
        <v>0</v>
      </c>
      <c r="AT186" s="36">
        <f>AT184/AS184-1</f>
        <v>0</v>
      </c>
      <c r="AU186" s="35">
        <f t="shared" ref="AU186" si="1024">AU184/AT184-1</f>
        <v>0</v>
      </c>
      <c r="AV186" s="35">
        <f>AV184/AU184-1</f>
        <v>0</v>
      </c>
      <c r="AW186" s="35">
        <f>AW184/AV184-1</f>
        <v>0</v>
      </c>
      <c r="AX186" s="36">
        <f>AX184/AW184-1</f>
        <v>0</v>
      </c>
      <c r="AY186" s="818">
        <f t="shared" ref="AY186" si="1025">AY184/AX184-1</f>
        <v>-0.34848484848484851</v>
      </c>
      <c r="AZ186" s="818">
        <f>AZ184/AY184-1</f>
        <v>-1</v>
      </c>
      <c r="BA186" s="35"/>
      <c r="BB186" s="36">
        <v>0</v>
      </c>
      <c r="BC186" s="818"/>
      <c r="BD186" s="818"/>
      <c r="BE186" s="818"/>
      <c r="BF186" s="36"/>
      <c r="BG186" s="818"/>
      <c r="BH186" s="818"/>
      <c r="BI186" s="818"/>
      <c r="BJ186" s="36"/>
      <c r="BK186" s="818"/>
      <c r="BL186" s="818"/>
      <c r="BM186" s="818"/>
      <c r="BN186" s="36"/>
      <c r="BX186" s="35"/>
      <c r="BY186" s="35"/>
      <c r="BZ186" s="35"/>
      <c r="CA186" s="35"/>
      <c r="CB186" s="35"/>
      <c r="CC186" s="818"/>
      <c r="CD186" s="818"/>
      <c r="CE186" s="818"/>
    </row>
    <row r="187" spans="1:226">
      <c r="B187" s="91" t="s">
        <v>173</v>
      </c>
      <c r="BF187" s="16"/>
      <c r="BJ187" s="16"/>
      <c r="BN187" s="16"/>
      <c r="CE187" s="925"/>
    </row>
    <row r="188" spans="1:226">
      <c r="B188" s="91"/>
      <c r="BF188" s="16"/>
      <c r="BJ188" s="16"/>
      <c r="BN188" s="16"/>
      <c r="CE188" s="925"/>
    </row>
    <row r="189" spans="1:226" s="46" customFormat="1">
      <c r="A189" s="84"/>
      <c r="B189" s="162" t="s">
        <v>117</v>
      </c>
      <c r="C189" s="294"/>
      <c r="D189" s="53"/>
      <c r="E189" s="53"/>
      <c r="F189" s="282"/>
      <c r="G189" s="53"/>
      <c r="H189" s="53"/>
      <c r="I189" s="53"/>
      <c r="J189" s="53"/>
      <c r="K189" s="294"/>
      <c r="L189" s="53"/>
      <c r="M189" s="53"/>
      <c r="N189" s="282"/>
      <c r="O189" s="53"/>
      <c r="P189" s="53"/>
      <c r="Q189" s="53"/>
      <c r="R189" s="53"/>
      <c r="S189" s="294"/>
      <c r="T189" s="53"/>
      <c r="U189" s="53"/>
      <c r="V189" s="282"/>
      <c r="W189" s="53"/>
      <c r="X189" s="53"/>
      <c r="Y189" s="53"/>
      <c r="Z189" s="53"/>
      <c r="AA189" s="294">
        <f t="shared" ref="AA189:AO189" si="1026">AA210</f>
        <v>21.900000000000006</v>
      </c>
      <c r="AB189" s="53">
        <f t="shared" si="1026"/>
        <v>66</v>
      </c>
      <c r="AC189" s="53">
        <f t="shared" si="1026"/>
        <v>66</v>
      </c>
      <c r="AD189" s="282">
        <f t="shared" si="1026"/>
        <v>66</v>
      </c>
      <c r="AE189" s="53">
        <f t="shared" si="1026"/>
        <v>66</v>
      </c>
      <c r="AF189" s="53">
        <f t="shared" si="1026"/>
        <v>66</v>
      </c>
      <c r="AG189" s="53">
        <f t="shared" si="1026"/>
        <v>66</v>
      </c>
      <c r="AH189" s="53">
        <f t="shared" si="1026"/>
        <v>66</v>
      </c>
      <c r="AI189" s="294">
        <f t="shared" si="1026"/>
        <v>66</v>
      </c>
      <c r="AJ189" s="53">
        <f t="shared" si="1026"/>
        <v>66</v>
      </c>
      <c r="AK189" s="53">
        <f t="shared" si="1026"/>
        <v>66</v>
      </c>
      <c r="AL189" s="282">
        <f t="shared" si="1026"/>
        <v>66</v>
      </c>
      <c r="AM189" s="294">
        <f t="shared" si="1026"/>
        <v>66</v>
      </c>
      <c r="AN189" s="53">
        <f t="shared" si="1026"/>
        <v>66</v>
      </c>
      <c r="AO189" s="53">
        <f t="shared" si="1026"/>
        <v>66</v>
      </c>
      <c r="AP189" s="282">
        <f>AP210</f>
        <v>66</v>
      </c>
      <c r="AQ189" s="53">
        <f>AQ210</f>
        <v>66</v>
      </c>
      <c r="AR189" s="53">
        <f>AR210</f>
        <v>66</v>
      </c>
      <c r="AS189" s="53">
        <f>AS210</f>
        <v>66</v>
      </c>
      <c r="AT189" s="282">
        <f>AT210</f>
        <v>66</v>
      </c>
      <c r="AU189" s="53">
        <f t="shared" ref="AU189" si="1027">AU210</f>
        <v>66</v>
      </c>
      <c r="AV189" s="53">
        <f>AV210</f>
        <v>66</v>
      </c>
      <c r="AW189" s="53">
        <f>AW210</f>
        <v>66</v>
      </c>
      <c r="AX189" s="793">
        <f>AX210</f>
        <v>66</v>
      </c>
      <c r="AY189" s="53">
        <f t="shared" ref="AY189" si="1028">AY210</f>
        <v>43</v>
      </c>
      <c r="AZ189" s="910">
        <f>AZ210</f>
        <v>0</v>
      </c>
      <c r="BA189" s="53">
        <f t="shared" ref="BA189" si="1029">BA210</f>
        <v>0</v>
      </c>
      <c r="BB189" s="793">
        <f>BB210</f>
        <v>0</v>
      </c>
      <c r="BC189" s="53">
        <f t="shared" ref="BC189:BD189" si="1030">BC210</f>
        <v>0</v>
      </c>
      <c r="BD189" s="910">
        <f t="shared" si="1030"/>
        <v>0</v>
      </c>
      <c r="BE189" s="53">
        <f t="shared" ref="BE189:BJ189" si="1031">BE210</f>
        <v>0</v>
      </c>
      <c r="BF189" s="282">
        <f t="shared" si="1031"/>
        <v>0</v>
      </c>
      <c r="BG189" s="53">
        <f t="shared" si="1031"/>
        <v>0</v>
      </c>
      <c r="BH189" s="910">
        <f t="shared" si="1031"/>
        <v>0</v>
      </c>
      <c r="BI189" s="53">
        <f t="shared" si="1031"/>
        <v>0</v>
      </c>
      <c r="BJ189" s="282">
        <f t="shared" si="1031"/>
        <v>0</v>
      </c>
      <c r="BK189" s="53">
        <f t="shared" ref="BK189:BN189" si="1032">BK210</f>
        <v>0</v>
      </c>
      <c r="BL189" s="910">
        <f t="shared" si="1032"/>
        <v>0</v>
      </c>
      <c r="BM189" s="53">
        <f t="shared" si="1032"/>
        <v>0</v>
      </c>
      <c r="BN189" s="282">
        <f t="shared" si="1032"/>
        <v>0</v>
      </c>
      <c r="BO189" s="88"/>
      <c r="BP189" s="59"/>
      <c r="BQ189" s="59"/>
      <c r="BR189" s="59"/>
      <c r="BS189" s="59"/>
      <c r="BT189" s="59"/>
      <c r="BU189" s="59"/>
      <c r="BV189" s="59">
        <f>SUM(AA189:AD189)</f>
        <v>219.9</v>
      </c>
      <c r="BW189" s="48">
        <f>SUM(AE189:AH189)</f>
        <v>264</v>
      </c>
      <c r="BX189" s="48">
        <f>SUM(AI189:AL189)</f>
        <v>264</v>
      </c>
      <c r="BY189" s="59">
        <f t="shared" ref="BY189:BZ189" si="1033">BY184*BY211</f>
        <v>264</v>
      </c>
      <c r="BZ189" s="59">
        <f t="shared" si="1033"/>
        <v>264</v>
      </c>
      <c r="CA189" s="59">
        <f>CA184*CA211</f>
        <v>264</v>
      </c>
      <c r="CB189" s="59"/>
      <c r="CC189" s="59"/>
      <c r="CD189" s="59"/>
      <c r="CE189" s="59"/>
      <c r="CF189" s="88"/>
      <c r="CG189" s="88"/>
      <c r="CH189" s="88"/>
      <c r="CI189" s="29"/>
      <c r="CJ189" s="2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29"/>
      <c r="DD189" s="2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29"/>
      <c r="DX189" s="2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29"/>
      <c r="ER189" s="29"/>
      <c r="ES189" s="29"/>
      <c r="ET189" s="29"/>
      <c r="EU189" s="29"/>
      <c r="EV189" s="29"/>
      <c r="EW189" s="29"/>
      <c r="EX189" s="29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29"/>
      <c r="FJ189" s="29"/>
      <c r="FK189" s="29"/>
      <c r="FL189" s="29"/>
      <c r="FM189" s="29"/>
      <c r="FN189" s="29"/>
      <c r="FO189" s="29"/>
      <c r="FP189" s="29"/>
      <c r="FQ189" s="29"/>
      <c r="FR189" s="29"/>
      <c r="FS189" s="29"/>
      <c r="FT189" s="29"/>
      <c r="FU189" s="29"/>
      <c r="FV189" s="29"/>
      <c r="FW189" s="29"/>
      <c r="FX189" s="29"/>
      <c r="FY189" s="29"/>
      <c r="FZ189" s="29"/>
      <c r="GA189" s="29"/>
      <c r="GB189" s="29"/>
      <c r="GC189" s="29"/>
      <c r="GD189" s="29"/>
      <c r="GE189" s="29"/>
      <c r="GF189" s="29"/>
      <c r="GG189" s="29"/>
      <c r="GH189" s="29"/>
      <c r="GI189" s="29"/>
      <c r="GJ189" s="29"/>
      <c r="GK189" s="29"/>
      <c r="GL189" s="29"/>
      <c r="GM189" s="29"/>
      <c r="GN189" s="29"/>
      <c r="GO189" s="29"/>
      <c r="GP189" s="29"/>
      <c r="GQ189" s="29"/>
      <c r="GR189" s="29"/>
      <c r="GS189" s="29"/>
      <c r="GT189" s="29"/>
      <c r="GU189" s="29"/>
      <c r="GV189" s="29"/>
      <c r="GW189" s="29"/>
      <c r="GX189" s="29"/>
      <c r="GY189" s="29"/>
      <c r="GZ189" s="29"/>
      <c r="HA189" s="29"/>
      <c r="HB189" s="29"/>
      <c r="HC189" s="29"/>
      <c r="HD189" s="29"/>
      <c r="HE189" s="29"/>
      <c r="HF189" s="29"/>
      <c r="HG189" s="29"/>
      <c r="HH189" s="29"/>
      <c r="HI189" s="29"/>
      <c r="HJ189" s="29"/>
      <c r="HK189" s="29"/>
      <c r="HL189" s="29"/>
      <c r="HM189" s="29"/>
      <c r="HN189" s="29"/>
      <c r="HO189" s="29"/>
      <c r="HP189" s="29"/>
      <c r="HQ189" s="29"/>
      <c r="HR189" s="29"/>
    </row>
    <row r="190" spans="1:226">
      <c r="B190" s="91" t="s">
        <v>282</v>
      </c>
      <c r="C190" s="292"/>
      <c r="D190" s="57"/>
      <c r="E190" s="57"/>
      <c r="F190" s="293"/>
      <c r="G190" s="57"/>
      <c r="H190" s="57"/>
      <c r="I190" s="57"/>
      <c r="J190" s="57"/>
      <c r="K190" s="292"/>
      <c r="L190" s="57"/>
      <c r="M190" s="57"/>
      <c r="N190" s="293"/>
      <c r="O190" s="57"/>
      <c r="P190" s="57"/>
      <c r="Q190" s="57"/>
      <c r="R190" s="57"/>
      <c r="S190" s="292"/>
      <c r="T190" s="57"/>
      <c r="U190" s="57"/>
      <c r="V190" s="293"/>
      <c r="W190" s="57"/>
      <c r="X190" s="57"/>
      <c r="Y190" s="57"/>
      <c r="Z190" s="57"/>
      <c r="AA190" s="292">
        <f>AA189/AA184</f>
        <v>1</v>
      </c>
      <c r="AB190" s="57">
        <f t="shared" ref="AB190:AO190" si="1034">AB189/AB184</f>
        <v>1</v>
      </c>
      <c r="AC190" s="57">
        <f t="shared" si="1034"/>
        <v>1</v>
      </c>
      <c r="AD190" s="293">
        <f t="shared" si="1034"/>
        <v>1</v>
      </c>
      <c r="AE190" s="57">
        <f t="shared" si="1034"/>
        <v>1</v>
      </c>
      <c r="AF190" s="57">
        <f t="shared" si="1034"/>
        <v>1</v>
      </c>
      <c r="AG190" s="57">
        <f t="shared" si="1034"/>
        <v>1</v>
      </c>
      <c r="AH190" s="57">
        <f t="shared" si="1034"/>
        <v>1</v>
      </c>
      <c r="AI190" s="292">
        <f t="shared" si="1034"/>
        <v>1</v>
      </c>
      <c r="AJ190" s="57">
        <f t="shared" si="1034"/>
        <v>1</v>
      </c>
      <c r="AK190" s="57">
        <f t="shared" si="1034"/>
        <v>1</v>
      </c>
      <c r="AL190" s="293">
        <f t="shared" si="1034"/>
        <v>1</v>
      </c>
      <c r="AM190" s="292">
        <f t="shared" si="1034"/>
        <v>1</v>
      </c>
      <c r="AN190" s="57">
        <f t="shared" si="1034"/>
        <v>1</v>
      </c>
      <c r="AO190" s="57">
        <f t="shared" si="1034"/>
        <v>1</v>
      </c>
      <c r="AP190" s="293">
        <f>AP189/AP184</f>
        <v>1</v>
      </c>
      <c r="AQ190" s="57">
        <f>AQ189/AQ184</f>
        <v>1</v>
      </c>
      <c r="AR190" s="57">
        <f>AR189/AR184</f>
        <v>1</v>
      </c>
      <c r="AS190" s="57">
        <f>AS189/AS184</f>
        <v>1</v>
      </c>
      <c r="AT190" s="293">
        <f>AT189/AT184</f>
        <v>1</v>
      </c>
      <c r="AU190" s="57">
        <f t="shared" ref="AU190" si="1035">AU189/AU184</f>
        <v>1</v>
      </c>
      <c r="AV190" s="57">
        <f>AV189/AV184</f>
        <v>1</v>
      </c>
      <c r="AW190" s="57">
        <f>AW189/AW184</f>
        <v>1</v>
      </c>
      <c r="AX190" s="795">
        <f>AX189/AX184</f>
        <v>1</v>
      </c>
      <c r="AY190" s="57">
        <f t="shared" ref="AY190" si="1036">AY189/AY184</f>
        <v>1</v>
      </c>
      <c r="AZ190" s="819">
        <v>0</v>
      </c>
      <c r="BA190" s="57"/>
      <c r="BB190" s="795">
        <v>0</v>
      </c>
      <c r="BC190" s="57"/>
      <c r="BD190" s="819"/>
      <c r="BE190" s="57"/>
      <c r="BF190" s="293"/>
      <c r="BG190" s="57"/>
      <c r="BH190" s="819"/>
      <c r="BI190" s="57"/>
      <c r="BJ190" s="293"/>
      <c r="BK190" s="57"/>
      <c r="BL190" s="819"/>
      <c r="BM190" s="57"/>
      <c r="BN190" s="293"/>
      <c r="BO190" s="88"/>
      <c r="BR190" s="35"/>
      <c r="BS190" s="35"/>
      <c r="BT190" s="35"/>
      <c r="BU190" s="35"/>
      <c r="BV190" s="57">
        <f t="shared" ref="BV190:CA190" si="1037">BV189/BV184</f>
        <v>1</v>
      </c>
      <c r="BW190" s="57">
        <f t="shared" si="1037"/>
        <v>1</v>
      </c>
      <c r="BX190" s="57">
        <f t="shared" si="1037"/>
        <v>1</v>
      </c>
      <c r="BY190" s="57">
        <f t="shared" si="1037"/>
        <v>1</v>
      </c>
      <c r="BZ190" s="57">
        <f t="shared" si="1037"/>
        <v>1</v>
      </c>
      <c r="CA190" s="57">
        <f t="shared" si="1037"/>
        <v>1</v>
      </c>
      <c r="CB190" s="57"/>
      <c r="CC190" s="57"/>
      <c r="CD190" s="57"/>
      <c r="CE190" s="57"/>
    </row>
    <row r="191" spans="1:226">
      <c r="B191" s="91"/>
      <c r="BF191" s="16"/>
      <c r="BJ191" s="16"/>
      <c r="BN191" s="16"/>
      <c r="CE191" s="925"/>
    </row>
    <row r="192" spans="1:226">
      <c r="B192" s="376" t="s">
        <v>315</v>
      </c>
      <c r="BF192" s="16"/>
      <c r="BJ192" s="16"/>
      <c r="BN192" s="16"/>
      <c r="CE192" s="925"/>
    </row>
    <row r="193" spans="2:83">
      <c r="B193" s="5" t="s">
        <v>322</v>
      </c>
      <c r="V193" s="24"/>
      <c r="W193" s="14">
        <f t="shared" ref="W193:AD193" si="1038">W198</f>
        <v>0</v>
      </c>
      <c r="X193" s="14">
        <f t="shared" si="1038"/>
        <v>0</v>
      </c>
      <c r="Y193" s="14">
        <f t="shared" si="1038"/>
        <v>0</v>
      </c>
      <c r="Z193" s="14">
        <f t="shared" si="1038"/>
        <v>0</v>
      </c>
      <c r="AA193" s="23">
        <f t="shared" si="1038"/>
        <v>21.900000000000006</v>
      </c>
      <c r="AB193" s="14">
        <f>AB198</f>
        <v>66</v>
      </c>
      <c r="AC193" s="14">
        <f t="shared" si="1038"/>
        <v>66</v>
      </c>
      <c r="AD193" s="24">
        <f t="shared" si="1038"/>
        <v>66</v>
      </c>
      <c r="AE193" s="501">
        <f t="shared" ref="AE193:AM193" si="1039">AE231</f>
        <v>66</v>
      </c>
      <c r="AF193" s="501">
        <f t="shared" si="1039"/>
        <v>66</v>
      </c>
      <c r="AG193" s="501">
        <f t="shared" si="1039"/>
        <v>66</v>
      </c>
      <c r="AH193" s="501">
        <f t="shared" si="1039"/>
        <v>66</v>
      </c>
      <c r="AI193" s="502">
        <f t="shared" si="1039"/>
        <v>66</v>
      </c>
      <c r="AJ193" s="501">
        <f t="shared" si="1039"/>
        <v>66</v>
      </c>
      <c r="AK193" s="501">
        <f t="shared" si="1039"/>
        <v>66</v>
      </c>
      <c r="AL193" s="503">
        <f t="shared" si="1039"/>
        <v>66</v>
      </c>
      <c r="AM193" s="502">
        <f t="shared" si="1039"/>
        <v>66</v>
      </c>
      <c r="AN193" s="14">
        <f t="shared" ref="AN193:AU193" si="1040">AN231</f>
        <v>66</v>
      </c>
      <c r="AO193" s="14">
        <f t="shared" si="1040"/>
        <v>66</v>
      </c>
      <c r="AP193" s="503">
        <f t="shared" si="1040"/>
        <v>66</v>
      </c>
      <c r="AQ193" s="14">
        <f t="shared" si="1040"/>
        <v>66</v>
      </c>
      <c r="AR193" s="14">
        <f t="shared" si="1040"/>
        <v>66</v>
      </c>
      <c r="AS193" s="14">
        <f t="shared" si="1040"/>
        <v>66</v>
      </c>
      <c r="AT193" s="503">
        <f t="shared" si="1040"/>
        <v>66</v>
      </c>
      <c r="AU193" s="14">
        <f t="shared" si="1040"/>
        <v>66</v>
      </c>
      <c r="AV193" s="14">
        <f t="shared" ref="AV193:AZ193" si="1041">AV231</f>
        <v>66</v>
      </c>
      <c r="AW193" s="14">
        <f t="shared" si="1041"/>
        <v>66</v>
      </c>
      <c r="AX193" s="16">
        <f t="shared" si="1041"/>
        <v>66</v>
      </c>
      <c r="AY193" s="847">
        <f t="shared" si="1041"/>
        <v>43</v>
      </c>
      <c r="AZ193" s="847">
        <f t="shared" si="1041"/>
        <v>0</v>
      </c>
      <c r="BB193" s="16">
        <f t="shared" ref="BB193" si="1042">BB231</f>
        <v>0</v>
      </c>
      <c r="BC193" s="926"/>
      <c r="BD193" s="926"/>
      <c r="BF193" s="16"/>
      <c r="BG193" s="926"/>
      <c r="BH193" s="926"/>
      <c r="BJ193" s="16"/>
      <c r="BK193" s="926"/>
      <c r="BL193" s="926"/>
      <c r="BN193" s="16"/>
      <c r="BU193" s="48"/>
      <c r="BV193" s="48">
        <f>SUM(AA193:AD193)</f>
        <v>219.9</v>
      </c>
      <c r="BW193" s="48">
        <f>SUM(AE193:AH193)</f>
        <v>264</v>
      </c>
      <c r="BX193" s="48">
        <f>SUM(AI193:AL193)</f>
        <v>264</v>
      </c>
      <c r="BY193" s="29">
        <f>SUM(AM193:AP193)</f>
        <v>264</v>
      </c>
      <c r="BZ193" s="29"/>
      <c r="CA193" s="29"/>
      <c r="CB193" s="29"/>
      <c r="CC193" s="29"/>
      <c r="CD193" s="29"/>
      <c r="CE193" s="29"/>
    </row>
    <row r="194" spans="2:83">
      <c r="B194" s="5" t="s">
        <v>323</v>
      </c>
      <c r="AA194" s="23">
        <f>AA198</f>
        <v>21.900000000000006</v>
      </c>
      <c r="AB194" s="14">
        <f t="shared" ref="AB194:AM194" si="1043">AB198</f>
        <v>66</v>
      </c>
      <c r="AC194" s="14">
        <f t="shared" si="1043"/>
        <v>66</v>
      </c>
      <c r="AD194" s="24">
        <f t="shared" si="1043"/>
        <v>66</v>
      </c>
      <c r="AE194" s="14">
        <f t="shared" si="1043"/>
        <v>66</v>
      </c>
      <c r="AF194" s="14">
        <f t="shared" si="1043"/>
        <v>66</v>
      </c>
      <c r="AG194" s="14">
        <f t="shared" si="1043"/>
        <v>66</v>
      </c>
      <c r="AH194" s="14">
        <f t="shared" si="1043"/>
        <v>66</v>
      </c>
      <c r="AI194" s="23">
        <f t="shared" si="1043"/>
        <v>66</v>
      </c>
      <c r="AJ194" s="14">
        <f t="shared" si="1043"/>
        <v>66</v>
      </c>
      <c r="AK194" s="14">
        <f t="shared" si="1043"/>
        <v>66</v>
      </c>
      <c r="AL194" s="24">
        <f t="shared" si="1043"/>
        <v>66</v>
      </c>
      <c r="AM194" s="23">
        <f t="shared" si="1043"/>
        <v>66</v>
      </c>
      <c r="AN194" s="14">
        <f t="shared" ref="AN194:AT194" si="1044">AN198</f>
        <v>66</v>
      </c>
      <c r="AO194" s="14">
        <f t="shared" si="1044"/>
        <v>66</v>
      </c>
      <c r="AP194" s="24">
        <f t="shared" si="1044"/>
        <v>66</v>
      </c>
      <c r="AQ194" s="14">
        <f t="shared" si="1044"/>
        <v>66</v>
      </c>
      <c r="AR194" s="14">
        <f t="shared" si="1044"/>
        <v>66</v>
      </c>
      <c r="AS194" s="14">
        <f t="shared" si="1044"/>
        <v>66</v>
      </c>
      <c r="AT194" s="24">
        <f t="shared" si="1044"/>
        <v>66</v>
      </c>
      <c r="AU194" s="14">
        <f t="shared" ref="AU194:AX194" si="1045">AU198</f>
        <v>66</v>
      </c>
      <c r="AV194" s="14">
        <f t="shared" si="1045"/>
        <v>66</v>
      </c>
      <c r="AW194" s="14">
        <f t="shared" si="1045"/>
        <v>66</v>
      </c>
      <c r="AX194" s="24">
        <f t="shared" si="1045"/>
        <v>66</v>
      </c>
      <c r="AY194" s="847">
        <f t="shared" ref="AY194:AZ194" si="1046">AY198</f>
        <v>43</v>
      </c>
      <c r="AZ194" s="847">
        <f t="shared" si="1046"/>
        <v>0</v>
      </c>
      <c r="BA194" s="719">
        <f t="shared" ref="BA194:BB194" si="1047">BA198</f>
        <v>0</v>
      </c>
      <c r="BB194" s="24">
        <f t="shared" si="1047"/>
        <v>0</v>
      </c>
      <c r="BC194" s="926">
        <f t="shared" ref="BC194:BD194" si="1048">BC198</f>
        <v>0</v>
      </c>
      <c r="BD194" s="926">
        <f t="shared" si="1048"/>
        <v>0</v>
      </c>
      <c r="BE194" s="719">
        <f t="shared" ref="BE194:BJ194" si="1049">BE198</f>
        <v>0</v>
      </c>
      <c r="BF194" s="723">
        <f t="shared" si="1049"/>
        <v>0</v>
      </c>
      <c r="BG194" s="926">
        <f t="shared" si="1049"/>
        <v>0</v>
      </c>
      <c r="BH194" s="926">
        <f t="shared" si="1049"/>
        <v>0</v>
      </c>
      <c r="BI194" s="719">
        <f t="shared" si="1049"/>
        <v>0</v>
      </c>
      <c r="BJ194" s="723">
        <f t="shared" si="1049"/>
        <v>0</v>
      </c>
      <c r="BK194" s="926">
        <f t="shared" ref="BK194:BN194" si="1050">BK198</f>
        <v>0</v>
      </c>
      <c r="BL194" s="926">
        <f t="shared" si="1050"/>
        <v>0</v>
      </c>
      <c r="BM194" s="719">
        <f t="shared" si="1050"/>
        <v>0</v>
      </c>
      <c r="BN194" s="723">
        <f t="shared" si="1050"/>
        <v>0</v>
      </c>
      <c r="BY194" s="29"/>
      <c r="BZ194" s="14">
        <f>SUM(AQ194:AT194)</f>
        <v>264</v>
      </c>
      <c r="CA194" s="14">
        <f>CA184</f>
        <v>264</v>
      </c>
      <c r="CB194" s="14">
        <f>CB184</f>
        <v>43</v>
      </c>
      <c r="CC194" s="926">
        <f>CC184</f>
        <v>0</v>
      </c>
      <c r="CD194" s="926">
        <f>CD184</f>
        <v>0</v>
      </c>
      <c r="CE194" s="926">
        <f>CE184</f>
        <v>0</v>
      </c>
    </row>
    <row r="195" spans="2:83">
      <c r="B195" s="347" t="s">
        <v>246</v>
      </c>
      <c r="C195" s="348"/>
      <c r="D195" s="347"/>
      <c r="E195" s="347"/>
      <c r="F195" s="349"/>
      <c r="G195" s="347"/>
      <c r="H195" s="347"/>
      <c r="I195" s="347"/>
      <c r="J195" s="347"/>
      <c r="K195" s="348"/>
      <c r="L195" s="347"/>
      <c r="M195" s="347"/>
      <c r="N195" s="349"/>
      <c r="O195" s="347"/>
      <c r="P195" s="347"/>
      <c r="Q195" s="347"/>
      <c r="R195" s="347"/>
      <c r="S195" s="348"/>
      <c r="T195" s="347"/>
      <c r="U195" s="347"/>
      <c r="V195" s="349"/>
      <c r="W195" s="350">
        <f t="shared" ref="W195:AP195" si="1051">W194-W193</f>
        <v>0</v>
      </c>
      <c r="X195" s="350">
        <f t="shared" si="1051"/>
        <v>0</v>
      </c>
      <c r="Y195" s="350">
        <f t="shared" si="1051"/>
        <v>0</v>
      </c>
      <c r="Z195" s="350">
        <f t="shared" si="1051"/>
        <v>0</v>
      </c>
      <c r="AA195" s="351">
        <f t="shared" si="1051"/>
        <v>0</v>
      </c>
      <c r="AB195" s="350">
        <f t="shared" si="1051"/>
        <v>0</v>
      </c>
      <c r="AC195" s="350">
        <f t="shared" si="1051"/>
        <v>0</v>
      </c>
      <c r="AD195" s="352">
        <f t="shared" si="1051"/>
        <v>0</v>
      </c>
      <c r="AE195" s="350">
        <f t="shared" si="1051"/>
        <v>0</v>
      </c>
      <c r="AF195" s="350">
        <f t="shared" si="1051"/>
        <v>0</v>
      </c>
      <c r="AG195" s="350">
        <f t="shared" si="1051"/>
        <v>0</v>
      </c>
      <c r="AH195" s="350">
        <f t="shared" si="1051"/>
        <v>0</v>
      </c>
      <c r="AI195" s="351">
        <f t="shared" si="1051"/>
        <v>0</v>
      </c>
      <c r="AJ195" s="350">
        <f t="shared" si="1051"/>
        <v>0</v>
      </c>
      <c r="AK195" s="350">
        <f t="shared" si="1051"/>
        <v>0</v>
      </c>
      <c r="AL195" s="352">
        <f t="shared" si="1051"/>
        <v>0</v>
      </c>
      <c r="AM195" s="351">
        <f t="shared" si="1051"/>
        <v>0</v>
      </c>
      <c r="AN195" s="350">
        <f t="shared" si="1051"/>
        <v>0</v>
      </c>
      <c r="AO195" s="350">
        <f t="shared" si="1051"/>
        <v>0</v>
      </c>
      <c r="AP195" s="352">
        <f t="shared" si="1051"/>
        <v>0</v>
      </c>
      <c r="AQ195" s="350">
        <f>AQ194-AQ193</f>
        <v>0</v>
      </c>
      <c r="AR195" s="350">
        <f>AR194-AR193</f>
        <v>0</v>
      </c>
      <c r="AS195" s="350">
        <f>AS194-AS193</f>
        <v>0</v>
      </c>
      <c r="AT195" s="352">
        <f>AT194-AT193</f>
        <v>0</v>
      </c>
      <c r="AU195" s="350">
        <f t="shared" ref="AU195" si="1052">AU194-AU193</f>
        <v>0</v>
      </c>
      <c r="AV195" s="350">
        <f>AV194-AV193</f>
        <v>0</v>
      </c>
      <c r="AW195" s="350">
        <f>AW194-AW193</f>
        <v>0</v>
      </c>
      <c r="AX195" s="352">
        <f>AX194-AX193</f>
        <v>0</v>
      </c>
      <c r="AY195" s="859">
        <f t="shared" ref="AY195" si="1053">AY194-AY193</f>
        <v>0</v>
      </c>
      <c r="AZ195" s="859">
        <f>AZ194-AZ193</f>
        <v>0</v>
      </c>
      <c r="BA195" s="716">
        <f t="shared" ref="BA195" si="1054">BA194-BA193</f>
        <v>0</v>
      </c>
      <c r="BB195" s="352">
        <f>BB194-BB193</f>
        <v>0</v>
      </c>
      <c r="BC195" s="859">
        <f t="shared" ref="BC195:BD195" si="1055">BC194-BC193</f>
        <v>0</v>
      </c>
      <c r="BD195" s="859">
        <f t="shared" si="1055"/>
        <v>0</v>
      </c>
      <c r="BE195" s="716">
        <f t="shared" ref="BE195:BJ195" si="1056">BE194-BE193</f>
        <v>0</v>
      </c>
      <c r="BF195" s="725">
        <f t="shared" si="1056"/>
        <v>0</v>
      </c>
      <c r="BG195" s="859">
        <f t="shared" si="1056"/>
        <v>0</v>
      </c>
      <c r="BH195" s="859">
        <f t="shared" si="1056"/>
        <v>0</v>
      </c>
      <c r="BI195" s="716">
        <f t="shared" si="1056"/>
        <v>0</v>
      </c>
      <c r="BJ195" s="725">
        <f t="shared" si="1056"/>
        <v>0</v>
      </c>
      <c r="BK195" s="859">
        <f t="shared" ref="BK195:BN195" si="1057">BK194-BK193</f>
        <v>0</v>
      </c>
      <c r="BL195" s="859">
        <f t="shared" si="1057"/>
        <v>0</v>
      </c>
      <c r="BM195" s="716">
        <f t="shared" si="1057"/>
        <v>0</v>
      </c>
      <c r="BN195" s="725">
        <f t="shared" si="1057"/>
        <v>0</v>
      </c>
      <c r="BO195" s="85"/>
      <c r="BP195" s="347"/>
      <c r="BQ195" s="347"/>
      <c r="BR195" s="347"/>
      <c r="BS195" s="347"/>
      <c r="BT195" s="347"/>
      <c r="BU195" s="347"/>
      <c r="BV195" s="347"/>
      <c r="BW195" s="347"/>
      <c r="BX195" s="347"/>
      <c r="BY195" s="347"/>
      <c r="BZ195" s="347"/>
      <c r="CA195" s="347"/>
      <c r="CB195" s="347"/>
      <c r="CC195" s="347"/>
      <c r="CD195" s="347"/>
      <c r="CE195" s="347"/>
    </row>
    <row r="196" spans="2:83">
      <c r="B196" s="91"/>
      <c r="BF196" s="16"/>
      <c r="BJ196" s="16"/>
      <c r="BN196" s="16"/>
      <c r="CE196" s="925"/>
    </row>
    <row r="197" spans="2:83">
      <c r="B197" s="377" t="s">
        <v>255</v>
      </c>
      <c r="BF197" s="16"/>
      <c r="BJ197" s="16"/>
      <c r="BN197" s="16"/>
      <c r="CE197" s="925"/>
    </row>
    <row r="198" spans="2:83">
      <c r="B198" s="5" t="s">
        <v>256</v>
      </c>
      <c r="C198" s="307"/>
      <c r="D198" s="66"/>
      <c r="E198" s="66"/>
      <c r="F198" s="308"/>
      <c r="G198" s="66"/>
      <c r="H198" s="66"/>
      <c r="I198" s="66"/>
      <c r="J198" s="66"/>
      <c r="K198" s="307"/>
      <c r="L198" s="66"/>
      <c r="M198" s="66"/>
      <c r="N198" s="308"/>
      <c r="O198" s="66"/>
      <c r="P198" s="66"/>
      <c r="Q198" s="66"/>
      <c r="R198" s="66"/>
      <c r="S198" s="307">
        <v>0</v>
      </c>
      <c r="T198" s="66">
        <v>0</v>
      </c>
      <c r="U198" s="66">
        <v>0</v>
      </c>
      <c r="V198" s="308">
        <v>0</v>
      </c>
      <c r="W198" s="66">
        <v>0</v>
      </c>
      <c r="X198" s="66">
        <v>0</v>
      </c>
      <c r="Y198" s="66">
        <v>0</v>
      </c>
      <c r="Z198" s="66">
        <v>0</v>
      </c>
      <c r="AA198" s="460">
        <v>21.900000000000006</v>
      </c>
      <c r="AB198" s="459">
        <v>66</v>
      </c>
      <c r="AC198" s="458">
        <v>66</v>
      </c>
      <c r="AD198" s="461">
        <v>66</v>
      </c>
      <c r="AE198" s="458">
        <v>66</v>
      </c>
      <c r="AF198" s="459">
        <v>66</v>
      </c>
      <c r="AG198" s="458">
        <v>66</v>
      </c>
      <c r="AH198" s="458">
        <v>66</v>
      </c>
      <c r="AI198" s="460">
        <v>66</v>
      </c>
      <c r="AJ198" s="459">
        <v>66</v>
      </c>
      <c r="AK198" s="458">
        <v>66</v>
      </c>
      <c r="AL198" s="461">
        <v>66</v>
      </c>
      <c r="AM198" s="460">
        <v>66</v>
      </c>
      <c r="AN198" s="459">
        <v>66</v>
      </c>
      <c r="AO198" s="459">
        <v>66</v>
      </c>
      <c r="AP198" s="461">
        <v>66</v>
      </c>
      <c r="AQ198" s="458">
        <v>66</v>
      </c>
      <c r="AR198" s="458">
        <v>66</v>
      </c>
      <c r="AS198" s="458">
        <v>66</v>
      </c>
      <c r="AT198" s="461">
        <v>66</v>
      </c>
      <c r="AU198" s="458">
        <v>66</v>
      </c>
      <c r="AV198" s="458">
        <v>66</v>
      </c>
      <c r="AW198" s="826">
        <v>66</v>
      </c>
      <c r="AX198" s="798">
        <v>66</v>
      </c>
      <c r="AY198" s="458">
        <v>43</v>
      </c>
      <c r="AZ198" s="861">
        <v>0</v>
      </c>
      <c r="BA198" s="861">
        <v>0</v>
      </c>
      <c r="BB198" s="862">
        <v>0</v>
      </c>
      <c r="BC198" s="123">
        <v>0</v>
      </c>
      <c r="BD198" s="934">
        <v>0</v>
      </c>
      <c r="BE198" s="123">
        <v>0</v>
      </c>
      <c r="BF198" s="333">
        <v>0</v>
      </c>
      <c r="BG198" s="123">
        <v>0</v>
      </c>
      <c r="BH198" s="934">
        <v>0</v>
      </c>
      <c r="BI198" s="123">
        <v>0</v>
      </c>
      <c r="BJ198" s="333">
        <v>0</v>
      </c>
      <c r="BK198" s="123">
        <v>0</v>
      </c>
      <c r="BL198" s="934">
        <v>0</v>
      </c>
      <c r="BM198" s="123">
        <v>0</v>
      </c>
      <c r="BN198" s="333">
        <v>0</v>
      </c>
      <c r="BV198" s="48">
        <f>SUM(AA198:AD198)</f>
        <v>219.9</v>
      </c>
      <c r="BW198" s="48">
        <f>SUM(AE198:AH198)</f>
        <v>264</v>
      </c>
      <c r="BX198" s="48">
        <f>SUM(AI198:AL198)</f>
        <v>264</v>
      </c>
      <c r="BY198" s="29">
        <f>SUM(AM198:AP198)</f>
        <v>264</v>
      </c>
      <c r="BZ198" s="29">
        <f>SUM(AQ198:AT198)</f>
        <v>264</v>
      </c>
      <c r="CA198" s="29">
        <f t="shared" ref="CA198:CA200" si="1058">SUM(AU198:AX198)</f>
        <v>264</v>
      </c>
      <c r="CB198" s="29">
        <f>SUM(AY198:BB198)</f>
        <v>43</v>
      </c>
      <c r="CC198" s="29">
        <f>SUM(BC198:BF198)</f>
        <v>0</v>
      </c>
      <c r="CD198" s="29">
        <f>SUM(BG198:BJ198)</f>
        <v>0</v>
      </c>
      <c r="CE198" s="29">
        <f>SUM(BK198:BN198)</f>
        <v>0</v>
      </c>
    </row>
    <row r="199" spans="2:83">
      <c r="B199" s="5" t="s">
        <v>43</v>
      </c>
      <c r="C199" s="23">
        <f>C231</f>
        <v>0</v>
      </c>
      <c r="D199" s="14">
        <f t="shared" ref="D199:Z199" si="1059">D231</f>
        <v>0</v>
      </c>
      <c r="E199" s="14">
        <f t="shared" si="1059"/>
        <v>0</v>
      </c>
      <c r="F199" s="24">
        <f t="shared" si="1059"/>
        <v>0</v>
      </c>
      <c r="G199" s="14">
        <f t="shared" si="1059"/>
        <v>1.1890000000000001</v>
      </c>
      <c r="H199" s="14">
        <f t="shared" si="1059"/>
        <v>2.452</v>
      </c>
      <c r="I199" s="14">
        <f t="shared" si="1059"/>
        <v>1.899</v>
      </c>
      <c r="J199" s="14">
        <f t="shared" si="1059"/>
        <v>1.42</v>
      </c>
      <c r="K199" s="23">
        <f t="shared" si="1059"/>
        <v>3.9359999999999999</v>
      </c>
      <c r="L199" s="14">
        <f t="shared" si="1059"/>
        <v>5.6580000000000004</v>
      </c>
      <c r="M199" s="14">
        <f t="shared" si="1059"/>
        <v>9.5060000000000002</v>
      </c>
      <c r="N199" s="24">
        <f t="shared" si="1059"/>
        <v>10.631</v>
      </c>
      <c r="O199" s="14">
        <f t="shared" si="1059"/>
        <v>10.914</v>
      </c>
      <c r="P199" s="14">
        <f t="shared" si="1059"/>
        <v>8.1280000000000001</v>
      </c>
      <c r="Q199" s="14">
        <f t="shared" si="1059"/>
        <v>5.1120000000000001</v>
      </c>
      <c r="R199" s="14">
        <f t="shared" si="1059"/>
        <v>-24.154</v>
      </c>
      <c r="S199" s="23">
        <f t="shared" si="1059"/>
        <v>0</v>
      </c>
      <c r="T199" s="14">
        <f t="shared" si="1059"/>
        <v>0</v>
      </c>
      <c r="U199" s="14">
        <f t="shared" si="1059"/>
        <v>0</v>
      </c>
      <c r="V199" s="24">
        <f t="shared" si="1059"/>
        <v>0</v>
      </c>
      <c r="W199" s="14">
        <f t="shared" si="1059"/>
        <v>0</v>
      </c>
      <c r="X199" s="14">
        <f t="shared" si="1059"/>
        <v>0</v>
      </c>
      <c r="Y199" s="14">
        <f t="shared" si="1059"/>
        <v>0</v>
      </c>
      <c r="Z199" s="14">
        <f t="shared" si="1059"/>
        <v>0</v>
      </c>
      <c r="AA199" s="23"/>
      <c r="AB199" s="14"/>
      <c r="AC199" s="14"/>
      <c r="AE199" s="66">
        <v>0</v>
      </c>
      <c r="AF199" s="66">
        <v>0</v>
      </c>
      <c r="AG199" s="66">
        <v>0</v>
      </c>
      <c r="AH199" s="66">
        <v>0</v>
      </c>
      <c r="AI199" s="307">
        <v>0</v>
      </c>
      <c r="AJ199" s="66">
        <v>0</v>
      </c>
      <c r="AK199" s="66">
        <v>0</v>
      </c>
      <c r="AL199" s="308">
        <v>0</v>
      </c>
      <c r="AM199" s="307">
        <v>0</v>
      </c>
      <c r="AN199" s="66">
        <v>0</v>
      </c>
      <c r="AO199" s="66">
        <v>0</v>
      </c>
      <c r="AP199" s="308">
        <v>0</v>
      </c>
      <c r="AQ199" s="459">
        <v>0</v>
      </c>
      <c r="AR199" s="459">
        <v>0</v>
      </c>
      <c r="AS199" s="459">
        <v>0</v>
      </c>
      <c r="AT199" s="308">
        <v>0</v>
      </c>
      <c r="AU199" s="459">
        <v>0</v>
      </c>
      <c r="AV199" s="459">
        <v>0</v>
      </c>
      <c r="AW199" s="459">
        <v>0</v>
      </c>
      <c r="AX199" s="800">
        <v>0</v>
      </c>
      <c r="AY199" s="459">
        <v>0</v>
      </c>
      <c r="AZ199" s="845">
        <v>0</v>
      </c>
      <c r="BA199" s="845">
        <v>0</v>
      </c>
      <c r="BB199" s="800">
        <v>0</v>
      </c>
      <c r="BC199" s="459">
        <v>0</v>
      </c>
      <c r="BD199" s="845">
        <v>0</v>
      </c>
      <c r="BE199" s="66">
        <v>0</v>
      </c>
      <c r="BF199" s="308">
        <v>0</v>
      </c>
      <c r="BG199" s="459">
        <v>0</v>
      </c>
      <c r="BH199" s="845">
        <v>0</v>
      </c>
      <c r="BI199" s="66">
        <v>0</v>
      </c>
      <c r="BJ199" s="308">
        <v>0</v>
      </c>
      <c r="BK199" s="459">
        <v>0</v>
      </c>
      <c r="BL199" s="845">
        <v>0</v>
      </c>
      <c r="BM199" s="66">
        <v>0</v>
      </c>
      <c r="BN199" s="308">
        <v>0</v>
      </c>
      <c r="BV199" s="48">
        <f>SUM(AA199:AD199)</f>
        <v>0</v>
      </c>
      <c r="BW199" s="101">
        <v>0</v>
      </c>
      <c r="BX199" s="101">
        <v>0</v>
      </c>
      <c r="BY199" s="29">
        <f>SUM(AM199:AP199)</f>
        <v>0</v>
      </c>
      <c r="BZ199" s="29">
        <f>SUM(AQ199:AT199)</f>
        <v>0</v>
      </c>
      <c r="CA199" s="29">
        <f t="shared" si="1058"/>
        <v>0</v>
      </c>
      <c r="CB199" s="29">
        <f>SUM(AY199:BB199)</f>
        <v>0</v>
      </c>
      <c r="CC199" s="29">
        <f>SUM(BC199:BF199)</f>
        <v>0</v>
      </c>
      <c r="CD199" s="29">
        <f t="shared" ref="CD199:CD200" si="1060">SUM(BG199:BJ199)</f>
        <v>0</v>
      </c>
      <c r="CE199" s="29">
        <f>SUM(BK199:BN199)</f>
        <v>0</v>
      </c>
    </row>
    <row r="200" spans="2:83">
      <c r="B200" s="9" t="s">
        <v>251</v>
      </c>
      <c r="C200" s="268"/>
      <c r="D200" s="9"/>
      <c r="E200" s="9"/>
      <c r="F200" s="269"/>
      <c r="G200" s="9"/>
      <c r="H200" s="9"/>
      <c r="I200" s="9"/>
      <c r="J200" s="9"/>
      <c r="K200" s="268"/>
      <c r="L200" s="9"/>
      <c r="M200" s="9"/>
      <c r="N200" s="269"/>
      <c r="O200" s="9"/>
      <c r="P200" s="9"/>
      <c r="Q200" s="9"/>
      <c r="R200" s="9"/>
      <c r="S200" s="268"/>
      <c r="T200" s="9"/>
      <c r="U200" s="9"/>
      <c r="V200" s="269"/>
      <c r="W200" s="9"/>
      <c r="X200" s="9"/>
      <c r="Y200" s="9"/>
      <c r="Z200" s="9"/>
      <c r="AA200" s="268"/>
      <c r="AB200" s="9"/>
      <c r="AC200" s="9"/>
      <c r="AD200" s="269"/>
      <c r="AE200" s="47">
        <f t="shared" ref="AE200:AO200" si="1061">SUM(AE198:AE199)</f>
        <v>66</v>
      </c>
      <c r="AF200" s="47">
        <f t="shared" si="1061"/>
        <v>66</v>
      </c>
      <c r="AG200" s="47">
        <f t="shared" si="1061"/>
        <v>66</v>
      </c>
      <c r="AH200" s="47">
        <f t="shared" si="1061"/>
        <v>66</v>
      </c>
      <c r="AI200" s="207">
        <f t="shared" si="1061"/>
        <v>66</v>
      </c>
      <c r="AJ200" s="47">
        <f t="shared" si="1061"/>
        <v>66</v>
      </c>
      <c r="AK200" s="47">
        <f t="shared" si="1061"/>
        <v>66</v>
      </c>
      <c r="AL200" s="208">
        <f t="shared" si="1061"/>
        <v>66</v>
      </c>
      <c r="AM200" s="207">
        <f t="shared" si="1061"/>
        <v>66</v>
      </c>
      <c r="AN200" s="47">
        <f t="shared" si="1061"/>
        <v>66</v>
      </c>
      <c r="AO200" s="47">
        <f t="shared" si="1061"/>
        <v>66</v>
      </c>
      <c r="AP200" s="208">
        <f>SUM(AP198:AP199)</f>
        <v>66</v>
      </c>
      <c r="AQ200" s="47">
        <f>SUM(AQ198:AQ199)</f>
        <v>66</v>
      </c>
      <c r="AR200" s="47">
        <f>SUM(AR198:AR199)</f>
        <v>66</v>
      </c>
      <c r="AS200" s="47">
        <f>SUM(AS198:AS199)</f>
        <v>66</v>
      </c>
      <c r="AT200" s="208">
        <f>SUM(AT198:AT199)</f>
        <v>66</v>
      </c>
      <c r="AU200" s="47">
        <f t="shared" ref="AU200" si="1062">SUM(AU198:AU199)</f>
        <v>66</v>
      </c>
      <c r="AV200" s="47">
        <f>SUM(AV198:AV199)</f>
        <v>66</v>
      </c>
      <c r="AW200" s="47">
        <f>SUM(AW198:AW199)</f>
        <v>66</v>
      </c>
      <c r="AX200" s="782">
        <f>SUM(AX198:AX199)</f>
        <v>66</v>
      </c>
      <c r="AY200" s="47">
        <f t="shared" ref="AY200" si="1063">SUM(AY198:AY199)</f>
        <v>43</v>
      </c>
      <c r="AZ200" s="883">
        <f>SUM(AZ198:AZ199)</f>
        <v>0</v>
      </c>
      <c r="BA200" s="883">
        <f>SUM(BA198:BA199)</f>
        <v>0</v>
      </c>
      <c r="BB200" s="782">
        <f>SUM(BB198:BB199)</f>
        <v>0</v>
      </c>
      <c r="BC200" s="47">
        <f t="shared" ref="BC200:BD200" si="1064">SUM(BC198:BC199)</f>
        <v>0</v>
      </c>
      <c r="BD200" s="883">
        <f t="shared" si="1064"/>
        <v>0</v>
      </c>
      <c r="BE200" s="722">
        <f t="shared" ref="BE200:BJ200" si="1065">SUM(BE198:BE199)</f>
        <v>0</v>
      </c>
      <c r="BF200" s="729">
        <f t="shared" si="1065"/>
        <v>0</v>
      </c>
      <c r="BG200" s="47">
        <f t="shared" si="1065"/>
        <v>0</v>
      </c>
      <c r="BH200" s="883">
        <f t="shared" si="1065"/>
        <v>0</v>
      </c>
      <c r="BI200" s="722">
        <f t="shared" si="1065"/>
        <v>0</v>
      </c>
      <c r="BJ200" s="729">
        <f t="shared" si="1065"/>
        <v>0</v>
      </c>
      <c r="BK200" s="47">
        <f t="shared" ref="BK200:BN200" si="1066">SUM(BK198:BK199)</f>
        <v>0</v>
      </c>
      <c r="BL200" s="883">
        <f t="shared" si="1066"/>
        <v>0</v>
      </c>
      <c r="BM200" s="722">
        <f t="shared" si="1066"/>
        <v>0</v>
      </c>
      <c r="BN200" s="729">
        <f t="shared" si="1066"/>
        <v>0</v>
      </c>
      <c r="BV200" s="48">
        <f>SUM(AA200:AD200)</f>
        <v>0</v>
      </c>
      <c r="BW200" s="47">
        <f>SUM(BW198:BW199)</f>
        <v>264</v>
      </c>
      <c r="BX200" s="47">
        <f>SUM(AI200:AL200)</f>
        <v>264</v>
      </c>
      <c r="BY200" s="47">
        <f>SUM(AM200:AP200)</f>
        <v>264</v>
      </c>
      <c r="BZ200" s="47">
        <f>SUM(AQ200:AT200)</f>
        <v>264</v>
      </c>
      <c r="CA200" s="47">
        <f t="shared" si="1058"/>
        <v>264</v>
      </c>
      <c r="CB200" s="47">
        <f>SUM(AY200:BB200)</f>
        <v>43</v>
      </c>
      <c r="CC200" s="47">
        <f>SUM(BC200:BF200)</f>
        <v>0</v>
      </c>
      <c r="CD200" s="47">
        <f t="shared" si="1060"/>
        <v>0</v>
      </c>
      <c r="CE200" s="47">
        <f>SUM(BK200:BN200)</f>
        <v>0</v>
      </c>
    </row>
    <row r="201" spans="2:83">
      <c r="B201" s="347" t="s">
        <v>246</v>
      </c>
      <c r="C201" s="348"/>
      <c r="D201" s="347"/>
      <c r="E201" s="347"/>
      <c r="F201" s="349"/>
      <c r="G201" s="347"/>
      <c r="H201" s="347"/>
      <c r="I201" s="347"/>
      <c r="J201" s="347"/>
      <c r="K201" s="348"/>
      <c r="L201" s="347"/>
      <c r="M201" s="347"/>
      <c r="N201" s="349"/>
      <c r="O201" s="347"/>
      <c r="P201" s="347"/>
      <c r="Q201" s="347"/>
      <c r="R201" s="347"/>
      <c r="S201" s="348"/>
      <c r="T201" s="347"/>
      <c r="U201" s="347"/>
      <c r="V201" s="349"/>
      <c r="W201" s="350"/>
      <c r="X201" s="350"/>
      <c r="Y201" s="350"/>
      <c r="Z201" s="350"/>
      <c r="AA201" s="351"/>
      <c r="AB201" s="350"/>
      <c r="AC201" s="350"/>
      <c r="AD201" s="352"/>
      <c r="AE201" s="350">
        <f t="shared" ref="AE201:AO201" si="1067">AE200-AE184</f>
        <v>0</v>
      </c>
      <c r="AF201" s="350">
        <f t="shared" si="1067"/>
        <v>0</v>
      </c>
      <c r="AG201" s="350">
        <f t="shared" si="1067"/>
        <v>0</v>
      </c>
      <c r="AH201" s="350">
        <f t="shared" si="1067"/>
        <v>0</v>
      </c>
      <c r="AI201" s="351">
        <f t="shared" si="1067"/>
        <v>0</v>
      </c>
      <c r="AJ201" s="350">
        <f t="shared" si="1067"/>
        <v>0</v>
      </c>
      <c r="AK201" s="350">
        <f t="shared" si="1067"/>
        <v>0</v>
      </c>
      <c r="AL201" s="352">
        <f t="shared" si="1067"/>
        <v>0</v>
      </c>
      <c r="AM201" s="351">
        <f t="shared" si="1067"/>
        <v>0</v>
      </c>
      <c r="AN201" s="350">
        <f t="shared" si="1067"/>
        <v>0</v>
      </c>
      <c r="AO201" s="350">
        <f t="shared" si="1067"/>
        <v>0</v>
      </c>
      <c r="AP201" s="352">
        <f>AP200-AP184</f>
        <v>0</v>
      </c>
      <c r="AQ201" s="350">
        <f>AQ200-AQ184</f>
        <v>0</v>
      </c>
      <c r="AR201" s="350">
        <f>AR200-AR184</f>
        <v>0</v>
      </c>
      <c r="AS201" s="350">
        <f>AS200-AS184</f>
        <v>0</v>
      </c>
      <c r="AT201" s="352">
        <f>AT200-AT184</f>
        <v>0</v>
      </c>
      <c r="AU201" s="350">
        <f t="shared" ref="AU201:AV201" si="1068">AU200-AU184</f>
        <v>0</v>
      </c>
      <c r="AV201" s="350">
        <f t="shared" si="1068"/>
        <v>0</v>
      </c>
      <c r="AW201" s="350">
        <f>AW200-AW184</f>
        <v>0</v>
      </c>
      <c r="AX201" s="352">
        <f>AX200-AX184</f>
        <v>0</v>
      </c>
      <c r="AY201" s="859">
        <f t="shared" ref="AY201:AZ201" si="1069">AY200-AY184</f>
        <v>0</v>
      </c>
      <c r="AZ201" s="859">
        <f t="shared" si="1069"/>
        <v>0</v>
      </c>
      <c r="BA201" s="859">
        <f t="shared" ref="BA201" si="1070">BA200-BA184</f>
        <v>0</v>
      </c>
      <c r="BB201" s="352">
        <f>BB200-BB184</f>
        <v>0</v>
      </c>
      <c r="BC201" s="859">
        <f t="shared" ref="BC201:BD201" si="1071">BC200-BC184</f>
        <v>0</v>
      </c>
      <c r="BD201" s="859">
        <f t="shared" si="1071"/>
        <v>0</v>
      </c>
      <c r="BE201" s="716">
        <f t="shared" ref="BE201:BJ201" si="1072">BE200-BE184</f>
        <v>0</v>
      </c>
      <c r="BF201" s="725">
        <f t="shared" si="1072"/>
        <v>0</v>
      </c>
      <c r="BG201" s="859">
        <f t="shared" si="1072"/>
        <v>0</v>
      </c>
      <c r="BH201" s="859">
        <f t="shared" si="1072"/>
        <v>0</v>
      </c>
      <c r="BI201" s="716">
        <f t="shared" si="1072"/>
        <v>0</v>
      </c>
      <c r="BJ201" s="725">
        <f t="shared" si="1072"/>
        <v>0</v>
      </c>
      <c r="BK201" s="859">
        <f t="shared" ref="BK201:BN201" si="1073">BK200-BK184</f>
        <v>0</v>
      </c>
      <c r="BL201" s="859">
        <f t="shared" si="1073"/>
        <v>0</v>
      </c>
      <c r="BM201" s="716">
        <f t="shared" si="1073"/>
        <v>0</v>
      </c>
      <c r="BN201" s="725">
        <f t="shared" si="1073"/>
        <v>0</v>
      </c>
      <c r="BO201" s="85"/>
      <c r="BP201" s="347"/>
      <c r="BQ201" s="347"/>
      <c r="BR201" s="347"/>
      <c r="BS201" s="347"/>
      <c r="BT201" s="347"/>
      <c r="BU201" s="347"/>
      <c r="BV201" s="347"/>
      <c r="BW201" s="347"/>
      <c r="BX201" s="347"/>
      <c r="BY201" s="347"/>
      <c r="BZ201" s="347"/>
      <c r="CA201" s="347"/>
      <c r="CB201" s="347"/>
      <c r="CC201" s="347"/>
      <c r="CD201" s="347"/>
      <c r="CE201" s="347"/>
    </row>
    <row r="202" spans="2:83">
      <c r="BA202" s="979"/>
      <c r="BF202" s="16"/>
      <c r="BJ202" s="16"/>
      <c r="BN202" s="16"/>
      <c r="CE202" s="925"/>
    </row>
    <row r="203" spans="2:83">
      <c r="B203" s="377" t="s">
        <v>247</v>
      </c>
      <c r="BA203" s="979"/>
      <c r="BF203" s="16"/>
      <c r="BJ203" s="16"/>
      <c r="BN203" s="16"/>
      <c r="CE203" s="925"/>
    </row>
    <row r="204" spans="2:83">
      <c r="B204" s="5" t="s">
        <v>256</v>
      </c>
      <c r="AA204" s="471">
        <v>1</v>
      </c>
      <c r="AB204" s="472">
        <v>1</v>
      </c>
      <c r="AC204" s="472">
        <v>1</v>
      </c>
      <c r="AD204" s="473">
        <v>1</v>
      </c>
      <c r="AE204" s="472">
        <v>1</v>
      </c>
      <c r="AF204" s="472">
        <v>1</v>
      </c>
      <c r="AG204" s="472">
        <v>1</v>
      </c>
      <c r="AH204" s="472">
        <v>1</v>
      </c>
      <c r="AI204" s="471">
        <v>1</v>
      </c>
      <c r="AJ204" s="472">
        <v>1</v>
      </c>
      <c r="AK204" s="472">
        <v>1</v>
      </c>
      <c r="AL204" s="473">
        <v>1</v>
      </c>
      <c r="AM204" s="471">
        <v>1</v>
      </c>
      <c r="AN204" s="472">
        <v>1</v>
      </c>
      <c r="AO204" s="472">
        <v>1</v>
      </c>
      <c r="AP204" s="473">
        <v>1</v>
      </c>
      <c r="AQ204" s="472">
        <v>1</v>
      </c>
      <c r="AR204" s="472">
        <v>1</v>
      </c>
      <c r="AS204" s="472">
        <v>1</v>
      </c>
      <c r="AT204" s="473">
        <v>1</v>
      </c>
      <c r="AU204" s="472">
        <v>1</v>
      </c>
      <c r="AV204" s="472">
        <v>1</v>
      </c>
      <c r="AW204" s="814">
        <v>1</v>
      </c>
      <c r="AX204" s="813">
        <v>1</v>
      </c>
      <c r="AY204" s="472">
        <v>1</v>
      </c>
      <c r="AZ204" s="814">
        <v>1</v>
      </c>
      <c r="BA204" s="814">
        <v>1</v>
      </c>
      <c r="BB204" s="813">
        <v>1</v>
      </c>
      <c r="BC204" s="157">
        <v>1</v>
      </c>
      <c r="BD204" s="933">
        <v>1</v>
      </c>
      <c r="BE204" s="157">
        <v>1</v>
      </c>
      <c r="BF204" s="330">
        <v>1</v>
      </c>
      <c r="BG204" s="157">
        <v>1</v>
      </c>
      <c r="BH204" s="933">
        <v>1</v>
      </c>
      <c r="BI204" s="157">
        <v>1</v>
      </c>
      <c r="BJ204" s="330">
        <v>1</v>
      </c>
      <c r="BK204" s="157">
        <v>1</v>
      </c>
      <c r="BL204" s="933">
        <v>1</v>
      </c>
      <c r="BM204" s="157">
        <v>1</v>
      </c>
      <c r="BN204" s="330">
        <v>1</v>
      </c>
      <c r="CE204" s="925"/>
    </row>
    <row r="205" spans="2:83">
      <c r="B205" s="5" t="s">
        <v>43</v>
      </c>
      <c r="AA205" s="471">
        <v>1</v>
      </c>
      <c r="AB205" s="472">
        <v>1</v>
      </c>
      <c r="AC205" s="472">
        <v>1</v>
      </c>
      <c r="AD205" s="473">
        <v>1</v>
      </c>
      <c r="AE205" s="472">
        <v>1</v>
      </c>
      <c r="AF205" s="472">
        <v>1</v>
      </c>
      <c r="AG205" s="472">
        <v>1</v>
      </c>
      <c r="AH205" s="472">
        <v>1</v>
      </c>
      <c r="AI205" s="471">
        <v>1</v>
      </c>
      <c r="AJ205" s="472">
        <v>1</v>
      </c>
      <c r="AK205" s="472">
        <v>1</v>
      </c>
      <c r="AL205" s="473">
        <v>1</v>
      </c>
      <c r="AM205" s="471">
        <v>1</v>
      </c>
      <c r="AN205" s="472">
        <v>1</v>
      </c>
      <c r="AO205" s="472">
        <v>1</v>
      </c>
      <c r="AP205" s="473">
        <v>1</v>
      </c>
      <c r="AQ205" s="472">
        <v>1</v>
      </c>
      <c r="AR205" s="472">
        <v>1</v>
      </c>
      <c r="AS205" s="472">
        <v>1</v>
      </c>
      <c r="AT205" s="473">
        <v>1</v>
      </c>
      <c r="AU205" s="472">
        <v>1</v>
      </c>
      <c r="AV205" s="472">
        <v>1</v>
      </c>
      <c r="AW205" s="814">
        <v>1</v>
      </c>
      <c r="AX205" s="813">
        <v>1</v>
      </c>
      <c r="AY205" s="472">
        <v>1</v>
      </c>
      <c r="AZ205" s="814">
        <v>1</v>
      </c>
      <c r="BA205" s="814">
        <v>1</v>
      </c>
      <c r="BB205" s="813">
        <v>1</v>
      </c>
      <c r="BC205" s="157">
        <v>1</v>
      </c>
      <c r="BD205" s="933">
        <v>1</v>
      </c>
      <c r="BE205" s="157">
        <v>1</v>
      </c>
      <c r="BF205" s="330">
        <v>1</v>
      </c>
      <c r="BG205" s="157">
        <v>1</v>
      </c>
      <c r="BH205" s="933">
        <v>1</v>
      </c>
      <c r="BI205" s="157">
        <v>1</v>
      </c>
      <c r="BJ205" s="330">
        <v>1</v>
      </c>
      <c r="BK205" s="157">
        <v>1</v>
      </c>
      <c r="BL205" s="933">
        <v>1</v>
      </c>
      <c r="BM205" s="157">
        <v>1</v>
      </c>
      <c r="BN205" s="330">
        <v>1</v>
      </c>
      <c r="CE205" s="925"/>
    </row>
    <row r="206" spans="2:83">
      <c r="AA206" s="361"/>
      <c r="AB206" s="84"/>
      <c r="AC206" s="84"/>
      <c r="AD206" s="362"/>
      <c r="AE206" s="84"/>
      <c r="AF206" s="84"/>
      <c r="AG206" s="84"/>
      <c r="AH206" s="84"/>
      <c r="AI206" s="361"/>
      <c r="AJ206" s="84"/>
      <c r="AK206" s="84"/>
      <c r="AL206" s="362"/>
      <c r="AM206" s="361"/>
      <c r="AN206" s="84"/>
      <c r="AP206" s="362"/>
      <c r="AT206" s="362"/>
      <c r="BA206" s="979"/>
      <c r="BF206" s="16"/>
      <c r="BJ206" s="16"/>
      <c r="BN206" s="16"/>
      <c r="CE206" s="925"/>
    </row>
    <row r="207" spans="2:83">
      <c r="B207" s="377" t="s">
        <v>248</v>
      </c>
      <c r="BA207" s="979"/>
      <c r="BF207" s="16"/>
      <c r="BJ207" s="16"/>
      <c r="BN207" s="16"/>
      <c r="CE207" s="925"/>
    </row>
    <row r="208" spans="2:83">
      <c r="B208" s="5" t="s">
        <v>256</v>
      </c>
      <c r="AA208" s="23">
        <f t="shared" ref="AA208:AE209" si="1074">AA204*AA198</f>
        <v>21.900000000000006</v>
      </c>
      <c r="AB208" s="14">
        <f t="shared" si="1074"/>
        <v>66</v>
      </c>
      <c r="AC208" s="14">
        <f t="shared" si="1074"/>
        <v>66</v>
      </c>
      <c r="AD208" s="24">
        <f t="shared" si="1074"/>
        <v>66</v>
      </c>
      <c r="AE208" s="14">
        <f t="shared" si="1074"/>
        <v>66</v>
      </c>
      <c r="AF208" s="14">
        <f t="shared" ref="AF208:AO208" si="1075">AF204*AF198</f>
        <v>66</v>
      </c>
      <c r="AG208" s="14">
        <f t="shared" si="1075"/>
        <v>66</v>
      </c>
      <c r="AH208" s="14">
        <f t="shared" si="1075"/>
        <v>66</v>
      </c>
      <c r="AI208" s="23">
        <f t="shared" si="1075"/>
        <v>66</v>
      </c>
      <c r="AJ208" s="14">
        <f t="shared" si="1075"/>
        <v>66</v>
      </c>
      <c r="AK208" s="14">
        <f t="shared" si="1075"/>
        <v>66</v>
      </c>
      <c r="AL208" s="24">
        <f t="shared" si="1075"/>
        <v>66</v>
      </c>
      <c r="AM208" s="23">
        <f t="shared" si="1075"/>
        <v>66</v>
      </c>
      <c r="AN208" s="14">
        <f t="shared" si="1075"/>
        <v>66</v>
      </c>
      <c r="AO208" s="14">
        <f t="shared" si="1075"/>
        <v>66</v>
      </c>
      <c r="AP208" s="24">
        <f>AP204*AP198</f>
        <v>66</v>
      </c>
      <c r="AQ208" s="14">
        <f t="shared" ref="AQ208:AT209" si="1076">AQ204*AQ198</f>
        <v>66</v>
      </c>
      <c r="AR208" s="14">
        <f t="shared" si="1076"/>
        <v>66</v>
      </c>
      <c r="AS208" s="14">
        <f t="shared" si="1076"/>
        <v>66</v>
      </c>
      <c r="AT208" s="24">
        <f t="shared" si="1076"/>
        <v>66</v>
      </c>
      <c r="AU208" s="14">
        <f t="shared" ref="AU208:AX208" si="1077">AU204*AU198</f>
        <v>66</v>
      </c>
      <c r="AV208" s="14">
        <f t="shared" si="1077"/>
        <v>66</v>
      </c>
      <c r="AW208" s="14">
        <f t="shared" si="1077"/>
        <v>66</v>
      </c>
      <c r="AX208" s="24">
        <f t="shared" si="1077"/>
        <v>66</v>
      </c>
      <c r="AY208" s="847">
        <f t="shared" ref="AY208:AZ209" si="1078">AY204*AY198</f>
        <v>43</v>
      </c>
      <c r="AZ208" s="847">
        <f t="shared" si="1078"/>
        <v>0</v>
      </c>
      <c r="BA208" s="980">
        <f t="shared" ref="BA208:BB208" si="1079">BA204*BA198</f>
        <v>0</v>
      </c>
      <c r="BB208" s="24">
        <f t="shared" si="1079"/>
        <v>0</v>
      </c>
      <c r="BC208" s="926">
        <f t="shared" ref="BC208:BD208" si="1080">BC204*BC198</f>
        <v>0</v>
      </c>
      <c r="BD208" s="926">
        <f t="shared" si="1080"/>
        <v>0</v>
      </c>
      <c r="BE208" s="926">
        <f t="shared" ref="BE208:BJ208" si="1081">BE204*BE198</f>
        <v>0</v>
      </c>
      <c r="BF208" s="24">
        <f t="shared" si="1081"/>
        <v>0</v>
      </c>
      <c r="BG208" s="926">
        <f t="shared" si="1081"/>
        <v>0</v>
      </c>
      <c r="BH208" s="926">
        <f t="shared" si="1081"/>
        <v>0</v>
      </c>
      <c r="BI208" s="926">
        <f t="shared" si="1081"/>
        <v>0</v>
      </c>
      <c r="BJ208" s="24">
        <f t="shared" si="1081"/>
        <v>0</v>
      </c>
      <c r="BK208" s="926">
        <f t="shared" ref="BK208:BN208" si="1082">BK204*BK198</f>
        <v>0</v>
      </c>
      <c r="BL208" s="926">
        <f t="shared" si="1082"/>
        <v>0</v>
      </c>
      <c r="BM208" s="926">
        <f t="shared" si="1082"/>
        <v>0</v>
      </c>
      <c r="BN208" s="24">
        <f t="shared" si="1082"/>
        <v>0</v>
      </c>
      <c r="CE208" s="925"/>
    </row>
    <row r="209" spans="1:226">
      <c r="B209" s="5" t="s">
        <v>43</v>
      </c>
      <c r="AA209" s="23">
        <f t="shared" si="1074"/>
        <v>0</v>
      </c>
      <c r="AB209" s="14">
        <f t="shared" si="1074"/>
        <v>0</v>
      </c>
      <c r="AC209" s="14">
        <f t="shared" si="1074"/>
        <v>0</v>
      </c>
      <c r="AD209" s="24">
        <f t="shared" si="1074"/>
        <v>0</v>
      </c>
      <c r="AE209" s="14">
        <f t="shared" si="1074"/>
        <v>0</v>
      </c>
      <c r="AF209" s="14">
        <f t="shared" ref="AF209:AO209" si="1083">AF205*AF199</f>
        <v>0</v>
      </c>
      <c r="AG209" s="14">
        <f t="shared" si="1083"/>
        <v>0</v>
      </c>
      <c r="AH209" s="14">
        <f t="shared" si="1083"/>
        <v>0</v>
      </c>
      <c r="AI209" s="23">
        <f t="shared" si="1083"/>
        <v>0</v>
      </c>
      <c r="AJ209" s="14">
        <f t="shared" si="1083"/>
        <v>0</v>
      </c>
      <c r="AK209" s="14">
        <f t="shared" si="1083"/>
        <v>0</v>
      </c>
      <c r="AL209" s="24">
        <f t="shared" si="1083"/>
        <v>0</v>
      </c>
      <c r="AM209" s="23">
        <f t="shared" si="1083"/>
        <v>0</v>
      </c>
      <c r="AN209" s="14">
        <f t="shared" si="1083"/>
        <v>0</v>
      </c>
      <c r="AO209" s="14">
        <f t="shared" si="1083"/>
        <v>0</v>
      </c>
      <c r="AP209" s="24">
        <f>AP205*AP199</f>
        <v>0</v>
      </c>
      <c r="AQ209" s="14">
        <f t="shared" si="1076"/>
        <v>0</v>
      </c>
      <c r="AR209" s="14">
        <f t="shared" si="1076"/>
        <v>0</v>
      </c>
      <c r="AS209" s="14">
        <f t="shared" si="1076"/>
        <v>0</v>
      </c>
      <c r="AT209" s="24">
        <f t="shared" si="1076"/>
        <v>0</v>
      </c>
      <c r="AU209" s="14">
        <f t="shared" ref="AU209:AX209" si="1084">AU205*AU199</f>
        <v>0</v>
      </c>
      <c r="AV209" s="14">
        <f t="shared" si="1084"/>
        <v>0</v>
      </c>
      <c r="AW209" s="14">
        <f t="shared" si="1084"/>
        <v>0</v>
      </c>
      <c r="AX209" s="24">
        <f t="shared" si="1084"/>
        <v>0</v>
      </c>
      <c r="AY209" s="847">
        <f t="shared" ref="AY209" si="1085">AY205*AY199</f>
        <v>0</v>
      </c>
      <c r="AZ209" s="847">
        <f t="shared" si="1078"/>
        <v>0</v>
      </c>
      <c r="BA209" s="980">
        <f t="shared" ref="BA209:BB209" si="1086">BA205*BA199</f>
        <v>0</v>
      </c>
      <c r="BB209" s="24">
        <f t="shared" si="1086"/>
        <v>0</v>
      </c>
      <c r="BC209" s="926">
        <f t="shared" ref="BC209:BD209" si="1087">BC205*BC199</f>
        <v>0</v>
      </c>
      <c r="BD209" s="926">
        <f t="shared" si="1087"/>
        <v>0</v>
      </c>
      <c r="BE209" s="719">
        <f t="shared" ref="BE209:BJ209" si="1088">BE205*BE199</f>
        <v>0</v>
      </c>
      <c r="BF209" s="723">
        <f t="shared" si="1088"/>
        <v>0</v>
      </c>
      <c r="BG209" s="926">
        <f t="shared" si="1088"/>
        <v>0</v>
      </c>
      <c r="BH209" s="926">
        <f t="shared" si="1088"/>
        <v>0</v>
      </c>
      <c r="BI209" s="719">
        <f t="shared" si="1088"/>
        <v>0</v>
      </c>
      <c r="BJ209" s="723">
        <f t="shared" si="1088"/>
        <v>0</v>
      </c>
      <c r="BK209" s="926">
        <f t="shared" ref="BK209:BN209" si="1089">BK205*BK199</f>
        <v>0</v>
      </c>
      <c r="BL209" s="926">
        <f t="shared" si="1089"/>
        <v>0</v>
      </c>
      <c r="BM209" s="719">
        <f t="shared" si="1089"/>
        <v>0</v>
      </c>
      <c r="BN209" s="723">
        <f t="shared" si="1089"/>
        <v>0</v>
      </c>
      <c r="CE209" s="925"/>
    </row>
    <row r="210" spans="1:226">
      <c r="B210" s="249" t="s">
        <v>250</v>
      </c>
      <c r="C210" s="402"/>
      <c r="D210" s="403"/>
      <c r="E210" s="403"/>
      <c r="F210" s="404"/>
      <c r="G210" s="403"/>
      <c r="H210" s="403"/>
      <c r="I210" s="403"/>
      <c r="J210" s="403"/>
      <c r="K210" s="402"/>
      <c r="L210" s="403"/>
      <c r="M210" s="403"/>
      <c r="N210" s="404"/>
      <c r="O210" s="403"/>
      <c r="P210" s="403"/>
      <c r="Q210" s="403"/>
      <c r="R210" s="403"/>
      <c r="S210" s="402"/>
      <c r="T210" s="403"/>
      <c r="U210" s="403"/>
      <c r="V210" s="404"/>
      <c r="W210" s="403"/>
      <c r="X210" s="403"/>
      <c r="Y210" s="403"/>
      <c r="Z210" s="403"/>
      <c r="AA210" s="412">
        <f>SUM(AA208:AA209)</f>
        <v>21.900000000000006</v>
      </c>
      <c r="AB210" s="413">
        <f>SUM(AB208:AB209)</f>
        <v>66</v>
      </c>
      <c r="AC210" s="413">
        <f>SUM(AC208:AC209)</f>
        <v>66</v>
      </c>
      <c r="AD210" s="414">
        <f>SUM(AD208:AD209)</f>
        <v>66</v>
      </c>
      <c r="AE210" s="413">
        <f>SUM(AE208:AE209)</f>
        <v>66</v>
      </c>
      <c r="AF210" s="413">
        <f t="shared" ref="AF210:AO210" si="1090">SUM(AF208:AF209)</f>
        <v>66</v>
      </c>
      <c r="AG210" s="413">
        <f t="shared" si="1090"/>
        <v>66</v>
      </c>
      <c r="AH210" s="413">
        <f t="shared" si="1090"/>
        <v>66</v>
      </c>
      <c r="AI210" s="412">
        <f t="shared" si="1090"/>
        <v>66</v>
      </c>
      <c r="AJ210" s="413">
        <f t="shared" si="1090"/>
        <v>66</v>
      </c>
      <c r="AK210" s="413">
        <f t="shared" si="1090"/>
        <v>66</v>
      </c>
      <c r="AL210" s="414">
        <f t="shared" si="1090"/>
        <v>66</v>
      </c>
      <c r="AM210" s="412">
        <f t="shared" si="1090"/>
        <v>66</v>
      </c>
      <c r="AN210" s="413">
        <f t="shared" si="1090"/>
        <v>66</v>
      </c>
      <c r="AO210" s="413">
        <f t="shared" si="1090"/>
        <v>66</v>
      </c>
      <c r="AP210" s="414">
        <f>SUM(AP208:AP209)</f>
        <v>66</v>
      </c>
      <c r="AQ210" s="413">
        <f>SUM(AQ208:AQ209)</f>
        <v>66</v>
      </c>
      <c r="AR210" s="413">
        <f>SUM(AR208:AR209)</f>
        <v>66</v>
      </c>
      <c r="AS210" s="413">
        <f>SUM(AS208:AS209)</f>
        <v>66</v>
      </c>
      <c r="AT210" s="414">
        <f>SUM(AT208:AT209)</f>
        <v>66</v>
      </c>
      <c r="AU210" s="413">
        <f t="shared" ref="AU210" si="1091">SUM(AU208:AU209)</f>
        <v>66</v>
      </c>
      <c r="AV210" s="413">
        <f>SUM(AV208:AV209)</f>
        <v>66</v>
      </c>
      <c r="AW210" s="413">
        <f>SUM(AW208:AW209)</f>
        <v>66</v>
      </c>
      <c r="AX210" s="414">
        <f>SUM(AX208:AX209)</f>
        <v>66</v>
      </c>
      <c r="AY210" s="413">
        <f t="shared" ref="AY210" si="1092">SUM(AY208:AY209)</f>
        <v>43</v>
      </c>
      <c r="AZ210" s="413">
        <f>SUM(AZ208:AZ209)</f>
        <v>0</v>
      </c>
      <c r="BA210" s="413">
        <f>SUM(BA208:BA209)</f>
        <v>0</v>
      </c>
      <c r="BB210" s="414">
        <f>SUM(BB208:BB209)</f>
        <v>0</v>
      </c>
      <c r="BC210" s="413">
        <f t="shared" ref="BC210:BD210" si="1093">SUM(BC208:BC209)</f>
        <v>0</v>
      </c>
      <c r="BD210" s="413">
        <f t="shared" si="1093"/>
        <v>0</v>
      </c>
      <c r="BE210" s="161">
        <f t="shared" ref="BE210:BJ210" si="1094">SUM(BE208:BE209)</f>
        <v>0</v>
      </c>
      <c r="BF210" s="335">
        <f t="shared" si="1094"/>
        <v>0</v>
      </c>
      <c r="BG210" s="413">
        <f t="shared" si="1094"/>
        <v>0</v>
      </c>
      <c r="BH210" s="413">
        <f t="shared" si="1094"/>
        <v>0</v>
      </c>
      <c r="BI210" s="161">
        <f t="shared" si="1094"/>
        <v>0</v>
      </c>
      <c r="BJ210" s="335">
        <f t="shared" si="1094"/>
        <v>0</v>
      </c>
      <c r="BK210" s="413">
        <f t="shared" ref="BK210:BN210" si="1095">SUM(BK208:BK209)</f>
        <v>0</v>
      </c>
      <c r="BL210" s="413">
        <f t="shared" si="1095"/>
        <v>0</v>
      </c>
      <c r="BM210" s="161">
        <f t="shared" si="1095"/>
        <v>0</v>
      </c>
      <c r="BN210" s="335">
        <f t="shared" si="1095"/>
        <v>0</v>
      </c>
      <c r="BP210" s="254"/>
      <c r="BQ210" s="254"/>
      <c r="BR210" s="254"/>
      <c r="BS210" s="254"/>
      <c r="BT210" s="254"/>
      <c r="BU210" s="254"/>
      <c r="BV210" s="254"/>
      <c r="BW210" s="254"/>
      <c r="BX210" s="671">
        <f>SUM(AI210:AL210)</f>
        <v>264</v>
      </c>
      <c r="BY210" s="671">
        <f>SUM(AM210:AP210)</f>
        <v>264</v>
      </c>
      <c r="BZ210" s="671">
        <f>SUM(AQ210:AT210)</f>
        <v>264</v>
      </c>
      <c r="CA210" s="671">
        <f t="shared" ref="CA210" si="1096">SUM(AU210:AX210)</f>
        <v>264</v>
      </c>
      <c r="CB210" s="671">
        <f>SUM(AY210:BB210)</f>
        <v>43</v>
      </c>
      <c r="CC210" s="671">
        <f>SUM(BC210:BF210)</f>
        <v>0</v>
      </c>
      <c r="CD210" s="671">
        <f>SUM(BG210:BJ210)</f>
        <v>0</v>
      </c>
      <c r="CE210" s="671">
        <f>SUM(BK210:BN210)</f>
        <v>0</v>
      </c>
    </row>
    <row r="211" spans="1:226">
      <c r="B211" s="91" t="s">
        <v>257</v>
      </c>
      <c r="C211" s="34"/>
      <c r="D211" s="35"/>
      <c r="E211" s="35"/>
      <c r="F211" s="36"/>
      <c r="G211" s="35"/>
      <c r="H211" s="35"/>
      <c r="I211" s="35"/>
      <c r="J211" s="35"/>
      <c r="K211" s="34"/>
      <c r="L211" s="35"/>
      <c r="M211" s="35"/>
      <c r="N211" s="36"/>
      <c r="O211" s="35"/>
      <c r="P211" s="35"/>
      <c r="Q211" s="35"/>
      <c r="R211" s="35"/>
      <c r="S211" s="34"/>
      <c r="T211" s="35"/>
      <c r="U211" s="35"/>
      <c r="V211" s="36"/>
      <c r="W211" s="35"/>
      <c r="X211" s="35"/>
      <c r="Y211" s="35"/>
      <c r="Z211" s="35"/>
      <c r="AA211" s="34"/>
      <c r="AB211" s="35"/>
      <c r="AC211" s="35"/>
      <c r="AD211" s="36"/>
      <c r="AE211" s="35">
        <f t="shared" ref="AE211:AO211" si="1097">AE210/AE184</f>
        <v>1</v>
      </c>
      <c r="AF211" s="35">
        <f t="shared" si="1097"/>
        <v>1</v>
      </c>
      <c r="AG211" s="35">
        <f t="shared" si="1097"/>
        <v>1</v>
      </c>
      <c r="AH211" s="35">
        <f t="shared" si="1097"/>
        <v>1</v>
      </c>
      <c r="AI211" s="34">
        <f t="shared" si="1097"/>
        <v>1</v>
      </c>
      <c r="AJ211" s="35">
        <f t="shared" si="1097"/>
        <v>1</v>
      </c>
      <c r="AK211" s="35">
        <f t="shared" si="1097"/>
        <v>1</v>
      </c>
      <c r="AL211" s="36">
        <f t="shared" si="1097"/>
        <v>1</v>
      </c>
      <c r="AM211" s="34">
        <f t="shared" si="1097"/>
        <v>1</v>
      </c>
      <c r="AN211" s="35">
        <f t="shared" si="1097"/>
        <v>1</v>
      </c>
      <c r="AO211" s="35">
        <f t="shared" si="1097"/>
        <v>1</v>
      </c>
      <c r="AP211" s="36">
        <f>AP210/AP184</f>
        <v>1</v>
      </c>
      <c r="AQ211" s="35">
        <f>AQ210/AQ184</f>
        <v>1</v>
      </c>
      <c r="AR211" s="35">
        <f>AR210/AR184</f>
        <v>1</v>
      </c>
      <c r="AS211" s="35">
        <f>AS210/AS184</f>
        <v>1</v>
      </c>
      <c r="AT211" s="36">
        <f>AT210/AT184</f>
        <v>1</v>
      </c>
      <c r="AU211" s="35">
        <f t="shared" ref="AU211" si="1098">AU210/AU184</f>
        <v>1</v>
      </c>
      <c r="AV211" s="35">
        <f>AV210/AV184</f>
        <v>1</v>
      </c>
      <c r="AW211" s="35">
        <f>AW210/AW184</f>
        <v>1</v>
      </c>
      <c r="AX211" s="36">
        <f>AX210/AX184</f>
        <v>1</v>
      </c>
      <c r="AY211" s="818">
        <f t="shared" ref="AY211" si="1099">AY210/AY184</f>
        <v>1</v>
      </c>
      <c r="AZ211" s="818">
        <v>0</v>
      </c>
      <c r="BA211" s="818">
        <v>0</v>
      </c>
      <c r="BB211" s="36">
        <v>0</v>
      </c>
      <c r="BC211" s="818"/>
      <c r="BD211" s="818"/>
      <c r="BE211" s="818"/>
      <c r="BF211" s="36"/>
      <c r="BG211" s="818"/>
      <c r="BH211" s="818"/>
      <c r="BI211" s="818"/>
      <c r="BJ211" s="36"/>
      <c r="BK211" s="818"/>
      <c r="BL211" s="818"/>
      <c r="BM211" s="818"/>
      <c r="BN211" s="36"/>
      <c r="BX211" s="623">
        <f t="shared" ref="BX211" si="1100">BX210/BX184</f>
        <v>1</v>
      </c>
      <c r="BY211" s="623">
        <f t="shared" ref="BY211" si="1101">BY210/BY184</f>
        <v>1</v>
      </c>
      <c r="BZ211" s="623">
        <f t="shared" ref="BZ211" si="1102">BZ210/BZ184</f>
        <v>1</v>
      </c>
      <c r="CA211" s="623">
        <f t="shared" ref="CA211" si="1103">CA210/CA184</f>
        <v>1</v>
      </c>
      <c r="CB211" s="623"/>
      <c r="CC211" s="623"/>
      <c r="CD211" s="623"/>
      <c r="CE211" s="623"/>
    </row>
    <row r="212" spans="1:226">
      <c r="B212" s="91"/>
      <c r="C212" s="34"/>
      <c r="D212" s="35"/>
      <c r="E212" s="35"/>
      <c r="F212" s="36"/>
      <c r="G212" s="35"/>
      <c r="H212" s="35"/>
      <c r="I212" s="35"/>
      <c r="J212" s="35"/>
      <c r="K212" s="34"/>
      <c r="L212" s="35"/>
      <c r="M212" s="35"/>
      <c r="N212" s="36"/>
      <c r="O212" s="35"/>
      <c r="P212" s="35"/>
      <c r="Q212" s="35"/>
      <c r="R212" s="35"/>
      <c r="S212" s="34"/>
      <c r="T212" s="35"/>
      <c r="U212" s="35"/>
      <c r="V212" s="36"/>
      <c r="W212" s="35"/>
      <c r="X212" s="35"/>
      <c r="Y212" s="35"/>
      <c r="Z212" s="35"/>
      <c r="AA212" s="34"/>
      <c r="AB212" s="35"/>
      <c r="AC212" s="35"/>
      <c r="AD212" s="36"/>
      <c r="AE212" s="35"/>
      <c r="AF212" s="35"/>
      <c r="AG212" s="35"/>
      <c r="AH212" s="35"/>
      <c r="AI212" s="34"/>
      <c r="AJ212" s="35"/>
      <c r="AK212" s="35"/>
      <c r="AL212" s="36"/>
      <c r="AM212" s="34"/>
      <c r="AN212" s="35"/>
      <c r="AO212" s="35"/>
      <c r="AP212" s="36"/>
      <c r="AQ212" s="35"/>
      <c r="AR212" s="35"/>
      <c r="AS212" s="35"/>
      <c r="AT212" s="36"/>
      <c r="AU212" s="35"/>
      <c r="AV212" s="35"/>
      <c r="AW212" s="35"/>
      <c r="AX212" s="36"/>
      <c r="AY212" s="818"/>
      <c r="AZ212" s="818"/>
      <c r="BA212" s="35"/>
      <c r="BB212" s="36"/>
      <c r="BC212" s="818"/>
      <c r="BD212" s="818"/>
      <c r="BE212" s="818"/>
      <c r="BF212" s="36"/>
      <c r="BG212" s="818"/>
      <c r="BH212" s="818"/>
      <c r="BI212" s="818"/>
      <c r="BJ212" s="36"/>
      <c r="BK212" s="818"/>
      <c r="BL212" s="818"/>
      <c r="BM212" s="818"/>
      <c r="BN212" s="36"/>
      <c r="CE212" s="925"/>
    </row>
    <row r="213" spans="1:226">
      <c r="B213" s="415" t="s">
        <v>329</v>
      </c>
      <c r="C213" s="416"/>
      <c r="D213" s="417"/>
      <c r="E213" s="417"/>
      <c r="F213" s="418"/>
      <c r="G213" s="417"/>
      <c r="H213" s="417"/>
      <c r="I213" s="417"/>
      <c r="J213" s="417"/>
      <c r="K213" s="416"/>
      <c r="L213" s="417"/>
      <c r="M213" s="417"/>
      <c r="N213" s="418"/>
      <c r="O213" s="417"/>
      <c r="P213" s="417"/>
      <c r="Q213" s="417"/>
      <c r="R213" s="417"/>
      <c r="S213" s="416"/>
      <c r="T213" s="417"/>
      <c r="U213" s="417"/>
      <c r="V213" s="418"/>
      <c r="W213" s="417"/>
      <c r="X213" s="417"/>
      <c r="Y213" s="417"/>
      <c r="Z213" s="417"/>
      <c r="AA213" s="416"/>
      <c r="AB213" s="417"/>
      <c r="AC213" s="417"/>
      <c r="AD213" s="418"/>
      <c r="AE213" s="552">
        <v>41029</v>
      </c>
      <c r="AF213" s="552">
        <v>41121</v>
      </c>
      <c r="AG213" s="552">
        <v>41213</v>
      </c>
      <c r="AH213" s="552">
        <v>41305</v>
      </c>
      <c r="AI213" s="553">
        <v>41394</v>
      </c>
      <c r="AJ213" s="552">
        <v>41486</v>
      </c>
      <c r="AK213" s="552">
        <v>41578</v>
      </c>
      <c r="AL213" s="554">
        <v>41670</v>
      </c>
      <c r="AM213" s="553">
        <v>41759</v>
      </c>
      <c r="AN213" s="552">
        <v>41851</v>
      </c>
      <c r="AO213" s="552">
        <v>41943</v>
      </c>
      <c r="AP213" s="554">
        <v>42035</v>
      </c>
      <c r="AQ213" s="553">
        <v>42124</v>
      </c>
      <c r="AR213" s="552">
        <v>42216</v>
      </c>
      <c r="AS213" s="552">
        <v>42308</v>
      </c>
      <c r="AT213" s="554">
        <v>42400</v>
      </c>
      <c r="AU213" s="553">
        <f t="shared" ref="AU213:BA213" si="1104">AU3</f>
        <v>42490</v>
      </c>
      <c r="AV213" s="552">
        <f t="shared" si="1104"/>
        <v>42582</v>
      </c>
      <c r="AW213" s="552">
        <v>42308</v>
      </c>
      <c r="AX213" s="554">
        <v>42400</v>
      </c>
      <c r="AY213" s="552">
        <f t="shared" ref="AY213:AZ213" si="1105">AY3</f>
        <v>42855</v>
      </c>
      <c r="AZ213" s="552">
        <f t="shared" si="1105"/>
        <v>42947</v>
      </c>
      <c r="BA213" s="552">
        <f t="shared" si="1104"/>
        <v>43039</v>
      </c>
      <c r="BB213" s="554">
        <v>42400</v>
      </c>
      <c r="BC213" s="552">
        <f t="shared" ref="BC213:BD213" si="1106">BC3</f>
        <v>43220</v>
      </c>
      <c r="BD213" s="552">
        <f t="shared" si="1106"/>
        <v>43312</v>
      </c>
      <c r="BE213" s="552">
        <f t="shared" ref="BE213:BJ213" si="1107">BE3</f>
        <v>43404</v>
      </c>
      <c r="BF213" s="554">
        <f t="shared" si="1107"/>
        <v>43496</v>
      </c>
      <c r="BG213" s="552">
        <f t="shared" si="1107"/>
        <v>43585</v>
      </c>
      <c r="BH213" s="552">
        <f t="shared" si="1107"/>
        <v>43677</v>
      </c>
      <c r="BI213" s="552">
        <f t="shared" si="1107"/>
        <v>43769</v>
      </c>
      <c r="BJ213" s="554">
        <f t="shared" si="1107"/>
        <v>43861</v>
      </c>
      <c r="BK213" s="552">
        <f t="shared" ref="BK213:BN213" si="1108">BK3</f>
        <v>43951</v>
      </c>
      <c r="BL213" s="552">
        <f t="shared" si="1108"/>
        <v>44043</v>
      </c>
      <c r="BM213" s="552">
        <f t="shared" si="1108"/>
        <v>44135</v>
      </c>
      <c r="BN213" s="554">
        <f t="shared" si="1108"/>
        <v>44227</v>
      </c>
      <c r="BP213" s="359"/>
      <c r="BQ213" s="359"/>
      <c r="BR213" s="359"/>
      <c r="BS213" s="359"/>
      <c r="BT213" s="359"/>
      <c r="BU213" s="359"/>
      <c r="BV213" s="359"/>
      <c r="BW213" s="359"/>
      <c r="BX213" s="552">
        <f t="shared" ref="BX213:CA213" si="1109">BX3</f>
        <v>41670</v>
      </c>
      <c r="BY213" s="552">
        <f t="shared" si="1109"/>
        <v>42035</v>
      </c>
      <c r="BZ213" s="552">
        <f t="shared" si="1109"/>
        <v>42400</v>
      </c>
      <c r="CA213" s="552">
        <f t="shared" si="1109"/>
        <v>42766</v>
      </c>
      <c r="CB213" s="552">
        <f t="shared" ref="CB213:CC213" si="1110">CB3</f>
        <v>43131</v>
      </c>
      <c r="CC213" s="552">
        <f t="shared" si="1110"/>
        <v>43496</v>
      </c>
      <c r="CD213" s="552">
        <f t="shared" ref="CD213:CE213" si="1111">CD3</f>
        <v>43861</v>
      </c>
      <c r="CE213" s="552">
        <f t="shared" si="1111"/>
        <v>44227</v>
      </c>
    </row>
    <row r="214" spans="1:226" s="84" customFormat="1">
      <c r="B214" s="376" t="s">
        <v>160</v>
      </c>
      <c r="C214" s="15"/>
      <c r="D214" s="5"/>
      <c r="E214" s="5"/>
      <c r="F214" s="16"/>
      <c r="G214" s="5"/>
      <c r="H214" s="5"/>
      <c r="I214" s="5"/>
      <c r="J214" s="5"/>
      <c r="K214" s="15"/>
      <c r="L214" s="5"/>
      <c r="M214" s="5"/>
      <c r="N214" s="16"/>
      <c r="O214" s="5"/>
      <c r="P214" s="5"/>
      <c r="Q214" s="5"/>
      <c r="R214" s="5"/>
      <c r="S214" s="15"/>
      <c r="T214" s="5"/>
      <c r="U214" s="5"/>
      <c r="V214" s="16"/>
      <c r="W214" s="5"/>
      <c r="X214" s="5"/>
      <c r="Y214" s="5"/>
      <c r="Z214" s="5"/>
      <c r="AA214" s="15"/>
      <c r="AB214" s="5"/>
      <c r="AC214" s="5"/>
      <c r="AD214" s="16"/>
      <c r="AE214" s="4"/>
      <c r="AF214" s="4"/>
      <c r="AG214" s="4"/>
      <c r="AH214" s="4"/>
      <c r="AI214" s="23"/>
      <c r="AJ214" s="14"/>
      <c r="AK214" s="14"/>
      <c r="AL214" s="24"/>
      <c r="AM214" s="23"/>
      <c r="AN214" s="5"/>
      <c r="AO214" s="5"/>
      <c r="AP214" s="24"/>
      <c r="AQ214" s="5"/>
      <c r="AR214" s="5"/>
      <c r="AS214" s="5"/>
      <c r="AT214" s="24"/>
      <c r="AU214" s="5"/>
      <c r="AV214" s="5"/>
      <c r="AW214" s="5"/>
      <c r="AX214" s="16"/>
      <c r="AY214" s="5"/>
      <c r="AZ214" s="5"/>
      <c r="BA214" s="979"/>
      <c r="BB214" s="16"/>
      <c r="BC214" s="925"/>
      <c r="BD214" s="925"/>
      <c r="BE214" s="925"/>
      <c r="BF214" s="16"/>
      <c r="BG214" s="925"/>
      <c r="BH214" s="925"/>
      <c r="BI214" s="925"/>
      <c r="BJ214" s="16"/>
      <c r="BK214" s="925"/>
      <c r="BL214" s="925"/>
      <c r="BM214" s="925"/>
      <c r="BN214" s="16"/>
      <c r="BO214" s="87"/>
      <c r="BX214" s="7"/>
      <c r="BY214" s="7"/>
      <c r="BZ214" s="7"/>
      <c r="CA214" s="7"/>
      <c r="CB214" s="7"/>
      <c r="CC214" s="7"/>
      <c r="CD214" s="7"/>
      <c r="CE214" s="7"/>
    </row>
    <row r="215" spans="1:226" s="84" customFormat="1">
      <c r="B215" s="5" t="s">
        <v>1</v>
      </c>
      <c r="C215" s="43"/>
      <c r="D215" s="29"/>
      <c r="E215" s="29"/>
      <c r="F215" s="44"/>
      <c r="G215" s="29">
        <f t="shared" ref="G215:AD215" si="1112">G301+G306-G198</f>
        <v>623.23300000000006</v>
      </c>
      <c r="H215" s="29">
        <f t="shared" si="1112"/>
        <v>629.37400000000002</v>
      </c>
      <c r="I215" s="29">
        <f t="shared" si="1112"/>
        <v>769.73</v>
      </c>
      <c r="J215" s="29">
        <f t="shared" si="1112"/>
        <v>806.25099999999998</v>
      </c>
      <c r="K215" s="43">
        <f t="shared" si="1112"/>
        <v>773.11799999999994</v>
      </c>
      <c r="L215" s="29">
        <f t="shared" si="1112"/>
        <v>867.41300000000001</v>
      </c>
      <c r="M215" s="29">
        <f t="shared" si="1112"/>
        <v>1040.2179999999998</v>
      </c>
      <c r="N215" s="44">
        <f t="shared" si="1112"/>
        <v>1136.2429999999999</v>
      </c>
      <c r="O215" s="29">
        <f t="shared" si="1112"/>
        <v>1100.009</v>
      </c>
      <c r="P215" s="29">
        <f t="shared" si="1112"/>
        <v>849.923</v>
      </c>
      <c r="Q215" s="29">
        <f t="shared" si="1112"/>
        <v>858.36900000000003</v>
      </c>
      <c r="R215" s="29">
        <f t="shared" si="1112"/>
        <v>480.22399999999993</v>
      </c>
      <c r="S215" s="43">
        <f t="shared" si="1112"/>
        <v>653.53200000000004</v>
      </c>
      <c r="T215" s="29">
        <f t="shared" si="1112"/>
        <v>732.24299999999994</v>
      </c>
      <c r="U215" s="29">
        <f t="shared" si="1112"/>
        <v>847.29600000000005</v>
      </c>
      <c r="V215" s="44">
        <f t="shared" si="1112"/>
        <v>937.32800000000009</v>
      </c>
      <c r="W215" s="29">
        <f t="shared" si="1112"/>
        <v>970.58299999999997</v>
      </c>
      <c r="X215" s="29">
        <f t="shared" si="1112"/>
        <v>765.50400000000002</v>
      </c>
      <c r="Y215" s="29">
        <f t="shared" si="1112"/>
        <v>791.97800000000007</v>
      </c>
      <c r="Z215" s="29">
        <f t="shared" si="1112"/>
        <v>817.63099999999997</v>
      </c>
      <c r="AA215" s="43">
        <f t="shared" si="1112"/>
        <v>817.53000000000009</v>
      </c>
      <c r="AB215" s="29">
        <f t="shared" si="1112"/>
        <v>782.83299999999997</v>
      </c>
      <c r="AC215" s="29">
        <f t="shared" si="1112"/>
        <v>809.09699999999998</v>
      </c>
      <c r="AD215" s="44">
        <f t="shared" si="1112"/>
        <v>777.404</v>
      </c>
      <c r="AE215" s="4">
        <v>726.36500000000001</v>
      </c>
      <c r="AF215" s="4">
        <v>798.62400000000002</v>
      </c>
      <c r="AG215" s="4">
        <v>894.20899999999995</v>
      </c>
      <c r="AH215" s="4">
        <v>832.51400000000012</v>
      </c>
      <c r="AI215" s="21">
        <v>785.63900000000001</v>
      </c>
      <c r="AJ215" s="4">
        <v>858.61300000000006</v>
      </c>
      <c r="AK215" s="4">
        <v>876.83299999999997</v>
      </c>
      <c r="AL215" s="308">
        <v>947.05899999999997</v>
      </c>
      <c r="AM215" s="21">
        <v>897.36300000000006</v>
      </c>
      <c r="AN215" s="4">
        <v>877.98</v>
      </c>
      <c r="AO215" s="4">
        <v>991.38199999999995</v>
      </c>
      <c r="AP215" s="308">
        <v>1072.1809999999998</v>
      </c>
      <c r="AQ215" s="21">
        <v>940</v>
      </c>
      <c r="AR215" s="4">
        <v>959</v>
      </c>
      <c r="AS215" s="4">
        <v>1110</v>
      </c>
      <c r="AT215" s="308">
        <v>1178</v>
      </c>
      <c r="AU215" s="21">
        <v>1079</v>
      </c>
      <c r="AV215" s="4">
        <v>1196</v>
      </c>
      <c r="AW215" s="754">
        <v>1697</v>
      </c>
      <c r="AX215" s="800">
        <f>5822-AW215-AV215-AU215</f>
        <v>1850</v>
      </c>
      <c r="AY215" s="891">
        <v>1562</v>
      </c>
      <c r="AZ215" s="754">
        <v>1897</v>
      </c>
      <c r="BA215" s="754">
        <v>2217</v>
      </c>
      <c r="BB215" s="800">
        <v>2461</v>
      </c>
      <c r="BC215" s="891"/>
      <c r="BD215" s="754"/>
      <c r="BE215" s="66"/>
      <c r="BF215" s="308"/>
      <c r="BG215" s="891"/>
      <c r="BH215" s="754"/>
      <c r="BI215" s="66"/>
      <c r="BJ215" s="308"/>
      <c r="BK215" s="891"/>
      <c r="BL215" s="754"/>
      <c r="BM215" s="66"/>
      <c r="BN215" s="308"/>
      <c r="BO215" s="87"/>
      <c r="BX215" s="90">
        <f>SUM(AI215:AL215)</f>
        <v>3468.1440000000002</v>
      </c>
      <c r="BY215" s="90">
        <f>SUM(AM215:AP215)</f>
        <v>3838.9059999999999</v>
      </c>
      <c r="BZ215" s="90">
        <f>SUM(AQ215:AT215)</f>
        <v>4187</v>
      </c>
      <c r="CC215" s="821"/>
      <c r="CD215" s="821"/>
      <c r="CE215" s="821"/>
      <c r="CF215" s="90"/>
    </row>
    <row r="216" spans="1:226" s="84" customFormat="1">
      <c r="B216" s="114" t="s">
        <v>393</v>
      </c>
      <c r="C216" s="43"/>
      <c r="D216" s="29"/>
      <c r="E216" s="29"/>
      <c r="F216" s="44"/>
      <c r="G216" s="29"/>
      <c r="H216" s="29"/>
      <c r="I216" s="29"/>
      <c r="J216" s="29"/>
      <c r="K216" s="43"/>
      <c r="L216" s="29"/>
      <c r="M216" s="29"/>
      <c r="N216" s="44"/>
      <c r="O216" s="29"/>
      <c r="P216" s="29"/>
      <c r="Q216" s="29"/>
      <c r="R216" s="29"/>
      <c r="S216" s="43"/>
      <c r="T216" s="29"/>
      <c r="U216" s="29"/>
      <c r="V216" s="44"/>
      <c r="W216" s="29"/>
      <c r="X216" s="29"/>
      <c r="Y216" s="29"/>
      <c r="Z216" s="29"/>
      <c r="AA216" s="43"/>
      <c r="AB216" s="29"/>
      <c r="AC216" s="29"/>
      <c r="AD216" s="44"/>
      <c r="AE216" s="577">
        <f>AE215/AD215-1</f>
        <v>-6.5653122443414258E-2</v>
      </c>
      <c r="AF216" s="577">
        <f t="shared" ref="AF216:AV216" si="1113">AF215/AE215-1</f>
        <v>9.9480288835502861E-2</v>
      </c>
      <c r="AG216" s="577">
        <f t="shared" si="1113"/>
        <v>0.11968711183235148</v>
      </c>
      <c r="AH216" s="577">
        <f t="shared" si="1113"/>
        <v>-6.8993937658869298E-2</v>
      </c>
      <c r="AI216" s="578">
        <f t="shared" si="1113"/>
        <v>-5.6305359429391078E-2</v>
      </c>
      <c r="AJ216" s="577">
        <f t="shared" si="1113"/>
        <v>9.2884900062242481E-2</v>
      </c>
      <c r="AK216" s="577">
        <f t="shared" si="1113"/>
        <v>2.1220270366276717E-2</v>
      </c>
      <c r="AL216" s="579">
        <f t="shared" si="1113"/>
        <v>8.0090507542485367E-2</v>
      </c>
      <c r="AM216" s="578">
        <f t="shared" si="1113"/>
        <v>-5.2474027489311514E-2</v>
      </c>
      <c r="AN216" s="577">
        <f t="shared" si="1113"/>
        <v>-2.1599954533449761E-2</v>
      </c>
      <c r="AO216" s="577">
        <f t="shared" si="1113"/>
        <v>0.12916239549875841</v>
      </c>
      <c r="AP216" s="579">
        <f t="shared" si="1113"/>
        <v>8.1501378883215514E-2</v>
      </c>
      <c r="AQ216" s="578">
        <f t="shared" si="1113"/>
        <v>-0.12328235624395489</v>
      </c>
      <c r="AR216" s="577">
        <f t="shared" si="1113"/>
        <v>2.0212765957446699E-2</v>
      </c>
      <c r="AS216" s="577">
        <f t="shared" si="1113"/>
        <v>0.15745568300312818</v>
      </c>
      <c r="AT216" s="579">
        <f t="shared" si="1113"/>
        <v>6.1261261261261302E-2</v>
      </c>
      <c r="AU216" s="578">
        <f t="shared" si="1113"/>
        <v>-8.4040747028862439E-2</v>
      </c>
      <c r="AV216" s="577">
        <f t="shared" si="1113"/>
        <v>0.10843373493975905</v>
      </c>
      <c r="AW216" s="577">
        <f t="shared" ref="AW216" si="1114">AW215/AV215-1</f>
        <v>0.41889632107023411</v>
      </c>
      <c r="AX216" s="783">
        <f t="shared" ref="AX216:BB216" si="1115">AX215/AW215-1</f>
        <v>9.0159104301708926E-2</v>
      </c>
      <c r="AY216" s="888">
        <f t="shared" si="1115"/>
        <v>-0.15567567567567564</v>
      </c>
      <c r="AZ216" s="888">
        <f t="shared" si="1115"/>
        <v>0.21446862996158766</v>
      </c>
      <c r="BA216" s="888">
        <f t="shared" si="1115"/>
        <v>0.16868740115972591</v>
      </c>
      <c r="BB216" s="783">
        <f t="shared" si="1115"/>
        <v>0.1100586377988273</v>
      </c>
      <c r="BC216" s="888"/>
      <c r="BD216" s="888"/>
      <c r="BE216" s="66"/>
      <c r="BF216" s="308"/>
      <c r="BG216" s="888"/>
      <c r="BH216" s="888"/>
      <c r="BI216" s="66"/>
      <c r="BJ216" s="308"/>
      <c r="BK216" s="888"/>
      <c r="BL216" s="888"/>
      <c r="BM216" s="66"/>
      <c r="BN216" s="308"/>
      <c r="BO216" s="87"/>
      <c r="BY216" s="580">
        <f>BY215/BX215-1</f>
        <v>0.10690501893808313</v>
      </c>
      <c r="BZ216" s="580">
        <f>BZ215/BY215-1</f>
        <v>9.0675312185294565E-2</v>
      </c>
      <c r="CC216" s="821"/>
      <c r="CD216" s="821"/>
      <c r="CE216" s="821"/>
    </row>
    <row r="217" spans="1:226" s="84" customFormat="1">
      <c r="B217" s="91" t="s">
        <v>173</v>
      </c>
      <c r="C217" s="292"/>
      <c r="D217" s="57"/>
      <c r="E217" s="57"/>
      <c r="F217" s="293"/>
      <c r="G217" s="57">
        <f t="shared" ref="G217:AM217" si="1116">G215/G238</f>
        <v>0.91409005774361374</v>
      </c>
      <c r="H217" s="57">
        <f t="shared" si="1116"/>
        <v>0.91542779181375356</v>
      </c>
      <c r="I217" s="57">
        <f t="shared" si="1116"/>
        <v>0.9380407813086481</v>
      </c>
      <c r="J217" s="57">
        <f t="shared" si="1116"/>
        <v>0.91736917620634606</v>
      </c>
      <c r="K217" s="292">
        <f t="shared" si="1116"/>
        <v>0.91571279670251571</v>
      </c>
      <c r="L217" s="57">
        <f t="shared" si="1116"/>
        <v>0.92746347779691696</v>
      </c>
      <c r="M217" s="57">
        <f t="shared" si="1116"/>
        <v>0.93243169352373667</v>
      </c>
      <c r="N217" s="293">
        <f t="shared" si="1116"/>
        <v>0.94471992882858158</v>
      </c>
      <c r="O217" s="57">
        <f t="shared" si="1116"/>
        <v>0.9537198236846578</v>
      </c>
      <c r="P217" s="57">
        <f t="shared" si="1116"/>
        <v>0.95210692345263004</v>
      </c>
      <c r="Q217" s="57">
        <f t="shared" si="1116"/>
        <v>0.95623485637577921</v>
      </c>
      <c r="R217" s="57">
        <f t="shared" si="1116"/>
        <v>0.99809618821964496</v>
      </c>
      <c r="S217" s="292">
        <f t="shared" si="1116"/>
        <v>0.9838926518033636</v>
      </c>
      <c r="T217" s="57">
        <f t="shared" si="1116"/>
        <v>0.94298021944058097</v>
      </c>
      <c r="U217" s="57">
        <f t="shared" si="1116"/>
        <v>0.93809828544097362</v>
      </c>
      <c r="V217" s="293">
        <f t="shared" si="1116"/>
        <v>0.95403506200584642</v>
      </c>
      <c r="W217" s="57">
        <f t="shared" si="1116"/>
        <v>0.9688265175237295</v>
      </c>
      <c r="X217" s="57">
        <f t="shared" si="1116"/>
        <v>0.9436593327481978</v>
      </c>
      <c r="Y217" s="57">
        <f t="shared" si="1116"/>
        <v>0.93846040819421939</v>
      </c>
      <c r="Z217" s="57">
        <f t="shared" si="1116"/>
        <v>0.92244262028755286</v>
      </c>
      <c r="AA217" s="292">
        <f t="shared" si="1116"/>
        <v>0.84978883392461224</v>
      </c>
      <c r="AB217" s="57">
        <f t="shared" si="1116"/>
        <v>0.77011304287090132</v>
      </c>
      <c r="AC217" s="57">
        <f t="shared" si="1116"/>
        <v>0.75887467407004461</v>
      </c>
      <c r="AD217" s="293">
        <f t="shared" si="1116"/>
        <v>0.81557794111167303</v>
      </c>
      <c r="AE217" s="57">
        <f t="shared" si="1116"/>
        <v>0.78536389163099529</v>
      </c>
      <c r="AF217" s="57">
        <f t="shared" si="1116"/>
        <v>0.76476773248297858</v>
      </c>
      <c r="AG217" s="57">
        <f t="shared" si="1116"/>
        <v>0.74263065666758021</v>
      </c>
      <c r="AH217" s="57">
        <f t="shared" si="1116"/>
        <v>0.75211174973032846</v>
      </c>
      <c r="AI217" s="292">
        <f t="shared" si="1116"/>
        <v>0.82288353152013272</v>
      </c>
      <c r="AJ217" s="57">
        <f t="shared" si="1116"/>
        <v>0.87861196556007848</v>
      </c>
      <c r="AK217" s="57">
        <f t="shared" si="1116"/>
        <v>0.83193591450206683</v>
      </c>
      <c r="AL217" s="293">
        <f t="shared" si="1116"/>
        <v>0.82769105187997372</v>
      </c>
      <c r="AM217" s="292">
        <f t="shared" si="1116"/>
        <v>0.81372286760725332</v>
      </c>
      <c r="AN217" s="57">
        <f t="shared" ref="AN217:AS217" si="1117">AN215/AN238</f>
        <v>0.79611977976540227</v>
      </c>
      <c r="AO217" s="57">
        <f t="shared" si="1117"/>
        <v>0.80903914044763181</v>
      </c>
      <c r="AP217" s="293">
        <f t="shared" si="1117"/>
        <v>0.85739224031078443</v>
      </c>
      <c r="AQ217" s="292">
        <f t="shared" si="1117"/>
        <v>0.81668114682884452</v>
      </c>
      <c r="AR217" s="57">
        <f t="shared" si="1117"/>
        <v>0.83174327840416307</v>
      </c>
      <c r="AS217" s="57">
        <f t="shared" si="1117"/>
        <v>0.85057471264367812</v>
      </c>
      <c r="AT217" s="293">
        <f t="shared" ref="AT217:AW217" si="1118">AT215/AT238</f>
        <v>0.8408279800142755</v>
      </c>
      <c r="AU217" s="292">
        <f t="shared" si="1118"/>
        <v>0.82681992337164756</v>
      </c>
      <c r="AV217" s="57">
        <f t="shared" si="1118"/>
        <v>0.83753501400560226</v>
      </c>
      <c r="AW217" s="57">
        <f t="shared" si="1118"/>
        <v>0.84680638722554891</v>
      </c>
      <c r="AX217" s="795">
        <f t="shared" ref="AX217:AZ217" si="1119">AX215/AX238</f>
        <v>0.85135757017947533</v>
      </c>
      <c r="AY217" s="819">
        <f t="shared" si="1119"/>
        <v>0.80640165203923597</v>
      </c>
      <c r="AZ217" s="819">
        <f t="shared" si="1119"/>
        <v>0.8506726457399103</v>
      </c>
      <c r="BA217" s="819">
        <f t="shared" ref="BA217:BB217" si="1120">BA215/BA238</f>
        <v>0.84104704097116845</v>
      </c>
      <c r="BB217" s="795">
        <f t="shared" si="1120"/>
        <v>0.8454139470972174</v>
      </c>
      <c r="BC217" s="819"/>
      <c r="BD217" s="819"/>
      <c r="BE217" s="57"/>
      <c r="BF217" s="293"/>
      <c r="BG217" s="819"/>
      <c r="BH217" s="819"/>
      <c r="BI217" s="57"/>
      <c r="BJ217" s="293"/>
      <c r="BK217" s="819"/>
      <c r="BL217" s="819"/>
      <c r="BM217" s="57"/>
      <c r="BN217" s="293"/>
      <c r="BO217" s="87"/>
      <c r="CC217" s="821"/>
      <c r="CD217" s="821"/>
      <c r="CE217" s="821"/>
    </row>
    <row r="218" spans="1:226" s="46" customFormat="1">
      <c r="A218" s="84"/>
      <c r="B218" s="5" t="s">
        <v>161</v>
      </c>
      <c r="C218" s="43"/>
      <c r="D218" s="29"/>
      <c r="E218" s="29"/>
      <c r="F218" s="44"/>
      <c r="G218" s="29"/>
      <c r="H218" s="29"/>
      <c r="I218" s="29"/>
      <c r="J218" s="29"/>
      <c r="K218" s="43"/>
      <c r="L218" s="29"/>
      <c r="M218" s="29"/>
      <c r="N218" s="44"/>
      <c r="O218" s="29"/>
      <c r="P218" s="29"/>
      <c r="Q218" s="29"/>
      <c r="R218" s="29"/>
      <c r="S218" s="43"/>
      <c r="T218" s="29"/>
      <c r="U218" s="29"/>
      <c r="V218" s="44"/>
      <c r="W218" s="29"/>
      <c r="X218" s="29"/>
      <c r="Y218" s="29"/>
      <c r="Z218" s="29"/>
      <c r="AA218" s="43"/>
      <c r="AB218" s="29"/>
      <c r="AC218" s="29"/>
      <c r="AD218" s="44"/>
      <c r="AE218" s="4">
        <v>31.061</v>
      </c>
      <c r="AF218" s="4">
        <v>31.396999999999998</v>
      </c>
      <c r="AG218" s="4">
        <v>32.375</v>
      </c>
      <c r="AH218" s="4">
        <v>48.429000000000009</v>
      </c>
      <c r="AI218" s="21">
        <v>38.847999999999999</v>
      </c>
      <c r="AJ218" s="4">
        <v>32.326999999999998</v>
      </c>
      <c r="AK218" s="4">
        <v>33.439</v>
      </c>
      <c r="AL218" s="22">
        <v>41.957000000000008</v>
      </c>
      <c r="AM218" s="21">
        <v>29.524000000000001</v>
      </c>
      <c r="AN218" s="4">
        <v>29.492999999999999</v>
      </c>
      <c r="AO218" s="4">
        <v>29.175000000000001</v>
      </c>
      <c r="AP218" s="308">
        <v>28.491000000000014</v>
      </c>
      <c r="AQ218" s="21">
        <v>28</v>
      </c>
      <c r="AR218" s="4">
        <v>27</v>
      </c>
      <c r="AS218" s="4">
        <v>26</v>
      </c>
      <c r="AT218" s="308">
        <v>29</v>
      </c>
      <c r="AU218" s="21">
        <v>28</v>
      </c>
      <c r="AV218" s="4">
        <v>29</v>
      </c>
      <c r="AW218" s="4">
        <v>30</v>
      </c>
      <c r="AX218" s="800">
        <f>116-AW218-AV218-AU218</f>
        <v>29</v>
      </c>
      <c r="AY218" s="891">
        <v>28</v>
      </c>
      <c r="AZ218" s="754">
        <v>29</v>
      </c>
      <c r="BA218" s="754">
        <v>32</v>
      </c>
      <c r="BB218" s="800">
        <f>123-BA218-AZ218-AY218</f>
        <v>34</v>
      </c>
      <c r="BC218" s="891"/>
      <c r="BD218" s="754"/>
      <c r="BE218" s="66"/>
      <c r="BF218" s="308"/>
      <c r="BG218" s="891"/>
      <c r="BH218" s="754"/>
      <c r="BI218" s="66"/>
      <c r="BJ218" s="308"/>
      <c r="BK218" s="891"/>
      <c r="BL218" s="754"/>
      <c r="BM218" s="66"/>
      <c r="BN218" s="308"/>
      <c r="BO218" s="88"/>
      <c r="BP218" s="174"/>
      <c r="BQ218" s="174"/>
      <c r="BR218" s="174"/>
      <c r="BS218" s="174"/>
      <c r="BT218" s="174"/>
      <c r="BU218" s="175"/>
      <c r="BV218" s="175"/>
      <c r="BW218" s="176"/>
      <c r="BX218" s="176"/>
      <c r="BY218" s="96"/>
      <c r="BZ218" s="96"/>
      <c r="CA218" s="96"/>
      <c r="CB218" s="96"/>
      <c r="CC218" s="96"/>
      <c r="CD218" s="96"/>
      <c r="CE218" s="96"/>
      <c r="CF218" s="90"/>
      <c r="CG218" s="88"/>
      <c r="CH218" s="88"/>
      <c r="CI218" s="29"/>
      <c r="CJ218" s="2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29"/>
      <c r="DD218" s="2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29"/>
      <c r="DX218" s="2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29"/>
      <c r="ER218" s="29"/>
      <c r="ES218" s="29"/>
      <c r="ET218" s="29"/>
      <c r="EU218" s="29"/>
      <c r="EV218" s="29"/>
      <c r="EW218" s="29"/>
      <c r="EX218" s="29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29"/>
      <c r="FJ218" s="29"/>
      <c r="FK218" s="29"/>
      <c r="FL218" s="29"/>
      <c r="FM218" s="29"/>
      <c r="FN218" s="29"/>
      <c r="FO218" s="29"/>
      <c r="FP218" s="29"/>
      <c r="FQ218" s="29"/>
      <c r="FR218" s="29"/>
      <c r="FS218" s="29"/>
      <c r="FT218" s="29"/>
      <c r="FU218" s="29"/>
      <c r="FV218" s="29"/>
      <c r="FW218" s="29"/>
      <c r="FX218" s="29"/>
      <c r="FY218" s="29"/>
      <c r="FZ218" s="29"/>
      <c r="GA218" s="29"/>
      <c r="GB218" s="29"/>
      <c r="GC218" s="29"/>
      <c r="GD218" s="29"/>
      <c r="GE218" s="29"/>
      <c r="GF218" s="29"/>
      <c r="GG218" s="29"/>
      <c r="GH218" s="29"/>
      <c r="GI218" s="29"/>
      <c r="GJ218" s="29"/>
      <c r="GK218" s="29"/>
      <c r="GL218" s="29"/>
      <c r="GM218" s="29"/>
      <c r="GN218" s="29"/>
      <c r="GO218" s="29"/>
      <c r="GP218" s="29"/>
      <c r="GQ218" s="29"/>
      <c r="GR218" s="29"/>
      <c r="GS218" s="29"/>
      <c r="GT218" s="29"/>
      <c r="GU218" s="29"/>
      <c r="GV218" s="29"/>
      <c r="GW218" s="29"/>
      <c r="GX218" s="29"/>
      <c r="GY218" s="29"/>
      <c r="GZ218" s="29"/>
      <c r="HA218" s="29"/>
      <c r="HB218" s="29"/>
      <c r="HC218" s="29"/>
      <c r="HD218" s="29"/>
      <c r="HE218" s="29"/>
      <c r="HF218" s="29"/>
      <c r="HG218" s="29"/>
      <c r="HH218" s="29"/>
      <c r="HI218" s="29"/>
      <c r="HJ218" s="29"/>
      <c r="HK218" s="29"/>
      <c r="HL218" s="29"/>
      <c r="HM218" s="29"/>
      <c r="HN218" s="29"/>
      <c r="HO218" s="29"/>
      <c r="HP218" s="29"/>
      <c r="HQ218" s="29"/>
      <c r="HR218" s="29"/>
    </row>
    <row r="219" spans="1:226" s="46" customFormat="1">
      <c r="A219" s="84"/>
      <c r="B219" s="5" t="s">
        <v>164</v>
      </c>
      <c r="C219" s="43"/>
      <c r="D219" s="29"/>
      <c r="E219" s="29"/>
      <c r="F219" s="44"/>
      <c r="G219" s="29">
        <f>'BU-Segment'!G303+'BU-Segment'!G312</f>
        <v>134.46200000000002</v>
      </c>
      <c r="H219" s="29">
        <f>'BU-Segment'!H303+'BU-Segment'!H312</f>
        <v>137.71</v>
      </c>
      <c r="I219" s="29">
        <f>'BU-Segment'!I303+'BU-Segment'!I312</f>
        <v>195.06799999999998</v>
      </c>
      <c r="J219" s="29">
        <f>'BU-Segment'!J303+'BU-Segment'!J312</f>
        <v>206.96300000000002</v>
      </c>
      <c r="K219" s="43">
        <f>'BU-Segment'!K303+'BU-Segment'!K312</f>
        <v>201.56299999999999</v>
      </c>
      <c r="L219" s="29">
        <f>'BU-Segment'!L303+'BU-Segment'!L312</f>
        <v>246.59200000000001</v>
      </c>
      <c r="M219" s="29">
        <f>'BU-Segment'!M303+'BU-Segment'!M312</f>
        <v>307.125</v>
      </c>
      <c r="N219" s="44">
        <f>'BU-Segment'!N303+'BU-Segment'!N312</f>
        <v>325.31400000000002</v>
      </c>
      <c r="O219" s="29">
        <f>'BU-Segment'!O303+'BU-Segment'!O312</f>
        <v>282.95500000000004</v>
      </c>
      <c r="P219" s="29">
        <f>'BU-Segment'!P303+'BU-Segment'!P312</f>
        <v>-64.980999999999995</v>
      </c>
      <c r="Q219" s="29">
        <f>'BU-Segment'!Q303+'BU-Segment'!Q312</f>
        <v>149.58100000000002</v>
      </c>
      <c r="R219" s="29">
        <f>'BU-Segment'!R303+'BU-Segment'!R312</f>
        <v>-359.02</v>
      </c>
      <c r="S219" s="43">
        <f>'BU-Segment'!S303+'BU-Segment'!S312</f>
        <v>-47.495000000000005</v>
      </c>
      <c r="T219" s="29">
        <f>'BU-Segment'!T303+'BU-Segment'!T312</f>
        <v>-94.614999999999995</v>
      </c>
      <c r="U219" s="29">
        <f>'BU-Segment'!U303+'BU-Segment'!U312</f>
        <v>119.43299999999999</v>
      </c>
      <c r="V219" s="44">
        <f>'BU-Segment'!V303+'BU-Segment'!V312</f>
        <v>158.14300000000003</v>
      </c>
      <c r="W219" s="29">
        <f>'BU-Segment'!W303+'BU-Segment'!W312</f>
        <v>189.209</v>
      </c>
      <c r="X219" s="29">
        <f>'BU-Segment'!X303+'BU-Segment'!X312</f>
        <v>-136.48500000000001</v>
      </c>
      <c r="Y219" s="29">
        <f>'BU-Segment'!Y303+'BU-Segment'!Y312</f>
        <v>135.548</v>
      </c>
      <c r="Z219" s="29">
        <f>'BU-Segment'!Z303+'BU-Segment'!Z312</f>
        <v>163.82600000000008</v>
      </c>
      <c r="AA219" s="43">
        <f>'BU-Segment'!AA303+'BU-Segment'!AA312</f>
        <v>190.16800000000001</v>
      </c>
      <c r="AB219" s="29">
        <f>'BU-Segment'!AB303+'BU-Segment'!AB312</f>
        <v>209.571</v>
      </c>
      <c r="AC219" s="29">
        <f>'BU-Segment'!AC303+'BU-Segment'!AC312</f>
        <v>242.73</v>
      </c>
      <c r="AD219" s="44">
        <f>'BU-Segment'!AD303+'BU-Segment'!AD312</f>
        <v>213.74299999999999</v>
      </c>
      <c r="AE219" s="4">
        <v>153.477</v>
      </c>
      <c r="AF219" s="4">
        <v>216.03</v>
      </c>
      <c r="AG219" s="4">
        <v>264.08699999999999</v>
      </c>
      <c r="AH219" s="4">
        <v>60.743999999999971</v>
      </c>
      <c r="AI219" s="21">
        <v>158.52600000000001</v>
      </c>
      <c r="AJ219" s="4">
        <v>270.22800000000001</v>
      </c>
      <c r="AK219" s="4">
        <v>286.90499999999997</v>
      </c>
      <c r="AL219" s="22">
        <v>119.10400000000004</v>
      </c>
      <c r="AM219" s="21">
        <v>235.197</v>
      </c>
      <c r="AN219" s="4">
        <v>240.90799999999999</v>
      </c>
      <c r="AO219" s="4">
        <v>294.28899999999999</v>
      </c>
      <c r="AP219" s="308">
        <v>342.9559999999999</v>
      </c>
      <c r="AQ219" s="21">
        <v>278</v>
      </c>
      <c r="AR219" s="4">
        <v>273</v>
      </c>
      <c r="AS219" s="4">
        <v>367</v>
      </c>
      <c r="AT219" s="308">
        <v>426</v>
      </c>
      <c r="AU219" s="21">
        <v>348</v>
      </c>
      <c r="AV219" s="4">
        <v>379</v>
      </c>
      <c r="AW219" s="4">
        <v>678</v>
      </c>
      <c r="AX219" s="800">
        <f>2180-AW219-AV219-AU219</f>
        <v>775</v>
      </c>
      <c r="AY219" s="891">
        <v>602</v>
      </c>
      <c r="AZ219" s="754">
        <v>761</v>
      </c>
      <c r="BA219" s="754">
        <v>978</v>
      </c>
      <c r="BB219" s="800">
        <f>3507-BA219-AZ219-AY219</f>
        <v>1166</v>
      </c>
      <c r="BC219" s="891"/>
      <c r="BD219" s="754"/>
      <c r="BE219" s="66"/>
      <c r="BF219" s="308"/>
      <c r="BG219" s="891"/>
      <c r="BH219" s="754"/>
      <c r="BI219" s="66"/>
      <c r="BJ219" s="308"/>
      <c r="BK219" s="891"/>
      <c r="BL219" s="754"/>
      <c r="BM219" s="66"/>
      <c r="BN219" s="308"/>
      <c r="BO219" s="88"/>
      <c r="BP219" s="174"/>
      <c r="BQ219" s="176"/>
      <c r="BR219" s="176"/>
      <c r="BS219" s="176"/>
      <c r="BT219" s="176"/>
      <c r="BU219" s="175"/>
      <c r="BV219" s="175"/>
      <c r="BW219" s="176"/>
      <c r="BX219" s="176"/>
      <c r="BY219" s="88"/>
      <c r="BZ219" s="166"/>
      <c r="CA219" s="88"/>
      <c r="CB219" s="88"/>
      <c r="CC219" s="88"/>
      <c r="CD219" s="88"/>
      <c r="CE219" s="88"/>
      <c r="CF219" s="90"/>
      <c r="CG219" s="88"/>
      <c r="CH219" s="88"/>
      <c r="CI219" s="29"/>
      <c r="CJ219" s="2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29"/>
      <c r="DD219" s="2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29"/>
      <c r="DX219" s="2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29"/>
      <c r="ER219" s="29"/>
      <c r="ES219" s="29"/>
      <c r="ET219" s="29"/>
      <c r="EU219" s="29"/>
      <c r="EV219" s="29"/>
      <c r="EW219" s="29"/>
      <c r="EX219" s="29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29"/>
      <c r="FJ219" s="29"/>
      <c r="FK219" s="29"/>
      <c r="FL219" s="29"/>
      <c r="FM219" s="29"/>
      <c r="FN219" s="29"/>
      <c r="FO219" s="29"/>
      <c r="FP219" s="29"/>
      <c r="FQ219" s="29"/>
      <c r="FR219" s="29"/>
      <c r="FS219" s="29"/>
      <c r="FT219" s="29"/>
      <c r="FU219" s="29"/>
      <c r="FV219" s="29"/>
      <c r="FW219" s="29"/>
      <c r="FX219" s="29"/>
      <c r="FY219" s="29"/>
      <c r="FZ219" s="29"/>
      <c r="GA219" s="29"/>
      <c r="GB219" s="29"/>
      <c r="GC219" s="29"/>
      <c r="GD219" s="29"/>
      <c r="GE219" s="29"/>
      <c r="GF219" s="29"/>
      <c r="GG219" s="29"/>
      <c r="GH219" s="29"/>
      <c r="GI219" s="29"/>
      <c r="GJ219" s="29"/>
      <c r="GK219" s="29"/>
      <c r="GL219" s="29"/>
      <c r="GM219" s="29"/>
      <c r="GN219" s="29"/>
      <c r="GO219" s="29"/>
      <c r="GP219" s="29"/>
      <c r="GQ219" s="29"/>
      <c r="GR219" s="29"/>
      <c r="GS219" s="29"/>
      <c r="GT219" s="29"/>
      <c r="GU219" s="29"/>
      <c r="GV219" s="29"/>
      <c r="GW219" s="29"/>
      <c r="GX219" s="29"/>
      <c r="GY219" s="29"/>
      <c r="GZ219" s="29"/>
      <c r="HA219" s="29"/>
      <c r="HB219" s="29"/>
      <c r="HC219" s="29"/>
      <c r="HD219" s="29"/>
      <c r="HE219" s="29"/>
      <c r="HF219" s="29"/>
      <c r="HG219" s="29"/>
      <c r="HH219" s="29"/>
      <c r="HI219" s="29"/>
      <c r="HJ219" s="29"/>
      <c r="HK219" s="29"/>
      <c r="HL219" s="29"/>
      <c r="HM219" s="29"/>
      <c r="HN219" s="29"/>
      <c r="HO219" s="29"/>
      <c r="HP219" s="29"/>
      <c r="HQ219" s="29"/>
      <c r="HR219" s="29"/>
    </row>
    <row r="220" spans="1:226" s="46" customFormat="1">
      <c r="A220" s="84"/>
      <c r="B220" s="91" t="s">
        <v>228</v>
      </c>
      <c r="C220" s="292"/>
      <c r="D220" s="57"/>
      <c r="E220" s="57"/>
      <c r="F220" s="293"/>
      <c r="G220" s="57">
        <f>G219/'BU-Segment'!G22</f>
        <v>0.21574916604223462</v>
      </c>
      <c r="H220" s="57">
        <f>H219/'BU-Segment'!H22</f>
        <v>0.21880471706807081</v>
      </c>
      <c r="I220" s="57">
        <f>I219/'BU-Segment'!I22</f>
        <v>0.2534239278708118</v>
      </c>
      <c r="J220" s="57">
        <f>J219/'BU-Segment'!J22</f>
        <v>0.25669797618855672</v>
      </c>
      <c r="K220" s="292">
        <f>K219/'BU-Segment'!K22</f>
        <v>0.26071440582162103</v>
      </c>
      <c r="L220" s="57">
        <f>L219/'BU-Segment'!L22</f>
        <v>0.28428441814914002</v>
      </c>
      <c r="M220" s="57">
        <f>M219/'BU-Segment'!M22</f>
        <v>0.29525061092963212</v>
      </c>
      <c r="N220" s="293">
        <f>N219/'BU-Segment'!N22</f>
        <v>0.28630671432079235</v>
      </c>
      <c r="O220" s="57">
        <f>O219/'BU-Segment'!O22</f>
        <v>0.2572297135750708</v>
      </c>
      <c r="P220" s="57">
        <f>P219/'BU-Segment'!P22</f>
        <v>-7.6455161232252794E-2</v>
      </c>
      <c r="Q220" s="57">
        <f>Q219/'BU-Segment'!Q22</f>
        <v>0.1742618850401168</v>
      </c>
      <c r="R220" s="57">
        <f>R219/'BU-Segment'!R22</f>
        <v>-0.74760944892383563</v>
      </c>
      <c r="S220" s="292">
        <f>S219/'BU-Segment'!S22</f>
        <v>-7.2674329642618885E-2</v>
      </c>
      <c r="T220" s="57">
        <f>T219/'BU-Segment'!T22</f>
        <v>-0.1292125701440642</v>
      </c>
      <c r="U220" s="57">
        <f>U219/'BU-Segment'!U22</f>
        <v>0.14095782347609334</v>
      </c>
      <c r="V220" s="293">
        <f>V219/'BU-Segment'!V22</f>
        <v>0.16871682057934898</v>
      </c>
      <c r="W220" s="57">
        <f>W219/'BU-Segment'!W22</f>
        <v>0.19494365757488027</v>
      </c>
      <c r="X220" s="57">
        <f>X219/'BU-Segment'!X22</f>
        <v>-0.17829430022573364</v>
      </c>
      <c r="Y220" s="57">
        <f>Y219/'BU-Segment'!Y22</f>
        <v>0.17115121884698817</v>
      </c>
      <c r="Z220" s="57">
        <f>Z219/'BU-Segment'!Z22</f>
        <v>0.2003666690719898</v>
      </c>
      <c r="AA220" s="292">
        <f>AA219/'BU-Segment'!AA22</f>
        <v>0.23261287047570117</v>
      </c>
      <c r="AB220" s="57">
        <f>AB219/'BU-Segment'!AB22</f>
        <v>0.26770843845366765</v>
      </c>
      <c r="AC220" s="57">
        <f>AC219/'BU-Segment'!AC22</f>
        <v>0.30000111235117666</v>
      </c>
      <c r="AD220" s="293">
        <f>AD219/'BU-Segment'!AD22</f>
        <v>0.27494455907095922</v>
      </c>
      <c r="AE220" s="57">
        <f>AE219/'BU-Segment'!AE22</f>
        <v>0.21129459706896669</v>
      </c>
      <c r="AF220" s="57">
        <f>AF219/'BU-Segment'!AF22</f>
        <v>0.27050276475537927</v>
      </c>
      <c r="AG220" s="57">
        <f>AG219/'BU-Segment'!AG22</f>
        <v>0.29533028632008851</v>
      </c>
      <c r="AH220" s="57">
        <f>AH219/'BU-Segment'!AH22</f>
        <v>7.2964538734483705E-2</v>
      </c>
      <c r="AI220" s="292">
        <f>AI219/'BU-Segment'!AI22</f>
        <v>0.20177969780013469</v>
      </c>
      <c r="AJ220" s="57">
        <f>AJ219/'BU-Segment'!AJ22</f>
        <v>0.31472619212613828</v>
      </c>
      <c r="AK220" s="57">
        <f>AK219/'BU-Segment'!AK22</f>
        <v>0.32720597878957564</v>
      </c>
      <c r="AL220" s="293">
        <f>AL219/'BU-Segment'!AL22</f>
        <v>0.12576196414373345</v>
      </c>
      <c r="AM220" s="292">
        <f>AM219/'BU-Segment'!AM22</f>
        <v>0.26209794698466504</v>
      </c>
      <c r="AN220" s="57">
        <f>AN219/'BU-Segment'!AN22</f>
        <v>0.27438893824460692</v>
      </c>
      <c r="AO220" s="57">
        <f>AO219/'BU-Segment'!AO22</f>
        <v>0.29684722942316888</v>
      </c>
      <c r="AP220" s="293">
        <f>AP219/'BU-Segment'!AP22</f>
        <v>0.31986763428935971</v>
      </c>
      <c r="AQ220" s="292">
        <f>AQ219/'BU-Segment'!AQ22</f>
        <v>0.29574468085106381</v>
      </c>
      <c r="AR220" s="57">
        <f>AR219/'BU-Segment'!AR22</f>
        <v>0.28467153284671531</v>
      </c>
      <c r="AS220" s="57">
        <f>AS219/'BU-Segment'!AS22</f>
        <v>0.33063063063063064</v>
      </c>
      <c r="AT220" s="293">
        <f>AT219/'BU-Segment'!AT22</f>
        <v>0.36162988115449918</v>
      </c>
      <c r="AU220" s="292">
        <f>AU219/'BU-Segment'!AU22</f>
        <v>0.32252085264133457</v>
      </c>
      <c r="AV220" s="57">
        <f>AV219/'BU-Segment'!AV22</f>
        <v>0.31688963210702342</v>
      </c>
      <c r="AW220" s="57">
        <f>AW219/'BU-Segment'!AW22</f>
        <v>0.39952857984678847</v>
      </c>
      <c r="AX220" s="795">
        <f>AX219/'BU-Segment'!AX22</f>
        <v>0.41891891891891891</v>
      </c>
      <c r="AY220" s="819">
        <f>AY219/'BU-Segment'!AY22</f>
        <v>0.38540332906530089</v>
      </c>
      <c r="AZ220" s="819">
        <f>AZ219/'BU-Segment'!AZ22</f>
        <v>0.40115972588297311</v>
      </c>
      <c r="BA220" s="819">
        <f>BA219/'BU-Segment'!BA22</f>
        <v>0.44113667117726657</v>
      </c>
      <c r="BB220" s="795">
        <f>BB219/'BU-Segment'!BB22</f>
        <v>0.47379114181227144</v>
      </c>
      <c r="BC220" s="819"/>
      <c r="BD220" s="819"/>
      <c r="BE220" s="57"/>
      <c r="BF220" s="293"/>
      <c r="BG220" s="819"/>
      <c r="BH220" s="819"/>
      <c r="BI220" s="57"/>
      <c r="BJ220" s="293"/>
      <c r="BK220" s="819"/>
      <c r="BL220" s="819"/>
      <c r="BM220" s="57"/>
      <c r="BN220" s="293"/>
      <c r="BO220" s="88"/>
      <c r="BP220" s="177"/>
      <c r="BQ220" s="177"/>
      <c r="BR220" s="177"/>
      <c r="BS220" s="177"/>
      <c r="BT220" s="177"/>
      <c r="BU220" s="177"/>
      <c r="BV220" s="177"/>
      <c r="BW220" s="177"/>
      <c r="BX220" s="177"/>
      <c r="BY220" s="177"/>
      <c r="BZ220" s="165"/>
      <c r="CA220" s="165"/>
      <c r="CB220" s="165"/>
      <c r="CC220" s="165"/>
      <c r="CD220" s="165"/>
      <c r="CE220" s="165"/>
      <c r="CF220" s="88"/>
      <c r="CG220" s="88"/>
      <c r="CH220" s="88"/>
      <c r="CI220" s="29"/>
      <c r="CJ220" s="29"/>
      <c r="CK220" s="29"/>
      <c r="CL220" s="29"/>
      <c r="CM220" s="29"/>
      <c r="CN220" s="29"/>
      <c r="CO220" s="29"/>
      <c r="CP220" s="29"/>
      <c r="CQ220" s="29"/>
      <c r="CR220" s="29"/>
      <c r="CS220" s="29"/>
      <c r="CT220" s="29"/>
      <c r="CU220" s="29"/>
      <c r="CV220" s="29"/>
      <c r="CW220" s="29"/>
      <c r="CX220" s="29"/>
      <c r="CY220" s="29"/>
      <c r="CZ220" s="29"/>
      <c r="DA220" s="29"/>
      <c r="DB220" s="29"/>
      <c r="DC220" s="29"/>
      <c r="DD220" s="29"/>
      <c r="DE220" s="29"/>
      <c r="DF220" s="29"/>
      <c r="DG220" s="29"/>
      <c r="DH220" s="29"/>
      <c r="DI220" s="29"/>
      <c r="DJ220" s="29"/>
      <c r="DK220" s="29"/>
      <c r="DL220" s="29"/>
      <c r="DM220" s="29"/>
      <c r="DN220" s="29"/>
      <c r="DO220" s="29"/>
      <c r="DP220" s="29"/>
      <c r="DQ220" s="29"/>
      <c r="DR220" s="29"/>
      <c r="DS220" s="29"/>
      <c r="DT220" s="29"/>
      <c r="DU220" s="29"/>
      <c r="DV220" s="29"/>
      <c r="DW220" s="29"/>
      <c r="DX220" s="29"/>
      <c r="DY220" s="29"/>
      <c r="DZ220" s="29"/>
      <c r="EA220" s="29"/>
      <c r="EB220" s="29"/>
      <c r="EC220" s="29"/>
      <c r="ED220" s="29"/>
      <c r="EE220" s="29"/>
      <c r="EF220" s="29"/>
      <c r="EG220" s="29"/>
      <c r="EH220" s="29"/>
      <c r="EI220" s="29"/>
      <c r="EJ220" s="29"/>
      <c r="EK220" s="29"/>
      <c r="EL220" s="29"/>
      <c r="EM220" s="29"/>
      <c r="EN220" s="29"/>
      <c r="EO220" s="29"/>
      <c r="EP220" s="29"/>
      <c r="EQ220" s="29"/>
      <c r="ER220" s="29"/>
      <c r="ES220" s="29"/>
      <c r="ET220" s="29"/>
      <c r="EU220" s="29"/>
      <c r="EV220" s="29"/>
      <c r="EW220" s="29"/>
      <c r="EX220" s="29"/>
      <c r="EY220" s="29"/>
      <c r="EZ220" s="29"/>
      <c r="FA220" s="29"/>
      <c r="FB220" s="29"/>
      <c r="FC220" s="29"/>
      <c r="FD220" s="29"/>
      <c r="FE220" s="29"/>
      <c r="FF220" s="29"/>
      <c r="FG220" s="29"/>
      <c r="FH220" s="29"/>
      <c r="FI220" s="29"/>
      <c r="FJ220" s="29"/>
      <c r="FK220" s="29"/>
      <c r="FL220" s="29"/>
      <c r="FM220" s="29"/>
      <c r="FN220" s="29"/>
      <c r="FO220" s="29"/>
      <c r="FP220" s="29"/>
      <c r="FQ220" s="29"/>
      <c r="FR220" s="29"/>
      <c r="FS220" s="29"/>
      <c r="FT220" s="29"/>
      <c r="FU220" s="29"/>
      <c r="FV220" s="29"/>
      <c r="FW220" s="29"/>
      <c r="FX220" s="29"/>
      <c r="FY220" s="29"/>
      <c r="FZ220" s="29"/>
      <c r="GA220" s="29"/>
      <c r="GB220" s="29"/>
      <c r="GC220" s="29"/>
      <c r="GD220" s="29"/>
      <c r="GE220" s="29"/>
      <c r="GF220" s="29"/>
      <c r="GG220" s="29"/>
      <c r="GH220" s="29"/>
      <c r="GI220" s="29"/>
      <c r="GJ220" s="29"/>
      <c r="GK220" s="29"/>
      <c r="GL220" s="29"/>
      <c r="GM220" s="29"/>
      <c r="GN220" s="29"/>
      <c r="GO220" s="29"/>
      <c r="GP220" s="29"/>
      <c r="GQ220" s="29"/>
      <c r="GR220" s="29"/>
      <c r="GS220" s="29"/>
      <c r="GT220" s="29"/>
      <c r="GU220" s="29"/>
      <c r="GV220" s="29"/>
      <c r="GW220" s="29"/>
      <c r="GX220" s="29"/>
      <c r="GY220" s="29"/>
      <c r="GZ220" s="29"/>
      <c r="HA220" s="29"/>
      <c r="HB220" s="29"/>
      <c r="HC220" s="29"/>
      <c r="HD220" s="29"/>
      <c r="HE220" s="29"/>
      <c r="HF220" s="29"/>
      <c r="HG220" s="29"/>
      <c r="HH220" s="29"/>
      <c r="HI220" s="29"/>
      <c r="HJ220" s="29"/>
      <c r="HK220" s="29"/>
      <c r="HL220" s="29"/>
      <c r="HM220" s="29"/>
      <c r="HN220" s="29"/>
      <c r="HO220" s="29"/>
      <c r="HP220" s="29"/>
      <c r="HQ220" s="29"/>
      <c r="HR220" s="29"/>
    </row>
    <row r="221" spans="1:226" s="46" customFormat="1">
      <c r="A221" s="84"/>
      <c r="B221" s="5"/>
      <c r="C221" s="15"/>
      <c r="D221" s="5"/>
      <c r="E221" s="5"/>
      <c r="F221" s="16"/>
      <c r="G221" s="5"/>
      <c r="H221" s="5"/>
      <c r="I221" s="5"/>
      <c r="J221" s="5"/>
      <c r="K221" s="15"/>
      <c r="L221" s="5"/>
      <c r="M221" s="5"/>
      <c r="N221" s="16"/>
      <c r="O221" s="5"/>
      <c r="P221" s="5"/>
      <c r="Q221" s="5"/>
      <c r="R221" s="5"/>
      <c r="S221" s="15"/>
      <c r="T221" s="5"/>
      <c r="U221" s="5"/>
      <c r="V221" s="16"/>
      <c r="W221" s="5"/>
      <c r="X221" s="5"/>
      <c r="Y221" s="5"/>
      <c r="Z221" s="5"/>
      <c r="AA221" s="15"/>
      <c r="AB221" s="5"/>
      <c r="AC221" s="5"/>
      <c r="AD221" s="16"/>
      <c r="AE221" s="4"/>
      <c r="AF221" s="4"/>
      <c r="AG221" s="4"/>
      <c r="AH221" s="4"/>
      <c r="AI221" s="21"/>
      <c r="AJ221" s="4"/>
      <c r="AK221" s="4"/>
      <c r="AL221" s="22"/>
      <c r="AM221" s="21"/>
      <c r="AN221" s="4"/>
      <c r="AO221" s="4"/>
      <c r="AP221" s="22"/>
      <c r="AQ221" s="21"/>
      <c r="AR221" s="4"/>
      <c r="AS221" s="4"/>
      <c r="AT221" s="22"/>
      <c r="AU221" s="21"/>
      <c r="AV221" s="4"/>
      <c r="AW221" s="754"/>
      <c r="AX221" s="801"/>
      <c r="AY221" s="754"/>
      <c r="AZ221" s="754"/>
      <c r="BA221" s="754"/>
      <c r="BB221" s="801"/>
      <c r="BC221" s="754"/>
      <c r="BD221" s="754"/>
      <c r="BE221" s="4"/>
      <c r="BF221" s="22"/>
      <c r="BG221" s="754"/>
      <c r="BH221" s="754"/>
      <c r="BI221" s="4"/>
      <c r="BJ221" s="22"/>
      <c r="BK221" s="754"/>
      <c r="BL221" s="754"/>
      <c r="BM221" s="4"/>
      <c r="BN221" s="22"/>
      <c r="BO221" s="88"/>
      <c r="BP221" s="88"/>
      <c r="BQ221" s="88"/>
      <c r="BR221" s="88"/>
      <c r="BS221" s="88"/>
      <c r="BT221" s="88"/>
      <c r="BU221" s="175"/>
      <c r="BV221" s="175"/>
      <c r="BW221" s="175"/>
      <c r="BX221" s="175"/>
      <c r="BY221" s="88"/>
      <c r="BZ221" s="88"/>
      <c r="CA221" s="88"/>
      <c r="CB221" s="88"/>
      <c r="CC221" s="88"/>
      <c r="CD221" s="88"/>
      <c r="CE221" s="88"/>
      <c r="CF221" s="88"/>
      <c r="CG221" s="88"/>
      <c r="CH221" s="88"/>
      <c r="CI221" s="29"/>
      <c r="CJ221" s="2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29"/>
      <c r="DD221" s="2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29"/>
      <c r="DX221" s="2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29"/>
      <c r="ER221" s="29"/>
      <c r="ES221" s="29"/>
      <c r="ET221" s="29"/>
      <c r="EU221" s="29"/>
      <c r="EV221" s="29"/>
      <c r="EW221" s="29"/>
      <c r="EX221" s="29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29"/>
      <c r="FJ221" s="29"/>
      <c r="FK221" s="29"/>
      <c r="FL221" s="29"/>
      <c r="FM221" s="29"/>
      <c r="FN221" s="29"/>
      <c r="FO221" s="29"/>
      <c r="FP221" s="29"/>
      <c r="FQ221" s="29"/>
      <c r="FR221" s="29"/>
      <c r="FS221" s="29"/>
      <c r="FT221" s="29"/>
      <c r="FU221" s="29"/>
      <c r="FV221" s="29"/>
      <c r="FW221" s="29"/>
      <c r="FX221" s="29"/>
      <c r="FY221" s="29"/>
      <c r="FZ221" s="29"/>
      <c r="GA221" s="29"/>
      <c r="GB221" s="29"/>
      <c r="GC221" s="29"/>
      <c r="GD221" s="29"/>
      <c r="GE221" s="29"/>
      <c r="GF221" s="29"/>
      <c r="GG221" s="29"/>
      <c r="GH221" s="29"/>
      <c r="GI221" s="29"/>
      <c r="GJ221" s="29"/>
      <c r="GK221" s="29"/>
      <c r="GL221" s="29"/>
      <c r="GM221" s="29"/>
      <c r="GN221" s="29"/>
      <c r="GO221" s="29"/>
      <c r="GP221" s="29"/>
      <c r="GQ221" s="29"/>
      <c r="GR221" s="29"/>
      <c r="GS221" s="29"/>
      <c r="GT221" s="29"/>
      <c r="GU221" s="29"/>
      <c r="GV221" s="29"/>
      <c r="GW221" s="29"/>
      <c r="GX221" s="29"/>
      <c r="GY221" s="29"/>
      <c r="GZ221" s="29"/>
      <c r="HA221" s="29"/>
      <c r="HB221" s="29"/>
      <c r="HC221" s="29"/>
      <c r="HD221" s="29"/>
      <c r="HE221" s="29"/>
      <c r="HF221" s="29"/>
      <c r="HG221" s="29"/>
      <c r="HH221" s="29"/>
      <c r="HI221" s="29"/>
      <c r="HJ221" s="29"/>
      <c r="HK221" s="29"/>
      <c r="HL221" s="29"/>
      <c r="HM221" s="29"/>
      <c r="HN221" s="29"/>
      <c r="HO221" s="29"/>
      <c r="HP221" s="29"/>
      <c r="HQ221" s="29"/>
      <c r="HR221" s="29"/>
    </row>
    <row r="222" spans="1:226" s="46" customFormat="1">
      <c r="A222" s="84"/>
      <c r="B222" s="376" t="s">
        <v>162</v>
      </c>
      <c r="C222" s="15"/>
      <c r="D222" s="5"/>
      <c r="E222" s="5"/>
      <c r="F222" s="16"/>
      <c r="G222" s="5"/>
      <c r="H222" s="5"/>
      <c r="I222" s="5"/>
      <c r="J222" s="5"/>
      <c r="K222" s="15"/>
      <c r="L222" s="5"/>
      <c r="M222" s="5"/>
      <c r="N222" s="16"/>
      <c r="O222" s="5"/>
      <c r="P222" s="5"/>
      <c r="Q222" s="5"/>
      <c r="R222" s="5"/>
      <c r="S222" s="15"/>
      <c r="T222" s="5"/>
      <c r="U222" s="5"/>
      <c r="V222" s="16"/>
      <c r="W222" s="5"/>
      <c r="X222" s="5"/>
      <c r="Y222" s="5"/>
      <c r="Z222" s="5"/>
      <c r="AA222" s="15"/>
      <c r="AB222" s="5"/>
      <c r="AC222" s="5"/>
      <c r="AD222" s="16"/>
      <c r="AE222" s="4"/>
      <c r="AF222" s="4"/>
      <c r="AG222" s="4"/>
      <c r="AH222" s="4"/>
      <c r="AI222" s="21"/>
      <c r="AJ222" s="4"/>
      <c r="AK222" s="4"/>
      <c r="AL222" s="22"/>
      <c r="AM222" s="21"/>
      <c r="AN222" s="4"/>
      <c r="AO222" s="4"/>
      <c r="AP222" s="22"/>
      <c r="AQ222" s="21"/>
      <c r="AR222" s="4"/>
      <c r="AS222" s="4"/>
      <c r="AT222" s="674"/>
      <c r="AU222" s="21"/>
      <c r="AV222" s="4"/>
      <c r="AW222" s="754"/>
      <c r="AX222" s="802"/>
      <c r="AY222" s="754"/>
      <c r="AZ222" s="754"/>
      <c r="BA222" s="754"/>
      <c r="BB222" s="802"/>
      <c r="BC222" s="754"/>
      <c r="BD222" s="754"/>
      <c r="BE222" s="4"/>
      <c r="BF222" s="22"/>
      <c r="BG222" s="754"/>
      <c r="BH222" s="754"/>
      <c r="BI222" s="4"/>
      <c r="BJ222" s="22"/>
      <c r="BK222" s="754"/>
      <c r="BL222" s="754"/>
      <c r="BM222" s="4"/>
      <c r="BN222" s="22"/>
      <c r="BO222" s="88"/>
      <c r="BP222" s="88"/>
      <c r="BQ222" s="88"/>
      <c r="BR222" s="88"/>
      <c r="BS222" s="88"/>
      <c r="BT222" s="88"/>
      <c r="BU222" s="175"/>
      <c r="BV222" s="175"/>
      <c r="BW222" s="175"/>
      <c r="BX222" s="175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29"/>
      <c r="CJ222" s="2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29"/>
      <c r="DD222" s="2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29"/>
      <c r="DX222" s="2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29"/>
      <c r="ER222" s="29"/>
      <c r="ES222" s="29"/>
      <c r="ET222" s="29"/>
      <c r="EU222" s="29"/>
      <c r="EV222" s="29"/>
      <c r="EW222" s="29"/>
      <c r="EX222" s="29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29"/>
      <c r="FJ222" s="29"/>
      <c r="FK222" s="29"/>
      <c r="FL222" s="29"/>
      <c r="FM222" s="29"/>
      <c r="FN222" s="29"/>
      <c r="FO222" s="29"/>
      <c r="FP222" s="29"/>
      <c r="FQ222" s="29"/>
      <c r="FR222" s="29"/>
      <c r="FS222" s="29"/>
      <c r="FT222" s="29"/>
      <c r="FU222" s="29"/>
      <c r="FV222" s="29"/>
      <c r="FW222" s="29"/>
      <c r="FX222" s="29"/>
      <c r="FY222" s="29"/>
      <c r="FZ222" s="29"/>
      <c r="GA222" s="29"/>
      <c r="GB222" s="29"/>
      <c r="GC222" s="29"/>
      <c r="GD222" s="29"/>
      <c r="GE222" s="29"/>
      <c r="GF222" s="29"/>
      <c r="GG222" s="29"/>
      <c r="GH222" s="29"/>
      <c r="GI222" s="29"/>
      <c r="GJ222" s="29"/>
      <c r="GK222" s="29"/>
      <c r="GL222" s="29"/>
      <c r="GM222" s="29"/>
      <c r="GN222" s="29"/>
      <c r="GO222" s="29"/>
      <c r="GP222" s="29"/>
      <c r="GQ222" s="29"/>
      <c r="GR222" s="29"/>
      <c r="GS222" s="29"/>
      <c r="GT222" s="29"/>
      <c r="GU222" s="29"/>
      <c r="GV222" s="29"/>
      <c r="GW222" s="29"/>
      <c r="GX222" s="29"/>
      <c r="GY222" s="29"/>
      <c r="GZ222" s="29"/>
      <c r="HA222" s="29"/>
      <c r="HB222" s="29"/>
      <c r="HC222" s="29"/>
      <c r="HD222" s="29"/>
      <c r="HE222" s="29"/>
      <c r="HF222" s="29"/>
      <c r="HG222" s="29"/>
      <c r="HH222" s="29"/>
      <c r="HI222" s="29"/>
      <c r="HJ222" s="29"/>
      <c r="HK222" s="29"/>
      <c r="HL222" s="29"/>
      <c r="HM222" s="29"/>
      <c r="HN222" s="29"/>
      <c r="HO222" s="29"/>
      <c r="HP222" s="29"/>
      <c r="HQ222" s="29"/>
      <c r="HR222" s="29"/>
    </row>
    <row r="223" spans="1:226" s="46" customFormat="1">
      <c r="A223" s="84"/>
      <c r="B223" s="5" t="s">
        <v>1</v>
      </c>
      <c r="C223" s="43"/>
      <c r="D223" s="29"/>
      <c r="E223" s="29"/>
      <c r="F223" s="44"/>
      <c r="G223" s="29">
        <f>G320</f>
        <v>57.384999999999998</v>
      </c>
      <c r="H223" s="29">
        <f t="shared" ref="H223:AD223" si="1121">H320</f>
        <v>55.692999999999998</v>
      </c>
      <c r="I223" s="29">
        <f t="shared" si="1121"/>
        <v>48.942999999999998</v>
      </c>
      <c r="J223" s="29">
        <f t="shared" si="1121"/>
        <v>71.202000000000055</v>
      </c>
      <c r="K223" s="43">
        <f t="shared" si="1121"/>
        <v>67.225999999999999</v>
      </c>
      <c r="L223" s="29">
        <f t="shared" si="1121"/>
        <v>62.182000000000002</v>
      </c>
      <c r="M223" s="29">
        <f t="shared" si="1121"/>
        <v>65.873000000000005</v>
      </c>
      <c r="N223" s="44">
        <f t="shared" si="1121"/>
        <v>55.856000000000009</v>
      </c>
      <c r="O223" s="29">
        <f t="shared" si="1121"/>
        <v>42.465000000000003</v>
      </c>
      <c r="P223" s="29">
        <f t="shared" si="1121"/>
        <v>34.625</v>
      </c>
      <c r="Q223" s="29">
        <f t="shared" si="1121"/>
        <v>34.173999999999999</v>
      </c>
      <c r="R223" s="29">
        <f t="shared" si="1121"/>
        <v>25.069999999999993</v>
      </c>
      <c r="S223" s="43">
        <f t="shared" si="1121"/>
        <v>10.699</v>
      </c>
      <c r="T223" s="29">
        <f t="shared" si="1121"/>
        <v>44.277000000000001</v>
      </c>
      <c r="U223" s="29">
        <f t="shared" si="1121"/>
        <v>55.91</v>
      </c>
      <c r="V223" s="44">
        <f t="shared" si="1121"/>
        <v>45.16</v>
      </c>
      <c r="W223" s="29">
        <f t="shared" si="1121"/>
        <v>31.23</v>
      </c>
      <c r="X223" s="29">
        <f t="shared" si="1121"/>
        <v>45.704000000000001</v>
      </c>
      <c r="Y223" s="29">
        <f t="shared" si="1121"/>
        <v>51.933999999999997</v>
      </c>
      <c r="Z223" s="29">
        <f t="shared" si="1121"/>
        <v>68.74499999999999</v>
      </c>
      <c r="AA223" s="43">
        <f t="shared" si="1121"/>
        <v>122.60899999999999</v>
      </c>
      <c r="AB223" s="29">
        <f t="shared" si="1121"/>
        <v>167.684</v>
      </c>
      <c r="AC223" s="29">
        <f t="shared" si="1121"/>
        <v>191.083</v>
      </c>
      <c r="AD223" s="44">
        <f t="shared" si="1121"/>
        <v>109.79</v>
      </c>
      <c r="AE223" s="4">
        <v>132.512</v>
      </c>
      <c r="AF223" s="4">
        <v>179.64599999999999</v>
      </c>
      <c r="AG223" s="4">
        <v>243.90100000000001</v>
      </c>
      <c r="AH223" s="4">
        <v>208.38800000000009</v>
      </c>
      <c r="AI223" s="21">
        <v>103.1</v>
      </c>
      <c r="AJ223" s="4">
        <v>52.625</v>
      </c>
      <c r="AK223" s="4">
        <v>111.134</v>
      </c>
      <c r="AL223" s="308">
        <v>131.15899999999996</v>
      </c>
      <c r="AM223" s="21">
        <v>139.42400000000001</v>
      </c>
      <c r="AN223" s="4">
        <v>158.84399999999999</v>
      </c>
      <c r="AO223" s="4">
        <v>168</v>
      </c>
      <c r="AP223" s="308">
        <v>112.333</v>
      </c>
      <c r="AQ223" s="21">
        <v>145</v>
      </c>
      <c r="AR223" s="4">
        <v>128</v>
      </c>
      <c r="AS223" s="4">
        <v>129</v>
      </c>
      <c r="AT223" s="308">
        <v>157</v>
      </c>
      <c r="AU223" s="21">
        <v>160</v>
      </c>
      <c r="AV223" s="4">
        <v>166</v>
      </c>
      <c r="AW223" s="754">
        <v>241</v>
      </c>
      <c r="AX223" s="800">
        <f>824-AW223-AV223-AU223</f>
        <v>257</v>
      </c>
      <c r="AY223" s="891">
        <v>332</v>
      </c>
      <c r="AZ223" s="754">
        <v>333</v>
      </c>
      <c r="BA223" s="754">
        <v>419</v>
      </c>
      <c r="BB223" s="800">
        <v>450</v>
      </c>
      <c r="BC223" s="891"/>
      <c r="BD223" s="754"/>
      <c r="BE223" s="66"/>
      <c r="BF223" s="308"/>
      <c r="BG223" s="891"/>
      <c r="BH223" s="754"/>
      <c r="BI223" s="66"/>
      <c r="BJ223" s="308"/>
      <c r="BK223" s="891"/>
      <c r="BL223" s="754"/>
      <c r="BM223" s="66"/>
      <c r="BN223" s="308"/>
      <c r="BO223" s="88"/>
      <c r="BP223" s="174"/>
      <c r="BQ223" s="176"/>
      <c r="BR223" s="176"/>
      <c r="BS223" s="176"/>
      <c r="BT223" s="176"/>
      <c r="BU223" s="176"/>
      <c r="BV223" s="176"/>
      <c r="BW223" s="176"/>
      <c r="BX223" s="90">
        <f>SUM(AI223:AL223)</f>
        <v>398.01799999999992</v>
      </c>
      <c r="BY223" s="90">
        <f>SUM(AM223:AP223)</f>
        <v>578.601</v>
      </c>
      <c r="BZ223" s="90">
        <f>SUM(AQ223:AT223)</f>
        <v>559</v>
      </c>
      <c r="CA223" s="88"/>
      <c r="CB223" s="88"/>
      <c r="CC223" s="88"/>
      <c r="CD223" s="88"/>
      <c r="CE223" s="88"/>
      <c r="CF223" s="90"/>
      <c r="CG223" s="88"/>
      <c r="CH223" s="88"/>
      <c r="CI223" s="29"/>
      <c r="CJ223" s="29"/>
      <c r="CK223" s="29"/>
      <c r="CL223" s="29"/>
      <c r="CM223" s="29"/>
      <c r="CN223" s="29"/>
      <c r="CO223" s="29"/>
      <c r="CP223" s="29"/>
      <c r="CQ223" s="29"/>
      <c r="CR223" s="29"/>
      <c r="CS223" s="29"/>
      <c r="CT223" s="29"/>
      <c r="CU223" s="29"/>
      <c r="CV223" s="29"/>
      <c r="CW223" s="29"/>
      <c r="CX223" s="29"/>
      <c r="CY223" s="29"/>
      <c r="CZ223" s="29"/>
      <c r="DA223" s="29"/>
      <c r="DB223" s="29"/>
      <c r="DC223" s="29"/>
      <c r="DD223" s="29"/>
      <c r="DE223" s="29"/>
      <c r="DF223" s="29"/>
      <c r="DG223" s="29"/>
      <c r="DH223" s="29"/>
      <c r="DI223" s="29"/>
      <c r="DJ223" s="29"/>
      <c r="DK223" s="29"/>
      <c r="DL223" s="29"/>
      <c r="DM223" s="29"/>
      <c r="DN223" s="29"/>
      <c r="DO223" s="29"/>
      <c r="DP223" s="29"/>
      <c r="DQ223" s="29"/>
      <c r="DR223" s="29"/>
      <c r="DS223" s="29"/>
      <c r="DT223" s="29"/>
      <c r="DU223" s="29"/>
      <c r="DV223" s="29"/>
      <c r="DW223" s="29"/>
      <c r="DX223" s="29"/>
      <c r="DY223" s="29"/>
      <c r="DZ223" s="29"/>
      <c r="EA223" s="29"/>
      <c r="EB223" s="29"/>
      <c r="EC223" s="29"/>
      <c r="ED223" s="29"/>
      <c r="EE223" s="29"/>
      <c r="EF223" s="29"/>
      <c r="EG223" s="29"/>
      <c r="EH223" s="29"/>
      <c r="EI223" s="29"/>
      <c r="EJ223" s="29"/>
      <c r="EK223" s="29"/>
      <c r="EL223" s="29"/>
      <c r="EM223" s="29"/>
      <c r="EN223" s="29"/>
      <c r="EO223" s="29"/>
      <c r="EP223" s="29"/>
      <c r="EQ223" s="29"/>
      <c r="ER223" s="29"/>
      <c r="ES223" s="29"/>
      <c r="ET223" s="29"/>
      <c r="EU223" s="29"/>
      <c r="EV223" s="29"/>
      <c r="EW223" s="29"/>
      <c r="EX223" s="29"/>
      <c r="EY223" s="29"/>
      <c r="EZ223" s="29"/>
      <c r="FA223" s="29"/>
      <c r="FB223" s="29"/>
      <c r="FC223" s="29"/>
      <c r="FD223" s="29"/>
      <c r="FE223" s="29"/>
      <c r="FF223" s="29"/>
      <c r="FG223" s="29"/>
      <c r="FH223" s="29"/>
      <c r="FI223" s="29"/>
      <c r="FJ223" s="29"/>
      <c r="FK223" s="29"/>
      <c r="FL223" s="29"/>
      <c r="FM223" s="29"/>
      <c r="FN223" s="29"/>
      <c r="FO223" s="29"/>
      <c r="FP223" s="29"/>
      <c r="FQ223" s="29"/>
      <c r="FR223" s="29"/>
      <c r="FS223" s="29"/>
      <c r="FT223" s="29"/>
      <c r="FU223" s="29"/>
      <c r="FV223" s="29"/>
      <c r="FW223" s="29"/>
      <c r="FX223" s="29"/>
      <c r="FY223" s="29"/>
      <c r="FZ223" s="29"/>
      <c r="GA223" s="29"/>
      <c r="GB223" s="29"/>
      <c r="GC223" s="29"/>
      <c r="GD223" s="29"/>
      <c r="GE223" s="29"/>
      <c r="GF223" s="29"/>
      <c r="GG223" s="29"/>
      <c r="GH223" s="29"/>
      <c r="GI223" s="29"/>
      <c r="GJ223" s="29"/>
      <c r="GK223" s="29"/>
      <c r="GL223" s="29"/>
      <c r="GM223" s="29"/>
      <c r="GN223" s="29"/>
      <c r="GO223" s="29"/>
      <c r="GP223" s="29"/>
      <c r="GQ223" s="29"/>
      <c r="GR223" s="29"/>
      <c r="GS223" s="29"/>
      <c r="GT223" s="29"/>
      <c r="GU223" s="29"/>
      <c r="GV223" s="29"/>
      <c r="GW223" s="29"/>
      <c r="GX223" s="29"/>
      <c r="GY223" s="29"/>
      <c r="GZ223" s="29"/>
      <c r="HA223" s="29"/>
      <c r="HB223" s="29"/>
      <c r="HC223" s="29"/>
      <c r="HD223" s="29"/>
      <c r="HE223" s="29"/>
      <c r="HF223" s="29"/>
      <c r="HG223" s="29"/>
      <c r="HH223" s="29"/>
      <c r="HI223" s="29"/>
      <c r="HJ223" s="29"/>
      <c r="HK223" s="29"/>
      <c r="HL223" s="29"/>
      <c r="HM223" s="29"/>
      <c r="HN223" s="29"/>
      <c r="HO223" s="29"/>
      <c r="HP223" s="29"/>
      <c r="HQ223" s="29"/>
      <c r="HR223" s="29"/>
    </row>
    <row r="224" spans="1:226" s="46" customFormat="1">
      <c r="A224" s="84"/>
      <c r="B224" s="114" t="s">
        <v>393</v>
      </c>
      <c r="C224" s="43"/>
      <c r="D224" s="29"/>
      <c r="E224" s="29"/>
      <c r="F224" s="44"/>
      <c r="G224" s="29"/>
      <c r="H224" s="29"/>
      <c r="I224" s="29"/>
      <c r="J224" s="29"/>
      <c r="K224" s="43"/>
      <c r="L224" s="29"/>
      <c r="M224" s="29"/>
      <c r="N224" s="44"/>
      <c r="O224" s="29"/>
      <c r="P224" s="29"/>
      <c r="Q224" s="29"/>
      <c r="R224" s="29"/>
      <c r="S224" s="43"/>
      <c r="T224" s="29"/>
      <c r="U224" s="29"/>
      <c r="V224" s="44"/>
      <c r="W224" s="29"/>
      <c r="X224" s="29"/>
      <c r="Y224" s="29"/>
      <c r="Z224" s="29"/>
      <c r="AA224" s="43"/>
      <c r="AB224" s="29"/>
      <c r="AC224" s="29"/>
      <c r="AD224" s="44"/>
      <c r="AE224" s="577">
        <f t="shared" ref="AE224:AV224" si="1122">AE223/AD223-1</f>
        <v>0.20695873941160392</v>
      </c>
      <c r="AF224" s="577">
        <f t="shared" si="1122"/>
        <v>0.355696087901473</v>
      </c>
      <c r="AG224" s="577">
        <f t="shared" si="1122"/>
        <v>0.35767565100252741</v>
      </c>
      <c r="AH224" s="577">
        <f t="shared" si="1122"/>
        <v>-0.14560415906453816</v>
      </c>
      <c r="AI224" s="578">
        <f t="shared" si="1122"/>
        <v>-0.50524982244659022</v>
      </c>
      <c r="AJ224" s="577">
        <f t="shared" si="1122"/>
        <v>-0.48957322987390883</v>
      </c>
      <c r="AK224" s="577">
        <f t="shared" si="1122"/>
        <v>1.1118099762470308</v>
      </c>
      <c r="AL224" s="579">
        <f t="shared" si="1122"/>
        <v>0.18018788129645258</v>
      </c>
      <c r="AM224" s="578">
        <f t="shared" si="1122"/>
        <v>6.3015119053972946E-2</v>
      </c>
      <c r="AN224" s="577">
        <f t="shared" si="1122"/>
        <v>0.13928735368372713</v>
      </c>
      <c r="AO224" s="577">
        <f t="shared" si="1122"/>
        <v>5.7641459545214158E-2</v>
      </c>
      <c r="AP224" s="579">
        <f t="shared" si="1122"/>
        <v>-0.33135119047619044</v>
      </c>
      <c r="AQ224" s="578">
        <f t="shared" si="1122"/>
        <v>0.29080501722557051</v>
      </c>
      <c r="AR224" s="577">
        <f t="shared" si="1122"/>
        <v>-0.11724137931034484</v>
      </c>
      <c r="AS224" s="577">
        <f t="shared" si="1122"/>
        <v>7.8125E-3</v>
      </c>
      <c r="AT224" s="579">
        <f t="shared" si="1122"/>
        <v>0.21705426356589141</v>
      </c>
      <c r="AU224" s="578">
        <f t="shared" si="1122"/>
        <v>1.9108280254777066E-2</v>
      </c>
      <c r="AV224" s="577">
        <f t="shared" si="1122"/>
        <v>3.7500000000000089E-2</v>
      </c>
      <c r="AW224" s="577">
        <f t="shared" ref="AW224" si="1123">AW223/AV223-1</f>
        <v>0.45180722891566272</v>
      </c>
      <c r="AX224" s="783">
        <f t="shared" ref="AX224:BB224" si="1124">AX223/AW223-1</f>
        <v>6.639004149377592E-2</v>
      </c>
      <c r="AY224" s="888">
        <f t="shared" si="1124"/>
        <v>0.29182879377431914</v>
      </c>
      <c r="AZ224" s="888">
        <f t="shared" si="1124"/>
        <v>3.0120481927711218E-3</v>
      </c>
      <c r="BA224" s="888">
        <f t="shared" si="1124"/>
        <v>0.25825825825825821</v>
      </c>
      <c r="BB224" s="783">
        <f t="shared" si="1124"/>
        <v>7.398568019093088E-2</v>
      </c>
      <c r="BC224" s="888"/>
      <c r="BD224" s="888"/>
      <c r="BE224" s="66"/>
      <c r="BF224" s="308"/>
      <c r="BG224" s="888"/>
      <c r="BH224" s="888"/>
      <c r="BI224" s="66"/>
      <c r="BJ224" s="308"/>
      <c r="BK224" s="888"/>
      <c r="BL224" s="888"/>
      <c r="BM224" s="66"/>
      <c r="BN224" s="308"/>
      <c r="BO224" s="88"/>
      <c r="BP224" s="174"/>
      <c r="BQ224" s="176"/>
      <c r="BR224" s="176"/>
      <c r="BS224" s="176"/>
      <c r="BT224" s="176"/>
      <c r="BU224" s="176"/>
      <c r="BV224" s="176"/>
      <c r="BW224" s="176"/>
      <c r="BX224" s="176"/>
      <c r="BY224" s="580">
        <f>BY223/BX223-1</f>
        <v>0.45370561130401166</v>
      </c>
      <c r="BZ224" s="580">
        <f>BZ223/BY223-1</f>
        <v>-3.3876540137331212E-2</v>
      </c>
      <c r="CA224" s="88"/>
      <c r="CB224" s="88"/>
      <c r="CC224" s="88"/>
      <c r="CD224" s="88"/>
      <c r="CE224" s="88"/>
      <c r="CF224" s="88"/>
      <c r="CG224" s="88"/>
      <c r="CH224" s="88"/>
      <c r="CI224" s="29"/>
      <c r="CJ224" s="2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29"/>
      <c r="DD224" s="2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29"/>
      <c r="DX224" s="2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29"/>
      <c r="ER224" s="29"/>
      <c r="ES224" s="29"/>
      <c r="ET224" s="29"/>
      <c r="EU224" s="29"/>
      <c r="EV224" s="29"/>
      <c r="EW224" s="29"/>
      <c r="EX224" s="29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29"/>
      <c r="FJ224" s="29"/>
      <c r="FK224" s="29"/>
      <c r="FL224" s="29"/>
      <c r="FM224" s="29"/>
      <c r="FN224" s="29"/>
      <c r="FO224" s="29"/>
      <c r="FP224" s="29"/>
      <c r="FQ224" s="29"/>
      <c r="FR224" s="29"/>
      <c r="FS224" s="29"/>
      <c r="FT224" s="29"/>
      <c r="FU224" s="29"/>
      <c r="FV224" s="29"/>
      <c r="FW224" s="29"/>
      <c r="FX224" s="29"/>
      <c r="FY224" s="29"/>
      <c r="FZ224" s="29"/>
      <c r="GA224" s="29"/>
      <c r="GB224" s="29"/>
      <c r="GC224" s="29"/>
      <c r="GD224" s="29"/>
      <c r="GE224" s="29"/>
      <c r="GF224" s="29"/>
      <c r="GG224" s="29"/>
      <c r="GH224" s="29"/>
      <c r="GI224" s="29"/>
      <c r="GJ224" s="29"/>
      <c r="GK224" s="29"/>
      <c r="GL224" s="29"/>
      <c r="GM224" s="29"/>
      <c r="GN224" s="29"/>
      <c r="GO224" s="29"/>
      <c r="GP224" s="29"/>
      <c r="GQ224" s="29"/>
      <c r="GR224" s="29"/>
      <c r="GS224" s="29"/>
      <c r="GT224" s="29"/>
      <c r="GU224" s="29"/>
      <c r="GV224" s="29"/>
      <c r="GW224" s="29"/>
      <c r="GX224" s="29"/>
      <c r="GY224" s="29"/>
      <c r="GZ224" s="29"/>
      <c r="HA224" s="29"/>
      <c r="HB224" s="29"/>
      <c r="HC224" s="29"/>
      <c r="HD224" s="29"/>
      <c r="HE224" s="29"/>
      <c r="HF224" s="29"/>
      <c r="HG224" s="29"/>
      <c r="HH224" s="29"/>
      <c r="HI224" s="29"/>
      <c r="HJ224" s="29"/>
      <c r="HK224" s="29"/>
      <c r="HL224" s="29"/>
      <c r="HM224" s="29"/>
      <c r="HN224" s="29"/>
      <c r="HO224" s="29"/>
      <c r="HP224" s="29"/>
      <c r="HQ224" s="29"/>
      <c r="HR224" s="29"/>
    </row>
    <row r="225" spans="1:226" s="46" customFormat="1">
      <c r="A225" s="84"/>
      <c r="B225" s="91" t="s">
        <v>173</v>
      </c>
      <c r="C225" s="292"/>
      <c r="D225" s="57"/>
      <c r="E225" s="57"/>
      <c r="F225" s="293"/>
      <c r="G225" s="57">
        <f t="shared" ref="G225:AM225" si="1125">G223/G$238</f>
        <v>8.416604698983729E-2</v>
      </c>
      <c r="H225" s="57">
        <f t="shared" si="1125"/>
        <v>8.1005761295324191E-2</v>
      </c>
      <c r="I225" s="57">
        <f t="shared" si="1125"/>
        <v>5.9644979355863957E-2</v>
      </c>
      <c r="J225" s="57">
        <f t="shared" si="1125"/>
        <v>8.1015118225272645E-2</v>
      </c>
      <c r="K225" s="292">
        <f t="shared" si="1125"/>
        <v>7.9625242810442032E-2</v>
      </c>
      <c r="L225" s="57">
        <f t="shared" si="1125"/>
        <v>6.648682228231291E-2</v>
      </c>
      <c r="M225" s="57">
        <f t="shared" si="1125"/>
        <v>5.9047308302191577E-2</v>
      </c>
      <c r="N225" s="293">
        <f t="shared" si="1125"/>
        <v>4.6441013361269781E-2</v>
      </c>
      <c r="O225" s="57">
        <f t="shared" si="1125"/>
        <v>3.68176190492705E-2</v>
      </c>
      <c r="P225" s="57">
        <f t="shared" si="1125"/>
        <v>3.8787869282920114E-2</v>
      </c>
      <c r="Q225" s="57">
        <f t="shared" si="1125"/>
        <v>3.8070305406865665E-2</v>
      </c>
      <c r="R225" s="57">
        <f t="shared" si="1125"/>
        <v>5.2105416302947162E-2</v>
      </c>
      <c r="S225" s="292">
        <f t="shared" si="1125"/>
        <v>1.6107348196636413E-2</v>
      </c>
      <c r="T225" s="57">
        <f t="shared" si="1125"/>
        <v>5.7019780559418948E-2</v>
      </c>
      <c r="U225" s="57">
        <f t="shared" si="1125"/>
        <v>6.1901714559026398E-2</v>
      </c>
      <c r="V225" s="293">
        <f t="shared" si="1125"/>
        <v>4.5964937994153611E-2</v>
      </c>
      <c r="W225" s="57">
        <f t="shared" si="1125"/>
        <v>3.1173482476270522E-2</v>
      </c>
      <c r="X225" s="57">
        <f t="shared" si="1125"/>
        <v>5.6340667251802257E-2</v>
      </c>
      <c r="Y225" s="57">
        <f t="shared" si="1125"/>
        <v>6.153959180578069E-2</v>
      </c>
      <c r="Z225" s="57">
        <f t="shared" si="1125"/>
        <v>7.7557379712447083E-2</v>
      </c>
      <c r="AA225" s="292">
        <f t="shared" si="1125"/>
        <v>0.12744701618125667</v>
      </c>
      <c r="AB225" s="57">
        <f t="shared" si="1125"/>
        <v>0.16495936614931184</v>
      </c>
      <c r="AC225" s="57">
        <f t="shared" si="1125"/>
        <v>0.17922208257517494</v>
      </c>
      <c r="AD225" s="293">
        <f t="shared" si="1125"/>
        <v>0.11518116983531161</v>
      </c>
      <c r="AE225" s="57">
        <f t="shared" si="1125"/>
        <v>0.14327526795454965</v>
      </c>
      <c r="AF225" s="57">
        <f t="shared" si="1125"/>
        <v>0.17203022206900515</v>
      </c>
      <c r="AG225" s="57">
        <f t="shared" si="1125"/>
        <v>0.20255707535025871</v>
      </c>
      <c r="AH225" s="57">
        <f t="shared" si="1125"/>
        <v>0.18826237553098657</v>
      </c>
      <c r="AI225" s="292">
        <f t="shared" si="1125"/>
        <v>0.10798762803237323</v>
      </c>
      <c r="AJ225" s="57">
        <f t="shared" si="1125"/>
        <v>5.3850750789469909E-2</v>
      </c>
      <c r="AK225" s="57">
        <f t="shared" si="1125"/>
        <v>0.10544352906684933</v>
      </c>
      <c r="AL225" s="293">
        <f t="shared" si="1125"/>
        <v>0.11462763214702087</v>
      </c>
      <c r="AM225" s="292">
        <f t="shared" si="1125"/>
        <v>0.12642876638915765</v>
      </c>
      <c r="AN225" s="57">
        <f t="shared" ref="AN225:AS225" si="1126">AN223/AN$238</f>
        <v>0.1440338621575156</v>
      </c>
      <c r="AO225" s="57">
        <f t="shared" si="1126"/>
        <v>0.1371001042940079</v>
      </c>
      <c r="AP225" s="293">
        <f t="shared" si="1126"/>
        <v>8.9829462125174162E-2</v>
      </c>
      <c r="AQ225" s="292">
        <f t="shared" si="1126"/>
        <v>0.1259774109470026</v>
      </c>
      <c r="AR225" s="57">
        <f t="shared" si="1126"/>
        <v>0.11101474414570685</v>
      </c>
      <c r="AS225" s="57">
        <f t="shared" si="1126"/>
        <v>9.8850574712643677E-2</v>
      </c>
      <c r="AT225" s="293">
        <f t="shared" ref="AT225:AW225" si="1127">AT223/AT$238</f>
        <v>0.11206281227694503</v>
      </c>
      <c r="AU225" s="292">
        <f t="shared" si="1127"/>
        <v>0.12260536398467432</v>
      </c>
      <c r="AV225" s="57">
        <f t="shared" si="1127"/>
        <v>0.11624649859943978</v>
      </c>
      <c r="AW225" s="57">
        <f t="shared" si="1127"/>
        <v>0.12025948103792415</v>
      </c>
      <c r="AX225" s="795">
        <f t="shared" ref="AX225:AZ225" si="1128">AX223/AX$238</f>
        <v>0.11826967326277037</v>
      </c>
      <c r="AY225" s="819">
        <f t="shared" si="1128"/>
        <v>0.17139907072792979</v>
      </c>
      <c r="AZ225" s="819">
        <f t="shared" si="1128"/>
        <v>0.1493273542600897</v>
      </c>
      <c r="BA225" s="819">
        <f t="shared" ref="BA225:BB225" si="1129">BA223/BA$238</f>
        <v>0.15895295902883155</v>
      </c>
      <c r="BB225" s="795">
        <f t="shared" si="1129"/>
        <v>0.15458605290278254</v>
      </c>
      <c r="BC225" s="819"/>
      <c r="BD225" s="819"/>
      <c r="BE225" s="57"/>
      <c r="BF225" s="293"/>
      <c r="BG225" s="819"/>
      <c r="BH225" s="819"/>
      <c r="BI225" s="57"/>
      <c r="BJ225" s="293"/>
      <c r="BK225" s="819"/>
      <c r="BL225" s="819"/>
      <c r="BM225" s="57"/>
      <c r="BN225" s="293"/>
      <c r="BO225" s="88"/>
      <c r="BP225" s="88"/>
      <c r="BQ225" s="177"/>
      <c r="BR225" s="177"/>
      <c r="BS225" s="177"/>
      <c r="BT225" s="177"/>
      <c r="BU225" s="177"/>
      <c r="BV225" s="177"/>
      <c r="BW225" s="177"/>
      <c r="BX225" s="177"/>
      <c r="BY225" s="177"/>
      <c r="BZ225" s="177"/>
      <c r="CA225" s="88"/>
      <c r="CB225" s="88"/>
      <c r="CC225" s="88"/>
      <c r="CD225" s="88"/>
      <c r="CE225" s="88"/>
      <c r="CF225" s="88"/>
      <c r="CG225" s="88"/>
      <c r="CH225" s="88"/>
      <c r="CI225" s="29"/>
      <c r="CJ225" s="2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29"/>
      <c r="DD225" s="2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29"/>
      <c r="DX225" s="2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29"/>
      <c r="ER225" s="29"/>
      <c r="ES225" s="29"/>
      <c r="ET225" s="29"/>
      <c r="EU225" s="29"/>
      <c r="EV225" s="29"/>
      <c r="EW225" s="29"/>
      <c r="EX225" s="29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29"/>
      <c r="FJ225" s="29"/>
      <c r="FK225" s="29"/>
      <c r="FL225" s="29"/>
      <c r="FM225" s="29"/>
      <c r="FN225" s="29"/>
      <c r="FO225" s="29"/>
      <c r="FP225" s="29"/>
      <c r="FQ225" s="29"/>
      <c r="FR225" s="29"/>
      <c r="FS225" s="29"/>
      <c r="FT225" s="29"/>
      <c r="FU225" s="29"/>
      <c r="FV225" s="29"/>
      <c r="FW225" s="29"/>
      <c r="FX225" s="29"/>
      <c r="FY225" s="29"/>
      <c r="FZ225" s="29"/>
      <c r="GA225" s="29"/>
      <c r="GB225" s="29"/>
      <c r="GC225" s="29"/>
      <c r="GD225" s="29"/>
      <c r="GE225" s="29"/>
      <c r="GF225" s="29"/>
      <c r="GG225" s="29"/>
      <c r="GH225" s="29"/>
      <c r="GI225" s="29"/>
      <c r="GJ225" s="29"/>
      <c r="GK225" s="29"/>
      <c r="GL225" s="29"/>
      <c r="GM225" s="29"/>
      <c r="GN225" s="29"/>
      <c r="GO225" s="29"/>
      <c r="GP225" s="29"/>
      <c r="GQ225" s="29"/>
      <c r="GR225" s="29"/>
      <c r="GS225" s="29"/>
      <c r="GT225" s="29"/>
      <c r="GU225" s="29"/>
      <c r="GV225" s="29"/>
      <c r="GW225" s="29"/>
      <c r="GX225" s="29"/>
      <c r="GY225" s="29"/>
      <c r="GZ225" s="29"/>
      <c r="HA225" s="29"/>
      <c r="HB225" s="29"/>
      <c r="HC225" s="29"/>
      <c r="HD225" s="29"/>
      <c r="HE225" s="29"/>
      <c r="HF225" s="29"/>
      <c r="HG225" s="29"/>
      <c r="HH225" s="29"/>
      <c r="HI225" s="29"/>
      <c r="HJ225" s="29"/>
      <c r="HK225" s="29"/>
      <c r="HL225" s="29"/>
      <c r="HM225" s="29"/>
      <c r="HN225" s="29"/>
      <c r="HO225" s="29"/>
      <c r="HP225" s="29"/>
      <c r="HQ225" s="29"/>
      <c r="HR225" s="29"/>
    </row>
    <row r="226" spans="1:226" s="46" customFormat="1">
      <c r="A226" s="84"/>
      <c r="B226" s="5" t="s">
        <v>161</v>
      </c>
      <c r="C226" s="43"/>
      <c r="D226" s="29"/>
      <c r="E226" s="29"/>
      <c r="F226" s="44"/>
      <c r="G226" s="29"/>
      <c r="H226" s="29"/>
      <c r="I226" s="29"/>
      <c r="J226" s="29"/>
      <c r="K226" s="43"/>
      <c r="L226" s="29"/>
      <c r="M226" s="29"/>
      <c r="N226" s="44"/>
      <c r="O226" s="29"/>
      <c r="P226" s="29"/>
      <c r="Q226" s="29"/>
      <c r="R226" s="29"/>
      <c r="S226" s="43"/>
      <c r="T226" s="29"/>
      <c r="U226" s="29"/>
      <c r="V226" s="44"/>
      <c r="W226" s="29"/>
      <c r="X226" s="29"/>
      <c r="Y226" s="29"/>
      <c r="Z226" s="29"/>
      <c r="AA226" s="43"/>
      <c r="AB226" s="29"/>
      <c r="AC226" s="29"/>
      <c r="AD226" s="44"/>
      <c r="AE226" s="4">
        <v>12.718</v>
      </c>
      <c r="AF226" s="4">
        <v>14.4</v>
      </c>
      <c r="AG226" s="4">
        <v>14.087</v>
      </c>
      <c r="AH226" s="4">
        <v>-0.41200000000000081</v>
      </c>
      <c r="AI226" s="21">
        <v>10.670999999999999</v>
      </c>
      <c r="AJ226" s="4">
        <v>19.116</v>
      </c>
      <c r="AK226" s="4">
        <v>17.713999999999999</v>
      </c>
      <c r="AL226" s="22">
        <v>2.338000000000001</v>
      </c>
      <c r="AM226" s="21">
        <v>14.167999999999999</v>
      </c>
      <c r="AN226" s="4">
        <v>14.561999999999999</v>
      </c>
      <c r="AO226" s="4">
        <v>14.664999999999999</v>
      </c>
      <c r="AP226" s="308">
        <v>13.887</v>
      </c>
      <c r="AQ226" s="21">
        <v>14</v>
      </c>
      <c r="AR226" s="4">
        <v>11</v>
      </c>
      <c r="AS226" s="4">
        <v>11</v>
      </c>
      <c r="AT226" s="308">
        <v>7</v>
      </c>
      <c r="AU226" s="21">
        <v>7</v>
      </c>
      <c r="AV226" s="4">
        <v>7</v>
      </c>
      <c r="AW226" s="4">
        <v>8</v>
      </c>
      <c r="AX226" s="800">
        <f>29-AW226-AV226-AU226</f>
        <v>7</v>
      </c>
      <c r="AY226" s="891">
        <v>9</v>
      </c>
      <c r="AZ226" s="754">
        <v>9</v>
      </c>
      <c r="BA226" s="754">
        <v>9</v>
      </c>
      <c r="BB226" s="800">
        <f>37-BA226-AZ226-AY226</f>
        <v>10</v>
      </c>
      <c r="BC226" s="891"/>
      <c r="BD226" s="754"/>
      <c r="BE226" s="66"/>
      <c r="BF226" s="308"/>
      <c r="BG226" s="891"/>
      <c r="BH226" s="754"/>
      <c r="BI226" s="66"/>
      <c r="BJ226" s="308"/>
      <c r="BK226" s="891"/>
      <c r="BL226" s="754"/>
      <c r="BM226" s="66"/>
      <c r="BN226" s="308"/>
      <c r="BO226" s="88"/>
      <c r="BP226" s="174"/>
      <c r="BQ226" s="174"/>
      <c r="BR226" s="174"/>
      <c r="BS226" s="174"/>
      <c r="BT226" s="174"/>
      <c r="BU226" s="175"/>
      <c r="BV226" s="175"/>
      <c r="BW226" s="176"/>
      <c r="BX226" s="176"/>
      <c r="BY226" s="88"/>
      <c r="BZ226" s="96"/>
      <c r="CA226" s="96"/>
      <c r="CB226" s="96"/>
      <c r="CC226" s="96"/>
      <c r="CD226" s="96"/>
      <c r="CE226" s="96"/>
      <c r="CF226" s="90"/>
      <c r="CG226" s="88"/>
      <c r="CH226" s="88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29"/>
      <c r="DK226" s="29"/>
      <c r="DL226" s="29"/>
      <c r="DM226" s="29"/>
      <c r="DN226" s="29"/>
      <c r="DO226" s="29"/>
      <c r="DP226" s="29"/>
      <c r="DQ226" s="29"/>
      <c r="DR226" s="29"/>
      <c r="DS226" s="29"/>
      <c r="DT226" s="29"/>
      <c r="DU226" s="29"/>
      <c r="DV226" s="29"/>
      <c r="DW226" s="29"/>
      <c r="DX226" s="29"/>
      <c r="DY226" s="29"/>
      <c r="DZ226" s="29"/>
      <c r="EA226" s="29"/>
      <c r="EB226" s="29"/>
      <c r="EC226" s="29"/>
      <c r="ED226" s="29"/>
      <c r="EE226" s="29"/>
      <c r="EF226" s="29"/>
      <c r="EG226" s="29"/>
      <c r="EH226" s="29"/>
      <c r="EI226" s="29"/>
      <c r="EJ226" s="29"/>
      <c r="EK226" s="29"/>
      <c r="EL226" s="29"/>
      <c r="EM226" s="29"/>
      <c r="EN226" s="29"/>
      <c r="EO226" s="29"/>
      <c r="EP226" s="29"/>
      <c r="EQ226" s="29"/>
      <c r="ER226" s="29"/>
      <c r="ES226" s="29"/>
      <c r="ET226" s="29"/>
      <c r="EU226" s="29"/>
      <c r="EV226" s="29"/>
      <c r="EW226" s="29"/>
      <c r="EX226" s="29"/>
      <c r="EY226" s="29"/>
      <c r="EZ226" s="29"/>
      <c r="FA226" s="29"/>
      <c r="FB226" s="29"/>
      <c r="FC226" s="29"/>
      <c r="FD226" s="29"/>
      <c r="FE226" s="29"/>
      <c r="FF226" s="29"/>
      <c r="FG226" s="29"/>
      <c r="FH226" s="29"/>
      <c r="FI226" s="29"/>
      <c r="FJ226" s="29"/>
      <c r="FK226" s="29"/>
      <c r="FL226" s="29"/>
      <c r="FM226" s="29"/>
      <c r="FN226" s="29"/>
      <c r="FO226" s="29"/>
      <c r="FP226" s="29"/>
      <c r="FQ226" s="29"/>
      <c r="FR226" s="29"/>
      <c r="FS226" s="29"/>
      <c r="FT226" s="29"/>
      <c r="FU226" s="29"/>
      <c r="FV226" s="29"/>
      <c r="FW226" s="29"/>
      <c r="FX226" s="29"/>
      <c r="FY226" s="29"/>
      <c r="FZ226" s="29"/>
      <c r="GA226" s="29"/>
      <c r="GB226" s="29"/>
      <c r="GC226" s="29"/>
      <c r="GD226" s="29"/>
      <c r="GE226" s="29"/>
      <c r="GF226" s="29"/>
      <c r="GG226" s="29"/>
      <c r="GH226" s="29"/>
      <c r="GI226" s="29"/>
      <c r="GJ226" s="29"/>
      <c r="GK226" s="29"/>
      <c r="GL226" s="29"/>
      <c r="GM226" s="29"/>
      <c r="GN226" s="29"/>
      <c r="GO226" s="29"/>
      <c r="GP226" s="29"/>
      <c r="GQ226" s="29"/>
      <c r="GR226" s="29"/>
      <c r="GS226" s="29"/>
      <c r="GT226" s="29"/>
      <c r="GU226" s="29"/>
      <c r="GV226" s="29"/>
      <c r="GW226" s="29"/>
      <c r="GX226" s="29"/>
      <c r="GY226" s="29"/>
      <c r="GZ226" s="29"/>
      <c r="HA226" s="29"/>
      <c r="HB226" s="29"/>
      <c r="HC226" s="29"/>
      <c r="HD226" s="29"/>
      <c r="HE226" s="29"/>
      <c r="HF226" s="29"/>
      <c r="HG226" s="29"/>
      <c r="HH226" s="29"/>
      <c r="HI226" s="29"/>
      <c r="HJ226" s="29"/>
      <c r="HK226" s="29"/>
      <c r="HL226" s="29"/>
      <c r="HM226" s="29"/>
      <c r="HN226" s="29"/>
      <c r="HO226" s="29"/>
      <c r="HP226" s="29"/>
      <c r="HQ226" s="29"/>
      <c r="HR226" s="29"/>
    </row>
    <row r="227" spans="1:226" s="46" customFormat="1">
      <c r="A227" s="84"/>
      <c r="B227" s="5" t="s">
        <v>164</v>
      </c>
      <c r="C227" s="43"/>
      <c r="D227" s="29"/>
      <c r="E227" s="29"/>
      <c r="F227" s="44"/>
      <c r="G227" s="29">
        <f t="shared" ref="G227:AD227" si="1130">G322</f>
        <v>17.164999999999999</v>
      </c>
      <c r="H227" s="29">
        <f t="shared" si="1130"/>
        <v>16.597000000000001</v>
      </c>
      <c r="I227" s="29">
        <f t="shared" si="1130"/>
        <v>4.9889999999999999</v>
      </c>
      <c r="J227" s="29">
        <f t="shared" si="1130"/>
        <v>3.6240000000000023</v>
      </c>
      <c r="K227" s="43">
        <f t="shared" si="1130"/>
        <v>10.167999999999999</v>
      </c>
      <c r="L227" s="29">
        <f t="shared" si="1130"/>
        <v>2.7669999999999999</v>
      </c>
      <c r="M227" s="29">
        <f t="shared" si="1130"/>
        <v>7.7880000000000003</v>
      </c>
      <c r="N227" s="44">
        <f t="shared" si="1130"/>
        <v>7.3810000000000002</v>
      </c>
      <c r="O227" s="29">
        <f t="shared" si="1130"/>
        <v>-3.85</v>
      </c>
      <c r="P227" s="29">
        <f t="shared" si="1130"/>
        <v>-6.359</v>
      </c>
      <c r="Q227" s="29">
        <f t="shared" si="1130"/>
        <v>1.9E-2</v>
      </c>
      <c r="R227" s="29">
        <f t="shared" si="1130"/>
        <v>-42.176999999999992</v>
      </c>
      <c r="S227" s="43">
        <f t="shared" si="1130"/>
        <v>-43.228999999999999</v>
      </c>
      <c r="T227" s="29">
        <f t="shared" si="1130"/>
        <v>-15.492000000000001</v>
      </c>
      <c r="U227" s="29">
        <f t="shared" si="1130"/>
        <v>-11.587999999999999</v>
      </c>
      <c r="V227" s="44">
        <f t="shared" si="1130"/>
        <v>-23.861000000000004</v>
      </c>
      <c r="W227" s="29">
        <f t="shared" si="1130"/>
        <v>-41.816000000000003</v>
      </c>
      <c r="X227" s="29">
        <f t="shared" si="1130"/>
        <v>-38.722000000000001</v>
      </c>
      <c r="Y227" s="29">
        <f t="shared" si="1130"/>
        <v>-31.765000000000001</v>
      </c>
      <c r="Z227" s="29">
        <f t="shared" si="1130"/>
        <v>-41.048000000000002</v>
      </c>
      <c r="AA227" s="43">
        <f t="shared" si="1130"/>
        <v>-35.305999999999997</v>
      </c>
      <c r="AB227" s="29">
        <f t="shared" si="1130"/>
        <v>-35.540999999999997</v>
      </c>
      <c r="AC227" s="29">
        <f t="shared" si="1130"/>
        <v>-45.64</v>
      </c>
      <c r="AD227" s="44">
        <f t="shared" si="1130"/>
        <v>-91.426000000000002</v>
      </c>
      <c r="AE227" s="4">
        <v>-62.536000000000001</v>
      </c>
      <c r="AF227" s="4">
        <v>-45.328000000000003</v>
      </c>
      <c r="AG227" s="4">
        <v>1.276</v>
      </c>
      <c r="AH227" s="4">
        <v>147.096</v>
      </c>
      <c r="AI227" s="21">
        <v>-54.99</v>
      </c>
      <c r="AJ227" s="4">
        <v>-150.25</v>
      </c>
      <c r="AK227" s="4">
        <v>-132.85599999999999</v>
      </c>
      <c r="AL227" s="22">
        <v>70.02800000000002</v>
      </c>
      <c r="AM227" s="21">
        <v>-61.44</v>
      </c>
      <c r="AN227" s="4">
        <v>-54.542000000000002</v>
      </c>
      <c r="AO227" s="4">
        <v>-53.290999999999997</v>
      </c>
      <c r="AP227" s="308">
        <v>-85.162000000000006</v>
      </c>
      <c r="AQ227" s="21">
        <v>-57</v>
      </c>
      <c r="AR227" s="4">
        <v>-41</v>
      </c>
      <c r="AS227" s="4">
        <v>-65</v>
      </c>
      <c r="AT227" s="308">
        <v>-76</v>
      </c>
      <c r="AU227" s="21">
        <v>-38</v>
      </c>
      <c r="AV227" s="4">
        <v>-14</v>
      </c>
      <c r="AW227" s="4">
        <v>17</v>
      </c>
      <c r="AX227" s="800">
        <f>-9-AW227-AV227-AU227</f>
        <v>26</v>
      </c>
      <c r="AY227" s="891">
        <v>47</v>
      </c>
      <c r="AZ227" s="754">
        <v>71</v>
      </c>
      <c r="BA227" s="754">
        <v>88</v>
      </c>
      <c r="BB227" s="800">
        <f>303-BA227-AZ227-AY227</f>
        <v>97</v>
      </c>
      <c r="BC227" s="891"/>
      <c r="BD227" s="754"/>
      <c r="BE227" s="66"/>
      <c r="BF227" s="308"/>
      <c r="BG227" s="891"/>
      <c r="BH227" s="754"/>
      <c r="BI227" s="66"/>
      <c r="BJ227" s="308"/>
      <c r="BK227" s="891"/>
      <c r="BL227" s="754"/>
      <c r="BM227" s="66"/>
      <c r="BN227" s="308"/>
      <c r="BO227" s="88"/>
      <c r="BP227" s="174"/>
      <c r="BQ227" s="176"/>
      <c r="BR227" s="176"/>
      <c r="BS227" s="176"/>
      <c r="BT227" s="176"/>
      <c r="BU227" s="175"/>
      <c r="BV227" s="175"/>
      <c r="BW227" s="176"/>
      <c r="BX227" s="176"/>
      <c r="BY227" s="88"/>
      <c r="BZ227" s="166"/>
      <c r="CA227" s="88"/>
      <c r="CB227" s="88"/>
      <c r="CC227" s="88"/>
      <c r="CD227" s="88"/>
      <c r="CE227" s="88"/>
      <c r="CF227" s="90"/>
      <c r="CG227" s="88"/>
      <c r="CH227" s="88"/>
      <c r="CI227" s="29"/>
      <c r="CJ227" s="2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29"/>
      <c r="DD227" s="2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29"/>
      <c r="DX227" s="2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29"/>
      <c r="ER227" s="29"/>
      <c r="ES227" s="29"/>
      <c r="ET227" s="29"/>
      <c r="EU227" s="29"/>
      <c r="EV227" s="29"/>
      <c r="EW227" s="29"/>
      <c r="EX227" s="29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29"/>
      <c r="FJ227" s="29"/>
      <c r="FK227" s="29"/>
      <c r="FL227" s="29"/>
      <c r="FM227" s="29"/>
      <c r="FN227" s="29"/>
      <c r="FO227" s="29"/>
      <c r="FP227" s="29"/>
      <c r="FQ227" s="29"/>
      <c r="FR227" s="29"/>
      <c r="FS227" s="29"/>
      <c r="FT227" s="29"/>
      <c r="FU227" s="29"/>
      <c r="FV227" s="29"/>
      <c r="FW227" s="29"/>
      <c r="FX227" s="29"/>
      <c r="FY227" s="29"/>
      <c r="FZ227" s="29"/>
      <c r="GA227" s="29"/>
      <c r="GB227" s="29"/>
      <c r="GC227" s="29"/>
      <c r="GD227" s="29"/>
      <c r="GE227" s="29"/>
      <c r="GF227" s="29"/>
      <c r="GG227" s="29"/>
      <c r="GH227" s="29"/>
      <c r="GI227" s="29"/>
      <c r="GJ227" s="29"/>
      <c r="GK227" s="29"/>
      <c r="GL227" s="29"/>
      <c r="GM227" s="29"/>
      <c r="GN227" s="29"/>
      <c r="GO227" s="29"/>
      <c r="GP227" s="29"/>
      <c r="GQ227" s="29"/>
      <c r="GR227" s="29"/>
      <c r="GS227" s="29"/>
      <c r="GT227" s="29"/>
      <c r="GU227" s="29"/>
      <c r="GV227" s="29"/>
      <c r="GW227" s="29"/>
      <c r="GX227" s="29"/>
      <c r="GY227" s="29"/>
      <c r="GZ227" s="29"/>
      <c r="HA227" s="29"/>
      <c r="HB227" s="29"/>
      <c r="HC227" s="29"/>
      <c r="HD227" s="29"/>
      <c r="HE227" s="29"/>
      <c r="HF227" s="29"/>
      <c r="HG227" s="29"/>
      <c r="HH227" s="29"/>
      <c r="HI227" s="29"/>
      <c r="HJ227" s="29"/>
      <c r="HK227" s="29"/>
      <c r="HL227" s="29"/>
      <c r="HM227" s="29"/>
      <c r="HN227" s="29"/>
      <c r="HO227" s="29"/>
      <c r="HP227" s="29"/>
      <c r="HQ227" s="29"/>
      <c r="HR227" s="29"/>
    </row>
    <row r="228" spans="1:226" s="46" customFormat="1">
      <c r="A228" s="84"/>
      <c r="B228" s="91" t="s">
        <v>228</v>
      </c>
      <c r="C228" s="292"/>
      <c r="D228" s="57"/>
      <c r="E228" s="57"/>
      <c r="F228" s="293"/>
      <c r="G228" s="57">
        <f t="shared" ref="G228:AM228" si="1131">G227/G223</f>
        <v>0.29911997908861199</v>
      </c>
      <c r="H228" s="57">
        <f t="shared" si="1131"/>
        <v>0.29800872641085957</v>
      </c>
      <c r="I228" s="57">
        <f t="shared" si="1131"/>
        <v>0.10193490386776455</v>
      </c>
      <c r="J228" s="57">
        <f t="shared" si="1131"/>
        <v>5.0897446700935357E-2</v>
      </c>
      <c r="K228" s="292">
        <f t="shared" si="1131"/>
        <v>0.151251004075804</v>
      </c>
      <c r="L228" s="57">
        <f t="shared" si="1131"/>
        <v>4.4498407899392106E-2</v>
      </c>
      <c r="M228" s="57">
        <f t="shared" si="1131"/>
        <v>0.11822749836807189</v>
      </c>
      <c r="N228" s="293">
        <f t="shared" si="1131"/>
        <v>0.13214336866227441</v>
      </c>
      <c r="O228" s="57">
        <f t="shared" si="1131"/>
        <v>-9.0662898857882951E-2</v>
      </c>
      <c r="P228" s="57">
        <f t="shared" si="1131"/>
        <v>-0.18365342960288808</v>
      </c>
      <c r="Q228" s="57">
        <f t="shared" si="1131"/>
        <v>5.5597822906303042E-4</v>
      </c>
      <c r="R228" s="57">
        <f t="shared" si="1131"/>
        <v>-1.6823693657758279</v>
      </c>
      <c r="S228" s="292">
        <f t="shared" si="1131"/>
        <v>-4.0404710720628092</v>
      </c>
      <c r="T228" s="57">
        <f t="shared" si="1131"/>
        <v>-0.34988820380784608</v>
      </c>
      <c r="U228" s="57">
        <f t="shared" si="1131"/>
        <v>-0.20726167054194242</v>
      </c>
      <c r="V228" s="293">
        <f t="shared" si="1131"/>
        <v>-0.52836581045172737</v>
      </c>
      <c r="W228" s="57">
        <f t="shared" si="1131"/>
        <v>-1.338968940121678</v>
      </c>
      <c r="X228" s="57">
        <f t="shared" si="1131"/>
        <v>-0.84723437773499044</v>
      </c>
      <c r="Y228" s="57">
        <f t="shared" si="1131"/>
        <v>-0.61164169907960109</v>
      </c>
      <c r="Z228" s="57">
        <f t="shared" si="1131"/>
        <v>-0.59710524401774689</v>
      </c>
      <c r="AA228" s="292">
        <f t="shared" si="1131"/>
        <v>-0.28795602280419869</v>
      </c>
      <c r="AB228" s="57">
        <f t="shared" si="1131"/>
        <v>-0.21195224350564154</v>
      </c>
      <c r="AC228" s="57">
        <f t="shared" si="1131"/>
        <v>-0.23884908652261061</v>
      </c>
      <c r="AD228" s="293">
        <f t="shared" si="1131"/>
        <v>-0.83273522178704795</v>
      </c>
      <c r="AE228" s="57">
        <f t="shared" si="1131"/>
        <v>-0.4719270707558561</v>
      </c>
      <c r="AF228" s="57">
        <f t="shared" si="1131"/>
        <v>-0.2523184485042807</v>
      </c>
      <c r="AG228" s="57">
        <f t="shared" si="1131"/>
        <v>5.2316308666221127E-3</v>
      </c>
      <c r="AH228" s="57">
        <f t="shared" si="1131"/>
        <v>0.70587557824826741</v>
      </c>
      <c r="AI228" s="292">
        <f t="shared" si="1131"/>
        <v>-0.53336566440349176</v>
      </c>
      <c r="AJ228" s="57">
        <f t="shared" si="1131"/>
        <v>-2.8551068883610453</v>
      </c>
      <c r="AK228" s="57">
        <f t="shared" si="1131"/>
        <v>-1.1954577357064444</v>
      </c>
      <c r="AL228" s="293">
        <f t="shared" si="1131"/>
        <v>0.53391684901531755</v>
      </c>
      <c r="AM228" s="292">
        <f t="shared" si="1131"/>
        <v>-0.44067018590773466</v>
      </c>
      <c r="AN228" s="57">
        <f t="shared" ref="AN228:AU228" si="1132">AN227/AN223</f>
        <v>-0.34336833622925639</v>
      </c>
      <c r="AO228" s="57">
        <f t="shared" si="1132"/>
        <v>-0.31720833333333331</v>
      </c>
      <c r="AP228" s="293">
        <f t="shared" si="1132"/>
        <v>-0.75812094397906227</v>
      </c>
      <c r="AQ228" s="292">
        <f t="shared" si="1132"/>
        <v>-0.39310344827586208</v>
      </c>
      <c r="AR228" s="57">
        <f t="shared" si="1132"/>
        <v>-0.3203125</v>
      </c>
      <c r="AS228" s="57">
        <f t="shared" si="1132"/>
        <v>-0.50387596899224807</v>
      </c>
      <c r="AT228" s="293">
        <f t="shared" si="1132"/>
        <v>-0.48407643312101911</v>
      </c>
      <c r="AU228" s="292">
        <f t="shared" si="1132"/>
        <v>-0.23749999999999999</v>
      </c>
      <c r="AV228" s="57">
        <f t="shared" ref="AV228:AZ228" si="1133">AV227/AV223</f>
        <v>-8.4337349397590355E-2</v>
      </c>
      <c r="AW228" s="57">
        <f t="shared" si="1133"/>
        <v>7.0539419087136929E-2</v>
      </c>
      <c r="AX228" s="795">
        <f t="shared" si="1133"/>
        <v>0.10116731517509728</v>
      </c>
      <c r="AY228" s="819">
        <f t="shared" si="1133"/>
        <v>0.14156626506024098</v>
      </c>
      <c r="AZ228" s="819">
        <f t="shared" si="1133"/>
        <v>0.21321321321321321</v>
      </c>
      <c r="BA228" s="819">
        <f t="shared" ref="BA228:BB228" si="1134">BA227/BA223</f>
        <v>0.21002386634844869</v>
      </c>
      <c r="BB228" s="795">
        <f t="shared" si="1134"/>
        <v>0.21555555555555556</v>
      </c>
      <c r="BC228" s="819"/>
      <c r="BD228" s="819"/>
      <c r="BE228" s="57"/>
      <c r="BF228" s="293"/>
      <c r="BG228" s="819"/>
      <c r="BH228" s="819"/>
      <c r="BI228" s="57"/>
      <c r="BJ228" s="293"/>
      <c r="BK228" s="819"/>
      <c r="BL228" s="819"/>
      <c r="BM228" s="57"/>
      <c r="BN228" s="293"/>
      <c r="BO228" s="88"/>
      <c r="BP228" s="88"/>
      <c r="BQ228" s="177"/>
      <c r="BR228" s="177"/>
      <c r="BS228" s="177"/>
      <c r="BT228" s="177"/>
      <c r="BU228" s="177"/>
      <c r="BV228" s="177"/>
      <c r="BW228" s="177"/>
      <c r="BX228" s="177"/>
      <c r="BY228" s="177"/>
      <c r="BZ228" s="165"/>
      <c r="CA228" s="165"/>
      <c r="CB228" s="165"/>
      <c r="CC228" s="165"/>
      <c r="CD228" s="165"/>
      <c r="CE228" s="165"/>
      <c r="CF228" s="88"/>
      <c r="CG228" s="88"/>
      <c r="CH228" s="88"/>
      <c r="CI228" s="29"/>
      <c r="CJ228" s="2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29"/>
      <c r="DD228" s="2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29"/>
      <c r="DX228" s="2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29"/>
      <c r="ER228" s="29"/>
      <c r="ES228" s="29"/>
      <c r="ET228" s="29"/>
      <c r="EU228" s="29"/>
      <c r="EV228" s="29"/>
      <c r="EW228" s="29"/>
      <c r="EX228" s="29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29"/>
      <c r="FJ228" s="29"/>
      <c r="FK228" s="29"/>
      <c r="FL228" s="29"/>
      <c r="FM228" s="29"/>
      <c r="FN228" s="29"/>
      <c r="FO228" s="29"/>
      <c r="FP228" s="29"/>
      <c r="FQ228" s="29"/>
      <c r="FR228" s="29"/>
      <c r="FS228" s="29"/>
      <c r="FT228" s="29"/>
      <c r="FU228" s="29"/>
      <c r="FV228" s="29"/>
      <c r="FW228" s="29"/>
      <c r="FX228" s="29"/>
      <c r="FY228" s="29"/>
      <c r="FZ228" s="29"/>
      <c r="GA228" s="29"/>
      <c r="GB228" s="29"/>
      <c r="GC228" s="29"/>
      <c r="GD228" s="29"/>
      <c r="GE228" s="29"/>
      <c r="GF228" s="29"/>
      <c r="GG228" s="29"/>
      <c r="GH228" s="29"/>
      <c r="GI228" s="29"/>
      <c r="GJ228" s="29"/>
      <c r="GK228" s="29"/>
      <c r="GL228" s="29"/>
      <c r="GM228" s="29"/>
      <c r="GN228" s="29"/>
      <c r="GO228" s="29"/>
      <c r="GP228" s="29"/>
      <c r="GQ228" s="29"/>
      <c r="GR228" s="29"/>
      <c r="GS228" s="29"/>
      <c r="GT228" s="29"/>
      <c r="GU228" s="29"/>
      <c r="GV228" s="29"/>
      <c r="GW228" s="29"/>
      <c r="GX228" s="29"/>
      <c r="GY228" s="29"/>
      <c r="GZ228" s="29"/>
      <c r="HA228" s="29"/>
      <c r="HB228" s="29"/>
      <c r="HC228" s="29"/>
      <c r="HD228" s="29"/>
      <c r="HE228" s="29"/>
      <c r="HF228" s="29"/>
      <c r="HG228" s="29"/>
      <c r="HH228" s="29"/>
      <c r="HI228" s="29"/>
      <c r="HJ228" s="29"/>
      <c r="HK228" s="29"/>
      <c r="HL228" s="29"/>
      <c r="HM228" s="29"/>
      <c r="HN228" s="29"/>
      <c r="HO228" s="29"/>
      <c r="HP228" s="29"/>
      <c r="HQ228" s="29"/>
      <c r="HR228" s="29"/>
    </row>
    <row r="229" spans="1:226" s="46" customFormat="1">
      <c r="A229" s="84"/>
      <c r="B229" s="5"/>
      <c r="C229" s="43"/>
      <c r="D229" s="29"/>
      <c r="E229" s="29"/>
      <c r="F229" s="44"/>
      <c r="G229" s="29"/>
      <c r="H229" s="29"/>
      <c r="I229" s="29"/>
      <c r="J229" s="29"/>
      <c r="K229" s="43"/>
      <c r="L229" s="29"/>
      <c r="M229" s="29"/>
      <c r="N229" s="44"/>
      <c r="O229" s="29"/>
      <c r="P229" s="29"/>
      <c r="Q229" s="29"/>
      <c r="R229" s="29"/>
      <c r="S229" s="43"/>
      <c r="T229" s="29"/>
      <c r="U229" s="29"/>
      <c r="V229" s="44"/>
      <c r="W229" s="29"/>
      <c r="X229" s="29"/>
      <c r="Y229" s="29"/>
      <c r="Z229" s="29"/>
      <c r="AA229" s="43"/>
      <c r="AB229" s="29"/>
      <c r="AC229" s="29"/>
      <c r="AD229" s="44"/>
      <c r="AE229" s="4"/>
      <c r="AF229" s="4"/>
      <c r="AG229" s="4"/>
      <c r="AH229" s="4"/>
      <c r="AI229" s="21"/>
      <c r="AJ229" s="4"/>
      <c r="AK229" s="4"/>
      <c r="AL229" s="22"/>
      <c r="AM229" s="21"/>
      <c r="AN229" s="4"/>
      <c r="AO229" s="4"/>
      <c r="AP229" s="22"/>
      <c r="AQ229" s="21"/>
      <c r="AR229" s="4"/>
      <c r="AS229" s="4"/>
      <c r="AT229" s="22"/>
      <c r="AU229" s="21"/>
      <c r="AV229" s="4"/>
      <c r="AW229" s="754"/>
      <c r="AX229" s="801"/>
      <c r="AY229" s="754"/>
      <c r="AZ229" s="754"/>
      <c r="BA229" s="754"/>
      <c r="BB229" s="801"/>
      <c r="BC229" s="754"/>
      <c r="BD229" s="754"/>
      <c r="BE229" s="4"/>
      <c r="BF229" s="22"/>
      <c r="BG229" s="754"/>
      <c r="BH229" s="754"/>
      <c r="BI229" s="4"/>
      <c r="BJ229" s="22"/>
      <c r="BK229" s="754"/>
      <c r="BL229" s="754"/>
      <c r="BM229" s="4"/>
      <c r="BN229" s="22"/>
      <c r="BO229" s="88"/>
      <c r="BP229" s="88"/>
      <c r="BQ229" s="88"/>
      <c r="BR229" s="88"/>
      <c r="BS229" s="88"/>
      <c r="BT229" s="88"/>
      <c r="BU229" s="175"/>
      <c r="BV229" s="175"/>
      <c r="BW229" s="175"/>
      <c r="BX229" s="175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29"/>
      <c r="CJ229" s="29"/>
      <c r="CK229" s="29"/>
      <c r="CL229" s="29"/>
      <c r="CM229" s="29"/>
      <c r="CN229" s="29"/>
      <c r="CO229" s="29"/>
      <c r="CP229" s="29"/>
      <c r="CQ229" s="29"/>
      <c r="CR229" s="29"/>
      <c r="CS229" s="29"/>
      <c r="CT229" s="29"/>
      <c r="CU229" s="29"/>
      <c r="CV229" s="29"/>
      <c r="CW229" s="29"/>
      <c r="CX229" s="29"/>
      <c r="CY229" s="29"/>
      <c r="CZ229" s="29"/>
      <c r="DA229" s="29"/>
      <c r="DB229" s="29"/>
      <c r="DC229" s="29"/>
      <c r="DD229" s="29"/>
      <c r="DE229" s="29"/>
      <c r="DF229" s="29"/>
      <c r="DG229" s="29"/>
      <c r="DH229" s="29"/>
      <c r="DI229" s="29"/>
      <c r="DJ229" s="29"/>
      <c r="DK229" s="29"/>
      <c r="DL229" s="29"/>
      <c r="DM229" s="29"/>
      <c r="DN229" s="29"/>
      <c r="DO229" s="29"/>
      <c r="DP229" s="29"/>
      <c r="DQ229" s="29"/>
      <c r="DR229" s="29"/>
      <c r="DS229" s="29"/>
      <c r="DT229" s="29"/>
      <c r="DU229" s="29"/>
      <c r="DV229" s="29"/>
      <c r="DW229" s="29"/>
      <c r="DX229" s="29"/>
      <c r="DY229" s="29"/>
      <c r="DZ229" s="29"/>
      <c r="EA229" s="29"/>
      <c r="EB229" s="29"/>
      <c r="EC229" s="29"/>
      <c r="ED229" s="29"/>
      <c r="EE229" s="29"/>
      <c r="EF229" s="29"/>
      <c r="EG229" s="29"/>
      <c r="EH229" s="29"/>
      <c r="EI229" s="29"/>
      <c r="EJ229" s="29"/>
      <c r="EK229" s="29"/>
      <c r="EL229" s="29"/>
      <c r="EM229" s="29"/>
      <c r="EN229" s="29"/>
      <c r="EO229" s="29"/>
      <c r="EP229" s="29"/>
      <c r="EQ229" s="29"/>
      <c r="ER229" s="29"/>
      <c r="ES229" s="29"/>
      <c r="ET229" s="29"/>
      <c r="EU229" s="29"/>
      <c r="EV229" s="29"/>
      <c r="EW229" s="29"/>
      <c r="EX229" s="29"/>
      <c r="EY229" s="29"/>
      <c r="EZ229" s="29"/>
      <c r="FA229" s="29"/>
      <c r="FB229" s="29"/>
      <c r="FC229" s="29"/>
      <c r="FD229" s="29"/>
      <c r="FE229" s="29"/>
      <c r="FF229" s="29"/>
      <c r="FG229" s="29"/>
      <c r="FH229" s="29"/>
      <c r="FI229" s="29"/>
      <c r="FJ229" s="29"/>
      <c r="FK229" s="29"/>
      <c r="FL229" s="29"/>
      <c r="FM229" s="29"/>
      <c r="FN229" s="29"/>
      <c r="FO229" s="29"/>
      <c r="FP229" s="29"/>
      <c r="FQ229" s="29"/>
      <c r="FR229" s="29"/>
      <c r="FS229" s="29"/>
      <c r="FT229" s="29"/>
      <c r="FU229" s="29"/>
      <c r="FV229" s="29"/>
      <c r="FW229" s="29"/>
      <c r="FX229" s="29"/>
      <c r="FY229" s="29"/>
      <c r="FZ229" s="29"/>
      <c r="GA229" s="29"/>
      <c r="GB229" s="29"/>
      <c r="GC229" s="29"/>
      <c r="GD229" s="29"/>
      <c r="GE229" s="29"/>
      <c r="GF229" s="29"/>
      <c r="GG229" s="29"/>
      <c r="GH229" s="29"/>
      <c r="GI229" s="29"/>
      <c r="GJ229" s="29"/>
      <c r="GK229" s="29"/>
      <c r="GL229" s="29"/>
      <c r="GM229" s="29"/>
      <c r="GN229" s="29"/>
      <c r="GO229" s="29"/>
      <c r="GP229" s="29"/>
      <c r="GQ229" s="29"/>
      <c r="GR229" s="29"/>
      <c r="GS229" s="29"/>
      <c r="GT229" s="29"/>
      <c r="GU229" s="29"/>
      <c r="GV229" s="29"/>
      <c r="GW229" s="29"/>
      <c r="GX229" s="29"/>
      <c r="GY229" s="29"/>
      <c r="GZ229" s="29"/>
      <c r="HA229" s="29"/>
      <c r="HB229" s="29"/>
      <c r="HC229" s="29"/>
      <c r="HD229" s="29"/>
      <c r="HE229" s="29"/>
      <c r="HF229" s="29"/>
      <c r="HG229" s="29"/>
      <c r="HH229" s="29"/>
      <c r="HI229" s="29"/>
      <c r="HJ229" s="29"/>
      <c r="HK229" s="29"/>
      <c r="HL229" s="29"/>
      <c r="HM229" s="29"/>
      <c r="HN229" s="29"/>
      <c r="HO229" s="29"/>
      <c r="HP229" s="29"/>
      <c r="HQ229" s="29"/>
      <c r="HR229" s="29"/>
    </row>
    <row r="230" spans="1:226" s="46" customFormat="1">
      <c r="A230" s="84"/>
      <c r="B230" s="376" t="s">
        <v>163</v>
      </c>
      <c r="C230" s="43"/>
      <c r="D230" s="29"/>
      <c r="E230" s="29"/>
      <c r="F230" s="44"/>
      <c r="G230" s="29"/>
      <c r="H230" s="29"/>
      <c r="I230" s="29"/>
      <c r="J230" s="29"/>
      <c r="K230" s="43"/>
      <c r="L230" s="29"/>
      <c r="M230" s="29"/>
      <c r="N230" s="44"/>
      <c r="O230" s="29"/>
      <c r="P230" s="29"/>
      <c r="Q230" s="29"/>
      <c r="R230" s="29"/>
      <c r="S230" s="43"/>
      <c r="T230" s="29"/>
      <c r="U230" s="29"/>
      <c r="V230" s="44"/>
      <c r="W230" s="29"/>
      <c r="X230" s="29"/>
      <c r="Y230" s="29"/>
      <c r="Z230" s="29"/>
      <c r="AA230" s="43"/>
      <c r="AB230" s="29"/>
      <c r="AC230" s="29"/>
      <c r="AD230" s="44"/>
      <c r="AE230" s="4"/>
      <c r="AF230" s="4"/>
      <c r="AG230" s="4"/>
      <c r="AH230" s="4"/>
      <c r="AI230" s="21"/>
      <c r="AJ230" s="4"/>
      <c r="AK230" s="4"/>
      <c r="AL230" s="22"/>
      <c r="AM230" s="21"/>
      <c r="AN230" s="4"/>
      <c r="AO230" s="4"/>
      <c r="AP230" s="22"/>
      <c r="AQ230" s="21"/>
      <c r="AR230" s="4"/>
      <c r="AS230" s="4"/>
      <c r="AT230" s="22"/>
      <c r="AU230" s="21"/>
      <c r="AV230" s="4"/>
      <c r="AW230" s="754"/>
      <c r="AX230" s="801"/>
      <c r="AY230" s="754"/>
      <c r="AZ230" s="754"/>
      <c r="BA230" s="754"/>
      <c r="BB230" s="801"/>
      <c r="BC230" s="754"/>
      <c r="BD230" s="754"/>
      <c r="BE230" s="4"/>
      <c r="BF230" s="22"/>
      <c r="BG230" s="754"/>
      <c r="BH230" s="754"/>
      <c r="BI230" s="4"/>
      <c r="BJ230" s="22"/>
      <c r="BK230" s="754"/>
      <c r="BL230" s="754"/>
      <c r="BM230" s="4"/>
      <c r="BN230" s="22"/>
      <c r="BO230" s="88"/>
      <c r="BP230" s="88"/>
      <c r="BQ230" s="88"/>
      <c r="BR230" s="88"/>
      <c r="BS230" s="88"/>
      <c r="BT230" s="88"/>
      <c r="BU230" s="178"/>
      <c r="BV230" s="178"/>
      <c r="BW230" s="178"/>
      <c r="BX230" s="17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29"/>
      <c r="CJ230" s="2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29"/>
      <c r="DD230" s="2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29"/>
      <c r="DX230" s="2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29"/>
      <c r="ER230" s="29"/>
      <c r="ES230" s="29"/>
      <c r="ET230" s="29"/>
      <c r="EU230" s="29"/>
      <c r="EV230" s="29"/>
      <c r="EW230" s="29"/>
      <c r="EX230" s="29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29"/>
      <c r="FJ230" s="29"/>
      <c r="FK230" s="29"/>
      <c r="FL230" s="29"/>
      <c r="FM230" s="29"/>
      <c r="FN230" s="29"/>
      <c r="FO230" s="29"/>
      <c r="FP230" s="29"/>
      <c r="FQ230" s="29"/>
      <c r="FR230" s="29"/>
      <c r="FS230" s="29"/>
      <c r="FT230" s="29"/>
      <c r="FU230" s="29"/>
      <c r="FV230" s="29"/>
      <c r="FW230" s="29"/>
      <c r="FX230" s="29"/>
      <c r="FY230" s="29"/>
      <c r="FZ230" s="29"/>
      <c r="GA230" s="29"/>
      <c r="GB230" s="29"/>
      <c r="GC230" s="29"/>
      <c r="GD230" s="29"/>
      <c r="GE230" s="29"/>
      <c r="GF230" s="29"/>
      <c r="GG230" s="29"/>
      <c r="GH230" s="29"/>
      <c r="GI230" s="29"/>
      <c r="GJ230" s="29"/>
      <c r="GK230" s="29"/>
      <c r="GL230" s="29"/>
      <c r="GM230" s="29"/>
      <c r="GN230" s="29"/>
      <c r="GO230" s="29"/>
      <c r="GP230" s="29"/>
      <c r="GQ230" s="29"/>
      <c r="GR230" s="29"/>
      <c r="GS230" s="29"/>
      <c r="GT230" s="29"/>
      <c r="GU230" s="29"/>
      <c r="GV230" s="29"/>
      <c r="GW230" s="29"/>
      <c r="GX230" s="29"/>
      <c r="GY230" s="29"/>
      <c r="GZ230" s="29"/>
      <c r="HA230" s="29"/>
      <c r="HB230" s="29"/>
      <c r="HC230" s="29"/>
      <c r="HD230" s="29"/>
      <c r="HE230" s="29"/>
      <c r="HF230" s="29"/>
      <c r="HG230" s="29"/>
      <c r="HH230" s="29"/>
      <c r="HI230" s="29"/>
      <c r="HJ230" s="29"/>
      <c r="HK230" s="29"/>
      <c r="HL230" s="29"/>
      <c r="HM230" s="29"/>
      <c r="HN230" s="29"/>
      <c r="HO230" s="29"/>
      <c r="HP230" s="29"/>
      <c r="HQ230" s="29"/>
      <c r="HR230" s="29"/>
    </row>
    <row r="231" spans="1:226" s="46" customFormat="1">
      <c r="A231" s="84"/>
      <c r="B231" s="5" t="s">
        <v>1</v>
      </c>
      <c r="C231" s="43"/>
      <c r="D231" s="29"/>
      <c r="E231" s="29"/>
      <c r="F231" s="44"/>
      <c r="G231" s="29">
        <f t="shared" ref="G231:U231" si="1135">G325</f>
        <v>1.1890000000000001</v>
      </c>
      <c r="H231" s="29">
        <f t="shared" si="1135"/>
        <v>2.452</v>
      </c>
      <c r="I231" s="29">
        <f t="shared" si="1135"/>
        <v>1.899</v>
      </c>
      <c r="J231" s="29">
        <f t="shared" si="1135"/>
        <v>1.42</v>
      </c>
      <c r="K231" s="43">
        <f t="shared" si="1135"/>
        <v>3.9359999999999999</v>
      </c>
      <c r="L231" s="29">
        <f t="shared" si="1135"/>
        <v>5.6580000000000004</v>
      </c>
      <c r="M231" s="29">
        <f t="shared" si="1135"/>
        <v>9.5060000000000002</v>
      </c>
      <c r="N231" s="44">
        <f t="shared" si="1135"/>
        <v>10.631</v>
      </c>
      <c r="O231" s="29">
        <f t="shared" si="1135"/>
        <v>10.914</v>
      </c>
      <c r="P231" s="29">
        <f t="shared" si="1135"/>
        <v>8.1280000000000001</v>
      </c>
      <c r="Q231" s="29">
        <f t="shared" si="1135"/>
        <v>5.1120000000000001</v>
      </c>
      <c r="R231" s="29">
        <f t="shared" si="1135"/>
        <v>-24.154</v>
      </c>
      <c r="S231" s="43">
        <f t="shared" si="1135"/>
        <v>0</v>
      </c>
      <c r="T231" s="29">
        <f t="shared" si="1135"/>
        <v>0</v>
      </c>
      <c r="U231" s="29">
        <f t="shared" si="1135"/>
        <v>0</v>
      </c>
      <c r="V231" s="44">
        <f t="shared" ref="V231:AD231" si="1136">V193</f>
        <v>0</v>
      </c>
      <c r="W231" s="29">
        <f t="shared" si="1136"/>
        <v>0</v>
      </c>
      <c r="X231" s="29">
        <f t="shared" si="1136"/>
        <v>0</v>
      </c>
      <c r="Y231" s="29">
        <f t="shared" si="1136"/>
        <v>0</v>
      </c>
      <c r="Z231" s="29">
        <f t="shared" si="1136"/>
        <v>0</v>
      </c>
      <c r="AA231" s="43">
        <f t="shared" si="1136"/>
        <v>21.900000000000006</v>
      </c>
      <c r="AB231" s="29">
        <f t="shared" si="1136"/>
        <v>66</v>
      </c>
      <c r="AC231" s="29">
        <f t="shared" si="1136"/>
        <v>66</v>
      </c>
      <c r="AD231" s="44">
        <f t="shared" si="1136"/>
        <v>66</v>
      </c>
      <c r="AE231" s="4">
        <v>66</v>
      </c>
      <c r="AF231" s="4">
        <v>66</v>
      </c>
      <c r="AG231" s="4">
        <v>66</v>
      </c>
      <c r="AH231" s="4">
        <v>66</v>
      </c>
      <c r="AI231" s="21">
        <v>66</v>
      </c>
      <c r="AJ231" s="4">
        <v>66</v>
      </c>
      <c r="AK231" s="4">
        <v>66</v>
      </c>
      <c r="AL231" s="308">
        <v>66</v>
      </c>
      <c r="AM231" s="21">
        <v>66</v>
      </c>
      <c r="AN231" s="4">
        <v>66</v>
      </c>
      <c r="AO231" s="4">
        <v>66</v>
      </c>
      <c r="AP231" s="308">
        <v>66</v>
      </c>
      <c r="AQ231" s="21">
        <v>66</v>
      </c>
      <c r="AR231" s="4">
        <v>66</v>
      </c>
      <c r="AS231" s="4">
        <v>66</v>
      </c>
      <c r="AT231" s="308">
        <v>66</v>
      </c>
      <c r="AU231" s="21">
        <v>66</v>
      </c>
      <c r="AV231" s="4">
        <v>66</v>
      </c>
      <c r="AW231" s="754">
        <v>66</v>
      </c>
      <c r="AX231" s="800">
        <f>264-AW231-AV231-AU231</f>
        <v>66</v>
      </c>
      <c r="AY231" s="891">
        <v>43</v>
      </c>
      <c r="AZ231" s="754">
        <v>0</v>
      </c>
      <c r="BA231" s="754">
        <v>0</v>
      </c>
      <c r="BB231" s="800">
        <f>43-BA231-AZ231-AY231</f>
        <v>0</v>
      </c>
      <c r="BC231" s="891"/>
      <c r="BD231" s="754"/>
      <c r="BE231" s="66"/>
      <c r="BF231" s="308"/>
      <c r="BG231" s="891"/>
      <c r="BH231" s="754"/>
      <c r="BI231" s="66"/>
      <c r="BJ231" s="308"/>
      <c r="BK231" s="891"/>
      <c r="BL231" s="754"/>
      <c r="BM231" s="66"/>
      <c r="BN231" s="308"/>
      <c r="BO231" s="88"/>
      <c r="BP231" s="174"/>
      <c r="BQ231" s="174"/>
      <c r="BR231" s="174"/>
      <c r="BS231" s="174"/>
      <c r="BT231" s="174"/>
      <c r="BU231" s="175"/>
      <c r="BV231" s="175"/>
      <c r="BW231" s="176"/>
      <c r="BX231" s="90">
        <f>SUM(AI231:AL231)</f>
        <v>264</v>
      </c>
      <c r="BY231" s="90">
        <f>SUM(AM231:AP231)</f>
        <v>264</v>
      </c>
      <c r="BZ231" s="90">
        <f>SUM(AQ231:AT231)</f>
        <v>264</v>
      </c>
      <c r="CA231" s="88"/>
      <c r="CB231" s="88"/>
      <c r="CC231" s="88"/>
      <c r="CD231" s="88"/>
      <c r="CE231" s="88"/>
      <c r="CF231" s="90"/>
      <c r="CG231" s="88"/>
      <c r="CH231" s="88"/>
      <c r="CI231" s="29"/>
      <c r="CJ231" s="2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29"/>
      <c r="DD231" s="2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29"/>
      <c r="DX231" s="2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29"/>
      <c r="ER231" s="29"/>
      <c r="ES231" s="29"/>
      <c r="ET231" s="29"/>
      <c r="EU231" s="29"/>
      <c r="EV231" s="29"/>
      <c r="EW231" s="29"/>
      <c r="EX231" s="29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29"/>
      <c r="FJ231" s="29"/>
      <c r="FK231" s="29"/>
      <c r="FL231" s="29"/>
      <c r="FM231" s="29"/>
      <c r="FN231" s="29"/>
      <c r="FO231" s="29"/>
      <c r="FP231" s="29"/>
      <c r="FQ231" s="29"/>
      <c r="FR231" s="29"/>
      <c r="FS231" s="29"/>
      <c r="FT231" s="29"/>
      <c r="FU231" s="29"/>
      <c r="FV231" s="29"/>
      <c r="FW231" s="29"/>
      <c r="FX231" s="29"/>
      <c r="FY231" s="29"/>
      <c r="FZ231" s="29"/>
      <c r="GA231" s="29"/>
      <c r="GB231" s="29"/>
      <c r="GC231" s="29"/>
      <c r="GD231" s="29"/>
      <c r="GE231" s="29"/>
      <c r="GF231" s="29"/>
      <c r="GG231" s="29"/>
      <c r="GH231" s="29"/>
      <c r="GI231" s="29"/>
      <c r="GJ231" s="29"/>
      <c r="GK231" s="29"/>
      <c r="GL231" s="29"/>
      <c r="GM231" s="29"/>
      <c r="GN231" s="29"/>
      <c r="GO231" s="29"/>
      <c r="GP231" s="29"/>
      <c r="GQ231" s="29"/>
      <c r="GR231" s="29"/>
      <c r="GS231" s="29"/>
      <c r="GT231" s="29"/>
      <c r="GU231" s="29"/>
      <c r="GV231" s="29"/>
      <c r="GW231" s="29"/>
      <c r="GX231" s="29"/>
      <c r="GY231" s="29"/>
      <c r="GZ231" s="29"/>
      <c r="HA231" s="29"/>
      <c r="HB231" s="29"/>
      <c r="HC231" s="29"/>
      <c r="HD231" s="29"/>
      <c r="HE231" s="29"/>
      <c r="HF231" s="29"/>
      <c r="HG231" s="29"/>
      <c r="HH231" s="29"/>
      <c r="HI231" s="29"/>
      <c r="HJ231" s="29"/>
      <c r="HK231" s="29"/>
      <c r="HL231" s="29"/>
      <c r="HM231" s="29"/>
      <c r="HN231" s="29"/>
      <c r="HO231" s="29"/>
      <c r="HP231" s="29"/>
      <c r="HQ231" s="29"/>
      <c r="HR231" s="29"/>
    </row>
    <row r="232" spans="1:226" s="46" customFormat="1">
      <c r="A232" s="84"/>
      <c r="B232" s="91" t="s">
        <v>173</v>
      </c>
      <c r="C232" s="292"/>
      <c r="D232" s="57"/>
      <c r="E232" s="57"/>
      <c r="F232" s="293"/>
      <c r="G232" s="57">
        <f t="shared" ref="G232:AM232" si="1137">G231/G$238</f>
        <v>1.7438952665490381E-3</v>
      </c>
      <c r="H232" s="57">
        <f t="shared" si="1137"/>
        <v>3.5664468909222874E-3</v>
      </c>
      <c r="I232" s="57">
        <f t="shared" si="1137"/>
        <v>2.3142393354879279E-3</v>
      </c>
      <c r="J232" s="57">
        <f t="shared" si="1137"/>
        <v>1.6157055683813245E-3</v>
      </c>
      <c r="K232" s="292">
        <f t="shared" si="1137"/>
        <v>4.6619604870422136E-3</v>
      </c>
      <c r="L232" s="57">
        <f t="shared" si="1137"/>
        <v>6.0496999207701021E-3</v>
      </c>
      <c r="M232" s="57">
        <f t="shared" si="1137"/>
        <v>8.5209981740718213E-3</v>
      </c>
      <c r="N232" s="293">
        <f t="shared" si="1137"/>
        <v>8.8390578101485793E-3</v>
      </c>
      <c r="O232" s="57">
        <f t="shared" si="1137"/>
        <v>9.4625572660717826E-3</v>
      </c>
      <c r="P232" s="57">
        <f t="shared" si="1137"/>
        <v>9.1052072644498116E-3</v>
      </c>
      <c r="Q232" s="57">
        <f t="shared" si="1137"/>
        <v>5.6948382173552204E-3</v>
      </c>
      <c r="R232" s="57">
        <f t="shared" si="1137"/>
        <v>-5.0201604522592182E-2</v>
      </c>
      <c r="S232" s="292">
        <f t="shared" si="1137"/>
        <v>0</v>
      </c>
      <c r="T232" s="57">
        <f t="shared" si="1137"/>
        <v>0</v>
      </c>
      <c r="U232" s="57">
        <f t="shared" si="1137"/>
        <v>0</v>
      </c>
      <c r="V232" s="293">
        <f t="shared" si="1137"/>
        <v>0</v>
      </c>
      <c r="W232" s="57">
        <f t="shared" si="1137"/>
        <v>0</v>
      </c>
      <c r="X232" s="57">
        <f t="shared" si="1137"/>
        <v>0</v>
      </c>
      <c r="Y232" s="57">
        <f t="shared" si="1137"/>
        <v>0</v>
      </c>
      <c r="Z232" s="57">
        <f t="shared" si="1137"/>
        <v>0</v>
      </c>
      <c r="AA232" s="292">
        <f t="shared" si="1137"/>
        <v>2.2764149894131114E-2</v>
      </c>
      <c r="AB232" s="57">
        <f t="shared" si="1137"/>
        <v>6.492759097978687E-2</v>
      </c>
      <c r="AC232" s="57">
        <f t="shared" si="1137"/>
        <v>6.1903243354780625E-2</v>
      </c>
      <c r="AD232" s="293">
        <f t="shared" si="1137"/>
        <v>6.9240889053015439E-2</v>
      </c>
      <c r="AE232" s="57">
        <f t="shared" si="1137"/>
        <v>7.1360840414455118E-2</v>
      </c>
      <c r="AF232" s="57">
        <f t="shared" si="1137"/>
        <v>6.3202045448016317E-2</v>
      </c>
      <c r="AG232" s="57">
        <f t="shared" si="1137"/>
        <v>5.48122679821611E-2</v>
      </c>
      <c r="AH232" s="57">
        <f t="shared" si="1137"/>
        <v>5.9625874738685088E-2</v>
      </c>
      <c r="AI232" s="292">
        <f t="shared" si="1137"/>
        <v>6.9128840447494025E-2</v>
      </c>
      <c r="AJ232" s="57">
        <f t="shared" si="1137"/>
        <v>6.7537283650451571E-2</v>
      </c>
      <c r="AK232" s="57">
        <f t="shared" si="1137"/>
        <v>6.2620556431083704E-2</v>
      </c>
      <c r="AL232" s="293">
        <f t="shared" si="1137"/>
        <v>5.7681315973005132E-2</v>
      </c>
      <c r="AM232" s="292">
        <f t="shared" si="1137"/>
        <v>5.9848366003589087E-2</v>
      </c>
      <c r="AN232" s="57">
        <f t="shared" ref="AN232:AU232" si="1138">AN231/AN$238</f>
        <v>5.9846358077082107E-2</v>
      </c>
      <c r="AO232" s="57">
        <f t="shared" si="1138"/>
        <v>5.3860755258360246E-2</v>
      </c>
      <c r="AP232" s="293">
        <f t="shared" si="1138"/>
        <v>5.277829756404169E-2</v>
      </c>
      <c r="AQ232" s="292">
        <f t="shared" si="1138"/>
        <v>5.7341442224152911E-2</v>
      </c>
      <c r="AR232" s="57">
        <f t="shared" si="1138"/>
        <v>5.7241977450130092E-2</v>
      </c>
      <c r="AS232" s="57">
        <f t="shared" si="1138"/>
        <v>5.057471264367816E-2</v>
      </c>
      <c r="AT232" s="293">
        <f t="shared" ref="AT232" si="1139">AT231/AT$238</f>
        <v>4.7109207708779445E-2</v>
      </c>
      <c r="AU232" s="292">
        <f t="shared" si="1138"/>
        <v>5.057471264367816E-2</v>
      </c>
      <c r="AV232" s="57">
        <f t="shared" ref="AV232:BA232" si="1140">AV231/AV$238</f>
        <v>4.6218487394957986E-2</v>
      </c>
      <c r="AW232" s="57">
        <f t="shared" si="1140"/>
        <v>3.2934131736526949E-2</v>
      </c>
      <c r="AX232" s="795">
        <f t="shared" si="1140"/>
        <v>3.0372756557754257E-2</v>
      </c>
      <c r="AY232" s="819">
        <f t="shared" si="1140"/>
        <v>2.219927723283428E-2</v>
      </c>
      <c r="AZ232" s="754">
        <f t="shared" si="1140"/>
        <v>0</v>
      </c>
      <c r="BA232" s="754">
        <f t="shared" si="1140"/>
        <v>0</v>
      </c>
      <c r="BB232" s="754">
        <f t="shared" ref="BB232" si="1141">BB231/BB$238</f>
        <v>0</v>
      </c>
      <c r="BC232" s="819"/>
      <c r="BD232" s="754"/>
      <c r="BE232" s="57"/>
      <c r="BF232" s="293"/>
      <c r="BG232" s="819"/>
      <c r="BH232" s="754"/>
      <c r="BI232" s="57"/>
      <c r="BJ232" s="293"/>
      <c r="BK232" s="819"/>
      <c r="BL232" s="754"/>
      <c r="BM232" s="57"/>
      <c r="BN232" s="293"/>
      <c r="BO232" s="88"/>
      <c r="BP232" s="88"/>
      <c r="BQ232" s="177"/>
      <c r="BR232" s="177"/>
      <c r="BS232" s="177"/>
      <c r="BT232" s="177"/>
      <c r="BU232" s="177"/>
      <c r="BV232" s="177"/>
      <c r="BW232" s="177"/>
      <c r="BX232" s="177"/>
      <c r="BY232" s="580">
        <f>BY231/BX231-1</f>
        <v>0</v>
      </c>
      <c r="BZ232" s="580">
        <f>BZ231/BY231-1</f>
        <v>0</v>
      </c>
      <c r="CA232" s="177"/>
      <c r="CB232" s="177"/>
      <c r="CC232" s="177"/>
      <c r="CD232" s="177"/>
      <c r="CE232" s="177"/>
      <c r="CF232" s="88"/>
      <c r="CG232" s="88"/>
      <c r="CH232" s="88"/>
      <c r="CI232" s="29"/>
      <c r="CJ232" s="29"/>
      <c r="CK232" s="29"/>
      <c r="CL232" s="29"/>
      <c r="CM232" s="29"/>
      <c r="CN232" s="29"/>
      <c r="CO232" s="29"/>
      <c r="CP232" s="29"/>
      <c r="CQ232" s="29"/>
      <c r="CR232" s="29"/>
      <c r="CS232" s="29"/>
      <c r="CT232" s="29"/>
      <c r="CU232" s="29"/>
      <c r="CV232" s="29"/>
      <c r="CW232" s="29"/>
      <c r="CX232" s="29"/>
      <c r="CY232" s="29"/>
      <c r="CZ232" s="29"/>
      <c r="DA232" s="29"/>
      <c r="DB232" s="29"/>
      <c r="DC232" s="29"/>
      <c r="DD232" s="29"/>
      <c r="DE232" s="29"/>
      <c r="DF232" s="29"/>
      <c r="DG232" s="29"/>
      <c r="DH232" s="29"/>
      <c r="DI232" s="29"/>
      <c r="DJ232" s="29"/>
      <c r="DK232" s="29"/>
      <c r="DL232" s="29"/>
      <c r="DM232" s="29"/>
      <c r="DN232" s="29"/>
      <c r="DO232" s="29"/>
      <c r="DP232" s="29"/>
      <c r="DQ232" s="29"/>
      <c r="DR232" s="29"/>
      <c r="DS232" s="29"/>
      <c r="DT232" s="29"/>
      <c r="DU232" s="29"/>
      <c r="DV232" s="29"/>
      <c r="DW232" s="29"/>
      <c r="DX232" s="29"/>
      <c r="DY232" s="29"/>
      <c r="DZ232" s="29"/>
      <c r="EA232" s="29"/>
      <c r="EB232" s="29"/>
      <c r="EC232" s="29"/>
      <c r="ED232" s="29"/>
      <c r="EE232" s="29"/>
      <c r="EF232" s="29"/>
      <c r="EG232" s="29"/>
      <c r="EH232" s="29"/>
      <c r="EI232" s="29"/>
      <c r="EJ232" s="29"/>
      <c r="EK232" s="29"/>
      <c r="EL232" s="29"/>
      <c r="EM232" s="29"/>
      <c r="EN232" s="29"/>
      <c r="EO232" s="29"/>
      <c r="EP232" s="29"/>
      <c r="EQ232" s="29"/>
      <c r="ER232" s="29"/>
      <c r="ES232" s="29"/>
      <c r="ET232" s="29"/>
      <c r="EU232" s="29"/>
      <c r="EV232" s="29"/>
      <c r="EW232" s="29"/>
      <c r="EX232" s="29"/>
      <c r="EY232" s="29"/>
      <c r="EZ232" s="29"/>
      <c r="FA232" s="29"/>
      <c r="FB232" s="29"/>
      <c r="FC232" s="29"/>
      <c r="FD232" s="29"/>
      <c r="FE232" s="29"/>
      <c r="FF232" s="29"/>
      <c r="FG232" s="29"/>
      <c r="FH232" s="29"/>
      <c r="FI232" s="29"/>
      <c r="FJ232" s="29"/>
      <c r="FK232" s="29"/>
      <c r="FL232" s="29"/>
      <c r="FM232" s="29"/>
      <c r="FN232" s="29"/>
      <c r="FO232" s="29"/>
      <c r="FP232" s="29"/>
      <c r="FQ232" s="29"/>
      <c r="FR232" s="29"/>
      <c r="FS232" s="29"/>
      <c r="FT232" s="29"/>
      <c r="FU232" s="29"/>
      <c r="FV232" s="29"/>
      <c r="FW232" s="29"/>
      <c r="FX232" s="29"/>
      <c r="FY232" s="29"/>
      <c r="FZ232" s="29"/>
      <c r="GA232" s="29"/>
      <c r="GB232" s="29"/>
      <c r="GC232" s="29"/>
      <c r="GD232" s="29"/>
      <c r="GE232" s="29"/>
      <c r="GF232" s="29"/>
      <c r="GG232" s="29"/>
      <c r="GH232" s="29"/>
      <c r="GI232" s="29"/>
      <c r="GJ232" s="29"/>
      <c r="GK232" s="29"/>
      <c r="GL232" s="29"/>
      <c r="GM232" s="29"/>
      <c r="GN232" s="29"/>
      <c r="GO232" s="29"/>
      <c r="GP232" s="29"/>
      <c r="GQ232" s="29"/>
      <c r="GR232" s="29"/>
      <c r="GS232" s="29"/>
      <c r="GT232" s="29"/>
      <c r="GU232" s="29"/>
      <c r="GV232" s="29"/>
      <c r="GW232" s="29"/>
      <c r="GX232" s="29"/>
      <c r="GY232" s="29"/>
      <c r="GZ232" s="29"/>
      <c r="HA232" s="29"/>
      <c r="HB232" s="29"/>
      <c r="HC232" s="29"/>
      <c r="HD232" s="29"/>
      <c r="HE232" s="29"/>
      <c r="HF232" s="29"/>
      <c r="HG232" s="29"/>
      <c r="HH232" s="29"/>
      <c r="HI232" s="29"/>
      <c r="HJ232" s="29"/>
      <c r="HK232" s="29"/>
      <c r="HL232" s="29"/>
      <c r="HM232" s="29"/>
      <c r="HN232" s="29"/>
      <c r="HO232" s="29"/>
      <c r="HP232" s="29"/>
      <c r="HQ232" s="29"/>
      <c r="HR232" s="29"/>
    </row>
    <row r="233" spans="1:226" s="46" customFormat="1">
      <c r="A233" s="84"/>
      <c r="B233" s="5" t="s">
        <v>161</v>
      </c>
      <c r="C233" s="43"/>
      <c r="D233" s="29"/>
      <c r="E233" s="29"/>
      <c r="F233" s="44"/>
      <c r="G233" s="29"/>
      <c r="H233" s="29"/>
      <c r="I233" s="29"/>
      <c r="J233" s="29"/>
      <c r="K233" s="43"/>
      <c r="L233" s="29"/>
      <c r="M233" s="29"/>
      <c r="N233" s="44"/>
      <c r="O233" s="29"/>
      <c r="P233" s="29"/>
      <c r="Q233" s="29"/>
      <c r="R233" s="29"/>
      <c r="S233" s="43"/>
      <c r="T233" s="29"/>
      <c r="U233" s="29"/>
      <c r="V233" s="44"/>
      <c r="W233" s="29"/>
      <c r="X233" s="29"/>
      <c r="Y233" s="29"/>
      <c r="Z233" s="29"/>
      <c r="AA233" s="43"/>
      <c r="AB233" s="29"/>
      <c r="AC233" s="29"/>
      <c r="AD233" s="44"/>
      <c r="AE233" s="4">
        <v>10.712</v>
      </c>
      <c r="AF233" s="4">
        <v>10.398</v>
      </c>
      <c r="AG233" s="4">
        <v>10.686</v>
      </c>
      <c r="AH233" s="4">
        <v>10.384</v>
      </c>
      <c r="AI233" s="21">
        <v>10.225</v>
      </c>
      <c r="AJ233" s="4">
        <v>10.397</v>
      </c>
      <c r="AK233" s="4">
        <v>11.573</v>
      </c>
      <c r="AL233" s="22">
        <v>10.543000000000001</v>
      </c>
      <c r="AM233" s="21">
        <v>11.391</v>
      </c>
      <c r="AN233" s="4">
        <v>11.552</v>
      </c>
      <c r="AO233" s="4">
        <v>11.64</v>
      </c>
      <c r="AP233" s="308">
        <v>11.576999999999996</v>
      </c>
      <c r="AQ233" s="21">
        <v>12</v>
      </c>
      <c r="AR233" s="4">
        <v>11</v>
      </c>
      <c r="AS233" s="4">
        <v>11</v>
      </c>
      <c r="AT233" s="308">
        <v>10</v>
      </c>
      <c r="AU233" s="21">
        <v>10</v>
      </c>
      <c r="AV233" s="4">
        <v>11</v>
      </c>
      <c r="AW233" s="4">
        <v>10</v>
      </c>
      <c r="AX233" s="800">
        <f>42-AW233-AV233-AU233</f>
        <v>11</v>
      </c>
      <c r="AY233" s="891">
        <v>10</v>
      </c>
      <c r="AZ233" s="754">
        <v>11</v>
      </c>
      <c r="BA233" s="754">
        <v>9</v>
      </c>
      <c r="BB233" s="800">
        <f>39-BA233-AZ233-AY233</f>
        <v>9</v>
      </c>
      <c r="BC233" s="891"/>
      <c r="BD233" s="754"/>
      <c r="BE233" s="66"/>
      <c r="BF233" s="308"/>
      <c r="BG233" s="891"/>
      <c r="BH233" s="754"/>
      <c r="BI233" s="66"/>
      <c r="BJ233" s="308"/>
      <c r="BK233" s="891"/>
      <c r="BL233" s="754"/>
      <c r="BM233" s="66"/>
      <c r="BN233" s="308"/>
      <c r="BO233" s="88"/>
      <c r="BP233" s="174"/>
      <c r="BQ233" s="174"/>
      <c r="BR233" s="174"/>
      <c r="BS233" s="174"/>
      <c r="BT233" s="174"/>
      <c r="BU233" s="175"/>
      <c r="BV233" s="175"/>
      <c r="BW233" s="176"/>
      <c r="BX233" s="176"/>
      <c r="BY233" s="88"/>
      <c r="BZ233" s="96"/>
      <c r="CA233" s="96"/>
      <c r="CB233" s="96"/>
      <c r="CC233" s="96"/>
      <c r="CD233" s="96"/>
      <c r="CE233" s="96"/>
      <c r="CF233" s="90"/>
      <c r="CG233" s="88"/>
      <c r="CH233" s="88"/>
      <c r="CI233" s="29"/>
      <c r="CJ233" s="2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29"/>
      <c r="DD233" s="2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29"/>
      <c r="DX233" s="2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29"/>
      <c r="ER233" s="29"/>
      <c r="ES233" s="29"/>
      <c r="ET233" s="29"/>
      <c r="EU233" s="29"/>
      <c r="EV233" s="29"/>
      <c r="EW233" s="29"/>
      <c r="EX233" s="29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29"/>
      <c r="FJ233" s="29"/>
      <c r="FK233" s="29"/>
      <c r="FL233" s="29"/>
      <c r="FM233" s="29"/>
      <c r="FN233" s="29"/>
      <c r="FO233" s="29"/>
      <c r="FP233" s="29"/>
      <c r="FQ233" s="29"/>
      <c r="FR233" s="29"/>
      <c r="FS233" s="29"/>
      <c r="FT233" s="29"/>
      <c r="FU233" s="29"/>
      <c r="FV233" s="29"/>
      <c r="FW233" s="29"/>
      <c r="FX233" s="29"/>
      <c r="FY233" s="29"/>
      <c r="FZ233" s="29"/>
      <c r="GA233" s="29"/>
      <c r="GB233" s="29"/>
      <c r="GC233" s="29"/>
      <c r="GD233" s="29"/>
      <c r="GE233" s="29"/>
      <c r="GF233" s="29"/>
      <c r="GG233" s="29"/>
      <c r="GH233" s="29"/>
      <c r="GI233" s="29"/>
      <c r="GJ233" s="29"/>
      <c r="GK233" s="29"/>
      <c r="GL233" s="29"/>
      <c r="GM233" s="29"/>
      <c r="GN233" s="29"/>
      <c r="GO233" s="29"/>
      <c r="GP233" s="29"/>
      <c r="GQ233" s="29"/>
      <c r="GR233" s="29"/>
      <c r="GS233" s="29"/>
      <c r="GT233" s="29"/>
      <c r="GU233" s="29"/>
      <c r="GV233" s="29"/>
      <c r="GW233" s="29"/>
      <c r="GX233" s="29"/>
      <c r="GY233" s="29"/>
      <c r="GZ233" s="29"/>
      <c r="HA233" s="29"/>
      <c r="HB233" s="29"/>
      <c r="HC233" s="29"/>
      <c r="HD233" s="29"/>
      <c r="HE233" s="29"/>
      <c r="HF233" s="29"/>
      <c r="HG233" s="29"/>
      <c r="HH233" s="29"/>
      <c r="HI233" s="29"/>
      <c r="HJ233" s="29"/>
      <c r="HK233" s="29"/>
      <c r="HL233" s="29"/>
      <c r="HM233" s="29"/>
      <c r="HN233" s="29"/>
      <c r="HO233" s="29"/>
      <c r="HP233" s="29"/>
      <c r="HQ233" s="29"/>
      <c r="HR233" s="29"/>
    </row>
    <row r="234" spans="1:226" s="46" customFormat="1">
      <c r="A234" s="84"/>
      <c r="B234" s="5" t="s">
        <v>164</v>
      </c>
      <c r="C234" s="43"/>
      <c r="D234" s="29"/>
      <c r="E234" s="29"/>
      <c r="F234" s="44"/>
      <c r="G234" s="29">
        <f t="shared" ref="G234:AD234" si="1142">G327</f>
        <v>-50.942</v>
      </c>
      <c r="H234" s="29">
        <f t="shared" si="1142"/>
        <v>-58.491</v>
      </c>
      <c r="I234" s="29">
        <f t="shared" si="1142"/>
        <v>-82.444000000000003</v>
      </c>
      <c r="J234" s="29">
        <f t="shared" si="1142"/>
        <v>-72.072999999999979</v>
      </c>
      <c r="K234" s="43">
        <f t="shared" si="1142"/>
        <v>-70.484999999999999</v>
      </c>
      <c r="L234" s="29">
        <f t="shared" si="1142"/>
        <v>-64.599000000000004</v>
      </c>
      <c r="M234" s="29">
        <f t="shared" si="1142"/>
        <v>-67.072000000000003</v>
      </c>
      <c r="N234" s="44">
        <f t="shared" si="1142"/>
        <v>-70.195999999999984</v>
      </c>
      <c r="O234" s="29">
        <f t="shared" si="1142"/>
        <v>-76.126000000000005</v>
      </c>
      <c r="P234" s="29">
        <f t="shared" si="1142"/>
        <v>-84.052000000000007</v>
      </c>
      <c r="Q234" s="29">
        <f t="shared" si="1142"/>
        <v>-92.804000000000002</v>
      </c>
      <c r="R234" s="29">
        <f t="shared" si="1142"/>
        <v>226.114</v>
      </c>
      <c r="S234" s="43">
        <f t="shared" si="1142"/>
        <v>-140.24100000000001</v>
      </c>
      <c r="T234" s="29">
        <f t="shared" si="1142"/>
        <v>0</v>
      </c>
      <c r="U234" s="29">
        <f t="shared" si="1142"/>
        <v>0</v>
      </c>
      <c r="V234" s="44">
        <f t="shared" si="1142"/>
        <v>0</v>
      </c>
      <c r="W234" s="29">
        <f t="shared" si="1142"/>
        <v>0</v>
      </c>
      <c r="X234" s="29">
        <f t="shared" si="1142"/>
        <v>0</v>
      </c>
      <c r="Y234" s="29">
        <f t="shared" si="1142"/>
        <v>0</v>
      </c>
      <c r="Z234" s="29">
        <f t="shared" si="1142"/>
        <v>57</v>
      </c>
      <c r="AA234" s="43">
        <f t="shared" si="1142"/>
        <v>0</v>
      </c>
      <c r="AB234" s="29">
        <f t="shared" si="1142"/>
        <v>0</v>
      </c>
      <c r="AC234" s="29">
        <f t="shared" si="1142"/>
        <v>0</v>
      </c>
      <c r="AD234" s="44">
        <f t="shared" si="1142"/>
        <v>0</v>
      </c>
      <c r="AE234" s="4">
        <v>-18.114999999999998</v>
      </c>
      <c r="AF234" s="4">
        <v>-31.079000000000001</v>
      </c>
      <c r="AG234" s="4">
        <v>-13.146000000000001</v>
      </c>
      <c r="AH234" s="4">
        <v>-24.266999999999999</v>
      </c>
      <c r="AI234" s="21">
        <v>-20.754999999999999</v>
      </c>
      <c r="AJ234" s="4">
        <v>-14.444000000000001</v>
      </c>
      <c r="AK234" s="4">
        <v>-13.061</v>
      </c>
      <c r="AL234" s="22">
        <v>-22.208000000000002</v>
      </c>
      <c r="AM234" s="21">
        <v>-22.398</v>
      </c>
      <c r="AN234" s="4">
        <v>-23.187000000000001</v>
      </c>
      <c r="AO234" s="4">
        <v>-27.683</v>
      </c>
      <c r="AP234" s="308">
        <v>-26.657999999999998</v>
      </c>
      <c r="AQ234" s="21">
        <v>-45</v>
      </c>
      <c r="AR234" s="4">
        <v>-156</v>
      </c>
      <c r="AS234" s="4">
        <v>-57</v>
      </c>
      <c r="AT234" s="308">
        <v>-100</v>
      </c>
      <c r="AU234" s="21">
        <v>-65</v>
      </c>
      <c r="AV234" s="4">
        <v>-48</v>
      </c>
      <c r="AW234" s="4">
        <v>-56</v>
      </c>
      <c r="AX234" s="800">
        <f>-237-AW234-AV234-AU234</f>
        <v>-68</v>
      </c>
      <c r="AY234" s="891">
        <v>-95</v>
      </c>
      <c r="AZ234" s="754">
        <v>-144</v>
      </c>
      <c r="BA234" s="754">
        <v>-171</v>
      </c>
      <c r="BB234" s="800">
        <f>-600-BA234-AZ234-AY234</f>
        <v>-190</v>
      </c>
      <c r="BC234" s="891"/>
      <c r="BD234" s="754"/>
      <c r="BE234" s="66"/>
      <c r="BF234" s="308"/>
      <c r="BG234" s="891"/>
      <c r="BH234" s="754"/>
      <c r="BI234" s="66"/>
      <c r="BJ234" s="308"/>
      <c r="BK234" s="891"/>
      <c r="BL234" s="754"/>
      <c r="BM234" s="66"/>
      <c r="BN234" s="308"/>
      <c r="BO234" s="88"/>
      <c r="BP234" s="174"/>
      <c r="BQ234" s="174"/>
      <c r="BR234" s="174"/>
      <c r="BS234" s="174"/>
      <c r="BT234" s="174"/>
      <c r="BU234" s="175"/>
      <c r="BV234" s="175"/>
      <c r="BW234" s="176"/>
      <c r="BX234" s="176"/>
      <c r="BY234" s="88"/>
      <c r="BZ234" s="166"/>
      <c r="CA234" s="88"/>
      <c r="CB234" s="88"/>
      <c r="CC234" s="88"/>
      <c r="CD234" s="88"/>
      <c r="CE234" s="88"/>
      <c r="CF234" s="90"/>
      <c r="CG234" s="88"/>
      <c r="CH234" s="88"/>
      <c r="CI234" s="29"/>
      <c r="CJ234" s="2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29"/>
      <c r="DD234" s="2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29"/>
      <c r="DX234" s="2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29"/>
      <c r="ER234" s="29"/>
      <c r="ES234" s="29"/>
      <c r="ET234" s="29"/>
      <c r="EU234" s="29"/>
      <c r="EV234" s="29"/>
      <c r="EW234" s="29"/>
      <c r="EX234" s="29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29"/>
      <c r="FJ234" s="29"/>
      <c r="FK234" s="29"/>
      <c r="FL234" s="29"/>
      <c r="FM234" s="29"/>
      <c r="FN234" s="29"/>
      <c r="FO234" s="29"/>
      <c r="FP234" s="29"/>
      <c r="FQ234" s="29"/>
      <c r="FR234" s="29"/>
      <c r="FS234" s="29"/>
      <c r="FT234" s="29"/>
      <c r="FU234" s="29"/>
      <c r="FV234" s="29"/>
      <c r="FW234" s="29"/>
      <c r="FX234" s="29"/>
      <c r="FY234" s="29"/>
      <c r="FZ234" s="29"/>
      <c r="GA234" s="29"/>
      <c r="GB234" s="29"/>
      <c r="GC234" s="29"/>
      <c r="GD234" s="29"/>
      <c r="GE234" s="29"/>
      <c r="GF234" s="29"/>
      <c r="GG234" s="29"/>
      <c r="GH234" s="29"/>
      <c r="GI234" s="29"/>
      <c r="GJ234" s="29"/>
      <c r="GK234" s="29"/>
      <c r="GL234" s="29"/>
      <c r="GM234" s="29"/>
      <c r="GN234" s="29"/>
      <c r="GO234" s="29"/>
      <c r="GP234" s="29"/>
      <c r="GQ234" s="29"/>
      <c r="GR234" s="29"/>
      <c r="GS234" s="29"/>
      <c r="GT234" s="29"/>
      <c r="GU234" s="29"/>
      <c r="GV234" s="29"/>
      <c r="GW234" s="29"/>
      <c r="GX234" s="29"/>
      <c r="GY234" s="29"/>
      <c r="GZ234" s="29"/>
      <c r="HA234" s="29"/>
      <c r="HB234" s="29"/>
      <c r="HC234" s="29"/>
      <c r="HD234" s="29"/>
      <c r="HE234" s="29"/>
      <c r="HF234" s="29"/>
      <c r="HG234" s="29"/>
      <c r="HH234" s="29"/>
      <c r="HI234" s="29"/>
      <c r="HJ234" s="29"/>
      <c r="HK234" s="29"/>
      <c r="HL234" s="29"/>
      <c r="HM234" s="29"/>
      <c r="HN234" s="29"/>
      <c r="HO234" s="29"/>
      <c r="HP234" s="29"/>
      <c r="HQ234" s="29"/>
      <c r="HR234" s="29"/>
    </row>
    <row r="235" spans="1:226" s="46" customFormat="1">
      <c r="A235" s="84"/>
      <c r="B235" s="91" t="s">
        <v>228</v>
      </c>
      <c r="C235" s="292"/>
      <c r="D235" s="57"/>
      <c r="E235" s="57"/>
      <c r="F235" s="293"/>
      <c r="G235" s="57">
        <f t="shared" ref="G235:AM235" si="1143">G234/G231</f>
        <v>-42.844407064760304</v>
      </c>
      <c r="H235" s="57">
        <f t="shared" si="1143"/>
        <v>-23.854404567699838</v>
      </c>
      <c r="I235" s="57">
        <f t="shared" si="1143"/>
        <v>-43.414428646656134</v>
      </c>
      <c r="J235" s="57">
        <f t="shared" si="1143"/>
        <v>-50.755633802816888</v>
      </c>
      <c r="K235" s="292">
        <f t="shared" si="1143"/>
        <v>-17.907774390243901</v>
      </c>
      <c r="L235" s="57">
        <f t="shared" si="1143"/>
        <v>-11.41728525980912</v>
      </c>
      <c r="M235" s="57">
        <f t="shared" si="1143"/>
        <v>-7.0557542604670731</v>
      </c>
      <c r="N235" s="293">
        <f t="shared" si="1143"/>
        <v>-6.6029536261875634</v>
      </c>
      <c r="O235" s="57">
        <f t="shared" si="1143"/>
        <v>-6.9750778816199386</v>
      </c>
      <c r="P235" s="57">
        <f t="shared" si="1143"/>
        <v>-10.341043307086615</v>
      </c>
      <c r="Q235" s="57">
        <f t="shared" si="1143"/>
        <v>-18.154147104851329</v>
      </c>
      <c r="R235" s="57">
        <f t="shared" si="1143"/>
        <v>-9.361348016891613</v>
      </c>
      <c r="S235" s="292" t="e">
        <f t="shared" si="1143"/>
        <v>#DIV/0!</v>
      </c>
      <c r="T235" s="57" t="e">
        <f t="shared" si="1143"/>
        <v>#DIV/0!</v>
      </c>
      <c r="U235" s="57" t="e">
        <f t="shared" si="1143"/>
        <v>#DIV/0!</v>
      </c>
      <c r="V235" s="293" t="e">
        <f t="shared" si="1143"/>
        <v>#DIV/0!</v>
      </c>
      <c r="W235" s="57" t="e">
        <f t="shared" si="1143"/>
        <v>#DIV/0!</v>
      </c>
      <c r="X235" s="57" t="e">
        <f t="shared" si="1143"/>
        <v>#DIV/0!</v>
      </c>
      <c r="Y235" s="57" t="e">
        <f t="shared" si="1143"/>
        <v>#DIV/0!</v>
      </c>
      <c r="Z235" s="57" t="e">
        <f t="shared" si="1143"/>
        <v>#DIV/0!</v>
      </c>
      <c r="AA235" s="292">
        <f t="shared" si="1143"/>
        <v>0</v>
      </c>
      <c r="AB235" s="57">
        <f t="shared" si="1143"/>
        <v>0</v>
      </c>
      <c r="AC235" s="57">
        <f t="shared" si="1143"/>
        <v>0</v>
      </c>
      <c r="AD235" s="293">
        <f t="shared" si="1143"/>
        <v>0</v>
      </c>
      <c r="AE235" s="57">
        <f t="shared" si="1143"/>
        <v>-0.27446969696969692</v>
      </c>
      <c r="AF235" s="57">
        <f t="shared" si="1143"/>
        <v>-0.47089393939393942</v>
      </c>
      <c r="AG235" s="57">
        <f t="shared" si="1143"/>
        <v>-0.19918181818181818</v>
      </c>
      <c r="AH235" s="57">
        <f t="shared" si="1143"/>
        <v>-0.36768181818181817</v>
      </c>
      <c r="AI235" s="292">
        <f t="shared" si="1143"/>
        <v>-0.31446969696969695</v>
      </c>
      <c r="AJ235" s="57">
        <f t="shared" si="1143"/>
        <v>-0.21884848484848485</v>
      </c>
      <c r="AK235" s="57">
        <f t="shared" si="1143"/>
        <v>-0.1978939393939394</v>
      </c>
      <c r="AL235" s="293">
        <f t="shared" si="1143"/>
        <v>-0.3364848484848485</v>
      </c>
      <c r="AM235" s="292">
        <f t="shared" si="1143"/>
        <v>-0.33936363636363637</v>
      </c>
      <c r="AN235" s="57">
        <f t="shared" ref="AN235:AU235" si="1144">AN234/AN231</f>
        <v>-0.35131818181818186</v>
      </c>
      <c r="AO235" s="57">
        <f t="shared" si="1144"/>
        <v>-0.41943939393939395</v>
      </c>
      <c r="AP235" s="293">
        <f t="shared" si="1144"/>
        <v>-0.40390909090909088</v>
      </c>
      <c r="AQ235" s="292">
        <f t="shared" si="1144"/>
        <v>-0.68181818181818177</v>
      </c>
      <c r="AR235" s="57">
        <f t="shared" si="1144"/>
        <v>-2.3636363636363638</v>
      </c>
      <c r="AS235" s="57">
        <f t="shared" si="1144"/>
        <v>-0.86363636363636365</v>
      </c>
      <c r="AT235" s="293">
        <f t="shared" si="1144"/>
        <v>-1.5151515151515151</v>
      </c>
      <c r="AU235" s="292">
        <f t="shared" si="1144"/>
        <v>-0.98484848484848486</v>
      </c>
      <c r="AV235" s="57">
        <f t="shared" ref="AV235:AY235" si="1145">AV234/AV231</f>
        <v>-0.72727272727272729</v>
      </c>
      <c r="AW235" s="57">
        <f t="shared" si="1145"/>
        <v>-0.84848484848484851</v>
      </c>
      <c r="AX235" s="795">
        <f t="shared" si="1145"/>
        <v>-1.0303030303030303</v>
      </c>
      <c r="AY235" s="819">
        <f t="shared" si="1145"/>
        <v>-2.2093023255813953</v>
      </c>
      <c r="AZ235" s="754"/>
      <c r="BA235" s="754"/>
      <c r="BB235" s="795"/>
      <c r="BC235" s="819"/>
      <c r="BD235" s="754"/>
      <c r="BE235" s="57"/>
      <c r="BF235" s="293"/>
      <c r="BG235" s="819"/>
      <c r="BH235" s="754"/>
      <c r="BI235" s="57"/>
      <c r="BJ235" s="293"/>
      <c r="BK235" s="819"/>
      <c r="BL235" s="754"/>
      <c r="BM235" s="57"/>
      <c r="BN235" s="293"/>
      <c r="BO235" s="88"/>
      <c r="BP235" s="88"/>
      <c r="BQ235" s="177"/>
      <c r="BR235" s="177"/>
      <c r="BS235" s="177"/>
      <c r="BT235" s="177"/>
      <c r="BU235" s="177"/>
      <c r="BV235" s="177"/>
      <c r="BW235" s="177"/>
      <c r="BX235" s="177"/>
      <c r="BY235" s="177"/>
      <c r="BZ235" s="165"/>
      <c r="CA235" s="165"/>
      <c r="CB235" s="165"/>
      <c r="CC235" s="165"/>
      <c r="CD235" s="165"/>
      <c r="CE235" s="165"/>
      <c r="CF235" s="88"/>
      <c r="CG235" s="88"/>
      <c r="CH235" s="88"/>
      <c r="CI235" s="29"/>
      <c r="CJ235" s="29"/>
      <c r="CK235" s="29"/>
      <c r="CL235" s="29"/>
      <c r="CM235" s="29"/>
      <c r="CN235" s="29"/>
      <c r="CO235" s="29"/>
      <c r="CP235" s="29"/>
      <c r="CQ235" s="29"/>
      <c r="CR235" s="29"/>
      <c r="CS235" s="29"/>
      <c r="CT235" s="29"/>
      <c r="CU235" s="29"/>
      <c r="CV235" s="29"/>
      <c r="CW235" s="29"/>
      <c r="CX235" s="29"/>
      <c r="CY235" s="29"/>
      <c r="CZ235" s="29"/>
      <c r="DA235" s="29"/>
      <c r="DB235" s="29"/>
      <c r="DC235" s="29"/>
      <c r="DD235" s="29"/>
      <c r="DE235" s="29"/>
      <c r="DF235" s="29"/>
      <c r="DG235" s="29"/>
      <c r="DH235" s="29"/>
      <c r="DI235" s="29"/>
      <c r="DJ235" s="29"/>
      <c r="DK235" s="29"/>
      <c r="DL235" s="29"/>
      <c r="DM235" s="29"/>
      <c r="DN235" s="29"/>
      <c r="DO235" s="29"/>
      <c r="DP235" s="29"/>
      <c r="DQ235" s="29"/>
      <c r="DR235" s="29"/>
      <c r="DS235" s="29"/>
      <c r="DT235" s="29"/>
      <c r="DU235" s="29"/>
      <c r="DV235" s="29"/>
      <c r="DW235" s="29"/>
      <c r="DX235" s="29"/>
      <c r="DY235" s="29"/>
      <c r="DZ235" s="29"/>
      <c r="EA235" s="29"/>
      <c r="EB235" s="29"/>
      <c r="EC235" s="29"/>
      <c r="ED235" s="29"/>
      <c r="EE235" s="29"/>
      <c r="EF235" s="29"/>
      <c r="EG235" s="29"/>
      <c r="EH235" s="29"/>
      <c r="EI235" s="29"/>
      <c r="EJ235" s="29"/>
      <c r="EK235" s="29"/>
      <c r="EL235" s="29"/>
      <c r="EM235" s="29"/>
      <c r="EN235" s="29"/>
      <c r="EO235" s="29"/>
      <c r="EP235" s="29"/>
      <c r="EQ235" s="29"/>
      <c r="ER235" s="29"/>
      <c r="ES235" s="29"/>
      <c r="ET235" s="29"/>
      <c r="EU235" s="29"/>
      <c r="EV235" s="29"/>
      <c r="EW235" s="29"/>
      <c r="EX235" s="29"/>
      <c r="EY235" s="29"/>
      <c r="EZ235" s="29"/>
      <c r="FA235" s="29"/>
      <c r="FB235" s="29"/>
      <c r="FC235" s="29"/>
      <c r="FD235" s="29"/>
      <c r="FE235" s="29"/>
      <c r="FF235" s="29"/>
      <c r="FG235" s="29"/>
      <c r="FH235" s="29"/>
      <c r="FI235" s="29"/>
      <c r="FJ235" s="29"/>
      <c r="FK235" s="29"/>
      <c r="FL235" s="29"/>
      <c r="FM235" s="29"/>
      <c r="FN235" s="29"/>
      <c r="FO235" s="29"/>
      <c r="FP235" s="29"/>
      <c r="FQ235" s="29"/>
      <c r="FR235" s="29"/>
      <c r="FS235" s="29"/>
      <c r="FT235" s="29"/>
      <c r="FU235" s="29"/>
      <c r="FV235" s="29"/>
      <c r="FW235" s="29"/>
      <c r="FX235" s="29"/>
      <c r="FY235" s="29"/>
      <c r="FZ235" s="29"/>
      <c r="GA235" s="29"/>
      <c r="GB235" s="29"/>
      <c r="GC235" s="29"/>
      <c r="GD235" s="29"/>
      <c r="GE235" s="29"/>
      <c r="GF235" s="29"/>
      <c r="GG235" s="29"/>
      <c r="GH235" s="29"/>
      <c r="GI235" s="29"/>
      <c r="GJ235" s="29"/>
      <c r="GK235" s="29"/>
      <c r="GL235" s="29"/>
      <c r="GM235" s="29"/>
      <c r="GN235" s="29"/>
      <c r="GO235" s="29"/>
      <c r="GP235" s="29"/>
      <c r="GQ235" s="29"/>
      <c r="GR235" s="29"/>
      <c r="GS235" s="29"/>
      <c r="GT235" s="29"/>
      <c r="GU235" s="29"/>
      <c r="GV235" s="29"/>
      <c r="GW235" s="29"/>
      <c r="GX235" s="29"/>
      <c r="GY235" s="29"/>
      <c r="GZ235" s="29"/>
      <c r="HA235" s="29"/>
      <c r="HB235" s="29"/>
      <c r="HC235" s="29"/>
      <c r="HD235" s="29"/>
      <c r="HE235" s="29"/>
      <c r="HF235" s="29"/>
      <c r="HG235" s="29"/>
      <c r="HH235" s="29"/>
      <c r="HI235" s="29"/>
      <c r="HJ235" s="29"/>
      <c r="HK235" s="29"/>
      <c r="HL235" s="29"/>
      <c r="HM235" s="29"/>
      <c r="HN235" s="29"/>
      <c r="HO235" s="29"/>
      <c r="HP235" s="29"/>
      <c r="HQ235" s="29"/>
      <c r="HR235" s="29"/>
    </row>
    <row r="236" spans="1:226" s="46" customFormat="1">
      <c r="A236" s="84"/>
      <c r="B236" s="5"/>
      <c r="C236" s="15"/>
      <c r="D236" s="5"/>
      <c r="E236" s="5"/>
      <c r="F236" s="16"/>
      <c r="G236" s="5"/>
      <c r="H236" s="5"/>
      <c r="I236" s="5"/>
      <c r="J236" s="5"/>
      <c r="K236" s="15"/>
      <c r="L236" s="5"/>
      <c r="M236" s="5"/>
      <c r="N236" s="16"/>
      <c r="O236" s="5"/>
      <c r="P236" s="5"/>
      <c r="Q236" s="5"/>
      <c r="R236" s="5"/>
      <c r="S236" s="15"/>
      <c r="T236" s="5"/>
      <c r="U236" s="5"/>
      <c r="V236" s="16"/>
      <c r="W236" s="5"/>
      <c r="X236" s="5"/>
      <c r="Y236" s="5"/>
      <c r="Z236" s="5"/>
      <c r="AA236" s="15"/>
      <c r="AB236" s="5"/>
      <c r="AC236" s="5"/>
      <c r="AD236" s="16"/>
      <c r="AE236" s="4"/>
      <c r="AF236" s="4"/>
      <c r="AG236" s="4"/>
      <c r="AH236" s="4"/>
      <c r="AI236" s="21"/>
      <c r="AJ236" s="4"/>
      <c r="AK236" s="4"/>
      <c r="AL236" s="22"/>
      <c r="AM236" s="21"/>
      <c r="AN236" s="4"/>
      <c r="AO236" s="4"/>
      <c r="AP236" s="22"/>
      <c r="AQ236" s="21"/>
      <c r="AR236" s="4"/>
      <c r="AS236" s="4"/>
      <c r="AT236" s="22"/>
      <c r="AU236" s="21"/>
      <c r="AV236" s="4"/>
      <c r="AW236" s="754"/>
      <c r="AX236" s="801"/>
      <c r="AY236" s="754"/>
      <c r="AZ236" s="754"/>
      <c r="BA236" s="754"/>
      <c r="BB236" s="801"/>
      <c r="BC236" s="754"/>
      <c r="BD236" s="754"/>
      <c r="BE236" s="4"/>
      <c r="BF236" s="22"/>
      <c r="BG236" s="754"/>
      <c r="BH236" s="754"/>
      <c r="BI236" s="4"/>
      <c r="BJ236" s="22"/>
      <c r="BK236" s="754"/>
      <c r="BL236" s="754"/>
      <c r="BM236" s="4"/>
      <c r="BN236" s="22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29"/>
      <c r="CJ236" s="2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29"/>
      <c r="DD236" s="2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29"/>
      <c r="DX236" s="2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29"/>
      <c r="ER236" s="29"/>
      <c r="ES236" s="29"/>
      <c r="ET236" s="29"/>
      <c r="EU236" s="29"/>
      <c r="EV236" s="29"/>
      <c r="EW236" s="29"/>
      <c r="EX236" s="29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29"/>
      <c r="FJ236" s="29"/>
      <c r="FK236" s="29"/>
      <c r="FL236" s="29"/>
      <c r="FM236" s="29"/>
      <c r="FN236" s="29"/>
      <c r="FO236" s="29"/>
      <c r="FP236" s="29"/>
      <c r="FQ236" s="29"/>
      <c r="FR236" s="29"/>
      <c r="FS236" s="29"/>
      <c r="FT236" s="29"/>
      <c r="FU236" s="29"/>
      <c r="FV236" s="29"/>
      <c r="FW236" s="29"/>
      <c r="FX236" s="29"/>
      <c r="FY236" s="29"/>
      <c r="FZ236" s="29"/>
      <c r="GA236" s="29"/>
      <c r="GB236" s="29"/>
      <c r="GC236" s="29"/>
      <c r="GD236" s="29"/>
      <c r="GE236" s="29"/>
      <c r="GF236" s="29"/>
      <c r="GG236" s="29"/>
      <c r="GH236" s="29"/>
      <c r="GI236" s="29"/>
      <c r="GJ236" s="29"/>
      <c r="GK236" s="29"/>
      <c r="GL236" s="29"/>
      <c r="GM236" s="29"/>
      <c r="GN236" s="29"/>
      <c r="GO236" s="29"/>
      <c r="GP236" s="29"/>
      <c r="GQ236" s="29"/>
      <c r="GR236" s="29"/>
      <c r="GS236" s="29"/>
      <c r="GT236" s="29"/>
      <c r="GU236" s="29"/>
      <c r="GV236" s="29"/>
      <c r="GW236" s="29"/>
      <c r="GX236" s="29"/>
      <c r="GY236" s="29"/>
      <c r="GZ236" s="29"/>
      <c r="HA236" s="29"/>
      <c r="HB236" s="29"/>
      <c r="HC236" s="29"/>
      <c r="HD236" s="29"/>
      <c r="HE236" s="29"/>
      <c r="HF236" s="29"/>
      <c r="HG236" s="29"/>
      <c r="HH236" s="29"/>
      <c r="HI236" s="29"/>
      <c r="HJ236" s="29"/>
      <c r="HK236" s="29"/>
      <c r="HL236" s="29"/>
      <c r="HM236" s="29"/>
      <c r="HN236" s="29"/>
      <c r="HO236" s="29"/>
      <c r="HP236" s="29"/>
      <c r="HQ236" s="29"/>
      <c r="HR236" s="29"/>
    </row>
    <row r="237" spans="1:226" s="46" customFormat="1">
      <c r="A237" s="84"/>
      <c r="B237" s="376" t="s">
        <v>177</v>
      </c>
      <c r="C237" s="15"/>
      <c r="D237" s="5"/>
      <c r="E237" s="5"/>
      <c r="F237" s="16"/>
      <c r="G237" s="5"/>
      <c r="H237" s="5"/>
      <c r="I237" s="5"/>
      <c r="J237" s="5"/>
      <c r="K237" s="15"/>
      <c r="L237" s="5"/>
      <c r="M237" s="5"/>
      <c r="N237" s="16"/>
      <c r="O237" s="5"/>
      <c r="P237" s="5"/>
      <c r="Q237" s="5"/>
      <c r="R237" s="5"/>
      <c r="S237" s="15"/>
      <c r="T237" s="5"/>
      <c r="U237" s="5"/>
      <c r="V237" s="16"/>
      <c r="W237" s="5"/>
      <c r="X237" s="5"/>
      <c r="Y237" s="5"/>
      <c r="Z237" s="5"/>
      <c r="AA237" s="15"/>
      <c r="AB237" s="5"/>
      <c r="AC237" s="5"/>
      <c r="AD237" s="16"/>
      <c r="AE237" s="4"/>
      <c r="AF237" s="4"/>
      <c r="AG237" s="4"/>
      <c r="AH237" s="4"/>
      <c r="AI237" s="21"/>
      <c r="AJ237" s="4"/>
      <c r="AK237" s="4"/>
      <c r="AL237" s="22"/>
      <c r="AM237" s="21"/>
      <c r="AN237" s="4"/>
      <c r="AO237" s="4"/>
      <c r="AP237" s="22"/>
      <c r="AQ237" s="21"/>
      <c r="AR237" s="4"/>
      <c r="AS237" s="4"/>
      <c r="AT237" s="22"/>
      <c r="AU237" s="21"/>
      <c r="AV237" s="4"/>
      <c r="AW237" s="754"/>
      <c r="AX237" s="801"/>
      <c r="AY237" s="754"/>
      <c r="AZ237" s="754"/>
      <c r="BA237" s="754"/>
      <c r="BB237" s="801"/>
      <c r="BC237" s="754"/>
      <c r="BD237" s="754"/>
      <c r="BE237" s="4"/>
      <c r="BF237" s="22"/>
      <c r="BG237" s="754"/>
      <c r="BH237" s="754"/>
      <c r="BI237" s="4"/>
      <c r="BJ237" s="22"/>
      <c r="BK237" s="754"/>
      <c r="BL237" s="754"/>
      <c r="BM237" s="4"/>
      <c r="BN237" s="22"/>
      <c r="BO237" s="88"/>
      <c r="BP237" s="88"/>
      <c r="BQ237" s="88"/>
      <c r="BR237" s="88"/>
      <c r="BS237" s="88"/>
      <c r="BT237" s="88"/>
      <c r="BU237" s="166"/>
      <c r="BV237" s="166"/>
      <c r="BW237" s="166"/>
      <c r="BX237" s="166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29"/>
      <c r="CJ237" s="2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29"/>
      <c r="DD237" s="2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29"/>
      <c r="DX237" s="2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29"/>
      <c r="ER237" s="29"/>
      <c r="ES237" s="29"/>
      <c r="ET237" s="29"/>
      <c r="EU237" s="29"/>
      <c r="EV237" s="29"/>
      <c r="EW237" s="29"/>
      <c r="EX237" s="29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29"/>
      <c r="FJ237" s="29"/>
      <c r="FK237" s="29"/>
      <c r="FL237" s="29"/>
      <c r="FM237" s="29"/>
      <c r="FN237" s="29"/>
      <c r="FO237" s="29"/>
      <c r="FP237" s="29"/>
      <c r="FQ237" s="29"/>
      <c r="FR237" s="29"/>
      <c r="FS237" s="29"/>
      <c r="FT237" s="29"/>
      <c r="FU237" s="29"/>
      <c r="FV237" s="29"/>
      <c r="FW237" s="29"/>
      <c r="FX237" s="29"/>
      <c r="FY237" s="29"/>
      <c r="FZ237" s="29"/>
      <c r="GA237" s="29"/>
      <c r="GB237" s="29"/>
      <c r="GC237" s="29"/>
      <c r="GD237" s="29"/>
      <c r="GE237" s="29"/>
      <c r="GF237" s="29"/>
      <c r="GG237" s="29"/>
      <c r="GH237" s="29"/>
      <c r="GI237" s="29"/>
      <c r="GJ237" s="29"/>
      <c r="GK237" s="29"/>
      <c r="GL237" s="29"/>
      <c r="GM237" s="29"/>
      <c r="GN237" s="29"/>
      <c r="GO237" s="29"/>
      <c r="GP237" s="29"/>
      <c r="GQ237" s="29"/>
      <c r="GR237" s="29"/>
      <c r="GS237" s="29"/>
      <c r="GT237" s="29"/>
      <c r="GU237" s="29"/>
      <c r="GV237" s="29"/>
      <c r="GW237" s="29"/>
      <c r="GX237" s="29"/>
      <c r="GY237" s="29"/>
      <c r="GZ237" s="29"/>
      <c r="HA237" s="29"/>
      <c r="HB237" s="29"/>
      <c r="HC237" s="29"/>
      <c r="HD237" s="29"/>
      <c r="HE237" s="29"/>
      <c r="HF237" s="29"/>
      <c r="HG237" s="29"/>
      <c r="HH237" s="29"/>
      <c r="HI237" s="29"/>
      <c r="HJ237" s="29"/>
      <c r="HK237" s="29"/>
      <c r="HL237" s="29"/>
      <c r="HM237" s="29"/>
      <c r="HN237" s="29"/>
      <c r="HO237" s="29"/>
      <c r="HP237" s="29"/>
      <c r="HQ237" s="29"/>
      <c r="HR237" s="29"/>
    </row>
    <row r="238" spans="1:226" s="46" customFormat="1">
      <c r="A238" s="84"/>
      <c r="B238" s="5" t="s">
        <v>1</v>
      </c>
      <c r="C238" s="43"/>
      <c r="D238" s="29"/>
      <c r="E238" s="29"/>
      <c r="F238" s="44"/>
      <c r="G238" s="29">
        <f t="shared" ref="G238:AD238" si="1146">G231+G223+G22</f>
        <v>681.80700000000002</v>
      </c>
      <c r="H238" s="29">
        <f t="shared" si="1146"/>
        <v>687.51900000000001</v>
      </c>
      <c r="I238" s="29">
        <f t="shared" si="1146"/>
        <v>820.572</v>
      </c>
      <c r="J238" s="29">
        <f t="shared" si="1146"/>
        <v>878.87300000000005</v>
      </c>
      <c r="K238" s="43">
        <f t="shared" si="1146"/>
        <v>844.28</v>
      </c>
      <c r="L238" s="29">
        <f t="shared" si="1146"/>
        <v>935.25300000000004</v>
      </c>
      <c r="M238" s="29">
        <f t="shared" si="1146"/>
        <v>1115.5969999999998</v>
      </c>
      <c r="N238" s="44">
        <f t="shared" si="1146"/>
        <v>1202.73</v>
      </c>
      <c r="O238" s="29">
        <f t="shared" si="1146"/>
        <v>1153.3879999999999</v>
      </c>
      <c r="P238" s="29">
        <f t="shared" si="1146"/>
        <v>892.67600000000004</v>
      </c>
      <c r="Q238" s="29">
        <f t="shared" si="1146"/>
        <v>897.65499999999997</v>
      </c>
      <c r="R238" s="29">
        <f t="shared" si="1146"/>
        <v>481.13999999999993</v>
      </c>
      <c r="S238" s="43">
        <f t="shared" si="1146"/>
        <v>664.23099999999999</v>
      </c>
      <c r="T238" s="29">
        <f t="shared" si="1146"/>
        <v>776.52</v>
      </c>
      <c r="U238" s="29">
        <f t="shared" si="1146"/>
        <v>903.20600000000002</v>
      </c>
      <c r="V238" s="44">
        <f t="shared" si="1146"/>
        <v>982.48800000000006</v>
      </c>
      <c r="W238" s="29">
        <f t="shared" si="1146"/>
        <v>1001.813</v>
      </c>
      <c r="X238" s="29">
        <f t="shared" si="1146"/>
        <v>811.20799999999997</v>
      </c>
      <c r="Y238" s="29">
        <f t="shared" si="1146"/>
        <v>843.91200000000003</v>
      </c>
      <c r="Z238" s="29">
        <f t="shared" si="1146"/>
        <v>886.37599999999998</v>
      </c>
      <c r="AA238" s="43">
        <f t="shared" si="1146"/>
        <v>962.0390000000001</v>
      </c>
      <c r="AB238" s="29">
        <f t="shared" si="1146"/>
        <v>1016.5169999999999</v>
      </c>
      <c r="AC238" s="29">
        <f t="shared" si="1146"/>
        <v>1066.1799999999998</v>
      </c>
      <c r="AD238" s="44">
        <f t="shared" si="1146"/>
        <v>953.19399999999996</v>
      </c>
      <c r="AE238" s="4">
        <v>924.87699999999995</v>
      </c>
      <c r="AF238" s="4">
        <v>1044.27</v>
      </c>
      <c r="AG238" s="4">
        <v>1204.1099999999999</v>
      </c>
      <c r="AH238" s="4">
        <v>1106.902</v>
      </c>
      <c r="AI238" s="21">
        <v>954.73900000000003</v>
      </c>
      <c r="AJ238" s="4">
        <v>977.23800000000006</v>
      </c>
      <c r="AK238" s="4">
        <v>1053.9670000000001</v>
      </c>
      <c r="AL238" s="22">
        <v>1144.2180000000003</v>
      </c>
      <c r="AM238" s="21">
        <v>1102.787</v>
      </c>
      <c r="AN238" s="4">
        <v>1102.8240000000001</v>
      </c>
      <c r="AO238" s="4">
        <v>1225.3820000000001</v>
      </c>
      <c r="AP238" s="308">
        <v>1250.5139999999994</v>
      </c>
      <c r="AQ238" s="21">
        <v>1151</v>
      </c>
      <c r="AR238" s="4">
        <v>1153</v>
      </c>
      <c r="AS238" s="4">
        <v>1305</v>
      </c>
      <c r="AT238" s="308">
        <v>1401</v>
      </c>
      <c r="AU238" s="21">
        <v>1305</v>
      </c>
      <c r="AV238" s="4">
        <v>1428</v>
      </c>
      <c r="AW238" s="754">
        <v>2004</v>
      </c>
      <c r="AX238" s="800">
        <f>6910-AW238-AV238-AU238</f>
        <v>2173</v>
      </c>
      <c r="AY238" s="891">
        <v>1937</v>
      </c>
      <c r="AZ238" s="754">
        <v>2230</v>
      </c>
      <c r="BA238" s="754">
        <v>2636</v>
      </c>
      <c r="BB238" s="800">
        <f>9714-BA238-AZ238-AY238</f>
        <v>2911</v>
      </c>
      <c r="BC238" s="891"/>
      <c r="BD238" s="754"/>
      <c r="BE238" s="66"/>
      <c r="BF238" s="308"/>
      <c r="BG238" s="891"/>
      <c r="BH238" s="754"/>
      <c r="BI238" s="66"/>
      <c r="BJ238" s="308"/>
      <c r="BK238" s="891"/>
      <c r="BL238" s="754"/>
      <c r="BM238" s="66"/>
      <c r="BN238" s="308"/>
      <c r="BO238" s="88"/>
      <c r="BP238" s="73">
        <f>SUM(C238:F238)</f>
        <v>0</v>
      </c>
      <c r="BQ238" s="73">
        <f>SUM(G238:J238)</f>
        <v>3068.7710000000002</v>
      </c>
      <c r="BR238" s="73">
        <f>SUM(K238:N238)</f>
        <v>4097.8599999999997</v>
      </c>
      <c r="BS238" s="73">
        <f>SUM(O238:R238)</f>
        <v>3424.8589999999999</v>
      </c>
      <c r="BT238" s="73">
        <f>SUM(S238:V238)</f>
        <v>3326.4449999999997</v>
      </c>
      <c r="BU238" s="73">
        <f>SUM(W238:Z238)</f>
        <v>3543.3090000000002</v>
      </c>
      <c r="BV238" s="73">
        <f>SUM(AA238:AD238)</f>
        <v>3997.93</v>
      </c>
      <c r="BW238" s="73">
        <f>SUM(AE238:AH238)</f>
        <v>4280.1589999999997</v>
      </c>
      <c r="BX238" s="90">
        <f>SUM(AI238:AL238)</f>
        <v>4130.1620000000003</v>
      </c>
      <c r="BY238" s="90">
        <f>SUM(AM238:AP238)</f>
        <v>4681.5069999999996</v>
      </c>
      <c r="BZ238" s="90">
        <f>SUM(AQ238:AT238)</f>
        <v>5010</v>
      </c>
      <c r="CA238" s="88"/>
      <c r="CB238" s="88"/>
      <c r="CC238" s="88"/>
      <c r="CD238" s="88"/>
      <c r="CE238" s="88"/>
      <c r="CF238" s="90"/>
      <c r="CG238" s="88"/>
      <c r="CH238" s="88"/>
      <c r="CI238" s="29"/>
      <c r="CJ238" s="29"/>
      <c r="CK238" s="29"/>
      <c r="CL238" s="29"/>
      <c r="CM238" s="29"/>
      <c r="CN238" s="29"/>
      <c r="CO238" s="29"/>
      <c r="CP238" s="29"/>
      <c r="CQ238" s="29"/>
      <c r="CR238" s="29"/>
      <c r="CS238" s="29"/>
      <c r="CT238" s="29"/>
      <c r="CU238" s="29"/>
      <c r="CV238" s="29"/>
      <c r="CW238" s="29"/>
      <c r="CX238" s="29"/>
      <c r="CY238" s="29"/>
      <c r="CZ238" s="29"/>
      <c r="DA238" s="29"/>
      <c r="DB238" s="29"/>
      <c r="DC238" s="29"/>
      <c r="DD238" s="29"/>
      <c r="DE238" s="29"/>
      <c r="DF238" s="29"/>
      <c r="DG238" s="29"/>
      <c r="DH238" s="29"/>
      <c r="DI238" s="29"/>
      <c r="DJ238" s="29"/>
      <c r="DK238" s="29"/>
      <c r="DL238" s="29"/>
      <c r="DM238" s="29"/>
      <c r="DN238" s="29"/>
      <c r="DO238" s="29"/>
      <c r="DP238" s="29"/>
      <c r="DQ238" s="29"/>
      <c r="DR238" s="29"/>
      <c r="DS238" s="29"/>
      <c r="DT238" s="29"/>
      <c r="DU238" s="29"/>
      <c r="DV238" s="29"/>
      <c r="DW238" s="29"/>
      <c r="DX238" s="29"/>
      <c r="DY238" s="29"/>
      <c r="DZ238" s="29"/>
      <c r="EA238" s="29"/>
      <c r="EB238" s="29"/>
      <c r="EC238" s="29"/>
      <c r="ED238" s="29"/>
      <c r="EE238" s="29"/>
      <c r="EF238" s="29"/>
      <c r="EG238" s="29"/>
      <c r="EH238" s="29"/>
      <c r="EI238" s="29"/>
      <c r="EJ238" s="29"/>
      <c r="EK238" s="29"/>
      <c r="EL238" s="29"/>
      <c r="EM238" s="29"/>
      <c r="EN238" s="29"/>
      <c r="EO238" s="29"/>
      <c r="EP238" s="29"/>
      <c r="EQ238" s="29"/>
      <c r="ER238" s="29"/>
      <c r="ES238" s="29"/>
      <c r="ET238" s="29"/>
      <c r="EU238" s="29"/>
      <c r="EV238" s="29"/>
      <c r="EW238" s="29"/>
      <c r="EX238" s="29"/>
      <c r="EY238" s="29"/>
      <c r="EZ238" s="29"/>
      <c r="FA238" s="29"/>
      <c r="FB238" s="29"/>
      <c r="FC238" s="29"/>
      <c r="FD238" s="29"/>
      <c r="FE238" s="29"/>
      <c r="FF238" s="29"/>
      <c r="FG238" s="29"/>
      <c r="FH238" s="29"/>
      <c r="FI238" s="29"/>
      <c r="FJ238" s="29"/>
      <c r="FK238" s="29"/>
      <c r="FL238" s="29"/>
      <c r="FM238" s="29"/>
      <c r="FN238" s="29"/>
      <c r="FO238" s="29"/>
      <c r="FP238" s="29"/>
      <c r="FQ238" s="29"/>
      <c r="FR238" s="29"/>
      <c r="FS238" s="29"/>
      <c r="FT238" s="29"/>
      <c r="FU238" s="29"/>
      <c r="FV238" s="29"/>
      <c r="FW238" s="29"/>
      <c r="FX238" s="29"/>
      <c r="FY238" s="29"/>
      <c r="FZ238" s="29"/>
      <c r="GA238" s="29"/>
      <c r="GB238" s="29"/>
      <c r="GC238" s="29"/>
      <c r="GD238" s="29"/>
      <c r="GE238" s="29"/>
      <c r="GF238" s="29"/>
      <c r="GG238" s="29"/>
      <c r="GH238" s="29"/>
      <c r="GI238" s="29"/>
      <c r="GJ238" s="29"/>
      <c r="GK238" s="29"/>
      <c r="GL238" s="29"/>
      <c r="GM238" s="29"/>
      <c r="GN238" s="29"/>
      <c r="GO238" s="29"/>
      <c r="GP238" s="29"/>
      <c r="GQ238" s="29"/>
      <c r="GR238" s="29"/>
      <c r="GS238" s="29"/>
      <c r="GT238" s="29"/>
      <c r="GU238" s="29"/>
      <c r="GV238" s="29"/>
      <c r="GW238" s="29"/>
      <c r="GX238" s="29"/>
      <c r="GY238" s="29"/>
      <c r="GZ238" s="29"/>
      <c r="HA238" s="29"/>
      <c r="HB238" s="29"/>
      <c r="HC238" s="29"/>
      <c r="HD238" s="29"/>
      <c r="HE238" s="29"/>
      <c r="HF238" s="29"/>
      <c r="HG238" s="29"/>
      <c r="HH238" s="29"/>
      <c r="HI238" s="29"/>
      <c r="HJ238" s="29"/>
      <c r="HK238" s="29"/>
      <c r="HL238" s="29"/>
      <c r="HM238" s="29"/>
      <c r="HN238" s="29"/>
      <c r="HO238" s="29"/>
      <c r="HP238" s="29"/>
      <c r="HQ238" s="29"/>
      <c r="HR238" s="29"/>
    </row>
    <row r="239" spans="1:226" s="46" customFormat="1">
      <c r="A239" s="84"/>
      <c r="B239" s="5" t="s">
        <v>161</v>
      </c>
      <c r="C239" s="43">
        <f>CF!C11</f>
        <v>24.896999999999998</v>
      </c>
      <c r="D239" s="29">
        <f>CF!D11</f>
        <v>24.770000000000003</v>
      </c>
      <c r="E239" s="29">
        <f>CF!E11</f>
        <v>24.521999999999991</v>
      </c>
      <c r="F239" s="44">
        <f>CF!F11</f>
        <v>23.788000000000011</v>
      </c>
      <c r="G239" s="29">
        <f>CF!G11</f>
        <v>24.030999999999999</v>
      </c>
      <c r="H239" s="95">
        <f>CF!H11</f>
        <v>24.207999999999998</v>
      </c>
      <c r="I239" s="95">
        <f>CF!I11</f>
        <v>25.030999999999999</v>
      </c>
      <c r="J239" s="95">
        <f>CF!J11</f>
        <v>34.292000000000009</v>
      </c>
      <c r="K239" s="324">
        <f>CF!K11</f>
        <v>37.405000000000001</v>
      </c>
      <c r="L239" s="95">
        <f>CF!L11</f>
        <v>25.820999999999998</v>
      </c>
      <c r="M239" s="95">
        <f>CF!M11</f>
        <v>33.03</v>
      </c>
      <c r="N239" s="325">
        <f>CF!N11</f>
        <v>36.936000000000007</v>
      </c>
      <c r="O239" s="95">
        <f>CF!O11</f>
        <v>42.124000000000002</v>
      </c>
      <c r="P239" s="95">
        <f>CF!P11</f>
        <v>45.54</v>
      </c>
      <c r="Q239" s="95">
        <f>CF!Q11</f>
        <v>49.303999999999995</v>
      </c>
      <c r="R239" s="95">
        <f>CF!R11</f>
        <v>48.055</v>
      </c>
      <c r="S239" s="324">
        <f>CF!S11</f>
        <v>50.658000000000001</v>
      </c>
      <c r="T239" s="95">
        <f>CF!T11</f>
        <v>49.322000000000003</v>
      </c>
      <c r="U239" s="95">
        <f>CF!U11</f>
        <v>48.769999999999996</v>
      </c>
      <c r="V239" s="325">
        <f>CF!V11</f>
        <v>47.914000000000001</v>
      </c>
      <c r="W239" s="95">
        <f>CF!W11</f>
        <v>47.146999999999998</v>
      </c>
      <c r="X239" s="95">
        <f>CF!X11</f>
        <v>46.573</v>
      </c>
      <c r="Y239" s="95">
        <f>CF!Y11</f>
        <v>46.875999999999998</v>
      </c>
      <c r="Z239" s="95">
        <f>CF!Z11</f>
        <v>46.392999999999994</v>
      </c>
      <c r="AA239" s="324">
        <f>CF!AA11</f>
        <v>47.764000000000003</v>
      </c>
      <c r="AB239" s="95">
        <f>CF!AB11</f>
        <v>52.158999999999999</v>
      </c>
      <c r="AC239" s="95">
        <f>CF!AC11</f>
        <v>52.387000000000008</v>
      </c>
      <c r="AD239" s="325">
        <f>CF!AD11</f>
        <v>51.895000000000017</v>
      </c>
      <c r="AE239" s="4">
        <v>54.491</v>
      </c>
      <c r="AF239" s="4">
        <v>56.195</v>
      </c>
      <c r="AG239" s="4">
        <v>57.148000000000003</v>
      </c>
      <c r="AH239" s="4">
        <v>58.401000000000025</v>
      </c>
      <c r="AI239" s="21">
        <v>59.744</v>
      </c>
      <c r="AJ239" s="4">
        <v>61.84</v>
      </c>
      <c r="AK239" s="4">
        <v>62.725999999999999</v>
      </c>
      <c r="AL239" s="22">
        <v>54.837999999999994</v>
      </c>
      <c r="AM239" s="21">
        <v>55.082999999999998</v>
      </c>
      <c r="AN239" s="4">
        <v>55.606999999999999</v>
      </c>
      <c r="AO239" s="4">
        <v>55.48</v>
      </c>
      <c r="AP239" s="308">
        <v>53.955000000000013</v>
      </c>
      <c r="AQ239" s="21">
        <v>54</v>
      </c>
      <c r="AR239" s="4">
        <v>49</v>
      </c>
      <c r="AS239" s="4">
        <v>48</v>
      </c>
      <c r="AT239" s="308">
        <v>46</v>
      </c>
      <c r="AU239" s="21">
        <v>45</v>
      </c>
      <c r="AV239" s="4">
        <v>47</v>
      </c>
      <c r="AW239" s="754">
        <v>48</v>
      </c>
      <c r="AX239" s="800">
        <f>187-AW239-AV239-AU239</f>
        <v>47</v>
      </c>
      <c r="AY239" s="891">
        <v>47</v>
      </c>
      <c r="AZ239" s="754">
        <v>49</v>
      </c>
      <c r="BA239" s="754">
        <v>50</v>
      </c>
      <c r="BB239" s="800">
        <f>199-BA239-AZ239-AY239</f>
        <v>53</v>
      </c>
      <c r="BC239" s="891"/>
      <c r="BD239" s="754"/>
      <c r="BE239" s="66"/>
      <c r="BF239" s="308"/>
      <c r="BG239" s="891"/>
      <c r="BH239" s="754"/>
      <c r="BI239" s="66"/>
      <c r="BJ239" s="308"/>
      <c r="BK239" s="891"/>
      <c r="BL239" s="754"/>
      <c r="BM239" s="66"/>
      <c r="BN239" s="308"/>
      <c r="BO239" s="88"/>
      <c r="BP239" s="73">
        <f>SUM(C239:F239)</f>
        <v>97.977000000000004</v>
      </c>
      <c r="BQ239" s="73">
        <f>SUM(G239:J239)</f>
        <v>107.56200000000001</v>
      </c>
      <c r="BR239" s="73">
        <f>SUM(K239:N239)</f>
        <v>133.19200000000001</v>
      </c>
      <c r="BS239" s="73">
        <f>SUM(O239:R239)</f>
        <v>185.023</v>
      </c>
      <c r="BT239" s="73">
        <f>SUM(S239:V239)</f>
        <v>196.66399999999999</v>
      </c>
      <c r="BU239" s="73">
        <f>SUM(W239:Z239)</f>
        <v>186.989</v>
      </c>
      <c r="BV239" s="73">
        <f>SUM(AA239:AD239)</f>
        <v>204.20500000000001</v>
      </c>
      <c r="BW239" s="73">
        <f>SUM(AE239:AH239)</f>
        <v>226.23500000000001</v>
      </c>
      <c r="BX239" s="177"/>
      <c r="BY239" s="580">
        <f>BY238/BX238-1</f>
        <v>0.13349234243112007</v>
      </c>
      <c r="BZ239" s="580">
        <f>BZ238/BY238-1</f>
        <v>7.0168217200145211E-2</v>
      </c>
      <c r="CA239" s="166"/>
      <c r="CB239" s="166"/>
      <c r="CC239" s="166"/>
      <c r="CD239" s="166"/>
      <c r="CE239" s="166"/>
      <c r="CF239" s="90"/>
      <c r="CG239" s="88"/>
      <c r="CH239" s="88"/>
      <c r="CI239" s="29"/>
      <c r="CJ239" s="2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29"/>
      <c r="DD239" s="2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29"/>
      <c r="DX239" s="2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29"/>
      <c r="ER239" s="29"/>
      <c r="ES239" s="29"/>
      <c r="ET239" s="29"/>
      <c r="EU239" s="29"/>
      <c r="EV239" s="29"/>
      <c r="EW239" s="29"/>
      <c r="EX239" s="29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29"/>
      <c r="FJ239" s="29"/>
      <c r="FK239" s="29"/>
      <c r="FL239" s="29"/>
      <c r="FM239" s="29"/>
      <c r="FN239" s="29"/>
      <c r="FO239" s="29"/>
      <c r="FP239" s="29"/>
      <c r="FQ239" s="29"/>
      <c r="FR239" s="29"/>
      <c r="FS239" s="29"/>
      <c r="FT239" s="29"/>
      <c r="FU239" s="29"/>
      <c r="FV239" s="29"/>
      <c r="FW239" s="29"/>
      <c r="FX239" s="29"/>
      <c r="FY239" s="29"/>
      <c r="FZ239" s="29"/>
      <c r="GA239" s="29"/>
      <c r="GB239" s="29"/>
      <c r="GC239" s="29"/>
      <c r="GD239" s="29"/>
      <c r="GE239" s="29"/>
      <c r="GF239" s="29"/>
      <c r="GG239" s="29"/>
      <c r="GH239" s="29"/>
      <c r="GI239" s="29"/>
      <c r="GJ239" s="29"/>
      <c r="GK239" s="29"/>
      <c r="GL239" s="29"/>
      <c r="GM239" s="29"/>
      <c r="GN239" s="29"/>
      <c r="GO239" s="29"/>
      <c r="GP239" s="29"/>
      <c r="GQ239" s="29"/>
      <c r="GR239" s="29"/>
      <c r="GS239" s="29"/>
      <c r="GT239" s="29"/>
      <c r="GU239" s="29"/>
      <c r="GV239" s="29"/>
      <c r="GW239" s="29"/>
      <c r="GX239" s="29"/>
      <c r="GY239" s="29"/>
      <c r="GZ239" s="29"/>
      <c r="HA239" s="29"/>
      <c r="HB239" s="29"/>
      <c r="HC239" s="29"/>
      <c r="HD239" s="29"/>
      <c r="HE239" s="29"/>
      <c r="HF239" s="29"/>
      <c r="HG239" s="29"/>
      <c r="HH239" s="29"/>
      <c r="HI239" s="29"/>
      <c r="HJ239" s="29"/>
      <c r="HK239" s="29"/>
      <c r="HL239" s="29"/>
      <c r="HM239" s="29"/>
      <c r="HN239" s="29"/>
      <c r="HO239" s="29"/>
      <c r="HP239" s="29"/>
      <c r="HQ239" s="29"/>
      <c r="HR239" s="29"/>
    </row>
    <row r="240" spans="1:226" s="46" customFormat="1">
      <c r="A240" s="84"/>
      <c r="B240" s="91" t="s">
        <v>173</v>
      </c>
      <c r="C240" s="292"/>
      <c r="D240" s="57"/>
      <c r="E240" s="57"/>
      <c r="F240" s="293"/>
      <c r="G240" s="57">
        <f t="shared" ref="G240:AM240" si="1147">G239/G238</f>
        <v>3.5246044701799775E-2</v>
      </c>
      <c r="H240" s="57">
        <f t="shared" si="1147"/>
        <v>3.5210663268942385E-2</v>
      </c>
      <c r="I240" s="57">
        <f t="shared" si="1147"/>
        <v>3.0504331125117599E-2</v>
      </c>
      <c r="J240" s="57">
        <f t="shared" si="1147"/>
        <v>3.9018151655586197E-2</v>
      </c>
      <c r="K240" s="292">
        <f t="shared" si="1147"/>
        <v>4.4304022362249493E-2</v>
      </c>
      <c r="L240" s="57">
        <f t="shared" si="1147"/>
        <v>2.7608572225911059E-2</v>
      </c>
      <c r="M240" s="57">
        <f t="shared" si="1147"/>
        <v>2.9607465778412823E-2</v>
      </c>
      <c r="N240" s="293">
        <f t="shared" si="1147"/>
        <v>3.0710134444139586E-2</v>
      </c>
      <c r="O240" s="57">
        <f t="shared" si="1147"/>
        <v>3.6521968322888745E-2</v>
      </c>
      <c r="P240" s="57">
        <f t="shared" si="1147"/>
        <v>5.1015149953622586E-2</v>
      </c>
      <c r="Q240" s="57">
        <f t="shared" si="1147"/>
        <v>5.4925333229358712E-2</v>
      </c>
      <c r="R240" s="57">
        <f t="shared" si="1147"/>
        <v>9.9877374568732608E-2</v>
      </c>
      <c r="S240" s="292">
        <f t="shared" si="1147"/>
        <v>7.6265636502963585E-2</v>
      </c>
      <c r="T240" s="57">
        <f t="shared" si="1147"/>
        <v>6.3516715602946486E-2</v>
      </c>
      <c r="U240" s="57">
        <f t="shared" si="1147"/>
        <v>5.3996541209867951E-2</v>
      </c>
      <c r="V240" s="293">
        <f t="shared" si="1147"/>
        <v>4.8768025665453421E-2</v>
      </c>
      <c r="W240" s="57">
        <f t="shared" si="1147"/>
        <v>4.7061677179273974E-2</v>
      </c>
      <c r="X240" s="57">
        <f t="shared" si="1147"/>
        <v>5.7411909152769697E-2</v>
      </c>
      <c r="Y240" s="57">
        <f t="shared" si="1147"/>
        <v>5.5546075894169059E-2</v>
      </c>
      <c r="Z240" s="57">
        <f t="shared" si="1147"/>
        <v>5.234009043566161E-2</v>
      </c>
      <c r="AA240" s="292">
        <f t="shared" si="1147"/>
        <v>4.9648714864989882E-2</v>
      </c>
      <c r="AB240" s="57">
        <f t="shared" si="1147"/>
        <v>5.1311488150222774E-2</v>
      </c>
      <c r="AC240" s="57">
        <f t="shared" si="1147"/>
        <v>4.9135230448892321E-2</v>
      </c>
      <c r="AD240" s="293">
        <f t="shared" si="1147"/>
        <v>5.4443271778882391E-2</v>
      </c>
      <c r="AE240" s="57">
        <f t="shared" si="1147"/>
        <v>5.891702356097081E-2</v>
      </c>
      <c r="AF240" s="57">
        <f t="shared" si="1147"/>
        <v>5.3812711271989049E-2</v>
      </c>
      <c r="AG240" s="57">
        <f t="shared" si="1147"/>
        <v>4.7460780161280955E-2</v>
      </c>
      <c r="AH240" s="57">
        <f t="shared" si="1147"/>
        <v>5.2760768342635593E-2</v>
      </c>
      <c r="AI240" s="292">
        <f t="shared" si="1147"/>
        <v>6.2576264298410345E-2</v>
      </c>
      <c r="AJ240" s="57">
        <f t="shared" si="1147"/>
        <v>6.3280388196120085E-2</v>
      </c>
      <c r="AK240" s="57">
        <f t="shared" si="1147"/>
        <v>5.951419731357812E-2</v>
      </c>
      <c r="AL240" s="293">
        <f t="shared" si="1147"/>
        <v>4.7926181898903859E-2</v>
      </c>
      <c r="AM240" s="292">
        <f t="shared" si="1147"/>
        <v>4.9948902190540871E-2</v>
      </c>
      <c r="AN240" s="57">
        <f t="shared" ref="AN240:AU240" si="1148">AN239/AN238</f>
        <v>5.0422370205944006E-2</v>
      </c>
      <c r="AO240" s="57">
        <f t="shared" si="1148"/>
        <v>4.5275677298997369E-2</v>
      </c>
      <c r="AP240" s="293">
        <f t="shared" si="1148"/>
        <v>4.3146258258604089E-2</v>
      </c>
      <c r="AQ240" s="292">
        <f t="shared" si="1148"/>
        <v>4.6915725456125108E-2</v>
      </c>
      <c r="AR240" s="57">
        <f t="shared" si="1148"/>
        <v>4.2497831743278404E-2</v>
      </c>
      <c r="AS240" s="57">
        <f t="shared" si="1148"/>
        <v>3.6781609195402298E-2</v>
      </c>
      <c r="AT240" s="293">
        <f t="shared" si="1148"/>
        <v>3.2833690221270521E-2</v>
      </c>
      <c r="AU240" s="292">
        <f t="shared" si="1148"/>
        <v>3.4482758620689655E-2</v>
      </c>
      <c r="AV240" s="57">
        <f t="shared" ref="AV240:BB240" si="1149">AV239/AV238</f>
        <v>3.2913165266106444E-2</v>
      </c>
      <c r="AW240" s="750">
        <f t="shared" si="1149"/>
        <v>2.3952095808383235E-2</v>
      </c>
      <c r="AX240" s="795">
        <f t="shared" si="1149"/>
        <v>2.1629084215370454E-2</v>
      </c>
      <c r="AY240" s="819">
        <f t="shared" si="1149"/>
        <v>2.4264326277749097E-2</v>
      </c>
      <c r="AZ240" s="819">
        <f t="shared" si="1149"/>
        <v>2.1973094170403589E-2</v>
      </c>
      <c r="BA240" s="819">
        <f t="shared" ref="BA240" si="1150">BA239/BA238</f>
        <v>1.8968133535660091E-2</v>
      </c>
      <c r="BB240" s="795">
        <f t="shared" si="1149"/>
        <v>1.8206801786327723E-2</v>
      </c>
      <c r="BC240" s="819"/>
      <c r="BD240" s="819"/>
      <c r="BE240" s="57"/>
      <c r="BF240" s="293"/>
      <c r="BG240" s="819"/>
      <c r="BH240" s="819"/>
      <c r="BI240" s="57"/>
      <c r="BJ240" s="293"/>
      <c r="BK240" s="819"/>
      <c r="BL240" s="819"/>
      <c r="BM240" s="57"/>
      <c r="BN240" s="293"/>
      <c r="BO240" s="88"/>
      <c r="BP240" s="88"/>
      <c r="BQ240" s="179"/>
      <c r="BR240" s="179"/>
      <c r="BS240" s="179"/>
      <c r="BT240" s="179"/>
      <c r="BU240" s="179"/>
      <c r="BV240" s="179"/>
      <c r="BW240" s="179"/>
      <c r="BX240" s="179"/>
      <c r="BY240" s="180"/>
      <c r="BZ240" s="180"/>
      <c r="CA240" s="180"/>
      <c r="CB240" s="180"/>
      <c r="CC240" s="180"/>
      <c r="CD240" s="180"/>
      <c r="CE240" s="180"/>
      <c r="CF240" s="88"/>
      <c r="CG240" s="88"/>
      <c r="CH240" s="88"/>
      <c r="CI240" s="29"/>
      <c r="CJ240" s="2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29"/>
      <c r="DD240" s="2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29"/>
      <c r="DX240" s="2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29"/>
      <c r="ER240" s="29"/>
      <c r="ES240" s="29"/>
      <c r="ET240" s="29"/>
      <c r="EU240" s="29"/>
      <c r="EV240" s="29"/>
      <c r="EW240" s="29"/>
      <c r="EX240" s="29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29"/>
      <c r="FJ240" s="29"/>
      <c r="FK240" s="29"/>
      <c r="FL240" s="29"/>
      <c r="FM240" s="29"/>
      <c r="FN240" s="29"/>
      <c r="FO240" s="29"/>
      <c r="FP240" s="29"/>
      <c r="FQ240" s="29"/>
      <c r="FR240" s="29"/>
      <c r="FS240" s="29"/>
      <c r="FT240" s="29"/>
      <c r="FU240" s="29"/>
      <c r="FV240" s="29"/>
      <c r="FW240" s="29"/>
      <c r="FX240" s="29"/>
      <c r="FY240" s="29"/>
      <c r="FZ240" s="29"/>
      <c r="GA240" s="29"/>
      <c r="GB240" s="29"/>
      <c r="GC240" s="29"/>
      <c r="GD240" s="29"/>
      <c r="GE240" s="29"/>
      <c r="GF240" s="29"/>
      <c r="GG240" s="29"/>
      <c r="GH240" s="29"/>
      <c r="GI240" s="29"/>
      <c r="GJ240" s="29"/>
      <c r="GK240" s="29"/>
      <c r="GL240" s="29"/>
      <c r="GM240" s="29"/>
      <c r="GN240" s="29"/>
      <c r="GO240" s="29"/>
      <c r="GP240" s="29"/>
      <c r="GQ240" s="29"/>
      <c r="GR240" s="29"/>
      <c r="GS240" s="29"/>
      <c r="GT240" s="29"/>
      <c r="GU240" s="29"/>
      <c r="GV240" s="29"/>
      <c r="GW240" s="29"/>
      <c r="GX240" s="29"/>
      <c r="GY240" s="29"/>
      <c r="GZ240" s="29"/>
      <c r="HA240" s="29"/>
      <c r="HB240" s="29"/>
      <c r="HC240" s="29"/>
      <c r="HD240" s="29"/>
      <c r="HE240" s="29"/>
      <c r="HF240" s="29"/>
      <c r="HG240" s="29"/>
      <c r="HH240" s="29"/>
      <c r="HI240" s="29"/>
      <c r="HJ240" s="29"/>
      <c r="HK240" s="29"/>
      <c r="HL240" s="29"/>
      <c r="HM240" s="29"/>
      <c r="HN240" s="29"/>
      <c r="HO240" s="29"/>
      <c r="HP240" s="29"/>
      <c r="HQ240" s="29"/>
      <c r="HR240" s="29"/>
    </row>
    <row r="241" spans="1:226" s="46" customFormat="1">
      <c r="A241" s="84"/>
      <c r="B241" s="5" t="s">
        <v>164</v>
      </c>
      <c r="C241" s="43"/>
      <c r="D241" s="29"/>
      <c r="E241" s="29"/>
      <c r="F241" s="44"/>
      <c r="G241" s="29">
        <f>G234+G227+'BU-Segment'!G219</f>
        <v>100.68500000000002</v>
      </c>
      <c r="H241" s="29">
        <f>H234+H227+'BU-Segment'!H219</f>
        <v>95.816000000000003</v>
      </c>
      <c r="I241" s="29">
        <f>I234+I227+'BU-Segment'!I219</f>
        <v>117.61299999999999</v>
      </c>
      <c r="J241" s="29">
        <f>J234+J227+'BU-Segment'!J219</f>
        <v>138.51400000000004</v>
      </c>
      <c r="K241" s="43">
        <f>K234+K227+'BU-Segment'!K219</f>
        <v>141.24599999999998</v>
      </c>
      <c r="L241" s="29">
        <f>L234+L227+'BU-Segment'!L219</f>
        <v>184.76000000000002</v>
      </c>
      <c r="M241" s="29">
        <f>M234+M227+'BU-Segment'!M219</f>
        <v>247.84100000000001</v>
      </c>
      <c r="N241" s="44">
        <f>N234+N227+'BU-Segment'!N219</f>
        <v>262.49900000000002</v>
      </c>
      <c r="O241" s="29">
        <f>O234+O227+'BU-Segment'!O219</f>
        <v>202.97900000000004</v>
      </c>
      <c r="P241" s="29">
        <f>P234+P227+'BU-Segment'!P219</f>
        <v>-155.392</v>
      </c>
      <c r="Q241" s="29">
        <f>Q234+Q227+'BU-Segment'!Q219</f>
        <v>56.796000000000021</v>
      </c>
      <c r="R241" s="29">
        <f>R234+R227+'BU-Segment'!R219</f>
        <v>-175.08299999999997</v>
      </c>
      <c r="S241" s="43">
        <f>S234+S227+'BU-Segment'!S219</f>
        <v>-230.96500000000003</v>
      </c>
      <c r="T241" s="29">
        <f>T234+T227+'BU-Segment'!T219</f>
        <v>-110.107</v>
      </c>
      <c r="U241" s="29">
        <f>U234+U227+'BU-Segment'!U219</f>
        <v>107.845</v>
      </c>
      <c r="V241" s="44">
        <f>V234+V227+'BU-Segment'!V219</f>
        <v>134.28200000000004</v>
      </c>
      <c r="W241" s="29">
        <f>W234+W227+'BU-Segment'!W219</f>
        <v>147.393</v>
      </c>
      <c r="X241" s="29">
        <f>X234+X227+'BU-Segment'!X219</f>
        <v>-175.20700000000002</v>
      </c>
      <c r="Y241" s="29">
        <f>Y234+Y227+'BU-Segment'!Y219</f>
        <v>103.783</v>
      </c>
      <c r="Z241" s="29">
        <f>Z234+Z227+'BU-Segment'!Z219</f>
        <v>179.77800000000008</v>
      </c>
      <c r="AA241" s="43">
        <f>AA234+AA227+'BU-Segment'!AA219</f>
        <v>154.86200000000002</v>
      </c>
      <c r="AB241" s="29">
        <f>AB234+AB227+'BU-Segment'!AB219</f>
        <v>174.03</v>
      </c>
      <c r="AC241" s="29">
        <f>AC234+AC227+'BU-Segment'!AC219</f>
        <v>197.08999999999997</v>
      </c>
      <c r="AD241" s="44">
        <f>AD234+AD227+'BU-Segment'!AD219</f>
        <v>122.31699999999999</v>
      </c>
      <c r="AE241" s="4">
        <v>72.825999999999993</v>
      </c>
      <c r="AF241" s="4">
        <v>139.62299999999999</v>
      </c>
      <c r="AG241" s="4">
        <v>252.21700000000001</v>
      </c>
      <c r="AH241" s="4">
        <v>183.57300000000006</v>
      </c>
      <c r="AI241" s="341">
        <v>82.780999999999949</v>
      </c>
      <c r="AJ241" s="4">
        <v>105.53400000000001</v>
      </c>
      <c r="AK241" s="4">
        <v>140.988</v>
      </c>
      <c r="AL241" s="22">
        <v>166.92400000000001</v>
      </c>
      <c r="AM241" s="21">
        <v>151.35900000000001</v>
      </c>
      <c r="AN241" s="4">
        <v>163.179</v>
      </c>
      <c r="AO241" s="4">
        <v>213.315</v>
      </c>
      <c r="AP241" s="308">
        <v>231.136</v>
      </c>
      <c r="AQ241" s="21">
        <v>176</v>
      </c>
      <c r="AR241" s="4">
        <v>76</v>
      </c>
      <c r="AS241" s="4">
        <v>245</v>
      </c>
      <c r="AT241" s="308">
        <v>250</v>
      </c>
      <c r="AU241" s="21">
        <v>245</v>
      </c>
      <c r="AV241" s="4">
        <v>317</v>
      </c>
      <c r="AW241" s="754">
        <v>639</v>
      </c>
      <c r="AX241" s="800">
        <f>1934-AW241-AV241-AU241</f>
        <v>733</v>
      </c>
      <c r="AY241" s="891">
        <v>554</v>
      </c>
      <c r="AZ241" s="754">
        <v>688</v>
      </c>
      <c r="BA241" s="754">
        <v>895</v>
      </c>
      <c r="BB241" s="800">
        <f>3210-BA241-AZ241-AY241</f>
        <v>1073</v>
      </c>
      <c r="BC241" s="891"/>
      <c r="BD241" s="754"/>
      <c r="BE241" s="66"/>
      <c r="BF241" s="308"/>
      <c r="BG241" s="891"/>
      <c r="BH241" s="754"/>
      <c r="BI241" s="66"/>
      <c r="BJ241" s="308"/>
      <c r="BK241" s="891"/>
      <c r="BL241" s="754"/>
      <c r="BM241" s="66"/>
      <c r="BN241" s="308"/>
      <c r="BO241" s="88"/>
      <c r="BP241" s="73">
        <f>SUM(C241:F241)</f>
        <v>0</v>
      </c>
      <c r="BQ241" s="73">
        <f>SUM(G241:J241)</f>
        <v>452.62800000000004</v>
      </c>
      <c r="BR241" s="73">
        <f>SUM(K241:N241)</f>
        <v>836.346</v>
      </c>
      <c r="BS241" s="73">
        <f>SUM(O241:R241)</f>
        <v>-70.699999999999903</v>
      </c>
      <c r="BT241" s="73">
        <f>SUM(S241:V241)</f>
        <v>-98.944999999999965</v>
      </c>
      <c r="BU241" s="73">
        <f>SUM(W241:Z241)</f>
        <v>255.74700000000007</v>
      </c>
      <c r="BV241" s="73">
        <f>SUM(AA241:AD241)</f>
        <v>648.29899999999998</v>
      </c>
      <c r="BW241" s="73">
        <f>SUM(AE241:AH241)</f>
        <v>648.23900000000003</v>
      </c>
      <c r="BX241" s="48"/>
      <c r="BY241" s="166"/>
      <c r="BZ241" s="166"/>
      <c r="CA241" s="166"/>
      <c r="CB241" s="166"/>
      <c r="CC241" s="166"/>
      <c r="CD241" s="166"/>
      <c r="CE241" s="166"/>
      <c r="CF241" s="90"/>
      <c r="CG241" s="88"/>
      <c r="CH241" s="88"/>
      <c r="CI241" s="29"/>
      <c r="CJ241" s="29"/>
      <c r="CK241" s="29"/>
      <c r="CL241" s="29"/>
      <c r="CM241" s="29"/>
      <c r="CN241" s="29"/>
      <c r="CO241" s="29"/>
      <c r="CP241" s="29"/>
      <c r="CQ241" s="29"/>
      <c r="CR241" s="29"/>
      <c r="CS241" s="29"/>
      <c r="CT241" s="29"/>
      <c r="CU241" s="29"/>
      <c r="CV241" s="29"/>
      <c r="CW241" s="29"/>
      <c r="CX241" s="29"/>
      <c r="CY241" s="29"/>
      <c r="CZ241" s="29"/>
      <c r="DA241" s="29"/>
      <c r="DB241" s="29"/>
      <c r="DC241" s="29"/>
      <c r="DD241" s="29"/>
      <c r="DE241" s="29"/>
      <c r="DF241" s="29"/>
      <c r="DG241" s="29"/>
      <c r="DH241" s="29"/>
      <c r="DI241" s="29"/>
      <c r="DJ241" s="29"/>
      <c r="DK241" s="29"/>
      <c r="DL241" s="29"/>
      <c r="DM241" s="29"/>
      <c r="DN241" s="29"/>
      <c r="DO241" s="29"/>
      <c r="DP241" s="29"/>
      <c r="DQ241" s="29"/>
      <c r="DR241" s="29"/>
      <c r="DS241" s="29"/>
      <c r="DT241" s="29"/>
      <c r="DU241" s="29"/>
      <c r="DV241" s="29"/>
      <c r="DW241" s="29"/>
      <c r="DX241" s="29"/>
      <c r="DY241" s="29"/>
      <c r="DZ241" s="29"/>
      <c r="EA241" s="29"/>
      <c r="EB241" s="29"/>
      <c r="EC241" s="29"/>
      <c r="ED241" s="29"/>
      <c r="EE241" s="29"/>
      <c r="EF241" s="29"/>
      <c r="EG241" s="29"/>
      <c r="EH241" s="29"/>
      <c r="EI241" s="29"/>
      <c r="EJ241" s="29"/>
      <c r="EK241" s="29"/>
      <c r="EL241" s="29"/>
      <c r="EM241" s="29"/>
      <c r="EN241" s="29"/>
      <c r="EO241" s="29"/>
      <c r="EP241" s="29"/>
      <c r="EQ241" s="29"/>
      <c r="ER241" s="29"/>
      <c r="ES241" s="29"/>
      <c r="ET241" s="29"/>
      <c r="EU241" s="29"/>
      <c r="EV241" s="29"/>
      <c r="EW241" s="29"/>
      <c r="EX241" s="29"/>
      <c r="EY241" s="29"/>
      <c r="EZ241" s="29"/>
      <c r="FA241" s="29"/>
      <c r="FB241" s="29"/>
      <c r="FC241" s="29"/>
      <c r="FD241" s="29"/>
      <c r="FE241" s="29"/>
      <c r="FF241" s="29"/>
      <c r="FG241" s="29"/>
      <c r="FH241" s="29"/>
      <c r="FI241" s="29"/>
      <c r="FJ241" s="29"/>
      <c r="FK241" s="29"/>
      <c r="FL241" s="29"/>
      <c r="FM241" s="29"/>
      <c r="FN241" s="29"/>
      <c r="FO241" s="29"/>
      <c r="FP241" s="29"/>
      <c r="FQ241" s="29"/>
      <c r="FR241" s="29"/>
      <c r="FS241" s="29"/>
      <c r="FT241" s="29"/>
      <c r="FU241" s="29"/>
      <c r="FV241" s="29"/>
      <c r="FW241" s="29"/>
      <c r="FX241" s="29"/>
      <c r="FY241" s="29"/>
      <c r="FZ241" s="29"/>
      <c r="GA241" s="29"/>
      <c r="GB241" s="29"/>
      <c r="GC241" s="29"/>
      <c r="GD241" s="29"/>
      <c r="GE241" s="29"/>
      <c r="GF241" s="29"/>
      <c r="GG241" s="29"/>
      <c r="GH241" s="29"/>
      <c r="GI241" s="29"/>
      <c r="GJ241" s="29"/>
      <c r="GK241" s="29"/>
      <c r="GL241" s="29"/>
      <c r="GM241" s="29"/>
      <c r="GN241" s="29"/>
      <c r="GO241" s="29"/>
      <c r="GP241" s="29"/>
      <c r="GQ241" s="29"/>
      <c r="GR241" s="29"/>
      <c r="GS241" s="29"/>
      <c r="GT241" s="29"/>
      <c r="GU241" s="29"/>
      <c r="GV241" s="29"/>
      <c r="GW241" s="29"/>
      <c r="GX241" s="29"/>
      <c r="GY241" s="29"/>
      <c r="GZ241" s="29"/>
      <c r="HA241" s="29"/>
      <c r="HB241" s="29"/>
      <c r="HC241" s="29"/>
      <c r="HD241" s="29"/>
      <c r="HE241" s="29"/>
      <c r="HF241" s="29"/>
      <c r="HG241" s="29"/>
      <c r="HH241" s="29"/>
      <c r="HI241" s="29"/>
      <c r="HJ241" s="29"/>
      <c r="HK241" s="29"/>
      <c r="HL241" s="29"/>
      <c r="HM241" s="29"/>
      <c r="HN241" s="29"/>
      <c r="HO241" s="29"/>
      <c r="HP241" s="29"/>
      <c r="HQ241" s="29"/>
      <c r="HR241" s="29"/>
    </row>
    <row r="242" spans="1:226" s="46" customFormat="1">
      <c r="A242" s="84"/>
      <c r="B242" s="91" t="s">
        <v>228</v>
      </c>
      <c r="C242" s="292"/>
      <c r="D242" s="57"/>
      <c r="E242" s="57"/>
      <c r="F242" s="293"/>
      <c r="G242" s="57">
        <f t="shared" ref="G242:AM242" si="1151">G241/G238</f>
        <v>0.14767375518291836</v>
      </c>
      <c r="H242" s="57">
        <f t="shared" si="1151"/>
        <v>0.13936487573434334</v>
      </c>
      <c r="I242" s="57">
        <f t="shared" si="1151"/>
        <v>0.14333050603725203</v>
      </c>
      <c r="J242" s="57">
        <f t="shared" si="1151"/>
        <v>0.15760411344983863</v>
      </c>
      <c r="K242" s="292">
        <f t="shared" si="1151"/>
        <v>0.16729757900222672</v>
      </c>
      <c r="L242" s="57">
        <f t="shared" si="1151"/>
        <v>0.19755082314625028</v>
      </c>
      <c r="M242" s="57">
        <f t="shared" si="1151"/>
        <v>0.22215997353883174</v>
      </c>
      <c r="N242" s="293">
        <f t="shared" si="1151"/>
        <v>0.21825264190632979</v>
      </c>
      <c r="O242" s="57">
        <f t="shared" si="1151"/>
        <v>0.17598501111508014</v>
      </c>
      <c r="P242" s="57">
        <f t="shared" si="1151"/>
        <v>-0.17407435620538694</v>
      </c>
      <c r="Q242" s="57">
        <f t="shared" si="1151"/>
        <v>6.3271524137892651E-2</v>
      </c>
      <c r="R242" s="57">
        <f t="shared" si="1151"/>
        <v>-0.36389200648459907</v>
      </c>
      <c r="S242" s="292">
        <f t="shared" si="1151"/>
        <v>-0.34771788730125519</v>
      </c>
      <c r="T242" s="57">
        <f t="shared" si="1151"/>
        <v>-0.14179544635038377</v>
      </c>
      <c r="U242" s="57">
        <f t="shared" si="1151"/>
        <v>0.1194024397535003</v>
      </c>
      <c r="V242" s="293">
        <f t="shared" si="1151"/>
        <v>0.1366754606672041</v>
      </c>
      <c r="W242" s="57">
        <f t="shared" si="1151"/>
        <v>0.14712626009045601</v>
      </c>
      <c r="X242" s="57">
        <f t="shared" si="1151"/>
        <v>-0.21598283054407752</v>
      </c>
      <c r="Y242" s="57">
        <f t="shared" si="1151"/>
        <v>0.12297846220932988</v>
      </c>
      <c r="Z242" s="57">
        <f t="shared" si="1151"/>
        <v>0.20282363240881982</v>
      </c>
      <c r="AA242" s="292">
        <f t="shared" si="1151"/>
        <v>0.16097268405958595</v>
      </c>
      <c r="AB242" s="57">
        <f t="shared" si="1151"/>
        <v>0.1712022523971562</v>
      </c>
      <c r="AC242" s="57">
        <f t="shared" si="1151"/>
        <v>0.18485621564838958</v>
      </c>
      <c r="AD242" s="293">
        <f t="shared" si="1151"/>
        <v>0.12832330039844983</v>
      </c>
      <c r="AE242" s="57">
        <f t="shared" si="1151"/>
        <v>7.874128127307739E-2</v>
      </c>
      <c r="AF242" s="57">
        <f t="shared" si="1151"/>
        <v>0.13370392714527851</v>
      </c>
      <c r="AG242" s="57">
        <f t="shared" si="1151"/>
        <v>0.20946342111601102</v>
      </c>
      <c r="AH242" s="57">
        <f t="shared" si="1151"/>
        <v>0.16584395005158548</v>
      </c>
      <c r="AI242" s="292">
        <f t="shared" si="1151"/>
        <v>8.6705371834606054E-2</v>
      </c>
      <c r="AJ242" s="57">
        <f t="shared" si="1151"/>
        <v>0.10799211655707207</v>
      </c>
      <c r="AK242" s="57">
        <f t="shared" si="1151"/>
        <v>0.13376889409250953</v>
      </c>
      <c r="AL242" s="293">
        <f t="shared" si="1151"/>
        <v>0.14588478768905921</v>
      </c>
      <c r="AM242" s="292">
        <f t="shared" si="1151"/>
        <v>0.13725134590814</v>
      </c>
      <c r="AN242" s="57">
        <f t="shared" ref="AN242:AU242" si="1152">AN241/AN238</f>
        <v>0.14796467976757849</v>
      </c>
      <c r="AO242" s="57">
        <f t="shared" si="1152"/>
        <v>0.17408040921116844</v>
      </c>
      <c r="AP242" s="293">
        <f t="shared" si="1152"/>
        <v>0.18483279675397485</v>
      </c>
      <c r="AQ242" s="292">
        <f t="shared" si="1152"/>
        <v>0.15291051259774111</v>
      </c>
      <c r="AR242" s="57">
        <f t="shared" si="1152"/>
        <v>6.5915004336513441E-2</v>
      </c>
      <c r="AS242" s="57">
        <f t="shared" si="1152"/>
        <v>0.18773946360153257</v>
      </c>
      <c r="AT242" s="293">
        <f t="shared" si="1152"/>
        <v>0.17844396859386152</v>
      </c>
      <c r="AU242" s="292">
        <f t="shared" si="1152"/>
        <v>0.18773946360153257</v>
      </c>
      <c r="AV242" s="57">
        <f t="shared" ref="AV242:AZ242" si="1153">AV241/AV238</f>
        <v>0.22198879551820727</v>
      </c>
      <c r="AW242" s="750">
        <f t="shared" si="1153"/>
        <v>0.31886227544910178</v>
      </c>
      <c r="AX242" s="795">
        <f t="shared" si="1153"/>
        <v>0.33732167510354349</v>
      </c>
      <c r="AY242" s="819">
        <f t="shared" si="1153"/>
        <v>0.28600929272070214</v>
      </c>
      <c r="AZ242" s="819">
        <f t="shared" si="1153"/>
        <v>0.30852017937219733</v>
      </c>
      <c r="BA242" s="819">
        <f t="shared" ref="BA242:BB242" si="1154">BA241/BA238</f>
        <v>0.33952959028831564</v>
      </c>
      <c r="BB242" s="795">
        <f t="shared" si="1154"/>
        <v>0.36860185503263482</v>
      </c>
      <c r="BC242" s="819"/>
      <c r="BD242" s="819"/>
      <c r="BE242" s="57"/>
      <c r="BF242" s="293"/>
      <c r="BG242" s="819"/>
      <c r="BH242" s="819"/>
      <c r="BI242" s="57"/>
      <c r="BJ242" s="293"/>
      <c r="BK242" s="819"/>
      <c r="BL242" s="819"/>
      <c r="BM242" s="57"/>
      <c r="BN242" s="293"/>
      <c r="BO242" s="88"/>
      <c r="BP242" s="88"/>
      <c r="BQ242" s="181"/>
      <c r="BR242" s="181"/>
      <c r="BS242" s="181"/>
      <c r="BT242" s="181"/>
      <c r="BU242" s="181"/>
      <c r="BV242" s="181"/>
      <c r="BW242" s="181"/>
      <c r="BX242" s="181"/>
      <c r="BY242" s="129"/>
      <c r="BZ242" s="165"/>
      <c r="CA242" s="165"/>
      <c r="CB242" s="165"/>
      <c r="CC242" s="165"/>
      <c r="CD242" s="165"/>
      <c r="CE242" s="165"/>
      <c r="CF242" s="88"/>
      <c r="CG242" s="88"/>
      <c r="CH242" s="88"/>
      <c r="CI242" s="29"/>
      <c r="CJ242" s="2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29"/>
      <c r="DD242" s="2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29"/>
      <c r="DX242" s="2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29"/>
      <c r="ER242" s="29"/>
      <c r="ES242" s="29"/>
      <c r="ET242" s="29"/>
      <c r="EU242" s="29"/>
      <c r="EV242" s="29"/>
      <c r="EW242" s="29"/>
      <c r="EX242" s="29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29"/>
      <c r="FJ242" s="29"/>
      <c r="FK242" s="29"/>
      <c r="FL242" s="29"/>
      <c r="FM242" s="29"/>
      <c r="FN242" s="29"/>
      <c r="FO242" s="29"/>
      <c r="FP242" s="29"/>
      <c r="FQ242" s="29"/>
      <c r="FR242" s="29"/>
      <c r="FS242" s="29"/>
      <c r="FT242" s="29"/>
      <c r="FU242" s="29"/>
      <c r="FV242" s="29"/>
      <c r="FW242" s="29"/>
      <c r="FX242" s="29"/>
      <c r="FY242" s="29"/>
      <c r="FZ242" s="29"/>
      <c r="GA242" s="29"/>
      <c r="GB242" s="29"/>
      <c r="GC242" s="29"/>
      <c r="GD242" s="29"/>
      <c r="GE242" s="29"/>
      <c r="GF242" s="29"/>
      <c r="GG242" s="29"/>
      <c r="GH242" s="29"/>
      <c r="GI242" s="29"/>
      <c r="GJ242" s="29"/>
      <c r="GK242" s="29"/>
      <c r="GL242" s="29"/>
      <c r="GM242" s="29"/>
      <c r="GN242" s="29"/>
      <c r="GO242" s="29"/>
      <c r="GP242" s="29"/>
      <c r="GQ242" s="29"/>
      <c r="GR242" s="29"/>
      <c r="GS242" s="29"/>
      <c r="GT242" s="29"/>
      <c r="GU242" s="29"/>
      <c r="GV242" s="29"/>
      <c r="GW242" s="29"/>
      <c r="GX242" s="29"/>
      <c r="GY242" s="29"/>
      <c r="GZ242" s="29"/>
      <c r="HA242" s="29"/>
      <c r="HB242" s="29"/>
      <c r="HC242" s="29"/>
      <c r="HD242" s="29"/>
      <c r="HE242" s="29"/>
      <c r="HF242" s="29"/>
      <c r="HG242" s="29"/>
      <c r="HH242" s="29"/>
      <c r="HI242" s="29"/>
      <c r="HJ242" s="29"/>
      <c r="HK242" s="29"/>
      <c r="HL242" s="29"/>
      <c r="HM242" s="29"/>
      <c r="HN242" s="29"/>
      <c r="HO242" s="29"/>
      <c r="HP242" s="29"/>
      <c r="HQ242" s="29"/>
      <c r="HR242" s="29"/>
    </row>
    <row r="243" spans="1:226" s="525" customFormat="1">
      <c r="A243" s="516"/>
      <c r="B243" s="519" t="s">
        <v>111</v>
      </c>
      <c r="C243" s="520"/>
      <c r="D243" s="521"/>
      <c r="E243" s="521"/>
      <c r="F243" s="522"/>
      <c r="G243" s="521" t="b">
        <f>AND(ROUND(G238,4)=ROUND(IS!G7,4),ROUND(G239,4)=ROUND(CF!G11,4),ROUND(G241,4)=ROUND(IS!G24,4))</f>
        <v>1</v>
      </c>
      <c r="H243" s="521" t="b">
        <f>AND(ROUND(H238,4)=ROUND(IS!H7,4),ROUND(H239,4)=ROUND(CF!H11,4),ROUND(H241,4)=ROUND(IS!H24,4))</f>
        <v>1</v>
      </c>
      <c r="I243" s="521" t="b">
        <f>AND(ROUND(I238,4)=ROUND(IS!I7,4),ROUND(I239,4)=ROUND(CF!I11,4),ROUND(I241,4)=ROUND(IS!I24,4))</f>
        <v>1</v>
      </c>
      <c r="J243" s="521" t="b">
        <f>AND(ROUND(J238,4)=ROUND(IS!J7,4),ROUND(J239,4)=ROUND(CF!J11,4),ROUND(J241,4)=ROUND(IS!J24,4))</f>
        <v>1</v>
      </c>
      <c r="K243" s="520" t="b">
        <f>AND(ROUND(K238,4)=ROUND(IS!K7,4),ROUND(K239,4)=ROUND(CF!K11,4),ROUND(K241,4)=ROUND(IS!K24,4))</f>
        <v>1</v>
      </c>
      <c r="L243" s="521" t="b">
        <f>AND(ROUND(L238,4)=ROUND(IS!L7,4),ROUND(L239,4)=ROUND(CF!L11,4),ROUND(L241,4)=ROUND(IS!L24,4))</f>
        <v>1</v>
      </c>
      <c r="M243" s="521" t="b">
        <f>AND(ROUND(M238,4)=ROUND(IS!M7,4),ROUND(M239,4)=ROUND(CF!M11,4),ROUND(M241,4)=ROUND(IS!M24,4))</f>
        <v>1</v>
      </c>
      <c r="N243" s="522" t="b">
        <f>AND(ROUND(N238,4)=ROUND(IS!N7,4),ROUND(N239,4)=ROUND(CF!N11,4),ROUND(N241,4)=ROUND(IS!N24,4))</f>
        <v>1</v>
      </c>
      <c r="O243" s="521" t="b">
        <f>AND(ROUND(O238,4)=ROUND(IS!O7,4),ROUND(O239,4)=ROUND(CF!O11,4),ROUND(O241,4)=ROUND(IS!O24,4))</f>
        <v>1</v>
      </c>
      <c r="P243" s="521" t="b">
        <f>AND(ROUND(P238,4)=ROUND(IS!P7,4),ROUND(P239,4)=ROUND(CF!P11,4),ROUND(P241,4)=ROUND(IS!P24,4))</f>
        <v>1</v>
      </c>
      <c r="Q243" s="521" t="b">
        <f>AND(ROUND(Q238,4)=ROUND(IS!Q7,4),ROUND(Q239,4)=ROUND(CF!Q11,4),ROUND(Q241,4)=ROUND(IS!Q24,4))</f>
        <v>1</v>
      </c>
      <c r="R243" s="521" t="b">
        <f>AND(ROUND(R238,4)=ROUND(IS!R7,4),ROUND(R239,4)=ROUND(CF!R11,4),ROUND(R241,4)=ROUND(IS!R24,4))</f>
        <v>1</v>
      </c>
      <c r="S243" s="520" t="b">
        <f>AND(ROUND(S238,4)=ROUND(IS!S7,4),ROUND(S239,4)=ROUND(CF!S11,4),ROUND(S241,4)=ROUND(IS!S24,4))</f>
        <v>1</v>
      </c>
      <c r="T243" s="521" t="b">
        <f>AND(ROUND(T238,4)=ROUND(IS!T7,4),ROUND(T239,4)=ROUND(CF!T11,4),ROUND(T241,4)=ROUND(IS!T24,4))</f>
        <v>1</v>
      </c>
      <c r="U243" s="521" t="b">
        <f>AND(ROUND(U238,4)=ROUND(IS!U7,4),ROUND(U239,4)=ROUND(CF!U11,4),ROUND(U241,4)=ROUND(IS!U24,4))</f>
        <v>1</v>
      </c>
      <c r="V243" s="522" t="b">
        <f>AND(ROUND(V238,4)=ROUND(IS!V7,4),ROUND(V239,4)=ROUND(CF!V11,4),ROUND(V241,4)=ROUND(IS!V24,4))</f>
        <v>1</v>
      </c>
      <c r="W243" s="521" t="b">
        <f>AND(ROUND(W238,4)=ROUND(IS!W7,4),ROUND(W239,4)=ROUND(CF!W11,4),ROUND(W241,4)=ROUND(IS!W24,4))</f>
        <v>1</v>
      </c>
      <c r="X243" s="521" t="b">
        <f>AND(ROUND(X238,4)=ROUND(IS!X7,4),ROUND(X239,4)=ROUND(CF!X11,4),ROUND(X241,4)=ROUND(IS!X24,4))</f>
        <v>1</v>
      </c>
      <c r="Y243" s="521" t="b">
        <f>AND(ROUND(Y238,4)=ROUND(IS!Y7,4),ROUND(Y239,4)=ROUND(CF!Y11,4),ROUND(Y241,4)=ROUND(IS!Y24,4))</f>
        <v>1</v>
      </c>
      <c r="Z243" s="521" t="b">
        <f>AND(ROUND(Z238,4)=ROUND(IS!Z7,4),ROUND(Z239,4)=ROUND(CF!Z11,4),ROUND(Z241,4)=ROUND(IS!Z24,4))</f>
        <v>1</v>
      </c>
      <c r="AA243" s="520" t="b">
        <f>AND(ROUND(AA238,4)=ROUND(IS!AA7,4),ROUND(AA239,4)=ROUND(CF!AA11,4),ROUND(AA241,4)=ROUND(IS!AA24,4))</f>
        <v>1</v>
      </c>
      <c r="AB243" s="521" t="b">
        <f>AND(ROUND(AB238,4)=ROUND(IS!AB7,4),ROUND(AB239,4)=ROUND(CF!AB11,4),ROUND(AB241,4)=ROUND(IS!AB24,4))</f>
        <v>1</v>
      </c>
      <c r="AC243" s="521" t="b">
        <f>AND(ROUND(AC238,4)=ROUND(IS!AC7,4),ROUND(AC239,4)=ROUND(CF!AC11,4),ROUND(AC241,4)=ROUND(IS!AC24,4))</f>
        <v>1</v>
      </c>
      <c r="AD243" s="522" t="b">
        <f>AND(ROUND(AD238,4)=ROUND(IS!AD7,4),ROUND(AD239,4)=ROUND(CF!AD11,4),ROUND(AD241,4)=ROUND(IS!AD24,4))</f>
        <v>1</v>
      </c>
      <c r="AE243" s="521" t="b">
        <f>AND(ROUND(AE238,4)=ROUND(IS!AE7,4),ROUND(AE239,4)=ROUND(CF!AE11,4),ROUND(AE241,4)=ROUND(IS!AE24,4))</f>
        <v>1</v>
      </c>
      <c r="AF243" s="521" t="b">
        <f>AND(ROUND(AF238,4)=ROUND(IS!AF7,4),ROUND(AF239,4)=ROUND(CF!AF11,4),ROUND(AF241,4)=ROUND(IS!AF24,4))</f>
        <v>1</v>
      </c>
      <c r="AG243" s="521" t="b">
        <f>AND(ROUND(AG238,4)=ROUND(IS!AG7,4),ROUND(AG239,4)=ROUND(CF!AG11,4),ROUND(AG241,4)=ROUND(IS!AG24,4))</f>
        <v>1</v>
      </c>
      <c r="AH243" s="521" t="b">
        <f>AND(ROUND(AH238,4)=ROUND(IS!AH7,4),ROUND(AH239,4)=ROUND(CF!AH11,4),ROUND(AH241,4)=ROUND(IS!AH24,4))</f>
        <v>1</v>
      </c>
      <c r="AI243" s="520" t="b">
        <f>AND(ROUND(AI238,4)=ROUND(IS!AI7,4),ROUND(AI239,4)=ROUND(CF!AI11,4),ROUND(AI241,4)=ROUND(IS!AI24,4))</f>
        <v>1</v>
      </c>
      <c r="AJ243" s="521" t="b">
        <f>AND(ROUND(AJ238,4)=ROUND(IS!AJ7,4),ROUND(AJ239,4)=ROUND(CF!AJ11,4),ROUND(AJ241,4)=ROUND(IS!AJ24,4))</f>
        <v>1</v>
      </c>
      <c r="AK243" s="521" t="b">
        <f>AND(ROUND(AK238,4)=ROUND(IS!AK7,4),ROUND(AK239,4)=ROUND(CF!AK11,4),ROUND(AK241,4)=ROUND(IS!AK24,4))</f>
        <v>1</v>
      </c>
      <c r="AL243" s="522" t="b">
        <f>AND(ROUND(AL238,4)=ROUND(IS!AL7,4),ROUND(AL239,4)=ROUND(CF!AL11,4),ROUND(AL241,4)=ROUND(IS!AL24,4))</f>
        <v>1</v>
      </c>
      <c r="AM243" s="520" t="b">
        <f>AND(ROUND(AM238,4)=ROUND(IS!AM7,4),ROUND(AM239,4)=ROUND(CF!AM11,4),ROUND(AM241,4)=ROUND(IS!AM24,4))</f>
        <v>1</v>
      </c>
      <c r="AN243" s="521" t="b">
        <f>AND(ROUND(AN238,4)=ROUND(IS!AN7,4),ROUND(AN239,4)=ROUND(CF!AN11,4),ROUND(AN241,4)=ROUND(IS!AN24,4))</f>
        <v>1</v>
      </c>
      <c r="AO243" s="521" t="b">
        <f>AND(ROUND(AO238,4)=ROUND(IS!AO7,4),ROUND(AO239,4)=ROUND(CF!AO11,4),ROUND(AO241,4)=ROUND(IS!AO24,4))</f>
        <v>1</v>
      </c>
      <c r="AP243" s="522" t="b">
        <f>AND(ROUND(AP238,4)=ROUND(IS!AP7,4),ROUND(AP239,4)=ROUND(CF!AP11,4),ROUND(AP241,4)=ROUND(IS!AP24,4))</f>
        <v>1</v>
      </c>
      <c r="AQ243" s="520" t="b">
        <f>AND(ROUND(AQ238,4)=ROUND(IS!AQ7,4),ROUND(AQ239,4)=ROUND(CF!AQ11,4),ROUND(AQ241,4)=ROUND(IS!AQ24,4))</f>
        <v>1</v>
      </c>
      <c r="AR243" s="521" t="b">
        <f>AND(ROUND(AR238,4)=ROUND(IS!AR7,4),ROUND(AR239,4)=ROUND(CF!AR11,4),ROUND(AR241,4)=ROUND(IS!AR24,4))</f>
        <v>1</v>
      </c>
      <c r="AS243" s="521" t="b">
        <f>AND(ROUND(AS238,4)=ROUND(IS!AS7,4),ROUND(AS239,4)=ROUND(CF!AS11,4),ROUND(AS241,4)=ROUND(IS!AS24,4))</f>
        <v>1</v>
      </c>
      <c r="AT243" s="522" t="b">
        <f>AND(ROUND(AT238,4)=ROUND(IS!AT7,4),ROUND(AT239,4)=ROUND(CF!AT11,4),ROUND(AT241,4)=ROUND(IS!AT24,4))</f>
        <v>1</v>
      </c>
      <c r="AU243" s="520" t="b">
        <f>AND(ROUND(AU238,4)=ROUND(IS!AU7,4),ROUND(AU239,4)=ROUND(CF!AU11,4),ROUND(AU241,4)=ROUND(IS!AU24,4))</f>
        <v>1</v>
      </c>
      <c r="AV243" s="521" t="b">
        <f>AND(ROUND(AV238,4)=ROUND(IS!AV7,4),ROUND(AV239,4)=ROUND(CF!AV11,4),ROUND(AV241,4)=ROUND(IS!AV24,4))</f>
        <v>1</v>
      </c>
      <c r="AW243" s="755" t="b">
        <f>AND(ROUND(AW238,4)=ROUND(IS!AW7,4),ROUND(AW239,4)=ROUND(CF!AW11,4),ROUND(AW241,4)=ROUND(IS!AW24,4))</f>
        <v>1</v>
      </c>
      <c r="AX243" s="828" t="b">
        <f>AND(ROUND(AX238,4)=ROUND(IS!AX7,4),ROUND(AX239,4)=ROUND(CF!AX11,4),ROUND(AX241,4)=ROUND(IS!AX24,4))</f>
        <v>1</v>
      </c>
      <c r="AY243" s="520" t="b">
        <f>AND(ROUND(AY238,4)=ROUND(IS!AY7,4),ROUND(AY239,4)=ROUND(CF!AY11,4),ROUND(AY241,4)=ROUND(IS!AY24,4))</f>
        <v>1</v>
      </c>
      <c r="AZ243" s="755" t="b">
        <f>AND(ROUND(AZ238,4)=ROUND(IS!AZ7,4),ROUND(AZ239,4)=ROUND(CF!AZ11,4),ROUND(AZ241,4)=ROUND(IS!AZ24,4))</f>
        <v>1</v>
      </c>
      <c r="BA243" s="755" t="b">
        <f>AND(ROUND(BA238,4)=ROUND(IS!BA7,4),ROUND(BA239,4)=ROUND(CF!BA11,4),ROUND(BA241,4)=ROUND(IS!BA24,4))</f>
        <v>1</v>
      </c>
      <c r="BB243" s="828" t="b">
        <f>AND(ROUND(BB238,4)=ROUND(IS!BB7,4),ROUND(BB239,4)=ROUND(CF!BB11,4),ROUND(BB241,4)=ROUND(IS!BB24,4))</f>
        <v>1</v>
      </c>
      <c r="BC243" s="520"/>
      <c r="BD243" s="755"/>
      <c r="BE243" s="66"/>
      <c r="BF243" s="308"/>
      <c r="BG243" s="520"/>
      <c r="BH243" s="755"/>
      <c r="BI243" s="66"/>
      <c r="BJ243" s="308"/>
      <c r="BK243" s="520"/>
      <c r="BL243" s="755"/>
      <c r="BM243" s="66"/>
      <c r="BN243" s="308"/>
      <c r="BO243" s="183"/>
      <c r="BP243" s="523"/>
      <c r="BQ243" s="524"/>
      <c r="BR243" s="524"/>
      <c r="BS243" s="524"/>
      <c r="BT243" s="524"/>
      <c r="BU243" s="524"/>
      <c r="BV243" s="524"/>
      <c r="BW243" s="524"/>
      <c r="BX243" s="524"/>
      <c r="BY243" s="524"/>
      <c r="BZ243" s="523"/>
      <c r="CA243" s="523"/>
      <c r="CB243" s="523"/>
      <c r="CC243" s="523"/>
      <c r="CD243" s="523"/>
      <c r="CE243" s="523"/>
      <c r="CF243" s="183"/>
      <c r="CG243" s="183"/>
      <c r="CH243" s="183"/>
      <c r="CI243" s="68"/>
      <c r="CJ243" s="68"/>
      <c r="CK243" s="68"/>
      <c r="CL243" s="68"/>
      <c r="CM243" s="68"/>
      <c r="CN243" s="68"/>
      <c r="CO243" s="68"/>
      <c r="CP243" s="68"/>
      <c r="CQ243" s="68"/>
      <c r="CR243" s="68"/>
      <c r="CS243" s="68"/>
      <c r="CT243" s="68"/>
      <c r="CU243" s="68"/>
      <c r="CV243" s="68"/>
      <c r="CW243" s="68"/>
      <c r="CX243" s="68"/>
      <c r="CY243" s="68"/>
      <c r="CZ243" s="68"/>
      <c r="DA243" s="68"/>
      <c r="DB243" s="68"/>
      <c r="DC243" s="68"/>
      <c r="DD243" s="68"/>
      <c r="DE243" s="68"/>
      <c r="DF243" s="68"/>
      <c r="DG243" s="68"/>
      <c r="DH243" s="68"/>
      <c r="DI243" s="68"/>
      <c r="DJ243" s="68"/>
      <c r="DK243" s="68"/>
      <c r="DL243" s="68"/>
      <c r="DM243" s="68"/>
      <c r="DN243" s="68"/>
      <c r="DO243" s="68"/>
      <c r="DP243" s="68"/>
      <c r="DQ243" s="68"/>
      <c r="DR243" s="68"/>
      <c r="DS243" s="68"/>
      <c r="DT243" s="68"/>
      <c r="DU243" s="68"/>
      <c r="DV243" s="68"/>
      <c r="DW243" s="68"/>
      <c r="DX243" s="68"/>
      <c r="DY243" s="68"/>
      <c r="DZ243" s="68"/>
      <c r="EA243" s="68"/>
      <c r="EB243" s="68"/>
      <c r="EC243" s="68"/>
      <c r="ED243" s="68"/>
      <c r="EE243" s="68"/>
      <c r="EF243" s="68"/>
      <c r="EG243" s="68"/>
      <c r="EH243" s="68"/>
      <c r="EI243" s="68"/>
      <c r="EJ243" s="68"/>
      <c r="EK243" s="68"/>
      <c r="EL243" s="68"/>
      <c r="EM243" s="68"/>
      <c r="EN243" s="68"/>
      <c r="EO243" s="68"/>
      <c r="EP243" s="68"/>
      <c r="EQ243" s="68"/>
      <c r="ER243" s="68"/>
      <c r="ES243" s="68"/>
      <c r="ET243" s="68"/>
      <c r="EU243" s="68"/>
      <c r="EV243" s="68"/>
      <c r="EW243" s="68"/>
      <c r="EX243" s="68"/>
      <c r="EY243" s="68"/>
      <c r="EZ243" s="68"/>
      <c r="FA243" s="68"/>
      <c r="FB243" s="68"/>
      <c r="FC243" s="68"/>
      <c r="FD243" s="68"/>
      <c r="FE243" s="68"/>
      <c r="FF243" s="68"/>
      <c r="FG243" s="68"/>
      <c r="FH243" s="68"/>
      <c r="FI243" s="68"/>
      <c r="FJ243" s="68"/>
      <c r="FK243" s="68"/>
      <c r="FL243" s="68"/>
      <c r="FM243" s="68"/>
      <c r="FN243" s="68"/>
      <c r="FO243" s="68"/>
      <c r="FP243" s="68"/>
      <c r="FQ243" s="68"/>
      <c r="FR243" s="68"/>
      <c r="FS243" s="68"/>
      <c r="FT243" s="68"/>
      <c r="FU243" s="68"/>
      <c r="FV243" s="68"/>
      <c r="FW243" s="68"/>
      <c r="FX243" s="68"/>
      <c r="FY243" s="68"/>
      <c r="FZ243" s="68"/>
      <c r="GA243" s="68"/>
      <c r="GB243" s="68"/>
      <c r="GC243" s="68"/>
      <c r="GD243" s="68"/>
      <c r="GE243" s="68"/>
      <c r="GF243" s="68"/>
      <c r="GG243" s="68"/>
      <c r="GH243" s="68"/>
      <c r="GI243" s="68"/>
      <c r="GJ243" s="68"/>
      <c r="GK243" s="68"/>
      <c r="GL243" s="68"/>
      <c r="GM243" s="68"/>
      <c r="GN243" s="68"/>
      <c r="GO243" s="68"/>
      <c r="GP243" s="68"/>
      <c r="GQ243" s="68"/>
      <c r="GR243" s="68"/>
      <c r="GS243" s="68"/>
      <c r="GT243" s="68"/>
      <c r="GU243" s="68"/>
      <c r="GV243" s="68"/>
      <c r="GW243" s="68"/>
      <c r="GX243" s="68"/>
      <c r="GY243" s="68"/>
      <c r="GZ243" s="68"/>
      <c r="HA243" s="68"/>
      <c r="HB243" s="68"/>
      <c r="HC243" s="68"/>
      <c r="HD243" s="68"/>
      <c r="HE243" s="68"/>
      <c r="HF243" s="68"/>
      <c r="HG243" s="68"/>
      <c r="HH243" s="68"/>
      <c r="HI243" s="68"/>
      <c r="HJ243" s="68"/>
      <c r="HK243" s="68"/>
      <c r="HL243" s="68"/>
      <c r="HM243" s="68"/>
      <c r="HN243" s="68"/>
      <c r="HO243" s="68"/>
      <c r="HP243" s="68"/>
      <c r="HQ243" s="68"/>
      <c r="HR243" s="68"/>
    </row>
    <row r="244" spans="1:226" s="46" customFormat="1">
      <c r="A244" s="84"/>
      <c r="B244" s="9" t="s">
        <v>307</v>
      </c>
      <c r="C244" s="309"/>
      <c r="D244" s="50"/>
      <c r="E244" s="50"/>
      <c r="F244" s="310"/>
      <c r="G244" s="50">
        <f t="shared" ref="G244:AV244" si="1155">G238-G6</f>
        <v>0</v>
      </c>
      <c r="H244" s="50">
        <f t="shared" si="1155"/>
        <v>0</v>
      </c>
      <c r="I244" s="50">
        <f t="shared" si="1155"/>
        <v>0</v>
      </c>
      <c r="J244" s="50">
        <f t="shared" si="1155"/>
        <v>0</v>
      </c>
      <c r="K244" s="309">
        <f t="shared" si="1155"/>
        <v>0</v>
      </c>
      <c r="L244" s="50">
        <f t="shared" si="1155"/>
        <v>0</v>
      </c>
      <c r="M244" s="50">
        <f t="shared" si="1155"/>
        <v>0</v>
      </c>
      <c r="N244" s="310">
        <f t="shared" si="1155"/>
        <v>0</v>
      </c>
      <c r="O244" s="50">
        <f t="shared" si="1155"/>
        <v>0</v>
      </c>
      <c r="P244" s="50">
        <f t="shared" si="1155"/>
        <v>0</v>
      </c>
      <c r="Q244" s="50">
        <f t="shared" si="1155"/>
        <v>0</v>
      </c>
      <c r="R244" s="50">
        <f t="shared" si="1155"/>
        <v>0</v>
      </c>
      <c r="S244" s="309">
        <f t="shared" si="1155"/>
        <v>0</v>
      </c>
      <c r="T244" s="50">
        <f t="shared" si="1155"/>
        <v>0</v>
      </c>
      <c r="U244" s="50">
        <f t="shared" si="1155"/>
        <v>0</v>
      </c>
      <c r="V244" s="310">
        <f t="shared" si="1155"/>
        <v>0</v>
      </c>
      <c r="W244" s="50">
        <f t="shared" si="1155"/>
        <v>0</v>
      </c>
      <c r="X244" s="50">
        <f t="shared" si="1155"/>
        <v>0</v>
      </c>
      <c r="Y244" s="50">
        <f t="shared" si="1155"/>
        <v>0</v>
      </c>
      <c r="Z244" s="50">
        <f t="shared" si="1155"/>
        <v>0</v>
      </c>
      <c r="AA244" s="309">
        <f t="shared" si="1155"/>
        <v>0</v>
      </c>
      <c r="AB244" s="50">
        <f t="shared" si="1155"/>
        <v>0</v>
      </c>
      <c r="AC244" s="50">
        <f t="shared" si="1155"/>
        <v>0</v>
      </c>
      <c r="AD244" s="310">
        <f t="shared" si="1155"/>
        <v>0</v>
      </c>
      <c r="AE244" s="50">
        <f t="shared" si="1155"/>
        <v>0</v>
      </c>
      <c r="AF244" s="50">
        <f t="shared" si="1155"/>
        <v>0</v>
      </c>
      <c r="AG244" s="50">
        <f t="shared" si="1155"/>
        <v>0</v>
      </c>
      <c r="AH244" s="50">
        <f t="shared" si="1155"/>
        <v>0</v>
      </c>
      <c r="AI244" s="309">
        <f t="shared" si="1155"/>
        <v>0</v>
      </c>
      <c r="AJ244" s="50">
        <f t="shared" si="1155"/>
        <v>0</v>
      </c>
      <c r="AK244" s="50">
        <f t="shared" si="1155"/>
        <v>0</v>
      </c>
      <c r="AL244" s="342">
        <f t="shared" si="1155"/>
        <v>0</v>
      </c>
      <c r="AM244" s="309">
        <f t="shared" si="1155"/>
        <v>0</v>
      </c>
      <c r="AN244" s="50">
        <f t="shared" si="1155"/>
        <v>0</v>
      </c>
      <c r="AO244" s="50">
        <f t="shared" si="1155"/>
        <v>0</v>
      </c>
      <c r="AP244" s="342">
        <f t="shared" si="1155"/>
        <v>0</v>
      </c>
      <c r="AQ244" s="309">
        <f t="shared" si="1155"/>
        <v>0</v>
      </c>
      <c r="AR244" s="50">
        <f t="shared" si="1155"/>
        <v>0</v>
      </c>
      <c r="AS244" s="182">
        <f t="shared" si="1155"/>
        <v>0</v>
      </c>
      <c r="AT244" s="342">
        <f t="shared" si="1155"/>
        <v>0</v>
      </c>
      <c r="AU244" s="309">
        <f t="shared" si="1155"/>
        <v>0</v>
      </c>
      <c r="AV244" s="50">
        <f t="shared" si="1155"/>
        <v>0</v>
      </c>
      <c r="AW244" s="756">
        <f t="shared" ref="AW244:AZ244" si="1156">AW238-AW6</f>
        <v>0</v>
      </c>
      <c r="AX244" s="803">
        <f t="shared" si="1156"/>
        <v>0</v>
      </c>
      <c r="AY244" s="309">
        <f t="shared" si="1156"/>
        <v>0</v>
      </c>
      <c r="AZ244" s="756">
        <f t="shared" si="1156"/>
        <v>0</v>
      </c>
      <c r="BA244" s="756">
        <f t="shared" ref="BA244:BB244" si="1157">BA238-BA6</f>
        <v>0</v>
      </c>
      <c r="BB244" s="803">
        <f t="shared" si="1157"/>
        <v>0</v>
      </c>
      <c r="BC244" s="309"/>
      <c r="BD244" s="756"/>
      <c r="BE244" s="57"/>
      <c r="BF244" s="293"/>
      <c r="BG244" s="309"/>
      <c r="BH244" s="756"/>
      <c r="BI244" s="57"/>
      <c r="BJ244" s="293"/>
      <c r="BK244" s="309"/>
      <c r="BL244" s="756"/>
      <c r="BM244" s="57"/>
      <c r="BN244" s="293"/>
      <c r="BO244" s="89"/>
      <c r="BP244" s="89"/>
      <c r="BQ244" s="89"/>
      <c r="BR244" s="89"/>
      <c r="BS244" s="89"/>
      <c r="BT244" s="89"/>
      <c r="BU244" s="182"/>
      <c r="BV244" s="182"/>
      <c r="BW244" s="182"/>
      <c r="BX244" s="182"/>
      <c r="BY244" s="89"/>
      <c r="BZ244" s="89"/>
      <c r="CA244" s="89"/>
      <c r="CB244" s="89"/>
      <c r="CC244" s="89"/>
      <c r="CD244" s="89"/>
      <c r="CE244" s="89"/>
      <c r="CF244" s="88"/>
      <c r="CG244" s="88"/>
      <c r="CH244" s="88"/>
      <c r="CI244" s="29"/>
      <c r="CJ244" s="29"/>
      <c r="CK244" s="29"/>
      <c r="CL244" s="29"/>
      <c r="CM244" s="29"/>
      <c r="CN244" s="29"/>
      <c r="CO244" s="29"/>
      <c r="CP244" s="29"/>
      <c r="CQ244" s="29"/>
      <c r="CR244" s="29"/>
      <c r="CS244" s="29"/>
      <c r="CT244" s="29"/>
      <c r="CU244" s="29"/>
      <c r="CV244" s="29"/>
      <c r="CW244" s="29"/>
      <c r="CX244" s="29"/>
      <c r="CY244" s="29"/>
      <c r="CZ244" s="29"/>
      <c r="DA244" s="29"/>
      <c r="DB244" s="29"/>
      <c r="DC244" s="29"/>
      <c r="DD244" s="29"/>
      <c r="DE244" s="29"/>
      <c r="DF244" s="29"/>
      <c r="DG244" s="29"/>
      <c r="DH244" s="29"/>
      <c r="DI244" s="29"/>
      <c r="DJ244" s="29"/>
      <c r="DK244" s="29"/>
      <c r="DL244" s="29"/>
      <c r="DM244" s="29"/>
      <c r="DN244" s="29"/>
      <c r="DO244" s="29"/>
      <c r="DP244" s="29"/>
      <c r="DQ244" s="29"/>
      <c r="DR244" s="29"/>
      <c r="DS244" s="29"/>
      <c r="DT244" s="29"/>
      <c r="DU244" s="29"/>
      <c r="DV244" s="29"/>
      <c r="DW244" s="29"/>
      <c r="DX244" s="29"/>
      <c r="DY244" s="29"/>
      <c r="DZ244" s="29"/>
      <c r="EA244" s="29"/>
      <c r="EB244" s="29"/>
      <c r="EC244" s="29"/>
      <c r="ED244" s="29"/>
      <c r="EE244" s="29"/>
      <c r="EF244" s="29"/>
      <c r="EG244" s="29"/>
      <c r="EH244" s="29"/>
      <c r="EI244" s="29"/>
      <c r="EJ244" s="29"/>
      <c r="EK244" s="29"/>
      <c r="EL244" s="29"/>
      <c r="EM244" s="29"/>
      <c r="EN244" s="29"/>
      <c r="EO244" s="29"/>
      <c r="EP244" s="29"/>
      <c r="EQ244" s="29"/>
      <c r="ER244" s="29"/>
      <c r="ES244" s="29"/>
      <c r="ET244" s="29"/>
      <c r="EU244" s="29"/>
      <c r="EV244" s="29"/>
      <c r="EW244" s="29"/>
      <c r="EX244" s="29"/>
      <c r="EY244" s="29"/>
      <c r="EZ244" s="29"/>
      <c r="FA244" s="29"/>
      <c r="FB244" s="29"/>
      <c r="FC244" s="29"/>
      <c r="FD244" s="29"/>
      <c r="FE244" s="29"/>
      <c r="FF244" s="29"/>
      <c r="FG244" s="29"/>
      <c r="FH244" s="29"/>
      <c r="FI244" s="29"/>
      <c r="FJ244" s="29"/>
      <c r="FK244" s="29"/>
      <c r="FL244" s="29"/>
      <c r="FM244" s="29"/>
      <c r="FN244" s="29"/>
      <c r="FO244" s="29"/>
      <c r="FP244" s="29"/>
      <c r="FQ244" s="29"/>
      <c r="FR244" s="29"/>
      <c r="FS244" s="29"/>
      <c r="FT244" s="29"/>
      <c r="FU244" s="29"/>
      <c r="FV244" s="29"/>
      <c r="FW244" s="29"/>
      <c r="FX244" s="29"/>
      <c r="FY244" s="29"/>
      <c r="FZ244" s="29"/>
      <c r="GA244" s="29"/>
      <c r="GB244" s="29"/>
      <c r="GC244" s="29"/>
      <c r="GD244" s="29"/>
      <c r="GE244" s="29"/>
      <c r="GF244" s="29"/>
      <c r="GG244" s="29"/>
      <c r="GH244" s="29"/>
      <c r="GI244" s="29"/>
      <c r="GJ244" s="29"/>
      <c r="GK244" s="29"/>
      <c r="GL244" s="29"/>
      <c r="GM244" s="29"/>
      <c r="GN244" s="29"/>
      <c r="GO244" s="29"/>
      <c r="GP244" s="29"/>
      <c r="GQ244" s="29"/>
      <c r="GR244" s="29"/>
      <c r="GS244" s="29"/>
      <c r="GT244" s="29"/>
      <c r="GU244" s="29"/>
      <c r="GV244" s="29"/>
      <c r="GW244" s="29"/>
      <c r="GX244" s="29"/>
      <c r="GY244" s="29"/>
      <c r="GZ244" s="29"/>
      <c r="HA244" s="29"/>
      <c r="HB244" s="29"/>
      <c r="HC244" s="29"/>
      <c r="HD244" s="29"/>
      <c r="HE244" s="29"/>
      <c r="HF244" s="29"/>
      <c r="HG244" s="29"/>
      <c r="HH244" s="29"/>
      <c r="HI244" s="29"/>
      <c r="HJ244" s="29"/>
      <c r="HK244" s="29"/>
      <c r="HL244" s="29"/>
      <c r="HM244" s="29"/>
      <c r="HN244" s="29"/>
      <c r="HO244" s="29"/>
      <c r="HP244" s="29"/>
      <c r="HQ244" s="29"/>
      <c r="HR244" s="29"/>
    </row>
    <row r="245" spans="1:226" s="46" customFormat="1">
      <c r="A245" s="84"/>
      <c r="B245" s="9"/>
      <c r="C245" s="309"/>
      <c r="D245" s="50"/>
      <c r="E245" s="50"/>
      <c r="F245" s="310"/>
      <c r="G245" s="50"/>
      <c r="H245" s="50"/>
      <c r="I245" s="50"/>
      <c r="J245" s="50"/>
      <c r="K245" s="309"/>
      <c r="L245" s="50"/>
      <c r="M245" s="50"/>
      <c r="N245" s="310"/>
      <c r="O245" s="50"/>
      <c r="P245" s="50"/>
      <c r="Q245" s="50"/>
      <c r="R245" s="50"/>
      <c r="S245" s="309"/>
      <c r="T245" s="50"/>
      <c r="U245" s="50"/>
      <c r="V245" s="310"/>
      <c r="W245" s="50"/>
      <c r="X245" s="50"/>
      <c r="Y245" s="50"/>
      <c r="Z245" s="50"/>
      <c r="AA245" s="309"/>
      <c r="AB245" s="50"/>
      <c r="AC245" s="50"/>
      <c r="AD245" s="310"/>
      <c r="AE245" s="50"/>
      <c r="AF245" s="50"/>
      <c r="AG245" s="50"/>
      <c r="AH245" s="50"/>
      <c r="AI245" s="309"/>
      <c r="AJ245" s="50"/>
      <c r="AK245" s="50"/>
      <c r="AL245" s="342"/>
      <c r="AM245" s="309"/>
      <c r="AN245" s="50"/>
      <c r="AO245" s="50"/>
      <c r="AP245" s="342"/>
      <c r="AQ245" s="50"/>
      <c r="AR245" s="50"/>
      <c r="AS245" s="50"/>
      <c r="AT245" s="342"/>
      <c r="AU245" s="50"/>
      <c r="AV245" s="50"/>
      <c r="AW245" s="756"/>
      <c r="AX245" s="803"/>
      <c r="AY245" s="756"/>
      <c r="AZ245" s="756"/>
      <c r="BA245" s="50"/>
      <c r="BB245" s="803"/>
      <c r="BC245" s="756"/>
      <c r="BD245" s="756"/>
      <c r="BE245" s="50"/>
      <c r="BF245" s="50"/>
      <c r="BG245" s="756"/>
      <c r="BH245" s="756"/>
      <c r="BI245" s="50"/>
      <c r="BJ245" s="50"/>
      <c r="BK245" s="756"/>
      <c r="BL245" s="756"/>
      <c r="BM245" s="50"/>
      <c r="BN245" s="50"/>
      <c r="BO245" s="89"/>
      <c r="BP245" s="89"/>
      <c r="BQ245" s="89"/>
      <c r="BR245" s="89"/>
      <c r="BS245" s="89"/>
      <c r="BT245" s="89"/>
      <c r="BU245" s="182"/>
      <c r="BV245" s="182"/>
      <c r="BW245" s="182"/>
      <c r="BX245" s="182"/>
      <c r="BY245" s="89"/>
      <c r="BZ245" s="622"/>
      <c r="CA245" s="89"/>
      <c r="CB245" s="89"/>
      <c r="CC245" s="89"/>
      <c r="CD245" s="89"/>
      <c r="CE245" s="89"/>
      <c r="CF245" s="88"/>
      <c r="CG245" s="88"/>
      <c r="CH245" s="88"/>
      <c r="CI245" s="29"/>
      <c r="CJ245" s="2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29"/>
      <c r="DD245" s="2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29"/>
      <c r="DX245" s="2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29"/>
      <c r="ER245" s="29"/>
      <c r="ES245" s="29"/>
      <c r="ET245" s="29"/>
      <c r="EU245" s="29"/>
      <c r="EV245" s="29"/>
      <c r="EW245" s="29"/>
      <c r="EX245" s="29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29"/>
      <c r="FJ245" s="29"/>
      <c r="FK245" s="29"/>
      <c r="FL245" s="29"/>
      <c r="FM245" s="29"/>
      <c r="FN245" s="29"/>
      <c r="FO245" s="29"/>
      <c r="FP245" s="29"/>
      <c r="FQ245" s="29"/>
      <c r="FR245" s="29"/>
      <c r="FS245" s="29"/>
      <c r="FT245" s="29"/>
      <c r="FU245" s="29"/>
      <c r="FV245" s="29"/>
      <c r="FW245" s="29"/>
      <c r="FX245" s="29"/>
      <c r="FY245" s="29"/>
      <c r="FZ245" s="29"/>
      <c r="GA245" s="29"/>
      <c r="GB245" s="29"/>
      <c r="GC245" s="29"/>
      <c r="GD245" s="29"/>
      <c r="GE245" s="29"/>
      <c r="GF245" s="29"/>
      <c r="GG245" s="29"/>
      <c r="GH245" s="29"/>
      <c r="GI245" s="29"/>
      <c r="GJ245" s="29"/>
      <c r="GK245" s="29"/>
      <c r="GL245" s="29"/>
      <c r="GM245" s="29"/>
      <c r="GN245" s="29"/>
      <c r="GO245" s="29"/>
      <c r="GP245" s="29"/>
      <c r="GQ245" s="29"/>
      <c r="GR245" s="29"/>
      <c r="GS245" s="29"/>
      <c r="GT245" s="29"/>
      <c r="GU245" s="29"/>
      <c r="GV245" s="29"/>
      <c r="GW245" s="29"/>
      <c r="GX245" s="29"/>
      <c r="GY245" s="29"/>
      <c r="GZ245" s="29"/>
      <c r="HA245" s="29"/>
      <c r="HB245" s="29"/>
      <c r="HC245" s="29"/>
      <c r="HD245" s="29"/>
      <c r="HE245" s="29"/>
      <c r="HF245" s="29"/>
      <c r="HG245" s="29"/>
      <c r="HH245" s="29"/>
      <c r="HI245" s="29"/>
      <c r="HJ245" s="29"/>
      <c r="HK245" s="29"/>
      <c r="HL245" s="29"/>
      <c r="HM245" s="29"/>
      <c r="HN245" s="29"/>
      <c r="HO245" s="29"/>
      <c r="HP245" s="29"/>
      <c r="HQ245" s="29"/>
      <c r="HR245" s="29"/>
    </row>
    <row r="246" spans="1:226" s="46" customFormat="1">
      <c r="A246" s="84"/>
      <c r="B246" s="9"/>
      <c r="C246" s="309"/>
      <c r="D246" s="50"/>
      <c r="E246" s="50"/>
      <c r="F246" s="310"/>
      <c r="G246" s="50"/>
      <c r="H246" s="50"/>
      <c r="I246" s="50"/>
      <c r="J246" s="50"/>
      <c r="K246" s="309"/>
      <c r="L246" s="50"/>
      <c r="M246" s="50"/>
      <c r="N246" s="310"/>
      <c r="O246" s="50"/>
      <c r="P246" s="50"/>
      <c r="Q246" s="50"/>
      <c r="R246" s="50"/>
      <c r="S246" s="309"/>
      <c r="T246" s="50"/>
      <c r="U246" s="50"/>
      <c r="V246" s="310"/>
      <c r="W246" s="50"/>
      <c r="X246" s="50"/>
      <c r="Y246" s="50"/>
      <c r="Z246" s="50"/>
      <c r="AA246" s="309"/>
      <c r="AB246" s="50"/>
      <c r="AC246" s="50"/>
      <c r="AD246" s="310"/>
      <c r="AE246" s="50"/>
      <c r="AF246" s="50"/>
      <c r="AG246" s="50"/>
      <c r="AH246" s="50"/>
      <c r="AI246" s="309"/>
      <c r="AJ246" s="50"/>
      <c r="AK246" s="50"/>
      <c r="AL246" s="342"/>
      <c r="AM246" s="309"/>
      <c r="AN246" s="50"/>
      <c r="AO246" s="50"/>
      <c r="AP246" s="342"/>
      <c r="AQ246" s="50"/>
      <c r="AR246" s="50"/>
      <c r="AS246" s="896">
        <f t="shared" ref="AS246:BB246" si="1158">AS250/AR250-1</f>
        <v>0.12328767123287676</v>
      </c>
      <c r="AT246" s="896">
        <f t="shared" si="1158"/>
        <v>0.18292682926829262</v>
      </c>
      <c r="AU246" s="896">
        <f t="shared" si="1158"/>
        <v>0.47422680412371143</v>
      </c>
      <c r="AV246" s="896">
        <f t="shared" si="1158"/>
        <v>5.5944055944056048E-2</v>
      </c>
      <c r="AW246" s="896">
        <f t="shared" si="1158"/>
        <v>0.58940397350993368</v>
      </c>
      <c r="AX246" s="896">
        <f t="shared" si="1158"/>
        <v>0.23333333333333339</v>
      </c>
      <c r="AY246" s="896">
        <f t="shared" si="1158"/>
        <v>0.3817567567567568</v>
      </c>
      <c r="AZ246" s="896">
        <f t="shared" si="1158"/>
        <v>1.7114914425427896E-2</v>
      </c>
      <c r="BA246" s="50">
        <f t="shared" si="1158"/>
        <v>0.20432692307692313</v>
      </c>
      <c r="BB246" s="896">
        <f t="shared" si="1158"/>
        <v>0.20958083832335328</v>
      </c>
      <c r="BC246" s="896"/>
      <c r="BD246" s="896"/>
      <c r="BE246" s="50"/>
      <c r="BF246" s="310"/>
      <c r="BG246" s="896"/>
      <c r="BH246" s="896"/>
      <c r="BI246" s="50"/>
      <c r="BJ246" s="310"/>
      <c r="BK246" s="896"/>
      <c r="BL246" s="896"/>
      <c r="BM246" s="50"/>
      <c r="BN246" s="310"/>
      <c r="BO246" s="89"/>
      <c r="BP246" s="89"/>
      <c r="BQ246" s="89"/>
      <c r="BR246" s="89"/>
      <c r="BS246" s="89"/>
      <c r="BT246" s="89"/>
      <c r="BU246" s="182"/>
      <c r="BV246" s="182"/>
      <c r="BW246" s="182"/>
      <c r="BX246" s="182"/>
      <c r="BY246" s="89"/>
      <c r="BZ246" s="89"/>
      <c r="CA246" s="827"/>
      <c r="CB246" s="827"/>
      <c r="CC246" s="827"/>
      <c r="CD246" s="827"/>
      <c r="CE246" s="827"/>
      <c r="CF246" s="88"/>
      <c r="CG246" s="88"/>
      <c r="CH246" s="88"/>
      <c r="CI246" s="29"/>
      <c r="CJ246" s="2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29"/>
      <c r="DD246" s="2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29"/>
      <c r="DX246" s="2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29"/>
      <c r="ER246" s="29"/>
      <c r="ES246" s="29"/>
      <c r="ET246" s="29"/>
      <c r="EU246" s="29"/>
      <c r="EV246" s="29"/>
      <c r="EW246" s="29"/>
      <c r="EX246" s="29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29"/>
      <c r="FJ246" s="29"/>
      <c r="FK246" s="29"/>
      <c r="FL246" s="29"/>
      <c r="FM246" s="29"/>
      <c r="FN246" s="29"/>
      <c r="FO246" s="29"/>
      <c r="FP246" s="29"/>
      <c r="FQ246" s="29"/>
      <c r="FR246" s="29"/>
      <c r="FS246" s="29"/>
      <c r="FT246" s="29"/>
      <c r="FU246" s="29"/>
      <c r="FV246" s="29"/>
      <c r="FW246" s="29"/>
      <c r="FX246" s="29"/>
      <c r="FY246" s="29"/>
      <c r="FZ246" s="29"/>
      <c r="GA246" s="29"/>
      <c r="GB246" s="29"/>
      <c r="GC246" s="29"/>
      <c r="GD246" s="29"/>
      <c r="GE246" s="29"/>
      <c r="GF246" s="29"/>
      <c r="GG246" s="29"/>
      <c r="GH246" s="29"/>
      <c r="GI246" s="29"/>
      <c r="GJ246" s="29"/>
      <c r="GK246" s="29"/>
      <c r="GL246" s="29"/>
      <c r="GM246" s="29"/>
      <c r="GN246" s="29"/>
      <c r="GO246" s="29"/>
      <c r="GP246" s="29"/>
      <c r="GQ246" s="29"/>
      <c r="GR246" s="29"/>
      <c r="GS246" s="29"/>
      <c r="GT246" s="29"/>
      <c r="GU246" s="29"/>
      <c r="GV246" s="29"/>
      <c r="GW246" s="29"/>
      <c r="GX246" s="29"/>
      <c r="GY246" s="29"/>
      <c r="GZ246" s="29"/>
      <c r="HA246" s="29"/>
      <c r="HB246" s="29"/>
      <c r="HC246" s="29"/>
      <c r="HD246" s="29"/>
      <c r="HE246" s="29"/>
      <c r="HF246" s="29"/>
      <c r="HG246" s="29"/>
      <c r="HH246" s="29"/>
      <c r="HI246" s="29"/>
      <c r="HJ246" s="29"/>
      <c r="HK246" s="29"/>
      <c r="HL246" s="29"/>
      <c r="HM246" s="29"/>
      <c r="HN246" s="29"/>
      <c r="HO246" s="29"/>
      <c r="HP246" s="29"/>
      <c r="HQ246" s="29"/>
      <c r="HR246" s="29"/>
    </row>
    <row r="247" spans="1:226">
      <c r="B247" s="415" t="s">
        <v>389</v>
      </c>
      <c r="C247" s="572" t="str">
        <f t="shared" ref="C247:AT247" si="1159">C4</f>
        <v>1Q06</v>
      </c>
      <c r="D247" s="534" t="str">
        <f t="shared" si="1159"/>
        <v>2Q06</v>
      </c>
      <c r="E247" s="534" t="str">
        <f t="shared" si="1159"/>
        <v>3Q06</v>
      </c>
      <c r="F247" s="573" t="str">
        <f t="shared" si="1159"/>
        <v>4Q06</v>
      </c>
      <c r="G247" s="534" t="str">
        <f t="shared" si="1159"/>
        <v>1Q07</v>
      </c>
      <c r="H247" s="534" t="str">
        <f t="shared" si="1159"/>
        <v>2Q07</v>
      </c>
      <c r="I247" s="534" t="str">
        <f t="shared" si="1159"/>
        <v>3Q07</v>
      </c>
      <c r="J247" s="534" t="str">
        <f t="shared" si="1159"/>
        <v>4Q07</v>
      </c>
      <c r="K247" s="572" t="str">
        <f t="shared" si="1159"/>
        <v>1Q08</v>
      </c>
      <c r="L247" s="534" t="str">
        <f t="shared" si="1159"/>
        <v>2Q08</v>
      </c>
      <c r="M247" s="534" t="str">
        <f t="shared" si="1159"/>
        <v>3Q08</v>
      </c>
      <c r="N247" s="573" t="str">
        <f t="shared" si="1159"/>
        <v>4Q08</v>
      </c>
      <c r="O247" s="534" t="str">
        <f t="shared" si="1159"/>
        <v>1Q09</v>
      </c>
      <c r="P247" s="534" t="str">
        <f t="shared" si="1159"/>
        <v>2Q09</v>
      </c>
      <c r="Q247" s="534" t="str">
        <f t="shared" si="1159"/>
        <v>3Q09</v>
      </c>
      <c r="R247" s="534" t="str">
        <f t="shared" si="1159"/>
        <v>4Q09</v>
      </c>
      <c r="S247" s="572" t="str">
        <f t="shared" si="1159"/>
        <v>1Q10</v>
      </c>
      <c r="T247" s="534" t="str">
        <f t="shared" si="1159"/>
        <v>2Q10</v>
      </c>
      <c r="U247" s="534" t="str">
        <f t="shared" si="1159"/>
        <v>3Q10</v>
      </c>
      <c r="V247" s="573" t="str">
        <f t="shared" si="1159"/>
        <v>4Q10</v>
      </c>
      <c r="W247" s="534" t="str">
        <f t="shared" si="1159"/>
        <v>1Q11</v>
      </c>
      <c r="X247" s="534" t="str">
        <f t="shared" si="1159"/>
        <v>2Q11</v>
      </c>
      <c r="Y247" s="534" t="str">
        <f t="shared" si="1159"/>
        <v>3Q11</v>
      </c>
      <c r="Z247" s="534" t="str">
        <f t="shared" si="1159"/>
        <v>4Q11</v>
      </c>
      <c r="AA247" s="572" t="str">
        <f t="shared" si="1159"/>
        <v>1Q12</v>
      </c>
      <c r="AB247" s="534" t="str">
        <f t="shared" si="1159"/>
        <v>2Q12</v>
      </c>
      <c r="AC247" s="534" t="str">
        <f t="shared" si="1159"/>
        <v>3Q12</v>
      </c>
      <c r="AD247" s="573" t="str">
        <f t="shared" si="1159"/>
        <v>4Q12</v>
      </c>
      <c r="AE247" s="534" t="str">
        <f t="shared" si="1159"/>
        <v>1Q13</v>
      </c>
      <c r="AF247" s="534" t="str">
        <f t="shared" si="1159"/>
        <v>2Q13</v>
      </c>
      <c r="AG247" s="534" t="str">
        <f t="shared" si="1159"/>
        <v>3Q13</v>
      </c>
      <c r="AH247" s="534" t="str">
        <f t="shared" si="1159"/>
        <v>4Q13</v>
      </c>
      <c r="AI247" s="572" t="str">
        <f t="shared" si="1159"/>
        <v>1Q14</v>
      </c>
      <c r="AJ247" s="534" t="str">
        <f t="shared" si="1159"/>
        <v>2Q14</v>
      </c>
      <c r="AK247" s="534" t="str">
        <f t="shared" si="1159"/>
        <v>3Q14</v>
      </c>
      <c r="AL247" s="573" t="str">
        <f t="shared" si="1159"/>
        <v>4Q14</v>
      </c>
      <c r="AM247" s="572" t="str">
        <f t="shared" si="1159"/>
        <v>1Q15</v>
      </c>
      <c r="AN247" s="534" t="str">
        <f t="shared" si="1159"/>
        <v>2Q15</v>
      </c>
      <c r="AO247" s="534" t="str">
        <f t="shared" si="1159"/>
        <v>3Q15</v>
      </c>
      <c r="AP247" s="573" t="str">
        <f t="shared" si="1159"/>
        <v>4Q15</v>
      </c>
      <c r="AQ247" s="534" t="str">
        <f t="shared" si="1159"/>
        <v>1Q16</v>
      </c>
      <c r="AR247" s="534" t="str">
        <f t="shared" si="1159"/>
        <v>2Q16</v>
      </c>
      <c r="AS247" s="534" t="str">
        <f t="shared" si="1159"/>
        <v>3Q16</v>
      </c>
      <c r="AT247" s="573" t="str">
        <f t="shared" si="1159"/>
        <v>4Q16</v>
      </c>
      <c r="AU247" s="534" t="s">
        <v>429</v>
      </c>
      <c r="AV247" s="534" t="s">
        <v>422</v>
      </c>
      <c r="AW247" s="534" t="str">
        <f t="shared" ref="AW247:AX247" si="1160">AW4</f>
        <v>3Q17</v>
      </c>
      <c r="AX247" s="573" t="str">
        <f t="shared" si="1160"/>
        <v>4Q17</v>
      </c>
      <c r="AY247" s="534" t="s">
        <v>443</v>
      </c>
      <c r="AZ247" s="534" t="s">
        <v>451</v>
      </c>
      <c r="BA247" s="534" t="s">
        <v>470</v>
      </c>
      <c r="BB247" s="573" t="str">
        <f t="shared" ref="BB247" si="1161">BB4</f>
        <v>4Q18</v>
      </c>
      <c r="BC247" s="534" t="s">
        <v>462</v>
      </c>
      <c r="BD247" s="534" t="s">
        <v>463</v>
      </c>
      <c r="BE247" s="534" t="s">
        <v>464</v>
      </c>
      <c r="BF247" s="573" t="s">
        <v>469</v>
      </c>
      <c r="BG247" s="534" t="s">
        <v>465</v>
      </c>
      <c r="BH247" s="534" t="s">
        <v>466</v>
      </c>
      <c r="BI247" s="534" t="s">
        <v>467</v>
      </c>
      <c r="BJ247" s="573" t="s">
        <v>468</v>
      </c>
      <c r="BK247" s="534" t="s">
        <v>476</v>
      </c>
      <c r="BL247" s="534" t="s">
        <v>477</v>
      </c>
      <c r="BM247" s="534" t="s">
        <v>478</v>
      </c>
      <c r="BN247" s="573" t="s">
        <v>479</v>
      </c>
      <c r="BO247" s="534"/>
      <c r="BP247" s="534"/>
      <c r="BQ247" s="534"/>
      <c r="BR247" s="534"/>
      <c r="BS247" s="534"/>
      <c r="BT247" s="534"/>
      <c r="BU247" s="534"/>
      <c r="BV247" s="534"/>
      <c r="BW247" s="534"/>
      <c r="BX247" s="534">
        <f t="shared" ref="BX247:BZ247" si="1162">BX4</f>
        <v>2014</v>
      </c>
      <c r="BY247" s="534">
        <f t="shared" si="1162"/>
        <v>2015</v>
      </c>
      <c r="BZ247" s="534">
        <f t="shared" si="1162"/>
        <v>2016</v>
      </c>
      <c r="CA247" s="534">
        <f>CA4</f>
        <v>2017</v>
      </c>
      <c r="CB247" s="534" t="str">
        <f t="shared" ref="CB247:CC247" si="1163">CB4</f>
        <v>2018E</v>
      </c>
      <c r="CC247" s="534" t="str">
        <f t="shared" si="1163"/>
        <v>2019E</v>
      </c>
      <c r="CD247" s="534" t="str">
        <f t="shared" ref="CD247:CE247" si="1164">CD4</f>
        <v>2020E</v>
      </c>
      <c r="CE247" s="534" t="str">
        <f t="shared" si="1164"/>
        <v>2021E</v>
      </c>
      <c r="CF247" s="88"/>
      <c r="CG247" s="88"/>
    </row>
    <row r="248" spans="1:226" s="46" customFormat="1">
      <c r="A248" s="84"/>
      <c r="B248" s="5" t="s">
        <v>440</v>
      </c>
      <c r="C248" s="309"/>
      <c r="D248" s="50"/>
      <c r="E248" s="50"/>
      <c r="F248" s="310"/>
      <c r="G248" s="50"/>
      <c r="H248" s="50"/>
      <c r="I248" s="50"/>
      <c r="J248" s="50"/>
      <c r="K248" s="309"/>
      <c r="L248" s="50"/>
      <c r="M248" s="50"/>
      <c r="N248" s="310"/>
      <c r="O248" s="50"/>
      <c r="P248" s="50"/>
      <c r="Q248" s="50"/>
      <c r="R248" s="50"/>
      <c r="S248" s="309"/>
      <c r="T248" s="50"/>
      <c r="U248" s="50"/>
      <c r="V248" s="310"/>
      <c r="W248" s="50"/>
      <c r="X248" s="50"/>
      <c r="Y248" s="50"/>
      <c r="Z248" s="50"/>
      <c r="AA248" s="309"/>
      <c r="AB248" s="50"/>
      <c r="AC248" s="50"/>
      <c r="AD248" s="310"/>
      <c r="AE248" s="50"/>
      <c r="AF248" s="50"/>
      <c r="AG248" s="50"/>
      <c r="AH248" s="50"/>
      <c r="AI248" s="462"/>
      <c r="AJ248" s="459"/>
      <c r="AK248" s="459"/>
      <c r="AL248" s="562"/>
      <c r="AM248" s="462">
        <v>468</v>
      </c>
      <c r="AN248" s="459">
        <v>417</v>
      </c>
      <c r="AO248" s="459">
        <v>528</v>
      </c>
      <c r="AP248" s="562">
        <v>646</v>
      </c>
      <c r="AQ248" s="462">
        <v>587</v>
      </c>
      <c r="AR248" s="459">
        <v>661</v>
      </c>
      <c r="AS248" s="459">
        <f>761+0.2</f>
        <v>761.2</v>
      </c>
      <c r="AT248" s="562">
        <v>810</v>
      </c>
      <c r="AU248" s="462">
        <v>687</v>
      </c>
      <c r="AV248" s="459">
        <v>781</v>
      </c>
      <c r="AW248" s="757">
        <v>1244</v>
      </c>
      <c r="AX248" s="804">
        <v>1348</v>
      </c>
      <c r="AY248" s="845">
        <v>1027</v>
      </c>
      <c r="AZ248" s="845">
        <v>1186</v>
      </c>
      <c r="BA248" s="845">
        <v>1561</v>
      </c>
      <c r="BB248" s="843">
        <v>1739</v>
      </c>
      <c r="BC248" s="905">
        <f t="shared" ref="BC248:BD248" si="1165">BC260*BC$263</f>
        <v>1719.8296617553553</v>
      </c>
      <c r="BD248" s="905">
        <f t="shared" si="1165"/>
        <v>1915.6492989504673</v>
      </c>
      <c r="BE248" s="150">
        <f t="shared" ref="BE248:BJ248" si="1166">BE260*BE$263</f>
        <v>2092.76064487454</v>
      </c>
      <c r="BF248" s="375">
        <f t="shared" si="1166"/>
        <v>2111.3216367984278</v>
      </c>
      <c r="BG248" s="905">
        <f t="shared" si="1166"/>
        <v>1810.6378674589751</v>
      </c>
      <c r="BH248" s="905">
        <f t="shared" si="1166"/>
        <v>2116.6739190374255</v>
      </c>
      <c r="BI248" s="150">
        <f t="shared" si="1166"/>
        <v>2331.3331892116285</v>
      </c>
      <c r="BJ248" s="375">
        <f t="shared" si="1166"/>
        <v>2312.4522711037448</v>
      </c>
      <c r="BK248" s="905">
        <f t="shared" ref="BK248:BN248" si="1167">BK260*BK$263</f>
        <v>1983.998034521034</v>
      </c>
      <c r="BL248" s="905">
        <f t="shared" si="1167"/>
        <v>2326.1623449152175</v>
      </c>
      <c r="BM248" s="150">
        <f t="shared" si="1167"/>
        <v>2525.9591232813632</v>
      </c>
      <c r="BN248" s="375">
        <f t="shared" si="1167"/>
        <v>2509.024464514177</v>
      </c>
      <c r="BO248" s="89"/>
      <c r="BP248" s="89"/>
      <c r="BQ248" s="89"/>
      <c r="BR248" s="89"/>
      <c r="BS248" s="89"/>
      <c r="BT248" s="89"/>
      <c r="BU248" s="182"/>
      <c r="BV248" s="182"/>
      <c r="BW248" s="182"/>
      <c r="BX248" s="574">
        <v>1511</v>
      </c>
      <c r="BY248" s="97">
        <f>SUM(AM248:AP248)</f>
        <v>2059</v>
      </c>
      <c r="BZ248" s="88">
        <f>SUM(AQ248:AT248)</f>
        <v>2819.2</v>
      </c>
      <c r="CA248" s="88">
        <f>SUM(AU248:AX248)</f>
        <v>4060</v>
      </c>
      <c r="CB248" s="88">
        <f t="shared" ref="CB248:CB253" si="1168">SUM(AY248:BB248)</f>
        <v>5513</v>
      </c>
      <c r="CC248" s="88">
        <f>SUM(BC248:BF248)</f>
        <v>7839.5612423787907</v>
      </c>
      <c r="CD248" s="88">
        <f>SUM(BG248:BJ248)</f>
        <v>8571.0972468117743</v>
      </c>
      <c r="CE248" s="88">
        <f t="shared" ref="CE248:CE256" si="1169">SUM(BK248:BN248)</f>
        <v>9345.143967231792</v>
      </c>
      <c r="CF248" s="88"/>
      <c r="CG248" s="88"/>
      <c r="CH248" s="88"/>
      <c r="CI248" s="29"/>
      <c r="CJ248" s="2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29"/>
      <c r="DD248" s="2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29"/>
      <c r="DX248" s="2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29"/>
      <c r="ER248" s="29"/>
      <c r="ES248" s="29"/>
      <c r="ET248" s="29"/>
      <c r="EU248" s="29"/>
      <c r="EV248" s="29"/>
      <c r="EW248" s="29"/>
      <c r="EX248" s="29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29"/>
      <c r="FJ248" s="29"/>
      <c r="FK248" s="29"/>
      <c r="FL248" s="29"/>
      <c r="FM248" s="29"/>
      <c r="FN248" s="29"/>
      <c r="FO248" s="29"/>
      <c r="FP248" s="29"/>
      <c r="FQ248" s="29"/>
      <c r="FR248" s="29"/>
      <c r="FS248" s="29"/>
      <c r="FT248" s="29"/>
      <c r="FU248" s="29"/>
      <c r="FV248" s="29"/>
      <c r="FW248" s="29"/>
      <c r="FX248" s="29"/>
      <c r="FY248" s="29"/>
      <c r="FZ248" s="29"/>
      <c r="GA248" s="29"/>
      <c r="GB248" s="29"/>
      <c r="GC248" s="29"/>
      <c r="GD248" s="29"/>
      <c r="GE248" s="29"/>
      <c r="GF248" s="29"/>
      <c r="GG248" s="29"/>
      <c r="GH248" s="29"/>
      <c r="GI248" s="29"/>
      <c r="GJ248" s="29"/>
      <c r="GK248" s="29"/>
      <c r="GL248" s="29"/>
      <c r="GM248" s="29"/>
      <c r="GN248" s="29"/>
      <c r="GO248" s="29"/>
      <c r="GP248" s="29"/>
      <c r="GQ248" s="29"/>
      <c r="GR248" s="29"/>
      <c r="GS248" s="29"/>
      <c r="GT248" s="29"/>
      <c r="GU248" s="29"/>
      <c r="GV248" s="29"/>
      <c r="GW248" s="29"/>
      <c r="GX248" s="29"/>
      <c r="GY248" s="29"/>
      <c r="GZ248" s="29"/>
      <c r="HA248" s="29"/>
      <c r="HB248" s="29"/>
      <c r="HC248" s="29"/>
      <c r="HD248" s="29"/>
      <c r="HE248" s="29"/>
      <c r="HF248" s="29"/>
      <c r="HG248" s="29"/>
      <c r="HH248" s="29"/>
      <c r="HI248" s="29"/>
      <c r="HJ248" s="29"/>
      <c r="HK248" s="29"/>
      <c r="HL248" s="29"/>
      <c r="HM248" s="29"/>
      <c r="HN248" s="29"/>
      <c r="HO248" s="29"/>
      <c r="HP248" s="29"/>
      <c r="HQ248" s="29"/>
      <c r="HR248" s="29"/>
    </row>
    <row r="249" spans="1:226" s="46" customFormat="1">
      <c r="A249" s="84"/>
      <c r="B249" s="5" t="s">
        <v>427</v>
      </c>
      <c r="C249" s="309"/>
      <c r="D249" s="50"/>
      <c r="E249" s="50"/>
      <c r="F249" s="310"/>
      <c r="G249" s="50"/>
      <c r="H249" s="50"/>
      <c r="I249" s="50"/>
      <c r="J249" s="50"/>
      <c r="K249" s="309"/>
      <c r="L249" s="50"/>
      <c r="M249" s="50"/>
      <c r="N249" s="310"/>
      <c r="O249" s="50"/>
      <c r="P249" s="50"/>
      <c r="Q249" s="50"/>
      <c r="R249" s="50"/>
      <c r="S249" s="309"/>
      <c r="T249" s="50"/>
      <c r="U249" s="50"/>
      <c r="V249" s="310"/>
      <c r="W249" s="50"/>
      <c r="X249" s="50"/>
      <c r="Y249" s="50"/>
      <c r="Z249" s="50"/>
      <c r="AA249" s="309"/>
      <c r="AB249" s="50"/>
      <c r="AC249" s="50"/>
      <c r="AD249" s="310"/>
      <c r="AE249" s="50"/>
      <c r="AF249" s="50"/>
      <c r="AG249" s="50"/>
      <c r="AH249" s="50"/>
      <c r="AI249" s="462"/>
      <c r="AJ249" s="459"/>
      <c r="AK249" s="459"/>
      <c r="AL249" s="562"/>
      <c r="AM249" s="462">
        <v>191</v>
      </c>
      <c r="AN249" s="459">
        <v>208</v>
      </c>
      <c r="AO249" s="459">
        <v>206</v>
      </c>
      <c r="AP249" s="562">
        <v>190</v>
      </c>
      <c r="AQ249" s="462">
        <v>181</v>
      </c>
      <c r="AR249" s="459">
        <v>176</v>
      </c>
      <c r="AS249" s="459">
        <v>190</v>
      </c>
      <c r="AT249" s="562">
        <v>203</v>
      </c>
      <c r="AU249" s="462">
        <v>189</v>
      </c>
      <c r="AV249" s="459">
        <v>214</v>
      </c>
      <c r="AW249" s="757">
        <v>207</v>
      </c>
      <c r="AX249" s="804">
        <v>225</v>
      </c>
      <c r="AY249" s="845">
        <v>205</v>
      </c>
      <c r="AZ249" s="845">
        <v>235</v>
      </c>
      <c r="BA249" s="845">
        <v>239</v>
      </c>
      <c r="BB249" s="843">
        <v>254</v>
      </c>
      <c r="BC249" s="905">
        <f t="shared" ref="BC249:BD249" si="1170">BC76</f>
        <v>261.62</v>
      </c>
      <c r="BD249" s="905">
        <f t="shared" si="1170"/>
        <v>264.2362</v>
      </c>
      <c r="BE249" s="150">
        <f t="shared" ref="BE249:BJ249" si="1171">BE76</f>
        <v>266.87856199999999</v>
      </c>
      <c r="BF249" s="375">
        <f t="shared" si="1171"/>
        <v>269.54734761999998</v>
      </c>
      <c r="BG249" s="905">
        <f t="shared" si="1171"/>
        <v>276.28603131049994</v>
      </c>
      <c r="BH249" s="905">
        <f t="shared" si="1171"/>
        <v>283.19318209326241</v>
      </c>
      <c r="BI249" s="150">
        <f t="shared" si="1171"/>
        <v>290.27301164559395</v>
      </c>
      <c r="BJ249" s="375">
        <f t="shared" si="1171"/>
        <v>297.52983693673377</v>
      </c>
      <c r="BK249" s="905">
        <f t="shared" ref="BK249:BN249" si="1172">BK76</f>
        <v>304.96808286015209</v>
      </c>
      <c r="BL249" s="905">
        <f t="shared" si="1172"/>
        <v>312.59228493165585</v>
      </c>
      <c r="BM249" s="150">
        <f t="shared" si="1172"/>
        <v>320.40709205494721</v>
      </c>
      <c r="BN249" s="375">
        <f t="shared" si="1172"/>
        <v>328.41726935632084</v>
      </c>
      <c r="BO249" s="89"/>
      <c r="BP249" s="89"/>
      <c r="BQ249" s="89"/>
      <c r="BR249" s="89"/>
      <c r="BS249" s="89"/>
      <c r="BT249" s="89"/>
      <c r="BU249" s="182"/>
      <c r="BV249" s="182"/>
      <c r="BW249" s="182"/>
      <c r="BX249" s="574">
        <v>805</v>
      </c>
      <c r="BY249" s="97">
        <f t="shared" ref="BY249:BY252" si="1173">SUM(AM249:AP249)</f>
        <v>795</v>
      </c>
      <c r="BZ249" s="88">
        <f t="shared" ref="BZ249:BZ256" si="1174">SUM(AQ249:AT249)</f>
        <v>750</v>
      </c>
      <c r="CA249" s="88">
        <f t="shared" ref="CA249:CA256" si="1175">SUM(AU249:AX249)</f>
        <v>835</v>
      </c>
      <c r="CB249" s="88">
        <f t="shared" si="1168"/>
        <v>933</v>
      </c>
      <c r="CC249" s="88">
        <f t="shared" ref="CC249:CC255" si="1176">SUM(BC249:BF249)</f>
        <v>1062.28210962</v>
      </c>
      <c r="CD249" s="88">
        <f t="shared" ref="CD249:CD255" si="1177">SUM(BG249:BJ249)</f>
        <v>1147.28206198609</v>
      </c>
      <c r="CE249" s="88">
        <f t="shared" si="1169"/>
        <v>1266.3847292030759</v>
      </c>
      <c r="CF249" s="88"/>
      <c r="CG249" s="88"/>
      <c r="CH249" s="88"/>
      <c r="CI249" s="29"/>
      <c r="CJ249" s="2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29"/>
      <c r="DD249" s="2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29"/>
      <c r="DX249" s="2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29"/>
      <c r="ER249" s="29"/>
      <c r="ES249" s="29"/>
      <c r="ET249" s="29"/>
      <c r="EU249" s="29"/>
      <c r="EV249" s="29"/>
      <c r="EW249" s="29"/>
      <c r="EX249" s="29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29"/>
      <c r="FJ249" s="29"/>
      <c r="FK249" s="29"/>
      <c r="FL249" s="29"/>
      <c r="FM249" s="29"/>
      <c r="FN249" s="29"/>
      <c r="FO249" s="29"/>
      <c r="FP249" s="29"/>
      <c r="FQ249" s="29"/>
      <c r="FR249" s="29"/>
      <c r="FS249" s="29"/>
      <c r="FT249" s="29"/>
      <c r="FU249" s="29"/>
      <c r="FV249" s="29"/>
      <c r="FW249" s="29"/>
      <c r="FX249" s="29"/>
      <c r="FY249" s="29"/>
      <c r="FZ249" s="29"/>
      <c r="GA249" s="29"/>
      <c r="GB249" s="29"/>
      <c r="GC249" s="29"/>
      <c r="GD249" s="29"/>
      <c r="GE249" s="29"/>
      <c r="GF249" s="29"/>
      <c r="GG249" s="29"/>
      <c r="GH249" s="29"/>
      <c r="GI249" s="29"/>
      <c r="GJ249" s="29"/>
      <c r="GK249" s="29"/>
      <c r="GL249" s="29"/>
      <c r="GM249" s="29"/>
      <c r="GN249" s="29"/>
      <c r="GO249" s="29"/>
      <c r="GP249" s="29"/>
      <c r="GQ249" s="29"/>
      <c r="GR249" s="29"/>
      <c r="GS249" s="29"/>
      <c r="GT249" s="29"/>
      <c r="GU249" s="29"/>
      <c r="GV249" s="29"/>
      <c r="GW249" s="29"/>
      <c r="GX249" s="29"/>
      <c r="GY249" s="29"/>
      <c r="GZ249" s="29"/>
      <c r="HA249" s="29"/>
      <c r="HB249" s="29"/>
      <c r="HC249" s="29"/>
      <c r="HD249" s="29"/>
      <c r="HE249" s="29"/>
      <c r="HF249" s="29"/>
      <c r="HG249" s="29"/>
      <c r="HH249" s="29"/>
      <c r="HI249" s="29"/>
      <c r="HJ249" s="29"/>
      <c r="HK249" s="29"/>
      <c r="HL249" s="29"/>
      <c r="HM249" s="29"/>
      <c r="HN249" s="29"/>
      <c r="HO249" s="29"/>
      <c r="HP249" s="29"/>
      <c r="HQ249" s="29"/>
      <c r="HR249" s="29"/>
    </row>
    <row r="250" spans="1:226" s="46" customFormat="1">
      <c r="A250" s="84"/>
      <c r="B250" s="5" t="s">
        <v>426</v>
      </c>
      <c r="C250" s="309"/>
      <c r="D250" s="50"/>
      <c r="E250" s="50"/>
      <c r="F250" s="310"/>
      <c r="G250" s="50"/>
      <c r="H250" s="50"/>
      <c r="I250" s="50"/>
      <c r="J250" s="50"/>
      <c r="K250" s="309"/>
      <c r="L250" s="50"/>
      <c r="M250" s="50"/>
      <c r="N250" s="310"/>
      <c r="O250" s="50"/>
      <c r="P250" s="50"/>
      <c r="Q250" s="50"/>
      <c r="R250" s="50"/>
      <c r="S250" s="309"/>
      <c r="T250" s="50"/>
      <c r="U250" s="50"/>
      <c r="V250" s="310"/>
      <c r="W250" s="50"/>
      <c r="X250" s="50"/>
      <c r="Y250" s="50"/>
      <c r="Z250" s="50"/>
      <c r="AA250" s="309"/>
      <c r="AB250" s="50"/>
      <c r="AC250" s="50"/>
      <c r="AD250" s="310"/>
      <c r="AE250" s="50"/>
      <c r="AF250" s="50"/>
      <c r="AG250" s="50"/>
      <c r="AH250" s="50"/>
      <c r="AI250" s="462"/>
      <c r="AJ250" s="459"/>
      <c r="AK250" s="459"/>
      <c r="AL250" s="562"/>
      <c r="AM250" s="462">
        <v>57</v>
      </c>
      <c r="AN250" s="459">
        <v>83</v>
      </c>
      <c r="AO250" s="459">
        <v>90</v>
      </c>
      <c r="AP250" s="562">
        <v>88</v>
      </c>
      <c r="AQ250" s="462">
        <v>88</v>
      </c>
      <c r="AR250" s="459">
        <v>73</v>
      </c>
      <c r="AS250" s="459">
        <v>82</v>
      </c>
      <c r="AT250" s="562">
        <v>97</v>
      </c>
      <c r="AU250" s="462">
        <v>143</v>
      </c>
      <c r="AV250" s="459">
        <v>151</v>
      </c>
      <c r="AW250" s="757">
        <v>240</v>
      </c>
      <c r="AX250" s="804">
        <v>296</v>
      </c>
      <c r="AY250" s="845">
        <v>409</v>
      </c>
      <c r="AZ250" s="845">
        <v>416</v>
      </c>
      <c r="BA250" s="845">
        <v>501</v>
      </c>
      <c r="BB250" s="843">
        <v>606</v>
      </c>
      <c r="BC250" s="905">
        <f t="shared" ref="BC250:BD250" si="1178">BC73+BC79</f>
        <v>633.6</v>
      </c>
      <c r="BD250" s="905">
        <f t="shared" si="1178"/>
        <v>677.63200000000006</v>
      </c>
      <c r="BE250" s="150">
        <f t="shared" ref="BE250:BJ250" si="1179">BE73+BE79</f>
        <v>736.54783999999995</v>
      </c>
      <c r="BF250" s="375">
        <f t="shared" si="1179"/>
        <v>845.76558079999995</v>
      </c>
      <c r="BG250" s="905">
        <f t="shared" si="1179"/>
        <v>895.56740403200001</v>
      </c>
      <c r="BH250" s="905">
        <f t="shared" si="1179"/>
        <v>944.08720419327994</v>
      </c>
      <c r="BI250" s="150">
        <f t="shared" si="1179"/>
        <v>995.24613708101106</v>
      </c>
      <c r="BJ250" s="375">
        <f t="shared" si="1179"/>
        <v>1049.1881767438515</v>
      </c>
      <c r="BK250" s="905">
        <f t="shared" ref="BK250:BN250" si="1180">BK73+BK79</f>
        <v>1116.5570504405218</v>
      </c>
      <c r="BL250" s="905">
        <f t="shared" si="1180"/>
        <v>1188.263483037892</v>
      </c>
      <c r="BM250" s="150">
        <f t="shared" si="1180"/>
        <v>1264.587344970028</v>
      </c>
      <c r="BN250" s="375">
        <f t="shared" si="1180"/>
        <v>1345.8265947044865</v>
      </c>
      <c r="BO250" s="89"/>
      <c r="BP250" s="89"/>
      <c r="BQ250" s="89"/>
      <c r="BR250" s="89"/>
      <c r="BS250" s="89"/>
      <c r="BT250" s="89"/>
      <c r="BU250" s="182"/>
      <c r="BV250" s="182"/>
      <c r="BW250" s="182"/>
      <c r="BX250" s="574">
        <v>183</v>
      </c>
      <c r="BY250" s="97">
        <f t="shared" si="1173"/>
        <v>318</v>
      </c>
      <c r="BZ250" s="88">
        <f t="shared" si="1174"/>
        <v>340</v>
      </c>
      <c r="CA250" s="88">
        <f t="shared" si="1175"/>
        <v>830</v>
      </c>
      <c r="CB250" s="88">
        <f t="shared" si="1168"/>
        <v>1932</v>
      </c>
      <c r="CC250" s="88">
        <f t="shared" si="1176"/>
        <v>2893.5454208000001</v>
      </c>
      <c r="CD250" s="88">
        <f t="shared" si="1177"/>
        <v>3884.0889220501422</v>
      </c>
      <c r="CE250" s="88">
        <f t="shared" si="1169"/>
        <v>4915.2344731529283</v>
      </c>
      <c r="CF250" s="88"/>
      <c r="CG250" s="88"/>
      <c r="CH250" s="88"/>
      <c r="CI250" s="29"/>
      <c r="CJ250" s="29"/>
      <c r="CK250" s="29"/>
      <c r="CL250" s="29"/>
      <c r="CM250" s="29"/>
      <c r="CN250" s="29"/>
      <c r="CO250" s="29"/>
      <c r="CP250" s="29"/>
      <c r="CQ250" s="29"/>
      <c r="CR250" s="29"/>
      <c r="CS250" s="29"/>
      <c r="CT250" s="29"/>
      <c r="CU250" s="29"/>
      <c r="CV250" s="29"/>
      <c r="CW250" s="29"/>
      <c r="CX250" s="29"/>
      <c r="CY250" s="29"/>
      <c r="CZ250" s="29"/>
      <c r="DA250" s="29"/>
      <c r="DB250" s="29"/>
      <c r="DC250" s="29"/>
      <c r="DD250" s="29"/>
      <c r="DE250" s="29"/>
      <c r="DF250" s="29"/>
      <c r="DG250" s="29"/>
      <c r="DH250" s="29"/>
      <c r="DI250" s="29"/>
      <c r="DJ250" s="29"/>
      <c r="DK250" s="29"/>
      <c r="DL250" s="29"/>
      <c r="DM250" s="29"/>
      <c r="DN250" s="29"/>
      <c r="DO250" s="29"/>
      <c r="DP250" s="29"/>
      <c r="DQ250" s="29"/>
      <c r="DR250" s="29"/>
      <c r="DS250" s="29"/>
      <c r="DT250" s="29"/>
      <c r="DU250" s="29"/>
      <c r="DV250" s="29"/>
      <c r="DW250" s="29"/>
      <c r="DX250" s="29"/>
      <c r="DY250" s="29"/>
      <c r="DZ250" s="29"/>
      <c r="EA250" s="29"/>
      <c r="EB250" s="29"/>
      <c r="EC250" s="29"/>
      <c r="ED250" s="29"/>
      <c r="EE250" s="29"/>
      <c r="EF250" s="29"/>
      <c r="EG250" s="29"/>
      <c r="EH250" s="29"/>
      <c r="EI250" s="29"/>
      <c r="EJ250" s="29"/>
      <c r="EK250" s="29"/>
      <c r="EL250" s="29"/>
      <c r="EM250" s="29"/>
      <c r="EN250" s="29"/>
      <c r="EO250" s="29"/>
      <c r="EP250" s="29"/>
      <c r="EQ250" s="29"/>
      <c r="ER250" s="29"/>
      <c r="ES250" s="29"/>
      <c r="ET250" s="29"/>
      <c r="EU250" s="29"/>
      <c r="EV250" s="29"/>
      <c r="EW250" s="29"/>
      <c r="EX250" s="29"/>
      <c r="EY250" s="29"/>
      <c r="EZ250" s="29"/>
      <c r="FA250" s="29"/>
      <c r="FB250" s="29"/>
      <c r="FC250" s="29"/>
      <c r="FD250" s="29"/>
      <c r="FE250" s="29"/>
      <c r="FF250" s="29"/>
      <c r="FG250" s="29"/>
      <c r="FH250" s="29"/>
      <c r="FI250" s="29"/>
      <c r="FJ250" s="29"/>
      <c r="FK250" s="29"/>
      <c r="FL250" s="29"/>
      <c r="FM250" s="29"/>
      <c r="FN250" s="29"/>
      <c r="FO250" s="29"/>
      <c r="FP250" s="29"/>
      <c r="FQ250" s="29"/>
      <c r="FR250" s="29"/>
      <c r="FS250" s="29"/>
      <c r="FT250" s="29"/>
      <c r="FU250" s="29"/>
      <c r="FV250" s="29"/>
      <c r="FW250" s="29"/>
      <c r="FX250" s="29"/>
      <c r="FY250" s="29"/>
      <c r="FZ250" s="29"/>
      <c r="GA250" s="29"/>
      <c r="GB250" s="29"/>
      <c r="GC250" s="29"/>
      <c r="GD250" s="29"/>
      <c r="GE250" s="29"/>
      <c r="GF250" s="29"/>
      <c r="GG250" s="29"/>
      <c r="GH250" s="29"/>
      <c r="GI250" s="29"/>
      <c r="GJ250" s="29"/>
      <c r="GK250" s="29"/>
      <c r="GL250" s="29"/>
      <c r="GM250" s="29"/>
      <c r="GN250" s="29"/>
      <c r="GO250" s="29"/>
      <c r="GP250" s="29"/>
      <c r="GQ250" s="29"/>
      <c r="GR250" s="29"/>
      <c r="GS250" s="29"/>
      <c r="GT250" s="29"/>
      <c r="GU250" s="29"/>
      <c r="GV250" s="29"/>
      <c r="GW250" s="29"/>
      <c r="GX250" s="29"/>
      <c r="GY250" s="29"/>
      <c r="GZ250" s="29"/>
      <c r="HA250" s="29"/>
      <c r="HB250" s="29"/>
      <c r="HC250" s="29"/>
      <c r="HD250" s="29"/>
      <c r="HE250" s="29"/>
      <c r="HF250" s="29"/>
      <c r="HG250" s="29"/>
      <c r="HH250" s="29"/>
      <c r="HI250" s="29"/>
      <c r="HJ250" s="29"/>
      <c r="HK250" s="29"/>
      <c r="HL250" s="29"/>
      <c r="HM250" s="29"/>
      <c r="HN250" s="29"/>
      <c r="HO250" s="29"/>
      <c r="HP250" s="29"/>
      <c r="HQ250" s="29"/>
      <c r="HR250" s="29"/>
    </row>
    <row r="251" spans="1:226" s="46" customFormat="1">
      <c r="A251" s="84"/>
      <c r="B251" s="5" t="s">
        <v>390</v>
      </c>
      <c r="C251" s="309"/>
      <c r="D251" s="50"/>
      <c r="E251" s="50"/>
      <c r="F251" s="310"/>
      <c r="G251" s="50"/>
      <c r="H251" s="50"/>
      <c r="I251" s="50"/>
      <c r="J251" s="50"/>
      <c r="K251" s="309"/>
      <c r="L251" s="50"/>
      <c r="M251" s="50"/>
      <c r="N251" s="310"/>
      <c r="O251" s="50"/>
      <c r="P251" s="50"/>
      <c r="Q251" s="50"/>
      <c r="R251" s="50"/>
      <c r="S251" s="309"/>
      <c r="T251" s="50"/>
      <c r="U251" s="50"/>
      <c r="V251" s="310"/>
      <c r="W251" s="50"/>
      <c r="X251" s="50"/>
      <c r="Y251" s="50"/>
      <c r="Z251" s="50"/>
      <c r="AA251" s="309"/>
      <c r="AB251" s="50"/>
      <c r="AC251" s="50"/>
      <c r="AD251" s="310"/>
      <c r="AE251" s="50"/>
      <c r="AF251" s="50"/>
      <c r="AG251" s="50"/>
      <c r="AH251" s="50"/>
      <c r="AI251" s="462"/>
      <c r="AJ251" s="459"/>
      <c r="AK251" s="459"/>
      <c r="AL251" s="562"/>
      <c r="AM251" s="462">
        <v>35</v>
      </c>
      <c r="AN251" s="459">
        <v>40</v>
      </c>
      <c r="AO251" s="459">
        <f>52-0.2</f>
        <v>51.8</v>
      </c>
      <c r="AP251" s="562">
        <v>56</v>
      </c>
      <c r="AQ251" s="462">
        <f>77-0.5</f>
        <v>76.5</v>
      </c>
      <c r="AR251" s="459">
        <f>71-0.5</f>
        <v>70.5</v>
      </c>
      <c r="AS251" s="459">
        <f>79+0.4</f>
        <v>79.400000000000006</v>
      </c>
      <c r="AT251" s="562">
        <v>93</v>
      </c>
      <c r="AU251" s="462">
        <v>113</v>
      </c>
      <c r="AV251" s="459">
        <v>119</v>
      </c>
      <c r="AW251" s="757">
        <v>127</v>
      </c>
      <c r="AX251" s="804">
        <v>128</v>
      </c>
      <c r="AY251" s="845">
        <v>140</v>
      </c>
      <c r="AZ251" s="845">
        <v>142</v>
      </c>
      <c r="BA251" s="845">
        <v>144</v>
      </c>
      <c r="BB251" s="843">
        <v>132</v>
      </c>
      <c r="BC251" s="905">
        <f t="shared" ref="BC251:BD251" si="1181">BC138</f>
        <v>140</v>
      </c>
      <c r="BD251" s="905">
        <f t="shared" si="1181"/>
        <v>140</v>
      </c>
      <c r="BE251" s="150">
        <f t="shared" ref="BE251:BJ251" si="1182">BE138</f>
        <v>140</v>
      </c>
      <c r="BF251" s="375">
        <f t="shared" si="1182"/>
        <v>140</v>
      </c>
      <c r="BG251" s="905">
        <f t="shared" si="1182"/>
        <v>150.5</v>
      </c>
      <c r="BH251" s="905">
        <f t="shared" si="1182"/>
        <v>161.78749999999999</v>
      </c>
      <c r="BI251" s="150">
        <f t="shared" si="1182"/>
        <v>173.92156249999999</v>
      </c>
      <c r="BJ251" s="375">
        <f t="shared" si="1182"/>
        <v>186.96567968749997</v>
      </c>
      <c r="BK251" s="905">
        <f t="shared" ref="BK251:BN251" si="1183">BK138</f>
        <v>200.05327726562498</v>
      </c>
      <c r="BL251" s="905">
        <f t="shared" si="1183"/>
        <v>214.05700667421874</v>
      </c>
      <c r="BM251" s="150">
        <f t="shared" si="1183"/>
        <v>229.04099714141407</v>
      </c>
      <c r="BN251" s="375">
        <f t="shared" si="1183"/>
        <v>245.07386694131307</v>
      </c>
      <c r="BO251" s="89"/>
      <c r="BP251" s="89"/>
      <c r="BQ251" s="89"/>
      <c r="BR251" s="89"/>
      <c r="BS251" s="89"/>
      <c r="BT251" s="89"/>
      <c r="BU251" s="182"/>
      <c r="BV251" s="182"/>
      <c r="BW251" s="182"/>
      <c r="BX251" s="574">
        <v>99</v>
      </c>
      <c r="BY251" s="97">
        <f t="shared" si="1173"/>
        <v>182.8</v>
      </c>
      <c r="BZ251" s="88">
        <f t="shared" si="1174"/>
        <v>319.39999999999998</v>
      </c>
      <c r="CA251" s="88">
        <f t="shared" si="1175"/>
        <v>487</v>
      </c>
      <c r="CB251" s="88">
        <f t="shared" si="1168"/>
        <v>558</v>
      </c>
      <c r="CC251" s="88">
        <f t="shared" si="1176"/>
        <v>560</v>
      </c>
      <c r="CD251" s="88">
        <f t="shared" si="1177"/>
        <v>673.17474218749999</v>
      </c>
      <c r="CE251" s="88">
        <f t="shared" si="1169"/>
        <v>888.22514802257092</v>
      </c>
      <c r="CF251" s="88"/>
      <c r="CG251" s="88"/>
      <c r="CH251" s="88"/>
      <c r="CI251" s="29"/>
      <c r="CJ251" s="2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29"/>
      <c r="DD251" s="2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29"/>
      <c r="DX251" s="2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29"/>
      <c r="ER251" s="29"/>
      <c r="ES251" s="29"/>
      <c r="ET251" s="29"/>
      <c r="EU251" s="29"/>
      <c r="EV251" s="29"/>
      <c r="EW251" s="29"/>
      <c r="EX251" s="29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29"/>
      <c r="FJ251" s="29"/>
      <c r="FK251" s="29"/>
      <c r="FL251" s="29"/>
      <c r="FM251" s="29"/>
      <c r="FN251" s="29"/>
      <c r="FO251" s="29"/>
      <c r="FP251" s="29"/>
      <c r="FQ251" s="29"/>
      <c r="FR251" s="29"/>
      <c r="FS251" s="29"/>
      <c r="FT251" s="29"/>
      <c r="FU251" s="29"/>
      <c r="FV251" s="29"/>
      <c r="FW251" s="29"/>
      <c r="FX251" s="29"/>
      <c r="FY251" s="29"/>
      <c r="FZ251" s="29"/>
      <c r="GA251" s="29"/>
      <c r="GB251" s="29"/>
      <c r="GC251" s="29"/>
      <c r="GD251" s="29"/>
      <c r="GE251" s="29"/>
      <c r="GF251" s="29"/>
      <c r="GG251" s="29"/>
      <c r="GH251" s="29"/>
      <c r="GI251" s="29"/>
      <c r="GJ251" s="29"/>
      <c r="GK251" s="29"/>
      <c r="GL251" s="29"/>
      <c r="GM251" s="29"/>
      <c r="GN251" s="29"/>
      <c r="GO251" s="29"/>
      <c r="GP251" s="29"/>
      <c r="GQ251" s="29"/>
      <c r="GR251" s="29"/>
      <c r="GS251" s="29"/>
      <c r="GT251" s="29"/>
      <c r="GU251" s="29"/>
      <c r="GV251" s="29"/>
      <c r="GW251" s="29"/>
      <c r="GX251" s="29"/>
      <c r="GY251" s="29"/>
      <c r="GZ251" s="29"/>
      <c r="HA251" s="29"/>
      <c r="HB251" s="29"/>
      <c r="HC251" s="29"/>
      <c r="HD251" s="29"/>
      <c r="HE251" s="29"/>
      <c r="HF251" s="29"/>
      <c r="HG251" s="29"/>
      <c r="HH251" s="29"/>
      <c r="HI251" s="29"/>
      <c r="HJ251" s="29"/>
      <c r="HK251" s="29"/>
      <c r="HL251" s="29"/>
      <c r="HM251" s="29"/>
      <c r="HN251" s="29"/>
      <c r="HO251" s="29"/>
      <c r="HP251" s="29"/>
      <c r="HQ251" s="29"/>
      <c r="HR251" s="29"/>
    </row>
    <row r="252" spans="1:226" s="46" customFormat="1">
      <c r="A252" s="84"/>
      <c r="B252" s="5" t="s">
        <v>391</v>
      </c>
      <c r="C252" s="309"/>
      <c r="D252" s="50"/>
      <c r="E252" s="50"/>
      <c r="F252" s="310"/>
      <c r="G252" s="50"/>
      <c r="H252" s="50"/>
      <c r="I252" s="50"/>
      <c r="J252" s="50"/>
      <c r="K252" s="309"/>
      <c r="L252" s="50"/>
      <c r="M252" s="50"/>
      <c r="N252" s="310"/>
      <c r="O252" s="50"/>
      <c r="P252" s="50"/>
      <c r="Q252" s="50"/>
      <c r="R252" s="50"/>
      <c r="S252" s="309"/>
      <c r="T252" s="50"/>
      <c r="U252" s="50"/>
      <c r="V252" s="310"/>
      <c r="W252" s="50"/>
      <c r="X252" s="50"/>
      <c r="Y252" s="50"/>
      <c r="Z252" s="50"/>
      <c r="AA252" s="309"/>
      <c r="AB252" s="50"/>
      <c r="AC252" s="50"/>
      <c r="AD252" s="310"/>
      <c r="AE252" s="50"/>
      <c r="AF252" s="50"/>
      <c r="AG252" s="50"/>
      <c r="AH252" s="50"/>
      <c r="AI252" s="462"/>
      <c r="AJ252" s="459"/>
      <c r="AK252" s="459"/>
      <c r="AL252" s="562"/>
      <c r="AM252" s="462">
        <v>351.78699999999998</v>
      </c>
      <c r="AN252" s="459">
        <f>355-0.176</f>
        <v>354.82400000000001</v>
      </c>
      <c r="AO252" s="459">
        <f>350-0.418</f>
        <v>349.58199999999999</v>
      </c>
      <c r="AP252" s="562">
        <f>271-0.486</f>
        <v>270.51400000000001</v>
      </c>
      <c r="AQ252" s="462">
        <f>219-0.5</f>
        <v>218.5</v>
      </c>
      <c r="AR252" s="459">
        <f>173-0.5</f>
        <v>172.5</v>
      </c>
      <c r="AS252" s="459">
        <f>192+0.4</f>
        <v>192.4</v>
      </c>
      <c r="AT252" s="562">
        <v>198</v>
      </c>
      <c r="AU252" s="462">
        <v>173</v>
      </c>
      <c r="AV252" s="459">
        <v>163</v>
      </c>
      <c r="AW252" s="757">
        <v>186</v>
      </c>
      <c r="AX252" s="804">
        <v>176</v>
      </c>
      <c r="AY252" s="845">
        <v>156</v>
      </c>
      <c r="AZ252" s="845">
        <v>251</v>
      </c>
      <c r="BA252" s="845">
        <v>191</v>
      </c>
      <c r="BB252" s="843">
        <v>180</v>
      </c>
      <c r="BC252" s="905">
        <f t="shared" ref="BC252:BD252" si="1184">BC253+BC254+BC255</f>
        <v>166.4495444331987</v>
      </c>
      <c r="BD252" s="905">
        <f t="shared" si="1184"/>
        <v>160.2754871670511</v>
      </c>
      <c r="BE252" s="150">
        <f t="shared" ref="BE252:BJ252" si="1185">BE253+BE254+BE255</f>
        <v>172.58046669411959</v>
      </c>
      <c r="BF252" s="375">
        <f t="shared" si="1185"/>
        <v>173.76521085947411</v>
      </c>
      <c r="BG252" s="905">
        <f t="shared" si="1185"/>
        <v>156.13262983780692</v>
      </c>
      <c r="BH252" s="905">
        <f t="shared" si="1185"/>
        <v>177.28924589600589</v>
      </c>
      <c r="BI252" s="150">
        <f t="shared" si="1185"/>
        <v>192.67819743904013</v>
      </c>
      <c r="BJ252" s="375">
        <f t="shared" si="1185"/>
        <v>193.22782029343051</v>
      </c>
      <c r="BK252" s="905">
        <f t="shared" ref="BK252:BN252" si="1186">BK253+BK254+BK255</f>
        <v>173.17514593303622</v>
      </c>
      <c r="BL252" s="905">
        <f t="shared" si="1186"/>
        <v>195.94616053491583</v>
      </c>
      <c r="BM252" s="150">
        <f t="shared" si="1186"/>
        <v>209.64850064781683</v>
      </c>
      <c r="BN252" s="375">
        <f t="shared" si="1186"/>
        <v>209.53590632676378</v>
      </c>
      <c r="BO252" s="89"/>
      <c r="BP252" s="89"/>
      <c r="BQ252" s="89"/>
      <c r="BR252" s="89"/>
      <c r="BS252" s="89"/>
      <c r="BT252" s="89"/>
      <c r="BU252" s="182"/>
      <c r="BV252" s="182"/>
      <c r="BW252" s="182"/>
      <c r="BX252" s="574">
        <f>1519+13.162</f>
        <v>1532.162</v>
      </c>
      <c r="BY252" s="97">
        <f t="shared" si="1173"/>
        <v>1326.7069999999999</v>
      </c>
      <c r="BZ252" s="88">
        <f t="shared" si="1174"/>
        <v>781.4</v>
      </c>
      <c r="CA252" s="88">
        <f t="shared" si="1175"/>
        <v>698</v>
      </c>
      <c r="CB252" s="88">
        <f t="shared" si="1168"/>
        <v>778</v>
      </c>
      <c r="CC252" s="88">
        <f t="shared" si="1176"/>
        <v>673.0707091538435</v>
      </c>
      <c r="CD252" s="88">
        <f t="shared" si="1177"/>
        <v>719.32789346628351</v>
      </c>
      <c r="CE252" s="88">
        <f t="shared" si="1169"/>
        <v>788.30571344253269</v>
      </c>
      <c r="CF252" s="88"/>
      <c r="CG252" s="88"/>
      <c r="CH252" s="88"/>
      <c r="CI252" s="29"/>
      <c r="CJ252" s="2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29"/>
      <c r="DD252" s="2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29"/>
      <c r="DX252" s="2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29"/>
      <c r="ER252" s="29"/>
      <c r="ES252" s="29"/>
      <c r="ET252" s="29"/>
      <c r="EU252" s="29"/>
      <c r="EV252" s="29"/>
      <c r="EW252" s="29"/>
      <c r="EX252" s="29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29"/>
      <c r="FJ252" s="29"/>
      <c r="FK252" s="29"/>
      <c r="FL252" s="29"/>
      <c r="FM252" s="29"/>
      <c r="FN252" s="29"/>
      <c r="FO252" s="29"/>
      <c r="FP252" s="29"/>
      <c r="FQ252" s="29"/>
      <c r="FR252" s="29"/>
      <c r="FS252" s="29"/>
      <c r="FT252" s="29"/>
      <c r="FU252" s="29"/>
      <c r="FV252" s="29"/>
      <c r="FW252" s="29"/>
      <c r="FX252" s="29"/>
      <c r="FY252" s="29"/>
      <c r="FZ252" s="29"/>
      <c r="GA252" s="29"/>
      <c r="GB252" s="29"/>
      <c r="GC252" s="29"/>
      <c r="GD252" s="29"/>
      <c r="GE252" s="29"/>
      <c r="GF252" s="29"/>
      <c r="GG252" s="29"/>
      <c r="GH252" s="29"/>
      <c r="GI252" s="29"/>
      <c r="GJ252" s="29"/>
      <c r="GK252" s="29"/>
      <c r="GL252" s="29"/>
      <c r="GM252" s="29"/>
      <c r="GN252" s="29"/>
      <c r="GO252" s="29"/>
      <c r="GP252" s="29"/>
      <c r="GQ252" s="29"/>
      <c r="GR252" s="29"/>
      <c r="GS252" s="29"/>
      <c r="GT252" s="29"/>
      <c r="GU252" s="29"/>
      <c r="GV252" s="29"/>
      <c r="GW252" s="29"/>
      <c r="GX252" s="29"/>
      <c r="GY252" s="29"/>
      <c r="GZ252" s="29"/>
      <c r="HA252" s="29"/>
      <c r="HB252" s="29"/>
      <c r="HC252" s="29"/>
      <c r="HD252" s="29"/>
      <c r="HE252" s="29"/>
      <c r="HF252" s="29"/>
      <c r="HG252" s="29"/>
      <c r="HH252" s="29"/>
      <c r="HI252" s="29"/>
      <c r="HJ252" s="29"/>
      <c r="HK252" s="29"/>
      <c r="HL252" s="29"/>
      <c r="HM252" s="29"/>
      <c r="HN252" s="29"/>
      <c r="HO252" s="29"/>
      <c r="HP252" s="29"/>
      <c r="HQ252" s="29"/>
      <c r="HR252" s="29"/>
    </row>
    <row r="253" spans="1:226" s="46" customFormat="1" outlineLevel="1">
      <c r="A253" s="84"/>
      <c r="B253" s="114" t="s">
        <v>397</v>
      </c>
      <c r="C253" s="309"/>
      <c r="D253" s="50"/>
      <c r="E253" s="50"/>
      <c r="F253" s="310"/>
      <c r="G253" s="50"/>
      <c r="H253" s="50"/>
      <c r="I253" s="50"/>
      <c r="J253" s="50"/>
      <c r="K253" s="309"/>
      <c r="L253" s="50"/>
      <c r="M253" s="50"/>
      <c r="N253" s="310"/>
      <c r="O253" s="50"/>
      <c r="P253" s="50"/>
      <c r="Q253" s="50"/>
      <c r="R253" s="50"/>
      <c r="S253" s="309"/>
      <c r="T253" s="50"/>
      <c r="U253" s="50"/>
      <c r="V253" s="310"/>
      <c r="W253" s="50"/>
      <c r="X253" s="50"/>
      <c r="Y253" s="50"/>
      <c r="Z253" s="50"/>
      <c r="AA253" s="309"/>
      <c r="AB253" s="50"/>
      <c r="AC253" s="50"/>
      <c r="AD253" s="310"/>
      <c r="AE253" s="50"/>
      <c r="AF253" s="50"/>
      <c r="AG253" s="50"/>
      <c r="AH253" s="50"/>
      <c r="AI253" s="575"/>
      <c r="AJ253" s="574"/>
      <c r="AK253" s="574"/>
      <c r="AL253" s="576"/>
      <c r="AM253" s="583">
        <f>AM263-AM248</f>
        <v>183.36300000000006</v>
      </c>
      <c r="AN253" s="582">
        <f t="shared" ref="AN253:AP253" si="1187">AN263-AN248</f>
        <v>171.82413823727825</v>
      </c>
      <c r="AO253" s="582">
        <f t="shared" si="1187"/>
        <v>168.38200000000006</v>
      </c>
      <c r="AP253" s="584">
        <f t="shared" si="1187"/>
        <v>149.18099999999981</v>
      </c>
      <c r="AQ253" s="583">
        <f t="shared" ref="AQ253:AV253" si="1188">AQ263-AQ248</f>
        <v>121.49702438936583</v>
      </c>
      <c r="AR253" s="582">
        <f t="shared" si="1188"/>
        <v>78.503357027987818</v>
      </c>
      <c r="AS253" s="582">
        <f t="shared" si="1188"/>
        <v>101.39536735065656</v>
      </c>
      <c r="AT253" s="584">
        <f t="shared" si="1188"/>
        <v>111.00028091401805</v>
      </c>
      <c r="AU253" s="583">
        <f>AU263-AU248</f>
        <v>78.30429963113238</v>
      </c>
      <c r="AV253" s="582">
        <f t="shared" si="1188"/>
        <v>69.839460405590785</v>
      </c>
      <c r="AW253" s="582">
        <f t="shared" ref="AW253:AX253" si="1189">AW263-AW248</f>
        <v>93.970615721934792</v>
      </c>
      <c r="AX253" s="805">
        <f t="shared" si="1189"/>
        <v>80.980401102647647</v>
      </c>
      <c r="AY253" s="583">
        <f>AY263-AY248</f>
        <v>78.21247322572026</v>
      </c>
      <c r="AZ253" s="915">
        <f t="shared" ref="AZ253:BB253" si="1190">AZ263-AZ248</f>
        <v>219.65650601827519</v>
      </c>
      <c r="BA253" s="915">
        <f t="shared" si="1190"/>
        <v>156.01387548178809</v>
      </c>
      <c r="BB253" s="805">
        <f t="shared" si="1190"/>
        <v>145.30531243730024</v>
      </c>
      <c r="BC253" s="950">
        <f t="shared" ref="BC253:BD253" si="1191">BC261*BC$263</f>
        <v>129.4495444331987</v>
      </c>
      <c r="BD253" s="951">
        <f t="shared" si="1191"/>
        <v>122.27548716705111</v>
      </c>
      <c r="BE253" s="138">
        <f t="shared" ref="BE253:BJ253" si="1192">BE261*BE$263</f>
        <v>133.58046669411959</v>
      </c>
      <c r="BF253" s="952">
        <f t="shared" si="1192"/>
        <v>134.76521085947411</v>
      </c>
      <c r="BG253" s="950">
        <f t="shared" si="1192"/>
        <v>115.57262983780691</v>
      </c>
      <c r="BH253" s="951">
        <f t="shared" si="1192"/>
        <v>135.10684589600589</v>
      </c>
      <c r="BI253" s="138">
        <f t="shared" si="1192"/>
        <v>148.80850143904013</v>
      </c>
      <c r="BJ253" s="952">
        <f t="shared" si="1192"/>
        <v>147.6033364534305</v>
      </c>
      <c r="BK253" s="950">
        <f t="shared" ref="BK253:BN253" si="1193">BK261*BK$263</f>
        <v>126.63817241623622</v>
      </c>
      <c r="BL253" s="951">
        <f t="shared" si="1193"/>
        <v>148.47844754777984</v>
      </c>
      <c r="BM253" s="138">
        <f t="shared" si="1193"/>
        <v>161.2314334009381</v>
      </c>
      <c r="BN253" s="952">
        <f t="shared" si="1193"/>
        <v>160.15049773494749</v>
      </c>
      <c r="BO253" s="89"/>
      <c r="BP253" s="89"/>
      <c r="BQ253" s="89"/>
      <c r="BR253" s="89"/>
      <c r="BS253" s="89"/>
      <c r="BT253" s="89"/>
      <c r="BU253" s="182"/>
      <c r="BV253" s="182"/>
      <c r="BW253" s="182"/>
      <c r="BX253" s="582">
        <f t="shared" ref="BX253" si="1194">BX263-BX248</f>
        <v>975.63853753231706</v>
      </c>
      <c r="BY253" s="582">
        <f>BY252-BY255-BY254</f>
        <v>672.74999999999989</v>
      </c>
      <c r="BZ253" s="88">
        <f t="shared" si="1174"/>
        <v>412.39602968202826</v>
      </c>
      <c r="CA253" s="88">
        <f t="shared" si="1175"/>
        <v>323.0947768613056</v>
      </c>
      <c r="CB253" s="88">
        <f t="shared" si="1168"/>
        <v>599.18816716308379</v>
      </c>
      <c r="CC253" s="88">
        <f t="shared" si="1176"/>
        <v>520.0707091538435</v>
      </c>
      <c r="CD253" s="88">
        <f t="shared" si="1177"/>
        <v>547.09131362628341</v>
      </c>
      <c r="CE253" s="88">
        <f t="shared" si="1169"/>
        <v>596.49855109990165</v>
      </c>
      <c r="CF253" s="88"/>
      <c r="CG253" s="88"/>
      <c r="CH253" s="88"/>
      <c r="CI253" s="29"/>
      <c r="CJ253" s="29"/>
      <c r="CK253" s="29"/>
      <c r="CL253" s="29"/>
      <c r="CM253" s="29"/>
      <c r="CN253" s="29"/>
      <c r="CO253" s="29"/>
      <c r="CP253" s="29"/>
      <c r="CQ253" s="29"/>
      <c r="CR253" s="29"/>
      <c r="CS253" s="29"/>
      <c r="CT253" s="29"/>
      <c r="CU253" s="29"/>
      <c r="CV253" s="29"/>
      <c r="CW253" s="29"/>
      <c r="CX253" s="29"/>
      <c r="CY253" s="29"/>
      <c r="CZ253" s="29"/>
      <c r="DA253" s="29"/>
      <c r="DB253" s="29"/>
      <c r="DC253" s="29"/>
      <c r="DD253" s="29"/>
      <c r="DE253" s="29"/>
      <c r="DF253" s="29"/>
      <c r="DG253" s="29"/>
      <c r="DH253" s="29"/>
      <c r="DI253" s="29"/>
      <c r="DJ253" s="29"/>
      <c r="DK253" s="29"/>
      <c r="DL253" s="29"/>
      <c r="DM253" s="29"/>
      <c r="DN253" s="29"/>
      <c r="DO253" s="29"/>
      <c r="DP253" s="29"/>
      <c r="DQ253" s="29"/>
      <c r="DR253" s="29"/>
      <c r="DS253" s="29"/>
      <c r="DT253" s="29"/>
      <c r="DU253" s="29"/>
      <c r="DV253" s="29"/>
      <c r="DW253" s="29"/>
      <c r="DX253" s="29"/>
      <c r="DY253" s="29"/>
      <c r="DZ253" s="29"/>
      <c r="EA253" s="29"/>
      <c r="EB253" s="29"/>
      <c r="EC253" s="29"/>
      <c r="ED253" s="29"/>
      <c r="EE253" s="29"/>
      <c r="EF253" s="29"/>
      <c r="EG253" s="29"/>
      <c r="EH253" s="29"/>
      <c r="EI253" s="29"/>
      <c r="EJ253" s="29"/>
      <c r="EK253" s="29"/>
      <c r="EL253" s="29"/>
      <c r="EM253" s="29"/>
      <c r="EN253" s="29"/>
      <c r="EO253" s="29"/>
      <c r="EP253" s="29"/>
      <c r="EQ253" s="29"/>
      <c r="ER253" s="29"/>
      <c r="ES253" s="29"/>
      <c r="ET253" s="29"/>
      <c r="EU253" s="29"/>
      <c r="EV253" s="29"/>
      <c r="EW253" s="29"/>
      <c r="EX253" s="29"/>
      <c r="EY253" s="29"/>
      <c r="EZ253" s="29"/>
      <c r="FA253" s="29"/>
      <c r="FB253" s="29"/>
      <c r="FC253" s="29"/>
      <c r="FD253" s="29"/>
      <c r="FE253" s="29"/>
      <c r="FF253" s="29"/>
      <c r="FG253" s="29"/>
      <c r="FH253" s="29"/>
      <c r="FI253" s="29"/>
      <c r="FJ253" s="29"/>
      <c r="FK253" s="29"/>
      <c r="FL253" s="29"/>
      <c r="FM253" s="29"/>
      <c r="FN253" s="29"/>
      <c r="FO253" s="29"/>
      <c r="FP253" s="29"/>
      <c r="FQ253" s="29"/>
      <c r="FR253" s="29"/>
      <c r="FS253" s="29"/>
      <c r="FT253" s="29"/>
      <c r="FU253" s="29"/>
      <c r="FV253" s="29"/>
      <c r="FW253" s="29"/>
      <c r="FX253" s="29"/>
      <c r="FY253" s="29"/>
      <c r="FZ253" s="29"/>
      <c r="GA253" s="29"/>
      <c r="GB253" s="29"/>
      <c r="GC253" s="29"/>
      <c r="GD253" s="29"/>
      <c r="GE253" s="29"/>
      <c r="GF253" s="29"/>
      <c r="GG253" s="29"/>
      <c r="GH253" s="29"/>
      <c r="GI253" s="29"/>
      <c r="GJ253" s="29"/>
      <c r="GK253" s="29"/>
      <c r="GL253" s="29"/>
      <c r="GM253" s="29"/>
      <c r="GN253" s="29"/>
      <c r="GO253" s="29"/>
      <c r="GP253" s="29"/>
      <c r="GQ253" s="29"/>
      <c r="GR253" s="29"/>
      <c r="GS253" s="29"/>
      <c r="GT253" s="29"/>
      <c r="GU253" s="29"/>
      <c r="GV253" s="29"/>
      <c r="GW253" s="29"/>
      <c r="GX253" s="29"/>
      <c r="GY253" s="29"/>
      <c r="GZ253" s="29"/>
      <c r="HA253" s="29"/>
      <c r="HB253" s="29"/>
      <c r="HC253" s="29"/>
      <c r="HD253" s="29"/>
      <c r="HE253" s="29"/>
      <c r="HF253" s="29"/>
      <c r="HG253" s="29"/>
      <c r="HH253" s="29"/>
      <c r="HI253" s="29"/>
      <c r="HJ253" s="29"/>
      <c r="HK253" s="29"/>
      <c r="HL253" s="29"/>
      <c r="HM253" s="29"/>
      <c r="HN253" s="29"/>
      <c r="HO253" s="29"/>
      <c r="HP253" s="29"/>
      <c r="HQ253" s="29"/>
      <c r="HR253" s="29"/>
    </row>
    <row r="254" spans="1:226" s="46" customFormat="1" outlineLevel="1">
      <c r="A254" s="84"/>
      <c r="B254" s="114" t="s">
        <v>436</v>
      </c>
      <c r="C254" s="309"/>
      <c r="D254" s="50"/>
      <c r="E254" s="50"/>
      <c r="F254" s="310"/>
      <c r="G254" s="50"/>
      <c r="H254" s="50"/>
      <c r="I254" s="50"/>
      <c r="J254" s="50"/>
      <c r="K254" s="309"/>
      <c r="L254" s="50"/>
      <c r="M254" s="50"/>
      <c r="N254" s="310"/>
      <c r="O254" s="50"/>
      <c r="P254" s="50"/>
      <c r="Q254" s="50"/>
      <c r="R254" s="50"/>
      <c r="S254" s="309"/>
      <c r="T254" s="50"/>
      <c r="U254" s="50"/>
      <c r="V254" s="310"/>
      <c r="W254" s="50"/>
      <c r="X254" s="50"/>
      <c r="Y254" s="50"/>
      <c r="Z254" s="50"/>
      <c r="AA254" s="309"/>
      <c r="AB254" s="50"/>
      <c r="AC254" s="50"/>
      <c r="AD254" s="310"/>
      <c r="AE254" s="50"/>
      <c r="AF254" s="50"/>
      <c r="AG254" s="50"/>
      <c r="AH254" s="50"/>
      <c r="AI254" s="575"/>
      <c r="AJ254" s="574"/>
      <c r="AK254" s="574"/>
      <c r="AL254" s="576"/>
      <c r="AM254" s="583">
        <f>AM252-AM253-AM255</f>
        <v>102.42399999999992</v>
      </c>
      <c r="AN254" s="582">
        <f t="shared" ref="AN254:AP254" si="1195">AN252-AN253-AN255</f>
        <v>116.99986176272176</v>
      </c>
      <c r="AO254" s="582">
        <f t="shared" si="1195"/>
        <v>115.19999999999993</v>
      </c>
      <c r="AP254" s="584">
        <f t="shared" si="1195"/>
        <v>55.333000000000197</v>
      </c>
      <c r="AQ254" s="583">
        <f t="shared" ref="AQ254" si="1196">AQ252-AQ253-AQ255</f>
        <v>31.002975610634167</v>
      </c>
      <c r="AR254" s="582">
        <f t="shared" ref="AR254" si="1197">AR252-AR253-AR255</f>
        <v>27.996642972012182</v>
      </c>
      <c r="AS254" s="582">
        <f t="shared" ref="AS254" si="1198">AS252-AS253-AS255</f>
        <v>25.004632649343449</v>
      </c>
      <c r="AT254" s="584">
        <f t="shared" ref="AT254" si="1199">AT252-AT253-AT255</f>
        <v>20.999719085981951</v>
      </c>
      <c r="AU254" s="583">
        <f>AU141</f>
        <v>28.7</v>
      </c>
      <c r="AV254" s="582">
        <f t="shared" ref="AV254:AX254" si="1200">AV252-AV253-AV255</f>
        <v>27.160539594409215</v>
      </c>
      <c r="AW254" s="582">
        <f t="shared" si="1200"/>
        <v>26.029384278065208</v>
      </c>
      <c r="AX254" s="805">
        <f t="shared" si="1200"/>
        <v>29.019598897352353</v>
      </c>
      <c r="AY254" s="583">
        <f>AY141</f>
        <v>35</v>
      </c>
      <c r="AZ254" s="915">
        <f t="shared" ref="AZ254:BB254" si="1201">AZ252-AZ253-AZ255</f>
        <v>31.343493981724805</v>
      </c>
      <c r="BA254" s="915">
        <f t="shared" si="1201"/>
        <v>34.986124518211909</v>
      </c>
      <c r="BB254" s="805">
        <f t="shared" si="1201"/>
        <v>34.694687562699755</v>
      </c>
      <c r="BC254" s="950">
        <f t="shared" ref="BC254:BD254" si="1202">BC141</f>
        <v>37</v>
      </c>
      <c r="BD254" s="951">
        <f t="shared" si="1202"/>
        <v>38</v>
      </c>
      <c r="BE254" s="138">
        <f t="shared" ref="BE254:BJ254" si="1203">BE141</f>
        <v>39</v>
      </c>
      <c r="BF254" s="952">
        <f t="shared" si="1203"/>
        <v>39</v>
      </c>
      <c r="BG254" s="950">
        <f t="shared" si="1203"/>
        <v>40.56</v>
      </c>
      <c r="BH254" s="951">
        <f t="shared" si="1203"/>
        <v>42.182400000000001</v>
      </c>
      <c r="BI254" s="138">
        <f t="shared" si="1203"/>
        <v>43.869696000000005</v>
      </c>
      <c r="BJ254" s="952">
        <f t="shared" si="1203"/>
        <v>45.624483840000003</v>
      </c>
      <c r="BK254" s="950">
        <f t="shared" ref="BK254:BN254" si="1204">BK141</f>
        <v>46.536973516800003</v>
      </c>
      <c r="BL254" s="951">
        <f t="shared" si="1204"/>
        <v>47.467712987136004</v>
      </c>
      <c r="BM254" s="138">
        <f t="shared" si="1204"/>
        <v>48.417067246878723</v>
      </c>
      <c r="BN254" s="952">
        <f t="shared" si="1204"/>
        <v>49.385408591816301</v>
      </c>
      <c r="BO254" s="89"/>
      <c r="BP254" s="89"/>
      <c r="BQ254" s="89"/>
      <c r="BR254" s="89"/>
      <c r="BS254" s="89"/>
      <c r="BT254" s="89"/>
      <c r="BU254" s="182"/>
      <c r="BV254" s="182"/>
      <c r="BW254" s="182"/>
      <c r="BX254" s="582">
        <f t="shared" ref="BX254" si="1205">BX252-BX253-BX255</f>
        <v>292.52346246768298</v>
      </c>
      <c r="BY254" s="582">
        <f>BY141</f>
        <v>389.95699999999999</v>
      </c>
      <c r="BZ254" s="88">
        <f>BZ141</f>
        <v>105</v>
      </c>
      <c r="CA254" s="88">
        <f>CA141</f>
        <v>112.7</v>
      </c>
      <c r="CB254" s="88">
        <f>CB141</f>
        <v>136</v>
      </c>
      <c r="CC254" s="88">
        <f t="shared" si="1176"/>
        <v>153</v>
      </c>
      <c r="CD254" s="88">
        <f t="shared" si="1177"/>
        <v>172.23657984000002</v>
      </c>
      <c r="CE254" s="88">
        <f t="shared" si="1169"/>
        <v>191.80716234263105</v>
      </c>
      <c r="CF254" s="88"/>
      <c r="CG254" s="88"/>
      <c r="CH254" s="88"/>
      <c r="CI254" s="29"/>
      <c r="CJ254" s="2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29"/>
      <c r="DD254" s="2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29"/>
      <c r="DX254" s="2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29"/>
      <c r="ER254" s="29"/>
      <c r="ES254" s="29"/>
      <c r="ET254" s="29"/>
      <c r="EU254" s="29"/>
      <c r="EV254" s="29"/>
      <c r="EW254" s="29"/>
      <c r="EX254" s="29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29"/>
      <c r="FJ254" s="29"/>
      <c r="FK254" s="29"/>
      <c r="FL254" s="29"/>
      <c r="FM254" s="29"/>
      <c r="FN254" s="29"/>
      <c r="FO254" s="29"/>
      <c r="FP254" s="29"/>
      <c r="FQ254" s="29"/>
      <c r="FR254" s="29"/>
      <c r="FS254" s="29"/>
      <c r="FT254" s="29"/>
      <c r="FU254" s="29"/>
      <c r="FV254" s="29"/>
      <c r="FW254" s="29"/>
      <c r="FX254" s="29"/>
      <c r="FY254" s="29"/>
      <c r="FZ254" s="29"/>
      <c r="GA254" s="29"/>
      <c r="GB254" s="29"/>
      <c r="GC254" s="29"/>
      <c r="GD254" s="29"/>
      <c r="GE254" s="29"/>
      <c r="GF254" s="29"/>
      <c r="GG254" s="29"/>
      <c r="GH254" s="29"/>
      <c r="GI254" s="29"/>
      <c r="GJ254" s="29"/>
      <c r="GK254" s="29"/>
      <c r="GL254" s="29"/>
      <c r="GM254" s="29"/>
      <c r="GN254" s="29"/>
      <c r="GO254" s="29"/>
      <c r="GP254" s="29"/>
      <c r="GQ254" s="29"/>
      <c r="GR254" s="29"/>
      <c r="GS254" s="29"/>
      <c r="GT254" s="29"/>
      <c r="GU254" s="29"/>
      <c r="GV254" s="29"/>
      <c r="GW254" s="29"/>
      <c r="GX254" s="29"/>
      <c r="GY254" s="29"/>
      <c r="GZ254" s="29"/>
      <c r="HA254" s="29"/>
      <c r="HB254" s="29"/>
      <c r="HC254" s="29"/>
      <c r="HD254" s="29"/>
      <c r="HE254" s="29"/>
      <c r="HF254" s="29"/>
      <c r="HG254" s="29"/>
      <c r="HH254" s="29"/>
      <c r="HI254" s="29"/>
      <c r="HJ254" s="29"/>
      <c r="HK254" s="29"/>
      <c r="HL254" s="29"/>
      <c r="HM254" s="29"/>
      <c r="HN254" s="29"/>
      <c r="HO254" s="29"/>
      <c r="HP254" s="29"/>
      <c r="HQ254" s="29"/>
      <c r="HR254" s="29"/>
    </row>
    <row r="255" spans="1:226" s="46" customFormat="1" outlineLevel="1">
      <c r="A255" s="84"/>
      <c r="B255" s="114" t="s">
        <v>392</v>
      </c>
      <c r="C255" s="309"/>
      <c r="D255" s="50"/>
      <c r="E255" s="50"/>
      <c r="F255" s="310"/>
      <c r="G255" s="151"/>
      <c r="H255" s="50"/>
      <c r="I255" s="50"/>
      <c r="J255" s="50"/>
      <c r="K255" s="309"/>
      <c r="L255" s="50"/>
      <c r="M255" s="50"/>
      <c r="N255" s="310"/>
      <c r="O255" s="50"/>
      <c r="P255" s="50"/>
      <c r="Q255" s="50"/>
      <c r="R255" s="50"/>
      <c r="S255" s="309"/>
      <c r="T255" s="50"/>
      <c r="U255" s="50"/>
      <c r="V255" s="310"/>
      <c r="W255" s="50"/>
      <c r="X255" s="50"/>
      <c r="Y255" s="50"/>
      <c r="Z255" s="50"/>
      <c r="AA255" s="309"/>
      <c r="AB255" s="50"/>
      <c r="AC255" s="50"/>
      <c r="AD255" s="310"/>
      <c r="AE255" s="50"/>
      <c r="AF255" s="50"/>
      <c r="AG255" s="50"/>
      <c r="AH255" s="50"/>
      <c r="AI255" s="343"/>
      <c r="AJ255" s="48"/>
      <c r="AK255" s="48"/>
      <c r="AL255" s="344"/>
      <c r="AM255" s="343">
        <f t="shared" ref="AM255:AV255" si="1206">AM200</f>
        <v>66</v>
      </c>
      <c r="AN255" s="48">
        <f t="shared" si="1206"/>
        <v>66</v>
      </c>
      <c r="AO255" s="48">
        <f t="shared" si="1206"/>
        <v>66</v>
      </c>
      <c r="AP255" s="344">
        <f t="shared" si="1206"/>
        <v>66</v>
      </c>
      <c r="AQ255" s="343">
        <f t="shared" si="1206"/>
        <v>66</v>
      </c>
      <c r="AR255" s="48">
        <f t="shared" si="1206"/>
        <v>66</v>
      </c>
      <c r="AS255" s="48">
        <f t="shared" si="1206"/>
        <v>66</v>
      </c>
      <c r="AT255" s="344">
        <f t="shared" si="1206"/>
        <v>66</v>
      </c>
      <c r="AU255" s="343">
        <f t="shared" ref="AU255" si="1207">AU200</f>
        <v>66</v>
      </c>
      <c r="AV255" s="48">
        <f t="shared" si="1206"/>
        <v>66</v>
      </c>
      <c r="AW255" s="48">
        <f t="shared" ref="AW255:AZ255" si="1208">AW200</f>
        <v>66</v>
      </c>
      <c r="AX255" s="762">
        <f t="shared" si="1208"/>
        <v>66</v>
      </c>
      <c r="AY255" s="343">
        <f t="shared" si="1208"/>
        <v>43</v>
      </c>
      <c r="AZ255" s="758">
        <f t="shared" si="1208"/>
        <v>0</v>
      </c>
      <c r="BA255" s="758">
        <f t="shared" ref="BA255:BB255" si="1209">BA200</f>
        <v>0</v>
      </c>
      <c r="BB255" s="762">
        <f t="shared" si="1209"/>
        <v>0</v>
      </c>
      <c r="BC255" s="227">
        <f t="shared" ref="BC255:BD255" si="1210">BC200</f>
        <v>0</v>
      </c>
      <c r="BD255" s="953">
        <f t="shared" si="1210"/>
        <v>0</v>
      </c>
      <c r="BE255" s="62">
        <f t="shared" ref="BE255:BJ255" si="1211">BE200</f>
        <v>0</v>
      </c>
      <c r="BF255" s="228">
        <f t="shared" si="1211"/>
        <v>0</v>
      </c>
      <c r="BG255" s="227">
        <f t="shared" si="1211"/>
        <v>0</v>
      </c>
      <c r="BH255" s="953">
        <f t="shared" si="1211"/>
        <v>0</v>
      </c>
      <c r="BI255" s="62">
        <f t="shared" si="1211"/>
        <v>0</v>
      </c>
      <c r="BJ255" s="228">
        <f t="shared" si="1211"/>
        <v>0</v>
      </c>
      <c r="BK255" s="227">
        <f t="shared" ref="BK255:BN255" si="1212">BK200</f>
        <v>0</v>
      </c>
      <c r="BL255" s="953">
        <f t="shared" si="1212"/>
        <v>0</v>
      </c>
      <c r="BM255" s="62">
        <f t="shared" si="1212"/>
        <v>0</v>
      </c>
      <c r="BN255" s="228">
        <f t="shared" si="1212"/>
        <v>0</v>
      </c>
      <c r="BO255" s="89"/>
      <c r="BP255" s="47"/>
      <c r="BQ255" s="47"/>
      <c r="BR255" s="47"/>
      <c r="BS255" s="47"/>
      <c r="BT255" s="47"/>
      <c r="BU255" s="50"/>
      <c r="BV255" s="50"/>
      <c r="BW255" s="50"/>
      <c r="BX255" s="48">
        <f t="shared" ref="BX255" si="1213">BX200</f>
        <v>264</v>
      </c>
      <c r="BY255" s="48">
        <f>BY200</f>
        <v>264</v>
      </c>
      <c r="BZ255" s="88">
        <f t="shared" si="1174"/>
        <v>264</v>
      </c>
      <c r="CA255" s="29">
        <f t="shared" si="1175"/>
        <v>264</v>
      </c>
      <c r="CB255" s="29">
        <f>SUM(AY255:BB255)</f>
        <v>43</v>
      </c>
      <c r="CC255" s="29">
        <f t="shared" si="1176"/>
        <v>0</v>
      </c>
      <c r="CD255" s="29">
        <f t="shared" si="1177"/>
        <v>0</v>
      </c>
      <c r="CE255" s="29">
        <f t="shared" si="1169"/>
        <v>0</v>
      </c>
      <c r="CF255" s="88"/>
      <c r="CG255" s="88"/>
      <c r="CH255" s="29"/>
      <c r="CI255" s="29"/>
      <c r="CJ255" s="2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29"/>
      <c r="DD255" s="2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29"/>
      <c r="DX255" s="2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29"/>
      <c r="ER255" s="29"/>
      <c r="ES255" s="29"/>
      <c r="ET255" s="29"/>
      <c r="EU255" s="29"/>
      <c r="EV255" s="29"/>
      <c r="EW255" s="29"/>
      <c r="EX255" s="29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29"/>
      <c r="FJ255" s="29"/>
      <c r="FK255" s="29"/>
      <c r="FL255" s="29"/>
      <c r="FM255" s="29"/>
      <c r="FN255" s="29"/>
      <c r="FO255" s="29"/>
      <c r="FP255" s="29"/>
      <c r="FQ255" s="29"/>
      <c r="FR255" s="29"/>
      <c r="FS255" s="29"/>
      <c r="FT255" s="29"/>
      <c r="FU255" s="29"/>
      <c r="FV255" s="29"/>
      <c r="FW255" s="29"/>
      <c r="FX255" s="29"/>
      <c r="FY255" s="29"/>
      <c r="FZ255" s="29"/>
      <c r="GA255" s="29"/>
      <c r="GB255" s="29"/>
      <c r="GC255" s="29"/>
      <c r="GD255" s="29"/>
      <c r="GE255" s="29"/>
      <c r="GF255" s="29"/>
      <c r="GG255" s="29"/>
      <c r="GH255" s="29"/>
      <c r="GI255" s="29"/>
      <c r="GJ255" s="29"/>
      <c r="GK255" s="29"/>
      <c r="GL255" s="29"/>
      <c r="GM255" s="29"/>
      <c r="GN255" s="29"/>
      <c r="GO255" s="29"/>
      <c r="GP255" s="29"/>
      <c r="GQ255" s="29"/>
      <c r="GR255" s="29"/>
      <c r="GS255" s="29"/>
      <c r="GT255" s="29"/>
      <c r="GU255" s="29"/>
      <c r="GV255" s="29"/>
      <c r="GW255" s="29"/>
      <c r="GX255" s="29"/>
      <c r="GY255" s="29"/>
      <c r="GZ255" s="29"/>
      <c r="HA255" s="29"/>
      <c r="HB255" s="29"/>
      <c r="HC255" s="29"/>
      <c r="HD255" s="29"/>
      <c r="HE255" s="29"/>
      <c r="HF255" s="29"/>
      <c r="HG255" s="29"/>
      <c r="HH255" s="29"/>
      <c r="HI255" s="29"/>
      <c r="HJ255" s="29"/>
      <c r="HK255" s="29"/>
      <c r="HL255" s="29"/>
      <c r="HM255" s="29"/>
      <c r="HN255" s="29"/>
      <c r="HO255" s="29"/>
      <c r="HP255" s="29"/>
      <c r="HQ255" s="29"/>
      <c r="HR255" s="29"/>
    </row>
    <row r="256" spans="1:226" s="46" customFormat="1">
      <c r="A256" s="84"/>
      <c r="B256" s="535" t="s">
        <v>396</v>
      </c>
      <c r="C256" s="612"/>
      <c r="D256" s="613"/>
      <c r="E256" s="613"/>
      <c r="F256" s="614"/>
      <c r="G256" s="615"/>
      <c r="H256" s="613"/>
      <c r="I256" s="613"/>
      <c r="J256" s="613"/>
      <c r="K256" s="612"/>
      <c r="L256" s="613"/>
      <c r="M256" s="613"/>
      <c r="N256" s="614"/>
      <c r="O256" s="613"/>
      <c r="P256" s="613"/>
      <c r="Q256" s="613"/>
      <c r="R256" s="613"/>
      <c r="S256" s="612"/>
      <c r="T256" s="613"/>
      <c r="U256" s="613"/>
      <c r="V256" s="614"/>
      <c r="W256" s="613"/>
      <c r="X256" s="613"/>
      <c r="Y256" s="613"/>
      <c r="Z256" s="613"/>
      <c r="AA256" s="612"/>
      <c r="AB256" s="613"/>
      <c r="AC256" s="613"/>
      <c r="AD256" s="614"/>
      <c r="AE256" s="613"/>
      <c r="AF256" s="613"/>
      <c r="AG256" s="613"/>
      <c r="AH256" s="613"/>
      <c r="AI256" s="612"/>
      <c r="AJ256" s="613"/>
      <c r="AK256" s="613"/>
      <c r="AL256" s="614"/>
      <c r="AM256" s="612">
        <f t="shared" ref="AM256:AT256" si="1214">SUM(AM248:AM252)</f>
        <v>1102.787</v>
      </c>
      <c r="AN256" s="613">
        <f t="shared" si="1214"/>
        <v>1102.8240000000001</v>
      </c>
      <c r="AO256" s="613">
        <f t="shared" si="1214"/>
        <v>1225.3820000000001</v>
      </c>
      <c r="AP256" s="614">
        <f t="shared" si="1214"/>
        <v>1250.5140000000001</v>
      </c>
      <c r="AQ256" s="612">
        <f t="shared" si="1214"/>
        <v>1151</v>
      </c>
      <c r="AR256" s="613">
        <f t="shared" si="1214"/>
        <v>1153</v>
      </c>
      <c r="AS256" s="613">
        <f t="shared" si="1214"/>
        <v>1305.0000000000002</v>
      </c>
      <c r="AT256" s="614">
        <f t="shared" si="1214"/>
        <v>1401</v>
      </c>
      <c r="AU256" s="612">
        <f t="shared" ref="AU256:AX256" si="1215">SUM(AU248:AU252)</f>
        <v>1305</v>
      </c>
      <c r="AV256" s="613">
        <f t="shared" si="1215"/>
        <v>1428</v>
      </c>
      <c r="AW256" s="613">
        <f t="shared" si="1215"/>
        <v>2004</v>
      </c>
      <c r="AX256" s="806">
        <f t="shared" si="1215"/>
        <v>2173</v>
      </c>
      <c r="AY256" s="612">
        <f t="shared" ref="AY256:AZ256" si="1216">SUM(AY248:AY252)</f>
        <v>1937</v>
      </c>
      <c r="AZ256" s="916">
        <f t="shared" si="1216"/>
        <v>2230</v>
      </c>
      <c r="BA256" s="613">
        <f t="shared" ref="BA256:BB256" si="1217">SUM(BA248:BA252)</f>
        <v>2636</v>
      </c>
      <c r="BB256" s="806">
        <f t="shared" si="1217"/>
        <v>2911</v>
      </c>
      <c r="BC256" s="612">
        <f t="shared" ref="BC256:BD256" si="1218">SUM(BC248:BC252)</f>
        <v>2921.4992061885541</v>
      </c>
      <c r="BD256" s="916">
        <f t="shared" si="1218"/>
        <v>3157.792986117518</v>
      </c>
      <c r="BE256" s="613">
        <f t="shared" ref="BE256:BJ256" si="1219">SUM(BE248:BE252)</f>
        <v>3408.7675135686595</v>
      </c>
      <c r="BF256" s="614">
        <f t="shared" si="1219"/>
        <v>3540.3997760779021</v>
      </c>
      <c r="BG256" s="612">
        <f t="shared" si="1219"/>
        <v>3289.1239326392815</v>
      </c>
      <c r="BH256" s="916">
        <f t="shared" si="1219"/>
        <v>3683.0310512199735</v>
      </c>
      <c r="BI256" s="613">
        <f t="shared" si="1219"/>
        <v>3983.4520978772739</v>
      </c>
      <c r="BJ256" s="614">
        <f t="shared" si="1219"/>
        <v>4039.3637847652603</v>
      </c>
      <c r="BK256" s="612">
        <f t="shared" ref="BK256:BN256" si="1220">SUM(BK248:BK252)</f>
        <v>3778.7515910203692</v>
      </c>
      <c r="BL256" s="916">
        <f t="shared" si="1220"/>
        <v>4237.0212800938998</v>
      </c>
      <c r="BM256" s="613">
        <f t="shared" si="1220"/>
        <v>4549.6430580955684</v>
      </c>
      <c r="BN256" s="614">
        <f t="shared" si="1220"/>
        <v>4637.8781018430618</v>
      </c>
      <c r="BO256" s="616"/>
      <c r="BP256" s="617"/>
      <c r="BQ256" s="617"/>
      <c r="BR256" s="617"/>
      <c r="BS256" s="617"/>
      <c r="BT256" s="617"/>
      <c r="BU256" s="613"/>
      <c r="BV256" s="613"/>
      <c r="BW256" s="613"/>
      <c r="BX256" s="613">
        <f>SUM(BX248:BX252)</f>
        <v>4130.1620000000003</v>
      </c>
      <c r="BY256" s="613">
        <f>SUM(BY248:BY252)</f>
        <v>4681.5069999999996</v>
      </c>
      <c r="BZ256" s="616">
        <f t="shared" si="1174"/>
        <v>5010</v>
      </c>
      <c r="CA256" s="617">
        <f t="shared" si="1175"/>
        <v>6910</v>
      </c>
      <c r="CB256" s="617">
        <f>SUM(AY256:BB256)</f>
        <v>9714</v>
      </c>
      <c r="CC256" s="617">
        <f>SUM(BC256:BF256)</f>
        <v>13028.459481952634</v>
      </c>
      <c r="CD256" s="617">
        <f>SUM(BG256:BJ256)</f>
        <v>14994.97086650179</v>
      </c>
      <c r="CE256" s="617">
        <f t="shared" si="1169"/>
        <v>17203.294031052901</v>
      </c>
      <c r="CF256" s="88"/>
      <c r="CG256" s="88"/>
      <c r="CH256" s="29"/>
      <c r="CI256" s="29"/>
      <c r="CJ256" s="29"/>
      <c r="CK256" s="29"/>
      <c r="CL256" s="29"/>
      <c r="CM256" s="29"/>
      <c r="CN256" s="29"/>
      <c r="CO256" s="29"/>
      <c r="CP256" s="29"/>
      <c r="CQ256" s="29"/>
      <c r="CR256" s="29"/>
      <c r="CS256" s="29"/>
      <c r="CT256" s="29"/>
      <c r="CU256" s="29"/>
      <c r="CV256" s="29"/>
      <c r="CW256" s="29"/>
      <c r="CX256" s="29"/>
      <c r="CY256" s="29"/>
      <c r="CZ256" s="29"/>
      <c r="DA256" s="29"/>
      <c r="DB256" s="29"/>
      <c r="DC256" s="29"/>
      <c r="DD256" s="29"/>
      <c r="DE256" s="29"/>
      <c r="DF256" s="29"/>
      <c r="DG256" s="29"/>
      <c r="DH256" s="29"/>
      <c r="DI256" s="29"/>
      <c r="DJ256" s="29"/>
      <c r="DK256" s="29"/>
      <c r="DL256" s="29"/>
      <c r="DM256" s="29"/>
      <c r="DN256" s="29"/>
      <c r="DO256" s="29"/>
      <c r="DP256" s="29"/>
      <c r="DQ256" s="29"/>
      <c r="DR256" s="29"/>
      <c r="DS256" s="29"/>
      <c r="DT256" s="29"/>
      <c r="DU256" s="29"/>
      <c r="DV256" s="29"/>
      <c r="DW256" s="29"/>
      <c r="DX256" s="29"/>
      <c r="DY256" s="29"/>
      <c r="DZ256" s="29"/>
      <c r="EA256" s="29"/>
      <c r="EB256" s="29"/>
      <c r="EC256" s="29"/>
      <c r="ED256" s="29"/>
      <c r="EE256" s="29"/>
      <c r="EF256" s="29"/>
      <c r="EG256" s="29"/>
      <c r="EH256" s="29"/>
      <c r="EI256" s="29"/>
      <c r="EJ256" s="29"/>
      <c r="EK256" s="29"/>
      <c r="EL256" s="29"/>
      <c r="EM256" s="29"/>
      <c r="EN256" s="29"/>
      <c r="EO256" s="29"/>
      <c r="EP256" s="29"/>
      <c r="EQ256" s="29"/>
      <c r="ER256" s="29"/>
      <c r="ES256" s="29"/>
      <c r="ET256" s="29"/>
      <c r="EU256" s="29"/>
      <c r="EV256" s="29"/>
      <c r="EW256" s="29"/>
      <c r="EX256" s="29"/>
      <c r="EY256" s="29"/>
      <c r="EZ256" s="29"/>
      <c r="FA256" s="29"/>
      <c r="FB256" s="29"/>
      <c r="FC256" s="29"/>
      <c r="FD256" s="29"/>
      <c r="FE256" s="29"/>
      <c r="FF256" s="29"/>
      <c r="FG256" s="29"/>
      <c r="FH256" s="29"/>
      <c r="FI256" s="29"/>
      <c r="FJ256" s="29"/>
      <c r="FK256" s="29"/>
      <c r="FL256" s="29"/>
      <c r="FM256" s="29"/>
      <c r="FN256" s="29"/>
      <c r="FO256" s="29"/>
      <c r="FP256" s="29"/>
      <c r="FQ256" s="29"/>
      <c r="FR256" s="29"/>
      <c r="FS256" s="29"/>
      <c r="FT256" s="29"/>
      <c r="FU256" s="29"/>
      <c r="FV256" s="29"/>
      <c r="FW256" s="29"/>
      <c r="FX256" s="29"/>
      <c r="FY256" s="29"/>
      <c r="FZ256" s="29"/>
      <c r="GA256" s="29"/>
      <c r="GB256" s="29"/>
      <c r="GC256" s="29"/>
      <c r="GD256" s="29"/>
      <c r="GE256" s="29"/>
      <c r="GF256" s="29"/>
      <c r="GG256" s="29"/>
      <c r="GH256" s="29"/>
      <c r="GI256" s="29"/>
      <c r="GJ256" s="29"/>
      <c r="GK256" s="29"/>
      <c r="GL256" s="29"/>
      <c r="GM256" s="29"/>
      <c r="GN256" s="29"/>
      <c r="GO256" s="29"/>
      <c r="GP256" s="29"/>
      <c r="GQ256" s="29"/>
      <c r="GR256" s="29"/>
      <c r="GS256" s="29"/>
      <c r="GT256" s="29"/>
      <c r="GU256" s="29"/>
      <c r="GV256" s="29"/>
      <c r="GW256" s="29"/>
      <c r="GX256" s="29"/>
      <c r="GY256" s="29"/>
      <c r="GZ256" s="29"/>
      <c r="HA256" s="29"/>
      <c r="HB256" s="29"/>
      <c r="HC256" s="29"/>
      <c r="HD256" s="29"/>
      <c r="HE256" s="29"/>
      <c r="HF256" s="29"/>
      <c r="HG256" s="29"/>
      <c r="HH256" s="29"/>
      <c r="HI256" s="29"/>
      <c r="HJ256" s="29"/>
      <c r="HK256" s="29"/>
      <c r="HL256" s="29"/>
      <c r="HM256" s="29"/>
      <c r="HN256" s="29"/>
      <c r="HO256" s="29"/>
      <c r="HP256" s="29"/>
      <c r="HQ256" s="29"/>
      <c r="HR256" s="29"/>
    </row>
    <row r="257" spans="1:226" s="46" customFormat="1" hidden="1" outlineLevel="1">
      <c r="A257" s="84"/>
      <c r="B257" s="114" t="s">
        <v>398</v>
      </c>
      <c r="C257" s="309"/>
      <c r="D257" s="50"/>
      <c r="E257" s="50"/>
      <c r="F257" s="310"/>
      <c r="G257" s="151"/>
      <c r="H257" s="50"/>
      <c r="I257" s="50"/>
      <c r="J257" s="50"/>
      <c r="K257" s="309"/>
      <c r="L257" s="50"/>
      <c r="M257" s="50"/>
      <c r="N257" s="310"/>
      <c r="O257" s="50"/>
      <c r="P257" s="50"/>
      <c r="Q257" s="50"/>
      <c r="R257" s="50"/>
      <c r="S257" s="309"/>
      <c r="T257" s="50"/>
      <c r="U257" s="50"/>
      <c r="V257" s="310"/>
      <c r="W257" s="50"/>
      <c r="X257" s="50"/>
      <c r="Y257" s="50"/>
      <c r="Z257" s="50"/>
      <c r="AA257" s="309"/>
      <c r="AB257" s="50"/>
      <c r="AC257" s="50"/>
      <c r="AD257" s="310"/>
      <c r="AE257" s="50"/>
      <c r="AF257" s="50"/>
      <c r="AG257" s="50"/>
      <c r="AH257" s="50"/>
      <c r="AI257" s="343"/>
      <c r="AJ257" s="48"/>
      <c r="AK257" s="48"/>
      <c r="AL257" s="344"/>
      <c r="AM257" s="343">
        <f>SUM(AM248:AM252)-AM238</f>
        <v>0</v>
      </c>
      <c r="AN257" s="661">
        <f t="shared" ref="AN257:AP257" si="1221">SUM(AN248:AN252)-AN238</f>
        <v>0</v>
      </c>
      <c r="AO257" s="650">
        <f t="shared" si="1221"/>
        <v>0</v>
      </c>
      <c r="AP257" s="651">
        <f t="shared" si="1221"/>
        <v>0</v>
      </c>
      <c r="AQ257" s="652">
        <f>SUM(AQ248:AQ252)-AQ238</f>
        <v>0</v>
      </c>
      <c r="AR257" s="661">
        <f t="shared" ref="AR257:AS257" si="1222">SUM(AR248:AR252)-AR238</f>
        <v>0</v>
      </c>
      <c r="AS257" s="661">
        <f t="shared" si="1222"/>
        <v>0</v>
      </c>
      <c r="AT257" s="651"/>
      <c r="AU257" s="343"/>
      <c r="AV257" s="48"/>
      <c r="AW257" s="758">
        <f t="shared" ref="AW257" si="1223">SUM(AW248:AW252)-AW238</f>
        <v>0</v>
      </c>
      <c r="AX257" s="762"/>
      <c r="AY257" s="758"/>
      <c r="AZ257" s="758"/>
      <c r="BA257" s="48"/>
      <c r="BB257" s="762"/>
      <c r="BC257" s="758"/>
      <c r="BD257" s="758"/>
      <c r="BE257" s="48"/>
      <c r="BF257" s="344"/>
      <c r="BG257" s="758"/>
      <c r="BH257" s="758"/>
      <c r="BI257" s="48"/>
      <c r="BJ257" s="344"/>
      <c r="BK257" s="758"/>
      <c r="BL257" s="758"/>
      <c r="BM257" s="48"/>
      <c r="BN257" s="344"/>
      <c r="BO257" s="89"/>
      <c r="BP257" s="47"/>
      <c r="BQ257" s="47"/>
      <c r="BR257" s="47"/>
      <c r="BS257" s="47"/>
      <c r="BT257" s="47"/>
      <c r="BU257" s="50"/>
      <c r="BV257" s="50"/>
      <c r="BW257" s="50"/>
      <c r="BX257" s="48">
        <f>SUM(BX248:BX252)-BX238</f>
        <v>0</v>
      </c>
      <c r="BY257" s="48">
        <f>SUM(BY248:BY252)-BY238</f>
        <v>0</v>
      </c>
      <c r="BZ257" s="48"/>
      <c r="CA257" s="29"/>
      <c r="CB257" s="29"/>
      <c r="CC257" s="29"/>
      <c r="CD257" s="29"/>
      <c r="CE257" s="29"/>
      <c r="CF257" s="88"/>
      <c r="CG257" s="88"/>
      <c r="CH257" s="29"/>
      <c r="CI257" s="29"/>
      <c r="CJ257" s="2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29"/>
      <c r="DD257" s="2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29"/>
      <c r="DX257" s="2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29"/>
      <c r="ER257" s="29"/>
      <c r="ES257" s="29"/>
      <c r="ET257" s="29"/>
      <c r="EU257" s="29"/>
      <c r="EV257" s="29"/>
      <c r="EW257" s="29"/>
      <c r="EX257" s="29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29"/>
      <c r="FJ257" s="29"/>
      <c r="FK257" s="29"/>
      <c r="FL257" s="29"/>
      <c r="FM257" s="29"/>
      <c r="FN257" s="29"/>
      <c r="FO257" s="29"/>
      <c r="FP257" s="29"/>
      <c r="FQ257" s="29"/>
      <c r="FR257" s="29"/>
      <c r="FS257" s="29"/>
      <c r="FT257" s="29"/>
      <c r="FU257" s="29"/>
      <c r="FV257" s="29"/>
      <c r="FW257" s="29"/>
      <c r="FX257" s="29"/>
      <c r="FY257" s="29"/>
      <c r="FZ257" s="29"/>
      <c r="GA257" s="29"/>
      <c r="GB257" s="29"/>
      <c r="GC257" s="29"/>
      <c r="GD257" s="29"/>
      <c r="GE257" s="29"/>
      <c r="GF257" s="29"/>
      <c r="GG257" s="29"/>
      <c r="GH257" s="29"/>
      <c r="GI257" s="29"/>
      <c r="GJ257" s="29"/>
      <c r="GK257" s="29"/>
      <c r="GL257" s="29"/>
      <c r="GM257" s="29"/>
      <c r="GN257" s="29"/>
      <c r="GO257" s="29"/>
      <c r="GP257" s="29"/>
      <c r="GQ257" s="29"/>
      <c r="GR257" s="29"/>
      <c r="GS257" s="29"/>
      <c r="GT257" s="29"/>
      <c r="GU257" s="29"/>
      <c r="GV257" s="29"/>
      <c r="GW257" s="29"/>
      <c r="GX257" s="29"/>
      <c r="GY257" s="29"/>
      <c r="GZ257" s="29"/>
      <c r="HA257" s="29"/>
      <c r="HB257" s="29"/>
      <c r="HC257" s="29"/>
      <c r="HD257" s="29"/>
      <c r="HE257" s="29"/>
      <c r="HF257" s="29"/>
      <c r="HG257" s="29"/>
      <c r="HH257" s="29"/>
      <c r="HI257" s="29"/>
      <c r="HJ257" s="29"/>
      <c r="HK257" s="29"/>
      <c r="HL257" s="29"/>
      <c r="HM257" s="29"/>
      <c r="HN257" s="29"/>
      <c r="HO257" s="29"/>
      <c r="HP257" s="29"/>
      <c r="HQ257" s="29"/>
      <c r="HR257" s="29"/>
    </row>
    <row r="258" spans="1:226" s="46" customFormat="1" collapsed="1">
      <c r="A258" s="84"/>
      <c r="B258" s="5"/>
      <c r="C258" s="309"/>
      <c r="D258" s="50"/>
      <c r="E258" s="50"/>
      <c r="F258" s="310"/>
      <c r="G258" s="151"/>
      <c r="H258" s="50"/>
      <c r="I258" s="50"/>
      <c r="J258" s="50"/>
      <c r="K258" s="309"/>
      <c r="L258" s="50"/>
      <c r="M258" s="50"/>
      <c r="N258" s="310"/>
      <c r="O258" s="50"/>
      <c r="P258" s="50"/>
      <c r="Q258" s="50"/>
      <c r="R258" s="50"/>
      <c r="S258" s="309"/>
      <c r="T258" s="50"/>
      <c r="U258" s="50"/>
      <c r="V258" s="310"/>
      <c r="W258" s="50"/>
      <c r="X258" s="50"/>
      <c r="Y258" s="50"/>
      <c r="Z258" s="50"/>
      <c r="AA258" s="309"/>
      <c r="AB258" s="50"/>
      <c r="AC258" s="50"/>
      <c r="AD258" s="310"/>
      <c r="AE258" s="50"/>
      <c r="AF258" s="50"/>
      <c r="AG258" s="50"/>
      <c r="AH258" s="50"/>
      <c r="AI258" s="343"/>
      <c r="AJ258" s="48"/>
      <c r="AK258" s="48"/>
      <c r="AL258" s="344"/>
      <c r="AM258" s="309"/>
      <c r="AN258" s="48"/>
      <c r="AO258" s="48"/>
      <c r="AP258" s="344"/>
      <c r="AQ258" s="309"/>
      <c r="AR258" s="48"/>
      <c r="AS258" s="48"/>
      <c r="AT258" s="344"/>
      <c r="AU258" s="679"/>
      <c r="AV258" s="48"/>
      <c r="AW258" s="758"/>
      <c r="AX258" s="762"/>
      <c r="AY258" s="758"/>
      <c r="AZ258" s="758"/>
      <c r="BA258" s="48"/>
      <c r="BB258" s="762"/>
      <c r="BC258" s="758"/>
      <c r="BD258" s="758"/>
      <c r="BE258" s="48"/>
      <c r="BF258" s="344"/>
      <c r="BG258" s="758"/>
      <c r="BH258" s="758"/>
      <c r="BI258" s="48"/>
      <c r="BJ258" s="344"/>
      <c r="BK258" s="758"/>
      <c r="BL258" s="758"/>
      <c r="BM258" s="48"/>
      <c r="BN258" s="344"/>
      <c r="BO258" s="89"/>
      <c r="BP258" s="47"/>
      <c r="BQ258" s="47"/>
      <c r="BR258" s="47"/>
      <c r="BS258" s="47"/>
      <c r="BT258" s="47"/>
      <c r="BU258" s="50"/>
      <c r="BV258" s="50"/>
      <c r="BW258" s="50"/>
      <c r="BX258" s="50"/>
      <c r="BY258" s="50"/>
      <c r="BZ258" s="48"/>
      <c r="CA258" s="29"/>
      <c r="CB258" s="29"/>
      <c r="CC258" s="29"/>
      <c r="CD258" s="29"/>
      <c r="CE258" s="29"/>
      <c r="CF258" s="88"/>
      <c r="CG258" s="88"/>
      <c r="CH258" s="29"/>
      <c r="CI258" s="29"/>
      <c r="CJ258" s="2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29"/>
      <c r="DD258" s="2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29"/>
      <c r="DX258" s="2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29"/>
      <c r="ER258" s="29"/>
      <c r="ES258" s="29"/>
      <c r="ET258" s="29"/>
      <c r="EU258" s="29"/>
      <c r="EV258" s="29"/>
      <c r="EW258" s="29"/>
      <c r="EX258" s="29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29"/>
      <c r="FJ258" s="29"/>
      <c r="FK258" s="29"/>
      <c r="FL258" s="29"/>
      <c r="FM258" s="29"/>
      <c r="FN258" s="29"/>
      <c r="FO258" s="29"/>
      <c r="FP258" s="29"/>
      <c r="FQ258" s="29"/>
      <c r="FR258" s="29"/>
      <c r="FS258" s="29"/>
      <c r="FT258" s="29"/>
      <c r="FU258" s="29"/>
      <c r="FV258" s="29"/>
      <c r="FW258" s="29"/>
      <c r="FX258" s="29"/>
      <c r="FY258" s="29"/>
      <c r="FZ258" s="29"/>
      <c r="GA258" s="29"/>
      <c r="GB258" s="29"/>
      <c r="GC258" s="29"/>
      <c r="GD258" s="29"/>
      <c r="GE258" s="29"/>
      <c r="GF258" s="29"/>
      <c r="GG258" s="29"/>
      <c r="GH258" s="29"/>
      <c r="GI258" s="29"/>
      <c r="GJ258" s="29"/>
      <c r="GK258" s="29"/>
      <c r="GL258" s="29"/>
      <c r="GM258" s="29"/>
      <c r="GN258" s="29"/>
      <c r="GO258" s="29"/>
      <c r="GP258" s="29"/>
      <c r="GQ258" s="29"/>
      <c r="GR258" s="29"/>
      <c r="GS258" s="29"/>
      <c r="GT258" s="29"/>
      <c r="GU258" s="29"/>
      <c r="GV258" s="29"/>
      <c r="GW258" s="29"/>
      <c r="GX258" s="29"/>
      <c r="GY258" s="29"/>
      <c r="GZ258" s="29"/>
      <c r="HA258" s="29"/>
      <c r="HB258" s="29"/>
      <c r="HC258" s="29"/>
      <c r="HD258" s="29"/>
      <c r="HE258" s="29"/>
      <c r="HF258" s="29"/>
      <c r="HG258" s="29"/>
      <c r="HH258" s="29"/>
      <c r="HI258" s="29"/>
      <c r="HJ258" s="29"/>
      <c r="HK258" s="29"/>
      <c r="HL258" s="29"/>
      <c r="HM258" s="29"/>
      <c r="HN258" s="29"/>
      <c r="HO258" s="29"/>
      <c r="HP258" s="29"/>
      <c r="HQ258" s="29"/>
      <c r="HR258" s="29"/>
    </row>
    <row r="259" spans="1:226">
      <c r="B259" s="415" t="s">
        <v>400</v>
      </c>
      <c r="C259" s="572"/>
      <c r="D259" s="534"/>
      <c r="E259" s="534"/>
      <c r="F259" s="573"/>
      <c r="G259" s="534"/>
      <c r="H259" s="534"/>
      <c r="I259" s="534"/>
      <c r="J259" s="534"/>
      <c r="K259" s="572"/>
      <c r="L259" s="534"/>
      <c r="M259" s="534"/>
      <c r="N259" s="573"/>
      <c r="O259" s="534"/>
      <c r="P259" s="534"/>
      <c r="Q259" s="534"/>
      <c r="R259" s="534"/>
      <c r="S259" s="572"/>
      <c r="T259" s="534"/>
      <c r="U259" s="534"/>
      <c r="V259" s="573"/>
      <c r="W259" s="534"/>
      <c r="X259" s="534"/>
      <c r="Y259" s="534"/>
      <c r="Z259" s="534"/>
      <c r="AA259" s="572"/>
      <c r="AB259" s="534"/>
      <c r="AC259" s="534"/>
      <c r="AD259" s="573"/>
      <c r="AE259" s="534"/>
      <c r="AF259" s="534"/>
      <c r="AG259" s="534"/>
      <c r="AH259" s="534"/>
      <c r="AI259" s="572"/>
      <c r="AJ259" s="534"/>
      <c r="AK259" s="534"/>
      <c r="AL259" s="573"/>
      <c r="AM259" s="572"/>
      <c r="AN259" s="534"/>
      <c r="AO259" s="534"/>
      <c r="AP259" s="573"/>
      <c r="AQ259" s="534"/>
      <c r="AR259" s="534"/>
      <c r="AS259" s="534"/>
      <c r="AT259" s="573"/>
      <c r="AU259" s="534"/>
      <c r="AV259" s="534"/>
      <c r="AW259" s="534"/>
      <c r="AX259" s="573"/>
      <c r="AY259" s="534"/>
      <c r="AZ259" s="534"/>
      <c r="BA259" s="534"/>
      <c r="BB259" s="573"/>
      <c r="BC259" s="534"/>
      <c r="BD259" s="534"/>
      <c r="BE259" s="534"/>
      <c r="BF259" s="573"/>
      <c r="BG259" s="534"/>
      <c r="BH259" s="534"/>
      <c r="BI259" s="534"/>
      <c r="BJ259" s="573"/>
      <c r="BK259" s="534"/>
      <c r="BL259" s="534"/>
      <c r="BM259" s="534"/>
      <c r="BN259" s="573"/>
      <c r="BO259" s="534"/>
      <c r="BP259" s="534"/>
      <c r="BQ259" s="534"/>
      <c r="BR259" s="534"/>
      <c r="BS259" s="534"/>
      <c r="BT259" s="534"/>
      <c r="BU259" s="534"/>
      <c r="BV259" s="534"/>
      <c r="BW259" s="534"/>
      <c r="BX259" s="534"/>
      <c r="BY259" s="534"/>
      <c r="BZ259" s="534"/>
      <c r="CA259" s="534"/>
      <c r="CB259" s="534"/>
      <c r="CC259" s="534"/>
      <c r="CD259" s="534"/>
      <c r="CE259" s="534"/>
      <c r="CF259" s="88"/>
      <c r="CG259" s="88"/>
    </row>
    <row r="260" spans="1:226" s="46" customFormat="1">
      <c r="A260" s="84"/>
      <c r="B260" s="5" t="s">
        <v>438</v>
      </c>
      <c r="C260" s="309"/>
      <c r="D260" s="50"/>
      <c r="E260" s="50"/>
      <c r="F260" s="310"/>
      <c r="G260" s="151"/>
      <c r="H260" s="50"/>
      <c r="I260" s="50"/>
      <c r="J260" s="50"/>
      <c r="K260" s="309"/>
      <c r="L260" s="50"/>
      <c r="M260" s="50"/>
      <c r="N260" s="310"/>
      <c r="O260" s="50"/>
      <c r="P260" s="50"/>
      <c r="Q260" s="50"/>
      <c r="R260" s="50"/>
      <c r="S260" s="309"/>
      <c r="T260" s="50"/>
      <c r="U260" s="50"/>
      <c r="V260" s="310"/>
      <c r="W260" s="50"/>
      <c r="X260" s="50"/>
      <c r="Y260" s="50"/>
      <c r="Z260" s="50"/>
      <c r="AA260" s="309"/>
      <c r="AB260" s="50"/>
      <c r="AC260" s="50"/>
      <c r="AD260" s="310"/>
      <c r="AE260" s="50"/>
      <c r="AF260" s="50"/>
      <c r="AG260" s="50"/>
      <c r="AH260" s="50"/>
      <c r="AI260" s="343"/>
      <c r="AJ260" s="48"/>
      <c r="AK260" s="48"/>
      <c r="AL260" s="344"/>
      <c r="AM260" s="585">
        <f>AM248/(AM248+AM253)</f>
        <v>0.71849337466205476</v>
      </c>
      <c r="AN260" s="638">
        <f>AN248/(AN248+AN253)</f>
        <v>0.70819107594390374</v>
      </c>
      <c r="AO260" s="638">
        <f t="shared" ref="AO260:AP260" si="1224">AO248/(AO248+AO253)</f>
        <v>0.75820454865289444</v>
      </c>
      <c r="AP260" s="660">
        <f t="shared" si="1224"/>
        <v>0.8123936562870594</v>
      </c>
      <c r="AQ260" s="585">
        <f>AQ248/(AQ248+AQ253)</f>
        <v>0.82851441825873473</v>
      </c>
      <c r="AR260" s="638">
        <f>AR248/(AR248+AR253)</f>
        <v>0.89384313636724066</v>
      </c>
      <c r="AS260" s="638">
        <f>AS248/(AS248+AS253)</f>
        <v>0.88245315105032562</v>
      </c>
      <c r="AT260" s="660">
        <f t="shared" ref="AT260" si="1225">AT248/(AT248+AT253)</f>
        <v>0.87947855911199146</v>
      </c>
      <c r="AU260" s="585">
        <f>AU248/(AU248+AU253)</f>
        <v>0.89768213811306941</v>
      </c>
      <c r="AV260" s="638">
        <f>AV248/(AV248+AV253)</f>
        <v>0.91791699415034333</v>
      </c>
      <c r="AW260" s="638">
        <f>AW248/(AW248+AW253)</f>
        <v>0.92976630830473761</v>
      </c>
      <c r="AX260" s="807">
        <f t="shared" ref="AX260" si="1226">AX248/(AX248+AX253)</f>
        <v>0.94332994277586979</v>
      </c>
      <c r="AY260" s="585">
        <f>AY248/(AY248+AY253)</f>
        <v>0.92923308855043407</v>
      </c>
      <c r="AZ260" s="917">
        <f>AZ248/(AZ248+AZ253)</f>
        <v>0.84373386735818989</v>
      </c>
      <c r="BA260" s="917">
        <f>BA248/(BA248+BA253)</f>
        <v>0.90913650861556894</v>
      </c>
      <c r="BB260" s="807">
        <f t="shared" ref="BB260" si="1227">BB248/(BB248+BB253)</f>
        <v>0.92288653464052939</v>
      </c>
      <c r="BC260" s="585">
        <v>0.93</v>
      </c>
      <c r="BD260" s="917">
        <v>0.94</v>
      </c>
      <c r="BE260" s="609">
        <v>0.94</v>
      </c>
      <c r="BF260" s="610">
        <v>0.94</v>
      </c>
      <c r="BG260" s="585">
        <v>0.94</v>
      </c>
      <c r="BH260" s="917">
        <v>0.94</v>
      </c>
      <c r="BI260" s="609">
        <v>0.94</v>
      </c>
      <c r="BJ260" s="610">
        <v>0.94</v>
      </c>
      <c r="BK260" s="585">
        <v>0.94</v>
      </c>
      <c r="BL260" s="917">
        <v>0.94</v>
      </c>
      <c r="BM260" s="609">
        <v>0.94</v>
      </c>
      <c r="BN260" s="610">
        <v>0.94</v>
      </c>
      <c r="BO260" s="587"/>
      <c r="BP260" s="587"/>
      <c r="BQ260" s="587"/>
      <c r="BR260" s="587"/>
      <c r="BS260" s="587"/>
      <c r="BT260" s="587"/>
      <c r="BU260" s="571"/>
      <c r="BV260" s="571"/>
      <c r="BW260" s="571"/>
      <c r="BX260" s="571">
        <f t="shared" ref="BX260:BY260" si="1228">BX248/(BX248+BX253)</f>
        <v>0.60764762437064201</v>
      </c>
      <c r="BY260" s="571">
        <f t="shared" si="1228"/>
        <v>0.75372929440834635</v>
      </c>
      <c r="BZ260" s="571">
        <f t="shared" ref="BZ260:CA260" si="1229">BZ248/(BZ248+BZ253)</f>
        <v>0.87238626799445418</v>
      </c>
      <c r="CA260" s="571">
        <f t="shared" si="1229"/>
        <v>0.9262861532068738</v>
      </c>
      <c r="CB260" s="571">
        <f t="shared" ref="CB260:CC260" si="1230">CB248/(CB248+CB253)</f>
        <v>0.90196830484013202</v>
      </c>
      <c r="CC260" s="571">
        <f t="shared" si="1230"/>
        <v>0.93778784614333466</v>
      </c>
      <c r="CD260" s="571">
        <f t="shared" ref="CD260:CE260" si="1231">CD248/(CD248+CD253)</f>
        <v>0.94</v>
      </c>
      <c r="CE260" s="571">
        <f t="shared" si="1231"/>
        <v>0.94000000000000006</v>
      </c>
      <c r="CF260" s="88"/>
      <c r="CG260" s="88"/>
      <c r="CH260" s="29"/>
      <c r="CI260" s="29"/>
      <c r="CJ260" s="2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29"/>
      <c r="DD260" s="2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29"/>
      <c r="DX260" s="2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29"/>
      <c r="ER260" s="2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29"/>
      <c r="FJ260" s="29"/>
      <c r="FK260" s="29"/>
      <c r="FL260" s="29"/>
      <c r="FM260" s="29"/>
      <c r="FN260" s="29"/>
      <c r="FO260" s="29"/>
      <c r="FP260" s="29"/>
      <c r="FQ260" s="29"/>
      <c r="FR260" s="29"/>
      <c r="FS260" s="29"/>
      <c r="FT260" s="29"/>
      <c r="FU260" s="29"/>
      <c r="FV260" s="29"/>
      <c r="FW260" s="29"/>
      <c r="FX260" s="29"/>
      <c r="FY260" s="29"/>
      <c r="FZ260" s="29"/>
      <c r="GA260" s="29"/>
      <c r="GB260" s="29"/>
      <c r="GC260" s="29"/>
      <c r="GD260" s="29"/>
      <c r="GE260" s="29"/>
      <c r="GF260" s="29"/>
      <c r="GG260" s="29"/>
      <c r="GH260" s="29"/>
      <c r="GI260" s="29"/>
      <c r="GJ260" s="29"/>
      <c r="GK260" s="29"/>
      <c r="GL260" s="29"/>
      <c r="GM260" s="29"/>
      <c r="GN260" s="29"/>
      <c r="GO260" s="29"/>
      <c r="GP260" s="29"/>
      <c r="GQ260" s="29"/>
      <c r="GR260" s="29"/>
      <c r="GS260" s="29"/>
      <c r="GT260" s="29"/>
      <c r="GU260" s="29"/>
      <c r="GV260" s="29"/>
      <c r="GW260" s="29"/>
      <c r="GX260" s="29"/>
      <c r="GY260" s="29"/>
      <c r="GZ260" s="29"/>
      <c r="HA260" s="29"/>
      <c r="HB260" s="29"/>
      <c r="HC260" s="29"/>
      <c r="HD260" s="29"/>
      <c r="HE260" s="29"/>
      <c r="HF260" s="29"/>
      <c r="HG260" s="29"/>
      <c r="HH260" s="29"/>
      <c r="HI260" s="29"/>
      <c r="HJ260" s="29"/>
      <c r="HK260" s="29"/>
      <c r="HL260" s="29"/>
      <c r="HM260" s="29"/>
      <c r="HN260" s="29"/>
      <c r="HO260" s="29"/>
      <c r="HP260" s="29"/>
      <c r="HQ260" s="29"/>
      <c r="HR260" s="29"/>
    </row>
    <row r="261" spans="1:226" s="46" customFormat="1">
      <c r="A261" s="84"/>
      <c r="B261" s="5" t="s">
        <v>439</v>
      </c>
      <c r="C261" s="309"/>
      <c r="D261" s="50"/>
      <c r="E261" s="50"/>
      <c r="F261" s="310"/>
      <c r="G261" s="151"/>
      <c r="H261" s="50"/>
      <c r="I261" s="50"/>
      <c r="J261" s="50"/>
      <c r="K261" s="309"/>
      <c r="L261" s="50"/>
      <c r="M261" s="50"/>
      <c r="N261" s="310"/>
      <c r="O261" s="50"/>
      <c r="P261" s="50"/>
      <c r="Q261" s="50"/>
      <c r="R261" s="50"/>
      <c r="S261" s="309"/>
      <c r="T261" s="50"/>
      <c r="U261" s="50"/>
      <c r="V261" s="310"/>
      <c r="W261" s="50"/>
      <c r="X261" s="50"/>
      <c r="Y261" s="50"/>
      <c r="Z261" s="50"/>
      <c r="AA261" s="309"/>
      <c r="AB261" s="50"/>
      <c r="AC261" s="50"/>
      <c r="AD261" s="310"/>
      <c r="AE261" s="50"/>
      <c r="AF261" s="50"/>
      <c r="AG261" s="50"/>
      <c r="AH261" s="50"/>
      <c r="AI261" s="343"/>
      <c r="AJ261" s="48"/>
      <c r="AK261" s="48"/>
      <c r="AL261" s="344"/>
      <c r="AM261" s="585">
        <f>AM253/(AM248+AM253)</f>
        <v>0.28150662533794524</v>
      </c>
      <c r="AN261" s="638">
        <f>AN253/(AN248+AN253)</f>
        <v>0.29180892405609626</v>
      </c>
      <c r="AO261" s="638">
        <f t="shared" ref="AO261:AP261" si="1232">AO253/(AO248+AO253)</f>
        <v>0.24179545134710553</v>
      </c>
      <c r="AP261" s="660">
        <f t="shared" si="1232"/>
        <v>0.18760634371294063</v>
      </c>
      <c r="AQ261" s="585">
        <f>AQ253/(AQ248+AQ253)</f>
        <v>0.1714855817412653</v>
      </c>
      <c r="AR261" s="638">
        <f>AR253/(AR248+AR253)</f>
        <v>0.10615686363275931</v>
      </c>
      <c r="AS261" s="638">
        <f>AS253/(AS248+AS253)</f>
        <v>0.11754684894967443</v>
      </c>
      <c r="AT261" s="660">
        <f t="shared" ref="AT261" si="1233">AT253/(AT248+AT253)</f>
        <v>0.12052144088800849</v>
      </c>
      <c r="AU261" s="585">
        <f>AU253/(AU248+AU253)</f>
        <v>0.10231786188693064</v>
      </c>
      <c r="AV261" s="638">
        <f>AV253/(AV248+AV253)</f>
        <v>8.208300584965661E-2</v>
      </c>
      <c r="AW261" s="638">
        <f>AW253/(AW248+AW253)</f>
        <v>7.0233691695262418E-2</v>
      </c>
      <c r="AX261" s="807">
        <f t="shared" ref="AX261" si="1234">AX253/(AX248+AX253)</f>
        <v>5.6670057224130259E-2</v>
      </c>
      <c r="AY261" s="585">
        <f>AY253/(AY248+AY253)</f>
        <v>7.0766911449565886E-2</v>
      </c>
      <c r="AZ261" s="917">
        <f>AZ253/(AZ248+AZ253)</f>
        <v>0.15626613264181013</v>
      </c>
      <c r="BA261" s="917">
        <f>BA253/(BA248+BA253)</f>
        <v>9.0863491384431089E-2</v>
      </c>
      <c r="BB261" s="807">
        <f t="shared" ref="BB261" si="1235">BB253/(BB248+BB253)</f>
        <v>7.711346535947064E-2</v>
      </c>
      <c r="BC261" s="585">
        <f t="shared" ref="BC261" si="1236">1-BC260</f>
        <v>6.9999999999999951E-2</v>
      </c>
      <c r="BD261" s="917">
        <v>0.06</v>
      </c>
      <c r="BE261" s="609">
        <v>0.06</v>
      </c>
      <c r="BF261" s="610">
        <v>0.06</v>
      </c>
      <c r="BG261" s="585">
        <v>0.06</v>
      </c>
      <c r="BH261" s="917">
        <v>0.06</v>
      </c>
      <c r="BI261" s="609">
        <v>0.06</v>
      </c>
      <c r="BJ261" s="610">
        <v>0.06</v>
      </c>
      <c r="BK261" s="585">
        <v>0.06</v>
      </c>
      <c r="BL261" s="917">
        <v>0.06</v>
      </c>
      <c r="BM261" s="609">
        <v>0.06</v>
      </c>
      <c r="BN261" s="610">
        <v>0.06</v>
      </c>
      <c r="BO261" s="587"/>
      <c r="BP261" s="587"/>
      <c r="BQ261" s="587"/>
      <c r="BR261" s="587"/>
      <c r="BS261" s="587"/>
      <c r="BT261" s="587"/>
      <c r="BU261" s="571"/>
      <c r="BV261" s="571"/>
      <c r="BW261" s="571"/>
      <c r="BX261" s="571">
        <f t="shared" ref="BX261:BY261" si="1237">BX253/(BX248+BX253)</f>
        <v>0.39235237562935799</v>
      </c>
      <c r="BY261" s="571">
        <f t="shared" si="1237"/>
        <v>0.24627070559165365</v>
      </c>
      <c r="BZ261" s="571">
        <f t="shared" ref="BZ261:CA261" si="1238">BZ253/(BZ248+BZ253)</f>
        <v>0.12761373200554582</v>
      </c>
      <c r="CA261" s="571">
        <f t="shared" si="1238"/>
        <v>7.371384679312612E-2</v>
      </c>
      <c r="CB261" s="571">
        <f t="shared" ref="CB261:CC261" si="1239">CB253/(CB248+CB253)</f>
        <v>9.803169515986801E-2</v>
      </c>
      <c r="CC261" s="571">
        <f t="shared" si="1239"/>
        <v>6.2212153856665307E-2</v>
      </c>
      <c r="CD261" s="571">
        <f t="shared" ref="CD261:CE261" si="1240">CD253/(CD248+CD253)</f>
        <v>5.9999999999999991E-2</v>
      </c>
      <c r="CE261" s="571">
        <f t="shared" si="1240"/>
        <v>6.0000000000000005E-2</v>
      </c>
      <c r="CF261" s="88"/>
      <c r="CG261" s="88"/>
      <c r="CH261" s="29"/>
      <c r="CI261" s="29"/>
      <c r="CJ261" s="2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29"/>
      <c r="DD261" s="2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29"/>
      <c r="DX261" s="2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29"/>
      <c r="ER261" s="29"/>
      <c r="ES261" s="29"/>
      <c r="ET261" s="29"/>
      <c r="EU261" s="29"/>
      <c r="EV261" s="29"/>
      <c r="EW261" s="29"/>
      <c r="EX261" s="29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29"/>
      <c r="FJ261" s="29"/>
      <c r="FK261" s="29"/>
      <c r="FL261" s="29"/>
      <c r="FM261" s="29"/>
      <c r="FN261" s="29"/>
      <c r="FO261" s="29"/>
      <c r="FP261" s="29"/>
      <c r="FQ261" s="29"/>
      <c r="FR261" s="29"/>
      <c r="FS261" s="29"/>
      <c r="FT261" s="29"/>
      <c r="FU261" s="29"/>
      <c r="FV261" s="29"/>
      <c r="FW261" s="29"/>
      <c r="FX261" s="29"/>
      <c r="FY261" s="29"/>
      <c r="FZ261" s="29"/>
      <c r="GA261" s="29"/>
      <c r="GB261" s="29"/>
      <c r="GC261" s="29"/>
      <c r="GD261" s="29"/>
      <c r="GE261" s="29"/>
      <c r="GF261" s="29"/>
      <c r="GG261" s="29"/>
      <c r="GH261" s="29"/>
      <c r="GI261" s="29"/>
      <c r="GJ261" s="29"/>
      <c r="GK261" s="29"/>
      <c r="GL261" s="29"/>
      <c r="GM261" s="29"/>
      <c r="GN261" s="29"/>
      <c r="GO261" s="29"/>
      <c r="GP261" s="29"/>
      <c r="GQ261" s="29"/>
      <c r="GR261" s="29"/>
      <c r="GS261" s="29"/>
      <c r="GT261" s="29"/>
      <c r="GU261" s="29"/>
      <c r="GV261" s="29"/>
      <c r="GW261" s="29"/>
      <c r="GX261" s="29"/>
      <c r="GY261" s="29"/>
      <c r="GZ261" s="29"/>
      <c r="HA261" s="29"/>
      <c r="HB261" s="29"/>
      <c r="HC261" s="29"/>
      <c r="HD261" s="29"/>
      <c r="HE261" s="29"/>
      <c r="HF261" s="29"/>
      <c r="HG261" s="29"/>
      <c r="HH261" s="29"/>
      <c r="HI261" s="29"/>
      <c r="HJ261" s="29"/>
      <c r="HK261" s="29"/>
      <c r="HL261" s="29"/>
      <c r="HM261" s="29"/>
      <c r="HN261" s="29"/>
      <c r="HO261" s="29"/>
      <c r="HP261" s="29"/>
      <c r="HQ261" s="29"/>
      <c r="HR261" s="29"/>
    </row>
    <row r="262" spans="1:226" s="46" customFormat="1">
      <c r="A262" s="84"/>
      <c r="B262" s="5" t="s">
        <v>441</v>
      </c>
      <c r="C262" s="309"/>
      <c r="D262" s="50"/>
      <c r="E262" s="50"/>
      <c r="F262" s="310"/>
      <c r="G262" s="151"/>
      <c r="H262" s="50"/>
      <c r="I262" s="50"/>
      <c r="J262" s="50"/>
      <c r="K262" s="309"/>
      <c r="L262" s="50"/>
      <c r="M262" s="50"/>
      <c r="N262" s="310"/>
      <c r="O262" s="50"/>
      <c r="P262" s="50"/>
      <c r="Q262" s="50"/>
      <c r="R262" s="50"/>
      <c r="S262" s="309"/>
      <c r="T262" s="50"/>
      <c r="U262" s="50"/>
      <c r="V262" s="310"/>
      <c r="W262" s="50"/>
      <c r="X262" s="50"/>
      <c r="Y262" s="50"/>
      <c r="Z262" s="50"/>
      <c r="AA262" s="309"/>
      <c r="AB262" s="50"/>
      <c r="AC262" s="50"/>
      <c r="AD262" s="310"/>
      <c r="AE262" s="50"/>
      <c r="AF262" s="50"/>
      <c r="AG262" s="50"/>
      <c r="AH262" s="50"/>
      <c r="AI262" s="343"/>
      <c r="AJ262" s="48"/>
      <c r="AK262" s="48"/>
      <c r="AL262" s="344"/>
      <c r="AM262" s="343">
        <f>AM253+AM248</f>
        <v>651.36300000000006</v>
      </c>
      <c r="AN262" s="48">
        <f t="shared" ref="AN262:AT262" si="1241">AN253+AN248</f>
        <v>588.82413823727825</v>
      </c>
      <c r="AO262" s="48">
        <f t="shared" si="1241"/>
        <v>696.38200000000006</v>
      </c>
      <c r="AP262" s="344">
        <f t="shared" si="1241"/>
        <v>795.18099999999981</v>
      </c>
      <c r="AQ262" s="343">
        <f t="shared" si="1241"/>
        <v>708.49702438936583</v>
      </c>
      <c r="AR262" s="48">
        <f t="shared" si="1241"/>
        <v>739.50335702798782</v>
      </c>
      <c r="AS262" s="48">
        <f t="shared" si="1241"/>
        <v>862.5953673506566</v>
      </c>
      <c r="AT262" s="344">
        <f t="shared" si="1241"/>
        <v>921.00028091401805</v>
      </c>
      <c r="AU262" s="343">
        <f>AU253+AU248</f>
        <v>765.30429963113238</v>
      </c>
      <c r="AV262" s="48">
        <f t="shared" ref="AV262:AX262" si="1242">AV253+AV248</f>
        <v>850.83946040559078</v>
      </c>
      <c r="AW262" s="48">
        <f t="shared" si="1242"/>
        <v>1337.9706157219348</v>
      </c>
      <c r="AX262" s="762">
        <f t="shared" si="1242"/>
        <v>1428.9804011026476</v>
      </c>
      <c r="AY262" s="343">
        <f>AY253+AY248</f>
        <v>1105.2124732257203</v>
      </c>
      <c r="AZ262" s="758">
        <f t="shared" ref="AZ262" si="1243">AZ253+AZ248</f>
        <v>1405.6565060182752</v>
      </c>
      <c r="BA262" s="758">
        <f t="shared" ref="BA262:BB262" si="1244">BA253+BA248</f>
        <v>1717.0138754817881</v>
      </c>
      <c r="BB262" s="762">
        <f t="shared" si="1244"/>
        <v>1884.3053124373002</v>
      </c>
      <c r="BC262" s="343">
        <f t="shared" ref="BC262:BD262" si="1245">BC253+BC248</f>
        <v>1849.2792061885541</v>
      </c>
      <c r="BD262" s="758">
        <f t="shared" si="1245"/>
        <v>2037.9247861175184</v>
      </c>
      <c r="BE262" s="48">
        <f t="shared" ref="BE262:BJ262" si="1246">BE253+BE248</f>
        <v>2226.3411115686595</v>
      </c>
      <c r="BF262" s="344">
        <f t="shared" si="1246"/>
        <v>2246.0868476579017</v>
      </c>
      <c r="BG262" s="343">
        <f t="shared" si="1246"/>
        <v>1926.210497296782</v>
      </c>
      <c r="BH262" s="758">
        <f t="shared" si="1246"/>
        <v>2251.7807649334313</v>
      </c>
      <c r="BI262" s="48">
        <f t="shared" si="1246"/>
        <v>2480.1416906506684</v>
      </c>
      <c r="BJ262" s="344">
        <f t="shared" si="1246"/>
        <v>2460.0556075571753</v>
      </c>
      <c r="BK262" s="343">
        <f t="shared" ref="BK262:BN262" si="1247">BK253+BK248</f>
        <v>2110.6362069372703</v>
      </c>
      <c r="BL262" s="758">
        <f t="shared" si="1247"/>
        <v>2474.6407924629975</v>
      </c>
      <c r="BM262" s="48">
        <f t="shared" si="1247"/>
        <v>2687.1905566823011</v>
      </c>
      <c r="BN262" s="344">
        <f t="shared" si="1247"/>
        <v>2669.1749622491243</v>
      </c>
      <c r="BO262" s="89"/>
      <c r="BP262" s="47"/>
      <c r="BQ262" s="47"/>
      <c r="BR262" s="47"/>
      <c r="BS262" s="47"/>
      <c r="BT262" s="47"/>
      <c r="BU262" s="50"/>
      <c r="BV262" s="50"/>
      <c r="BW262" s="50"/>
      <c r="BX262" s="48">
        <f>BX253+BX248</f>
        <v>2486.6385375323171</v>
      </c>
      <c r="BY262" s="48">
        <f t="shared" ref="BY262" si="1248">BY253+BY248</f>
        <v>2731.75</v>
      </c>
      <c r="BZ262" s="48">
        <f t="shared" ref="BZ262:CA262" si="1249">BZ253+BZ248</f>
        <v>3231.5960296820281</v>
      </c>
      <c r="CA262" s="48">
        <f t="shared" si="1249"/>
        <v>4383.0947768613059</v>
      </c>
      <c r="CB262" s="48">
        <f t="shared" ref="CB262" si="1250">CB253+CB248</f>
        <v>6112.1881671630836</v>
      </c>
      <c r="CC262" s="48">
        <f t="shared" ref="CC262:CD262" si="1251">CC253+CC248</f>
        <v>8359.631951532634</v>
      </c>
      <c r="CD262" s="48">
        <f t="shared" si="1251"/>
        <v>9118.1885604380586</v>
      </c>
      <c r="CE262" s="48">
        <f t="shared" ref="CE262" si="1252">CE253+CE248</f>
        <v>9941.6425183316933</v>
      </c>
      <c r="CF262" s="88"/>
      <c r="CG262" s="88"/>
      <c r="CH262" s="29"/>
      <c r="CI262" s="29"/>
      <c r="CJ262" s="29"/>
      <c r="CK262" s="29"/>
      <c r="CL262" s="29"/>
      <c r="CM262" s="29"/>
      <c r="CN262" s="29"/>
      <c r="CO262" s="29"/>
      <c r="CP262" s="29"/>
      <c r="CQ262" s="29"/>
      <c r="CR262" s="29"/>
      <c r="CS262" s="29"/>
      <c r="CT262" s="29"/>
      <c r="CU262" s="29"/>
      <c r="CV262" s="29"/>
      <c r="CW262" s="29"/>
      <c r="CX262" s="29"/>
      <c r="CY262" s="29"/>
      <c r="CZ262" s="29"/>
      <c r="DA262" s="29"/>
      <c r="DB262" s="29"/>
      <c r="DC262" s="29"/>
      <c r="DD262" s="29"/>
      <c r="DE262" s="29"/>
      <c r="DF262" s="29"/>
      <c r="DG262" s="29"/>
      <c r="DH262" s="29"/>
      <c r="DI262" s="29"/>
      <c r="DJ262" s="29"/>
      <c r="DK262" s="29"/>
      <c r="DL262" s="29"/>
      <c r="DM262" s="29"/>
      <c r="DN262" s="29"/>
      <c r="DO262" s="29"/>
      <c r="DP262" s="29"/>
      <c r="DQ262" s="29"/>
      <c r="DR262" s="29"/>
      <c r="DS262" s="29"/>
      <c r="DT262" s="29"/>
      <c r="DU262" s="29"/>
      <c r="DV262" s="29"/>
      <c r="DW262" s="29"/>
      <c r="DX262" s="29"/>
      <c r="DY262" s="29"/>
      <c r="DZ262" s="29"/>
      <c r="EA262" s="29"/>
      <c r="EB262" s="29"/>
      <c r="EC262" s="29"/>
      <c r="ED262" s="29"/>
      <c r="EE262" s="29"/>
      <c r="EF262" s="29"/>
      <c r="EG262" s="29"/>
      <c r="EH262" s="29"/>
      <c r="EI262" s="29"/>
      <c r="EJ262" s="29"/>
      <c r="EK262" s="29"/>
      <c r="EL262" s="29"/>
      <c r="EM262" s="29"/>
      <c r="EN262" s="29"/>
      <c r="EO262" s="29"/>
      <c r="EP262" s="29"/>
      <c r="EQ262" s="29"/>
      <c r="ER262" s="29"/>
      <c r="ES262" s="29"/>
      <c r="ET262" s="29"/>
      <c r="EU262" s="29"/>
      <c r="EV262" s="29"/>
      <c r="EW262" s="29"/>
      <c r="EX262" s="29"/>
      <c r="EY262" s="29"/>
      <c r="EZ262" s="29"/>
      <c r="FA262" s="29"/>
      <c r="FB262" s="29"/>
      <c r="FC262" s="29"/>
      <c r="FD262" s="29"/>
      <c r="FE262" s="29"/>
      <c r="FF262" s="29"/>
      <c r="FG262" s="29"/>
      <c r="FH262" s="29"/>
      <c r="FI262" s="29"/>
      <c r="FJ262" s="29"/>
      <c r="FK262" s="29"/>
      <c r="FL262" s="29"/>
      <c r="FM262" s="29"/>
      <c r="FN262" s="29"/>
      <c r="FO262" s="29"/>
      <c r="FP262" s="29"/>
      <c r="FQ262" s="29"/>
      <c r="FR262" s="29"/>
      <c r="FS262" s="29"/>
      <c r="FT262" s="29"/>
      <c r="FU262" s="29"/>
      <c r="FV262" s="29"/>
      <c r="FW262" s="29"/>
      <c r="FX262" s="29"/>
      <c r="FY262" s="29"/>
      <c r="FZ262" s="29"/>
      <c r="GA262" s="29"/>
      <c r="GB262" s="29"/>
      <c r="GC262" s="29"/>
      <c r="GD262" s="29"/>
      <c r="GE262" s="29"/>
      <c r="GF262" s="29"/>
      <c r="GG262" s="29"/>
      <c r="GH262" s="29"/>
      <c r="GI262" s="29"/>
      <c r="GJ262" s="29"/>
      <c r="GK262" s="29"/>
      <c r="GL262" s="29"/>
      <c r="GM262" s="29"/>
      <c r="GN262" s="29"/>
      <c r="GO262" s="29"/>
      <c r="GP262" s="29"/>
      <c r="GQ262" s="29"/>
      <c r="GR262" s="29"/>
      <c r="GS262" s="29"/>
      <c r="GT262" s="29"/>
      <c r="GU262" s="29"/>
      <c r="GV262" s="29"/>
      <c r="GW262" s="29"/>
      <c r="GX262" s="29"/>
      <c r="GY262" s="29"/>
      <c r="GZ262" s="29"/>
      <c r="HA262" s="29"/>
      <c r="HB262" s="29"/>
      <c r="HC262" s="29"/>
      <c r="HD262" s="29"/>
      <c r="HE262" s="29"/>
      <c r="HF262" s="29"/>
      <c r="HG262" s="29"/>
      <c r="HH262" s="29"/>
      <c r="HI262" s="29"/>
      <c r="HJ262" s="29"/>
      <c r="HK262" s="29"/>
      <c r="HL262" s="29"/>
      <c r="HM262" s="29"/>
      <c r="HN262" s="29"/>
      <c r="HO262" s="29"/>
      <c r="HP262" s="29"/>
      <c r="HQ262" s="29"/>
      <c r="HR262" s="29"/>
    </row>
    <row r="263" spans="1:226" s="46" customFormat="1" outlineLevel="1">
      <c r="A263" s="84"/>
      <c r="B263" s="5" t="s">
        <v>437</v>
      </c>
      <c r="C263" s="309"/>
      <c r="D263" s="50"/>
      <c r="E263" s="50"/>
      <c r="F263" s="310"/>
      <c r="G263" s="151"/>
      <c r="H263" s="50"/>
      <c r="I263" s="50"/>
      <c r="J263" s="50"/>
      <c r="K263" s="309"/>
      <c r="L263" s="50"/>
      <c r="M263" s="50"/>
      <c r="N263" s="310"/>
      <c r="O263" s="50"/>
      <c r="P263" s="50"/>
      <c r="Q263" s="50"/>
      <c r="R263" s="50"/>
      <c r="S263" s="343"/>
      <c r="T263" s="48"/>
      <c r="U263" s="48"/>
      <c r="V263" s="48"/>
      <c r="W263" s="343">
        <f t="shared" ref="W263:Z263" si="1253">W36+W49+W144</f>
        <v>580.85300000000007</v>
      </c>
      <c r="X263" s="48">
        <f t="shared" si="1253"/>
        <v>440.41300000000001</v>
      </c>
      <c r="Y263" s="48">
        <f t="shared" si="1253"/>
        <v>471.86300000000006</v>
      </c>
      <c r="Z263" s="48">
        <f t="shared" si="1253"/>
        <v>534.01499999999999</v>
      </c>
      <c r="AA263" s="343">
        <f t="shared" ref="AA263:AD263" si="1254">AA36+AA49+AA144</f>
        <v>560.68900000000008</v>
      </c>
      <c r="AB263" s="48">
        <f t="shared" si="1254"/>
        <v>548.5440000000001</v>
      </c>
      <c r="AC263" s="48">
        <f t="shared" si="1254"/>
        <v>556.40200000000004</v>
      </c>
      <c r="AD263" s="48">
        <f t="shared" si="1254"/>
        <v>540.5</v>
      </c>
      <c r="AE263" s="343">
        <f t="shared" ref="AE263:AH263" si="1255">AE36+AE49+AE144</f>
        <v>503.70000000000005</v>
      </c>
      <c r="AF263" s="48">
        <f t="shared" si="1255"/>
        <v>595</v>
      </c>
      <c r="AG263" s="48">
        <f t="shared" si="1255"/>
        <v>670.30000000000007</v>
      </c>
      <c r="AH263" s="48">
        <f t="shared" si="1255"/>
        <v>615.85000000000014</v>
      </c>
      <c r="AI263" s="343">
        <f t="shared" ref="AI263:AK263" si="1256">AI36+AI49+AI144</f>
        <v>562.81080500000019</v>
      </c>
      <c r="AJ263" s="48">
        <f t="shared" si="1256"/>
        <v>606.94493500000135</v>
      </c>
      <c r="AK263" s="48">
        <f t="shared" si="1256"/>
        <v>609.38998789247739</v>
      </c>
      <c r="AL263" s="48">
        <f t="shared" ref="AL263:AU263" si="1257">AL36+AL49+AL144</f>
        <v>707.4928096398379</v>
      </c>
      <c r="AM263" s="343">
        <f t="shared" si="1257"/>
        <v>651.36300000000006</v>
      </c>
      <c r="AN263" s="48">
        <f t="shared" si="1257"/>
        <v>588.82413823727825</v>
      </c>
      <c r="AO263" s="48">
        <f t="shared" si="1257"/>
        <v>696.38200000000006</v>
      </c>
      <c r="AP263" s="344">
        <f t="shared" si="1257"/>
        <v>795.18099999999981</v>
      </c>
      <c r="AQ263" s="343">
        <f t="shared" si="1257"/>
        <v>708.49702438936583</v>
      </c>
      <c r="AR263" s="48">
        <f t="shared" si="1257"/>
        <v>739.50335702798782</v>
      </c>
      <c r="AS263" s="48">
        <f t="shared" si="1257"/>
        <v>862.5953673506566</v>
      </c>
      <c r="AT263" s="344">
        <f t="shared" si="1257"/>
        <v>921.00028091401805</v>
      </c>
      <c r="AU263" s="343">
        <f t="shared" si="1257"/>
        <v>765.30429963113238</v>
      </c>
      <c r="AV263" s="48">
        <f t="shared" ref="AV263:AZ263" si="1258">AV36+AV49+AV144</f>
        <v>850.83946040559078</v>
      </c>
      <c r="AW263" s="48">
        <f>AW36+AW49+AW144</f>
        <v>1337.9706157219348</v>
      </c>
      <c r="AX263" s="762">
        <f t="shared" si="1258"/>
        <v>1428.9804011026476</v>
      </c>
      <c r="AY263" s="343">
        <f t="shared" si="1258"/>
        <v>1105.2124732257203</v>
      </c>
      <c r="AZ263" s="758">
        <f t="shared" si="1258"/>
        <v>1405.6565060182752</v>
      </c>
      <c r="BA263" s="758">
        <f t="shared" ref="BA263:BB263" si="1259">BA36+BA49+BA144</f>
        <v>1717.0138754817881</v>
      </c>
      <c r="BB263" s="762">
        <f t="shared" si="1259"/>
        <v>1884.3053124373002</v>
      </c>
      <c r="BC263" s="343">
        <f>BC36+BC49+BC144</f>
        <v>1849.2792061885541</v>
      </c>
      <c r="BD263" s="758">
        <f>BD36+BD49+BD144</f>
        <v>2037.9247861175186</v>
      </c>
      <c r="BE263" s="48">
        <f t="shared" ref="BE263:BJ263" si="1260">BE36+BE49+BE144</f>
        <v>2226.3411115686599</v>
      </c>
      <c r="BF263" s="344">
        <f t="shared" si="1260"/>
        <v>2246.0868476579021</v>
      </c>
      <c r="BG263" s="343">
        <f t="shared" si="1260"/>
        <v>1926.210497296782</v>
      </c>
      <c r="BH263" s="758">
        <f t="shared" si="1260"/>
        <v>2251.7807649334318</v>
      </c>
      <c r="BI263" s="48">
        <f t="shared" si="1260"/>
        <v>2480.1416906506688</v>
      </c>
      <c r="BJ263" s="344">
        <f t="shared" si="1260"/>
        <v>2460.0556075571753</v>
      </c>
      <c r="BK263" s="343">
        <f t="shared" ref="BK263:BN263" si="1261">BK36+BK49+BK144</f>
        <v>2110.6362069372703</v>
      </c>
      <c r="BL263" s="758">
        <f t="shared" si="1261"/>
        <v>2474.6407924629975</v>
      </c>
      <c r="BM263" s="48">
        <f t="shared" si="1261"/>
        <v>2687.1905566823016</v>
      </c>
      <c r="BN263" s="344">
        <f t="shared" si="1261"/>
        <v>2669.1749622491247</v>
      </c>
      <c r="BO263" s="89"/>
      <c r="BP263" s="47"/>
      <c r="BQ263" s="47"/>
      <c r="BR263" s="47"/>
      <c r="BS263" s="47"/>
      <c r="BT263" s="47"/>
      <c r="BU263" s="50"/>
      <c r="BV263" s="50"/>
      <c r="BW263" s="50"/>
      <c r="BX263" s="48">
        <f t="shared" ref="BX263:CB263" si="1262">BX36+BX49+BX144</f>
        <v>2486.6385375323171</v>
      </c>
      <c r="BY263" s="48">
        <f t="shared" si="1262"/>
        <v>2731.750138237278</v>
      </c>
      <c r="BZ263" s="48">
        <f t="shared" si="1262"/>
        <v>3231.5960296820281</v>
      </c>
      <c r="CA263" s="48">
        <f t="shared" si="1262"/>
        <v>4383.0947768613059</v>
      </c>
      <c r="CB263" s="48">
        <f t="shared" si="1262"/>
        <v>6112.1881671630836</v>
      </c>
      <c r="CC263" s="48">
        <f t="shared" ref="CC263:CD263" si="1263">CC36+CC49+CC144</f>
        <v>8359.631951532634</v>
      </c>
      <c r="CD263" s="48">
        <f t="shared" si="1263"/>
        <v>9118.1885604380586</v>
      </c>
      <c r="CE263" s="48">
        <f t="shared" ref="CE263" si="1264">CE36+CE49+CE144</f>
        <v>9941.6425183316933</v>
      </c>
      <c r="CF263" s="88"/>
      <c r="CG263" s="88"/>
      <c r="CH263" s="29"/>
      <c r="CI263" s="29"/>
      <c r="CJ263" s="2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29"/>
      <c r="DD263" s="2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29"/>
      <c r="DX263" s="2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29"/>
      <c r="ER263" s="29"/>
      <c r="ES263" s="29"/>
      <c r="ET263" s="29"/>
      <c r="EU263" s="29"/>
      <c r="EV263" s="29"/>
      <c r="EW263" s="29"/>
      <c r="EX263" s="29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29"/>
      <c r="FJ263" s="29"/>
      <c r="FK263" s="29"/>
      <c r="FL263" s="29"/>
      <c r="FM263" s="29"/>
      <c r="FN263" s="29"/>
      <c r="FO263" s="29"/>
      <c r="FP263" s="29"/>
      <c r="FQ263" s="29"/>
      <c r="FR263" s="29"/>
      <c r="FS263" s="29"/>
      <c r="FT263" s="29"/>
      <c r="FU263" s="29"/>
      <c r="FV263" s="29"/>
      <c r="FW263" s="29"/>
      <c r="FX263" s="29"/>
      <c r="FY263" s="29"/>
      <c r="FZ263" s="29"/>
      <c r="GA263" s="29"/>
      <c r="GB263" s="29"/>
      <c r="GC263" s="29"/>
      <c r="GD263" s="29"/>
      <c r="GE263" s="29"/>
      <c r="GF263" s="29"/>
      <c r="GG263" s="29"/>
      <c r="GH263" s="29"/>
      <c r="GI263" s="29"/>
      <c r="GJ263" s="29"/>
      <c r="GK263" s="29"/>
      <c r="GL263" s="29"/>
      <c r="GM263" s="29"/>
      <c r="GN263" s="29"/>
      <c r="GO263" s="29"/>
      <c r="GP263" s="29"/>
      <c r="GQ263" s="29"/>
      <c r="GR263" s="29"/>
      <c r="GS263" s="29"/>
      <c r="GT263" s="29"/>
      <c r="GU263" s="29"/>
      <c r="GV263" s="29"/>
      <c r="GW263" s="29"/>
      <c r="GX263" s="29"/>
      <c r="GY263" s="29"/>
      <c r="GZ263" s="29"/>
      <c r="HA263" s="29"/>
      <c r="HB263" s="29"/>
      <c r="HC263" s="29"/>
      <c r="HD263" s="29"/>
      <c r="HE263" s="29"/>
      <c r="HF263" s="29"/>
      <c r="HG263" s="29"/>
      <c r="HH263" s="29"/>
      <c r="HI263" s="29"/>
      <c r="HJ263" s="29"/>
      <c r="HK263" s="29"/>
      <c r="HL263" s="29"/>
      <c r="HM263" s="29"/>
      <c r="HN263" s="29"/>
      <c r="HO263" s="29"/>
      <c r="HP263" s="29"/>
      <c r="HQ263" s="29"/>
      <c r="HR263" s="29"/>
    </row>
    <row r="264" spans="1:226" s="46" customFormat="1" outlineLevel="1">
      <c r="A264" s="84"/>
      <c r="B264" s="114" t="s">
        <v>399</v>
      </c>
      <c r="C264" s="309"/>
      <c r="D264" s="50"/>
      <c r="E264" s="50"/>
      <c r="F264" s="310"/>
      <c r="G264" s="151"/>
      <c r="H264" s="50"/>
      <c r="I264" s="50"/>
      <c r="J264" s="50"/>
      <c r="K264" s="309"/>
      <c r="L264" s="50"/>
      <c r="M264" s="50"/>
      <c r="N264" s="310"/>
      <c r="O264" s="50"/>
      <c r="P264" s="50"/>
      <c r="Q264" s="50"/>
      <c r="R264" s="50"/>
      <c r="S264" s="309"/>
      <c r="T264" s="50"/>
      <c r="U264" s="50"/>
      <c r="V264" s="310"/>
      <c r="W264" s="50"/>
      <c r="X264" s="50"/>
      <c r="Y264" s="50"/>
      <c r="Z264" s="50"/>
      <c r="AA264" s="309"/>
      <c r="AB264" s="50"/>
      <c r="AC264" s="50"/>
      <c r="AD264" s="310"/>
      <c r="AE264" s="50"/>
      <c r="AF264" s="50"/>
      <c r="AG264" s="50"/>
      <c r="AH264" s="50"/>
      <c r="AI264" s="343"/>
      <c r="AJ264" s="48"/>
      <c r="AK264" s="48"/>
      <c r="AL264" s="344"/>
      <c r="AM264" s="343">
        <f>ROUND(AM263,2)-ROUND(AM262,2)</f>
        <v>0</v>
      </c>
      <c r="AN264" s="665">
        <f t="shared" ref="AN264:AT264" si="1265">ROUND(AN263,2)-ROUND(AN262,2)</f>
        <v>0</v>
      </c>
      <c r="AO264" s="665">
        <f t="shared" si="1265"/>
        <v>0</v>
      </c>
      <c r="AP264" s="666">
        <f t="shared" si="1265"/>
        <v>0</v>
      </c>
      <c r="AQ264" s="667">
        <f t="shared" si="1265"/>
        <v>0</v>
      </c>
      <c r="AR264" s="665">
        <f t="shared" si="1265"/>
        <v>0</v>
      </c>
      <c r="AS264" s="665">
        <f t="shared" si="1265"/>
        <v>0</v>
      </c>
      <c r="AT264" s="666">
        <f t="shared" si="1265"/>
        <v>0</v>
      </c>
      <c r="AU264" s="343">
        <f t="shared" ref="AU264:AX264" si="1266">ROUND(AU263,2)-ROUND(AU262,2)</f>
        <v>0</v>
      </c>
      <c r="AV264" s="665">
        <f t="shared" si="1266"/>
        <v>0</v>
      </c>
      <c r="AW264" s="665">
        <f t="shared" si="1266"/>
        <v>0</v>
      </c>
      <c r="AX264" s="808">
        <f t="shared" si="1266"/>
        <v>0</v>
      </c>
      <c r="AY264" s="343">
        <f t="shared" ref="AY264:AZ264" si="1267">ROUND(AY263,2)-ROUND(AY262,2)</f>
        <v>0</v>
      </c>
      <c r="AZ264" s="918">
        <f t="shared" si="1267"/>
        <v>0</v>
      </c>
      <c r="BA264" s="918">
        <f t="shared" ref="BA264:BB264" si="1268">ROUND(BA263,2)-ROUND(BA262,2)</f>
        <v>0</v>
      </c>
      <c r="BB264" s="808">
        <f t="shared" si="1268"/>
        <v>0</v>
      </c>
      <c r="BC264" s="343">
        <f>ROUND(BC263,2)-ROUND(BC262,2)</f>
        <v>0</v>
      </c>
      <c r="BD264" s="918">
        <f t="shared" ref="BD264" si="1269">ROUND(BD263,2)-ROUND(BD262,2)</f>
        <v>0</v>
      </c>
      <c r="BE264" s="48">
        <f t="shared" ref="BE264:BJ264" si="1270">ROUND(BE263,2)-ROUND(BE262,2)</f>
        <v>0</v>
      </c>
      <c r="BF264" s="344">
        <f t="shared" si="1270"/>
        <v>0</v>
      </c>
      <c r="BG264" s="343">
        <f t="shared" si="1270"/>
        <v>0</v>
      </c>
      <c r="BH264" s="918">
        <f t="shared" si="1270"/>
        <v>0</v>
      </c>
      <c r="BI264" s="48">
        <f t="shared" si="1270"/>
        <v>0</v>
      </c>
      <c r="BJ264" s="344">
        <f t="shared" si="1270"/>
        <v>0</v>
      </c>
      <c r="BK264" s="343">
        <f t="shared" ref="BK264:BN264" si="1271">ROUND(BK263,2)-ROUND(BK262,2)</f>
        <v>0</v>
      </c>
      <c r="BL264" s="918">
        <f t="shared" si="1271"/>
        <v>0</v>
      </c>
      <c r="BM264" s="48">
        <f t="shared" si="1271"/>
        <v>0</v>
      </c>
      <c r="BN264" s="344">
        <f t="shared" si="1271"/>
        <v>0</v>
      </c>
      <c r="BO264" s="89"/>
      <c r="BP264" s="47"/>
      <c r="BQ264" s="47"/>
      <c r="BR264" s="47"/>
      <c r="BS264" s="47"/>
      <c r="BT264" s="47"/>
      <c r="BU264" s="50"/>
      <c r="BV264" s="50"/>
      <c r="BW264" s="50"/>
      <c r="BX264" s="50">
        <f t="shared" ref="BX264:CE264" si="1272">ROUND(BX263,1)-ROUND(BX262,1)</f>
        <v>0</v>
      </c>
      <c r="BY264" s="696">
        <f t="shared" si="1272"/>
        <v>0</v>
      </c>
      <c r="BZ264" s="50">
        <f t="shared" si="1272"/>
        <v>0</v>
      </c>
      <c r="CA264" s="50">
        <f t="shared" si="1272"/>
        <v>0</v>
      </c>
      <c r="CB264" s="50">
        <f t="shared" si="1272"/>
        <v>0</v>
      </c>
      <c r="CC264" s="50">
        <f t="shared" si="1272"/>
        <v>0</v>
      </c>
      <c r="CD264" s="50">
        <f t="shared" si="1272"/>
        <v>0</v>
      </c>
      <c r="CE264" s="50">
        <f t="shared" si="1272"/>
        <v>0</v>
      </c>
      <c r="CF264" s="88"/>
      <c r="CG264" s="88"/>
      <c r="CH264" s="29"/>
      <c r="CI264" s="29"/>
      <c r="CJ264" s="2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29"/>
      <c r="DD264" s="2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29"/>
      <c r="DX264" s="2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29"/>
      <c r="ER264" s="29"/>
      <c r="ES264" s="29"/>
      <c r="ET264" s="29"/>
      <c r="EU264" s="29"/>
      <c r="EV264" s="29"/>
      <c r="EW264" s="29"/>
      <c r="EX264" s="29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29"/>
      <c r="FJ264" s="29"/>
      <c r="FK264" s="29"/>
      <c r="FL264" s="29"/>
      <c r="FM264" s="29"/>
      <c r="FN264" s="29"/>
      <c r="FO264" s="29"/>
      <c r="FP264" s="29"/>
      <c r="FQ264" s="29"/>
      <c r="FR264" s="29"/>
      <c r="FS264" s="29"/>
      <c r="FT264" s="29"/>
      <c r="FU264" s="29"/>
      <c r="FV264" s="29"/>
      <c r="FW264" s="29"/>
      <c r="FX264" s="29"/>
      <c r="FY264" s="29"/>
      <c r="FZ264" s="29"/>
      <c r="GA264" s="29"/>
      <c r="GB264" s="29"/>
      <c r="GC264" s="29"/>
      <c r="GD264" s="29"/>
      <c r="GE264" s="29"/>
      <c r="GF264" s="29"/>
      <c r="GG264" s="29"/>
      <c r="GH264" s="29"/>
      <c r="GI264" s="29"/>
      <c r="GJ264" s="29"/>
      <c r="GK264" s="29"/>
      <c r="GL264" s="29"/>
      <c r="GM264" s="29"/>
      <c r="GN264" s="29"/>
      <c r="GO264" s="29"/>
      <c r="GP264" s="29"/>
      <c r="GQ264" s="29"/>
      <c r="GR264" s="29"/>
      <c r="GS264" s="29"/>
      <c r="GT264" s="29"/>
      <c r="GU264" s="29"/>
      <c r="GV264" s="29"/>
      <c r="GW264" s="29"/>
      <c r="GX264" s="29"/>
      <c r="GY264" s="29"/>
      <c r="GZ264" s="29"/>
      <c r="HA264" s="29"/>
      <c r="HB264" s="29"/>
      <c r="HC264" s="29"/>
      <c r="HD264" s="29"/>
      <c r="HE264" s="29"/>
      <c r="HF264" s="29"/>
      <c r="HG264" s="29"/>
      <c r="HH264" s="29"/>
      <c r="HI264" s="29"/>
      <c r="HJ264" s="29"/>
      <c r="HK264" s="29"/>
      <c r="HL264" s="29"/>
      <c r="HM264" s="29"/>
      <c r="HN264" s="29"/>
      <c r="HO264" s="29"/>
      <c r="HP264" s="29"/>
      <c r="HQ264" s="29"/>
      <c r="HR264" s="29"/>
    </row>
    <row r="265" spans="1:226">
      <c r="BA265" s="979"/>
      <c r="BF265" s="16"/>
      <c r="BJ265" s="16"/>
      <c r="BN265" s="16"/>
      <c r="CE265" s="925"/>
    </row>
    <row r="266" spans="1:226" s="46" customFormat="1">
      <c r="A266" s="84"/>
      <c r="B266" s="9" t="s">
        <v>412</v>
      </c>
      <c r="C266" s="309"/>
      <c r="D266" s="50"/>
      <c r="E266" s="50"/>
      <c r="F266" s="310"/>
      <c r="G266" s="151"/>
      <c r="H266" s="50"/>
      <c r="I266" s="50"/>
      <c r="J266" s="50"/>
      <c r="K266" s="309"/>
      <c r="L266" s="50"/>
      <c r="M266" s="50"/>
      <c r="N266" s="310"/>
      <c r="O266" s="50"/>
      <c r="P266" s="50"/>
      <c r="Q266" s="50"/>
      <c r="R266" s="50"/>
      <c r="S266" s="309"/>
      <c r="T266" s="50"/>
      <c r="U266" s="50"/>
      <c r="V266" s="310"/>
      <c r="W266" s="50"/>
      <c r="X266" s="50"/>
      <c r="Y266" s="50"/>
      <c r="Z266" s="50"/>
      <c r="AA266" s="309"/>
      <c r="AB266" s="50"/>
      <c r="AC266" s="50"/>
      <c r="AD266" s="310"/>
      <c r="AE266" s="50"/>
      <c r="AF266" s="50"/>
      <c r="AG266" s="50"/>
      <c r="AH266" s="50"/>
      <c r="AI266" s="343"/>
      <c r="AJ266" s="48"/>
      <c r="AK266" s="48"/>
      <c r="AL266" s="344"/>
      <c r="AM266" s="343"/>
      <c r="AN266" s="48"/>
      <c r="AO266" s="48"/>
      <c r="AP266" s="344"/>
      <c r="AQ266" s="343"/>
      <c r="AR266" s="48"/>
      <c r="AS266" s="48"/>
      <c r="AT266" s="344"/>
      <c r="AU266" s="343"/>
      <c r="AV266" s="48"/>
      <c r="AW266" s="48"/>
      <c r="AX266" s="762"/>
      <c r="AY266" s="343"/>
      <c r="AZ266" s="758"/>
      <c r="BA266" s="758"/>
      <c r="BB266" s="762"/>
      <c r="BC266" s="343"/>
      <c r="BD266" s="758"/>
      <c r="BE266" s="48"/>
      <c r="BF266" s="344"/>
      <c r="BG266" s="343"/>
      <c r="BH266" s="758"/>
      <c r="BI266" s="48"/>
      <c r="BJ266" s="344"/>
      <c r="BK266" s="343"/>
      <c r="BL266" s="758"/>
      <c r="BM266" s="48"/>
      <c r="BN266" s="344"/>
      <c r="BO266" s="89"/>
      <c r="BP266" s="47"/>
      <c r="BQ266" s="47"/>
      <c r="BR266" s="47"/>
      <c r="BS266" s="47"/>
      <c r="BT266" s="47"/>
      <c r="BU266" s="50"/>
      <c r="BV266" s="50"/>
      <c r="BW266" s="50"/>
      <c r="BX266" s="48"/>
      <c r="BY266" s="48"/>
      <c r="BZ266" s="48"/>
      <c r="CA266" s="48"/>
      <c r="CB266" s="48"/>
      <c r="CC266" s="48"/>
      <c r="CD266" s="48"/>
      <c r="CE266" s="48"/>
      <c r="CF266" s="29"/>
      <c r="CG266" s="29"/>
      <c r="CH266" s="29"/>
      <c r="CI266" s="29"/>
      <c r="CJ266" s="2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29"/>
      <c r="DD266" s="2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29"/>
      <c r="DX266" s="2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29"/>
      <c r="ER266" s="29"/>
      <c r="ES266" s="29"/>
      <c r="ET266" s="29"/>
      <c r="EU266" s="29"/>
      <c r="EV266" s="29"/>
      <c r="EW266" s="29"/>
      <c r="EX266" s="29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29"/>
      <c r="FJ266" s="29"/>
      <c r="FK266" s="29"/>
      <c r="FL266" s="29"/>
      <c r="FM266" s="29"/>
      <c r="FN266" s="29"/>
      <c r="FO266" s="29"/>
      <c r="FP266" s="29"/>
      <c r="FQ266" s="29"/>
      <c r="FR266" s="29"/>
      <c r="FS266" s="29"/>
      <c r="FT266" s="29"/>
      <c r="FU266" s="29"/>
      <c r="FV266" s="29"/>
      <c r="FW266" s="29"/>
      <c r="FX266" s="29"/>
      <c r="FY266" s="29"/>
      <c r="FZ266" s="29"/>
      <c r="GA266" s="29"/>
      <c r="GB266" s="29"/>
      <c r="GC266" s="29"/>
      <c r="GD266" s="29"/>
      <c r="GE266" s="29"/>
      <c r="GF266" s="29"/>
      <c r="GG266" s="29"/>
      <c r="GH266" s="29"/>
      <c r="GI266" s="29"/>
      <c r="GJ266" s="29"/>
      <c r="GK266" s="29"/>
      <c r="GL266" s="29"/>
      <c r="GM266" s="29"/>
      <c r="GN266" s="29"/>
      <c r="GO266" s="29"/>
      <c r="GP266" s="29"/>
      <c r="GQ266" s="29"/>
      <c r="GR266" s="29"/>
      <c r="GS266" s="29"/>
      <c r="GT266" s="29"/>
      <c r="GU266" s="29"/>
      <c r="GV266" s="29"/>
      <c r="GW266" s="29"/>
      <c r="GX266" s="29"/>
      <c r="GY266" s="29"/>
      <c r="GZ266" s="29"/>
      <c r="HA266" s="29"/>
      <c r="HB266" s="29"/>
      <c r="HC266" s="29"/>
      <c r="HD266" s="29"/>
      <c r="HE266" s="29"/>
      <c r="HF266" s="29"/>
      <c r="HG266" s="29"/>
      <c r="HH266" s="29"/>
      <c r="HI266" s="29"/>
      <c r="HJ266" s="29"/>
      <c r="HK266" s="29"/>
      <c r="HL266" s="29"/>
      <c r="HM266" s="29"/>
      <c r="HN266" s="29"/>
      <c r="HO266" s="29"/>
      <c r="HP266" s="29"/>
      <c r="HQ266" s="29"/>
      <c r="HR266" s="29"/>
    </row>
    <row r="267" spans="1:226" s="46" customFormat="1">
      <c r="A267" s="84"/>
      <c r="B267" s="5" t="str">
        <f t="shared" ref="B267:B275" si="1273">B248</f>
        <v>Gaming (Gaming GPU + Tegra Gaming)</v>
      </c>
      <c r="C267" s="309"/>
      <c r="D267" s="50"/>
      <c r="E267" s="50"/>
      <c r="F267" s="310"/>
      <c r="G267" s="151"/>
      <c r="H267" s="50"/>
      <c r="I267" s="50"/>
      <c r="J267" s="50"/>
      <c r="K267" s="309"/>
      <c r="L267" s="50"/>
      <c r="M267" s="50"/>
      <c r="N267" s="310"/>
      <c r="O267" s="50"/>
      <c r="P267" s="50"/>
      <c r="Q267" s="50"/>
      <c r="R267" s="50"/>
      <c r="S267" s="309"/>
      <c r="T267" s="50"/>
      <c r="U267" s="50"/>
      <c r="V267" s="310"/>
      <c r="W267" s="50"/>
      <c r="X267" s="50"/>
      <c r="Y267" s="50"/>
      <c r="Z267" s="50"/>
      <c r="AA267" s="309"/>
      <c r="AB267" s="50"/>
      <c r="AC267" s="50"/>
      <c r="AD267" s="310"/>
      <c r="AE267" s="50"/>
      <c r="AF267" s="50"/>
      <c r="AG267" s="50"/>
      <c r="AH267" s="50"/>
      <c r="AI267" s="34"/>
      <c r="AJ267" s="35"/>
      <c r="AK267" s="35"/>
      <c r="AL267" s="36"/>
      <c r="AM267" s="34"/>
      <c r="AN267" s="35"/>
      <c r="AO267" s="35"/>
      <c r="AP267" s="36"/>
      <c r="AQ267" s="34">
        <f t="shared" ref="AQ267:AQ275" si="1274">AQ248/AM248-1</f>
        <v>0.25427350427350426</v>
      </c>
      <c r="AR267" s="35">
        <f t="shared" ref="AR267:AR275" si="1275">AR248/AN248-1</f>
        <v>0.58513189448441238</v>
      </c>
      <c r="AS267" s="35">
        <f t="shared" ref="AS267:AS275" si="1276">AS248/AO248-1</f>
        <v>0.44166666666666665</v>
      </c>
      <c r="AT267" s="36">
        <f t="shared" ref="AT267:AT275" si="1277">AT248/AP248-1</f>
        <v>0.25386996904024772</v>
      </c>
      <c r="AU267" s="34">
        <f t="shared" ref="AU267:AV275" si="1278">AU248/AQ248-1</f>
        <v>0.17035775127768304</v>
      </c>
      <c r="AV267" s="35">
        <f t="shared" si="1278"/>
        <v>0.18154311649016641</v>
      </c>
      <c r="AW267" s="35">
        <f t="shared" ref="AW267:AW275" si="1279">AW248/AS248-1</f>
        <v>0.63426169206516025</v>
      </c>
      <c r="AX267" s="36">
        <f t="shared" ref="AX267:BB275" si="1280">AX248/AT248-1</f>
        <v>0.66419753086419764</v>
      </c>
      <c r="AY267" s="34">
        <f t="shared" si="1280"/>
        <v>0.49490538573508003</v>
      </c>
      <c r="AZ267" s="818">
        <f t="shared" si="1280"/>
        <v>0.51856594110115228</v>
      </c>
      <c r="BA267" s="818">
        <f t="shared" si="1280"/>
        <v>0.25482315112540199</v>
      </c>
      <c r="BB267" s="36">
        <f t="shared" si="1280"/>
        <v>0.2900593471810089</v>
      </c>
      <c r="BC267" s="34">
        <f t="shared" ref="BC267:BC275" si="1281">BC248/AY248-1</f>
        <v>0.67461505526324772</v>
      </c>
      <c r="BD267" s="818">
        <f t="shared" ref="BD267:BD275" si="1282">BD248/AZ248-1</f>
        <v>0.61521863317914605</v>
      </c>
      <c r="BE267" s="818">
        <f t="shared" ref="BE267:BE275" si="1283">BE248/BA248-1</f>
        <v>0.34065384040649582</v>
      </c>
      <c r="BF267" s="36">
        <f t="shared" ref="BF267:BF275" si="1284">BF248/BB248-1</f>
        <v>0.21410099873400101</v>
      </c>
      <c r="BG267" s="34">
        <f t="shared" ref="BG267:BG275" si="1285">BG248/BC248-1</f>
        <v>5.2800697489387316E-2</v>
      </c>
      <c r="BH267" s="818">
        <f t="shared" ref="BH267:BH275" si="1286">BH248/BD248-1</f>
        <v>0.10493811168729805</v>
      </c>
      <c r="BI267" s="818">
        <f t="shared" ref="BI267:BI275" si="1287">BI248/BE248-1</f>
        <v>0.11399896348461325</v>
      </c>
      <c r="BJ267" s="36">
        <f t="shared" ref="BJ267:BJ275" si="1288">BJ248/BF248-1</f>
        <v>9.5262905849962332E-2</v>
      </c>
      <c r="BK267" s="34">
        <f t="shared" ref="BK267:BK275" si="1289">BK248/BG248-1</f>
        <v>9.5745355919983233E-2</v>
      </c>
      <c r="BL267" s="818">
        <f t="shared" ref="BL267:BL275" si="1290">BL248/BH248-1</f>
        <v>9.8970570758985188E-2</v>
      </c>
      <c r="BM267" s="818">
        <f t="shared" ref="BM267:BM275" si="1291">BM248/BI248-1</f>
        <v>8.3482676337460759E-2</v>
      </c>
      <c r="BN267" s="36">
        <f t="shared" ref="BN267:BN275" si="1292">BN248/BJ248-1</f>
        <v>8.5005946227209028E-2</v>
      </c>
      <c r="BO267" s="89"/>
      <c r="BP267" s="47"/>
      <c r="BQ267" s="47"/>
      <c r="BR267" s="47"/>
      <c r="BS267" s="47"/>
      <c r="BT267" s="47"/>
      <c r="BU267" s="50"/>
      <c r="BV267" s="50"/>
      <c r="BW267" s="50"/>
      <c r="BX267" s="35"/>
      <c r="BY267" s="35">
        <f t="shared" ref="BY267:CE275" si="1293">BY248/BX248-1</f>
        <v>0.3626737260092654</v>
      </c>
      <c r="BZ267" s="35">
        <f t="shared" si="1293"/>
        <v>0.36920835356969395</v>
      </c>
      <c r="CA267" s="35">
        <f t="shared" si="1293"/>
        <v>0.44012485811577773</v>
      </c>
      <c r="CB267" s="35">
        <f t="shared" si="1293"/>
        <v>0.35788177339901472</v>
      </c>
      <c r="CC267" s="818">
        <f t="shared" si="1293"/>
        <v>0.42201364817318887</v>
      </c>
      <c r="CD267" s="818">
        <f t="shared" si="1293"/>
        <v>9.3313386019421074E-2</v>
      </c>
      <c r="CE267" s="818">
        <f t="shared" si="1293"/>
        <v>9.0308941566138889E-2</v>
      </c>
      <c r="CF267" s="29"/>
      <c r="CG267" s="29"/>
      <c r="CH267" s="29"/>
      <c r="CI267" s="29"/>
      <c r="CJ267" s="2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29"/>
      <c r="DD267" s="2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29"/>
      <c r="DX267" s="2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29"/>
      <c r="ER267" s="29"/>
      <c r="ES267" s="29"/>
      <c r="ET267" s="29"/>
      <c r="EU267" s="29"/>
      <c r="EV267" s="29"/>
      <c r="EW267" s="29"/>
      <c r="EX267" s="29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29"/>
      <c r="FJ267" s="29"/>
      <c r="FK267" s="29"/>
      <c r="FL267" s="29"/>
      <c r="FM267" s="29"/>
      <c r="FN267" s="29"/>
      <c r="FO267" s="29"/>
      <c r="FP267" s="29"/>
      <c r="FQ267" s="29"/>
      <c r="FR267" s="29"/>
      <c r="FS267" s="29"/>
      <c r="FT267" s="29"/>
      <c r="FU267" s="29"/>
      <c r="FV267" s="29"/>
      <c r="FW267" s="29"/>
      <c r="FX267" s="29"/>
      <c r="FY267" s="29"/>
      <c r="FZ267" s="29"/>
      <c r="GA267" s="29"/>
      <c r="GB267" s="29"/>
      <c r="GC267" s="29"/>
      <c r="GD267" s="29"/>
      <c r="GE267" s="29"/>
      <c r="GF267" s="29"/>
      <c r="GG267" s="29"/>
      <c r="GH267" s="29"/>
      <c r="GI267" s="29"/>
      <c r="GJ267" s="29"/>
      <c r="GK267" s="29"/>
      <c r="GL267" s="29"/>
      <c r="GM267" s="29"/>
      <c r="GN267" s="29"/>
      <c r="GO267" s="29"/>
      <c r="GP267" s="29"/>
      <c r="GQ267" s="29"/>
      <c r="GR267" s="29"/>
      <c r="GS267" s="29"/>
      <c r="GT267" s="29"/>
      <c r="GU267" s="29"/>
      <c r="GV267" s="29"/>
      <c r="GW267" s="29"/>
      <c r="GX267" s="29"/>
      <c r="GY267" s="29"/>
      <c r="GZ267" s="29"/>
      <c r="HA267" s="29"/>
      <c r="HB267" s="29"/>
      <c r="HC267" s="29"/>
      <c r="HD267" s="29"/>
      <c r="HE267" s="29"/>
      <c r="HF267" s="29"/>
      <c r="HG267" s="29"/>
      <c r="HH267" s="29"/>
      <c r="HI267" s="29"/>
      <c r="HJ267" s="29"/>
      <c r="HK267" s="29"/>
      <c r="HL267" s="29"/>
      <c r="HM267" s="29"/>
      <c r="HN267" s="29"/>
      <c r="HO267" s="29"/>
      <c r="HP267" s="29"/>
      <c r="HQ267" s="29"/>
      <c r="HR267" s="29"/>
    </row>
    <row r="268" spans="1:226" s="46" customFormat="1">
      <c r="A268" s="84"/>
      <c r="B268" s="5" t="str">
        <f t="shared" si="1273"/>
        <v>Enterprise / Pro Visualization</v>
      </c>
      <c r="C268" s="309"/>
      <c r="D268" s="50"/>
      <c r="E268" s="50"/>
      <c r="F268" s="310"/>
      <c r="G268" s="151"/>
      <c r="H268" s="50"/>
      <c r="I268" s="50"/>
      <c r="J268" s="50"/>
      <c r="K268" s="309"/>
      <c r="L268" s="50"/>
      <c r="M268" s="50"/>
      <c r="N268" s="310"/>
      <c r="O268" s="50"/>
      <c r="P268" s="50"/>
      <c r="Q268" s="50"/>
      <c r="R268" s="50"/>
      <c r="S268" s="309"/>
      <c r="T268" s="50"/>
      <c r="U268" s="50"/>
      <c r="V268" s="310"/>
      <c r="W268" s="50"/>
      <c r="X268" s="50"/>
      <c r="Y268" s="50"/>
      <c r="Z268" s="50"/>
      <c r="AA268" s="309"/>
      <c r="AB268" s="50"/>
      <c r="AC268" s="50"/>
      <c r="AD268" s="310"/>
      <c r="AE268" s="50"/>
      <c r="AF268" s="50"/>
      <c r="AG268" s="50"/>
      <c r="AH268" s="50"/>
      <c r="AI268" s="34"/>
      <c r="AJ268" s="35"/>
      <c r="AK268" s="35"/>
      <c r="AL268" s="36"/>
      <c r="AM268" s="34"/>
      <c r="AN268" s="35"/>
      <c r="AO268" s="35"/>
      <c r="AP268" s="36"/>
      <c r="AQ268" s="34">
        <f t="shared" si="1274"/>
        <v>-5.2356020942408432E-2</v>
      </c>
      <c r="AR268" s="35">
        <f t="shared" si="1275"/>
        <v>-0.15384615384615385</v>
      </c>
      <c r="AS268" s="35">
        <f t="shared" si="1276"/>
        <v>-7.7669902912621325E-2</v>
      </c>
      <c r="AT268" s="36">
        <f t="shared" si="1277"/>
        <v>6.8421052631578938E-2</v>
      </c>
      <c r="AU268" s="34">
        <f t="shared" si="1278"/>
        <v>4.4198895027624419E-2</v>
      </c>
      <c r="AV268" s="35">
        <f t="shared" si="1278"/>
        <v>0.21590909090909083</v>
      </c>
      <c r="AW268" s="35">
        <f t="shared" si="1279"/>
        <v>8.9473684210526372E-2</v>
      </c>
      <c r="AX268" s="36">
        <f t="shared" si="1280"/>
        <v>0.10837438423645329</v>
      </c>
      <c r="AY268" s="34">
        <f t="shared" si="1280"/>
        <v>8.4656084656084651E-2</v>
      </c>
      <c r="AZ268" s="818">
        <f t="shared" si="1280"/>
        <v>9.8130841121495394E-2</v>
      </c>
      <c r="BA268" s="818">
        <f t="shared" si="1280"/>
        <v>0.15458937198067635</v>
      </c>
      <c r="BB268" s="36">
        <f t="shared" si="1280"/>
        <v>0.12888888888888883</v>
      </c>
      <c r="BC268" s="34">
        <f t="shared" si="1281"/>
        <v>0.27619512195121954</v>
      </c>
      <c r="BD268" s="818">
        <f t="shared" si="1282"/>
        <v>0.12440936170212757</v>
      </c>
      <c r="BE268" s="818">
        <f t="shared" si="1283"/>
        <v>0.11664670292887025</v>
      </c>
      <c r="BF268" s="36">
        <f t="shared" si="1284"/>
        <v>6.1210030000000026E-2</v>
      </c>
      <c r="BG268" s="34">
        <f t="shared" si="1285"/>
        <v>5.6058524999999637E-2</v>
      </c>
      <c r="BH268" s="818">
        <f t="shared" si="1286"/>
        <v>7.1742562499999663E-2</v>
      </c>
      <c r="BI268" s="818">
        <f t="shared" si="1287"/>
        <v>8.76595312499997E-2</v>
      </c>
      <c r="BJ268" s="36">
        <f t="shared" si="1288"/>
        <v>0.10381289062499954</v>
      </c>
      <c r="BK268" s="34">
        <f t="shared" si="1289"/>
        <v>0.10381289062499954</v>
      </c>
      <c r="BL268" s="818">
        <f t="shared" si="1290"/>
        <v>0.10381289062499954</v>
      </c>
      <c r="BM268" s="818">
        <f t="shared" si="1291"/>
        <v>0.10381289062499954</v>
      </c>
      <c r="BN268" s="36">
        <f t="shared" si="1292"/>
        <v>0.10381289062499954</v>
      </c>
      <c r="BO268" s="89"/>
      <c r="BP268" s="47"/>
      <c r="BQ268" s="47"/>
      <c r="BR268" s="47"/>
      <c r="BS268" s="47"/>
      <c r="BT268" s="47"/>
      <c r="BU268" s="50"/>
      <c r="BV268" s="50"/>
      <c r="BW268" s="50"/>
      <c r="BX268" s="35"/>
      <c r="BY268" s="35">
        <f t="shared" si="1293"/>
        <v>-1.2422360248447228E-2</v>
      </c>
      <c r="BZ268" s="35">
        <f t="shared" si="1293"/>
        <v>-5.6603773584905648E-2</v>
      </c>
      <c r="CA268" s="35">
        <f t="shared" si="1293"/>
        <v>0.11333333333333329</v>
      </c>
      <c r="CB268" s="35">
        <f t="shared" si="1293"/>
        <v>0.11736526946107784</v>
      </c>
      <c r="CC268" s="818">
        <f t="shared" si="1293"/>
        <v>0.13856603389067534</v>
      </c>
      <c r="CD268" s="818">
        <f t="shared" si="1293"/>
        <v>8.0016364387889505E-2</v>
      </c>
      <c r="CE268" s="818">
        <f t="shared" si="1293"/>
        <v>0.10381289062499954</v>
      </c>
      <c r="CF268" s="29"/>
      <c r="CG268" s="29"/>
      <c r="CH268" s="29"/>
      <c r="CI268" s="29"/>
      <c r="CJ268" s="29"/>
      <c r="CK268" s="29"/>
      <c r="CL268" s="29"/>
      <c r="CM268" s="29"/>
      <c r="CN268" s="29"/>
      <c r="CO268" s="29"/>
      <c r="CP268" s="29"/>
      <c r="CQ268" s="29"/>
      <c r="CR268" s="29"/>
      <c r="CS268" s="29"/>
      <c r="CT268" s="29"/>
      <c r="CU268" s="29"/>
      <c r="CV268" s="29"/>
      <c r="CW268" s="29"/>
      <c r="CX268" s="29"/>
      <c r="CY268" s="29"/>
      <c r="CZ268" s="29"/>
      <c r="DA268" s="29"/>
      <c r="DB268" s="29"/>
      <c r="DC268" s="29"/>
      <c r="DD268" s="29"/>
      <c r="DE268" s="29"/>
      <c r="DF268" s="29"/>
      <c r="DG268" s="29"/>
      <c r="DH268" s="29"/>
      <c r="DI268" s="29"/>
      <c r="DJ268" s="29"/>
      <c r="DK268" s="29"/>
      <c r="DL268" s="29"/>
      <c r="DM268" s="29"/>
      <c r="DN268" s="29"/>
      <c r="DO268" s="29"/>
      <c r="DP268" s="29"/>
      <c r="DQ268" s="29"/>
      <c r="DR268" s="29"/>
      <c r="DS268" s="29"/>
      <c r="DT268" s="29"/>
      <c r="DU268" s="29"/>
      <c r="DV268" s="29"/>
      <c r="DW268" s="29"/>
      <c r="DX268" s="29"/>
      <c r="DY268" s="29"/>
      <c r="DZ268" s="29"/>
      <c r="EA268" s="29"/>
      <c r="EB268" s="29"/>
      <c r="EC268" s="29"/>
      <c r="ED268" s="29"/>
      <c r="EE268" s="29"/>
      <c r="EF268" s="29"/>
      <c r="EG268" s="29"/>
      <c r="EH268" s="29"/>
      <c r="EI268" s="29"/>
      <c r="EJ268" s="29"/>
      <c r="EK268" s="29"/>
      <c r="EL268" s="29"/>
      <c r="EM268" s="29"/>
      <c r="EN268" s="29"/>
      <c r="EO268" s="29"/>
      <c r="EP268" s="29"/>
      <c r="EQ268" s="29"/>
      <c r="ER268" s="29"/>
      <c r="ES268" s="29"/>
      <c r="ET268" s="29"/>
      <c r="EU268" s="29"/>
      <c r="EV268" s="29"/>
      <c r="EW268" s="29"/>
      <c r="EX268" s="29"/>
      <c r="EY268" s="29"/>
      <c r="EZ268" s="29"/>
      <c r="FA268" s="29"/>
      <c r="FB268" s="29"/>
      <c r="FC268" s="29"/>
      <c r="FD268" s="29"/>
      <c r="FE268" s="29"/>
      <c r="FF268" s="29"/>
      <c r="FG268" s="29"/>
      <c r="FH268" s="29"/>
      <c r="FI268" s="29"/>
      <c r="FJ268" s="29"/>
      <c r="FK268" s="29"/>
      <c r="FL268" s="29"/>
      <c r="FM268" s="29"/>
      <c r="FN268" s="29"/>
      <c r="FO268" s="29"/>
      <c r="FP268" s="29"/>
      <c r="FQ268" s="29"/>
      <c r="FR268" s="29"/>
      <c r="FS268" s="29"/>
      <c r="FT268" s="29"/>
      <c r="FU268" s="29"/>
      <c r="FV268" s="29"/>
      <c r="FW268" s="29"/>
      <c r="FX268" s="29"/>
      <c r="FY268" s="29"/>
      <c r="FZ268" s="29"/>
      <c r="GA268" s="29"/>
      <c r="GB268" s="29"/>
      <c r="GC268" s="29"/>
      <c r="GD268" s="29"/>
      <c r="GE268" s="29"/>
      <c r="GF268" s="29"/>
      <c r="GG268" s="29"/>
      <c r="GH268" s="29"/>
      <c r="GI268" s="29"/>
      <c r="GJ268" s="29"/>
      <c r="GK268" s="29"/>
      <c r="GL268" s="29"/>
      <c r="GM268" s="29"/>
      <c r="GN268" s="29"/>
      <c r="GO268" s="29"/>
      <c r="GP268" s="29"/>
      <c r="GQ268" s="29"/>
      <c r="GR268" s="29"/>
      <c r="GS268" s="29"/>
      <c r="GT268" s="29"/>
      <c r="GU268" s="29"/>
      <c r="GV268" s="29"/>
      <c r="GW268" s="29"/>
      <c r="GX268" s="29"/>
      <c r="GY268" s="29"/>
      <c r="GZ268" s="29"/>
      <c r="HA268" s="29"/>
      <c r="HB268" s="29"/>
      <c r="HC268" s="29"/>
      <c r="HD268" s="29"/>
      <c r="HE268" s="29"/>
      <c r="HF268" s="29"/>
      <c r="HG268" s="29"/>
      <c r="HH268" s="29"/>
      <c r="HI268" s="29"/>
      <c r="HJ268" s="29"/>
      <c r="HK268" s="29"/>
      <c r="HL268" s="29"/>
      <c r="HM268" s="29"/>
      <c r="HN268" s="29"/>
      <c r="HO268" s="29"/>
      <c r="HP268" s="29"/>
      <c r="HQ268" s="29"/>
      <c r="HR268" s="29"/>
    </row>
    <row r="269" spans="1:226" s="46" customFormat="1">
      <c r="A269" s="84"/>
      <c r="B269" s="5" t="str">
        <f t="shared" si="1273"/>
        <v>HPC &amp; Cloud / Datacenter</v>
      </c>
      <c r="C269" s="309"/>
      <c r="D269" s="50"/>
      <c r="E269" s="50"/>
      <c r="F269" s="310"/>
      <c r="G269" s="151"/>
      <c r="H269" s="50"/>
      <c r="I269" s="50"/>
      <c r="J269" s="50"/>
      <c r="K269" s="309"/>
      <c r="L269" s="50"/>
      <c r="M269" s="50"/>
      <c r="N269" s="310"/>
      <c r="O269" s="50"/>
      <c r="P269" s="50"/>
      <c r="Q269" s="50"/>
      <c r="R269" s="50"/>
      <c r="S269" s="309"/>
      <c r="T269" s="50"/>
      <c r="U269" s="50"/>
      <c r="V269" s="310"/>
      <c r="W269" s="50"/>
      <c r="X269" s="50"/>
      <c r="Y269" s="50"/>
      <c r="Z269" s="50"/>
      <c r="AA269" s="309"/>
      <c r="AB269" s="50"/>
      <c r="AC269" s="50"/>
      <c r="AD269" s="310"/>
      <c r="AE269" s="50"/>
      <c r="AF269" s="50"/>
      <c r="AG269" s="50"/>
      <c r="AH269" s="50"/>
      <c r="AI269" s="34"/>
      <c r="AJ269" s="35"/>
      <c r="AK269" s="35"/>
      <c r="AL269" s="36"/>
      <c r="AM269" s="34"/>
      <c r="AN269" s="35"/>
      <c r="AO269" s="35"/>
      <c r="AP269" s="36"/>
      <c r="AQ269" s="34">
        <f t="shared" si="1274"/>
        <v>0.54385964912280693</v>
      </c>
      <c r="AR269" s="35">
        <f t="shared" si="1275"/>
        <v>-0.12048192771084343</v>
      </c>
      <c r="AS269" s="35">
        <f t="shared" si="1276"/>
        <v>-8.8888888888888906E-2</v>
      </c>
      <c r="AT269" s="36">
        <f t="shared" si="1277"/>
        <v>0.10227272727272729</v>
      </c>
      <c r="AU269" s="34">
        <f t="shared" si="1278"/>
        <v>0.625</v>
      </c>
      <c r="AV269" s="35">
        <f t="shared" si="1278"/>
        <v>1.0684931506849313</v>
      </c>
      <c r="AW269" s="35">
        <f t="shared" si="1279"/>
        <v>1.9268292682926829</v>
      </c>
      <c r="AX269" s="36">
        <f t="shared" si="1280"/>
        <v>2.0515463917525771</v>
      </c>
      <c r="AY269" s="34">
        <f t="shared" si="1280"/>
        <v>1.86013986013986</v>
      </c>
      <c r="AZ269" s="818">
        <f t="shared" si="1280"/>
        <v>1.7549668874172184</v>
      </c>
      <c r="BA269" s="818">
        <f t="shared" si="1280"/>
        <v>1.0874999999999999</v>
      </c>
      <c r="BB269" s="36">
        <f t="shared" si="1280"/>
        <v>1.0472972972972974</v>
      </c>
      <c r="BC269" s="34">
        <f t="shared" si="1281"/>
        <v>0.54914425427872859</v>
      </c>
      <c r="BD269" s="818">
        <f t="shared" si="1282"/>
        <v>0.62892307692307714</v>
      </c>
      <c r="BE269" s="818">
        <f t="shared" si="1283"/>
        <v>0.47015536926147705</v>
      </c>
      <c r="BF269" s="36">
        <f t="shared" si="1284"/>
        <v>0.39565277359735962</v>
      </c>
      <c r="BG269" s="34">
        <f t="shared" si="1285"/>
        <v>0.41345865535353532</v>
      </c>
      <c r="BH269" s="818">
        <f t="shared" si="1286"/>
        <v>0.39321520263694731</v>
      </c>
      <c r="BI269" s="818">
        <f t="shared" si="1287"/>
        <v>0.35123081357622499</v>
      </c>
      <c r="BJ269" s="36">
        <f t="shared" si="1288"/>
        <v>0.24051888674807076</v>
      </c>
      <c r="BK269" s="34">
        <f t="shared" si="1289"/>
        <v>0.24675936776348495</v>
      </c>
      <c r="BL269" s="818">
        <f t="shared" si="1290"/>
        <v>0.25863742010279656</v>
      </c>
      <c r="BM269" s="818">
        <f t="shared" si="1291"/>
        <v>0.27062773504349003</v>
      </c>
      <c r="BN269" s="36">
        <f t="shared" si="1292"/>
        <v>0.28273137701689555</v>
      </c>
      <c r="BO269" s="89"/>
      <c r="BP269" s="47"/>
      <c r="BQ269" s="47"/>
      <c r="BR269" s="47"/>
      <c r="BS269" s="47"/>
      <c r="BT269" s="47"/>
      <c r="BU269" s="50"/>
      <c r="BV269" s="50"/>
      <c r="BW269" s="50"/>
      <c r="BX269" s="35"/>
      <c r="BY269" s="35">
        <f t="shared" si="1293"/>
        <v>0.73770491803278682</v>
      </c>
      <c r="BZ269" s="35">
        <f t="shared" si="1293"/>
        <v>6.9182389937106903E-2</v>
      </c>
      <c r="CA269" s="35">
        <f t="shared" si="1293"/>
        <v>1.4411764705882355</v>
      </c>
      <c r="CB269" s="35">
        <f t="shared" si="1293"/>
        <v>1.3277108433734939</v>
      </c>
      <c r="CC269" s="818">
        <f t="shared" si="1293"/>
        <v>0.49769431718426516</v>
      </c>
      <c r="CD269" s="818">
        <f t="shared" si="1293"/>
        <v>0.3423286512558974</v>
      </c>
      <c r="CE269" s="818">
        <f t="shared" si="1293"/>
        <v>0.26547938829333373</v>
      </c>
      <c r="CF269" s="29"/>
      <c r="CG269" s="29"/>
      <c r="CH269" s="29"/>
      <c r="CI269" s="29"/>
      <c r="CJ269" s="2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29"/>
      <c r="DD269" s="2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29"/>
      <c r="DX269" s="2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29"/>
      <c r="ER269" s="29"/>
      <c r="ES269" s="29"/>
      <c r="ET269" s="29"/>
      <c r="EU269" s="29"/>
      <c r="EV269" s="29"/>
      <c r="EW269" s="29"/>
      <c r="EX269" s="29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29"/>
      <c r="FJ269" s="29"/>
      <c r="FK269" s="29"/>
      <c r="FL269" s="29"/>
      <c r="FM269" s="29"/>
      <c r="FN269" s="29"/>
      <c r="FO269" s="29"/>
      <c r="FP269" s="29"/>
      <c r="FQ269" s="29"/>
      <c r="FR269" s="29"/>
      <c r="FS269" s="29"/>
      <c r="FT269" s="29"/>
      <c r="FU269" s="29"/>
      <c r="FV269" s="29"/>
      <c r="FW269" s="29"/>
      <c r="FX269" s="29"/>
      <c r="FY269" s="29"/>
      <c r="FZ269" s="29"/>
      <c r="GA269" s="29"/>
      <c r="GB269" s="29"/>
      <c r="GC269" s="29"/>
      <c r="GD269" s="29"/>
      <c r="GE269" s="29"/>
      <c r="GF269" s="29"/>
      <c r="GG269" s="29"/>
      <c r="GH269" s="29"/>
      <c r="GI269" s="29"/>
      <c r="GJ269" s="29"/>
      <c r="GK269" s="29"/>
      <c r="GL269" s="29"/>
      <c r="GM269" s="29"/>
      <c r="GN269" s="29"/>
      <c r="GO269" s="29"/>
      <c r="GP269" s="29"/>
      <c r="GQ269" s="29"/>
      <c r="GR269" s="29"/>
      <c r="GS269" s="29"/>
      <c r="GT269" s="29"/>
      <c r="GU269" s="29"/>
      <c r="GV269" s="29"/>
      <c r="GW269" s="29"/>
      <c r="GX269" s="29"/>
      <c r="GY269" s="29"/>
      <c r="GZ269" s="29"/>
      <c r="HA269" s="29"/>
      <c r="HB269" s="29"/>
      <c r="HC269" s="29"/>
      <c r="HD269" s="29"/>
      <c r="HE269" s="29"/>
      <c r="HF269" s="29"/>
      <c r="HG269" s="29"/>
      <c r="HH269" s="29"/>
      <c r="HI269" s="29"/>
      <c r="HJ269" s="29"/>
      <c r="HK269" s="29"/>
      <c r="HL269" s="29"/>
      <c r="HM269" s="29"/>
      <c r="HN269" s="29"/>
      <c r="HO269" s="29"/>
      <c r="HP269" s="29"/>
      <c r="HQ269" s="29"/>
      <c r="HR269" s="29"/>
    </row>
    <row r="270" spans="1:226" s="46" customFormat="1">
      <c r="A270" s="84"/>
      <c r="B270" s="5" t="str">
        <f t="shared" si="1273"/>
        <v>Auto</v>
      </c>
      <c r="C270" s="309"/>
      <c r="D270" s="50"/>
      <c r="E270" s="50"/>
      <c r="F270" s="310"/>
      <c r="G270" s="151"/>
      <c r="H270" s="50"/>
      <c r="I270" s="50"/>
      <c r="J270" s="50"/>
      <c r="K270" s="309"/>
      <c r="L270" s="50"/>
      <c r="M270" s="50"/>
      <c r="N270" s="310"/>
      <c r="O270" s="50"/>
      <c r="P270" s="50"/>
      <c r="Q270" s="50"/>
      <c r="R270" s="50"/>
      <c r="S270" s="309"/>
      <c r="T270" s="50"/>
      <c r="U270" s="50"/>
      <c r="V270" s="310"/>
      <c r="W270" s="50"/>
      <c r="X270" s="50"/>
      <c r="Y270" s="50"/>
      <c r="Z270" s="50"/>
      <c r="AA270" s="309"/>
      <c r="AB270" s="50"/>
      <c r="AC270" s="50"/>
      <c r="AD270" s="310"/>
      <c r="AE270" s="50"/>
      <c r="AF270" s="50"/>
      <c r="AG270" s="50"/>
      <c r="AH270" s="50"/>
      <c r="AI270" s="34"/>
      <c r="AJ270" s="35"/>
      <c r="AK270" s="35"/>
      <c r="AL270" s="36"/>
      <c r="AM270" s="34"/>
      <c r="AN270" s="35"/>
      <c r="AO270" s="35"/>
      <c r="AP270" s="36"/>
      <c r="AQ270" s="34">
        <f t="shared" si="1274"/>
        <v>1.1857142857142855</v>
      </c>
      <c r="AR270" s="35">
        <f t="shared" si="1275"/>
        <v>0.76249999999999996</v>
      </c>
      <c r="AS270" s="35">
        <f t="shared" si="1276"/>
        <v>0.53281853281853309</v>
      </c>
      <c r="AT270" s="36">
        <f t="shared" si="1277"/>
        <v>0.66071428571428581</v>
      </c>
      <c r="AU270" s="34">
        <f t="shared" si="1278"/>
        <v>0.47712418300653603</v>
      </c>
      <c r="AV270" s="35">
        <f t="shared" si="1278"/>
        <v>0.68794326241134751</v>
      </c>
      <c r="AW270" s="35">
        <f t="shared" si="1279"/>
        <v>0.59949622166246841</v>
      </c>
      <c r="AX270" s="36">
        <f t="shared" si="1280"/>
        <v>0.37634408602150549</v>
      </c>
      <c r="AY270" s="34">
        <f t="shared" si="1280"/>
        <v>0.23893805309734506</v>
      </c>
      <c r="AZ270" s="818">
        <f t="shared" si="1280"/>
        <v>0.19327731092436973</v>
      </c>
      <c r="BA270" s="818">
        <f t="shared" si="1280"/>
        <v>0.13385826771653542</v>
      </c>
      <c r="BB270" s="36">
        <f t="shared" si="1280"/>
        <v>3.125E-2</v>
      </c>
      <c r="BC270" s="34">
        <f t="shared" si="1281"/>
        <v>0</v>
      </c>
      <c r="BD270" s="818">
        <f t="shared" si="1282"/>
        <v>-1.4084507042253502E-2</v>
      </c>
      <c r="BE270" s="818">
        <f t="shared" si="1283"/>
        <v>-2.777777777777779E-2</v>
      </c>
      <c r="BF270" s="36">
        <f t="shared" si="1284"/>
        <v>6.0606060606060552E-2</v>
      </c>
      <c r="BG270" s="34">
        <f t="shared" si="1285"/>
        <v>7.4999999999999956E-2</v>
      </c>
      <c r="BH270" s="818">
        <f t="shared" si="1286"/>
        <v>0.1556249999999999</v>
      </c>
      <c r="BI270" s="818">
        <f t="shared" si="1287"/>
        <v>0.24229687499999986</v>
      </c>
      <c r="BJ270" s="36">
        <f t="shared" si="1288"/>
        <v>0.33546914062499988</v>
      </c>
      <c r="BK270" s="34">
        <f t="shared" si="1289"/>
        <v>0.32925765624999981</v>
      </c>
      <c r="BL270" s="818">
        <f t="shared" si="1290"/>
        <v>0.32307506250000007</v>
      </c>
      <c r="BM270" s="818">
        <f t="shared" si="1291"/>
        <v>0.31692122499999997</v>
      </c>
      <c r="BN270" s="36">
        <f t="shared" si="1292"/>
        <v>0.31079601000000023</v>
      </c>
      <c r="BO270" s="89"/>
      <c r="BP270" s="47"/>
      <c r="BQ270" s="47"/>
      <c r="BR270" s="47"/>
      <c r="BS270" s="47"/>
      <c r="BT270" s="47"/>
      <c r="BU270" s="50"/>
      <c r="BV270" s="50"/>
      <c r="BW270" s="50"/>
      <c r="BX270" s="35"/>
      <c r="BY270" s="35">
        <f t="shared" si="1293"/>
        <v>0.84646464646464659</v>
      </c>
      <c r="BZ270" s="35">
        <f t="shared" si="1293"/>
        <v>0.74726477024070004</v>
      </c>
      <c r="CA270" s="35">
        <f t="shared" si="1293"/>
        <v>0.52473387601753307</v>
      </c>
      <c r="CB270" s="35">
        <f t="shared" si="1293"/>
        <v>0.14579055441478439</v>
      </c>
      <c r="CC270" s="818">
        <f t="shared" si="1293"/>
        <v>3.5842293906809264E-3</v>
      </c>
      <c r="CD270" s="818">
        <f t="shared" si="1293"/>
        <v>0.20209775390625007</v>
      </c>
      <c r="CE270" s="818">
        <f t="shared" si="1293"/>
        <v>0.31945703300789141</v>
      </c>
      <c r="CF270" s="29"/>
      <c r="CG270" s="29"/>
      <c r="CH270" s="29"/>
      <c r="CI270" s="29"/>
      <c r="CJ270" s="2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29"/>
      <c r="DD270" s="2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29"/>
      <c r="DX270" s="2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29"/>
      <c r="ER270" s="29"/>
      <c r="ES270" s="29"/>
      <c r="ET270" s="29"/>
      <c r="EU270" s="29"/>
      <c r="EV270" s="29"/>
      <c r="EW270" s="29"/>
      <c r="EX270" s="29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29"/>
      <c r="FJ270" s="29"/>
      <c r="FK270" s="29"/>
      <c r="FL270" s="29"/>
      <c r="FM270" s="29"/>
      <c r="FN270" s="29"/>
      <c r="FO270" s="29"/>
      <c r="FP270" s="29"/>
      <c r="FQ270" s="29"/>
      <c r="FR270" s="29"/>
      <c r="FS270" s="29"/>
      <c r="FT270" s="29"/>
      <c r="FU270" s="29"/>
      <c r="FV270" s="29"/>
      <c r="FW270" s="29"/>
      <c r="FX270" s="29"/>
      <c r="FY270" s="29"/>
      <c r="FZ270" s="29"/>
      <c r="GA270" s="29"/>
      <c r="GB270" s="29"/>
      <c r="GC270" s="29"/>
      <c r="GD270" s="29"/>
      <c r="GE270" s="29"/>
      <c r="GF270" s="29"/>
      <c r="GG270" s="29"/>
      <c r="GH270" s="29"/>
      <c r="GI270" s="29"/>
      <c r="GJ270" s="29"/>
      <c r="GK270" s="29"/>
      <c r="GL270" s="29"/>
      <c r="GM270" s="29"/>
      <c r="GN270" s="29"/>
      <c r="GO270" s="29"/>
      <c r="GP270" s="29"/>
      <c r="GQ270" s="29"/>
      <c r="GR270" s="29"/>
      <c r="GS270" s="29"/>
      <c r="GT270" s="29"/>
      <c r="GU270" s="29"/>
      <c r="GV270" s="29"/>
      <c r="GW270" s="29"/>
      <c r="GX270" s="29"/>
      <c r="GY270" s="29"/>
      <c r="GZ270" s="29"/>
      <c r="HA270" s="29"/>
      <c r="HB270" s="29"/>
      <c r="HC270" s="29"/>
      <c r="HD270" s="29"/>
      <c r="HE270" s="29"/>
      <c r="HF270" s="29"/>
      <c r="HG270" s="29"/>
      <c r="HH270" s="29"/>
      <c r="HI270" s="29"/>
      <c r="HJ270" s="29"/>
      <c r="HK270" s="29"/>
      <c r="HL270" s="29"/>
      <c r="HM270" s="29"/>
      <c r="HN270" s="29"/>
      <c r="HO270" s="29"/>
      <c r="HP270" s="29"/>
      <c r="HQ270" s="29"/>
      <c r="HR270" s="29"/>
    </row>
    <row r="271" spans="1:226" s="46" customFormat="1">
      <c r="A271" s="84"/>
      <c r="B271" s="5" t="str">
        <f t="shared" si="1273"/>
        <v>OEM &amp; IP</v>
      </c>
      <c r="C271" s="309"/>
      <c r="D271" s="50"/>
      <c r="E271" s="50"/>
      <c r="F271" s="310"/>
      <c r="G271" s="151"/>
      <c r="H271" s="50"/>
      <c r="I271" s="50"/>
      <c r="J271" s="50"/>
      <c r="K271" s="309"/>
      <c r="L271" s="50"/>
      <c r="M271" s="50"/>
      <c r="N271" s="310"/>
      <c r="O271" s="50"/>
      <c r="P271" s="50"/>
      <c r="Q271" s="50"/>
      <c r="R271" s="50"/>
      <c r="S271" s="309"/>
      <c r="T271" s="50"/>
      <c r="U271" s="50"/>
      <c r="V271" s="310"/>
      <c r="W271" s="50"/>
      <c r="X271" s="50"/>
      <c r="Y271" s="50"/>
      <c r="Z271" s="50"/>
      <c r="AA271" s="309"/>
      <c r="AB271" s="50"/>
      <c r="AC271" s="50"/>
      <c r="AD271" s="310"/>
      <c r="AE271" s="50"/>
      <c r="AF271" s="50"/>
      <c r="AG271" s="50"/>
      <c r="AH271" s="50"/>
      <c r="AI271" s="34"/>
      <c r="AJ271" s="35"/>
      <c r="AK271" s="35"/>
      <c r="AL271" s="36"/>
      <c r="AM271" s="34"/>
      <c r="AN271" s="35"/>
      <c r="AO271" s="35"/>
      <c r="AP271" s="36"/>
      <c r="AQ271" s="34">
        <f t="shared" si="1274"/>
        <v>-0.37888551879404297</v>
      </c>
      <c r="AR271" s="35">
        <f t="shared" si="1275"/>
        <v>-0.51384348296620297</v>
      </c>
      <c r="AS271" s="35">
        <f t="shared" si="1276"/>
        <v>-0.44962841336224402</v>
      </c>
      <c r="AT271" s="36">
        <f t="shared" si="1277"/>
        <v>-0.26806006343479449</v>
      </c>
      <c r="AU271" s="34">
        <f t="shared" si="1278"/>
        <v>-0.20823798627002288</v>
      </c>
      <c r="AV271" s="35">
        <f t="shared" si="1278"/>
        <v>-5.507246376811592E-2</v>
      </c>
      <c r="AW271" s="35">
        <f t="shared" si="1279"/>
        <v>-3.3264033264033266E-2</v>
      </c>
      <c r="AX271" s="36">
        <f t="shared" si="1280"/>
        <v>-0.11111111111111116</v>
      </c>
      <c r="AY271" s="34">
        <f t="shared" si="1280"/>
        <v>-9.8265895953757232E-2</v>
      </c>
      <c r="AZ271" s="818">
        <f t="shared" si="1280"/>
        <v>0.53987730061349692</v>
      </c>
      <c r="BA271" s="818">
        <f t="shared" si="1280"/>
        <v>2.6881720430107503E-2</v>
      </c>
      <c r="BB271" s="36">
        <f t="shared" si="1280"/>
        <v>2.2727272727272707E-2</v>
      </c>
      <c r="BC271" s="34">
        <f t="shared" si="1281"/>
        <v>6.6984259187171213E-2</v>
      </c>
      <c r="BD271" s="818">
        <f t="shared" si="1282"/>
        <v>-0.36145224236234619</v>
      </c>
      <c r="BE271" s="818">
        <f t="shared" si="1283"/>
        <v>-9.6437347151206332E-2</v>
      </c>
      <c r="BF271" s="36">
        <f t="shared" si="1284"/>
        <v>-3.4637717447366101E-2</v>
      </c>
      <c r="BG271" s="34">
        <f t="shared" si="1285"/>
        <v>-6.1982233898707162E-2</v>
      </c>
      <c r="BH271" s="818">
        <f t="shared" si="1286"/>
        <v>0.10615321799784505</v>
      </c>
      <c r="BI271" s="818">
        <f t="shared" si="1287"/>
        <v>0.11645426119134106</v>
      </c>
      <c r="BJ271" s="36">
        <f t="shared" si="1288"/>
        <v>0.11200521288289433</v>
      </c>
      <c r="BK271" s="34">
        <f t="shared" si="1289"/>
        <v>0.10915409618689798</v>
      </c>
      <c r="BL271" s="818">
        <f t="shared" si="1290"/>
        <v>0.10523432791774456</v>
      </c>
      <c r="BM271" s="818">
        <f t="shared" si="1291"/>
        <v>8.8075887330977265E-2</v>
      </c>
      <c r="BN271" s="36">
        <f t="shared" si="1292"/>
        <v>8.4398230071468294E-2</v>
      </c>
      <c r="BO271" s="89"/>
      <c r="BP271" s="47"/>
      <c r="BQ271" s="47"/>
      <c r="BR271" s="47"/>
      <c r="BS271" s="47"/>
      <c r="BT271" s="47"/>
      <c r="BU271" s="50"/>
      <c r="BV271" s="50"/>
      <c r="BW271" s="50"/>
      <c r="BX271" s="35"/>
      <c r="BY271" s="35">
        <f t="shared" si="1293"/>
        <v>-0.13409482809259088</v>
      </c>
      <c r="BZ271" s="35">
        <f t="shared" si="1293"/>
        <v>-0.41102293121239275</v>
      </c>
      <c r="CA271" s="35">
        <f t="shared" si="1293"/>
        <v>-0.10673150755055028</v>
      </c>
      <c r="CB271" s="35">
        <f t="shared" si="1293"/>
        <v>0.11461318051575931</v>
      </c>
      <c r="CC271" s="818">
        <f t="shared" si="1293"/>
        <v>-0.13487055378683355</v>
      </c>
      <c r="CD271" s="818">
        <f t="shared" si="1293"/>
        <v>6.87255940324496E-2</v>
      </c>
      <c r="CE271" s="818">
        <f t="shared" si="1293"/>
        <v>9.5892041171738995E-2</v>
      </c>
      <c r="CF271" s="29"/>
      <c r="CG271" s="29"/>
      <c r="CH271" s="29"/>
      <c r="CI271" s="29"/>
      <c r="CJ271" s="29"/>
      <c r="CK271" s="29"/>
      <c r="CL271" s="29"/>
      <c r="CM271" s="29"/>
      <c r="CN271" s="29"/>
      <c r="CO271" s="29"/>
      <c r="CP271" s="29"/>
      <c r="CQ271" s="29"/>
      <c r="CR271" s="29"/>
      <c r="CS271" s="29"/>
      <c r="CT271" s="29"/>
      <c r="CU271" s="29"/>
      <c r="CV271" s="29"/>
      <c r="CW271" s="29"/>
      <c r="CX271" s="29"/>
      <c r="CY271" s="29"/>
      <c r="CZ271" s="29"/>
      <c r="DA271" s="29"/>
      <c r="DB271" s="29"/>
      <c r="DC271" s="29"/>
      <c r="DD271" s="29"/>
      <c r="DE271" s="29"/>
      <c r="DF271" s="29"/>
      <c r="DG271" s="29"/>
      <c r="DH271" s="29"/>
      <c r="DI271" s="29"/>
      <c r="DJ271" s="29"/>
      <c r="DK271" s="29"/>
      <c r="DL271" s="29"/>
      <c r="DM271" s="29"/>
      <c r="DN271" s="29"/>
      <c r="DO271" s="29"/>
      <c r="DP271" s="29"/>
      <c r="DQ271" s="29"/>
      <c r="DR271" s="29"/>
      <c r="DS271" s="29"/>
      <c r="DT271" s="29"/>
      <c r="DU271" s="29"/>
      <c r="DV271" s="29"/>
      <c r="DW271" s="29"/>
      <c r="DX271" s="29"/>
      <c r="DY271" s="29"/>
      <c r="DZ271" s="29"/>
      <c r="EA271" s="29"/>
      <c r="EB271" s="29"/>
      <c r="EC271" s="29"/>
      <c r="ED271" s="29"/>
      <c r="EE271" s="29"/>
      <c r="EF271" s="29"/>
      <c r="EG271" s="29"/>
      <c r="EH271" s="29"/>
      <c r="EI271" s="29"/>
      <c r="EJ271" s="29"/>
      <c r="EK271" s="29"/>
      <c r="EL271" s="29"/>
      <c r="EM271" s="29"/>
      <c r="EN271" s="29"/>
      <c r="EO271" s="29"/>
      <c r="EP271" s="29"/>
      <c r="EQ271" s="29"/>
      <c r="ER271" s="29"/>
      <c r="ES271" s="29"/>
      <c r="ET271" s="29"/>
      <c r="EU271" s="29"/>
      <c r="EV271" s="29"/>
      <c r="EW271" s="29"/>
      <c r="EX271" s="29"/>
      <c r="EY271" s="29"/>
      <c r="EZ271" s="29"/>
      <c r="FA271" s="29"/>
      <c r="FB271" s="29"/>
      <c r="FC271" s="29"/>
      <c r="FD271" s="29"/>
      <c r="FE271" s="29"/>
      <c r="FF271" s="29"/>
      <c r="FG271" s="29"/>
      <c r="FH271" s="29"/>
      <c r="FI271" s="29"/>
      <c r="FJ271" s="29"/>
      <c r="FK271" s="29"/>
      <c r="FL271" s="29"/>
      <c r="FM271" s="29"/>
      <c r="FN271" s="29"/>
      <c r="FO271" s="29"/>
      <c r="FP271" s="29"/>
      <c r="FQ271" s="29"/>
      <c r="FR271" s="29"/>
      <c r="FS271" s="29"/>
      <c r="FT271" s="29"/>
      <c r="FU271" s="29"/>
      <c r="FV271" s="29"/>
      <c r="FW271" s="29"/>
      <c r="FX271" s="29"/>
      <c r="FY271" s="29"/>
      <c r="FZ271" s="29"/>
      <c r="GA271" s="29"/>
      <c r="GB271" s="29"/>
      <c r="GC271" s="29"/>
      <c r="GD271" s="29"/>
      <c r="GE271" s="29"/>
      <c r="GF271" s="29"/>
      <c r="GG271" s="29"/>
      <c r="GH271" s="29"/>
      <c r="GI271" s="29"/>
      <c r="GJ271" s="29"/>
      <c r="GK271" s="29"/>
      <c r="GL271" s="29"/>
      <c r="GM271" s="29"/>
      <c r="GN271" s="29"/>
      <c r="GO271" s="29"/>
      <c r="GP271" s="29"/>
      <c r="GQ271" s="29"/>
      <c r="GR271" s="29"/>
      <c r="GS271" s="29"/>
      <c r="GT271" s="29"/>
      <c r="GU271" s="29"/>
      <c r="GV271" s="29"/>
      <c r="GW271" s="29"/>
      <c r="GX271" s="29"/>
      <c r="GY271" s="29"/>
      <c r="GZ271" s="29"/>
      <c r="HA271" s="29"/>
      <c r="HB271" s="29"/>
      <c r="HC271" s="29"/>
      <c r="HD271" s="29"/>
      <c r="HE271" s="29"/>
      <c r="HF271" s="29"/>
      <c r="HG271" s="29"/>
      <c r="HH271" s="29"/>
      <c r="HI271" s="29"/>
      <c r="HJ271" s="29"/>
      <c r="HK271" s="29"/>
      <c r="HL271" s="29"/>
      <c r="HM271" s="29"/>
      <c r="HN271" s="29"/>
      <c r="HO271" s="29"/>
      <c r="HP271" s="29"/>
      <c r="HQ271" s="29"/>
      <c r="HR271" s="29"/>
    </row>
    <row r="272" spans="1:226" s="46" customFormat="1">
      <c r="A272" s="84"/>
      <c r="B272" s="114" t="str">
        <f t="shared" si="1273"/>
        <v>OEM GPU</v>
      </c>
      <c r="C272" s="309"/>
      <c r="D272" s="50"/>
      <c r="E272" s="50"/>
      <c r="F272" s="310"/>
      <c r="G272" s="151"/>
      <c r="H272" s="50"/>
      <c r="I272" s="50"/>
      <c r="J272" s="50"/>
      <c r="K272" s="309"/>
      <c r="L272" s="50"/>
      <c r="M272" s="50"/>
      <c r="N272" s="310"/>
      <c r="O272" s="50"/>
      <c r="P272" s="50"/>
      <c r="Q272" s="50"/>
      <c r="R272" s="50"/>
      <c r="S272" s="309"/>
      <c r="T272" s="50"/>
      <c r="U272" s="50"/>
      <c r="V272" s="310"/>
      <c r="W272" s="50"/>
      <c r="X272" s="50"/>
      <c r="Y272" s="50"/>
      <c r="Z272" s="50"/>
      <c r="AA272" s="309"/>
      <c r="AB272" s="50"/>
      <c r="AC272" s="50"/>
      <c r="AD272" s="310"/>
      <c r="AE272" s="50"/>
      <c r="AF272" s="50"/>
      <c r="AG272" s="50"/>
      <c r="AH272" s="50"/>
      <c r="AI272" s="34"/>
      <c r="AJ272" s="35"/>
      <c r="AK272" s="35"/>
      <c r="AL272" s="36"/>
      <c r="AM272" s="34"/>
      <c r="AN272" s="35"/>
      <c r="AO272" s="35"/>
      <c r="AP272" s="36"/>
      <c r="AQ272" s="34">
        <f t="shared" si="1274"/>
        <v>-0.33739617922173071</v>
      </c>
      <c r="AR272" s="35">
        <f t="shared" si="1275"/>
        <v>-0.54311799358725921</v>
      </c>
      <c r="AS272" s="35">
        <f t="shared" si="1276"/>
        <v>-0.39782537711479538</v>
      </c>
      <c r="AT272" s="36">
        <f t="shared" si="1277"/>
        <v>-0.25593553526241153</v>
      </c>
      <c r="AU272" s="34">
        <f t="shared" si="1278"/>
        <v>-0.35550438354615332</v>
      </c>
      <c r="AV272" s="35">
        <f t="shared" si="1278"/>
        <v>-0.11036339018353325</v>
      </c>
      <c r="AW272" s="35">
        <f t="shared" si="1279"/>
        <v>-7.3225748105874233E-2</v>
      </c>
      <c r="AX272" s="36">
        <f t="shared" si="1280"/>
        <v>-0.27044868323012716</v>
      </c>
      <c r="AY272" s="34">
        <f t="shared" si="1280"/>
        <v>-1.1726866320839191E-3</v>
      </c>
      <c r="AZ272" s="818">
        <f t="shared" si="1280"/>
        <v>2.1451632750686498</v>
      </c>
      <c r="BA272" s="818">
        <f t="shared" si="1280"/>
        <v>0.6602410687979674</v>
      </c>
      <c r="BB272" s="36">
        <f t="shared" si="1280"/>
        <v>0.79432690451998145</v>
      </c>
      <c r="BC272" s="34">
        <f t="shared" si="1281"/>
        <v>0.65510102282034821</v>
      </c>
      <c r="BD272" s="818">
        <f t="shared" si="1282"/>
        <v>-0.44333318696748314</v>
      </c>
      <c r="BE272" s="818">
        <f t="shared" si="1283"/>
        <v>-0.14379111292756275</v>
      </c>
      <c r="BF272" s="36">
        <f t="shared" si="1284"/>
        <v>-7.2537620277126624E-2</v>
      </c>
      <c r="BG272" s="34">
        <f t="shared" si="1285"/>
        <v>-0.1071994085120388</v>
      </c>
      <c r="BH272" s="818">
        <f t="shared" si="1286"/>
        <v>0.10493811168729805</v>
      </c>
      <c r="BI272" s="818">
        <f t="shared" si="1287"/>
        <v>0.11399896348461325</v>
      </c>
      <c r="BJ272" s="36">
        <f t="shared" si="1288"/>
        <v>9.5262905849962332E-2</v>
      </c>
      <c r="BK272" s="34">
        <f t="shared" si="1289"/>
        <v>9.5745355919983233E-2</v>
      </c>
      <c r="BL272" s="818">
        <f t="shared" si="1290"/>
        <v>9.8970570758984966E-2</v>
      </c>
      <c r="BM272" s="818">
        <f t="shared" si="1291"/>
        <v>8.3482676337460981E-2</v>
      </c>
      <c r="BN272" s="36">
        <f t="shared" si="1292"/>
        <v>8.500594622720925E-2</v>
      </c>
      <c r="BO272" s="89"/>
      <c r="BP272" s="47"/>
      <c r="BQ272" s="47"/>
      <c r="BR272" s="47"/>
      <c r="BS272" s="47"/>
      <c r="BT272" s="47"/>
      <c r="BU272" s="50"/>
      <c r="BV272" s="50"/>
      <c r="BW272" s="50"/>
      <c r="BX272" s="35"/>
      <c r="BY272" s="35">
        <f t="shared" si="1293"/>
        <v>-0.31045159234731878</v>
      </c>
      <c r="BZ272" s="35">
        <f t="shared" si="1293"/>
        <v>-0.38699958427048931</v>
      </c>
      <c r="CA272" s="35">
        <f t="shared" si="1293"/>
        <v>-0.21654246499312091</v>
      </c>
      <c r="CB272" s="35">
        <f t="shared" si="1293"/>
        <v>0.85452755684842407</v>
      </c>
      <c r="CC272" s="818">
        <f t="shared" si="1293"/>
        <v>-0.13204108883496446</v>
      </c>
      <c r="CD272" s="818">
        <f t="shared" si="1293"/>
        <v>5.1955636025729168E-2</v>
      </c>
      <c r="CE272" s="818">
        <f t="shared" si="1293"/>
        <v>9.0308941566138889E-2</v>
      </c>
      <c r="CF272" s="29"/>
      <c r="CG272" s="29"/>
      <c r="CH272" s="29"/>
      <c r="CI272" s="29"/>
      <c r="CJ272" s="2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29"/>
      <c r="DD272" s="2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29"/>
      <c r="DX272" s="2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29"/>
      <c r="ER272" s="29"/>
      <c r="ES272" s="29"/>
      <c r="ET272" s="29"/>
      <c r="EU272" s="29"/>
      <c r="EV272" s="29"/>
      <c r="EW272" s="29"/>
      <c r="EX272" s="29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29"/>
      <c r="FJ272" s="29"/>
      <c r="FK272" s="29"/>
      <c r="FL272" s="29"/>
      <c r="FM272" s="29"/>
      <c r="FN272" s="29"/>
      <c r="FO272" s="29"/>
      <c r="FP272" s="29"/>
      <c r="FQ272" s="29"/>
      <c r="FR272" s="29"/>
      <c r="FS272" s="29"/>
      <c r="FT272" s="29"/>
      <c r="FU272" s="29"/>
      <c r="FV272" s="29"/>
      <c r="FW272" s="29"/>
      <c r="FX272" s="29"/>
      <c r="FY272" s="29"/>
      <c r="FZ272" s="29"/>
      <c r="GA272" s="29"/>
      <c r="GB272" s="29"/>
      <c r="GC272" s="29"/>
      <c r="GD272" s="29"/>
      <c r="GE272" s="29"/>
      <c r="GF272" s="29"/>
      <c r="GG272" s="29"/>
      <c r="GH272" s="29"/>
      <c r="GI272" s="29"/>
      <c r="GJ272" s="29"/>
      <c r="GK272" s="29"/>
      <c r="GL272" s="29"/>
      <c r="GM272" s="29"/>
      <c r="GN272" s="29"/>
      <c r="GO272" s="29"/>
      <c r="GP272" s="29"/>
      <c r="GQ272" s="29"/>
      <c r="GR272" s="29"/>
      <c r="GS272" s="29"/>
      <c r="GT272" s="29"/>
      <c r="GU272" s="29"/>
      <c r="GV272" s="29"/>
      <c r="GW272" s="29"/>
      <c r="GX272" s="29"/>
      <c r="GY272" s="29"/>
      <c r="GZ272" s="29"/>
      <c r="HA272" s="29"/>
      <c r="HB272" s="29"/>
      <c r="HC272" s="29"/>
      <c r="HD272" s="29"/>
      <c r="HE272" s="29"/>
      <c r="HF272" s="29"/>
      <c r="HG272" s="29"/>
      <c r="HH272" s="29"/>
      <c r="HI272" s="29"/>
      <c r="HJ272" s="29"/>
      <c r="HK272" s="29"/>
      <c r="HL272" s="29"/>
      <c r="HM272" s="29"/>
      <c r="HN272" s="29"/>
      <c r="HO272" s="29"/>
      <c r="HP272" s="29"/>
      <c r="HQ272" s="29"/>
      <c r="HR272" s="29"/>
    </row>
    <row r="273" spans="1:226" s="46" customFormat="1">
      <c r="A273" s="84"/>
      <c r="B273" s="114" t="str">
        <f t="shared" si="1273"/>
        <v>Tegra (ex-Auto/Gaming)</v>
      </c>
      <c r="C273" s="309"/>
      <c r="D273" s="50"/>
      <c r="E273" s="50"/>
      <c r="F273" s="310"/>
      <c r="G273" s="151"/>
      <c r="H273" s="50"/>
      <c r="I273" s="50"/>
      <c r="J273" s="50"/>
      <c r="K273" s="309"/>
      <c r="L273" s="50"/>
      <c r="M273" s="50"/>
      <c r="N273" s="310"/>
      <c r="O273" s="50"/>
      <c r="P273" s="50"/>
      <c r="Q273" s="50"/>
      <c r="R273" s="50"/>
      <c r="S273" s="309"/>
      <c r="T273" s="50"/>
      <c r="U273" s="50"/>
      <c r="V273" s="310"/>
      <c r="W273" s="50"/>
      <c r="X273" s="50"/>
      <c r="Y273" s="50"/>
      <c r="Z273" s="50"/>
      <c r="AA273" s="309"/>
      <c r="AB273" s="50"/>
      <c r="AC273" s="50"/>
      <c r="AD273" s="310"/>
      <c r="AE273" s="50"/>
      <c r="AF273" s="50"/>
      <c r="AG273" s="50"/>
      <c r="AH273" s="50"/>
      <c r="AI273" s="34"/>
      <c r="AJ273" s="35"/>
      <c r="AK273" s="35"/>
      <c r="AL273" s="36"/>
      <c r="AM273" s="34"/>
      <c r="AN273" s="35"/>
      <c r="AO273" s="35"/>
      <c r="AP273" s="36"/>
      <c r="AQ273" s="34">
        <f t="shared" si="1274"/>
        <v>-0.6973075098547783</v>
      </c>
      <c r="AR273" s="35">
        <f t="shared" si="1275"/>
        <v>-0.76071217050845774</v>
      </c>
      <c r="AS273" s="35">
        <f t="shared" si="1276"/>
        <v>-0.78294589714111573</v>
      </c>
      <c r="AT273" s="36">
        <f t="shared" si="1277"/>
        <v>-0.62048471823356999</v>
      </c>
      <c r="AU273" s="34">
        <f t="shared" si="1278"/>
        <v>-7.4282405648967265E-2</v>
      </c>
      <c r="AV273" s="35">
        <f t="shared" si="1278"/>
        <v>-2.9864415474341266E-2</v>
      </c>
      <c r="AW273" s="35">
        <f t="shared" si="1279"/>
        <v>4.0982470852202857E-2</v>
      </c>
      <c r="AX273" s="36">
        <f t="shared" si="1280"/>
        <v>0.38190414731423483</v>
      </c>
      <c r="AY273" s="34">
        <f t="shared" si="1280"/>
        <v>0.21951219512195119</v>
      </c>
      <c r="AZ273" s="818">
        <f t="shared" si="1280"/>
        <v>0.15400851565469709</v>
      </c>
      <c r="BA273" s="818">
        <f t="shared" si="1280"/>
        <v>0.34410111835393997</v>
      </c>
      <c r="BB273" s="36">
        <f t="shared" si="1280"/>
        <v>0.19556054807722312</v>
      </c>
      <c r="BC273" s="34">
        <f t="shared" si="1281"/>
        <v>5.7142857142857162E-2</v>
      </c>
      <c r="BD273" s="818">
        <f t="shared" si="1282"/>
        <v>0.21237281402502051</v>
      </c>
      <c r="BE273" s="818">
        <f t="shared" si="1283"/>
        <v>0.11472763951602238</v>
      </c>
      <c r="BF273" s="36">
        <f t="shared" si="1284"/>
        <v>0.12409140245231343</v>
      </c>
      <c r="BG273" s="34">
        <f t="shared" si="1285"/>
        <v>9.6216216216216344E-2</v>
      </c>
      <c r="BH273" s="818">
        <f t="shared" si="1286"/>
        <v>0.11006315789473686</v>
      </c>
      <c r="BI273" s="818">
        <f t="shared" si="1287"/>
        <v>0.12486400000000009</v>
      </c>
      <c r="BJ273" s="36">
        <f t="shared" si="1288"/>
        <v>0.16985855999999999</v>
      </c>
      <c r="BK273" s="34">
        <f t="shared" si="1289"/>
        <v>0.14736127999999993</v>
      </c>
      <c r="BL273" s="818">
        <f t="shared" si="1290"/>
        <v>0.12529663999999996</v>
      </c>
      <c r="BM273" s="818">
        <f t="shared" si="1291"/>
        <v>0.10365632000000002</v>
      </c>
      <c r="BN273" s="36">
        <f t="shared" si="1292"/>
        <v>8.2432159999999977E-2</v>
      </c>
      <c r="BO273" s="89"/>
      <c r="BP273" s="47"/>
      <c r="BQ273" s="47"/>
      <c r="BR273" s="47"/>
      <c r="BS273" s="47"/>
      <c r="BT273" s="47"/>
      <c r="BU273" s="50"/>
      <c r="BV273" s="50"/>
      <c r="BW273" s="50"/>
      <c r="BX273" s="35"/>
      <c r="BY273" s="35">
        <f t="shared" si="1293"/>
        <v>0.33307939373608764</v>
      </c>
      <c r="BZ273" s="35">
        <f t="shared" si="1293"/>
        <v>-0.73073954307782651</v>
      </c>
      <c r="CA273" s="35">
        <f t="shared" si="1293"/>
        <v>7.333333333333325E-2</v>
      </c>
      <c r="CB273" s="35">
        <f t="shared" si="1293"/>
        <v>0.20674356699201413</v>
      </c>
      <c r="CC273" s="818">
        <f t="shared" si="1293"/>
        <v>0.125</v>
      </c>
      <c r="CD273" s="818">
        <f t="shared" si="1293"/>
        <v>0.12572928000000005</v>
      </c>
      <c r="CE273" s="818">
        <f t="shared" si="1293"/>
        <v>0.11362616768639522</v>
      </c>
      <c r="CF273" s="29"/>
      <c r="CG273" s="29"/>
      <c r="CH273" s="29"/>
      <c r="CI273" s="29"/>
      <c r="CJ273" s="2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29"/>
      <c r="DD273" s="2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29"/>
      <c r="DX273" s="2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29"/>
      <c r="ER273" s="29"/>
      <c r="ES273" s="29"/>
      <c r="ET273" s="29"/>
      <c r="EU273" s="29"/>
      <c r="EV273" s="29"/>
      <c r="EW273" s="29"/>
      <c r="EX273" s="29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29"/>
      <c r="FJ273" s="29"/>
      <c r="FK273" s="29"/>
      <c r="FL273" s="29"/>
      <c r="FM273" s="29"/>
      <c r="FN273" s="29"/>
      <c r="FO273" s="29"/>
      <c r="FP273" s="29"/>
      <c r="FQ273" s="29"/>
      <c r="FR273" s="29"/>
      <c r="FS273" s="29"/>
      <c r="FT273" s="29"/>
      <c r="FU273" s="29"/>
      <c r="FV273" s="29"/>
      <c r="FW273" s="29"/>
      <c r="FX273" s="29"/>
      <c r="FY273" s="29"/>
      <c r="FZ273" s="29"/>
      <c r="GA273" s="29"/>
      <c r="GB273" s="29"/>
      <c r="GC273" s="29"/>
      <c r="GD273" s="29"/>
      <c r="GE273" s="29"/>
      <c r="GF273" s="29"/>
      <c r="GG273" s="29"/>
      <c r="GH273" s="29"/>
      <c r="GI273" s="29"/>
      <c r="GJ273" s="29"/>
      <c r="GK273" s="29"/>
      <c r="GL273" s="29"/>
      <c r="GM273" s="29"/>
      <c r="GN273" s="29"/>
      <c r="GO273" s="29"/>
      <c r="GP273" s="29"/>
      <c r="GQ273" s="29"/>
      <c r="GR273" s="29"/>
      <c r="GS273" s="29"/>
      <c r="GT273" s="29"/>
      <c r="GU273" s="29"/>
      <c r="GV273" s="29"/>
      <c r="GW273" s="29"/>
      <c r="GX273" s="29"/>
      <c r="GY273" s="29"/>
      <c r="GZ273" s="29"/>
      <c r="HA273" s="29"/>
      <c r="HB273" s="29"/>
      <c r="HC273" s="29"/>
      <c r="HD273" s="29"/>
      <c r="HE273" s="29"/>
      <c r="HF273" s="29"/>
      <c r="HG273" s="29"/>
      <c r="HH273" s="29"/>
      <c r="HI273" s="29"/>
      <c r="HJ273" s="29"/>
      <c r="HK273" s="29"/>
      <c r="HL273" s="29"/>
      <c r="HM273" s="29"/>
      <c r="HN273" s="29"/>
      <c r="HO273" s="29"/>
      <c r="HP273" s="29"/>
      <c r="HQ273" s="29"/>
      <c r="HR273" s="29"/>
    </row>
    <row r="274" spans="1:226" s="46" customFormat="1">
      <c r="A274" s="84"/>
      <c r="B274" s="114" t="str">
        <f t="shared" si="1273"/>
        <v>IP</v>
      </c>
      <c r="C274" s="309"/>
      <c r="D274" s="50"/>
      <c r="E274" s="50"/>
      <c r="F274" s="310"/>
      <c r="G274" s="151"/>
      <c r="H274" s="50"/>
      <c r="I274" s="50"/>
      <c r="J274" s="50"/>
      <c r="K274" s="309"/>
      <c r="L274" s="50"/>
      <c r="M274" s="50"/>
      <c r="N274" s="310"/>
      <c r="O274" s="50"/>
      <c r="P274" s="50"/>
      <c r="Q274" s="50"/>
      <c r="R274" s="50"/>
      <c r="S274" s="309"/>
      <c r="T274" s="50"/>
      <c r="U274" s="50"/>
      <c r="V274" s="310"/>
      <c r="W274" s="50"/>
      <c r="X274" s="50"/>
      <c r="Y274" s="50"/>
      <c r="Z274" s="50"/>
      <c r="AA274" s="309"/>
      <c r="AB274" s="50"/>
      <c r="AC274" s="50"/>
      <c r="AD274" s="310"/>
      <c r="AE274" s="50"/>
      <c r="AF274" s="50"/>
      <c r="AG274" s="50"/>
      <c r="AH274" s="50"/>
      <c r="AI274" s="34"/>
      <c r="AJ274" s="35"/>
      <c r="AK274" s="35"/>
      <c r="AL274" s="36"/>
      <c r="AM274" s="34"/>
      <c r="AN274" s="35"/>
      <c r="AO274" s="35"/>
      <c r="AP274" s="36"/>
      <c r="AQ274" s="34">
        <f t="shared" si="1274"/>
        <v>0</v>
      </c>
      <c r="AR274" s="35">
        <f t="shared" si="1275"/>
        <v>0</v>
      </c>
      <c r="AS274" s="35">
        <f t="shared" si="1276"/>
        <v>0</v>
      </c>
      <c r="AT274" s="36">
        <f t="shared" si="1277"/>
        <v>0</v>
      </c>
      <c r="AU274" s="34">
        <f t="shared" si="1278"/>
        <v>0</v>
      </c>
      <c r="AV274" s="35">
        <f t="shared" si="1278"/>
        <v>0</v>
      </c>
      <c r="AW274" s="35">
        <f t="shared" si="1279"/>
        <v>0</v>
      </c>
      <c r="AX274" s="36">
        <f t="shared" si="1280"/>
        <v>0</v>
      </c>
      <c r="AY274" s="34">
        <f t="shared" si="1280"/>
        <v>-0.34848484848484851</v>
      </c>
      <c r="AZ274" s="818">
        <f t="shared" si="1280"/>
        <v>-1</v>
      </c>
      <c r="BA274" s="818">
        <f t="shared" si="1280"/>
        <v>-1</v>
      </c>
      <c r="BB274" s="36">
        <f t="shared" si="1280"/>
        <v>-1</v>
      </c>
      <c r="BC274" s="34">
        <f t="shared" si="1281"/>
        <v>-1</v>
      </c>
      <c r="BD274" s="818"/>
      <c r="BE274" s="818"/>
      <c r="BF274" s="36"/>
      <c r="BG274" s="34"/>
      <c r="BH274" s="818"/>
      <c r="BI274" s="818"/>
      <c r="BJ274" s="36"/>
      <c r="BK274" s="34"/>
      <c r="BL274" s="818"/>
      <c r="BM274" s="818"/>
      <c r="BN274" s="36"/>
      <c r="BO274" s="89"/>
      <c r="BP274" s="47"/>
      <c r="BQ274" s="47"/>
      <c r="BR274" s="47"/>
      <c r="BS274" s="47"/>
      <c r="BT274" s="47"/>
      <c r="BU274" s="50"/>
      <c r="BV274" s="50"/>
      <c r="BW274" s="50"/>
      <c r="BX274" s="35"/>
      <c r="BY274" s="35">
        <f t="shared" si="1293"/>
        <v>0</v>
      </c>
      <c r="BZ274" s="35">
        <f t="shared" si="1293"/>
        <v>0</v>
      </c>
      <c r="CA274" s="35">
        <f t="shared" si="1293"/>
        <v>0</v>
      </c>
      <c r="CB274" s="35">
        <f t="shared" si="1293"/>
        <v>-0.83712121212121215</v>
      </c>
      <c r="CC274" s="818">
        <f t="shared" si="1293"/>
        <v>-1</v>
      </c>
      <c r="CD274" s="818"/>
      <c r="CE274" s="818"/>
      <c r="CF274" s="29"/>
      <c r="CG274" s="29"/>
      <c r="CH274" s="29"/>
      <c r="CI274" s="29"/>
      <c r="CJ274" s="29"/>
      <c r="CK274" s="29"/>
      <c r="CL274" s="29"/>
      <c r="CM274" s="29"/>
      <c r="CN274" s="29"/>
      <c r="CO274" s="29"/>
      <c r="CP274" s="29"/>
      <c r="CQ274" s="29"/>
      <c r="CR274" s="29"/>
      <c r="CS274" s="29"/>
      <c r="CT274" s="29"/>
      <c r="CU274" s="29"/>
      <c r="CV274" s="29"/>
      <c r="CW274" s="29"/>
      <c r="CX274" s="29"/>
      <c r="CY274" s="29"/>
      <c r="CZ274" s="29"/>
      <c r="DA274" s="29"/>
      <c r="DB274" s="29"/>
      <c r="DC274" s="29"/>
      <c r="DD274" s="29"/>
      <c r="DE274" s="29"/>
      <c r="DF274" s="29"/>
      <c r="DG274" s="29"/>
      <c r="DH274" s="29"/>
      <c r="DI274" s="29"/>
      <c r="DJ274" s="29"/>
      <c r="DK274" s="29"/>
      <c r="DL274" s="29"/>
      <c r="DM274" s="29"/>
      <c r="DN274" s="29"/>
      <c r="DO274" s="29"/>
      <c r="DP274" s="29"/>
      <c r="DQ274" s="29"/>
      <c r="DR274" s="29"/>
      <c r="DS274" s="29"/>
      <c r="DT274" s="29"/>
      <c r="DU274" s="29"/>
      <c r="DV274" s="29"/>
      <c r="DW274" s="29"/>
      <c r="DX274" s="29"/>
      <c r="DY274" s="29"/>
      <c r="DZ274" s="29"/>
      <c r="EA274" s="29"/>
      <c r="EB274" s="29"/>
      <c r="EC274" s="29"/>
      <c r="ED274" s="29"/>
      <c r="EE274" s="29"/>
      <c r="EF274" s="29"/>
      <c r="EG274" s="29"/>
      <c r="EH274" s="29"/>
      <c r="EI274" s="29"/>
      <c r="EJ274" s="29"/>
      <c r="EK274" s="29"/>
      <c r="EL274" s="29"/>
      <c r="EM274" s="29"/>
      <c r="EN274" s="29"/>
      <c r="EO274" s="29"/>
      <c r="EP274" s="29"/>
      <c r="EQ274" s="29"/>
      <c r="ER274" s="29"/>
      <c r="ES274" s="29"/>
      <c r="ET274" s="29"/>
      <c r="EU274" s="29"/>
      <c r="EV274" s="29"/>
      <c r="EW274" s="29"/>
      <c r="EX274" s="29"/>
      <c r="EY274" s="29"/>
      <c r="EZ274" s="29"/>
      <c r="FA274" s="29"/>
      <c r="FB274" s="29"/>
      <c r="FC274" s="29"/>
      <c r="FD274" s="29"/>
      <c r="FE274" s="29"/>
      <c r="FF274" s="29"/>
      <c r="FG274" s="29"/>
      <c r="FH274" s="29"/>
      <c r="FI274" s="29"/>
      <c r="FJ274" s="29"/>
      <c r="FK274" s="29"/>
      <c r="FL274" s="29"/>
      <c r="FM274" s="29"/>
      <c r="FN274" s="29"/>
      <c r="FO274" s="29"/>
      <c r="FP274" s="29"/>
      <c r="FQ274" s="29"/>
      <c r="FR274" s="29"/>
      <c r="FS274" s="29"/>
      <c r="FT274" s="29"/>
      <c r="FU274" s="29"/>
      <c r="FV274" s="29"/>
      <c r="FW274" s="29"/>
      <c r="FX274" s="29"/>
      <c r="FY274" s="29"/>
      <c r="FZ274" s="29"/>
      <c r="GA274" s="29"/>
      <c r="GB274" s="29"/>
      <c r="GC274" s="29"/>
      <c r="GD274" s="29"/>
      <c r="GE274" s="29"/>
      <c r="GF274" s="29"/>
      <c r="GG274" s="29"/>
      <c r="GH274" s="29"/>
      <c r="GI274" s="29"/>
      <c r="GJ274" s="29"/>
      <c r="GK274" s="29"/>
      <c r="GL274" s="29"/>
      <c r="GM274" s="29"/>
      <c r="GN274" s="29"/>
      <c r="GO274" s="29"/>
      <c r="GP274" s="29"/>
      <c r="GQ274" s="29"/>
      <c r="GR274" s="29"/>
      <c r="GS274" s="29"/>
      <c r="GT274" s="29"/>
      <c r="GU274" s="29"/>
      <c r="GV274" s="29"/>
      <c r="GW274" s="29"/>
      <c r="GX274" s="29"/>
      <c r="GY274" s="29"/>
      <c r="GZ274" s="29"/>
      <c r="HA274" s="29"/>
      <c r="HB274" s="29"/>
      <c r="HC274" s="29"/>
      <c r="HD274" s="29"/>
      <c r="HE274" s="29"/>
      <c r="HF274" s="29"/>
      <c r="HG274" s="29"/>
      <c r="HH274" s="29"/>
      <c r="HI274" s="29"/>
      <c r="HJ274" s="29"/>
      <c r="HK274" s="29"/>
      <c r="HL274" s="29"/>
      <c r="HM274" s="29"/>
      <c r="HN274" s="29"/>
      <c r="HO274" s="29"/>
      <c r="HP274" s="29"/>
      <c r="HQ274" s="29"/>
      <c r="HR274" s="29"/>
    </row>
    <row r="275" spans="1:226" s="46" customFormat="1">
      <c r="A275" s="84"/>
      <c r="B275" s="535" t="str">
        <f t="shared" si="1273"/>
        <v>Total</v>
      </c>
      <c r="C275" s="612"/>
      <c r="D275" s="613"/>
      <c r="E275" s="613"/>
      <c r="F275" s="614"/>
      <c r="G275" s="615"/>
      <c r="H275" s="613"/>
      <c r="I275" s="613"/>
      <c r="J275" s="613"/>
      <c r="K275" s="612"/>
      <c r="L275" s="613"/>
      <c r="M275" s="613"/>
      <c r="N275" s="614"/>
      <c r="O275" s="613"/>
      <c r="P275" s="613"/>
      <c r="Q275" s="613"/>
      <c r="R275" s="613"/>
      <c r="S275" s="612"/>
      <c r="T275" s="613"/>
      <c r="U275" s="613"/>
      <c r="V275" s="614"/>
      <c r="W275" s="613"/>
      <c r="X275" s="613"/>
      <c r="Y275" s="613"/>
      <c r="Z275" s="613"/>
      <c r="AA275" s="612"/>
      <c r="AB275" s="613"/>
      <c r="AC275" s="613"/>
      <c r="AD275" s="614"/>
      <c r="AE275" s="613"/>
      <c r="AF275" s="613"/>
      <c r="AG275" s="613"/>
      <c r="AH275" s="613"/>
      <c r="AI275" s="612"/>
      <c r="AJ275" s="613"/>
      <c r="AK275" s="613"/>
      <c r="AL275" s="614"/>
      <c r="AM275" s="612"/>
      <c r="AN275" s="613"/>
      <c r="AO275" s="613"/>
      <c r="AP275" s="614"/>
      <c r="AQ275" s="618">
        <f t="shared" si="1274"/>
        <v>4.3719231365621836E-2</v>
      </c>
      <c r="AR275" s="619">
        <f t="shared" si="1275"/>
        <v>4.5497740346601034E-2</v>
      </c>
      <c r="AS275" s="619">
        <f t="shared" si="1276"/>
        <v>6.4974024426668775E-2</v>
      </c>
      <c r="AT275" s="620">
        <f t="shared" si="1277"/>
        <v>0.12033931647306617</v>
      </c>
      <c r="AU275" s="618">
        <f t="shared" si="1278"/>
        <v>0.13379669852302345</v>
      </c>
      <c r="AV275" s="619">
        <f t="shared" si="1278"/>
        <v>0.238508239375542</v>
      </c>
      <c r="AW275" s="619">
        <f t="shared" si="1279"/>
        <v>0.53563218390804579</v>
      </c>
      <c r="AX275" s="809">
        <f t="shared" si="1280"/>
        <v>0.55103497501784449</v>
      </c>
      <c r="AY275" s="618">
        <f t="shared" si="1280"/>
        <v>0.48429118773946356</v>
      </c>
      <c r="AZ275" s="919">
        <f t="shared" si="1280"/>
        <v>0.56162464985994398</v>
      </c>
      <c r="BA275" s="919">
        <f t="shared" si="1280"/>
        <v>0.3153692614770458</v>
      </c>
      <c r="BB275" s="809">
        <f t="shared" si="1280"/>
        <v>0.33962264150943389</v>
      </c>
      <c r="BC275" s="618">
        <f t="shared" si="1281"/>
        <v>0.50825978636476732</v>
      </c>
      <c r="BD275" s="919">
        <f t="shared" si="1282"/>
        <v>0.41605066642041177</v>
      </c>
      <c r="BE275" s="619">
        <f t="shared" si="1283"/>
        <v>0.29315914778780705</v>
      </c>
      <c r="BF275" s="620">
        <f t="shared" si="1284"/>
        <v>0.21621428240395124</v>
      </c>
      <c r="BG275" s="618">
        <f t="shared" si="1285"/>
        <v>0.12583427223666366</v>
      </c>
      <c r="BH275" s="919">
        <f t="shared" si="1286"/>
        <v>0.16633074663587477</v>
      </c>
      <c r="BI275" s="619">
        <f t="shared" si="1287"/>
        <v>0.16859013764390562</v>
      </c>
      <c r="BJ275" s="620">
        <f t="shared" si="1288"/>
        <v>0.14093436906724599</v>
      </c>
      <c r="BK275" s="618">
        <f t="shared" si="1289"/>
        <v>0.1488626358898546</v>
      </c>
      <c r="BL275" s="919">
        <f t="shared" si="1290"/>
        <v>0.15041693137244172</v>
      </c>
      <c r="BM275" s="619">
        <f t="shared" si="1291"/>
        <v>0.14213575218339125</v>
      </c>
      <c r="BN275" s="620">
        <f t="shared" si="1292"/>
        <v>0.14817044192333939</v>
      </c>
      <c r="BO275" s="616"/>
      <c r="BP275" s="617"/>
      <c r="BQ275" s="617"/>
      <c r="BR275" s="617"/>
      <c r="BS275" s="617"/>
      <c r="BT275" s="617"/>
      <c r="BU275" s="613"/>
      <c r="BV275" s="613"/>
      <c r="BW275" s="613"/>
      <c r="BX275" s="613"/>
      <c r="BY275" s="621">
        <f t="shared" si="1293"/>
        <v>0.13349234243112007</v>
      </c>
      <c r="BZ275" s="621">
        <f t="shared" si="1293"/>
        <v>7.0168217200145211E-2</v>
      </c>
      <c r="CA275" s="621">
        <f t="shared" si="1293"/>
        <v>0.37924151696606789</v>
      </c>
      <c r="CB275" s="621">
        <f t="shared" si="1293"/>
        <v>0.40578871201157751</v>
      </c>
      <c r="CC275" s="621">
        <f t="shared" si="1293"/>
        <v>0.3412043938596494</v>
      </c>
      <c r="CD275" s="621">
        <f t="shared" si="1293"/>
        <v>0.15093967074719927</v>
      </c>
      <c r="CE275" s="621">
        <f t="shared" si="1293"/>
        <v>0.14727092064476266</v>
      </c>
      <c r="CF275" s="29"/>
      <c r="CG275" s="29"/>
      <c r="CH275" s="29"/>
      <c r="CI275" s="29"/>
      <c r="CJ275" s="2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29"/>
      <c r="DD275" s="2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29"/>
      <c r="DX275" s="2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29"/>
      <c r="ER275" s="29"/>
      <c r="ES275" s="29"/>
      <c r="ET275" s="29"/>
      <c r="EU275" s="29"/>
      <c r="EV275" s="29"/>
      <c r="EW275" s="29"/>
      <c r="EX275" s="29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29"/>
      <c r="FJ275" s="29"/>
      <c r="FK275" s="29"/>
      <c r="FL275" s="29"/>
      <c r="FM275" s="29"/>
      <c r="FN275" s="29"/>
      <c r="FO275" s="29"/>
      <c r="FP275" s="29"/>
      <c r="FQ275" s="29"/>
      <c r="FR275" s="29"/>
      <c r="FS275" s="29"/>
      <c r="FT275" s="29"/>
      <c r="FU275" s="29"/>
      <c r="FV275" s="29"/>
      <c r="FW275" s="29"/>
      <c r="FX275" s="29"/>
      <c r="FY275" s="29"/>
      <c r="FZ275" s="29"/>
      <c r="GA275" s="29"/>
      <c r="GB275" s="29"/>
      <c r="GC275" s="29"/>
      <c r="GD275" s="29"/>
      <c r="GE275" s="29"/>
      <c r="GF275" s="29"/>
      <c r="GG275" s="29"/>
      <c r="GH275" s="29"/>
      <c r="GI275" s="29"/>
      <c r="GJ275" s="29"/>
      <c r="GK275" s="29"/>
      <c r="GL275" s="29"/>
      <c r="GM275" s="29"/>
      <c r="GN275" s="29"/>
      <c r="GO275" s="29"/>
      <c r="GP275" s="29"/>
      <c r="GQ275" s="29"/>
      <c r="GR275" s="29"/>
      <c r="GS275" s="29"/>
      <c r="GT275" s="29"/>
      <c r="GU275" s="29"/>
      <c r="GV275" s="29"/>
      <c r="GW275" s="29"/>
      <c r="GX275" s="29"/>
      <c r="GY275" s="29"/>
      <c r="GZ275" s="29"/>
      <c r="HA275" s="29"/>
      <c r="HB275" s="29"/>
      <c r="HC275" s="29"/>
      <c r="HD275" s="29"/>
      <c r="HE275" s="29"/>
      <c r="HF275" s="29"/>
      <c r="HG275" s="29"/>
      <c r="HH275" s="29"/>
      <c r="HI275" s="29"/>
      <c r="HJ275" s="29"/>
      <c r="HK275" s="29"/>
      <c r="HL275" s="29"/>
      <c r="HM275" s="29"/>
      <c r="HN275" s="29"/>
      <c r="HO275" s="29"/>
      <c r="HP275" s="29"/>
      <c r="HQ275" s="29"/>
      <c r="HR275" s="29"/>
    </row>
    <row r="276" spans="1:226" s="46" customFormat="1">
      <c r="A276" s="84"/>
      <c r="B276" s="5" t="str">
        <f>B262</f>
        <v>Gaming GPU + Tegra Gaming + OEM GPU</v>
      </c>
      <c r="C276" s="309"/>
      <c r="D276" s="50"/>
      <c r="E276" s="50"/>
      <c r="F276" s="310"/>
      <c r="G276" s="151"/>
      <c r="H276" s="50"/>
      <c r="I276" s="50"/>
      <c r="J276" s="50"/>
      <c r="K276" s="309"/>
      <c r="L276" s="50"/>
      <c r="M276" s="50"/>
      <c r="N276" s="310"/>
      <c r="O276" s="50"/>
      <c r="P276" s="50"/>
      <c r="Q276" s="50"/>
      <c r="R276" s="50"/>
      <c r="S276" s="309"/>
      <c r="T276" s="50"/>
      <c r="U276" s="50"/>
      <c r="V276" s="310"/>
      <c r="W276" s="50"/>
      <c r="X276" s="50"/>
      <c r="Y276" s="50"/>
      <c r="Z276" s="50"/>
      <c r="AA276" s="309"/>
      <c r="AB276" s="50"/>
      <c r="AC276" s="50"/>
      <c r="AD276" s="310"/>
      <c r="AE276" s="50"/>
      <c r="AF276" s="50"/>
      <c r="AG276" s="50"/>
      <c r="AH276" s="50"/>
      <c r="AI276" s="309"/>
      <c r="AJ276" s="50"/>
      <c r="AK276" s="50"/>
      <c r="AL276" s="310"/>
      <c r="AM276" s="309"/>
      <c r="AN276" s="50"/>
      <c r="AO276" s="50"/>
      <c r="AP276" s="310"/>
      <c r="AQ276" s="34">
        <f>AQ262/AM262-1</f>
        <v>8.7714568357990519E-2</v>
      </c>
      <c r="AR276" s="571">
        <f t="shared" ref="AR276:AV276" si="1294">AR262/AN262-1</f>
        <v>0.25589850857980689</v>
      </c>
      <c r="AS276" s="571">
        <f t="shared" si="1294"/>
        <v>0.23868130903822404</v>
      </c>
      <c r="AT276" s="586">
        <f t="shared" si="1294"/>
        <v>0.1582272223732939</v>
      </c>
      <c r="AU276" s="34">
        <f>AU262/AQ262-1</f>
        <v>8.0179977171713768E-2</v>
      </c>
      <c r="AV276" s="571">
        <f t="shared" si="1294"/>
        <v>0.15055523726769127</v>
      </c>
      <c r="AW276" s="571">
        <f t="shared" ref="AW276" si="1295">AW262/AS262-1</f>
        <v>0.5510987728015837</v>
      </c>
      <c r="AX276" s="810">
        <f t="shared" ref="AX276" si="1296">AX262/AT262-1</f>
        <v>0.55155262242102743</v>
      </c>
      <c r="AY276" s="34">
        <f>AY262/AU262-1</f>
        <v>0.44414773804148178</v>
      </c>
      <c r="AZ276" s="920">
        <f t="shared" ref="AZ276:BB276" si="1297">AZ262/AV262-1</f>
        <v>0.65208193958024241</v>
      </c>
      <c r="BA276" s="920">
        <f t="shared" si="1297"/>
        <v>0.28329714816295226</v>
      </c>
      <c r="BB276" s="810">
        <f t="shared" si="1297"/>
        <v>0.31863621851168089</v>
      </c>
      <c r="BC276" s="34">
        <f t="shared" ref="BC276" si="1298">BC262/AY262-1</f>
        <v>0.67323410745733714</v>
      </c>
      <c r="BD276" s="920">
        <f t="shared" ref="BD276" si="1299">BD262/AZ262-1</f>
        <v>0.44980283404388333</v>
      </c>
      <c r="BE276" s="571">
        <f t="shared" ref="BE276" si="1300">BE262/BA262-1</f>
        <v>0.29663548056299538</v>
      </c>
      <c r="BF276" s="586">
        <f t="shared" ref="BF276" si="1301">BF262/BB262-1</f>
        <v>0.19199730151619976</v>
      </c>
      <c r="BG276" s="34">
        <f t="shared" ref="BG276" si="1302">BG262/BC262-1</f>
        <v>4.1600690069287349E-2</v>
      </c>
      <c r="BH276" s="920">
        <f t="shared" ref="BH276" si="1303">BH262/BD262-1</f>
        <v>0.10493811168729805</v>
      </c>
      <c r="BI276" s="571">
        <f t="shared" ref="BI276" si="1304">BI262/BE262-1</f>
        <v>0.11399896348461325</v>
      </c>
      <c r="BJ276" s="586">
        <f t="shared" ref="BJ276" si="1305">BJ262/BF262-1</f>
        <v>9.5262905849962554E-2</v>
      </c>
      <c r="BK276" s="34">
        <f t="shared" ref="BK276" si="1306">BK262/BG262-1</f>
        <v>9.5745355919983233E-2</v>
      </c>
      <c r="BL276" s="920">
        <f t="shared" ref="BL276" si="1307">BL262/BH262-1</f>
        <v>9.8970570758985188E-2</v>
      </c>
      <c r="BM276" s="571">
        <f t="shared" ref="BM276" si="1308">BM262/BI262-1</f>
        <v>8.3482676337460981E-2</v>
      </c>
      <c r="BN276" s="586">
        <f t="shared" ref="BN276" si="1309">BN262/BJ262-1</f>
        <v>8.5005946227208806E-2</v>
      </c>
      <c r="BO276" s="89"/>
      <c r="BP276" s="47"/>
      <c r="BQ276" s="47"/>
      <c r="BR276" s="47"/>
      <c r="BS276" s="47"/>
      <c r="BT276" s="47"/>
      <c r="BU276" s="50"/>
      <c r="BV276" s="50"/>
      <c r="BW276" s="50"/>
      <c r="BX276" s="48"/>
      <c r="BY276" s="35">
        <f t="shared" ref="BY276:CD276" si="1310">BY262/BX262-1</f>
        <v>9.8571408255791804E-2</v>
      </c>
      <c r="BZ276" s="35">
        <f t="shared" si="1310"/>
        <v>0.18297649114378256</v>
      </c>
      <c r="CA276" s="35">
        <f t="shared" si="1310"/>
        <v>0.3563250903277595</v>
      </c>
      <c r="CB276" s="35">
        <f t="shared" si="1310"/>
        <v>0.39449144459065644</v>
      </c>
      <c r="CC276" s="818">
        <f t="shared" si="1310"/>
        <v>0.36769872309292495</v>
      </c>
      <c r="CD276" s="818">
        <f t="shared" si="1310"/>
        <v>9.0740431313647951E-2</v>
      </c>
      <c r="CE276" s="818">
        <f t="shared" ref="CE276" si="1311">CE262/CD262-1</f>
        <v>9.0308941566138667E-2</v>
      </c>
      <c r="CF276" s="29"/>
      <c r="CG276" s="29"/>
      <c r="CH276" s="29"/>
      <c r="CI276" s="29"/>
      <c r="CJ276" s="2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29"/>
      <c r="DD276" s="2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29"/>
      <c r="DX276" s="2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29"/>
      <c r="ER276" s="29"/>
      <c r="ES276" s="29"/>
      <c r="ET276" s="29"/>
      <c r="EU276" s="29"/>
      <c r="EV276" s="29"/>
      <c r="EW276" s="29"/>
      <c r="EX276" s="29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29"/>
      <c r="FJ276" s="29"/>
      <c r="FK276" s="29"/>
      <c r="FL276" s="29"/>
      <c r="FM276" s="29"/>
      <c r="FN276" s="29"/>
      <c r="FO276" s="29"/>
      <c r="FP276" s="29"/>
      <c r="FQ276" s="29"/>
      <c r="FR276" s="29"/>
      <c r="FS276" s="29"/>
      <c r="FT276" s="29"/>
      <c r="FU276" s="29"/>
      <c r="FV276" s="29"/>
      <c r="FW276" s="29"/>
      <c r="FX276" s="29"/>
      <c r="FY276" s="29"/>
      <c r="FZ276" s="29"/>
      <c r="GA276" s="29"/>
      <c r="GB276" s="29"/>
      <c r="GC276" s="29"/>
      <c r="GD276" s="29"/>
      <c r="GE276" s="29"/>
      <c r="GF276" s="29"/>
      <c r="GG276" s="29"/>
      <c r="GH276" s="29"/>
      <c r="GI276" s="29"/>
      <c r="GJ276" s="29"/>
      <c r="GK276" s="29"/>
      <c r="GL276" s="29"/>
      <c r="GM276" s="29"/>
      <c r="GN276" s="29"/>
      <c r="GO276" s="29"/>
      <c r="GP276" s="29"/>
      <c r="GQ276" s="29"/>
      <c r="GR276" s="29"/>
      <c r="GS276" s="29"/>
      <c r="GT276" s="29"/>
      <c r="GU276" s="29"/>
      <c r="GV276" s="29"/>
      <c r="GW276" s="29"/>
      <c r="GX276" s="29"/>
      <c r="GY276" s="29"/>
      <c r="GZ276" s="29"/>
      <c r="HA276" s="29"/>
      <c r="HB276" s="29"/>
      <c r="HC276" s="29"/>
      <c r="HD276" s="29"/>
      <c r="HE276" s="29"/>
      <c r="HF276" s="29"/>
      <c r="HG276" s="29"/>
      <c r="HH276" s="29"/>
      <c r="HI276" s="29"/>
      <c r="HJ276" s="29"/>
      <c r="HK276" s="29"/>
      <c r="HL276" s="29"/>
      <c r="HM276" s="29"/>
      <c r="HN276" s="29"/>
      <c r="HO276" s="29"/>
      <c r="HP276" s="29"/>
      <c r="HQ276" s="29"/>
      <c r="HR276" s="29"/>
    </row>
    <row r="277" spans="1:226" s="46" customFormat="1">
      <c r="A277" s="84"/>
      <c r="B277" s="5"/>
      <c r="C277" s="309"/>
      <c r="D277" s="50"/>
      <c r="E277" s="50"/>
      <c r="F277" s="310"/>
      <c r="G277" s="151"/>
      <c r="H277" s="50"/>
      <c r="I277" s="50"/>
      <c r="J277" s="50"/>
      <c r="K277" s="309"/>
      <c r="L277" s="50"/>
      <c r="M277" s="50"/>
      <c r="N277" s="310"/>
      <c r="O277" s="50"/>
      <c r="P277" s="50"/>
      <c r="Q277" s="50"/>
      <c r="R277" s="50"/>
      <c r="S277" s="309"/>
      <c r="T277" s="50"/>
      <c r="U277" s="50"/>
      <c r="V277" s="310"/>
      <c r="W277" s="50"/>
      <c r="X277" s="50"/>
      <c r="Y277" s="50"/>
      <c r="Z277" s="50"/>
      <c r="AA277" s="309"/>
      <c r="AB277" s="50"/>
      <c r="AC277" s="50"/>
      <c r="AD277" s="310"/>
      <c r="AE277" s="50"/>
      <c r="AF277" s="50"/>
      <c r="AG277" s="50"/>
      <c r="AH277" s="50"/>
      <c r="AI277" s="309"/>
      <c r="AJ277" s="50"/>
      <c r="AK277" s="50"/>
      <c r="AL277" s="310"/>
      <c r="AM277" s="309"/>
      <c r="AN277" s="50"/>
      <c r="AO277" s="50"/>
      <c r="AP277" s="310"/>
      <c r="AQ277" s="34"/>
      <c r="AR277" s="50"/>
      <c r="AS277" s="50"/>
      <c r="AT277" s="310"/>
      <c r="AU277" s="34"/>
      <c r="AV277" s="50"/>
      <c r="AW277" s="50"/>
      <c r="AX277" s="803"/>
      <c r="AY277" s="34"/>
      <c r="AZ277" s="756"/>
      <c r="BA277" s="50"/>
      <c r="BB277" s="803"/>
      <c r="BC277" s="34"/>
      <c r="BD277" s="756"/>
      <c r="BE277" s="50"/>
      <c r="BF277" s="310"/>
      <c r="BG277" s="34"/>
      <c r="BH277" s="756"/>
      <c r="BI277" s="50"/>
      <c r="BJ277" s="310"/>
      <c r="BK277" s="34"/>
      <c r="BL277" s="756"/>
      <c r="BM277" s="50"/>
      <c r="BN277" s="310"/>
      <c r="BO277" s="89"/>
      <c r="BP277" s="47"/>
      <c r="BQ277" s="47"/>
      <c r="BR277" s="47"/>
      <c r="BS277" s="47"/>
      <c r="BT277" s="47"/>
      <c r="BU277" s="50"/>
      <c r="BV277" s="50"/>
      <c r="BW277" s="50"/>
      <c r="BX277" s="48"/>
      <c r="BY277" s="35"/>
      <c r="BZ277" s="48"/>
      <c r="CA277" s="29"/>
      <c r="CB277" s="29"/>
      <c r="CC277" s="29"/>
      <c r="CD277" s="29"/>
      <c r="CE277" s="29"/>
      <c r="CF277" s="29"/>
      <c r="CG277" s="29"/>
      <c r="CH277" s="29"/>
      <c r="CI277" s="29"/>
      <c r="CJ277" s="29"/>
      <c r="CK277" s="29"/>
      <c r="CL277" s="29"/>
      <c r="CM277" s="29"/>
      <c r="CN277" s="29"/>
      <c r="CO277" s="29"/>
      <c r="CP277" s="29"/>
      <c r="CQ277" s="29"/>
      <c r="CR277" s="29"/>
      <c r="CS277" s="29"/>
      <c r="CT277" s="29"/>
      <c r="CU277" s="29"/>
      <c r="CV277" s="29"/>
      <c r="CW277" s="29"/>
      <c r="CX277" s="29"/>
      <c r="CY277" s="29"/>
      <c r="CZ277" s="29"/>
      <c r="DA277" s="29"/>
      <c r="DB277" s="29"/>
      <c r="DC277" s="29"/>
      <c r="DD277" s="29"/>
      <c r="DE277" s="29"/>
      <c r="DF277" s="29"/>
      <c r="DG277" s="29"/>
      <c r="DH277" s="29"/>
      <c r="DI277" s="29"/>
      <c r="DJ277" s="29"/>
      <c r="DK277" s="29"/>
      <c r="DL277" s="29"/>
      <c r="DM277" s="29"/>
      <c r="DN277" s="29"/>
      <c r="DO277" s="29"/>
      <c r="DP277" s="29"/>
      <c r="DQ277" s="29"/>
      <c r="DR277" s="29"/>
      <c r="DS277" s="29"/>
      <c r="DT277" s="29"/>
      <c r="DU277" s="29"/>
      <c r="DV277" s="29"/>
      <c r="DW277" s="29"/>
      <c r="DX277" s="29"/>
      <c r="DY277" s="29"/>
      <c r="DZ277" s="29"/>
      <c r="EA277" s="29"/>
      <c r="EB277" s="29"/>
      <c r="EC277" s="29"/>
      <c r="ED277" s="29"/>
      <c r="EE277" s="29"/>
      <c r="EF277" s="29"/>
      <c r="EG277" s="29"/>
      <c r="EH277" s="29"/>
      <c r="EI277" s="29"/>
      <c r="EJ277" s="29"/>
      <c r="EK277" s="29"/>
      <c r="EL277" s="29"/>
      <c r="EM277" s="29"/>
      <c r="EN277" s="29"/>
      <c r="EO277" s="29"/>
      <c r="EP277" s="29"/>
      <c r="EQ277" s="29"/>
      <c r="ER277" s="29"/>
      <c r="ES277" s="29"/>
      <c r="ET277" s="29"/>
      <c r="EU277" s="29"/>
      <c r="EV277" s="29"/>
      <c r="EW277" s="29"/>
      <c r="EX277" s="29"/>
      <c r="EY277" s="29"/>
      <c r="EZ277" s="29"/>
      <c r="FA277" s="29"/>
      <c r="FB277" s="29"/>
      <c r="FC277" s="29"/>
      <c r="FD277" s="29"/>
      <c r="FE277" s="29"/>
      <c r="FF277" s="29"/>
      <c r="FG277" s="29"/>
      <c r="FH277" s="29"/>
      <c r="FI277" s="29"/>
      <c r="FJ277" s="29"/>
      <c r="FK277" s="29"/>
      <c r="FL277" s="29"/>
      <c r="FM277" s="29"/>
      <c r="FN277" s="29"/>
      <c r="FO277" s="29"/>
      <c r="FP277" s="29"/>
      <c r="FQ277" s="29"/>
      <c r="FR277" s="29"/>
      <c r="FS277" s="29"/>
      <c r="FT277" s="29"/>
      <c r="FU277" s="29"/>
      <c r="FV277" s="29"/>
      <c r="FW277" s="29"/>
      <c r="FX277" s="29"/>
      <c r="FY277" s="29"/>
      <c r="FZ277" s="29"/>
      <c r="GA277" s="29"/>
      <c r="GB277" s="29"/>
      <c r="GC277" s="29"/>
      <c r="GD277" s="29"/>
      <c r="GE277" s="29"/>
      <c r="GF277" s="29"/>
      <c r="GG277" s="29"/>
      <c r="GH277" s="29"/>
      <c r="GI277" s="29"/>
      <c r="GJ277" s="29"/>
      <c r="GK277" s="29"/>
      <c r="GL277" s="29"/>
      <c r="GM277" s="29"/>
      <c r="GN277" s="29"/>
      <c r="GO277" s="29"/>
      <c r="GP277" s="29"/>
      <c r="GQ277" s="29"/>
      <c r="GR277" s="29"/>
      <c r="GS277" s="29"/>
      <c r="GT277" s="29"/>
      <c r="GU277" s="29"/>
      <c r="GV277" s="29"/>
      <c r="GW277" s="29"/>
      <c r="GX277" s="29"/>
      <c r="GY277" s="29"/>
      <c r="GZ277" s="29"/>
      <c r="HA277" s="29"/>
      <c r="HB277" s="29"/>
      <c r="HC277" s="29"/>
      <c r="HD277" s="29"/>
      <c r="HE277" s="29"/>
      <c r="HF277" s="29"/>
      <c r="HG277" s="29"/>
      <c r="HH277" s="29"/>
      <c r="HI277" s="29"/>
      <c r="HJ277" s="29"/>
      <c r="HK277" s="29"/>
      <c r="HL277" s="29"/>
      <c r="HM277" s="29"/>
      <c r="HN277" s="29"/>
      <c r="HO277" s="29"/>
      <c r="HP277" s="29"/>
      <c r="HQ277" s="29"/>
      <c r="HR277" s="29"/>
    </row>
    <row r="278" spans="1:226" s="46" customFormat="1">
      <c r="A278" s="84"/>
      <c r="B278" s="9" t="s">
        <v>413</v>
      </c>
      <c r="C278" s="309"/>
      <c r="D278" s="50"/>
      <c r="E278" s="50"/>
      <c r="F278" s="310"/>
      <c r="G278" s="151"/>
      <c r="H278" s="50"/>
      <c r="I278" s="50"/>
      <c r="J278" s="50"/>
      <c r="K278" s="309"/>
      <c r="L278" s="50"/>
      <c r="M278" s="50"/>
      <c r="N278" s="310"/>
      <c r="O278" s="50"/>
      <c r="P278" s="50"/>
      <c r="Q278" s="50"/>
      <c r="R278" s="50"/>
      <c r="S278" s="309"/>
      <c r="T278" s="50"/>
      <c r="U278" s="50"/>
      <c r="V278" s="310"/>
      <c r="W278" s="50"/>
      <c r="X278" s="50"/>
      <c r="Y278" s="50"/>
      <c r="Z278" s="50"/>
      <c r="AA278" s="309"/>
      <c r="AB278" s="50"/>
      <c r="AC278" s="50"/>
      <c r="AD278" s="310"/>
      <c r="AE278" s="50"/>
      <c r="AF278" s="50"/>
      <c r="AG278" s="50"/>
      <c r="AH278" s="50"/>
      <c r="AI278" s="309"/>
      <c r="AJ278" s="50"/>
      <c r="AK278" s="50"/>
      <c r="AL278" s="310"/>
      <c r="AM278" s="309"/>
      <c r="AN278" s="50"/>
      <c r="AO278" s="50"/>
      <c r="AP278" s="310"/>
      <c r="AQ278" s="34"/>
      <c r="AR278" s="50"/>
      <c r="AS278" s="50"/>
      <c r="AT278" s="310"/>
      <c r="AU278" s="34"/>
      <c r="AV278" s="50"/>
      <c r="AW278" s="50"/>
      <c r="AX278" s="803"/>
      <c r="AY278" s="34"/>
      <c r="AZ278" s="756"/>
      <c r="BA278" s="50"/>
      <c r="BB278" s="803"/>
      <c r="BC278" s="34"/>
      <c r="BD278" s="756"/>
      <c r="BE278" s="50"/>
      <c r="BF278" s="310"/>
      <c r="BG278" s="34"/>
      <c r="BH278" s="756"/>
      <c r="BI278" s="50"/>
      <c r="BJ278" s="310"/>
      <c r="BK278" s="34"/>
      <c r="BL278" s="756"/>
      <c r="BM278" s="50"/>
      <c r="BN278" s="310"/>
      <c r="BO278" s="89"/>
      <c r="BP278" s="47"/>
      <c r="BQ278" s="47"/>
      <c r="BR278" s="47"/>
      <c r="BS278" s="47"/>
      <c r="BT278" s="47"/>
      <c r="BU278" s="50"/>
      <c r="BV278" s="50"/>
      <c r="BW278" s="50"/>
      <c r="BX278" s="48"/>
      <c r="BY278" s="35"/>
      <c r="BZ278" s="48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29"/>
      <c r="ET278" s="29"/>
      <c r="EU278" s="29"/>
      <c r="EV278" s="29"/>
      <c r="EW278" s="29"/>
      <c r="EX278" s="29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29"/>
      <c r="FJ278" s="29"/>
      <c r="FK278" s="29"/>
      <c r="FL278" s="29"/>
      <c r="FM278" s="29"/>
      <c r="FN278" s="29"/>
      <c r="FO278" s="29"/>
      <c r="FP278" s="29"/>
      <c r="FQ278" s="29"/>
      <c r="FR278" s="29"/>
      <c r="FS278" s="29"/>
      <c r="FT278" s="29"/>
      <c r="FU278" s="29"/>
      <c r="FV278" s="29"/>
      <c r="FW278" s="29"/>
      <c r="FX278" s="29"/>
      <c r="FY278" s="29"/>
      <c r="FZ278" s="29"/>
      <c r="GA278" s="29"/>
      <c r="GB278" s="29"/>
      <c r="GC278" s="29"/>
      <c r="GD278" s="29"/>
      <c r="GE278" s="29"/>
      <c r="GF278" s="29"/>
      <c r="GG278" s="29"/>
      <c r="GH278" s="29"/>
      <c r="GI278" s="29"/>
      <c r="GJ278" s="29"/>
      <c r="GK278" s="29"/>
      <c r="GL278" s="29"/>
      <c r="GM278" s="29"/>
      <c r="GN278" s="29"/>
      <c r="GO278" s="29"/>
      <c r="GP278" s="29"/>
      <c r="GQ278" s="29"/>
      <c r="GR278" s="29"/>
      <c r="GS278" s="29"/>
      <c r="GT278" s="29"/>
      <c r="GU278" s="29"/>
      <c r="GV278" s="29"/>
      <c r="GW278" s="29"/>
      <c r="GX278" s="29"/>
      <c r="GY278" s="29"/>
      <c r="GZ278" s="29"/>
      <c r="HA278" s="29"/>
      <c r="HB278" s="29"/>
      <c r="HC278" s="29"/>
      <c r="HD278" s="29"/>
      <c r="HE278" s="29"/>
      <c r="HF278" s="29"/>
      <c r="HG278" s="29"/>
      <c r="HH278" s="29"/>
      <c r="HI278" s="29"/>
      <c r="HJ278" s="29"/>
      <c r="HK278" s="29"/>
      <c r="HL278" s="29"/>
      <c r="HM278" s="29"/>
      <c r="HN278" s="29"/>
      <c r="HO278" s="29"/>
      <c r="HP278" s="29"/>
      <c r="HQ278" s="29"/>
      <c r="HR278" s="29"/>
    </row>
    <row r="279" spans="1:226" s="46" customFormat="1">
      <c r="A279" s="84"/>
      <c r="B279" s="5" t="str">
        <f t="shared" ref="B279:B287" si="1312">B267</f>
        <v>Gaming (Gaming GPU + Tegra Gaming)</v>
      </c>
      <c r="C279" s="309"/>
      <c r="D279" s="50"/>
      <c r="E279" s="50"/>
      <c r="F279" s="310"/>
      <c r="G279" s="151"/>
      <c r="H279" s="50"/>
      <c r="I279" s="50"/>
      <c r="J279" s="50"/>
      <c r="K279" s="309"/>
      <c r="L279" s="50"/>
      <c r="M279" s="50"/>
      <c r="N279" s="310"/>
      <c r="O279" s="50"/>
      <c r="P279" s="50"/>
      <c r="Q279" s="50"/>
      <c r="R279" s="50"/>
      <c r="S279" s="309"/>
      <c r="T279" s="50"/>
      <c r="U279" s="50"/>
      <c r="V279" s="310"/>
      <c r="W279" s="50"/>
      <c r="X279" s="50"/>
      <c r="Y279" s="50"/>
      <c r="Z279" s="50"/>
      <c r="AA279" s="309"/>
      <c r="AB279" s="50"/>
      <c r="AC279" s="50"/>
      <c r="AD279" s="310"/>
      <c r="AE279" s="50"/>
      <c r="AF279" s="50"/>
      <c r="AG279" s="50"/>
      <c r="AH279" s="50"/>
      <c r="AI279" s="309"/>
      <c r="AJ279" s="50"/>
      <c r="AK279" s="50"/>
      <c r="AL279" s="310"/>
      <c r="AM279" s="309"/>
      <c r="AN279" s="571">
        <f t="shared" ref="AN279:AV287" si="1313">AN248/AM248-1</f>
        <v>-0.10897435897435892</v>
      </c>
      <c r="AO279" s="571">
        <f t="shared" si="1313"/>
        <v>0.26618705035971213</v>
      </c>
      <c r="AP279" s="586">
        <f t="shared" si="1313"/>
        <v>0.2234848484848484</v>
      </c>
      <c r="AQ279" s="611">
        <f t="shared" si="1313"/>
        <v>-9.1331269349845257E-2</v>
      </c>
      <c r="AR279" s="571">
        <f t="shared" si="1313"/>
        <v>0.12606473594548562</v>
      </c>
      <c r="AS279" s="571">
        <f t="shared" si="1313"/>
        <v>0.1515885022692891</v>
      </c>
      <c r="AT279" s="586">
        <f t="shared" si="1313"/>
        <v>6.4109301103520755E-2</v>
      </c>
      <c r="AU279" s="611">
        <f t="shared" ref="AU279:AU287" si="1314">AU248/AT248-1</f>
        <v>-0.1518518518518519</v>
      </c>
      <c r="AV279" s="571">
        <f t="shared" si="1313"/>
        <v>0.13682678311499274</v>
      </c>
      <c r="AW279" s="571">
        <f t="shared" ref="AW279:AW287" si="1315">AW248/AV248-1</f>
        <v>0.59282970550576186</v>
      </c>
      <c r="AX279" s="810">
        <f t="shared" ref="AX279:BB287" si="1316">AX248/AW248-1</f>
        <v>8.3601286173633493E-2</v>
      </c>
      <c r="AY279" s="611">
        <f t="shared" si="1316"/>
        <v>-0.23813056379821962</v>
      </c>
      <c r="AZ279" s="920">
        <f t="shared" si="1316"/>
        <v>0.15481986368062328</v>
      </c>
      <c r="BA279" s="571">
        <f t="shared" si="1316"/>
        <v>0.31618887015177055</v>
      </c>
      <c r="BB279" s="810">
        <f t="shared" si="1316"/>
        <v>0.11402946828955796</v>
      </c>
      <c r="BC279" s="611">
        <f t="shared" ref="BC279:BC285" si="1317">BC248/BB248-1</f>
        <v>-1.102377127351617E-2</v>
      </c>
      <c r="BD279" s="920">
        <f t="shared" ref="BD279:BD283" si="1318">BD248/BC248-1</f>
        <v>0.11385990226220843</v>
      </c>
      <c r="BE279" s="571">
        <f t="shared" ref="BE279:BE285" si="1319">BE248/BD248-1</f>
        <v>9.2454994774412658E-2</v>
      </c>
      <c r="BF279" s="586">
        <f t="shared" ref="BF279:BF285" si="1320">BF248/BE248-1</f>
        <v>8.8691422831110867E-3</v>
      </c>
      <c r="BG279" s="611">
        <f t="shared" ref="BG279:BG285" si="1321">BG248/BF248-1</f>
        <v>-0.14241495189496778</v>
      </c>
      <c r="BH279" s="920">
        <f t="shared" ref="BH279:BH285" si="1322">BH248/BG248-1</f>
        <v>0.16902112624427623</v>
      </c>
      <c r="BI279" s="571">
        <f t="shared" ref="BI279:BI285" si="1323">BI248/BH248-1</f>
        <v>0.10141348095403413</v>
      </c>
      <c r="BJ279" s="586">
        <f t="shared" ref="BJ279:BJ285" si="1324">BJ248/BI248-1</f>
        <v>-8.0987643444773161E-3</v>
      </c>
      <c r="BK279" s="611">
        <f t="shared" ref="BK279:BK285" si="1325">BK248/BJ248-1</f>
        <v>-0.14203719604813203</v>
      </c>
      <c r="BL279" s="920">
        <f t="shared" ref="BL279:BL285" si="1326">BL248/BK248-1</f>
        <v>0.17246202084912188</v>
      </c>
      <c r="BM279" s="571">
        <f t="shared" ref="BM279:BM285" si="1327">BM248/BL248-1</f>
        <v>8.5891158372021437E-2</v>
      </c>
      <c r="BN279" s="586">
        <f t="shared" ref="BN279:BN285" si="1328">BN248/BM248-1</f>
        <v>-6.7042489370086056E-3</v>
      </c>
      <c r="BO279" s="89"/>
      <c r="BP279" s="47"/>
      <c r="BQ279" s="47"/>
      <c r="BR279" s="47"/>
      <c r="BS279" s="47"/>
      <c r="BT279" s="47"/>
      <c r="BU279" s="50"/>
      <c r="BV279" s="50"/>
      <c r="BW279" s="50"/>
      <c r="BX279" s="48"/>
      <c r="BY279" s="35"/>
      <c r="BZ279" s="48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29"/>
      <c r="DX279" s="2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29"/>
      <c r="ER279" s="29"/>
      <c r="ES279" s="29"/>
      <c r="ET279" s="29"/>
      <c r="EU279" s="29"/>
      <c r="EV279" s="29"/>
      <c r="EW279" s="29"/>
      <c r="EX279" s="29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29"/>
      <c r="FJ279" s="29"/>
      <c r="FK279" s="29"/>
      <c r="FL279" s="29"/>
      <c r="FM279" s="29"/>
      <c r="FN279" s="29"/>
      <c r="FO279" s="29"/>
      <c r="FP279" s="29"/>
      <c r="FQ279" s="29"/>
      <c r="FR279" s="29"/>
      <c r="FS279" s="29"/>
      <c r="FT279" s="29"/>
      <c r="FU279" s="29"/>
      <c r="FV279" s="29"/>
      <c r="FW279" s="29"/>
      <c r="FX279" s="29"/>
      <c r="FY279" s="29"/>
      <c r="FZ279" s="29"/>
      <c r="GA279" s="29"/>
      <c r="GB279" s="29"/>
      <c r="GC279" s="29"/>
      <c r="GD279" s="29"/>
      <c r="GE279" s="29"/>
      <c r="GF279" s="29"/>
      <c r="GG279" s="29"/>
      <c r="GH279" s="29"/>
      <c r="GI279" s="29"/>
      <c r="GJ279" s="29"/>
      <c r="GK279" s="29"/>
      <c r="GL279" s="29"/>
      <c r="GM279" s="29"/>
      <c r="GN279" s="29"/>
      <c r="GO279" s="29"/>
      <c r="GP279" s="29"/>
      <c r="GQ279" s="29"/>
      <c r="GR279" s="29"/>
      <c r="GS279" s="29"/>
      <c r="GT279" s="29"/>
      <c r="GU279" s="29"/>
      <c r="GV279" s="29"/>
      <c r="GW279" s="29"/>
      <c r="GX279" s="29"/>
      <c r="GY279" s="29"/>
      <c r="GZ279" s="29"/>
      <c r="HA279" s="29"/>
      <c r="HB279" s="29"/>
      <c r="HC279" s="29"/>
      <c r="HD279" s="29"/>
      <c r="HE279" s="29"/>
      <c r="HF279" s="29"/>
      <c r="HG279" s="29"/>
      <c r="HH279" s="29"/>
      <c r="HI279" s="29"/>
      <c r="HJ279" s="29"/>
      <c r="HK279" s="29"/>
      <c r="HL279" s="29"/>
      <c r="HM279" s="29"/>
      <c r="HN279" s="29"/>
      <c r="HO279" s="29"/>
      <c r="HP279" s="29"/>
      <c r="HQ279" s="29"/>
      <c r="HR279" s="29"/>
    </row>
    <row r="280" spans="1:226" s="46" customFormat="1">
      <c r="A280" s="84"/>
      <c r="B280" s="5" t="str">
        <f t="shared" si="1312"/>
        <v>Enterprise / Pro Visualization</v>
      </c>
      <c r="C280" s="309"/>
      <c r="D280" s="50"/>
      <c r="E280" s="50"/>
      <c r="F280" s="310"/>
      <c r="G280" s="151"/>
      <c r="H280" s="50"/>
      <c r="I280" s="50"/>
      <c r="J280" s="50"/>
      <c r="K280" s="309"/>
      <c r="L280" s="50"/>
      <c r="M280" s="50"/>
      <c r="N280" s="310"/>
      <c r="O280" s="50"/>
      <c r="P280" s="50"/>
      <c r="Q280" s="50"/>
      <c r="R280" s="50"/>
      <c r="S280" s="309"/>
      <c r="T280" s="50"/>
      <c r="U280" s="50"/>
      <c r="V280" s="310"/>
      <c r="W280" s="50"/>
      <c r="X280" s="50"/>
      <c r="Y280" s="50"/>
      <c r="Z280" s="50"/>
      <c r="AA280" s="309"/>
      <c r="AB280" s="50"/>
      <c r="AC280" s="50"/>
      <c r="AD280" s="310"/>
      <c r="AE280" s="50"/>
      <c r="AF280" s="50"/>
      <c r="AG280" s="50"/>
      <c r="AH280" s="50"/>
      <c r="AI280" s="309"/>
      <c r="AJ280" s="50"/>
      <c r="AK280" s="50"/>
      <c r="AL280" s="310"/>
      <c r="AM280" s="309"/>
      <c r="AN280" s="571">
        <f t="shared" si="1313"/>
        <v>8.9005235602094279E-2</v>
      </c>
      <c r="AO280" s="571">
        <f t="shared" si="1313"/>
        <v>-9.6153846153845812E-3</v>
      </c>
      <c r="AP280" s="586">
        <f t="shared" si="1313"/>
        <v>-7.7669902912621325E-2</v>
      </c>
      <c r="AQ280" s="611">
        <f t="shared" si="1313"/>
        <v>-4.7368421052631615E-2</v>
      </c>
      <c r="AR280" s="571">
        <f t="shared" si="1313"/>
        <v>-2.7624309392265234E-2</v>
      </c>
      <c r="AS280" s="571">
        <f t="shared" si="1313"/>
        <v>7.9545454545454586E-2</v>
      </c>
      <c r="AT280" s="586">
        <f t="shared" si="1313"/>
        <v>6.8421052631578938E-2</v>
      </c>
      <c r="AU280" s="611">
        <f t="shared" si="1314"/>
        <v>-6.8965517241379337E-2</v>
      </c>
      <c r="AV280" s="571">
        <f t="shared" si="1313"/>
        <v>0.13227513227513232</v>
      </c>
      <c r="AW280" s="571">
        <f t="shared" si="1315"/>
        <v>-3.2710280373831724E-2</v>
      </c>
      <c r="AX280" s="810">
        <f t="shared" si="1316"/>
        <v>8.6956521739130377E-2</v>
      </c>
      <c r="AY280" s="611">
        <f t="shared" si="1316"/>
        <v>-8.8888888888888906E-2</v>
      </c>
      <c r="AZ280" s="920">
        <f t="shared" si="1316"/>
        <v>0.14634146341463405</v>
      </c>
      <c r="BA280" s="571">
        <f t="shared" si="1316"/>
        <v>1.7021276595744705E-2</v>
      </c>
      <c r="BB280" s="810">
        <f t="shared" si="1316"/>
        <v>6.2761506276150625E-2</v>
      </c>
      <c r="BC280" s="611">
        <f t="shared" si="1317"/>
        <v>3.0000000000000027E-2</v>
      </c>
      <c r="BD280" s="920">
        <f t="shared" si="1318"/>
        <v>1.0000000000000009E-2</v>
      </c>
      <c r="BE280" s="571">
        <f t="shared" si="1319"/>
        <v>1.0000000000000009E-2</v>
      </c>
      <c r="BF280" s="586">
        <f t="shared" si="1320"/>
        <v>1.0000000000000009E-2</v>
      </c>
      <c r="BG280" s="611">
        <f t="shared" si="1321"/>
        <v>2.4999999999999911E-2</v>
      </c>
      <c r="BH280" s="920">
        <f t="shared" si="1322"/>
        <v>2.4999999999999911E-2</v>
      </c>
      <c r="BI280" s="571">
        <f t="shared" si="1323"/>
        <v>2.4999999999999911E-2</v>
      </c>
      <c r="BJ280" s="586">
        <f t="shared" si="1324"/>
        <v>2.4999999999999911E-2</v>
      </c>
      <c r="BK280" s="611">
        <f t="shared" si="1325"/>
        <v>2.4999999999999911E-2</v>
      </c>
      <c r="BL280" s="920">
        <f t="shared" si="1326"/>
        <v>2.4999999999999911E-2</v>
      </c>
      <c r="BM280" s="571">
        <f t="shared" si="1327"/>
        <v>2.4999999999999911E-2</v>
      </c>
      <c r="BN280" s="586">
        <f t="shared" si="1328"/>
        <v>2.4999999999999911E-2</v>
      </c>
      <c r="BO280" s="89"/>
      <c r="BP280" s="47"/>
      <c r="BQ280" s="47"/>
      <c r="BR280" s="47"/>
      <c r="BS280" s="47"/>
      <c r="BT280" s="47"/>
      <c r="BU280" s="50"/>
      <c r="BV280" s="50"/>
      <c r="BW280" s="50"/>
      <c r="BX280" s="48"/>
      <c r="BY280" s="35"/>
      <c r="BZ280" s="48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29"/>
      <c r="DL280" s="29"/>
      <c r="DM280" s="29"/>
      <c r="DN280" s="29"/>
      <c r="DO280" s="29"/>
      <c r="DP280" s="29"/>
      <c r="DQ280" s="29"/>
      <c r="DR280" s="29"/>
      <c r="DS280" s="29"/>
      <c r="DT280" s="29"/>
      <c r="DU280" s="29"/>
      <c r="DV280" s="29"/>
      <c r="DW280" s="29"/>
      <c r="DX280" s="29"/>
      <c r="DY280" s="29"/>
      <c r="DZ280" s="29"/>
      <c r="EA280" s="29"/>
      <c r="EB280" s="29"/>
      <c r="EC280" s="29"/>
      <c r="ED280" s="29"/>
      <c r="EE280" s="29"/>
      <c r="EF280" s="29"/>
      <c r="EG280" s="29"/>
      <c r="EH280" s="29"/>
      <c r="EI280" s="29"/>
      <c r="EJ280" s="29"/>
      <c r="EK280" s="29"/>
      <c r="EL280" s="29"/>
      <c r="EM280" s="29"/>
      <c r="EN280" s="29"/>
      <c r="EO280" s="29"/>
      <c r="EP280" s="29"/>
      <c r="EQ280" s="29"/>
      <c r="ER280" s="29"/>
      <c r="ES280" s="29"/>
      <c r="ET280" s="29"/>
      <c r="EU280" s="29"/>
      <c r="EV280" s="29"/>
      <c r="EW280" s="29"/>
      <c r="EX280" s="29"/>
      <c r="EY280" s="29"/>
      <c r="EZ280" s="29"/>
      <c r="FA280" s="29"/>
      <c r="FB280" s="29"/>
      <c r="FC280" s="29"/>
      <c r="FD280" s="29"/>
      <c r="FE280" s="29"/>
      <c r="FF280" s="29"/>
      <c r="FG280" s="29"/>
      <c r="FH280" s="29"/>
      <c r="FI280" s="29"/>
      <c r="FJ280" s="29"/>
      <c r="FK280" s="29"/>
      <c r="FL280" s="29"/>
      <c r="FM280" s="29"/>
      <c r="FN280" s="29"/>
      <c r="FO280" s="29"/>
      <c r="FP280" s="29"/>
      <c r="FQ280" s="29"/>
      <c r="FR280" s="29"/>
      <c r="FS280" s="29"/>
      <c r="FT280" s="29"/>
      <c r="FU280" s="29"/>
      <c r="FV280" s="29"/>
      <c r="FW280" s="29"/>
      <c r="FX280" s="29"/>
      <c r="FY280" s="29"/>
      <c r="FZ280" s="29"/>
      <c r="GA280" s="29"/>
      <c r="GB280" s="29"/>
      <c r="GC280" s="29"/>
      <c r="GD280" s="29"/>
      <c r="GE280" s="29"/>
      <c r="GF280" s="29"/>
      <c r="GG280" s="29"/>
      <c r="GH280" s="29"/>
      <c r="GI280" s="29"/>
      <c r="GJ280" s="29"/>
      <c r="GK280" s="29"/>
      <c r="GL280" s="29"/>
      <c r="GM280" s="29"/>
      <c r="GN280" s="29"/>
      <c r="GO280" s="29"/>
      <c r="GP280" s="29"/>
      <c r="GQ280" s="29"/>
      <c r="GR280" s="29"/>
      <c r="GS280" s="29"/>
      <c r="GT280" s="29"/>
      <c r="GU280" s="29"/>
      <c r="GV280" s="29"/>
      <c r="GW280" s="29"/>
      <c r="GX280" s="29"/>
      <c r="GY280" s="29"/>
      <c r="GZ280" s="29"/>
      <c r="HA280" s="29"/>
      <c r="HB280" s="29"/>
      <c r="HC280" s="29"/>
      <c r="HD280" s="29"/>
      <c r="HE280" s="29"/>
      <c r="HF280" s="29"/>
      <c r="HG280" s="29"/>
      <c r="HH280" s="29"/>
      <c r="HI280" s="29"/>
      <c r="HJ280" s="29"/>
      <c r="HK280" s="29"/>
      <c r="HL280" s="29"/>
      <c r="HM280" s="29"/>
      <c r="HN280" s="29"/>
      <c r="HO280" s="29"/>
      <c r="HP280" s="29"/>
      <c r="HQ280" s="29"/>
      <c r="HR280" s="29"/>
    </row>
    <row r="281" spans="1:226" s="46" customFormat="1">
      <c r="A281" s="84"/>
      <c r="B281" s="5" t="str">
        <f t="shared" si="1312"/>
        <v>HPC &amp; Cloud / Datacenter</v>
      </c>
      <c r="C281" s="309"/>
      <c r="D281" s="50"/>
      <c r="E281" s="50"/>
      <c r="F281" s="310"/>
      <c r="G281" s="151"/>
      <c r="H281" s="50"/>
      <c r="I281" s="50"/>
      <c r="J281" s="50"/>
      <c r="K281" s="309"/>
      <c r="L281" s="50"/>
      <c r="M281" s="50"/>
      <c r="N281" s="310"/>
      <c r="O281" s="50"/>
      <c r="P281" s="50"/>
      <c r="Q281" s="50"/>
      <c r="R281" s="50"/>
      <c r="S281" s="309"/>
      <c r="T281" s="50"/>
      <c r="U281" s="50"/>
      <c r="V281" s="310"/>
      <c r="W281" s="50"/>
      <c r="X281" s="50"/>
      <c r="Y281" s="50"/>
      <c r="Z281" s="50"/>
      <c r="AA281" s="309"/>
      <c r="AB281" s="50"/>
      <c r="AC281" s="50"/>
      <c r="AD281" s="310"/>
      <c r="AE281" s="50"/>
      <c r="AF281" s="50"/>
      <c r="AG281" s="50"/>
      <c r="AH281" s="50"/>
      <c r="AI281" s="309"/>
      <c r="AJ281" s="50"/>
      <c r="AK281" s="50"/>
      <c r="AL281" s="310"/>
      <c r="AM281" s="309"/>
      <c r="AN281" s="571">
        <f t="shared" si="1313"/>
        <v>0.45614035087719307</v>
      </c>
      <c r="AO281" s="571">
        <f t="shared" si="1313"/>
        <v>8.43373493975903E-2</v>
      </c>
      <c r="AP281" s="586">
        <f t="shared" si="1313"/>
        <v>-2.2222222222222254E-2</v>
      </c>
      <c r="AQ281" s="611">
        <f t="shared" si="1313"/>
        <v>0</v>
      </c>
      <c r="AR281" s="571">
        <f t="shared" si="1313"/>
        <v>-0.17045454545454541</v>
      </c>
      <c r="AS281" s="571">
        <f t="shared" si="1313"/>
        <v>0.12328767123287676</v>
      </c>
      <c r="AT281" s="586">
        <f t="shared" si="1313"/>
        <v>0.18292682926829262</v>
      </c>
      <c r="AU281" s="611">
        <f t="shared" si="1314"/>
        <v>0.47422680412371143</v>
      </c>
      <c r="AV281" s="571">
        <f t="shared" si="1313"/>
        <v>5.5944055944056048E-2</v>
      </c>
      <c r="AW281" s="571">
        <f t="shared" si="1315"/>
        <v>0.58940397350993368</v>
      </c>
      <c r="AX281" s="810">
        <f t="shared" si="1316"/>
        <v>0.23333333333333339</v>
      </c>
      <c r="AY281" s="611">
        <f t="shared" si="1316"/>
        <v>0.3817567567567568</v>
      </c>
      <c r="AZ281" s="920">
        <f t="shared" si="1316"/>
        <v>1.7114914425427896E-2</v>
      </c>
      <c r="BA281" s="571">
        <f t="shared" si="1316"/>
        <v>0.20432692307692313</v>
      </c>
      <c r="BB281" s="810">
        <f t="shared" si="1316"/>
        <v>0.20958083832335328</v>
      </c>
      <c r="BC281" s="611">
        <f t="shared" si="1317"/>
        <v>4.5544554455445585E-2</v>
      </c>
      <c r="BD281" s="920">
        <f t="shared" si="1318"/>
        <v>6.9494949494949498E-2</v>
      </c>
      <c r="BE281" s="571">
        <f t="shared" si="1319"/>
        <v>8.6943709860219043E-2</v>
      </c>
      <c r="BF281" s="586">
        <f t="shared" si="1320"/>
        <v>0.14828329521677786</v>
      </c>
      <c r="BG281" s="611">
        <f t="shared" si="1321"/>
        <v>5.8883719511135801E-2</v>
      </c>
      <c r="BH281" s="920">
        <f t="shared" si="1322"/>
        <v>5.4177720116693973E-2</v>
      </c>
      <c r="BI281" s="571">
        <f t="shared" si="1323"/>
        <v>5.4188779024334277E-2</v>
      </c>
      <c r="BJ281" s="586">
        <f t="shared" si="1324"/>
        <v>5.419969759545995E-2</v>
      </c>
      <c r="BK281" s="611">
        <f t="shared" si="1325"/>
        <v>6.4210477386191345E-2</v>
      </c>
      <c r="BL281" s="920">
        <f t="shared" si="1326"/>
        <v>6.4221019937207302E-2</v>
      </c>
      <c r="BM281" s="571">
        <f t="shared" si="1327"/>
        <v>6.4231429326606859E-2</v>
      </c>
      <c r="BN281" s="586">
        <f t="shared" si="1328"/>
        <v>6.4241707033992235E-2</v>
      </c>
      <c r="BO281" s="89"/>
      <c r="BP281" s="47"/>
      <c r="BQ281" s="47"/>
      <c r="BR281" s="47"/>
      <c r="BS281" s="47"/>
      <c r="BT281" s="47"/>
      <c r="BU281" s="50"/>
      <c r="BV281" s="50"/>
      <c r="BW281" s="50"/>
      <c r="BX281" s="48"/>
      <c r="BY281" s="35"/>
      <c r="BZ281" s="48"/>
      <c r="CA281" s="29"/>
      <c r="CB281" s="29"/>
      <c r="CC281" s="29"/>
      <c r="CD281" s="29"/>
      <c r="CE281" s="29"/>
      <c r="CF281" s="29"/>
      <c r="CG281" s="29"/>
      <c r="CH281" s="29"/>
      <c r="CI281" s="29"/>
      <c r="CJ281" s="2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29"/>
      <c r="DD281" s="2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29"/>
      <c r="DX281" s="2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29"/>
      <c r="ER281" s="29"/>
      <c r="ES281" s="29"/>
      <c r="ET281" s="29"/>
      <c r="EU281" s="29"/>
      <c r="EV281" s="29"/>
      <c r="EW281" s="29"/>
      <c r="EX281" s="29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29"/>
      <c r="FJ281" s="29"/>
      <c r="FK281" s="29"/>
      <c r="FL281" s="29"/>
      <c r="FM281" s="29"/>
      <c r="FN281" s="29"/>
      <c r="FO281" s="29"/>
      <c r="FP281" s="29"/>
      <c r="FQ281" s="29"/>
      <c r="FR281" s="29"/>
      <c r="FS281" s="29"/>
      <c r="FT281" s="29"/>
      <c r="FU281" s="29"/>
      <c r="FV281" s="29"/>
      <c r="FW281" s="29"/>
      <c r="FX281" s="29"/>
      <c r="FY281" s="29"/>
      <c r="FZ281" s="29"/>
      <c r="GA281" s="29"/>
      <c r="GB281" s="29"/>
      <c r="GC281" s="29"/>
      <c r="GD281" s="29"/>
      <c r="GE281" s="29"/>
      <c r="GF281" s="29"/>
      <c r="GG281" s="29"/>
      <c r="GH281" s="29"/>
      <c r="GI281" s="29"/>
      <c r="GJ281" s="29"/>
      <c r="GK281" s="29"/>
      <c r="GL281" s="29"/>
      <c r="GM281" s="29"/>
      <c r="GN281" s="29"/>
      <c r="GO281" s="29"/>
      <c r="GP281" s="29"/>
      <c r="GQ281" s="29"/>
      <c r="GR281" s="29"/>
      <c r="GS281" s="29"/>
      <c r="GT281" s="29"/>
      <c r="GU281" s="29"/>
      <c r="GV281" s="29"/>
      <c r="GW281" s="29"/>
      <c r="GX281" s="29"/>
      <c r="GY281" s="29"/>
      <c r="GZ281" s="29"/>
      <c r="HA281" s="29"/>
      <c r="HB281" s="29"/>
      <c r="HC281" s="29"/>
      <c r="HD281" s="29"/>
      <c r="HE281" s="29"/>
      <c r="HF281" s="29"/>
      <c r="HG281" s="29"/>
      <c r="HH281" s="29"/>
      <c r="HI281" s="29"/>
      <c r="HJ281" s="29"/>
      <c r="HK281" s="29"/>
      <c r="HL281" s="29"/>
      <c r="HM281" s="29"/>
      <c r="HN281" s="29"/>
      <c r="HO281" s="29"/>
      <c r="HP281" s="29"/>
      <c r="HQ281" s="29"/>
      <c r="HR281" s="29"/>
    </row>
    <row r="282" spans="1:226" s="46" customFormat="1">
      <c r="A282" s="84"/>
      <c r="B282" s="5" t="str">
        <f t="shared" si="1312"/>
        <v>Auto</v>
      </c>
      <c r="C282" s="309"/>
      <c r="D282" s="50"/>
      <c r="E282" s="50"/>
      <c r="F282" s="310"/>
      <c r="G282" s="151"/>
      <c r="H282" s="50"/>
      <c r="I282" s="50"/>
      <c r="J282" s="50"/>
      <c r="K282" s="309"/>
      <c r="L282" s="50"/>
      <c r="M282" s="50"/>
      <c r="N282" s="310"/>
      <c r="O282" s="50"/>
      <c r="P282" s="50"/>
      <c r="Q282" s="50"/>
      <c r="R282" s="50"/>
      <c r="S282" s="309"/>
      <c r="T282" s="50"/>
      <c r="U282" s="50"/>
      <c r="V282" s="310"/>
      <c r="W282" s="50"/>
      <c r="X282" s="50"/>
      <c r="Y282" s="50"/>
      <c r="Z282" s="50"/>
      <c r="AA282" s="309"/>
      <c r="AB282" s="50"/>
      <c r="AC282" s="50"/>
      <c r="AD282" s="310"/>
      <c r="AE282" s="50"/>
      <c r="AF282" s="50"/>
      <c r="AG282" s="50"/>
      <c r="AH282" s="50"/>
      <c r="AI282" s="309"/>
      <c r="AJ282" s="50"/>
      <c r="AK282" s="50"/>
      <c r="AL282" s="310"/>
      <c r="AM282" s="309"/>
      <c r="AN282" s="571">
        <f t="shared" si="1313"/>
        <v>0.14285714285714279</v>
      </c>
      <c r="AO282" s="571">
        <f t="shared" si="1313"/>
        <v>0.29499999999999993</v>
      </c>
      <c r="AP282" s="586">
        <f t="shared" si="1313"/>
        <v>8.1081081081081141E-2</v>
      </c>
      <c r="AQ282" s="611">
        <f t="shared" si="1313"/>
        <v>0.3660714285714286</v>
      </c>
      <c r="AR282" s="571">
        <f t="shared" si="1313"/>
        <v>-7.8431372549019662E-2</v>
      </c>
      <c r="AS282" s="571">
        <f t="shared" si="1313"/>
        <v>0.12624113475177312</v>
      </c>
      <c r="AT282" s="586">
        <f t="shared" si="1313"/>
        <v>0.1712846347607051</v>
      </c>
      <c r="AU282" s="611">
        <f t="shared" si="1314"/>
        <v>0.21505376344086025</v>
      </c>
      <c r="AV282" s="571">
        <f t="shared" si="1313"/>
        <v>5.3097345132743445E-2</v>
      </c>
      <c r="AW282" s="571">
        <f t="shared" si="1315"/>
        <v>6.7226890756302504E-2</v>
      </c>
      <c r="AX282" s="810">
        <f t="shared" si="1316"/>
        <v>7.8740157480314821E-3</v>
      </c>
      <c r="AY282" s="611">
        <f t="shared" si="1316"/>
        <v>9.375E-2</v>
      </c>
      <c r="AZ282" s="920">
        <f t="shared" si="1316"/>
        <v>1.4285714285714235E-2</v>
      </c>
      <c r="BA282" s="571">
        <f t="shared" si="1316"/>
        <v>1.4084507042253502E-2</v>
      </c>
      <c r="BB282" s="810">
        <f t="shared" si="1316"/>
        <v>-8.333333333333337E-2</v>
      </c>
      <c r="BC282" s="611">
        <f t="shared" si="1317"/>
        <v>6.0606060606060552E-2</v>
      </c>
      <c r="BD282" s="920">
        <f t="shared" si="1318"/>
        <v>0</v>
      </c>
      <c r="BE282" s="571">
        <f t="shared" si="1319"/>
        <v>0</v>
      </c>
      <c r="BF282" s="586">
        <f t="shared" si="1320"/>
        <v>0</v>
      </c>
      <c r="BG282" s="611">
        <f t="shared" si="1321"/>
        <v>7.4999999999999956E-2</v>
      </c>
      <c r="BH282" s="920">
        <f t="shared" si="1322"/>
        <v>7.4999999999999956E-2</v>
      </c>
      <c r="BI282" s="571">
        <f t="shared" si="1323"/>
        <v>7.4999999999999956E-2</v>
      </c>
      <c r="BJ282" s="586">
        <f t="shared" si="1324"/>
        <v>7.4999999999999956E-2</v>
      </c>
      <c r="BK282" s="611">
        <f t="shared" si="1325"/>
        <v>7.0000000000000062E-2</v>
      </c>
      <c r="BL282" s="920">
        <f t="shared" si="1326"/>
        <v>7.0000000000000062E-2</v>
      </c>
      <c r="BM282" s="571">
        <f t="shared" si="1327"/>
        <v>7.0000000000000062E-2</v>
      </c>
      <c r="BN282" s="586">
        <f t="shared" si="1328"/>
        <v>7.0000000000000062E-2</v>
      </c>
      <c r="BO282" s="89"/>
      <c r="BP282" s="47"/>
      <c r="BQ282" s="47"/>
      <c r="BR282" s="47"/>
      <c r="BS282" s="47"/>
      <c r="BT282" s="47"/>
      <c r="BU282" s="50"/>
      <c r="BV282" s="50"/>
      <c r="BW282" s="50"/>
      <c r="BX282" s="48"/>
      <c r="BY282" s="35"/>
      <c r="BZ282" s="48"/>
      <c r="CA282" s="29"/>
      <c r="CB282" s="29"/>
      <c r="CC282" s="29"/>
      <c r="CD282" s="29"/>
      <c r="CE282" s="29"/>
      <c r="CF282" s="29"/>
      <c r="CG282" s="29"/>
      <c r="CH282" s="29"/>
      <c r="CI282" s="29"/>
      <c r="CJ282" s="2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29"/>
      <c r="DD282" s="2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29"/>
      <c r="DX282" s="2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29"/>
      <c r="ER282" s="29"/>
      <c r="ES282" s="29"/>
      <c r="ET282" s="29"/>
      <c r="EU282" s="29"/>
      <c r="EV282" s="29"/>
      <c r="EW282" s="29"/>
      <c r="EX282" s="29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29"/>
      <c r="FJ282" s="29"/>
      <c r="FK282" s="29"/>
      <c r="FL282" s="29"/>
      <c r="FM282" s="29"/>
      <c r="FN282" s="29"/>
      <c r="FO282" s="29"/>
      <c r="FP282" s="29"/>
      <c r="FQ282" s="29"/>
      <c r="FR282" s="29"/>
      <c r="FS282" s="29"/>
      <c r="FT282" s="29"/>
      <c r="FU282" s="29"/>
      <c r="FV282" s="29"/>
      <c r="FW282" s="29"/>
      <c r="FX282" s="29"/>
      <c r="FY282" s="29"/>
      <c r="FZ282" s="29"/>
      <c r="GA282" s="29"/>
      <c r="GB282" s="29"/>
      <c r="GC282" s="29"/>
      <c r="GD282" s="29"/>
      <c r="GE282" s="29"/>
      <c r="GF282" s="29"/>
      <c r="GG282" s="29"/>
      <c r="GH282" s="29"/>
      <c r="GI282" s="29"/>
      <c r="GJ282" s="29"/>
      <c r="GK282" s="29"/>
      <c r="GL282" s="29"/>
      <c r="GM282" s="29"/>
      <c r="GN282" s="29"/>
      <c r="GO282" s="29"/>
      <c r="GP282" s="29"/>
      <c r="GQ282" s="29"/>
      <c r="GR282" s="29"/>
      <c r="GS282" s="29"/>
      <c r="GT282" s="29"/>
      <c r="GU282" s="29"/>
      <c r="GV282" s="29"/>
      <c r="GW282" s="29"/>
      <c r="GX282" s="29"/>
      <c r="GY282" s="29"/>
      <c r="GZ282" s="29"/>
      <c r="HA282" s="29"/>
      <c r="HB282" s="29"/>
      <c r="HC282" s="29"/>
      <c r="HD282" s="29"/>
      <c r="HE282" s="29"/>
      <c r="HF282" s="29"/>
      <c r="HG282" s="29"/>
      <c r="HH282" s="29"/>
      <c r="HI282" s="29"/>
      <c r="HJ282" s="29"/>
      <c r="HK282" s="29"/>
      <c r="HL282" s="29"/>
      <c r="HM282" s="29"/>
      <c r="HN282" s="29"/>
      <c r="HO282" s="29"/>
      <c r="HP282" s="29"/>
      <c r="HQ282" s="29"/>
      <c r="HR282" s="29"/>
    </row>
    <row r="283" spans="1:226" s="46" customFormat="1">
      <c r="A283" s="84"/>
      <c r="B283" s="5" t="str">
        <f t="shared" si="1312"/>
        <v>OEM &amp; IP</v>
      </c>
      <c r="C283" s="309"/>
      <c r="D283" s="50"/>
      <c r="E283" s="50"/>
      <c r="F283" s="310"/>
      <c r="G283" s="151"/>
      <c r="H283" s="50"/>
      <c r="I283" s="50"/>
      <c r="J283" s="50"/>
      <c r="K283" s="309"/>
      <c r="L283" s="50"/>
      <c r="M283" s="50"/>
      <c r="N283" s="310"/>
      <c r="O283" s="50"/>
      <c r="P283" s="50"/>
      <c r="Q283" s="50"/>
      <c r="R283" s="50"/>
      <c r="S283" s="309"/>
      <c r="T283" s="50"/>
      <c r="U283" s="50"/>
      <c r="V283" s="310"/>
      <c r="W283" s="50"/>
      <c r="X283" s="50"/>
      <c r="Y283" s="50"/>
      <c r="Z283" s="50"/>
      <c r="AA283" s="309"/>
      <c r="AB283" s="50"/>
      <c r="AC283" s="50"/>
      <c r="AD283" s="310"/>
      <c r="AE283" s="50"/>
      <c r="AF283" s="50"/>
      <c r="AG283" s="50"/>
      <c r="AH283" s="50"/>
      <c r="AI283" s="309"/>
      <c r="AJ283" s="50"/>
      <c r="AK283" s="50"/>
      <c r="AL283" s="310"/>
      <c r="AM283" s="309"/>
      <c r="AN283" s="571">
        <f t="shared" si="1313"/>
        <v>8.633064894382203E-3</v>
      </c>
      <c r="AO283" s="571">
        <f t="shared" si="1313"/>
        <v>-1.4773521520528576E-2</v>
      </c>
      <c r="AP283" s="586">
        <f t="shared" si="1313"/>
        <v>-0.22617869341098795</v>
      </c>
      <c r="AQ283" s="611">
        <f t="shared" si="1313"/>
        <v>-0.19227840333587176</v>
      </c>
      <c r="AR283" s="571">
        <f t="shared" si="1313"/>
        <v>-0.21052631578947367</v>
      </c>
      <c r="AS283" s="571">
        <f t="shared" si="1313"/>
        <v>0.11536231884057968</v>
      </c>
      <c r="AT283" s="586">
        <f t="shared" si="1313"/>
        <v>2.9106029106028997E-2</v>
      </c>
      <c r="AU283" s="611">
        <f t="shared" si="1314"/>
        <v>-0.1262626262626263</v>
      </c>
      <c r="AV283" s="571">
        <f t="shared" si="1313"/>
        <v>-5.7803468208092457E-2</v>
      </c>
      <c r="AW283" s="571">
        <f t="shared" si="1315"/>
        <v>0.14110429447852768</v>
      </c>
      <c r="AX283" s="810">
        <f t="shared" si="1316"/>
        <v>-5.3763440860215006E-2</v>
      </c>
      <c r="AY283" s="611">
        <f t="shared" si="1316"/>
        <v>-0.11363636363636365</v>
      </c>
      <c r="AZ283" s="920">
        <f t="shared" si="1316"/>
        <v>0.60897435897435903</v>
      </c>
      <c r="BA283" s="571">
        <f t="shared" si="1316"/>
        <v>-0.23904382470119523</v>
      </c>
      <c r="BB283" s="810">
        <f t="shared" si="1316"/>
        <v>-5.759162303664922E-2</v>
      </c>
      <c r="BC283" s="611">
        <f t="shared" si="1317"/>
        <v>-7.5280308704451682E-2</v>
      </c>
      <c r="BD283" s="920">
        <f t="shared" si="1318"/>
        <v>-3.7092665451093687E-2</v>
      </c>
      <c r="BE283" s="571">
        <f t="shared" si="1319"/>
        <v>7.6773933085870549E-2</v>
      </c>
      <c r="BF283" s="586">
        <f t="shared" si="1320"/>
        <v>6.8648798328627691E-3</v>
      </c>
      <c r="BG283" s="611">
        <f t="shared" si="1321"/>
        <v>-0.101473597243391</v>
      </c>
      <c r="BH283" s="920">
        <f t="shared" si="1322"/>
        <v>0.13550412927891387</v>
      </c>
      <c r="BI283" s="571">
        <f t="shared" si="1323"/>
        <v>8.6801381918343079E-2</v>
      </c>
      <c r="BJ283" s="586">
        <f t="shared" si="1324"/>
        <v>2.8525430572614585E-3</v>
      </c>
      <c r="BK283" s="611">
        <f t="shared" si="1325"/>
        <v>-0.10377736668530879</v>
      </c>
      <c r="BL283" s="920">
        <f t="shared" si="1326"/>
        <v>0.13149123957247744</v>
      </c>
      <c r="BM283" s="571">
        <f t="shared" si="1327"/>
        <v>6.9929107442038285E-2</v>
      </c>
      <c r="BN283" s="586">
        <f t="shared" si="1328"/>
        <v>-5.3706237204242946E-4</v>
      </c>
      <c r="BO283" s="89"/>
      <c r="BP283" s="47"/>
      <c r="BQ283" s="47"/>
      <c r="BR283" s="47"/>
      <c r="BS283" s="47"/>
      <c r="BT283" s="47"/>
      <c r="BU283" s="50"/>
      <c r="BV283" s="50"/>
      <c r="BW283" s="50"/>
      <c r="BX283" s="48"/>
      <c r="BY283" s="35"/>
      <c r="BZ283" s="48"/>
      <c r="CA283" s="29"/>
      <c r="CB283" s="29"/>
      <c r="CC283" s="29"/>
      <c r="CD283" s="29"/>
      <c r="CE283" s="29"/>
      <c r="CF283" s="29"/>
      <c r="CG283" s="29"/>
      <c r="CH283" s="29"/>
      <c r="CI283" s="29"/>
      <c r="CJ283" s="29"/>
      <c r="CK283" s="29"/>
      <c r="CL283" s="29"/>
      <c r="CM283" s="29"/>
      <c r="CN283" s="29"/>
      <c r="CO283" s="29"/>
      <c r="CP283" s="29"/>
      <c r="CQ283" s="29"/>
      <c r="CR283" s="29"/>
      <c r="CS283" s="29"/>
      <c r="CT283" s="29"/>
      <c r="CU283" s="29"/>
      <c r="CV283" s="29"/>
      <c r="CW283" s="29"/>
      <c r="CX283" s="29"/>
      <c r="CY283" s="29"/>
      <c r="CZ283" s="29"/>
      <c r="DA283" s="29"/>
      <c r="DB283" s="29"/>
      <c r="DC283" s="29"/>
      <c r="DD283" s="29"/>
      <c r="DE283" s="29"/>
      <c r="DF283" s="29"/>
      <c r="DG283" s="29"/>
      <c r="DH283" s="29"/>
      <c r="DI283" s="29"/>
      <c r="DJ283" s="29"/>
      <c r="DK283" s="29"/>
      <c r="DL283" s="29"/>
      <c r="DM283" s="29"/>
      <c r="DN283" s="29"/>
      <c r="DO283" s="29"/>
      <c r="DP283" s="29"/>
      <c r="DQ283" s="29"/>
      <c r="DR283" s="29"/>
      <c r="DS283" s="29"/>
      <c r="DT283" s="29"/>
      <c r="DU283" s="29"/>
      <c r="DV283" s="29"/>
      <c r="DW283" s="29"/>
      <c r="DX283" s="29"/>
      <c r="DY283" s="29"/>
      <c r="DZ283" s="29"/>
      <c r="EA283" s="29"/>
      <c r="EB283" s="29"/>
      <c r="EC283" s="29"/>
      <c r="ED283" s="29"/>
      <c r="EE283" s="29"/>
      <c r="EF283" s="29"/>
      <c r="EG283" s="29"/>
      <c r="EH283" s="29"/>
      <c r="EI283" s="29"/>
      <c r="EJ283" s="29"/>
      <c r="EK283" s="29"/>
      <c r="EL283" s="29"/>
      <c r="EM283" s="29"/>
      <c r="EN283" s="29"/>
      <c r="EO283" s="29"/>
      <c r="EP283" s="29"/>
      <c r="EQ283" s="29"/>
      <c r="ER283" s="29"/>
      <c r="ES283" s="29"/>
      <c r="ET283" s="29"/>
      <c r="EU283" s="29"/>
      <c r="EV283" s="29"/>
      <c r="EW283" s="29"/>
      <c r="EX283" s="29"/>
      <c r="EY283" s="29"/>
      <c r="EZ283" s="29"/>
      <c r="FA283" s="29"/>
      <c r="FB283" s="29"/>
      <c r="FC283" s="29"/>
      <c r="FD283" s="29"/>
      <c r="FE283" s="29"/>
      <c r="FF283" s="29"/>
      <c r="FG283" s="29"/>
      <c r="FH283" s="29"/>
      <c r="FI283" s="29"/>
      <c r="FJ283" s="29"/>
      <c r="FK283" s="29"/>
      <c r="FL283" s="29"/>
      <c r="FM283" s="29"/>
      <c r="FN283" s="29"/>
      <c r="FO283" s="29"/>
      <c r="FP283" s="29"/>
      <c r="FQ283" s="29"/>
      <c r="FR283" s="29"/>
      <c r="FS283" s="29"/>
      <c r="FT283" s="29"/>
      <c r="FU283" s="29"/>
      <c r="FV283" s="29"/>
      <c r="FW283" s="29"/>
      <c r="FX283" s="29"/>
      <c r="FY283" s="29"/>
      <c r="FZ283" s="29"/>
      <c r="GA283" s="29"/>
      <c r="GB283" s="29"/>
      <c r="GC283" s="29"/>
      <c r="GD283" s="29"/>
      <c r="GE283" s="29"/>
      <c r="GF283" s="29"/>
      <c r="GG283" s="29"/>
      <c r="GH283" s="29"/>
      <c r="GI283" s="29"/>
      <c r="GJ283" s="29"/>
      <c r="GK283" s="29"/>
      <c r="GL283" s="29"/>
      <c r="GM283" s="29"/>
      <c r="GN283" s="29"/>
      <c r="GO283" s="29"/>
      <c r="GP283" s="29"/>
      <c r="GQ283" s="29"/>
      <c r="GR283" s="29"/>
      <c r="GS283" s="29"/>
      <c r="GT283" s="29"/>
      <c r="GU283" s="29"/>
      <c r="GV283" s="29"/>
      <c r="GW283" s="29"/>
      <c r="GX283" s="29"/>
      <c r="GY283" s="29"/>
      <c r="GZ283" s="29"/>
      <c r="HA283" s="29"/>
      <c r="HB283" s="29"/>
      <c r="HC283" s="29"/>
      <c r="HD283" s="29"/>
      <c r="HE283" s="29"/>
      <c r="HF283" s="29"/>
      <c r="HG283" s="29"/>
      <c r="HH283" s="29"/>
      <c r="HI283" s="29"/>
      <c r="HJ283" s="29"/>
      <c r="HK283" s="29"/>
      <c r="HL283" s="29"/>
      <c r="HM283" s="29"/>
      <c r="HN283" s="29"/>
      <c r="HO283" s="29"/>
      <c r="HP283" s="29"/>
      <c r="HQ283" s="29"/>
      <c r="HR283" s="29"/>
    </row>
    <row r="284" spans="1:226" s="46" customFormat="1">
      <c r="A284" s="84"/>
      <c r="B284" s="5" t="str">
        <f t="shared" si="1312"/>
        <v>OEM GPU</v>
      </c>
      <c r="C284" s="309"/>
      <c r="D284" s="50"/>
      <c r="E284" s="50"/>
      <c r="F284" s="310"/>
      <c r="G284" s="151"/>
      <c r="H284" s="50"/>
      <c r="I284" s="50"/>
      <c r="J284" s="50"/>
      <c r="K284" s="309"/>
      <c r="L284" s="50"/>
      <c r="M284" s="50"/>
      <c r="N284" s="310"/>
      <c r="O284" s="50"/>
      <c r="P284" s="50"/>
      <c r="Q284" s="50"/>
      <c r="R284" s="50"/>
      <c r="S284" s="309"/>
      <c r="T284" s="50"/>
      <c r="U284" s="50"/>
      <c r="V284" s="310"/>
      <c r="W284" s="50"/>
      <c r="X284" s="50"/>
      <c r="Y284" s="50"/>
      <c r="Z284" s="50"/>
      <c r="AA284" s="309"/>
      <c r="AB284" s="50"/>
      <c r="AC284" s="50"/>
      <c r="AD284" s="310"/>
      <c r="AE284" s="50"/>
      <c r="AF284" s="50"/>
      <c r="AG284" s="50"/>
      <c r="AH284" s="50"/>
      <c r="AI284" s="309"/>
      <c r="AJ284" s="50"/>
      <c r="AK284" s="50"/>
      <c r="AL284" s="310"/>
      <c r="AM284" s="309"/>
      <c r="AN284" s="571">
        <f t="shared" si="1313"/>
        <v>-6.2929062911938671E-2</v>
      </c>
      <c r="AO284" s="571">
        <f t="shared" si="1313"/>
        <v>-2.0032914307562599E-2</v>
      </c>
      <c r="AP284" s="586">
        <f t="shared" si="1313"/>
        <v>-0.1140323787578259</v>
      </c>
      <c r="AQ284" s="611">
        <f t="shared" si="1313"/>
        <v>-0.18557306634647852</v>
      </c>
      <c r="AR284" s="571">
        <f t="shared" si="1313"/>
        <v>-0.35386601093698133</v>
      </c>
      <c r="AS284" s="571">
        <f t="shared" si="1313"/>
        <v>0.29160549547591108</v>
      </c>
      <c r="AT284" s="586">
        <f t="shared" si="1313"/>
        <v>9.472734124178217E-2</v>
      </c>
      <c r="AU284" s="611">
        <f>AU253/AT253-1</f>
        <v>-0.29455764448210997</v>
      </c>
      <c r="AV284" s="571">
        <f t="shared" si="1313"/>
        <v>-0.10810184454004268</v>
      </c>
      <c r="AW284" s="571">
        <f t="shared" si="1315"/>
        <v>0.34552322105873912</v>
      </c>
      <c r="AX284" s="810">
        <f t="shared" si="1316"/>
        <v>-0.13823698524787831</v>
      </c>
      <c r="AY284" s="611">
        <f>AY253/AX253-1</f>
        <v>-3.4180219401715117E-2</v>
      </c>
      <c r="AZ284" s="920">
        <f t="shared" si="1316"/>
        <v>1.8084587657054283</v>
      </c>
      <c r="BA284" s="571">
        <f t="shared" si="1316"/>
        <v>-0.28973706124230214</v>
      </c>
      <c r="BB284" s="810">
        <f t="shared" si="1316"/>
        <v>-6.8638529819342153E-2</v>
      </c>
      <c r="BC284" s="611">
        <f t="shared" si="1317"/>
        <v>-0.10912036000709446</v>
      </c>
      <c r="BD284" s="920">
        <f>BD253/BC253-1</f>
        <v>-5.5419718142381669E-2</v>
      </c>
      <c r="BE284" s="571">
        <f t="shared" si="1319"/>
        <v>9.2454994774412658E-2</v>
      </c>
      <c r="BF284" s="586">
        <f t="shared" si="1320"/>
        <v>8.8691422831110867E-3</v>
      </c>
      <c r="BG284" s="611">
        <f t="shared" si="1321"/>
        <v>-0.14241495189496778</v>
      </c>
      <c r="BH284" s="920">
        <f t="shared" si="1322"/>
        <v>0.16902112624427623</v>
      </c>
      <c r="BI284" s="571">
        <f t="shared" si="1323"/>
        <v>0.10141348095403435</v>
      </c>
      <c r="BJ284" s="586">
        <f t="shared" si="1324"/>
        <v>-8.0987643444775381E-3</v>
      </c>
      <c r="BK284" s="611">
        <f t="shared" si="1325"/>
        <v>-0.14203719604813192</v>
      </c>
      <c r="BL284" s="920">
        <f t="shared" si="1326"/>
        <v>0.17246202084912188</v>
      </c>
      <c r="BM284" s="571">
        <f t="shared" si="1327"/>
        <v>8.5891158372021659E-2</v>
      </c>
      <c r="BN284" s="586">
        <f t="shared" si="1328"/>
        <v>-6.7042489370086056E-3</v>
      </c>
      <c r="BO284" s="89"/>
      <c r="BP284" s="47"/>
      <c r="BQ284" s="47"/>
      <c r="BR284" s="47"/>
      <c r="BS284" s="47"/>
      <c r="BT284" s="47"/>
      <c r="BU284" s="50"/>
      <c r="BV284" s="50"/>
      <c r="BW284" s="50"/>
      <c r="BX284" s="48"/>
      <c r="BY284" s="35"/>
      <c r="BZ284" s="48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29"/>
      <c r="ET284" s="29"/>
      <c r="EU284" s="29"/>
      <c r="EV284" s="29"/>
      <c r="EW284" s="29"/>
      <c r="EX284" s="29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29"/>
      <c r="FJ284" s="29"/>
      <c r="FK284" s="29"/>
      <c r="FL284" s="29"/>
      <c r="FM284" s="29"/>
      <c r="FN284" s="29"/>
      <c r="FO284" s="29"/>
      <c r="FP284" s="29"/>
      <c r="FQ284" s="29"/>
      <c r="FR284" s="29"/>
      <c r="FS284" s="29"/>
      <c r="FT284" s="29"/>
      <c r="FU284" s="29"/>
      <c r="FV284" s="29"/>
      <c r="FW284" s="29"/>
      <c r="FX284" s="29"/>
      <c r="FY284" s="29"/>
      <c r="FZ284" s="29"/>
      <c r="GA284" s="29"/>
      <c r="GB284" s="29"/>
      <c r="GC284" s="29"/>
      <c r="GD284" s="29"/>
      <c r="GE284" s="29"/>
      <c r="GF284" s="29"/>
      <c r="GG284" s="29"/>
      <c r="GH284" s="29"/>
      <c r="GI284" s="29"/>
      <c r="GJ284" s="29"/>
      <c r="GK284" s="29"/>
      <c r="GL284" s="29"/>
      <c r="GM284" s="29"/>
      <c r="GN284" s="29"/>
      <c r="GO284" s="29"/>
      <c r="GP284" s="29"/>
      <c r="GQ284" s="29"/>
      <c r="GR284" s="29"/>
      <c r="GS284" s="29"/>
      <c r="GT284" s="29"/>
      <c r="GU284" s="29"/>
      <c r="GV284" s="29"/>
      <c r="GW284" s="29"/>
      <c r="GX284" s="29"/>
      <c r="GY284" s="29"/>
      <c r="GZ284" s="29"/>
      <c r="HA284" s="29"/>
      <c r="HB284" s="29"/>
      <c r="HC284" s="29"/>
      <c r="HD284" s="29"/>
      <c r="HE284" s="29"/>
      <c r="HF284" s="29"/>
      <c r="HG284" s="29"/>
      <c r="HH284" s="29"/>
      <c r="HI284" s="29"/>
      <c r="HJ284" s="29"/>
      <c r="HK284" s="29"/>
      <c r="HL284" s="29"/>
      <c r="HM284" s="29"/>
      <c r="HN284" s="29"/>
      <c r="HO284" s="29"/>
      <c r="HP284" s="29"/>
      <c r="HQ284" s="29"/>
      <c r="HR284" s="29"/>
    </row>
    <row r="285" spans="1:226" s="46" customFormat="1">
      <c r="A285" s="84"/>
      <c r="B285" s="5" t="str">
        <f t="shared" si="1312"/>
        <v>Tegra (ex-Auto/Gaming)</v>
      </c>
      <c r="C285" s="309"/>
      <c r="D285" s="50"/>
      <c r="E285" s="50"/>
      <c r="F285" s="310"/>
      <c r="G285" s="151"/>
      <c r="H285" s="50"/>
      <c r="I285" s="50"/>
      <c r="J285" s="50"/>
      <c r="K285" s="309"/>
      <c r="L285" s="50"/>
      <c r="M285" s="50"/>
      <c r="N285" s="310"/>
      <c r="O285" s="50"/>
      <c r="P285" s="50"/>
      <c r="Q285" s="50"/>
      <c r="R285" s="50"/>
      <c r="S285" s="309"/>
      <c r="T285" s="50"/>
      <c r="U285" s="50"/>
      <c r="V285" s="310"/>
      <c r="W285" s="50"/>
      <c r="X285" s="50"/>
      <c r="Y285" s="50"/>
      <c r="Z285" s="50"/>
      <c r="AA285" s="309"/>
      <c r="AB285" s="50"/>
      <c r="AC285" s="50"/>
      <c r="AD285" s="310"/>
      <c r="AE285" s="50"/>
      <c r="AF285" s="50"/>
      <c r="AG285" s="50"/>
      <c r="AH285" s="50"/>
      <c r="AI285" s="309"/>
      <c r="AJ285" s="50"/>
      <c r="AK285" s="50"/>
      <c r="AL285" s="310"/>
      <c r="AM285" s="309"/>
      <c r="AN285" s="571">
        <f t="shared" si="1313"/>
        <v>0.14230904634384367</v>
      </c>
      <c r="AO285" s="571">
        <f t="shared" si="1313"/>
        <v>-1.5383452045199753E-2</v>
      </c>
      <c r="AP285" s="586">
        <f t="shared" si="1313"/>
        <v>-0.51967881944444239</v>
      </c>
      <c r="AQ285" s="611">
        <f t="shared" si="1313"/>
        <v>-0.43970188475893124</v>
      </c>
      <c r="AR285" s="571">
        <f t="shared" si="1313"/>
        <v>-9.6969164391781715E-2</v>
      </c>
      <c r="AS285" s="571">
        <f t="shared" si="1313"/>
        <v>-0.1068703246192696</v>
      </c>
      <c r="AT285" s="586">
        <f t="shared" si="1313"/>
        <v>-0.1601668626580145</v>
      </c>
      <c r="AU285" s="611">
        <f t="shared" si="1314"/>
        <v>0.36668494861715817</v>
      </c>
      <c r="AV285" s="571">
        <f t="shared" si="1313"/>
        <v>-5.3639735386438514E-2</v>
      </c>
      <c r="AW285" s="571">
        <f t="shared" si="1315"/>
        <v>-4.1647011923755972E-2</v>
      </c>
      <c r="AX285" s="810">
        <f t="shared" si="1316"/>
        <v>0.11487842306769358</v>
      </c>
      <c r="AY285" s="611">
        <f t="shared" si="1316"/>
        <v>0.20608145287608637</v>
      </c>
      <c r="AZ285" s="920">
        <f t="shared" si="1316"/>
        <v>-0.10447160052214843</v>
      </c>
      <c r="BA285" s="571">
        <f t="shared" si="1316"/>
        <v>0.11621647984143002</v>
      </c>
      <c r="BB285" s="810">
        <f t="shared" si="1316"/>
        <v>-8.3300725509178886E-3</v>
      </c>
      <c r="BC285" s="611">
        <f t="shared" si="1317"/>
        <v>6.6445689506040795E-2</v>
      </c>
      <c r="BD285" s="920">
        <f t="shared" ref="BD285" si="1329">BD254/BC254-1</f>
        <v>2.7027027027026973E-2</v>
      </c>
      <c r="BE285" s="571">
        <f t="shared" si="1319"/>
        <v>2.6315789473684292E-2</v>
      </c>
      <c r="BF285" s="586">
        <f t="shared" si="1320"/>
        <v>0</v>
      </c>
      <c r="BG285" s="611">
        <f t="shared" si="1321"/>
        <v>4.0000000000000036E-2</v>
      </c>
      <c r="BH285" s="920">
        <f t="shared" si="1322"/>
        <v>4.0000000000000036E-2</v>
      </c>
      <c r="BI285" s="571">
        <f t="shared" si="1323"/>
        <v>4.0000000000000036E-2</v>
      </c>
      <c r="BJ285" s="586">
        <f t="shared" si="1324"/>
        <v>4.0000000000000036E-2</v>
      </c>
      <c r="BK285" s="611">
        <f t="shared" si="1325"/>
        <v>2.0000000000000018E-2</v>
      </c>
      <c r="BL285" s="920">
        <f t="shared" si="1326"/>
        <v>2.0000000000000018E-2</v>
      </c>
      <c r="BM285" s="571">
        <f t="shared" si="1327"/>
        <v>2.0000000000000018E-2</v>
      </c>
      <c r="BN285" s="586">
        <f t="shared" si="1328"/>
        <v>2.0000000000000018E-2</v>
      </c>
      <c r="BO285" s="89"/>
      <c r="BP285" s="47"/>
      <c r="BQ285" s="47"/>
      <c r="BR285" s="47"/>
      <c r="BS285" s="47"/>
      <c r="BT285" s="47"/>
      <c r="BU285" s="50"/>
      <c r="BV285" s="50"/>
      <c r="BW285" s="50"/>
      <c r="BX285" s="48"/>
      <c r="BY285" s="35"/>
      <c r="BZ285" s="48"/>
      <c r="CA285" s="29"/>
      <c r="CB285" s="29"/>
      <c r="CC285" s="29"/>
      <c r="CD285" s="29"/>
      <c r="CE285" s="29"/>
      <c r="CF285" s="29"/>
      <c r="CG285" s="29"/>
      <c r="CH285" s="29"/>
      <c r="CI285" s="29"/>
      <c r="CJ285" s="2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29"/>
      <c r="DD285" s="2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29"/>
      <c r="DX285" s="2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29"/>
      <c r="ER285" s="29"/>
      <c r="ES285" s="29"/>
      <c r="ET285" s="29"/>
      <c r="EU285" s="29"/>
      <c r="EV285" s="29"/>
      <c r="EW285" s="29"/>
      <c r="EX285" s="29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29"/>
      <c r="FJ285" s="29"/>
      <c r="FK285" s="29"/>
      <c r="FL285" s="29"/>
      <c r="FM285" s="29"/>
      <c r="FN285" s="29"/>
      <c r="FO285" s="29"/>
      <c r="FP285" s="29"/>
      <c r="FQ285" s="29"/>
      <c r="FR285" s="29"/>
      <c r="FS285" s="29"/>
      <c r="FT285" s="29"/>
      <c r="FU285" s="29"/>
      <c r="FV285" s="29"/>
      <c r="FW285" s="29"/>
      <c r="FX285" s="29"/>
      <c r="FY285" s="29"/>
      <c r="FZ285" s="29"/>
      <c r="GA285" s="29"/>
      <c r="GB285" s="29"/>
      <c r="GC285" s="29"/>
      <c r="GD285" s="29"/>
      <c r="GE285" s="29"/>
      <c r="GF285" s="29"/>
      <c r="GG285" s="29"/>
      <c r="GH285" s="29"/>
      <c r="GI285" s="29"/>
      <c r="GJ285" s="29"/>
      <c r="GK285" s="29"/>
      <c r="GL285" s="29"/>
      <c r="GM285" s="29"/>
      <c r="GN285" s="29"/>
      <c r="GO285" s="29"/>
      <c r="GP285" s="29"/>
      <c r="GQ285" s="29"/>
      <c r="GR285" s="29"/>
      <c r="GS285" s="29"/>
      <c r="GT285" s="29"/>
      <c r="GU285" s="29"/>
      <c r="GV285" s="29"/>
      <c r="GW285" s="29"/>
      <c r="GX285" s="29"/>
      <c r="GY285" s="29"/>
      <c r="GZ285" s="29"/>
      <c r="HA285" s="29"/>
      <c r="HB285" s="29"/>
      <c r="HC285" s="29"/>
      <c r="HD285" s="29"/>
      <c r="HE285" s="29"/>
      <c r="HF285" s="29"/>
      <c r="HG285" s="29"/>
      <c r="HH285" s="29"/>
      <c r="HI285" s="29"/>
      <c r="HJ285" s="29"/>
      <c r="HK285" s="29"/>
      <c r="HL285" s="29"/>
      <c r="HM285" s="29"/>
      <c r="HN285" s="29"/>
      <c r="HO285" s="29"/>
      <c r="HP285" s="29"/>
      <c r="HQ285" s="29"/>
      <c r="HR285" s="29"/>
    </row>
    <row r="286" spans="1:226" s="46" customFormat="1">
      <c r="A286" s="84"/>
      <c r="B286" s="5" t="str">
        <f t="shared" si="1312"/>
        <v>IP</v>
      </c>
      <c r="C286" s="309"/>
      <c r="D286" s="50"/>
      <c r="E286" s="50"/>
      <c r="F286" s="310"/>
      <c r="G286" s="151"/>
      <c r="H286" s="50"/>
      <c r="I286" s="50"/>
      <c r="J286" s="50"/>
      <c r="K286" s="309"/>
      <c r="L286" s="50"/>
      <c r="M286" s="50"/>
      <c r="N286" s="310"/>
      <c r="O286" s="50"/>
      <c r="P286" s="50"/>
      <c r="Q286" s="50"/>
      <c r="R286" s="50"/>
      <c r="S286" s="309"/>
      <c r="T286" s="50"/>
      <c r="U286" s="50"/>
      <c r="V286" s="310"/>
      <c r="W286" s="50"/>
      <c r="X286" s="50"/>
      <c r="Y286" s="50"/>
      <c r="Z286" s="50"/>
      <c r="AA286" s="309"/>
      <c r="AB286" s="50"/>
      <c r="AC286" s="50"/>
      <c r="AD286" s="310"/>
      <c r="AE286" s="50"/>
      <c r="AF286" s="50"/>
      <c r="AG286" s="50"/>
      <c r="AH286" s="50"/>
      <c r="AI286" s="309"/>
      <c r="AJ286" s="50"/>
      <c r="AK286" s="50"/>
      <c r="AL286" s="310"/>
      <c r="AM286" s="309"/>
      <c r="AN286" s="571">
        <f t="shared" si="1313"/>
        <v>0</v>
      </c>
      <c r="AO286" s="571">
        <f t="shared" si="1313"/>
        <v>0</v>
      </c>
      <c r="AP286" s="586">
        <f t="shared" si="1313"/>
        <v>0</v>
      </c>
      <c r="AQ286" s="611">
        <f t="shared" si="1313"/>
        <v>0</v>
      </c>
      <c r="AR286" s="571">
        <f t="shared" si="1313"/>
        <v>0</v>
      </c>
      <c r="AS286" s="571">
        <f t="shared" si="1313"/>
        <v>0</v>
      </c>
      <c r="AT286" s="586">
        <f t="shared" si="1313"/>
        <v>0</v>
      </c>
      <c r="AU286" s="611">
        <f t="shared" si="1314"/>
        <v>0</v>
      </c>
      <c r="AV286" s="571">
        <f t="shared" si="1313"/>
        <v>0</v>
      </c>
      <c r="AW286" s="571">
        <f t="shared" si="1315"/>
        <v>0</v>
      </c>
      <c r="AX286" s="810">
        <f t="shared" si="1316"/>
        <v>0</v>
      </c>
      <c r="AY286" s="611">
        <f t="shared" si="1316"/>
        <v>-0.34848484848484851</v>
      </c>
      <c r="AZ286" s="920">
        <f t="shared" si="1316"/>
        <v>-1</v>
      </c>
      <c r="BA286" s="571"/>
      <c r="BB286" s="810">
        <v>0</v>
      </c>
      <c r="BC286" s="611"/>
      <c r="BD286" s="920"/>
      <c r="BE286" s="571"/>
      <c r="BF286" s="586"/>
      <c r="BG286" s="611"/>
      <c r="BH286" s="920"/>
      <c r="BI286" s="571"/>
      <c r="BJ286" s="586"/>
      <c r="BK286" s="611"/>
      <c r="BL286" s="920"/>
      <c r="BM286" s="571"/>
      <c r="BN286" s="586"/>
      <c r="BO286" s="89"/>
      <c r="BP286" s="47"/>
      <c r="BQ286" s="47"/>
      <c r="BR286" s="47"/>
      <c r="BS286" s="47"/>
      <c r="BT286" s="47"/>
      <c r="BU286" s="50"/>
      <c r="BV286" s="50"/>
      <c r="BW286" s="50"/>
      <c r="BX286" s="48"/>
      <c r="BY286" s="35"/>
      <c r="BZ286" s="48"/>
      <c r="CA286" s="29"/>
      <c r="CB286" s="29"/>
      <c r="CC286" s="29"/>
      <c r="CD286" s="29"/>
      <c r="CE286" s="29"/>
      <c r="CF286" s="29"/>
      <c r="CG286" s="29"/>
      <c r="CH286" s="29"/>
      <c r="CI286" s="29"/>
      <c r="CJ286" s="29"/>
      <c r="CK286" s="29"/>
      <c r="CL286" s="29"/>
      <c r="CM286" s="29"/>
      <c r="CN286" s="29"/>
      <c r="CO286" s="29"/>
      <c r="CP286" s="29"/>
      <c r="CQ286" s="29"/>
      <c r="CR286" s="29"/>
      <c r="CS286" s="29"/>
      <c r="CT286" s="29"/>
      <c r="CU286" s="29"/>
      <c r="CV286" s="29"/>
      <c r="CW286" s="29"/>
      <c r="CX286" s="29"/>
      <c r="CY286" s="29"/>
      <c r="CZ286" s="29"/>
      <c r="DA286" s="29"/>
      <c r="DB286" s="29"/>
      <c r="DC286" s="29"/>
      <c r="DD286" s="29"/>
      <c r="DE286" s="29"/>
      <c r="DF286" s="29"/>
      <c r="DG286" s="29"/>
      <c r="DH286" s="29"/>
      <c r="DI286" s="29"/>
      <c r="DJ286" s="29"/>
      <c r="DK286" s="29"/>
      <c r="DL286" s="29"/>
      <c r="DM286" s="29"/>
      <c r="DN286" s="29"/>
      <c r="DO286" s="29"/>
      <c r="DP286" s="29"/>
      <c r="DQ286" s="29"/>
      <c r="DR286" s="29"/>
      <c r="DS286" s="29"/>
      <c r="DT286" s="29"/>
      <c r="DU286" s="29"/>
      <c r="DV286" s="29"/>
      <c r="DW286" s="29"/>
      <c r="DX286" s="29"/>
      <c r="DY286" s="29"/>
      <c r="DZ286" s="29"/>
      <c r="EA286" s="29"/>
      <c r="EB286" s="29"/>
      <c r="EC286" s="29"/>
      <c r="ED286" s="29"/>
      <c r="EE286" s="29"/>
      <c r="EF286" s="29"/>
      <c r="EG286" s="29"/>
      <c r="EH286" s="29"/>
      <c r="EI286" s="29"/>
      <c r="EJ286" s="29"/>
      <c r="EK286" s="29"/>
      <c r="EL286" s="29"/>
      <c r="EM286" s="29"/>
      <c r="EN286" s="29"/>
      <c r="EO286" s="29"/>
      <c r="EP286" s="29"/>
      <c r="EQ286" s="29"/>
      <c r="ER286" s="29"/>
      <c r="ES286" s="29"/>
      <c r="ET286" s="29"/>
      <c r="EU286" s="29"/>
      <c r="EV286" s="29"/>
      <c r="EW286" s="29"/>
      <c r="EX286" s="29"/>
      <c r="EY286" s="29"/>
      <c r="EZ286" s="29"/>
      <c r="FA286" s="29"/>
      <c r="FB286" s="29"/>
      <c r="FC286" s="29"/>
      <c r="FD286" s="29"/>
      <c r="FE286" s="29"/>
      <c r="FF286" s="29"/>
      <c r="FG286" s="29"/>
      <c r="FH286" s="29"/>
      <c r="FI286" s="29"/>
      <c r="FJ286" s="29"/>
      <c r="FK286" s="29"/>
      <c r="FL286" s="29"/>
      <c r="FM286" s="29"/>
      <c r="FN286" s="29"/>
      <c r="FO286" s="29"/>
      <c r="FP286" s="29"/>
      <c r="FQ286" s="29"/>
      <c r="FR286" s="29"/>
      <c r="FS286" s="29"/>
      <c r="FT286" s="29"/>
      <c r="FU286" s="29"/>
      <c r="FV286" s="29"/>
      <c r="FW286" s="29"/>
      <c r="FX286" s="29"/>
      <c r="FY286" s="29"/>
      <c r="FZ286" s="29"/>
      <c r="GA286" s="29"/>
      <c r="GB286" s="29"/>
      <c r="GC286" s="29"/>
      <c r="GD286" s="29"/>
      <c r="GE286" s="29"/>
      <c r="GF286" s="29"/>
      <c r="GG286" s="29"/>
      <c r="GH286" s="29"/>
      <c r="GI286" s="29"/>
      <c r="GJ286" s="29"/>
      <c r="GK286" s="29"/>
      <c r="GL286" s="29"/>
      <c r="GM286" s="29"/>
      <c r="GN286" s="29"/>
      <c r="GO286" s="29"/>
      <c r="GP286" s="29"/>
      <c r="GQ286" s="29"/>
      <c r="GR286" s="29"/>
      <c r="GS286" s="29"/>
      <c r="GT286" s="29"/>
      <c r="GU286" s="29"/>
      <c r="GV286" s="29"/>
      <c r="GW286" s="29"/>
      <c r="GX286" s="29"/>
      <c r="GY286" s="29"/>
      <c r="GZ286" s="29"/>
      <c r="HA286" s="29"/>
      <c r="HB286" s="29"/>
      <c r="HC286" s="29"/>
      <c r="HD286" s="29"/>
      <c r="HE286" s="29"/>
      <c r="HF286" s="29"/>
      <c r="HG286" s="29"/>
      <c r="HH286" s="29"/>
      <c r="HI286" s="29"/>
      <c r="HJ286" s="29"/>
      <c r="HK286" s="29"/>
      <c r="HL286" s="29"/>
      <c r="HM286" s="29"/>
      <c r="HN286" s="29"/>
      <c r="HO286" s="29"/>
      <c r="HP286" s="29"/>
      <c r="HQ286" s="29"/>
      <c r="HR286" s="29"/>
    </row>
    <row r="287" spans="1:226" s="643" customFormat="1">
      <c r="A287" s="85"/>
      <c r="B287" s="535" t="str">
        <f t="shared" si="1312"/>
        <v>Total</v>
      </c>
      <c r="C287" s="612"/>
      <c r="D287" s="613"/>
      <c r="E287" s="613"/>
      <c r="F287" s="614"/>
      <c r="G287" s="615"/>
      <c r="H287" s="613"/>
      <c r="I287" s="613"/>
      <c r="J287" s="613"/>
      <c r="K287" s="612"/>
      <c r="L287" s="613"/>
      <c r="M287" s="613"/>
      <c r="N287" s="614"/>
      <c r="O287" s="613"/>
      <c r="P287" s="613"/>
      <c r="Q287" s="613"/>
      <c r="R287" s="613"/>
      <c r="S287" s="612"/>
      <c r="T287" s="613"/>
      <c r="U287" s="613"/>
      <c r="V287" s="614"/>
      <c r="W287" s="613"/>
      <c r="X287" s="613"/>
      <c r="Y287" s="613"/>
      <c r="Z287" s="613"/>
      <c r="AA287" s="612"/>
      <c r="AB287" s="613"/>
      <c r="AC287" s="613"/>
      <c r="AD287" s="614"/>
      <c r="AE287" s="613"/>
      <c r="AF287" s="613"/>
      <c r="AG287" s="613"/>
      <c r="AH287" s="613"/>
      <c r="AI287" s="612"/>
      <c r="AJ287" s="613"/>
      <c r="AK287" s="613"/>
      <c r="AL287" s="614"/>
      <c r="AM287" s="612"/>
      <c r="AN287" s="619">
        <f t="shared" si="1313"/>
        <v>3.3551356698913182E-5</v>
      </c>
      <c r="AO287" s="619">
        <f t="shared" si="1313"/>
        <v>0.1111310598971369</v>
      </c>
      <c r="AP287" s="620">
        <f t="shared" si="1313"/>
        <v>2.0509522744744046E-2</v>
      </c>
      <c r="AQ287" s="618">
        <f t="shared" si="1313"/>
        <v>-7.9578477330121911E-2</v>
      </c>
      <c r="AR287" s="619">
        <f t="shared" si="1313"/>
        <v>1.7376194613378804E-3</v>
      </c>
      <c r="AS287" s="619">
        <f t="shared" si="1313"/>
        <v>0.13183000867302708</v>
      </c>
      <c r="AT287" s="620">
        <f t="shared" si="1313"/>
        <v>7.3563218390804375E-2</v>
      </c>
      <c r="AU287" s="618">
        <f t="shared" si="1314"/>
        <v>-6.8522483940042789E-2</v>
      </c>
      <c r="AV287" s="619">
        <f t="shared" si="1313"/>
        <v>9.4252873563218431E-2</v>
      </c>
      <c r="AW287" s="619">
        <f t="shared" si="1315"/>
        <v>0.40336134453781503</v>
      </c>
      <c r="AX287" s="809">
        <f t="shared" si="1316"/>
        <v>8.4331337325349365E-2</v>
      </c>
      <c r="AY287" s="618">
        <f t="shared" si="1316"/>
        <v>-0.1086056143580304</v>
      </c>
      <c r="AZ287" s="919">
        <f t="shared" si="1316"/>
        <v>0.15126484254001027</v>
      </c>
      <c r="BA287" s="619">
        <f t="shared" si="1316"/>
        <v>0.1820627802690582</v>
      </c>
      <c r="BB287" s="809">
        <f t="shared" si="1316"/>
        <v>0.10432473444613044</v>
      </c>
      <c r="BC287" s="618">
        <f t="shared" ref="BC287" si="1330">BC256/BB256-1</f>
        <v>3.6067352073356762E-3</v>
      </c>
      <c r="BD287" s="919">
        <f t="shared" ref="BD287" si="1331">BD256/BC256-1</f>
        <v>8.0881000901327438E-2</v>
      </c>
      <c r="BE287" s="619">
        <f t="shared" ref="BE287" si="1332">BE256/BD256-1</f>
        <v>7.947782788627733E-2</v>
      </c>
      <c r="BF287" s="620">
        <f t="shared" ref="BF287" si="1333">BF256/BE256-1</f>
        <v>3.8615793533961495E-2</v>
      </c>
      <c r="BG287" s="618">
        <f t="shared" ref="BG287" si="1334">BG256/BF256-1</f>
        <v>-7.0973861521646309E-2</v>
      </c>
      <c r="BH287" s="919">
        <f t="shared" ref="BH287" si="1335">BH256/BG256-1</f>
        <v>0.11976049752087348</v>
      </c>
      <c r="BI287" s="619">
        <f t="shared" ref="BI287" si="1336">BI256/BH256-1</f>
        <v>8.1568969275398473E-2</v>
      </c>
      <c r="BJ287" s="620">
        <f t="shared" ref="BJ287" si="1337">BJ256/BI256-1</f>
        <v>1.4035988261985377E-2</v>
      </c>
      <c r="BK287" s="618">
        <f t="shared" ref="BK287" si="1338">BK256/BJ256-1</f>
        <v>-6.4518129000365798E-2</v>
      </c>
      <c r="BL287" s="919">
        <f t="shared" ref="BL287" si="1339">BL256/BK256-1</f>
        <v>0.12127542074015629</v>
      </c>
      <c r="BM287" s="619">
        <f t="shared" ref="BM287" si="1340">BM256/BL256-1</f>
        <v>7.3783386330960488E-2</v>
      </c>
      <c r="BN287" s="620">
        <f t="shared" ref="BN287" si="1341">BN256/BM256-1</f>
        <v>1.9393838729939272E-2</v>
      </c>
      <c r="BO287" s="616"/>
      <c r="BP287" s="617"/>
      <c r="BQ287" s="617"/>
      <c r="BR287" s="617"/>
      <c r="BS287" s="617"/>
      <c r="BT287" s="617"/>
      <c r="BU287" s="613"/>
      <c r="BV287" s="613"/>
      <c r="BW287" s="613"/>
      <c r="BX287" s="613"/>
      <c r="BY287" s="621"/>
      <c r="BZ287" s="621"/>
      <c r="CA287" s="621"/>
      <c r="CB287" s="621"/>
      <c r="CC287" s="621"/>
      <c r="CD287" s="621"/>
      <c r="CE287" s="621"/>
      <c r="CF287" s="47"/>
      <c r="CG287" s="47"/>
      <c r="CH287" s="47"/>
      <c r="CI287" s="47"/>
      <c r="CJ287" s="47"/>
      <c r="CK287" s="47"/>
      <c r="CL287" s="47"/>
      <c r="CM287" s="47"/>
      <c r="CN287" s="47"/>
      <c r="CO287" s="47"/>
      <c r="CP287" s="47"/>
      <c r="CQ287" s="47"/>
      <c r="CR287" s="47"/>
      <c r="CS287" s="47"/>
      <c r="CT287" s="47"/>
      <c r="CU287" s="47"/>
      <c r="CV287" s="47"/>
      <c r="CW287" s="47"/>
      <c r="CX287" s="47"/>
      <c r="CY287" s="47"/>
      <c r="CZ287" s="47"/>
      <c r="DA287" s="47"/>
      <c r="DB287" s="47"/>
      <c r="DC287" s="47"/>
      <c r="DD287" s="47"/>
      <c r="DE287" s="47"/>
      <c r="DF287" s="47"/>
      <c r="DG287" s="47"/>
      <c r="DH287" s="47"/>
      <c r="DI287" s="47"/>
      <c r="DJ287" s="47"/>
      <c r="DK287" s="47"/>
      <c r="DL287" s="47"/>
      <c r="DM287" s="47"/>
      <c r="DN287" s="47"/>
      <c r="DO287" s="47"/>
      <c r="DP287" s="47"/>
      <c r="DQ287" s="47"/>
      <c r="DR287" s="47"/>
      <c r="DS287" s="47"/>
      <c r="DT287" s="47"/>
      <c r="DU287" s="47"/>
      <c r="DV287" s="47"/>
      <c r="DW287" s="47"/>
      <c r="DX287" s="47"/>
      <c r="DY287" s="47"/>
      <c r="DZ287" s="47"/>
      <c r="EA287" s="47"/>
      <c r="EB287" s="47"/>
      <c r="EC287" s="47"/>
      <c r="ED287" s="47"/>
      <c r="EE287" s="47"/>
      <c r="EF287" s="47"/>
      <c r="EG287" s="47"/>
      <c r="EH287" s="47"/>
      <c r="EI287" s="47"/>
      <c r="EJ287" s="47"/>
      <c r="EK287" s="47"/>
      <c r="EL287" s="47"/>
      <c r="EM287" s="47"/>
      <c r="EN287" s="47"/>
      <c r="EO287" s="47"/>
      <c r="EP287" s="47"/>
      <c r="EQ287" s="47"/>
      <c r="ER287" s="47"/>
      <c r="ES287" s="47"/>
      <c r="ET287" s="47"/>
      <c r="EU287" s="47"/>
      <c r="EV287" s="47"/>
      <c r="EW287" s="47"/>
      <c r="EX287" s="47"/>
      <c r="EY287" s="47"/>
      <c r="EZ287" s="47"/>
      <c r="FA287" s="47"/>
      <c r="FB287" s="47"/>
      <c r="FC287" s="47"/>
      <c r="FD287" s="47"/>
      <c r="FE287" s="47"/>
      <c r="FF287" s="47"/>
      <c r="FG287" s="47"/>
      <c r="FH287" s="47"/>
      <c r="FI287" s="47"/>
      <c r="FJ287" s="47"/>
      <c r="FK287" s="47"/>
      <c r="FL287" s="47"/>
      <c r="FM287" s="47"/>
      <c r="FN287" s="47"/>
      <c r="FO287" s="47"/>
      <c r="FP287" s="47"/>
      <c r="FQ287" s="47"/>
      <c r="FR287" s="47"/>
      <c r="FS287" s="47"/>
      <c r="FT287" s="47"/>
      <c r="FU287" s="47"/>
      <c r="FV287" s="47"/>
      <c r="FW287" s="47"/>
      <c r="FX287" s="47"/>
      <c r="FY287" s="47"/>
      <c r="FZ287" s="47"/>
      <c r="GA287" s="47"/>
      <c r="GB287" s="47"/>
      <c r="GC287" s="47"/>
      <c r="GD287" s="47"/>
      <c r="GE287" s="47"/>
      <c r="GF287" s="47"/>
      <c r="GG287" s="47"/>
      <c r="GH287" s="47"/>
      <c r="GI287" s="47"/>
      <c r="GJ287" s="47"/>
      <c r="GK287" s="47"/>
      <c r="GL287" s="47"/>
      <c r="GM287" s="47"/>
      <c r="GN287" s="47"/>
      <c r="GO287" s="47"/>
      <c r="GP287" s="47"/>
      <c r="GQ287" s="47"/>
      <c r="GR287" s="47"/>
      <c r="GS287" s="47"/>
      <c r="GT287" s="47"/>
      <c r="GU287" s="47"/>
      <c r="GV287" s="47"/>
      <c r="GW287" s="47"/>
      <c r="GX287" s="47"/>
      <c r="GY287" s="47"/>
      <c r="GZ287" s="47"/>
      <c r="HA287" s="47"/>
      <c r="HB287" s="47"/>
      <c r="HC287" s="47"/>
      <c r="HD287" s="47"/>
      <c r="HE287" s="47"/>
      <c r="HF287" s="47"/>
      <c r="HG287" s="47"/>
      <c r="HH287" s="47"/>
      <c r="HI287" s="47"/>
      <c r="HJ287" s="47"/>
      <c r="HK287" s="47"/>
      <c r="HL287" s="47"/>
      <c r="HM287" s="47"/>
      <c r="HN287" s="47"/>
      <c r="HO287" s="47"/>
      <c r="HP287" s="47"/>
      <c r="HQ287" s="47"/>
      <c r="HR287" s="47"/>
    </row>
    <row r="288" spans="1:226" s="46" customFormat="1">
      <c r="A288" s="84"/>
      <c r="B288" s="5"/>
      <c r="C288" s="309"/>
      <c r="D288" s="50"/>
      <c r="E288" s="50"/>
      <c r="F288" s="310"/>
      <c r="G288" s="151"/>
      <c r="H288" s="50"/>
      <c r="I288" s="50"/>
      <c r="J288" s="50"/>
      <c r="K288" s="309"/>
      <c r="L288" s="50"/>
      <c r="M288" s="50"/>
      <c r="N288" s="310"/>
      <c r="O288" s="50"/>
      <c r="P288" s="50"/>
      <c r="Q288" s="50"/>
      <c r="R288" s="50"/>
      <c r="S288" s="309"/>
      <c r="T288" s="50"/>
      <c r="U288" s="50"/>
      <c r="V288" s="310"/>
      <c r="W288" s="50"/>
      <c r="X288" s="50"/>
      <c r="Y288" s="50"/>
      <c r="Z288" s="50"/>
      <c r="AA288" s="309"/>
      <c r="AB288" s="50"/>
      <c r="AC288" s="50"/>
      <c r="AD288" s="310"/>
      <c r="AE288" s="50"/>
      <c r="AF288" s="50"/>
      <c r="AG288" s="50"/>
      <c r="AH288" s="50"/>
      <c r="AI288" s="309"/>
      <c r="AJ288" s="50"/>
      <c r="AK288" s="50"/>
      <c r="AL288" s="310"/>
      <c r="AM288" s="309"/>
      <c r="AN288" s="50"/>
      <c r="AO288" s="50"/>
      <c r="AP288" s="310"/>
      <c r="AQ288" s="34"/>
      <c r="AR288" s="50"/>
      <c r="AS288" s="50"/>
      <c r="AT288" s="310"/>
      <c r="AU288" s="34"/>
      <c r="AV288" s="50"/>
      <c r="AW288" s="50"/>
      <c r="AX288" s="803"/>
      <c r="AY288" s="756"/>
      <c r="AZ288" s="756"/>
      <c r="BA288" s="50"/>
      <c r="BB288" s="803"/>
      <c r="BC288" s="756"/>
      <c r="BD288" s="756"/>
      <c r="BE288" s="50"/>
      <c r="BF288" s="310"/>
      <c r="BG288" s="756"/>
      <c r="BH288" s="756"/>
      <c r="BI288" s="50"/>
      <c r="BJ288" s="310"/>
      <c r="BK288" s="756"/>
      <c r="BL288" s="756"/>
      <c r="BM288" s="50"/>
      <c r="BN288" s="310"/>
      <c r="BO288" s="89"/>
      <c r="BP288" s="47"/>
      <c r="BQ288" s="47"/>
      <c r="BR288" s="47"/>
      <c r="BS288" s="47"/>
      <c r="BT288" s="47"/>
      <c r="BU288" s="50"/>
      <c r="BV288" s="50"/>
      <c r="BW288" s="50"/>
      <c r="BX288" s="48"/>
      <c r="BY288" s="35"/>
      <c r="BZ288" s="48"/>
      <c r="CA288" s="29"/>
      <c r="CB288" s="29"/>
      <c r="CC288" s="29"/>
      <c r="CD288" s="29"/>
      <c r="CE288" s="29"/>
      <c r="CF288" s="29"/>
      <c r="CG288" s="29"/>
      <c r="CH288" s="29"/>
      <c r="CI288" s="29"/>
      <c r="CJ288" s="2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29"/>
      <c r="DD288" s="2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29"/>
      <c r="DX288" s="2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29"/>
      <c r="ER288" s="29"/>
      <c r="ES288" s="29"/>
      <c r="ET288" s="29"/>
      <c r="EU288" s="29"/>
      <c r="EV288" s="29"/>
      <c r="EW288" s="29"/>
      <c r="EX288" s="29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29"/>
      <c r="FJ288" s="29"/>
      <c r="FK288" s="29"/>
      <c r="FL288" s="29"/>
      <c r="FM288" s="29"/>
      <c r="FN288" s="29"/>
      <c r="FO288" s="29"/>
      <c r="FP288" s="29"/>
      <c r="FQ288" s="29"/>
      <c r="FR288" s="29"/>
      <c r="FS288" s="29"/>
      <c r="FT288" s="29"/>
      <c r="FU288" s="29"/>
      <c r="FV288" s="29"/>
      <c r="FW288" s="29"/>
      <c r="FX288" s="29"/>
      <c r="FY288" s="29"/>
      <c r="FZ288" s="29"/>
      <c r="GA288" s="29"/>
      <c r="GB288" s="29"/>
      <c r="GC288" s="29"/>
      <c r="GD288" s="29"/>
      <c r="GE288" s="29"/>
      <c r="GF288" s="29"/>
      <c r="GG288" s="29"/>
      <c r="GH288" s="29"/>
      <c r="GI288" s="29"/>
      <c r="GJ288" s="29"/>
      <c r="GK288" s="29"/>
      <c r="GL288" s="29"/>
      <c r="GM288" s="29"/>
      <c r="GN288" s="29"/>
      <c r="GO288" s="29"/>
      <c r="GP288" s="29"/>
      <c r="GQ288" s="29"/>
      <c r="GR288" s="29"/>
      <c r="GS288" s="29"/>
      <c r="GT288" s="29"/>
      <c r="GU288" s="29"/>
      <c r="GV288" s="29"/>
      <c r="GW288" s="29"/>
      <c r="GX288" s="29"/>
      <c r="GY288" s="29"/>
      <c r="GZ288" s="29"/>
      <c r="HA288" s="29"/>
      <c r="HB288" s="29"/>
      <c r="HC288" s="29"/>
      <c r="HD288" s="29"/>
      <c r="HE288" s="29"/>
      <c r="HF288" s="29"/>
      <c r="HG288" s="29"/>
      <c r="HH288" s="29"/>
      <c r="HI288" s="29"/>
      <c r="HJ288" s="29"/>
      <c r="HK288" s="29"/>
      <c r="HL288" s="29"/>
      <c r="HM288" s="29"/>
      <c r="HN288" s="29"/>
      <c r="HO288" s="29"/>
      <c r="HP288" s="29"/>
      <c r="HQ288" s="29"/>
      <c r="HR288" s="29"/>
    </row>
    <row r="289" spans="1:226" s="46" customFormat="1">
      <c r="A289" s="84"/>
      <c r="B289" s="5"/>
      <c r="C289" s="309"/>
      <c r="D289" s="50"/>
      <c r="E289" s="50"/>
      <c r="F289" s="310"/>
      <c r="G289" s="151"/>
      <c r="H289" s="50"/>
      <c r="I289" s="50"/>
      <c r="J289" s="50"/>
      <c r="K289" s="309"/>
      <c r="L289" s="50"/>
      <c r="M289" s="50"/>
      <c r="N289" s="310"/>
      <c r="O289" s="50"/>
      <c r="P289" s="50"/>
      <c r="Q289" s="50"/>
      <c r="R289" s="50"/>
      <c r="S289" s="309"/>
      <c r="T289" s="50"/>
      <c r="U289" s="50"/>
      <c r="V289" s="310"/>
      <c r="W289" s="50"/>
      <c r="X289" s="50"/>
      <c r="Y289" s="50"/>
      <c r="Z289" s="50"/>
      <c r="AA289" s="309"/>
      <c r="AB289" s="50"/>
      <c r="AC289" s="50"/>
      <c r="AD289" s="310"/>
      <c r="AE289" s="50"/>
      <c r="AF289" s="50"/>
      <c r="AG289" s="50"/>
      <c r="AH289" s="50"/>
      <c r="AI289" s="309"/>
      <c r="AJ289" s="50"/>
      <c r="AK289" s="50"/>
      <c r="AL289" s="310"/>
      <c r="AM289" s="309"/>
      <c r="AN289" s="50"/>
      <c r="AO289" s="50"/>
      <c r="AP289" s="310"/>
      <c r="AQ289" s="34"/>
      <c r="AR289" s="50"/>
      <c r="AS289" s="50"/>
      <c r="AT289" s="310"/>
      <c r="AU289" s="34"/>
      <c r="AV289" s="50"/>
      <c r="AW289" s="50"/>
      <c r="AX289" s="803"/>
      <c r="AY289" s="756"/>
      <c r="AZ289" s="756"/>
      <c r="BA289" s="50"/>
      <c r="BB289" s="803"/>
      <c r="BC289" s="756"/>
      <c r="BD289" s="756"/>
      <c r="BE289" s="50"/>
      <c r="BF289" s="310"/>
      <c r="BG289" s="756"/>
      <c r="BH289" s="756"/>
      <c r="BI289" s="50"/>
      <c r="BJ289" s="310"/>
      <c r="BK289" s="756"/>
      <c r="BL289" s="756"/>
      <c r="BM289" s="50"/>
      <c r="BN289" s="310"/>
      <c r="BO289" s="89"/>
      <c r="BP289" s="47"/>
      <c r="BQ289" s="47"/>
      <c r="BR289" s="47"/>
      <c r="BS289" s="47"/>
      <c r="BT289" s="47"/>
      <c r="BU289" s="50"/>
      <c r="BV289" s="50"/>
      <c r="BW289" s="50"/>
      <c r="BX289" s="48"/>
      <c r="BY289" s="35"/>
      <c r="BZ289" s="48"/>
      <c r="CA289" s="29"/>
      <c r="CB289" s="29"/>
      <c r="CC289" s="29"/>
      <c r="CD289" s="29"/>
      <c r="CE289" s="29"/>
      <c r="CF289" s="29"/>
      <c r="CG289" s="29"/>
      <c r="CH289" s="29"/>
      <c r="CI289" s="29"/>
      <c r="CJ289" s="29"/>
      <c r="CK289" s="29"/>
      <c r="CL289" s="29"/>
      <c r="CM289" s="29"/>
      <c r="CN289" s="29"/>
      <c r="CO289" s="29"/>
      <c r="CP289" s="29"/>
      <c r="CQ289" s="29"/>
      <c r="CR289" s="29"/>
      <c r="CS289" s="29"/>
      <c r="CT289" s="29"/>
      <c r="CU289" s="29"/>
      <c r="CV289" s="29"/>
      <c r="CW289" s="29"/>
      <c r="CX289" s="29"/>
      <c r="CY289" s="29"/>
      <c r="CZ289" s="29"/>
      <c r="DA289" s="29"/>
      <c r="DB289" s="29"/>
      <c r="DC289" s="29"/>
      <c r="DD289" s="29"/>
      <c r="DE289" s="29"/>
      <c r="DF289" s="29"/>
      <c r="DG289" s="29"/>
      <c r="DH289" s="29"/>
      <c r="DI289" s="29"/>
      <c r="DJ289" s="29"/>
      <c r="DK289" s="29"/>
      <c r="DL289" s="29"/>
      <c r="DM289" s="29"/>
      <c r="DN289" s="29"/>
      <c r="DO289" s="29"/>
      <c r="DP289" s="29"/>
      <c r="DQ289" s="29"/>
      <c r="DR289" s="29"/>
      <c r="DS289" s="29"/>
      <c r="DT289" s="29"/>
      <c r="DU289" s="29"/>
      <c r="DV289" s="29"/>
      <c r="DW289" s="29"/>
      <c r="DX289" s="29"/>
      <c r="DY289" s="29"/>
      <c r="DZ289" s="29"/>
      <c r="EA289" s="29"/>
      <c r="EB289" s="29"/>
      <c r="EC289" s="29"/>
      <c r="ED289" s="29"/>
      <c r="EE289" s="29"/>
      <c r="EF289" s="29"/>
      <c r="EG289" s="29"/>
      <c r="EH289" s="29"/>
      <c r="EI289" s="29"/>
      <c r="EJ289" s="29"/>
      <c r="EK289" s="29"/>
      <c r="EL289" s="29"/>
      <c r="EM289" s="29"/>
      <c r="EN289" s="29"/>
      <c r="EO289" s="29"/>
      <c r="EP289" s="29"/>
      <c r="EQ289" s="29"/>
      <c r="ER289" s="29"/>
      <c r="ES289" s="29"/>
      <c r="ET289" s="29"/>
      <c r="EU289" s="29"/>
      <c r="EV289" s="29"/>
      <c r="EW289" s="29"/>
      <c r="EX289" s="29"/>
      <c r="EY289" s="29"/>
      <c r="EZ289" s="29"/>
      <c r="FA289" s="29"/>
      <c r="FB289" s="29"/>
      <c r="FC289" s="29"/>
      <c r="FD289" s="29"/>
      <c r="FE289" s="29"/>
      <c r="FF289" s="29"/>
      <c r="FG289" s="29"/>
      <c r="FH289" s="29"/>
      <c r="FI289" s="29"/>
      <c r="FJ289" s="29"/>
      <c r="FK289" s="29"/>
      <c r="FL289" s="29"/>
      <c r="FM289" s="29"/>
      <c r="FN289" s="29"/>
      <c r="FO289" s="29"/>
      <c r="FP289" s="29"/>
      <c r="FQ289" s="29"/>
      <c r="FR289" s="29"/>
      <c r="FS289" s="29"/>
      <c r="FT289" s="29"/>
      <c r="FU289" s="29"/>
      <c r="FV289" s="29"/>
      <c r="FW289" s="29"/>
      <c r="FX289" s="29"/>
      <c r="FY289" s="29"/>
      <c r="FZ289" s="29"/>
      <c r="GA289" s="29"/>
      <c r="GB289" s="29"/>
      <c r="GC289" s="29"/>
      <c r="GD289" s="29"/>
      <c r="GE289" s="29"/>
      <c r="GF289" s="29"/>
      <c r="GG289" s="29"/>
      <c r="GH289" s="29"/>
      <c r="GI289" s="29"/>
      <c r="GJ289" s="29"/>
      <c r="GK289" s="29"/>
      <c r="GL289" s="29"/>
      <c r="GM289" s="29"/>
      <c r="GN289" s="29"/>
      <c r="GO289" s="29"/>
      <c r="GP289" s="29"/>
      <c r="GQ289" s="29"/>
      <c r="GR289" s="29"/>
      <c r="GS289" s="29"/>
      <c r="GT289" s="29"/>
      <c r="GU289" s="29"/>
      <c r="GV289" s="29"/>
      <c r="GW289" s="29"/>
      <c r="GX289" s="29"/>
      <c r="GY289" s="29"/>
      <c r="GZ289" s="29"/>
      <c r="HA289" s="29"/>
      <c r="HB289" s="29"/>
      <c r="HC289" s="29"/>
      <c r="HD289" s="29"/>
      <c r="HE289" s="29"/>
      <c r="HF289" s="29"/>
      <c r="HG289" s="29"/>
      <c r="HH289" s="29"/>
      <c r="HI289" s="29"/>
      <c r="HJ289" s="29"/>
      <c r="HK289" s="29"/>
      <c r="HL289" s="29"/>
      <c r="HM289" s="29"/>
      <c r="HN289" s="29"/>
      <c r="HO289" s="29"/>
      <c r="HP289" s="29"/>
      <c r="HQ289" s="29"/>
      <c r="HR289" s="29"/>
    </row>
    <row r="290" spans="1:226" s="46" customFormat="1">
      <c r="A290" s="84"/>
      <c r="B290" s="5"/>
      <c r="C290" s="309"/>
      <c r="D290" s="50"/>
      <c r="E290" s="50"/>
      <c r="F290" s="310"/>
      <c r="G290" s="151"/>
      <c r="H290" s="50"/>
      <c r="I290" s="50"/>
      <c r="J290" s="50"/>
      <c r="K290" s="309"/>
      <c r="L290" s="50"/>
      <c r="M290" s="50"/>
      <c r="N290" s="310"/>
      <c r="O290" s="50"/>
      <c r="P290" s="50"/>
      <c r="Q290" s="50"/>
      <c r="R290" s="50"/>
      <c r="S290" s="309"/>
      <c r="T290" s="50"/>
      <c r="U290" s="50"/>
      <c r="V290" s="310"/>
      <c r="W290" s="50"/>
      <c r="X290" s="50"/>
      <c r="Y290" s="50"/>
      <c r="Z290" s="50"/>
      <c r="AA290" s="309"/>
      <c r="AB290" s="50"/>
      <c r="AC290" s="50"/>
      <c r="AD290" s="310"/>
      <c r="AE290" s="50"/>
      <c r="AF290" s="50"/>
      <c r="AG290" s="50"/>
      <c r="AH290" s="50"/>
      <c r="AI290" s="309"/>
      <c r="AJ290" s="50"/>
      <c r="AK290" s="50"/>
      <c r="AL290" s="310"/>
      <c r="AM290" s="309"/>
      <c r="AN290" s="50"/>
      <c r="AO290" s="50"/>
      <c r="AP290" s="310"/>
      <c r="AQ290" s="34"/>
      <c r="AR290" s="50"/>
      <c r="AS290" s="50"/>
      <c r="AT290" s="310"/>
      <c r="AU290" s="34"/>
      <c r="AV290" s="50"/>
      <c r="AW290" s="50"/>
      <c r="AX290" s="803"/>
      <c r="AY290" s="756"/>
      <c r="AZ290" s="756"/>
      <c r="BA290" s="50"/>
      <c r="BB290" s="803"/>
      <c r="BC290" s="756"/>
      <c r="BD290" s="756"/>
      <c r="BE290" s="50"/>
      <c r="BF290" s="310"/>
      <c r="BG290" s="756"/>
      <c r="BH290" s="756"/>
      <c r="BI290" s="50"/>
      <c r="BJ290" s="310"/>
      <c r="BK290" s="756"/>
      <c r="BL290" s="756"/>
      <c r="BM290" s="50"/>
      <c r="BN290" s="310"/>
      <c r="BO290" s="89"/>
      <c r="BP290" s="47"/>
      <c r="BQ290" s="47"/>
      <c r="BR290" s="47"/>
      <c r="BS290" s="47"/>
      <c r="BT290" s="47"/>
      <c r="BU290" s="50"/>
      <c r="BV290" s="50"/>
      <c r="BW290" s="50"/>
      <c r="BX290" s="48"/>
      <c r="BY290" s="35"/>
      <c r="BZ290" s="48"/>
      <c r="CA290" s="29"/>
      <c r="CB290" s="29"/>
      <c r="CC290" s="29"/>
      <c r="CD290" s="29"/>
      <c r="CE290" s="29"/>
      <c r="CF290" s="29"/>
      <c r="CG290" s="29"/>
      <c r="CH290" s="29"/>
      <c r="CI290" s="29"/>
      <c r="CJ290" s="2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29"/>
      <c r="DD290" s="2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29"/>
      <c r="DX290" s="2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29"/>
      <c r="ER290" s="29"/>
      <c r="ES290" s="29"/>
      <c r="ET290" s="29"/>
      <c r="EU290" s="29"/>
      <c r="EV290" s="29"/>
      <c r="EW290" s="29"/>
      <c r="EX290" s="29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29"/>
      <c r="FJ290" s="29"/>
      <c r="FK290" s="29"/>
      <c r="FL290" s="29"/>
      <c r="FM290" s="29"/>
      <c r="FN290" s="29"/>
      <c r="FO290" s="29"/>
      <c r="FP290" s="29"/>
      <c r="FQ290" s="29"/>
      <c r="FR290" s="29"/>
      <c r="FS290" s="29"/>
      <c r="FT290" s="29"/>
      <c r="FU290" s="29"/>
      <c r="FV290" s="29"/>
      <c r="FW290" s="29"/>
      <c r="FX290" s="29"/>
      <c r="FY290" s="29"/>
      <c r="FZ290" s="29"/>
      <c r="GA290" s="29"/>
      <c r="GB290" s="29"/>
      <c r="GC290" s="29"/>
      <c r="GD290" s="29"/>
      <c r="GE290" s="29"/>
      <c r="GF290" s="29"/>
      <c r="GG290" s="29"/>
      <c r="GH290" s="29"/>
      <c r="GI290" s="29"/>
      <c r="GJ290" s="29"/>
      <c r="GK290" s="29"/>
      <c r="GL290" s="29"/>
      <c r="GM290" s="29"/>
      <c r="GN290" s="29"/>
      <c r="GO290" s="29"/>
      <c r="GP290" s="29"/>
      <c r="GQ290" s="29"/>
      <c r="GR290" s="29"/>
      <c r="GS290" s="29"/>
      <c r="GT290" s="29"/>
      <c r="GU290" s="29"/>
      <c r="GV290" s="29"/>
      <c r="GW290" s="29"/>
      <c r="GX290" s="29"/>
      <c r="GY290" s="29"/>
      <c r="GZ290" s="29"/>
      <c r="HA290" s="29"/>
      <c r="HB290" s="29"/>
      <c r="HC290" s="29"/>
      <c r="HD290" s="29"/>
      <c r="HE290" s="29"/>
      <c r="HF290" s="29"/>
      <c r="HG290" s="29"/>
      <c r="HH290" s="29"/>
      <c r="HI290" s="29"/>
      <c r="HJ290" s="29"/>
      <c r="HK290" s="29"/>
      <c r="HL290" s="29"/>
      <c r="HM290" s="29"/>
      <c r="HN290" s="29"/>
      <c r="HO290" s="29"/>
      <c r="HP290" s="29"/>
      <c r="HQ290" s="29"/>
      <c r="HR290" s="29"/>
    </row>
    <row r="291" spans="1:226" s="46" customFormat="1">
      <c r="A291" s="84"/>
      <c r="B291" s="5"/>
      <c r="C291" s="309"/>
      <c r="D291" s="50"/>
      <c r="E291" s="50"/>
      <c r="F291" s="310"/>
      <c r="G291" s="151"/>
      <c r="H291" s="50"/>
      <c r="I291" s="50"/>
      <c r="J291" s="50"/>
      <c r="K291" s="309"/>
      <c r="L291" s="50"/>
      <c r="M291" s="50"/>
      <c r="N291" s="310"/>
      <c r="O291" s="50"/>
      <c r="P291" s="50"/>
      <c r="Q291" s="50"/>
      <c r="R291" s="50"/>
      <c r="S291" s="309"/>
      <c r="T291" s="50"/>
      <c r="U291" s="50"/>
      <c r="V291" s="310"/>
      <c r="W291" s="50"/>
      <c r="X291" s="50"/>
      <c r="Y291" s="50"/>
      <c r="Z291" s="50"/>
      <c r="AA291" s="309"/>
      <c r="AB291" s="50"/>
      <c r="AC291" s="50"/>
      <c r="AD291" s="310"/>
      <c r="AE291" s="50"/>
      <c r="AF291" s="50"/>
      <c r="AG291" s="50"/>
      <c r="AH291" s="50"/>
      <c r="AI291" s="309"/>
      <c r="AJ291" s="50"/>
      <c r="AK291" s="50"/>
      <c r="AL291" s="310"/>
      <c r="AM291" s="309"/>
      <c r="AN291" s="50"/>
      <c r="AO291" s="50"/>
      <c r="AP291" s="310"/>
      <c r="AQ291" s="34"/>
      <c r="AR291" s="50"/>
      <c r="AS291" s="50"/>
      <c r="AT291" s="310"/>
      <c r="AU291" s="34"/>
      <c r="AV291" s="50"/>
      <c r="AW291" s="50"/>
      <c r="AX291" s="803"/>
      <c r="AY291" s="756"/>
      <c r="AZ291" s="756"/>
      <c r="BA291" s="50"/>
      <c r="BB291" s="803"/>
      <c r="BC291" s="756"/>
      <c r="BD291" s="756"/>
      <c r="BE291" s="50"/>
      <c r="BF291" s="310"/>
      <c r="BG291" s="756"/>
      <c r="BH291" s="756"/>
      <c r="BI291" s="50"/>
      <c r="BJ291" s="310"/>
      <c r="BK291" s="756"/>
      <c r="BL291" s="756"/>
      <c r="BM291" s="50"/>
      <c r="BN291" s="310"/>
      <c r="BO291" s="89"/>
      <c r="BP291" s="47"/>
      <c r="BQ291" s="47"/>
      <c r="BR291" s="47"/>
      <c r="BS291" s="47"/>
      <c r="BT291" s="47"/>
      <c r="BU291" s="50"/>
      <c r="BV291" s="50"/>
      <c r="BW291" s="50"/>
      <c r="BX291" s="48"/>
      <c r="BY291" s="35"/>
      <c r="BZ291" s="48"/>
      <c r="CA291" s="29"/>
      <c r="CB291" s="29"/>
      <c r="CC291" s="29"/>
      <c r="CD291" s="29"/>
      <c r="CE291" s="29"/>
      <c r="CF291" s="29"/>
      <c r="CG291" s="29"/>
      <c r="CH291" s="29"/>
      <c r="CI291" s="29"/>
      <c r="CJ291" s="2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29"/>
      <c r="DD291" s="2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29"/>
      <c r="DX291" s="2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29"/>
      <c r="ER291" s="29"/>
      <c r="ES291" s="29"/>
      <c r="ET291" s="29"/>
      <c r="EU291" s="29"/>
      <c r="EV291" s="29"/>
      <c r="EW291" s="29"/>
      <c r="EX291" s="29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29"/>
      <c r="FJ291" s="29"/>
      <c r="FK291" s="29"/>
      <c r="FL291" s="29"/>
      <c r="FM291" s="29"/>
      <c r="FN291" s="29"/>
      <c r="FO291" s="29"/>
      <c r="FP291" s="29"/>
      <c r="FQ291" s="29"/>
      <c r="FR291" s="29"/>
      <c r="FS291" s="29"/>
      <c r="FT291" s="29"/>
      <c r="FU291" s="29"/>
      <c r="FV291" s="29"/>
      <c r="FW291" s="29"/>
      <c r="FX291" s="29"/>
      <c r="FY291" s="29"/>
      <c r="FZ291" s="29"/>
      <c r="GA291" s="29"/>
      <c r="GB291" s="29"/>
      <c r="GC291" s="29"/>
      <c r="GD291" s="29"/>
      <c r="GE291" s="29"/>
      <c r="GF291" s="29"/>
      <c r="GG291" s="29"/>
      <c r="GH291" s="29"/>
      <c r="GI291" s="29"/>
      <c r="GJ291" s="29"/>
      <c r="GK291" s="29"/>
      <c r="GL291" s="29"/>
      <c r="GM291" s="29"/>
      <c r="GN291" s="29"/>
      <c r="GO291" s="29"/>
      <c r="GP291" s="29"/>
      <c r="GQ291" s="29"/>
      <c r="GR291" s="29"/>
      <c r="GS291" s="29"/>
      <c r="GT291" s="29"/>
      <c r="GU291" s="29"/>
      <c r="GV291" s="29"/>
      <c r="GW291" s="29"/>
      <c r="GX291" s="29"/>
      <c r="GY291" s="29"/>
      <c r="GZ291" s="29"/>
      <c r="HA291" s="29"/>
      <c r="HB291" s="29"/>
      <c r="HC291" s="29"/>
      <c r="HD291" s="29"/>
      <c r="HE291" s="29"/>
      <c r="HF291" s="29"/>
      <c r="HG291" s="29"/>
      <c r="HH291" s="29"/>
      <c r="HI291" s="29"/>
      <c r="HJ291" s="29"/>
      <c r="HK291" s="29"/>
      <c r="HL291" s="29"/>
      <c r="HM291" s="29"/>
      <c r="HN291" s="29"/>
      <c r="HO291" s="29"/>
      <c r="HP291" s="29"/>
      <c r="HQ291" s="29"/>
      <c r="HR291" s="29"/>
    </row>
    <row r="292" spans="1:226" s="46" customFormat="1">
      <c r="A292" s="84"/>
      <c r="B292" s="5"/>
      <c r="C292" s="309"/>
      <c r="D292" s="50"/>
      <c r="E292" s="50"/>
      <c r="F292" s="310"/>
      <c r="G292" s="151"/>
      <c r="H292" s="50"/>
      <c r="I292" s="50"/>
      <c r="J292" s="50"/>
      <c r="K292" s="309"/>
      <c r="L292" s="50"/>
      <c r="M292" s="50"/>
      <c r="N292" s="310"/>
      <c r="O292" s="50"/>
      <c r="P292" s="50"/>
      <c r="Q292" s="50"/>
      <c r="R292" s="50"/>
      <c r="S292" s="309"/>
      <c r="T292" s="50"/>
      <c r="U292" s="50"/>
      <c r="V292" s="310"/>
      <c r="W292" s="50"/>
      <c r="X292" s="50"/>
      <c r="Y292" s="50"/>
      <c r="Z292" s="50"/>
      <c r="AA292" s="309"/>
      <c r="AB292" s="50"/>
      <c r="AC292" s="50"/>
      <c r="AD292" s="310"/>
      <c r="AE292" s="50"/>
      <c r="AF292" s="50"/>
      <c r="AG292" s="50"/>
      <c r="AH292" s="50"/>
      <c r="AI292" s="309"/>
      <c r="AJ292" s="50"/>
      <c r="AK292" s="50"/>
      <c r="AL292" s="310"/>
      <c r="AM292" s="309"/>
      <c r="AN292" s="50"/>
      <c r="AO292" s="50"/>
      <c r="AP292" s="310"/>
      <c r="AQ292" s="34"/>
      <c r="AR292" s="50"/>
      <c r="AS292" s="50"/>
      <c r="AT292" s="310"/>
      <c r="AU292" s="34"/>
      <c r="AV292" s="50"/>
      <c r="AW292" s="50"/>
      <c r="AX292" s="803"/>
      <c r="AY292" s="756"/>
      <c r="AZ292" s="756"/>
      <c r="BA292" s="50"/>
      <c r="BB292" s="803"/>
      <c r="BC292" s="756"/>
      <c r="BD292" s="756"/>
      <c r="BE292" s="50"/>
      <c r="BF292" s="310"/>
      <c r="BG292" s="756"/>
      <c r="BH292" s="756"/>
      <c r="BI292" s="50"/>
      <c r="BJ292" s="310"/>
      <c r="BK292" s="756"/>
      <c r="BL292" s="756"/>
      <c r="BM292" s="50"/>
      <c r="BN292" s="310"/>
      <c r="BO292" s="89"/>
      <c r="BP292" s="47"/>
      <c r="BQ292" s="47"/>
      <c r="BR292" s="47"/>
      <c r="BS292" s="47"/>
      <c r="BT292" s="47"/>
      <c r="BU292" s="50"/>
      <c r="BV292" s="50"/>
      <c r="BW292" s="50"/>
      <c r="BX292" s="48"/>
      <c r="BY292" s="35"/>
      <c r="BZ292" s="48"/>
      <c r="CA292" s="29"/>
      <c r="CB292" s="29"/>
      <c r="CC292" s="29"/>
      <c r="CD292" s="29"/>
      <c r="CE292" s="29"/>
      <c r="CF292" s="29"/>
      <c r="CG292" s="29"/>
      <c r="CH292" s="29"/>
      <c r="CI292" s="29"/>
      <c r="CJ292" s="29"/>
      <c r="CK292" s="29"/>
      <c r="CL292" s="29"/>
      <c r="CM292" s="29"/>
      <c r="CN292" s="29"/>
      <c r="CO292" s="29"/>
      <c r="CP292" s="29"/>
      <c r="CQ292" s="29"/>
      <c r="CR292" s="29"/>
      <c r="CS292" s="29"/>
      <c r="CT292" s="29"/>
      <c r="CU292" s="29"/>
      <c r="CV292" s="29"/>
      <c r="CW292" s="29"/>
      <c r="CX292" s="29"/>
      <c r="CY292" s="29"/>
      <c r="CZ292" s="29"/>
      <c r="DA292" s="29"/>
      <c r="DB292" s="29"/>
      <c r="DC292" s="29"/>
      <c r="DD292" s="29"/>
      <c r="DE292" s="29"/>
      <c r="DF292" s="29"/>
      <c r="DG292" s="29"/>
      <c r="DH292" s="29"/>
      <c r="DI292" s="29"/>
      <c r="DJ292" s="29"/>
      <c r="DK292" s="29"/>
      <c r="DL292" s="29"/>
      <c r="DM292" s="29"/>
      <c r="DN292" s="29"/>
      <c r="DO292" s="29"/>
      <c r="DP292" s="29"/>
      <c r="DQ292" s="29"/>
      <c r="DR292" s="29"/>
      <c r="DS292" s="29"/>
      <c r="DT292" s="29"/>
      <c r="DU292" s="29"/>
      <c r="DV292" s="29"/>
      <c r="DW292" s="29"/>
      <c r="DX292" s="29"/>
      <c r="DY292" s="29"/>
      <c r="DZ292" s="29"/>
      <c r="EA292" s="29"/>
      <c r="EB292" s="29"/>
      <c r="EC292" s="29"/>
      <c r="ED292" s="29"/>
      <c r="EE292" s="29"/>
      <c r="EF292" s="29"/>
      <c r="EG292" s="29"/>
      <c r="EH292" s="29"/>
      <c r="EI292" s="29"/>
      <c r="EJ292" s="29"/>
      <c r="EK292" s="29"/>
      <c r="EL292" s="29"/>
      <c r="EM292" s="29"/>
      <c r="EN292" s="29"/>
      <c r="EO292" s="29"/>
      <c r="EP292" s="29"/>
      <c r="EQ292" s="29"/>
      <c r="ER292" s="29"/>
      <c r="ES292" s="29"/>
      <c r="ET292" s="29"/>
      <c r="EU292" s="29"/>
      <c r="EV292" s="29"/>
      <c r="EW292" s="29"/>
      <c r="EX292" s="29"/>
      <c r="EY292" s="29"/>
      <c r="EZ292" s="29"/>
      <c r="FA292" s="29"/>
      <c r="FB292" s="29"/>
      <c r="FC292" s="29"/>
      <c r="FD292" s="29"/>
      <c r="FE292" s="29"/>
      <c r="FF292" s="29"/>
      <c r="FG292" s="29"/>
      <c r="FH292" s="29"/>
      <c r="FI292" s="29"/>
      <c r="FJ292" s="29"/>
      <c r="FK292" s="29"/>
      <c r="FL292" s="29"/>
      <c r="FM292" s="29"/>
      <c r="FN292" s="29"/>
      <c r="FO292" s="29"/>
      <c r="FP292" s="29"/>
      <c r="FQ292" s="29"/>
      <c r="FR292" s="29"/>
      <c r="FS292" s="29"/>
      <c r="FT292" s="29"/>
      <c r="FU292" s="29"/>
      <c r="FV292" s="29"/>
      <c r="FW292" s="29"/>
      <c r="FX292" s="29"/>
      <c r="FY292" s="29"/>
      <c r="FZ292" s="29"/>
      <c r="GA292" s="29"/>
      <c r="GB292" s="29"/>
      <c r="GC292" s="29"/>
      <c r="GD292" s="29"/>
      <c r="GE292" s="29"/>
      <c r="GF292" s="29"/>
      <c r="GG292" s="29"/>
      <c r="GH292" s="29"/>
      <c r="GI292" s="29"/>
      <c r="GJ292" s="29"/>
      <c r="GK292" s="29"/>
      <c r="GL292" s="29"/>
      <c r="GM292" s="29"/>
      <c r="GN292" s="29"/>
      <c r="GO292" s="29"/>
      <c r="GP292" s="29"/>
      <c r="GQ292" s="29"/>
      <c r="GR292" s="29"/>
      <c r="GS292" s="29"/>
      <c r="GT292" s="29"/>
      <c r="GU292" s="29"/>
      <c r="GV292" s="29"/>
      <c r="GW292" s="29"/>
      <c r="GX292" s="29"/>
      <c r="GY292" s="29"/>
      <c r="GZ292" s="29"/>
      <c r="HA292" s="29"/>
      <c r="HB292" s="29"/>
      <c r="HC292" s="29"/>
      <c r="HD292" s="29"/>
      <c r="HE292" s="29"/>
      <c r="HF292" s="29"/>
      <c r="HG292" s="29"/>
      <c r="HH292" s="29"/>
      <c r="HI292" s="29"/>
      <c r="HJ292" s="29"/>
      <c r="HK292" s="29"/>
      <c r="HL292" s="29"/>
      <c r="HM292" s="29"/>
      <c r="HN292" s="29"/>
      <c r="HO292" s="29"/>
      <c r="HP292" s="29"/>
      <c r="HQ292" s="29"/>
      <c r="HR292" s="29"/>
    </row>
    <row r="293" spans="1:226" s="46" customFormat="1">
      <c r="A293" s="84"/>
      <c r="B293" s="114"/>
      <c r="C293" s="309"/>
      <c r="D293" s="50"/>
      <c r="E293" s="50"/>
      <c r="F293" s="310"/>
      <c r="G293" s="151"/>
      <c r="H293" s="50"/>
      <c r="I293" s="50"/>
      <c r="J293" s="50"/>
      <c r="K293" s="309"/>
      <c r="L293" s="50"/>
      <c r="M293" s="50"/>
      <c r="N293" s="310"/>
      <c r="O293" s="50"/>
      <c r="P293" s="50"/>
      <c r="Q293" s="50"/>
      <c r="R293" s="50"/>
      <c r="S293" s="309"/>
      <c r="T293" s="50"/>
      <c r="U293" s="50"/>
      <c r="V293" s="310"/>
      <c r="W293" s="50"/>
      <c r="X293" s="50"/>
      <c r="Y293" s="50"/>
      <c r="Z293" s="50"/>
      <c r="AA293" s="309"/>
      <c r="AB293" s="50"/>
      <c r="AC293" s="50"/>
      <c r="AD293" s="310"/>
      <c r="AE293" s="50"/>
      <c r="AF293" s="50"/>
      <c r="AG293" s="50"/>
      <c r="AH293" s="50"/>
      <c r="AI293" s="309"/>
      <c r="AJ293" s="50"/>
      <c r="AK293" s="50"/>
      <c r="AL293" s="310"/>
      <c r="AM293" s="309"/>
      <c r="AN293" s="50"/>
      <c r="AO293" s="50"/>
      <c r="AP293" s="310"/>
      <c r="AQ293" s="309"/>
      <c r="AR293" s="50"/>
      <c r="AS293" s="50"/>
      <c r="AT293" s="310"/>
      <c r="AU293" s="309"/>
      <c r="AV293" s="50"/>
      <c r="AW293" s="50"/>
      <c r="AX293" s="803"/>
      <c r="AY293" s="756"/>
      <c r="AZ293" s="756"/>
      <c r="BA293" s="50"/>
      <c r="BB293" s="803"/>
      <c r="BC293" s="756"/>
      <c r="BD293" s="756"/>
      <c r="BE293" s="50"/>
      <c r="BF293" s="310"/>
      <c r="BG293" s="756"/>
      <c r="BH293" s="756"/>
      <c r="BI293" s="50"/>
      <c r="BJ293" s="310"/>
      <c r="BK293" s="756"/>
      <c r="BL293" s="756"/>
      <c r="BM293" s="50"/>
      <c r="BN293" s="310"/>
      <c r="BO293" s="89"/>
      <c r="BP293" s="47"/>
      <c r="BQ293" s="47"/>
      <c r="BR293" s="47"/>
      <c r="BS293" s="47"/>
      <c r="BT293" s="47"/>
      <c r="BU293" s="50"/>
      <c r="BV293" s="50"/>
      <c r="BW293" s="50"/>
      <c r="BX293" s="48"/>
      <c r="BY293" s="48"/>
      <c r="BZ293" s="29"/>
      <c r="CA293" s="29"/>
      <c r="CB293" s="29"/>
      <c r="CC293" s="29"/>
      <c r="CD293" s="29"/>
      <c r="CE293" s="29"/>
      <c r="CF293" s="29"/>
      <c r="CG293" s="29"/>
      <c r="CH293" s="29"/>
      <c r="CI293" s="29"/>
      <c r="CJ293" s="2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29"/>
      <c r="DD293" s="2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29"/>
      <c r="DX293" s="2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29"/>
      <c r="ER293" s="29"/>
      <c r="ES293" s="29"/>
      <c r="ET293" s="29"/>
      <c r="EU293" s="29"/>
      <c r="EV293" s="29"/>
      <c r="EW293" s="29"/>
      <c r="EX293" s="29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29"/>
      <c r="FJ293" s="29"/>
      <c r="FK293" s="29"/>
      <c r="FL293" s="29"/>
      <c r="FM293" s="29"/>
      <c r="FN293" s="29"/>
      <c r="FO293" s="29"/>
      <c r="FP293" s="29"/>
      <c r="FQ293" s="29"/>
      <c r="FR293" s="29"/>
      <c r="FS293" s="29"/>
      <c r="FT293" s="29"/>
      <c r="FU293" s="29"/>
      <c r="FV293" s="29"/>
      <c r="FW293" s="29"/>
      <c r="FX293" s="29"/>
      <c r="FY293" s="29"/>
      <c r="FZ293" s="29"/>
      <c r="GA293" s="29"/>
      <c r="GB293" s="29"/>
      <c r="GC293" s="29"/>
      <c r="GD293" s="29"/>
      <c r="GE293" s="29"/>
      <c r="GF293" s="29"/>
      <c r="GG293" s="29"/>
      <c r="GH293" s="29"/>
      <c r="GI293" s="29"/>
      <c r="GJ293" s="29"/>
      <c r="GK293" s="29"/>
      <c r="GL293" s="29"/>
      <c r="GM293" s="29"/>
      <c r="GN293" s="29"/>
      <c r="GO293" s="29"/>
      <c r="GP293" s="29"/>
      <c r="GQ293" s="29"/>
      <c r="GR293" s="29"/>
      <c r="GS293" s="29"/>
      <c r="GT293" s="29"/>
      <c r="GU293" s="29"/>
      <c r="GV293" s="29"/>
      <c r="GW293" s="29"/>
      <c r="GX293" s="29"/>
      <c r="GY293" s="29"/>
      <c r="GZ293" s="29"/>
      <c r="HA293" s="29"/>
      <c r="HB293" s="29"/>
      <c r="HC293" s="29"/>
      <c r="HD293" s="29"/>
      <c r="HE293" s="29"/>
      <c r="HF293" s="29"/>
      <c r="HG293" s="29"/>
      <c r="HH293" s="29"/>
      <c r="HI293" s="29"/>
      <c r="HJ293" s="29"/>
      <c r="HK293" s="29"/>
      <c r="HL293" s="29"/>
      <c r="HM293" s="29"/>
      <c r="HN293" s="29"/>
      <c r="HO293" s="29"/>
      <c r="HP293" s="29"/>
      <c r="HQ293" s="29"/>
      <c r="HR293" s="29"/>
    </row>
    <row r="294" spans="1:226" s="46" customFormat="1">
      <c r="A294" s="84"/>
      <c r="B294" s="114"/>
      <c r="C294" s="309"/>
      <c r="D294" s="50"/>
      <c r="E294" s="50"/>
      <c r="F294" s="310"/>
      <c r="G294" s="151"/>
      <c r="H294" s="50"/>
      <c r="I294" s="50"/>
      <c r="J294" s="50"/>
      <c r="K294" s="309"/>
      <c r="L294" s="50"/>
      <c r="M294" s="50"/>
      <c r="N294" s="310"/>
      <c r="O294" s="50"/>
      <c r="P294" s="50"/>
      <c r="Q294" s="50"/>
      <c r="R294" s="50"/>
      <c r="S294" s="309"/>
      <c r="T294" s="50"/>
      <c r="U294" s="50"/>
      <c r="V294" s="310"/>
      <c r="W294" s="50"/>
      <c r="X294" s="50"/>
      <c r="Y294" s="50"/>
      <c r="Z294" s="50"/>
      <c r="AA294" s="309"/>
      <c r="AB294" s="50"/>
      <c r="AC294" s="50"/>
      <c r="AD294" s="310"/>
      <c r="AE294" s="50"/>
      <c r="AF294" s="50"/>
      <c r="AG294" s="50"/>
      <c r="AH294" s="50"/>
      <c r="AI294" s="309"/>
      <c r="AJ294" s="50"/>
      <c r="AK294" s="50"/>
      <c r="AL294" s="310"/>
      <c r="AM294" s="309"/>
      <c r="AN294" s="50"/>
      <c r="AO294" s="50"/>
      <c r="AP294" s="310"/>
      <c r="AQ294" s="309"/>
      <c r="AR294" s="50"/>
      <c r="AS294" s="50"/>
      <c r="AT294" s="310"/>
      <c r="AU294" s="309"/>
      <c r="AV294" s="50"/>
      <c r="AW294" s="50"/>
      <c r="AX294" s="803"/>
      <c r="AY294" s="756"/>
      <c r="AZ294" s="756"/>
      <c r="BA294" s="50"/>
      <c r="BB294" s="803"/>
      <c r="BC294" s="756"/>
      <c r="BD294" s="756"/>
      <c r="BE294" s="50"/>
      <c r="BF294" s="310"/>
      <c r="BG294" s="756"/>
      <c r="BH294" s="756"/>
      <c r="BI294" s="50"/>
      <c r="BJ294" s="310"/>
      <c r="BK294" s="756"/>
      <c r="BL294" s="756"/>
      <c r="BM294" s="50"/>
      <c r="BN294" s="310"/>
      <c r="BO294" s="89"/>
      <c r="BP294" s="47"/>
      <c r="BQ294" s="47"/>
      <c r="BR294" s="47"/>
      <c r="BS294" s="47"/>
      <c r="BT294" s="47"/>
      <c r="BU294" s="50"/>
      <c r="BV294" s="50"/>
      <c r="BW294" s="50"/>
      <c r="BX294" s="581"/>
      <c r="BY294" s="29"/>
      <c r="BZ294" s="29"/>
      <c r="CA294" s="47"/>
      <c r="CB294" s="47"/>
      <c r="CC294" s="47"/>
      <c r="CD294" s="47"/>
      <c r="CE294" s="47"/>
      <c r="CF294" s="29"/>
      <c r="CG294" s="29"/>
      <c r="CH294" s="29"/>
      <c r="CI294" s="29"/>
      <c r="CJ294" s="2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29"/>
      <c r="DD294" s="2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29"/>
      <c r="DX294" s="2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29"/>
      <c r="ER294" s="29"/>
      <c r="ES294" s="29"/>
      <c r="ET294" s="29"/>
      <c r="EU294" s="29"/>
      <c r="EV294" s="29"/>
      <c r="EW294" s="29"/>
      <c r="EX294" s="29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29"/>
      <c r="FJ294" s="29"/>
      <c r="FK294" s="29"/>
      <c r="FL294" s="29"/>
      <c r="FM294" s="29"/>
      <c r="FN294" s="29"/>
      <c r="FO294" s="29"/>
      <c r="FP294" s="29"/>
      <c r="FQ294" s="29"/>
      <c r="FR294" s="29"/>
      <c r="FS294" s="29"/>
      <c r="FT294" s="29"/>
      <c r="FU294" s="29"/>
      <c r="FV294" s="29"/>
      <c r="FW294" s="29"/>
      <c r="FX294" s="29"/>
      <c r="FY294" s="29"/>
      <c r="FZ294" s="29"/>
      <c r="GA294" s="29"/>
      <c r="GB294" s="29"/>
      <c r="GC294" s="29"/>
      <c r="GD294" s="29"/>
      <c r="GE294" s="29"/>
      <c r="GF294" s="29"/>
      <c r="GG294" s="29"/>
      <c r="GH294" s="29"/>
      <c r="GI294" s="29"/>
      <c r="GJ294" s="29"/>
      <c r="GK294" s="29"/>
      <c r="GL294" s="29"/>
      <c r="GM294" s="29"/>
      <c r="GN294" s="29"/>
      <c r="GO294" s="29"/>
      <c r="GP294" s="29"/>
      <c r="GQ294" s="29"/>
      <c r="GR294" s="29"/>
      <c r="GS294" s="29"/>
      <c r="GT294" s="29"/>
      <c r="GU294" s="29"/>
      <c r="GV294" s="29"/>
      <c r="GW294" s="29"/>
      <c r="GX294" s="29"/>
      <c r="GY294" s="29"/>
      <c r="GZ294" s="29"/>
      <c r="HA294" s="29"/>
      <c r="HB294" s="29"/>
      <c r="HC294" s="29"/>
      <c r="HD294" s="29"/>
      <c r="HE294" s="29"/>
      <c r="HF294" s="29"/>
      <c r="HG294" s="29"/>
      <c r="HH294" s="29"/>
      <c r="HI294" s="29"/>
      <c r="HJ294" s="29"/>
      <c r="HK294" s="29"/>
      <c r="HL294" s="29"/>
      <c r="HM294" s="29"/>
      <c r="HN294" s="29"/>
      <c r="HO294" s="29"/>
      <c r="HP294" s="29"/>
      <c r="HQ294" s="29"/>
      <c r="HR294" s="29"/>
    </row>
    <row r="295" spans="1:226" s="46" customFormat="1">
      <c r="A295" s="84"/>
      <c r="B295" s="114"/>
      <c r="C295" s="309"/>
      <c r="D295" s="50"/>
      <c r="E295" s="50"/>
      <c r="F295" s="310"/>
      <c r="G295" s="151"/>
      <c r="H295" s="50"/>
      <c r="I295" s="50"/>
      <c r="J295" s="50"/>
      <c r="K295" s="309"/>
      <c r="L295" s="50"/>
      <c r="M295" s="50"/>
      <c r="N295" s="310"/>
      <c r="O295" s="50"/>
      <c r="P295" s="50"/>
      <c r="Q295" s="50"/>
      <c r="R295" s="50"/>
      <c r="S295" s="309"/>
      <c r="T295" s="50"/>
      <c r="U295" s="50"/>
      <c r="V295" s="310"/>
      <c r="W295" s="50"/>
      <c r="X295" s="50"/>
      <c r="Y295" s="50"/>
      <c r="Z295" s="50"/>
      <c r="AA295" s="309"/>
      <c r="AB295" s="50"/>
      <c r="AC295" s="50"/>
      <c r="AD295" s="310"/>
      <c r="AE295" s="50"/>
      <c r="AF295" s="50"/>
      <c r="AG295" s="50"/>
      <c r="AH295" s="50"/>
      <c r="AI295" s="309"/>
      <c r="AJ295" s="50"/>
      <c r="AK295" s="50"/>
      <c r="AL295" s="310"/>
      <c r="AM295" s="309"/>
      <c r="AN295" s="50"/>
      <c r="AO295" s="50"/>
      <c r="AP295" s="310"/>
      <c r="AQ295" s="309"/>
      <c r="AR295" s="50"/>
      <c r="AS295" s="50"/>
      <c r="AT295" s="310"/>
      <c r="AU295" s="309"/>
      <c r="AV295" s="50"/>
      <c r="AW295" s="50"/>
      <c r="AX295" s="803"/>
      <c r="AY295" s="756"/>
      <c r="AZ295" s="756"/>
      <c r="BA295" s="50"/>
      <c r="BB295" s="803"/>
      <c r="BC295" s="756"/>
      <c r="BD295" s="756"/>
      <c r="BE295" s="50"/>
      <c r="BF295" s="310"/>
      <c r="BG295" s="756"/>
      <c r="BH295" s="756"/>
      <c r="BI295" s="50"/>
      <c r="BJ295" s="310"/>
      <c r="BK295" s="756"/>
      <c r="BL295" s="756"/>
      <c r="BM295" s="50"/>
      <c r="BN295" s="310"/>
      <c r="BO295" s="89"/>
      <c r="BP295" s="47"/>
      <c r="BQ295" s="47"/>
      <c r="BR295" s="47"/>
      <c r="BS295" s="47"/>
      <c r="BT295" s="47"/>
      <c r="BU295" s="50"/>
      <c r="BV295" s="50"/>
      <c r="BW295" s="50"/>
      <c r="BX295" s="50"/>
      <c r="BY295" s="47"/>
      <c r="BZ295" s="47"/>
      <c r="CA295" s="47"/>
      <c r="CB295" s="47"/>
      <c r="CC295" s="47"/>
      <c r="CD295" s="47"/>
      <c r="CE295" s="47"/>
      <c r="CF295" s="29"/>
      <c r="CG295" s="29"/>
      <c r="CH295" s="29"/>
      <c r="CI295" s="29"/>
      <c r="CJ295" s="29"/>
      <c r="CK295" s="29"/>
      <c r="CL295" s="29"/>
      <c r="CM295" s="29"/>
      <c r="CN295" s="29"/>
      <c r="CO295" s="29"/>
      <c r="CP295" s="29"/>
      <c r="CQ295" s="29"/>
      <c r="CR295" s="29"/>
      <c r="CS295" s="29"/>
      <c r="CT295" s="29"/>
      <c r="CU295" s="29"/>
      <c r="CV295" s="29"/>
      <c r="CW295" s="29"/>
      <c r="CX295" s="29"/>
      <c r="CY295" s="29"/>
      <c r="CZ295" s="29"/>
      <c r="DA295" s="29"/>
      <c r="DB295" s="29"/>
      <c r="DC295" s="29"/>
      <c r="DD295" s="29"/>
      <c r="DE295" s="29"/>
      <c r="DF295" s="29"/>
      <c r="DG295" s="29"/>
      <c r="DH295" s="29"/>
      <c r="DI295" s="29"/>
      <c r="DJ295" s="29"/>
      <c r="DK295" s="29"/>
      <c r="DL295" s="29"/>
      <c r="DM295" s="29"/>
      <c r="DN295" s="29"/>
      <c r="DO295" s="29"/>
      <c r="DP295" s="29"/>
      <c r="DQ295" s="29"/>
      <c r="DR295" s="29"/>
      <c r="DS295" s="29"/>
      <c r="DT295" s="29"/>
      <c r="DU295" s="29"/>
      <c r="DV295" s="29"/>
      <c r="DW295" s="29"/>
      <c r="DX295" s="29"/>
      <c r="DY295" s="29"/>
      <c r="DZ295" s="29"/>
      <c r="EA295" s="29"/>
      <c r="EB295" s="29"/>
      <c r="EC295" s="29"/>
      <c r="ED295" s="29"/>
      <c r="EE295" s="29"/>
      <c r="EF295" s="29"/>
      <c r="EG295" s="29"/>
      <c r="EH295" s="29"/>
      <c r="EI295" s="29"/>
      <c r="EJ295" s="29"/>
      <c r="EK295" s="29"/>
      <c r="EL295" s="29"/>
      <c r="EM295" s="29"/>
      <c r="EN295" s="29"/>
      <c r="EO295" s="29"/>
      <c r="EP295" s="29"/>
      <c r="EQ295" s="29"/>
      <c r="ER295" s="29"/>
      <c r="ES295" s="29"/>
      <c r="ET295" s="29"/>
      <c r="EU295" s="29"/>
      <c r="EV295" s="29"/>
      <c r="EW295" s="29"/>
      <c r="EX295" s="29"/>
      <c r="EY295" s="29"/>
      <c r="EZ295" s="29"/>
      <c r="FA295" s="29"/>
      <c r="FB295" s="29"/>
      <c r="FC295" s="29"/>
      <c r="FD295" s="29"/>
      <c r="FE295" s="29"/>
      <c r="FF295" s="29"/>
      <c r="FG295" s="29"/>
      <c r="FH295" s="29"/>
      <c r="FI295" s="29"/>
      <c r="FJ295" s="29"/>
      <c r="FK295" s="29"/>
      <c r="FL295" s="29"/>
      <c r="FM295" s="29"/>
      <c r="FN295" s="29"/>
      <c r="FO295" s="29"/>
      <c r="FP295" s="29"/>
      <c r="FQ295" s="29"/>
      <c r="FR295" s="29"/>
      <c r="FS295" s="29"/>
      <c r="FT295" s="29"/>
      <c r="FU295" s="29"/>
      <c r="FV295" s="29"/>
      <c r="FW295" s="29"/>
      <c r="FX295" s="29"/>
      <c r="FY295" s="29"/>
      <c r="FZ295" s="29"/>
      <c r="GA295" s="29"/>
      <c r="GB295" s="29"/>
      <c r="GC295" s="29"/>
      <c r="GD295" s="29"/>
      <c r="GE295" s="29"/>
      <c r="GF295" s="29"/>
      <c r="GG295" s="29"/>
      <c r="GH295" s="29"/>
      <c r="GI295" s="29"/>
      <c r="GJ295" s="29"/>
      <c r="GK295" s="29"/>
      <c r="GL295" s="29"/>
      <c r="GM295" s="29"/>
      <c r="GN295" s="29"/>
      <c r="GO295" s="29"/>
      <c r="GP295" s="29"/>
      <c r="GQ295" s="29"/>
      <c r="GR295" s="29"/>
      <c r="GS295" s="29"/>
      <c r="GT295" s="29"/>
      <c r="GU295" s="29"/>
      <c r="GV295" s="29"/>
      <c r="GW295" s="29"/>
      <c r="GX295" s="29"/>
      <c r="GY295" s="29"/>
      <c r="GZ295" s="29"/>
      <c r="HA295" s="29"/>
      <c r="HB295" s="29"/>
      <c r="HC295" s="29"/>
      <c r="HD295" s="29"/>
      <c r="HE295" s="29"/>
      <c r="HF295" s="29"/>
      <c r="HG295" s="29"/>
      <c r="HH295" s="29"/>
      <c r="HI295" s="29"/>
      <c r="HJ295" s="29"/>
      <c r="HK295" s="29"/>
      <c r="HL295" s="29"/>
      <c r="HM295" s="29"/>
      <c r="HN295" s="29"/>
      <c r="HO295" s="29"/>
      <c r="HP295" s="29"/>
      <c r="HQ295" s="29"/>
      <c r="HR295" s="29"/>
    </row>
    <row r="296" spans="1:226" s="46" customFormat="1">
      <c r="A296" s="84"/>
      <c r="B296" s="114"/>
      <c r="C296" s="309"/>
      <c r="D296" s="50"/>
      <c r="E296" s="50"/>
      <c r="F296" s="310"/>
      <c r="G296" s="151"/>
      <c r="H296" s="50"/>
      <c r="I296" s="50"/>
      <c r="J296" s="50"/>
      <c r="K296" s="309"/>
      <c r="L296" s="50"/>
      <c r="M296" s="50"/>
      <c r="N296" s="310"/>
      <c r="O296" s="50"/>
      <c r="P296" s="50"/>
      <c r="Q296" s="50"/>
      <c r="R296" s="50"/>
      <c r="S296" s="309"/>
      <c r="T296" s="50"/>
      <c r="U296" s="50"/>
      <c r="V296" s="310"/>
      <c r="W296" s="50"/>
      <c r="X296" s="50"/>
      <c r="Y296" s="50"/>
      <c r="Z296" s="50"/>
      <c r="AA296" s="309"/>
      <c r="AB296" s="50"/>
      <c r="AC296" s="50"/>
      <c r="AD296" s="310"/>
      <c r="AE296" s="50"/>
      <c r="AF296" s="50"/>
      <c r="AG296" s="50"/>
      <c r="AH296" s="50"/>
      <c r="AI296" s="309"/>
      <c r="AJ296" s="50"/>
      <c r="AK296" s="50"/>
      <c r="AL296" s="310"/>
      <c r="AM296" s="309"/>
      <c r="AN296" s="50"/>
      <c r="AO296" s="50"/>
      <c r="AP296" s="310"/>
      <c r="AQ296" s="50"/>
      <c r="AR296" s="50"/>
      <c r="AS296" s="50"/>
      <c r="AT296" s="310"/>
      <c r="AU296" s="50"/>
      <c r="AV296" s="50"/>
      <c r="AW296" s="50"/>
      <c r="AX296" s="803"/>
      <c r="AY296" s="756"/>
      <c r="AZ296" s="756"/>
      <c r="BA296" s="50"/>
      <c r="BB296" s="803"/>
      <c r="BC296" s="756"/>
      <c r="BD296" s="756"/>
      <c r="BE296" s="50"/>
      <c r="BF296" s="310"/>
      <c r="BG296" s="756"/>
      <c r="BH296" s="756"/>
      <c r="BI296" s="50"/>
      <c r="BJ296" s="310"/>
      <c r="BK296" s="756"/>
      <c r="BL296" s="756"/>
      <c r="BM296" s="50"/>
      <c r="BN296" s="310"/>
      <c r="BO296" s="89"/>
      <c r="BP296" s="47"/>
      <c r="BQ296" s="47"/>
      <c r="BR296" s="47"/>
      <c r="BS296" s="47"/>
      <c r="BT296" s="47"/>
      <c r="BU296" s="50"/>
      <c r="BV296" s="50"/>
      <c r="BW296" s="50"/>
      <c r="BX296" s="50"/>
      <c r="BY296" s="47"/>
      <c r="BZ296" s="47"/>
      <c r="CA296" s="47"/>
      <c r="CB296" s="47"/>
      <c r="CC296" s="47"/>
      <c r="CD296" s="47"/>
      <c r="CE296" s="47"/>
      <c r="CF296" s="29"/>
      <c r="CG296" s="29"/>
      <c r="CH296" s="29"/>
      <c r="CI296" s="29"/>
      <c r="CJ296" s="2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29"/>
      <c r="DD296" s="2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29"/>
      <c r="DX296" s="2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29"/>
      <c r="ER296" s="29"/>
      <c r="ES296" s="29"/>
      <c r="ET296" s="29"/>
      <c r="EU296" s="29"/>
      <c r="EV296" s="29"/>
      <c r="EW296" s="29"/>
      <c r="EX296" s="29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29"/>
      <c r="FJ296" s="29"/>
      <c r="FK296" s="29"/>
      <c r="FL296" s="29"/>
      <c r="FM296" s="29"/>
      <c r="FN296" s="29"/>
      <c r="FO296" s="29"/>
      <c r="FP296" s="29"/>
      <c r="FQ296" s="29"/>
      <c r="FR296" s="29"/>
      <c r="FS296" s="29"/>
      <c r="FT296" s="29"/>
      <c r="FU296" s="29"/>
      <c r="FV296" s="29"/>
      <c r="FW296" s="29"/>
      <c r="FX296" s="29"/>
      <c r="FY296" s="29"/>
      <c r="FZ296" s="29"/>
      <c r="GA296" s="29"/>
      <c r="GB296" s="29"/>
      <c r="GC296" s="29"/>
      <c r="GD296" s="29"/>
      <c r="GE296" s="29"/>
      <c r="GF296" s="29"/>
      <c r="GG296" s="29"/>
      <c r="GH296" s="29"/>
      <c r="GI296" s="29"/>
      <c r="GJ296" s="29"/>
      <c r="GK296" s="29"/>
      <c r="GL296" s="29"/>
      <c r="GM296" s="29"/>
      <c r="GN296" s="29"/>
      <c r="GO296" s="29"/>
      <c r="GP296" s="29"/>
      <c r="GQ296" s="29"/>
      <c r="GR296" s="29"/>
      <c r="GS296" s="29"/>
      <c r="GT296" s="29"/>
      <c r="GU296" s="29"/>
      <c r="GV296" s="29"/>
      <c r="GW296" s="29"/>
      <c r="GX296" s="29"/>
      <c r="GY296" s="29"/>
      <c r="GZ296" s="29"/>
      <c r="HA296" s="29"/>
      <c r="HB296" s="29"/>
      <c r="HC296" s="29"/>
      <c r="HD296" s="29"/>
      <c r="HE296" s="29"/>
      <c r="HF296" s="29"/>
      <c r="HG296" s="29"/>
      <c r="HH296" s="29"/>
      <c r="HI296" s="29"/>
      <c r="HJ296" s="29"/>
      <c r="HK296" s="29"/>
      <c r="HL296" s="29"/>
      <c r="HM296" s="29"/>
      <c r="HN296" s="29"/>
      <c r="HO296" s="29"/>
      <c r="HP296" s="29"/>
      <c r="HQ296" s="29"/>
      <c r="HR296" s="29"/>
    </row>
    <row r="297" spans="1:226" s="46" customFormat="1">
      <c r="A297" s="84"/>
      <c r="B297" s="9"/>
      <c r="C297" s="309"/>
      <c r="D297" s="50"/>
      <c r="E297" s="50"/>
      <c r="F297" s="310"/>
      <c r="G297" s="50"/>
      <c r="H297" s="50"/>
      <c r="I297" s="50"/>
      <c r="J297" s="50"/>
      <c r="K297" s="309"/>
      <c r="L297" s="50"/>
      <c r="M297" s="50"/>
      <c r="N297" s="310"/>
      <c r="O297" s="50"/>
      <c r="P297" s="50"/>
      <c r="Q297" s="50"/>
      <c r="R297" s="50"/>
      <c r="S297" s="309"/>
      <c r="T297" s="50"/>
      <c r="U297" s="50"/>
      <c r="V297" s="310"/>
      <c r="W297" s="50"/>
      <c r="X297" s="50"/>
      <c r="Y297" s="50"/>
      <c r="Z297" s="50"/>
      <c r="AA297" s="309"/>
      <c r="AB297" s="50"/>
      <c r="AC297" s="50"/>
      <c r="AD297" s="310"/>
      <c r="AE297" s="50"/>
      <c r="AF297" s="50"/>
      <c r="AG297" s="50"/>
      <c r="AH297" s="50"/>
      <c r="AI297" s="309"/>
      <c r="AJ297" s="50"/>
      <c r="AK297" s="50"/>
      <c r="AL297" s="310"/>
      <c r="AM297" s="309"/>
      <c r="AN297" s="50"/>
      <c r="AO297" s="50"/>
      <c r="AP297" s="564"/>
      <c r="AQ297" s="50"/>
      <c r="AR297" s="50"/>
      <c r="AS297" s="50"/>
      <c r="AT297" s="564"/>
      <c r="AU297" s="50"/>
      <c r="AV297" s="50"/>
      <c r="AW297" s="50"/>
      <c r="AX297" s="803"/>
      <c r="AY297" s="756"/>
      <c r="AZ297" s="756"/>
      <c r="BA297" s="50"/>
      <c r="BB297" s="803"/>
      <c r="BC297" s="756"/>
      <c r="BD297" s="756"/>
      <c r="BE297" s="50"/>
      <c r="BF297" s="310"/>
      <c r="BG297" s="756"/>
      <c r="BH297" s="756"/>
      <c r="BI297" s="50"/>
      <c r="BJ297" s="310"/>
      <c r="BK297" s="756"/>
      <c r="BL297" s="756"/>
      <c r="BM297" s="50"/>
      <c r="BN297" s="310"/>
      <c r="BO297" s="89"/>
      <c r="BP297" s="47"/>
      <c r="BQ297" s="47"/>
      <c r="BR297" s="47"/>
      <c r="BS297" s="47"/>
      <c r="BT297" s="47"/>
      <c r="BU297" s="50"/>
      <c r="BV297" s="50"/>
      <c r="BW297" s="50"/>
      <c r="BX297" s="50"/>
      <c r="BY297" s="50"/>
      <c r="BZ297" s="47"/>
      <c r="CA297" s="47"/>
      <c r="CB297" s="47"/>
      <c r="CC297" s="47"/>
      <c r="CD297" s="47"/>
      <c r="CE297" s="47"/>
      <c r="CF297" s="29"/>
      <c r="CG297" s="29"/>
      <c r="CH297" s="29"/>
      <c r="CI297" s="29"/>
      <c r="CJ297" s="2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29"/>
      <c r="DD297" s="2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29"/>
      <c r="DX297" s="2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29"/>
      <c r="ER297" s="29"/>
      <c r="ES297" s="29"/>
      <c r="ET297" s="29"/>
      <c r="EU297" s="29"/>
      <c r="EV297" s="29"/>
      <c r="EW297" s="29"/>
      <c r="EX297" s="29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29"/>
      <c r="FJ297" s="29"/>
      <c r="FK297" s="29"/>
      <c r="FL297" s="29"/>
      <c r="FM297" s="29"/>
      <c r="FN297" s="29"/>
      <c r="FO297" s="29"/>
      <c r="FP297" s="29"/>
      <c r="FQ297" s="29"/>
      <c r="FR297" s="29"/>
      <c r="FS297" s="29"/>
      <c r="FT297" s="29"/>
      <c r="FU297" s="29"/>
      <c r="FV297" s="29"/>
      <c r="FW297" s="29"/>
      <c r="FX297" s="29"/>
      <c r="FY297" s="29"/>
      <c r="FZ297" s="29"/>
      <c r="GA297" s="29"/>
      <c r="GB297" s="29"/>
      <c r="GC297" s="29"/>
      <c r="GD297" s="29"/>
      <c r="GE297" s="29"/>
      <c r="GF297" s="29"/>
      <c r="GG297" s="29"/>
      <c r="GH297" s="29"/>
      <c r="GI297" s="29"/>
      <c r="GJ297" s="29"/>
      <c r="GK297" s="29"/>
      <c r="GL297" s="29"/>
      <c r="GM297" s="29"/>
      <c r="GN297" s="29"/>
      <c r="GO297" s="29"/>
      <c r="GP297" s="29"/>
      <c r="GQ297" s="29"/>
      <c r="GR297" s="29"/>
      <c r="GS297" s="29"/>
      <c r="GT297" s="29"/>
      <c r="GU297" s="29"/>
      <c r="GV297" s="29"/>
      <c r="GW297" s="29"/>
      <c r="GX297" s="29"/>
      <c r="GY297" s="29"/>
      <c r="GZ297" s="29"/>
      <c r="HA297" s="29"/>
      <c r="HB297" s="29"/>
      <c r="HC297" s="29"/>
      <c r="HD297" s="29"/>
      <c r="HE297" s="29"/>
      <c r="HF297" s="29"/>
      <c r="HG297" s="29"/>
      <c r="HH297" s="29"/>
      <c r="HI297" s="29"/>
      <c r="HJ297" s="29"/>
      <c r="HK297" s="29"/>
      <c r="HL297" s="29"/>
      <c r="HM297" s="29"/>
      <c r="HN297" s="29"/>
      <c r="HO297" s="29"/>
      <c r="HP297" s="29"/>
      <c r="HQ297" s="29"/>
      <c r="HR297" s="29"/>
    </row>
    <row r="298" spans="1:226" s="46" customFormat="1" hidden="1" outlineLevel="1">
      <c r="A298" s="84"/>
      <c r="B298" s="9"/>
      <c r="C298" s="268"/>
      <c r="D298" s="9"/>
      <c r="E298" s="9"/>
      <c r="F298" s="269"/>
      <c r="G298" s="9"/>
      <c r="H298" s="9"/>
      <c r="I298" s="9"/>
      <c r="J298" s="9"/>
      <c r="K298" s="268"/>
      <c r="L298" s="9"/>
      <c r="M298" s="9"/>
      <c r="N298" s="269"/>
      <c r="O298" s="9"/>
      <c r="P298" s="9"/>
      <c r="Q298" s="9"/>
      <c r="R298" s="9"/>
      <c r="S298" s="268"/>
      <c r="T298" s="9"/>
      <c r="U298" s="9"/>
      <c r="V298" s="269"/>
      <c r="W298" s="9"/>
      <c r="X298" s="9"/>
      <c r="Y298" s="9"/>
      <c r="Z298" s="9"/>
      <c r="AA298" s="268"/>
      <c r="AB298" s="9"/>
      <c r="AC298" s="9"/>
      <c r="AD298" s="269"/>
      <c r="AE298" s="47"/>
      <c r="AF298" s="47"/>
      <c r="AG298" s="47"/>
      <c r="AH298" s="47"/>
      <c r="AI298" s="207"/>
      <c r="AJ298" s="47"/>
      <c r="AK298" s="47"/>
      <c r="AL298" s="208"/>
      <c r="AM298" s="207"/>
      <c r="AN298" s="47"/>
      <c r="AO298" s="47"/>
      <c r="AP298" s="208"/>
      <c r="AQ298" s="47"/>
      <c r="AR298" s="47"/>
      <c r="AS298" s="47"/>
      <c r="AT298" s="208"/>
      <c r="AU298" s="47"/>
      <c r="AV298" s="47"/>
      <c r="AW298" s="47"/>
      <c r="AX298" s="782"/>
      <c r="AY298" s="883"/>
      <c r="AZ298" s="883"/>
      <c r="BA298" s="47"/>
      <c r="BB298" s="782"/>
      <c r="BC298" s="883"/>
      <c r="BD298" s="883"/>
      <c r="BE298" s="47"/>
      <c r="BF298" s="208"/>
      <c r="BG298" s="883"/>
      <c r="BH298" s="883"/>
      <c r="BI298" s="47"/>
      <c r="BJ298" s="208"/>
      <c r="BK298" s="883"/>
      <c r="BL298" s="883"/>
      <c r="BM298" s="47"/>
      <c r="BN298" s="208"/>
      <c r="BO298" s="89"/>
      <c r="BP298" s="47"/>
      <c r="BQ298" s="47"/>
      <c r="BR298" s="47"/>
      <c r="BS298" s="47"/>
      <c r="BT298" s="47"/>
      <c r="BU298" s="47"/>
      <c r="BV298" s="50"/>
      <c r="BW298" s="50"/>
      <c r="BX298" s="50"/>
      <c r="BY298" s="47"/>
      <c r="BZ298" s="47"/>
      <c r="CA298" s="47"/>
      <c r="CB298" s="47"/>
      <c r="CC298" s="47"/>
      <c r="CD298" s="47"/>
      <c r="CE298" s="47"/>
      <c r="CF298" s="29"/>
      <c r="CG298" s="29"/>
      <c r="CH298" s="29"/>
      <c r="CI298" s="29"/>
      <c r="CJ298" s="29"/>
      <c r="CK298" s="29"/>
      <c r="CL298" s="29"/>
      <c r="CM298" s="29"/>
      <c r="CN298" s="29"/>
      <c r="CO298" s="29"/>
      <c r="CP298" s="29"/>
      <c r="CQ298" s="29"/>
      <c r="CR298" s="29"/>
      <c r="CS298" s="29"/>
      <c r="CT298" s="29"/>
      <c r="CU298" s="29"/>
      <c r="CV298" s="29"/>
      <c r="CW298" s="29"/>
      <c r="CX298" s="29"/>
      <c r="CY298" s="29"/>
      <c r="CZ298" s="29"/>
      <c r="DA298" s="29"/>
      <c r="DB298" s="29"/>
      <c r="DC298" s="29"/>
      <c r="DD298" s="29"/>
      <c r="DE298" s="29"/>
      <c r="DF298" s="29"/>
      <c r="DG298" s="29"/>
      <c r="DH298" s="29"/>
      <c r="DI298" s="29"/>
      <c r="DJ298" s="29"/>
      <c r="DK298" s="29"/>
      <c r="DL298" s="29"/>
      <c r="DM298" s="29"/>
      <c r="DN298" s="29"/>
      <c r="DO298" s="29"/>
      <c r="DP298" s="29"/>
      <c r="DQ298" s="29"/>
      <c r="DR298" s="29"/>
      <c r="DS298" s="29"/>
      <c r="DT298" s="29"/>
      <c r="DU298" s="29"/>
      <c r="DV298" s="29"/>
      <c r="DW298" s="29"/>
      <c r="DX298" s="29"/>
      <c r="DY298" s="29"/>
      <c r="DZ298" s="29"/>
      <c r="EA298" s="29"/>
      <c r="EB298" s="29"/>
      <c r="EC298" s="29"/>
      <c r="ED298" s="29"/>
      <c r="EE298" s="29"/>
      <c r="EF298" s="29"/>
      <c r="EG298" s="29"/>
      <c r="EH298" s="29"/>
      <c r="EI298" s="29"/>
      <c r="EJ298" s="29"/>
      <c r="EK298" s="29"/>
      <c r="EL298" s="29"/>
      <c r="EM298" s="29"/>
      <c r="EN298" s="29"/>
      <c r="EO298" s="29"/>
      <c r="EP298" s="29"/>
      <c r="EQ298" s="29"/>
      <c r="ER298" s="29"/>
      <c r="ES298" s="29"/>
      <c r="ET298" s="29"/>
      <c r="EU298" s="29"/>
      <c r="EV298" s="29"/>
      <c r="EW298" s="29"/>
      <c r="EX298" s="29"/>
      <c r="EY298" s="29"/>
      <c r="EZ298" s="29"/>
      <c r="FA298" s="29"/>
      <c r="FB298" s="29"/>
      <c r="FC298" s="29"/>
      <c r="FD298" s="29"/>
      <c r="FE298" s="29"/>
      <c r="FF298" s="29"/>
      <c r="FG298" s="29"/>
      <c r="FH298" s="29"/>
      <c r="FI298" s="29"/>
      <c r="FJ298" s="29"/>
      <c r="FK298" s="29"/>
      <c r="FL298" s="29"/>
      <c r="FM298" s="29"/>
      <c r="FN298" s="29"/>
      <c r="FO298" s="29"/>
      <c r="FP298" s="29"/>
      <c r="FQ298" s="29"/>
      <c r="FR298" s="29"/>
      <c r="FS298" s="29"/>
      <c r="FT298" s="29"/>
      <c r="FU298" s="29"/>
      <c r="FV298" s="29"/>
      <c r="FW298" s="29"/>
      <c r="FX298" s="29"/>
      <c r="FY298" s="29"/>
      <c r="FZ298" s="29"/>
      <c r="GA298" s="29"/>
      <c r="GB298" s="29"/>
      <c r="GC298" s="29"/>
      <c r="GD298" s="29"/>
      <c r="GE298" s="29"/>
      <c r="GF298" s="29"/>
      <c r="GG298" s="29"/>
      <c r="GH298" s="29"/>
      <c r="GI298" s="29"/>
      <c r="GJ298" s="29"/>
      <c r="GK298" s="29"/>
      <c r="GL298" s="29"/>
      <c r="GM298" s="29"/>
      <c r="GN298" s="29"/>
      <c r="GO298" s="29"/>
      <c r="GP298" s="29"/>
      <c r="GQ298" s="29"/>
      <c r="GR298" s="29"/>
      <c r="GS298" s="29"/>
      <c r="GT298" s="29"/>
      <c r="GU298" s="29"/>
      <c r="GV298" s="29"/>
      <c r="GW298" s="29"/>
      <c r="GX298" s="29"/>
      <c r="GY298" s="29"/>
      <c r="GZ298" s="29"/>
      <c r="HA298" s="29"/>
      <c r="HB298" s="29"/>
      <c r="HC298" s="29"/>
      <c r="HD298" s="29"/>
      <c r="HE298" s="29"/>
      <c r="HF298" s="29"/>
      <c r="HG298" s="29"/>
      <c r="HH298" s="29"/>
      <c r="HI298" s="29"/>
      <c r="HJ298" s="29"/>
      <c r="HK298" s="29"/>
      <c r="HL298" s="29"/>
      <c r="HM298" s="29"/>
      <c r="HN298" s="29"/>
      <c r="HO298" s="29"/>
      <c r="HP298" s="29"/>
      <c r="HQ298" s="29"/>
      <c r="HR298" s="29"/>
    </row>
    <row r="299" spans="1:226" s="46" customFormat="1" hidden="1" outlineLevel="1">
      <c r="A299" s="84"/>
      <c r="B299" s="69" t="s">
        <v>174</v>
      </c>
      <c r="C299" s="268"/>
      <c r="D299" s="9"/>
      <c r="E299" s="9"/>
      <c r="F299" s="269"/>
      <c r="G299" s="9"/>
      <c r="H299" s="9"/>
      <c r="I299" s="9"/>
      <c r="J299" s="9"/>
      <c r="K299" s="268"/>
      <c r="L299" s="9"/>
      <c r="M299" s="9"/>
      <c r="N299" s="269"/>
      <c r="O299" s="9"/>
      <c r="P299" s="9"/>
      <c r="Q299" s="9"/>
      <c r="R299" s="9"/>
      <c r="S299" s="268"/>
      <c r="T299" s="9"/>
      <c r="U299" s="9"/>
      <c r="V299" s="269"/>
      <c r="W299" s="9"/>
      <c r="X299" s="9"/>
      <c r="Y299" s="9"/>
      <c r="Z299" s="9"/>
      <c r="AA299" s="268"/>
      <c r="AB299" s="9"/>
      <c r="AC299" s="9"/>
      <c r="AD299" s="269"/>
      <c r="AE299" s="47"/>
      <c r="AF299" s="47"/>
      <c r="AG299" s="47"/>
      <c r="AH299" s="47"/>
      <c r="AI299" s="207"/>
      <c r="AJ299" s="47"/>
      <c r="AK299" s="47"/>
      <c r="AL299" s="208"/>
      <c r="AM299" s="207"/>
      <c r="AN299" s="47"/>
      <c r="AO299" s="47"/>
      <c r="AP299" s="208"/>
      <c r="AQ299" s="47"/>
      <c r="AR299" s="47"/>
      <c r="AS299" s="47"/>
      <c r="AT299" s="208"/>
      <c r="AU299" s="47"/>
      <c r="AV299" s="47"/>
      <c r="AW299" s="47"/>
      <c r="AX299" s="782"/>
      <c r="AY299" s="883"/>
      <c r="AZ299" s="883"/>
      <c r="BA299" s="47"/>
      <c r="BB299" s="782"/>
      <c r="BC299" s="883"/>
      <c r="BD299" s="883"/>
      <c r="BE299" s="47"/>
      <c r="BF299" s="208"/>
      <c r="BG299" s="883"/>
      <c r="BH299" s="883"/>
      <c r="BI299" s="47"/>
      <c r="BJ299" s="208"/>
      <c r="BK299" s="883"/>
      <c r="BL299" s="883"/>
      <c r="BM299" s="47"/>
      <c r="BN299" s="208"/>
      <c r="BO299" s="89"/>
      <c r="BP299" s="47"/>
      <c r="BQ299" s="47"/>
      <c r="BR299" s="47"/>
      <c r="BS299" s="47"/>
      <c r="BT299" s="47"/>
      <c r="BU299" s="47"/>
      <c r="BV299" s="50"/>
      <c r="BW299" s="50"/>
      <c r="BX299" s="50"/>
      <c r="BY299" s="47"/>
      <c r="BZ299" s="47"/>
      <c r="CA299" s="47"/>
      <c r="CB299" s="47"/>
      <c r="CC299" s="47"/>
      <c r="CD299" s="47"/>
      <c r="CE299" s="47"/>
      <c r="CF299" s="29"/>
      <c r="CG299" s="29"/>
      <c r="CH299" s="29"/>
      <c r="CI299" s="29"/>
      <c r="CJ299" s="2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29"/>
      <c r="DD299" s="2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29"/>
      <c r="DX299" s="2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29"/>
      <c r="ER299" s="29"/>
      <c r="ES299" s="29"/>
      <c r="ET299" s="29"/>
      <c r="EU299" s="29"/>
      <c r="EV299" s="29"/>
      <c r="EW299" s="29"/>
      <c r="EX299" s="29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29"/>
      <c r="FJ299" s="29"/>
      <c r="FK299" s="29"/>
      <c r="FL299" s="29"/>
      <c r="FM299" s="29"/>
      <c r="FN299" s="29"/>
      <c r="FO299" s="29"/>
      <c r="FP299" s="29"/>
      <c r="FQ299" s="29"/>
      <c r="FR299" s="29"/>
      <c r="FS299" s="29"/>
      <c r="FT299" s="29"/>
      <c r="FU299" s="29"/>
      <c r="FV299" s="29"/>
      <c r="FW299" s="29"/>
      <c r="FX299" s="29"/>
      <c r="FY299" s="29"/>
      <c r="FZ299" s="29"/>
      <c r="GA299" s="29"/>
      <c r="GB299" s="29"/>
      <c r="GC299" s="29"/>
      <c r="GD299" s="29"/>
      <c r="GE299" s="29"/>
      <c r="GF299" s="29"/>
      <c r="GG299" s="29"/>
      <c r="GH299" s="29"/>
      <c r="GI299" s="29"/>
      <c r="GJ299" s="29"/>
      <c r="GK299" s="29"/>
      <c r="GL299" s="29"/>
      <c r="GM299" s="29"/>
      <c r="GN299" s="29"/>
      <c r="GO299" s="29"/>
      <c r="GP299" s="29"/>
      <c r="GQ299" s="29"/>
      <c r="GR299" s="29"/>
      <c r="GS299" s="29"/>
      <c r="GT299" s="29"/>
      <c r="GU299" s="29"/>
      <c r="GV299" s="29"/>
      <c r="GW299" s="29"/>
      <c r="GX299" s="29"/>
      <c r="GY299" s="29"/>
      <c r="GZ299" s="29"/>
      <c r="HA299" s="29"/>
      <c r="HB299" s="29"/>
      <c r="HC299" s="29"/>
      <c r="HD299" s="29"/>
      <c r="HE299" s="29"/>
      <c r="HF299" s="29"/>
      <c r="HG299" s="29"/>
      <c r="HH299" s="29"/>
      <c r="HI299" s="29"/>
      <c r="HJ299" s="29"/>
      <c r="HK299" s="29"/>
      <c r="HL299" s="29"/>
      <c r="HM299" s="29"/>
      <c r="HN299" s="29"/>
      <c r="HO299" s="29"/>
      <c r="HP299" s="29"/>
      <c r="HQ299" s="29"/>
      <c r="HR299" s="29"/>
    </row>
    <row r="300" spans="1:226" s="46" customFormat="1" hidden="1" outlineLevel="1">
      <c r="A300" s="84"/>
      <c r="B300" s="357" t="s">
        <v>160</v>
      </c>
      <c r="C300" s="419"/>
      <c r="D300" s="420"/>
      <c r="E300" s="420"/>
      <c r="F300" s="421"/>
      <c r="G300" s="420"/>
      <c r="H300" s="420"/>
      <c r="I300" s="420"/>
      <c r="J300" s="420"/>
      <c r="K300" s="419"/>
      <c r="L300" s="420"/>
      <c r="M300" s="420"/>
      <c r="N300" s="421"/>
      <c r="O300" s="420"/>
      <c r="P300" s="420"/>
      <c r="Q300" s="420"/>
      <c r="R300" s="420"/>
      <c r="S300" s="419"/>
      <c r="T300" s="420"/>
      <c r="U300" s="420"/>
      <c r="V300" s="421"/>
      <c r="W300" s="420"/>
      <c r="X300" s="420"/>
      <c r="Y300" s="420"/>
      <c r="Z300" s="420"/>
      <c r="AA300" s="419"/>
      <c r="AB300" s="420"/>
      <c r="AC300" s="420"/>
      <c r="AD300" s="421"/>
      <c r="AE300" s="420"/>
      <c r="AF300" s="420"/>
      <c r="AG300" s="420"/>
      <c r="AH300" s="420"/>
      <c r="AI300" s="422"/>
      <c r="AJ300" s="423"/>
      <c r="AK300" s="423"/>
      <c r="AL300" s="424"/>
      <c r="AM300" s="422"/>
      <c r="AN300" s="423"/>
      <c r="AO300" s="423"/>
      <c r="AP300" s="424"/>
      <c r="AQ300" s="423"/>
      <c r="AR300" s="423"/>
      <c r="AS300" s="423"/>
      <c r="AT300" s="424"/>
      <c r="AU300" s="423"/>
      <c r="AV300" s="423"/>
      <c r="AW300" s="423"/>
      <c r="AX300" s="811"/>
      <c r="AY300" s="892"/>
      <c r="AZ300" s="892"/>
      <c r="BA300" s="423"/>
      <c r="BB300" s="811"/>
      <c r="BC300" s="892"/>
      <c r="BD300" s="892"/>
      <c r="BE300" s="423"/>
      <c r="BF300" s="424"/>
      <c r="BG300" s="892"/>
      <c r="BH300" s="892"/>
      <c r="BI300" s="423"/>
      <c r="BJ300" s="424"/>
      <c r="BK300" s="892"/>
      <c r="BL300" s="892"/>
      <c r="BM300" s="423"/>
      <c r="BN300" s="424"/>
      <c r="BO300" s="89"/>
      <c r="BP300" s="423"/>
      <c r="BQ300" s="423"/>
      <c r="BR300" s="423"/>
      <c r="BS300" s="423"/>
      <c r="BT300" s="423"/>
      <c r="BU300" s="423"/>
      <c r="BV300" s="423"/>
      <c r="BW300" s="425"/>
      <c r="BX300" s="425"/>
      <c r="BY300" s="423"/>
      <c r="BZ300" s="423"/>
      <c r="CA300" s="423"/>
      <c r="CB300" s="423"/>
      <c r="CC300" s="423"/>
      <c r="CD300" s="423"/>
      <c r="CE300" s="423"/>
      <c r="CF300" s="29"/>
      <c r="CG300" s="29"/>
      <c r="CH300" s="29"/>
      <c r="CI300" s="29"/>
      <c r="CJ300" s="2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29"/>
      <c r="DD300" s="2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29"/>
      <c r="DX300" s="2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29"/>
      <c r="ER300" s="29"/>
      <c r="ES300" s="29"/>
      <c r="ET300" s="29"/>
      <c r="EU300" s="29"/>
      <c r="EV300" s="29"/>
      <c r="EW300" s="29"/>
      <c r="EX300" s="29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29"/>
      <c r="FJ300" s="29"/>
      <c r="FK300" s="29"/>
      <c r="FL300" s="29"/>
      <c r="FM300" s="29"/>
      <c r="FN300" s="29"/>
      <c r="FO300" s="29"/>
      <c r="FP300" s="29"/>
      <c r="FQ300" s="29"/>
      <c r="FR300" s="29"/>
      <c r="FS300" s="29"/>
      <c r="FT300" s="29"/>
      <c r="FU300" s="29"/>
      <c r="FV300" s="29"/>
      <c r="FW300" s="29"/>
      <c r="FX300" s="29"/>
      <c r="FY300" s="29"/>
      <c r="FZ300" s="29"/>
      <c r="GA300" s="29"/>
      <c r="GB300" s="29"/>
      <c r="GC300" s="29"/>
      <c r="GD300" s="29"/>
      <c r="GE300" s="29"/>
      <c r="GF300" s="29"/>
      <c r="GG300" s="29"/>
      <c r="GH300" s="29"/>
      <c r="GI300" s="29"/>
      <c r="GJ300" s="29"/>
      <c r="GK300" s="29"/>
      <c r="GL300" s="29"/>
      <c r="GM300" s="29"/>
      <c r="GN300" s="29"/>
      <c r="GO300" s="29"/>
      <c r="GP300" s="29"/>
      <c r="GQ300" s="29"/>
      <c r="GR300" s="29"/>
      <c r="GS300" s="29"/>
      <c r="GT300" s="29"/>
      <c r="GU300" s="29"/>
      <c r="GV300" s="29"/>
      <c r="GW300" s="29"/>
      <c r="GX300" s="29"/>
      <c r="GY300" s="29"/>
      <c r="GZ300" s="29"/>
      <c r="HA300" s="29"/>
      <c r="HB300" s="29"/>
      <c r="HC300" s="29"/>
      <c r="HD300" s="29"/>
      <c r="HE300" s="29"/>
      <c r="HF300" s="29"/>
      <c r="HG300" s="29"/>
      <c r="HH300" s="29"/>
      <c r="HI300" s="29"/>
      <c r="HJ300" s="29"/>
      <c r="HK300" s="29"/>
      <c r="HL300" s="29"/>
      <c r="HM300" s="29"/>
      <c r="HN300" s="29"/>
      <c r="HO300" s="29"/>
      <c r="HP300" s="29"/>
      <c r="HQ300" s="29"/>
      <c r="HR300" s="29"/>
    </row>
    <row r="301" spans="1:226" s="46" customFormat="1" hidden="1" outlineLevel="1">
      <c r="A301" s="84"/>
      <c r="B301" s="5" t="s">
        <v>1</v>
      </c>
      <c r="C301" s="307"/>
      <c r="D301" s="66"/>
      <c r="E301" s="66"/>
      <c r="F301" s="308"/>
      <c r="G301" s="66">
        <v>523.19100000000003</v>
      </c>
      <c r="H301" s="66">
        <v>512.24800000000005</v>
      </c>
      <c r="I301" s="66">
        <v>658.47299999999996</v>
      </c>
      <c r="J301" s="66">
        <v>679.94100000000003</v>
      </c>
      <c r="K301" s="307">
        <v>632.245</v>
      </c>
      <c r="L301" s="66">
        <v>740.09199999999998</v>
      </c>
      <c r="M301" s="66">
        <v>888.06</v>
      </c>
      <c r="N301" s="308">
        <v>968.23699999999997</v>
      </c>
      <c r="O301" s="66">
        <v>896.58199999999999</v>
      </c>
      <c r="P301" s="66">
        <v>670.27</v>
      </c>
      <c r="Q301" s="66">
        <v>659.04700000000003</v>
      </c>
      <c r="R301" s="66">
        <v>369.25</v>
      </c>
      <c r="S301" s="307">
        <v>547.38400000000001</v>
      </c>
      <c r="T301" s="66">
        <v>615.61699999999996</v>
      </c>
      <c r="U301" s="66">
        <v>717.65800000000002</v>
      </c>
      <c r="V301" s="308">
        <v>779.51700000000005</v>
      </c>
      <c r="W301" s="66">
        <v>780.85299999999995</v>
      </c>
      <c r="X301" s="66">
        <v>550.41300000000001</v>
      </c>
      <c r="Y301" s="66">
        <v>581.86300000000006</v>
      </c>
      <c r="Z301" s="66">
        <v>614.01499999999999</v>
      </c>
      <c r="AA301" s="307">
        <v>637.58900000000006</v>
      </c>
      <c r="AB301" s="66">
        <v>638.54399999999998</v>
      </c>
      <c r="AC301" s="66">
        <v>644.80200000000002</v>
      </c>
      <c r="AD301" s="308">
        <v>621.495</v>
      </c>
      <c r="AE301" s="66">
        <v>579.70000000000005</v>
      </c>
      <c r="AF301" s="66">
        <v>668.3</v>
      </c>
      <c r="AG301" s="66">
        <v>739.6</v>
      </c>
      <c r="AH301" s="66">
        <v>615.85000000000014</v>
      </c>
      <c r="AI301" s="207"/>
      <c r="AJ301" s="47"/>
      <c r="AK301" s="47"/>
      <c r="AL301" s="208"/>
      <c r="AM301" s="207"/>
      <c r="AN301" s="47"/>
      <c r="AO301" s="47"/>
      <c r="AP301" s="208"/>
      <c r="AQ301" s="47"/>
      <c r="AR301" s="47"/>
      <c r="AS301" s="47"/>
      <c r="AT301" s="208"/>
      <c r="AU301" s="47"/>
      <c r="AV301" s="47"/>
      <c r="AW301" s="47"/>
      <c r="AX301" s="782"/>
      <c r="AY301" s="883"/>
      <c r="AZ301" s="883"/>
      <c r="BA301" s="47"/>
      <c r="BB301" s="782"/>
      <c r="BC301" s="883"/>
      <c r="BD301" s="883"/>
      <c r="BE301" s="47"/>
      <c r="BF301" s="208"/>
      <c r="BG301" s="883"/>
      <c r="BH301" s="883"/>
      <c r="BI301" s="47"/>
      <c r="BJ301" s="208"/>
      <c r="BK301" s="883"/>
      <c r="BL301" s="883"/>
      <c r="BM301" s="47"/>
      <c r="BN301" s="208"/>
      <c r="BO301" s="89"/>
      <c r="BP301" s="4">
        <v>1410.5329999999999</v>
      </c>
      <c r="BQ301" s="4">
        <v>1712.37</v>
      </c>
      <c r="BR301" s="4">
        <v>2518.2809999999999</v>
      </c>
      <c r="BS301" s="4">
        <v>2595.1489999999999</v>
      </c>
      <c r="BT301" s="4">
        <v>2660.1759999999999</v>
      </c>
      <c r="BU301" s="4">
        <v>2527.1439999999998</v>
      </c>
      <c r="BV301" s="51">
        <v>2542.4299999999998</v>
      </c>
      <c r="BW301" s="50"/>
      <c r="BX301" s="50"/>
      <c r="BY301" s="47"/>
      <c r="BZ301" s="47"/>
      <c r="CA301" s="47"/>
      <c r="CB301" s="47"/>
      <c r="CC301" s="47"/>
      <c r="CD301" s="47"/>
      <c r="CE301" s="47"/>
      <c r="CF301" s="29"/>
      <c r="CG301" s="29"/>
      <c r="CH301" s="29"/>
      <c r="CI301" s="29"/>
      <c r="CJ301" s="29"/>
      <c r="CK301" s="29"/>
      <c r="CL301" s="29"/>
      <c r="CM301" s="29"/>
      <c r="CN301" s="29"/>
      <c r="CO301" s="29"/>
      <c r="CP301" s="29"/>
      <c r="CQ301" s="29"/>
      <c r="CR301" s="29"/>
      <c r="CS301" s="29"/>
      <c r="CT301" s="29"/>
      <c r="CU301" s="29"/>
      <c r="CV301" s="29"/>
      <c r="CW301" s="29"/>
      <c r="CX301" s="29"/>
      <c r="CY301" s="29"/>
      <c r="CZ301" s="29"/>
      <c r="DA301" s="29"/>
      <c r="DB301" s="29"/>
      <c r="DC301" s="29"/>
      <c r="DD301" s="29"/>
      <c r="DE301" s="29"/>
      <c r="DF301" s="29"/>
      <c r="DG301" s="29"/>
      <c r="DH301" s="29"/>
      <c r="DI301" s="29"/>
      <c r="DJ301" s="29"/>
      <c r="DK301" s="29"/>
      <c r="DL301" s="29"/>
      <c r="DM301" s="29"/>
      <c r="DN301" s="29"/>
      <c r="DO301" s="29"/>
      <c r="DP301" s="29"/>
      <c r="DQ301" s="29"/>
      <c r="DR301" s="29"/>
      <c r="DS301" s="29"/>
      <c r="DT301" s="29"/>
      <c r="DU301" s="29"/>
      <c r="DV301" s="29"/>
      <c r="DW301" s="29"/>
      <c r="DX301" s="29"/>
      <c r="DY301" s="29"/>
      <c r="DZ301" s="29"/>
      <c r="EA301" s="29"/>
      <c r="EB301" s="29"/>
      <c r="EC301" s="29"/>
      <c r="ED301" s="29"/>
      <c r="EE301" s="29"/>
      <c r="EF301" s="29"/>
      <c r="EG301" s="29"/>
      <c r="EH301" s="29"/>
      <c r="EI301" s="29"/>
      <c r="EJ301" s="29"/>
      <c r="EK301" s="29"/>
      <c r="EL301" s="29"/>
      <c r="EM301" s="29"/>
      <c r="EN301" s="29"/>
      <c r="EO301" s="29"/>
      <c r="EP301" s="29"/>
      <c r="EQ301" s="29"/>
      <c r="ER301" s="29"/>
      <c r="ES301" s="29"/>
      <c r="ET301" s="29"/>
      <c r="EU301" s="29"/>
      <c r="EV301" s="29"/>
      <c r="EW301" s="29"/>
      <c r="EX301" s="29"/>
      <c r="EY301" s="29"/>
      <c r="EZ301" s="29"/>
      <c r="FA301" s="29"/>
      <c r="FB301" s="29"/>
      <c r="FC301" s="29"/>
      <c r="FD301" s="29"/>
      <c r="FE301" s="29"/>
      <c r="FF301" s="29"/>
      <c r="FG301" s="29"/>
      <c r="FH301" s="29"/>
      <c r="FI301" s="29"/>
      <c r="FJ301" s="29"/>
      <c r="FK301" s="29"/>
      <c r="FL301" s="29"/>
      <c r="FM301" s="29"/>
      <c r="FN301" s="29"/>
      <c r="FO301" s="29"/>
      <c r="FP301" s="29"/>
      <c r="FQ301" s="29"/>
      <c r="FR301" s="29"/>
      <c r="FS301" s="29"/>
      <c r="FT301" s="29"/>
      <c r="FU301" s="29"/>
      <c r="FV301" s="29"/>
      <c r="FW301" s="29"/>
      <c r="FX301" s="29"/>
      <c r="FY301" s="29"/>
      <c r="FZ301" s="29"/>
      <c r="GA301" s="29"/>
      <c r="GB301" s="29"/>
      <c r="GC301" s="29"/>
      <c r="GD301" s="29"/>
      <c r="GE301" s="29"/>
      <c r="GF301" s="29"/>
      <c r="GG301" s="29"/>
      <c r="GH301" s="29"/>
      <c r="GI301" s="29"/>
      <c r="GJ301" s="29"/>
      <c r="GK301" s="29"/>
      <c r="GL301" s="29"/>
      <c r="GM301" s="29"/>
      <c r="GN301" s="29"/>
      <c r="GO301" s="29"/>
      <c r="GP301" s="29"/>
      <c r="GQ301" s="29"/>
      <c r="GR301" s="29"/>
      <c r="GS301" s="29"/>
      <c r="GT301" s="29"/>
      <c r="GU301" s="29"/>
      <c r="GV301" s="29"/>
      <c r="GW301" s="29"/>
      <c r="GX301" s="29"/>
      <c r="GY301" s="29"/>
      <c r="GZ301" s="29"/>
      <c r="HA301" s="29"/>
      <c r="HB301" s="29"/>
      <c r="HC301" s="29"/>
      <c r="HD301" s="29"/>
      <c r="HE301" s="29"/>
      <c r="HF301" s="29"/>
      <c r="HG301" s="29"/>
      <c r="HH301" s="29"/>
      <c r="HI301" s="29"/>
      <c r="HJ301" s="29"/>
      <c r="HK301" s="29"/>
      <c r="HL301" s="29"/>
      <c r="HM301" s="29"/>
      <c r="HN301" s="29"/>
      <c r="HO301" s="29"/>
      <c r="HP301" s="29"/>
      <c r="HQ301" s="29"/>
      <c r="HR301" s="29"/>
    </row>
    <row r="302" spans="1:226" s="46" customFormat="1" hidden="1" outlineLevel="1">
      <c r="A302" s="84"/>
      <c r="B302" s="5" t="s">
        <v>161</v>
      </c>
      <c r="C302" s="268"/>
      <c r="D302" s="9"/>
      <c r="E302" s="9"/>
      <c r="F302" s="269"/>
      <c r="G302" s="9"/>
      <c r="H302" s="9"/>
      <c r="I302" s="9"/>
      <c r="J302" s="9"/>
      <c r="K302" s="268"/>
      <c r="L302" s="9"/>
      <c r="M302" s="9"/>
      <c r="N302" s="269"/>
      <c r="O302" s="9"/>
      <c r="P302" s="9"/>
      <c r="Q302" s="9"/>
      <c r="R302" s="9"/>
      <c r="S302" s="268"/>
      <c r="T302" s="9"/>
      <c r="U302" s="9"/>
      <c r="V302" s="269"/>
      <c r="W302" s="9"/>
      <c r="X302" s="9"/>
      <c r="Y302" s="9"/>
      <c r="Z302" s="9"/>
      <c r="AA302" s="268"/>
      <c r="AB302" s="9"/>
      <c r="AC302" s="9"/>
      <c r="AD302" s="269"/>
      <c r="AE302" s="47"/>
      <c r="AF302" s="47"/>
      <c r="AG302" s="47"/>
      <c r="AH302" s="47"/>
      <c r="AI302" s="207"/>
      <c r="AJ302" s="47"/>
      <c r="AK302" s="47"/>
      <c r="AL302" s="208"/>
      <c r="AM302" s="207"/>
      <c r="AN302" s="47"/>
      <c r="AO302" s="47"/>
      <c r="AP302" s="208"/>
      <c r="AQ302" s="47"/>
      <c r="AR302" s="47"/>
      <c r="AS302" s="47"/>
      <c r="AT302" s="208"/>
      <c r="AU302" s="47"/>
      <c r="AV302" s="47"/>
      <c r="AW302" s="47"/>
      <c r="AX302" s="782"/>
      <c r="AY302" s="883"/>
      <c r="AZ302" s="883"/>
      <c r="BA302" s="47"/>
      <c r="BB302" s="782"/>
      <c r="BC302" s="883"/>
      <c r="BD302" s="883"/>
      <c r="BE302" s="47"/>
      <c r="BF302" s="208"/>
      <c r="BG302" s="883"/>
      <c r="BH302" s="883"/>
      <c r="BI302" s="47"/>
      <c r="BJ302" s="208"/>
      <c r="BK302" s="883"/>
      <c r="BL302" s="883"/>
      <c r="BM302" s="47"/>
      <c r="BN302" s="208"/>
      <c r="BO302" s="89"/>
      <c r="BP302" s="4">
        <v>28.591999999999999</v>
      </c>
      <c r="BQ302" s="4">
        <v>27.850999999999999</v>
      </c>
      <c r="BR302" s="4">
        <v>38.271999999999998</v>
      </c>
      <c r="BS302" s="4">
        <v>125.366</v>
      </c>
      <c r="BT302" s="4">
        <v>139.298</v>
      </c>
      <c r="BU302" s="4">
        <v>126.536</v>
      </c>
      <c r="BV302" s="51">
        <v>118.64400000000001</v>
      </c>
      <c r="BW302" s="50"/>
      <c r="BX302" s="50"/>
      <c r="BY302" s="47"/>
      <c r="BZ302" s="47"/>
      <c r="CA302" s="47"/>
      <c r="CB302" s="47"/>
      <c r="CC302" s="47"/>
      <c r="CD302" s="47"/>
      <c r="CE302" s="47"/>
      <c r="CF302" s="29"/>
      <c r="CG302" s="29"/>
      <c r="CH302" s="29"/>
      <c r="CI302" s="29"/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29"/>
      <c r="DD302" s="2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29"/>
      <c r="DX302" s="2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29"/>
      <c r="ET302" s="29"/>
      <c r="EU302" s="29"/>
      <c r="EV302" s="29"/>
      <c r="EW302" s="29"/>
      <c r="EX302" s="29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29"/>
      <c r="FJ302" s="29"/>
      <c r="FK302" s="29"/>
      <c r="FL302" s="29"/>
      <c r="FM302" s="29"/>
      <c r="FN302" s="29"/>
      <c r="FO302" s="29"/>
      <c r="FP302" s="29"/>
      <c r="FQ302" s="29"/>
      <c r="FR302" s="29"/>
      <c r="FS302" s="29"/>
      <c r="FT302" s="29"/>
      <c r="FU302" s="29"/>
      <c r="FV302" s="29"/>
      <c r="FW302" s="29"/>
      <c r="FX302" s="29"/>
      <c r="FY302" s="29"/>
      <c r="FZ302" s="29"/>
      <c r="GA302" s="29"/>
      <c r="GB302" s="29"/>
      <c r="GC302" s="29"/>
      <c r="GD302" s="29"/>
      <c r="GE302" s="29"/>
      <c r="GF302" s="29"/>
      <c r="GG302" s="29"/>
      <c r="GH302" s="29"/>
      <c r="GI302" s="29"/>
      <c r="GJ302" s="29"/>
      <c r="GK302" s="29"/>
      <c r="GL302" s="29"/>
      <c r="GM302" s="29"/>
      <c r="GN302" s="29"/>
      <c r="GO302" s="29"/>
      <c r="GP302" s="29"/>
      <c r="GQ302" s="29"/>
      <c r="GR302" s="29"/>
      <c r="GS302" s="29"/>
      <c r="GT302" s="29"/>
      <c r="GU302" s="29"/>
      <c r="GV302" s="29"/>
      <c r="GW302" s="29"/>
      <c r="GX302" s="29"/>
      <c r="GY302" s="29"/>
      <c r="GZ302" s="29"/>
      <c r="HA302" s="29"/>
      <c r="HB302" s="29"/>
      <c r="HC302" s="29"/>
      <c r="HD302" s="29"/>
      <c r="HE302" s="29"/>
      <c r="HF302" s="29"/>
      <c r="HG302" s="29"/>
      <c r="HH302" s="29"/>
      <c r="HI302" s="29"/>
      <c r="HJ302" s="29"/>
      <c r="HK302" s="29"/>
      <c r="HL302" s="29"/>
      <c r="HM302" s="29"/>
      <c r="HN302" s="29"/>
      <c r="HO302" s="29"/>
      <c r="HP302" s="29"/>
      <c r="HQ302" s="29"/>
      <c r="HR302" s="29"/>
    </row>
    <row r="303" spans="1:226" s="46" customFormat="1" hidden="1" outlineLevel="1">
      <c r="A303" s="84"/>
      <c r="B303" s="5" t="s">
        <v>164</v>
      </c>
      <c r="C303" s="307"/>
      <c r="D303" s="66"/>
      <c r="E303" s="66"/>
      <c r="F303" s="308"/>
      <c r="G303" s="66">
        <v>89.39800000000001</v>
      </c>
      <c r="H303" s="66">
        <v>83.192999999999998</v>
      </c>
      <c r="I303" s="66">
        <v>142.74799999999999</v>
      </c>
      <c r="J303" s="66">
        <v>144.898</v>
      </c>
      <c r="K303" s="307">
        <v>132.256</v>
      </c>
      <c r="L303" s="66">
        <v>180.22900000000001</v>
      </c>
      <c r="M303" s="66">
        <v>224.94299999999998</v>
      </c>
      <c r="N303" s="308">
        <v>237.77100000000004</v>
      </c>
      <c r="O303" s="66">
        <v>172.62700000000001</v>
      </c>
      <c r="P303" s="66">
        <v>-148.667</v>
      </c>
      <c r="Q303" s="66">
        <v>50.580000000000005</v>
      </c>
      <c r="R303" s="66">
        <v>-320.75199999999995</v>
      </c>
      <c r="S303" s="307">
        <v>-68.599000000000004</v>
      </c>
      <c r="T303" s="66">
        <v>-127.437</v>
      </c>
      <c r="U303" s="66">
        <v>80.832999999999998</v>
      </c>
      <c r="V303" s="308">
        <v>101.71600000000001</v>
      </c>
      <c r="W303" s="66">
        <v>115.34399999999999</v>
      </c>
      <c r="X303" s="66">
        <v>-221.71100000000001</v>
      </c>
      <c r="Y303" s="66">
        <v>48.521000000000001</v>
      </c>
      <c r="Z303" s="66">
        <v>88.000000000000028</v>
      </c>
      <c r="AA303" s="307">
        <v>120.283</v>
      </c>
      <c r="AB303" s="66">
        <v>139.708</v>
      </c>
      <c r="AC303" s="66">
        <v>146.84299999999999</v>
      </c>
      <c r="AD303" s="308">
        <v>121.408</v>
      </c>
      <c r="AE303" s="66">
        <v>78.947000000000003</v>
      </c>
      <c r="AF303" s="66">
        <v>162.64400000000001</v>
      </c>
      <c r="AG303" s="66">
        <v>193.226</v>
      </c>
      <c r="AH303" s="47"/>
      <c r="AI303" s="207"/>
      <c r="AJ303" s="47"/>
      <c r="AK303" s="47"/>
      <c r="AL303" s="208"/>
      <c r="AM303" s="207"/>
      <c r="AN303" s="47"/>
      <c r="AO303" s="47"/>
      <c r="AP303" s="208"/>
      <c r="AQ303" s="47"/>
      <c r="AR303" s="47"/>
      <c r="AS303" s="47"/>
      <c r="AT303" s="208"/>
      <c r="AU303" s="47"/>
      <c r="AV303" s="47"/>
      <c r="AW303" s="47"/>
      <c r="AX303" s="782"/>
      <c r="AY303" s="883"/>
      <c r="AZ303" s="883"/>
      <c r="BA303" s="47"/>
      <c r="BB303" s="782"/>
      <c r="BC303" s="883"/>
      <c r="BD303" s="883"/>
      <c r="BE303" s="47"/>
      <c r="BF303" s="208"/>
      <c r="BG303" s="883"/>
      <c r="BH303" s="883"/>
      <c r="BI303" s="47"/>
      <c r="BJ303" s="208"/>
      <c r="BK303" s="883"/>
      <c r="BL303" s="883"/>
      <c r="BM303" s="47"/>
      <c r="BN303" s="208"/>
      <c r="BO303" s="89"/>
      <c r="BP303" s="4">
        <v>205.11099999999999</v>
      </c>
      <c r="BQ303" s="4">
        <v>383.10899999999998</v>
      </c>
      <c r="BR303" s="4">
        <v>717.98500000000001</v>
      </c>
      <c r="BS303" s="4">
        <v>-246.21199999999999</v>
      </c>
      <c r="BT303" s="4">
        <v>-13.487</v>
      </c>
      <c r="BU303" s="4">
        <v>30.154</v>
      </c>
      <c r="BV303" s="51">
        <v>528.24199999999996</v>
      </c>
      <c r="BW303" s="50"/>
      <c r="BX303" s="50"/>
      <c r="BY303" s="47"/>
      <c r="BZ303" s="47"/>
      <c r="CA303" s="47"/>
      <c r="CB303" s="47"/>
      <c r="CC303" s="47"/>
      <c r="CD303" s="47"/>
      <c r="CE303" s="47"/>
      <c r="CF303" s="29"/>
      <c r="CG303" s="29"/>
      <c r="CH303" s="29"/>
      <c r="CI303" s="29"/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29"/>
      <c r="DD303" s="2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29"/>
      <c r="DX303" s="2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29"/>
      <c r="ER303" s="29"/>
      <c r="ES303" s="29"/>
      <c r="ET303" s="29"/>
      <c r="EU303" s="29"/>
      <c r="EV303" s="29"/>
      <c r="EW303" s="29"/>
      <c r="EX303" s="29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29"/>
      <c r="FJ303" s="29"/>
      <c r="FK303" s="29"/>
      <c r="FL303" s="29"/>
      <c r="FM303" s="29"/>
      <c r="FN303" s="29"/>
      <c r="FO303" s="29"/>
      <c r="FP303" s="29"/>
      <c r="FQ303" s="29"/>
      <c r="FR303" s="29"/>
      <c r="FS303" s="29"/>
      <c r="FT303" s="29"/>
      <c r="FU303" s="29"/>
      <c r="FV303" s="29"/>
      <c r="FW303" s="29"/>
      <c r="FX303" s="29"/>
      <c r="FY303" s="29"/>
      <c r="FZ303" s="29"/>
      <c r="GA303" s="29"/>
      <c r="GB303" s="29"/>
      <c r="GC303" s="29"/>
      <c r="GD303" s="29"/>
      <c r="GE303" s="29"/>
      <c r="GF303" s="29"/>
      <c r="GG303" s="29"/>
      <c r="GH303" s="29"/>
      <c r="GI303" s="29"/>
      <c r="GJ303" s="29"/>
      <c r="GK303" s="29"/>
      <c r="GL303" s="29"/>
      <c r="GM303" s="29"/>
      <c r="GN303" s="29"/>
      <c r="GO303" s="29"/>
      <c r="GP303" s="29"/>
      <c r="GQ303" s="29"/>
      <c r="GR303" s="29"/>
      <c r="GS303" s="29"/>
      <c r="GT303" s="29"/>
      <c r="GU303" s="29"/>
      <c r="GV303" s="29"/>
      <c r="GW303" s="29"/>
      <c r="GX303" s="29"/>
      <c r="GY303" s="29"/>
      <c r="GZ303" s="29"/>
      <c r="HA303" s="29"/>
      <c r="HB303" s="29"/>
      <c r="HC303" s="29"/>
      <c r="HD303" s="29"/>
      <c r="HE303" s="29"/>
      <c r="HF303" s="29"/>
      <c r="HG303" s="29"/>
      <c r="HH303" s="29"/>
      <c r="HI303" s="29"/>
      <c r="HJ303" s="29"/>
      <c r="HK303" s="29"/>
      <c r="HL303" s="29"/>
      <c r="HM303" s="29"/>
      <c r="HN303" s="29"/>
      <c r="HO303" s="29"/>
      <c r="HP303" s="29"/>
      <c r="HQ303" s="29"/>
      <c r="HR303" s="29"/>
    </row>
    <row r="304" spans="1:226" s="46" customFormat="1" hidden="1" outlineLevel="1">
      <c r="A304" s="84"/>
      <c r="B304" s="91"/>
      <c r="C304" s="268"/>
      <c r="D304" s="9"/>
      <c r="E304" s="9"/>
      <c r="F304" s="269"/>
      <c r="G304" s="9"/>
      <c r="H304" s="9"/>
      <c r="I304" s="9"/>
      <c r="J304" s="9"/>
      <c r="K304" s="268"/>
      <c r="L304" s="9"/>
      <c r="M304" s="9"/>
      <c r="N304" s="269"/>
      <c r="O304" s="9"/>
      <c r="P304" s="9"/>
      <c r="Q304" s="9"/>
      <c r="R304" s="9"/>
      <c r="S304" s="268"/>
      <c r="T304" s="9"/>
      <c r="U304" s="9"/>
      <c r="V304" s="269"/>
      <c r="W304" s="9"/>
      <c r="X304" s="9"/>
      <c r="Y304" s="9"/>
      <c r="Z304" s="9"/>
      <c r="AA304" s="268"/>
      <c r="AB304" s="9"/>
      <c r="AC304" s="9"/>
      <c r="AD304" s="269"/>
      <c r="AE304" s="47"/>
      <c r="AF304" s="47"/>
      <c r="AG304" s="47"/>
      <c r="AH304" s="47"/>
      <c r="AI304" s="207"/>
      <c r="AJ304" s="47"/>
      <c r="AK304" s="47"/>
      <c r="AL304" s="208"/>
      <c r="AM304" s="207"/>
      <c r="AN304" s="47"/>
      <c r="AO304" s="47"/>
      <c r="AP304" s="208"/>
      <c r="AQ304" s="47"/>
      <c r="AR304" s="47"/>
      <c r="AS304" s="47"/>
      <c r="AT304" s="208"/>
      <c r="AU304" s="47"/>
      <c r="AV304" s="47"/>
      <c r="AW304" s="47"/>
      <c r="AX304" s="782"/>
      <c r="AY304" s="883"/>
      <c r="AZ304" s="883"/>
      <c r="BA304" s="47"/>
      <c r="BB304" s="782"/>
      <c r="BC304" s="883"/>
      <c r="BD304" s="883"/>
      <c r="BE304" s="47"/>
      <c r="BF304" s="208"/>
      <c r="BG304" s="883"/>
      <c r="BH304" s="883"/>
      <c r="BI304" s="47"/>
      <c r="BJ304" s="208"/>
      <c r="BK304" s="883"/>
      <c r="BL304" s="883"/>
      <c r="BM304" s="47"/>
      <c r="BN304" s="208"/>
      <c r="BO304" s="89"/>
      <c r="BP304" s="4"/>
      <c r="BQ304" s="4"/>
      <c r="BR304" s="4"/>
      <c r="BS304" s="4"/>
      <c r="BT304" s="4"/>
      <c r="BU304" s="4"/>
      <c r="BV304" s="51"/>
      <c r="BW304" s="50"/>
      <c r="BX304" s="50"/>
      <c r="BY304" s="47"/>
      <c r="BZ304" s="47"/>
      <c r="CA304" s="47"/>
      <c r="CB304" s="47"/>
      <c r="CC304" s="47"/>
      <c r="CD304" s="47"/>
      <c r="CE304" s="47"/>
      <c r="CF304" s="29"/>
      <c r="CG304" s="29"/>
      <c r="CH304" s="29"/>
      <c r="CI304" s="29"/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/>
      <c r="CW304" s="29"/>
      <c r="CX304" s="29"/>
      <c r="CY304" s="29"/>
      <c r="CZ304" s="29"/>
      <c r="DA304" s="29"/>
      <c r="DB304" s="29"/>
      <c r="DC304" s="29"/>
      <c r="DD304" s="29"/>
      <c r="DE304" s="29"/>
      <c r="DF304" s="29"/>
      <c r="DG304" s="29"/>
      <c r="DH304" s="29"/>
      <c r="DI304" s="29"/>
      <c r="DJ304" s="29"/>
      <c r="DK304" s="29"/>
      <c r="DL304" s="29"/>
      <c r="DM304" s="29"/>
      <c r="DN304" s="29"/>
      <c r="DO304" s="29"/>
      <c r="DP304" s="29"/>
      <c r="DQ304" s="29"/>
      <c r="DR304" s="29"/>
      <c r="DS304" s="29"/>
      <c r="DT304" s="29"/>
      <c r="DU304" s="29"/>
      <c r="DV304" s="29"/>
      <c r="DW304" s="29"/>
      <c r="DX304" s="29"/>
      <c r="DY304" s="29"/>
      <c r="DZ304" s="29"/>
      <c r="EA304" s="29"/>
      <c r="EB304" s="29"/>
      <c r="EC304" s="29"/>
      <c r="ED304" s="29"/>
      <c r="EE304" s="29"/>
      <c r="EF304" s="29"/>
      <c r="EG304" s="29"/>
      <c r="EH304" s="29"/>
      <c r="EI304" s="29"/>
      <c r="EJ304" s="29"/>
      <c r="EK304" s="29"/>
      <c r="EL304" s="29"/>
      <c r="EM304" s="29"/>
      <c r="EN304" s="29"/>
      <c r="EO304" s="29"/>
      <c r="EP304" s="29"/>
      <c r="EQ304" s="29"/>
      <c r="ER304" s="29"/>
      <c r="ES304" s="29"/>
      <c r="ET304" s="29"/>
      <c r="EU304" s="29"/>
      <c r="EV304" s="29"/>
      <c r="EW304" s="29"/>
      <c r="EX304" s="29"/>
      <c r="EY304" s="29"/>
      <c r="EZ304" s="29"/>
      <c r="FA304" s="29"/>
      <c r="FB304" s="29"/>
      <c r="FC304" s="29"/>
      <c r="FD304" s="29"/>
      <c r="FE304" s="29"/>
      <c r="FF304" s="29"/>
      <c r="FG304" s="29"/>
      <c r="FH304" s="29"/>
      <c r="FI304" s="29"/>
      <c r="FJ304" s="29"/>
      <c r="FK304" s="29"/>
      <c r="FL304" s="29"/>
      <c r="FM304" s="29"/>
      <c r="FN304" s="29"/>
      <c r="FO304" s="29"/>
      <c r="FP304" s="29"/>
      <c r="FQ304" s="29"/>
      <c r="FR304" s="29"/>
      <c r="FS304" s="29"/>
      <c r="FT304" s="29"/>
      <c r="FU304" s="29"/>
      <c r="FV304" s="29"/>
      <c r="FW304" s="29"/>
      <c r="FX304" s="29"/>
      <c r="FY304" s="29"/>
      <c r="FZ304" s="29"/>
      <c r="GA304" s="29"/>
      <c r="GB304" s="29"/>
      <c r="GC304" s="29"/>
      <c r="GD304" s="29"/>
      <c r="GE304" s="29"/>
      <c r="GF304" s="29"/>
      <c r="GG304" s="29"/>
      <c r="GH304" s="29"/>
      <c r="GI304" s="29"/>
      <c r="GJ304" s="29"/>
      <c r="GK304" s="29"/>
      <c r="GL304" s="29"/>
      <c r="GM304" s="29"/>
      <c r="GN304" s="29"/>
      <c r="GO304" s="29"/>
      <c r="GP304" s="29"/>
      <c r="GQ304" s="29"/>
      <c r="GR304" s="29"/>
      <c r="GS304" s="29"/>
      <c r="GT304" s="29"/>
      <c r="GU304" s="29"/>
      <c r="GV304" s="29"/>
      <c r="GW304" s="29"/>
      <c r="GX304" s="29"/>
      <c r="GY304" s="29"/>
      <c r="GZ304" s="29"/>
      <c r="HA304" s="29"/>
      <c r="HB304" s="29"/>
      <c r="HC304" s="29"/>
      <c r="HD304" s="29"/>
      <c r="HE304" s="29"/>
      <c r="HF304" s="29"/>
      <c r="HG304" s="29"/>
      <c r="HH304" s="29"/>
      <c r="HI304" s="29"/>
      <c r="HJ304" s="29"/>
      <c r="HK304" s="29"/>
      <c r="HL304" s="29"/>
      <c r="HM304" s="29"/>
      <c r="HN304" s="29"/>
      <c r="HO304" s="29"/>
      <c r="HP304" s="29"/>
      <c r="HQ304" s="29"/>
      <c r="HR304" s="29"/>
    </row>
    <row r="305" spans="1:226" s="46" customFormat="1" hidden="1" outlineLevel="1">
      <c r="A305" s="84"/>
      <c r="B305" s="357" t="s">
        <v>178</v>
      </c>
      <c r="C305" s="419"/>
      <c r="D305" s="420"/>
      <c r="E305" s="420"/>
      <c r="F305" s="421"/>
      <c r="G305" s="420"/>
      <c r="H305" s="420"/>
      <c r="I305" s="420"/>
      <c r="J305" s="420"/>
      <c r="K305" s="419"/>
      <c r="L305" s="420"/>
      <c r="M305" s="420"/>
      <c r="N305" s="421"/>
      <c r="O305" s="420"/>
      <c r="P305" s="420"/>
      <c r="Q305" s="420"/>
      <c r="R305" s="420"/>
      <c r="S305" s="419"/>
      <c r="T305" s="420"/>
      <c r="U305" s="420"/>
      <c r="V305" s="421"/>
      <c r="W305" s="420"/>
      <c r="X305" s="420"/>
      <c r="Y305" s="420"/>
      <c r="Z305" s="420"/>
      <c r="AA305" s="419"/>
      <c r="AB305" s="420"/>
      <c r="AC305" s="420"/>
      <c r="AD305" s="421"/>
      <c r="AE305" s="420"/>
      <c r="AF305" s="420"/>
      <c r="AG305" s="420"/>
      <c r="AH305" s="420"/>
      <c r="AI305" s="422"/>
      <c r="AJ305" s="423"/>
      <c r="AK305" s="423"/>
      <c r="AL305" s="424"/>
      <c r="AM305" s="422"/>
      <c r="AN305" s="423"/>
      <c r="AO305" s="423"/>
      <c r="AP305" s="424"/>
      <c r="AQ305" s="423"/>
      <c r="AR305" s="423"/>
      <c r="AS305" s="423"/>
      <c r="AT305" s="424"/>
      <c r="AU305" s="423"/>
      <c r="AV305" s="423"/>
      <c r="AW305" s="423"/>
      <c r="AX305" s="811"/>
      <c r="AY305" s="892"/>
      <c r="AZ305" s="892"/>
      <c r="BA305" s="423"/>
      <c r="BB305" s="811"/>
      <c r="BC305" s="892"/>
      <c r="BD305" s="892"/>
      <c r="BE305" s="423"/>
      <c r="BF305" s="424"/>
      <c r="BG305" s="892"/>
      <c r="BH305" s="892"/>
      <c r="BI305" s="423"/>
      <c r="BJ305" s="424"/>
      <c r="BK305" s="892"/>
      <c r="BL305" s="892"/>
      <c r="BM305" s="423"/>
      <c r="BN305" s="424"/>
      <c r="BO305" s="89"/>
      <c r="BP305" s="423"/>
      <c r="BQ305" s="423"/>
      <c r="BR305" s="423"/>
      <c r="BS305" s="423"/>
      <c r="BT305" s="423"/>
      <c r="BU305" s="423"/>
      <c r="BV305" s="423"/>
      <c r="BW305" s="425"/>
      <c r="BX305" s="425"/>
      <c r="BY305" s="423"/>
      <c r="BZ305" s="423"/>
      <c r="CA305" s="423"/>
      <c r="CB305" s="423"/>
      <c r="CC305" s="423"/>
      <c r="CD305" s="423"/>
      <c r="CE305" s="423"/>
      <c r="CF305" s="29"/>
      <c r="CG305" s="29"/>
      <c r="CH305" s="29"/>
      <c r="CI305" s="29"/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29"/>
      <c r="DD305" s="2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29"/>
      <c r="DX305" s="2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29"/>
      <c r="FJ305" s="29"/>
      <c r="FK305" s="29"/>
      <c r="FL305" s="29"/>
      <c r="FM305" s="29"/>
      <c r="FN305" s="29"/>
      <c r="FO305" s="29"/>
      <c r="FP305" s="29"/>
      <c r="FQ305" s="29"/>
      <c r="FR305" s="29"/>
      <c r="FS305" s="29"/>
      <c r="FT305" s="29"/>
      <c r="FU305" s="29"/>
      <c r="FV305" s="29"/>
      <c r="FW305" s="29"/>
      <c r="FX305" s="29"/>
      <c r="FY305" s="29"/>
      <c r="FZ305" s="29"/>
      <c r="GA305" s="29"/>
      <c r="GB305" s="29"/>
      <c r="GC305" s="29"/>
      <c r="GD305" s="29"/>
      <c r="GE305" s="29"/>
      <c r="GF305" s="29"/>
      <c r="GG305" s="29"/>
      <c r="GH305" s="29"/>
      <c r="GI305" s="29"/>
      <c r="GJ305" s="29"/>
      <c r="GK305" s="29"/>
      <c r="GL305" s="29"/>
      <c r="GM305" s="29"/>
      <c r="GN305" s="29"/>
      <c r="GO305" s="29"/>
      <c r="GP305" s="29"/>
      <c r="GQ305" s="29"/>
      <c r="GR305" s="29"/>
      <c r="GS305" s="29"/>
      <c r="GT305" s="29"/>
      <c r="GU305" s="29"/>
      <c r="GV305" s="29"/>
      <c r="GW305" s="29"/>
      <c r="GX305" s="29"/>
      <c r="GY305" s="29"/>
      <c r="GZ305" s="29"/>
      <c r="HA305" s="29"/>
      <c r="HB305" s="29"/>
      <c r="HC305" s="29"/>
      <c r="HD305" s="29"/>
      <c r="HE305" s="29"/>
      <c r="HF305" s="29"/>
      <c r="HG305" s="29"/>
      <c r="HH305" s="29"/>
      <c r="HI305" s="29"/>
      <c r="HJ305" s="29"/>
      <c r="HK305" s="29"/>
      <c r="HL305" s="29"/>
      <c r="HM305" s="29"/>
      <c r="HN305" s="29"/>
      <c r="HO305" s="29"/>
      <c r="HP305" s="29"/>
      <c r="HQ305" s="29"/>
      <c r="HR305" s="29"/>
    </row>
    <row r="306" spans="1:226" s="46" customFormat="1" hidden="1" outlineLevel="1">
      <c r="A306" s="84"/>
      <c r="B306" s="5" t="s">
        <v>1</v>
      </c>
      <c r="C306" s="307"/>
      <c r="D306" s="66"/>
      <c r="E306" s="66"/>
      <c r="F306" s="308"/>
      <c r="G306" s="66">
        <v>100.042</v>
      </c>
      <c r="H306" s="66">
        <v>117.126</v>
      </c>
      <c r="I306" s="66">
        <v>111.25700000000001</v>
      </c>
      <c r="J306" s="66">
        <v>126.31</v>
      </c>
      <c r="K306" s="307">
        <v>140.87299999999999</v>
      </c>
      <c r="L306" s="66">
        <v>127.321</v>
      </c>
      <c r="M306" s="66">
        <v>152.15799999999999</v>
      </c>
      <c r="N306" s="308">
        <v>168.00599999999991</v>
      </c>
      <c r="O306" s="66">
        <v>203.42699999999999</v>
      </c>
      <c r="P306" s="66">
        <v>179.65299999999999</v>
      </c>
      <c r="Q306" s="66">
        <v>199.322</v>
      </c>
      <c r="R306" s="66">
        <v>110.97399999999996</v>
      </c>
      <c r="S306" s="307">
        <v>106.148</v>
      </c>
      <c r="T306" s="66">
        <v>116.626</v>
      </c>
      <c r="U306" s="66">
        <v>129.63800000000001</v>
      </c>
      <c r="V306" s="308">
        <v>157.81100000000006</v>
      </c>
      <c r="W306" s="66">
        <v>189.73</v>
      </c>
      <c r="X306" s="66">
        <v>215.09100000000001</v>
      </c>
      <c r="Y306" s="66">
        <v>210.11500000000001</v>
      </c>
      <c r="Z306" s="66">
        <v>203.61600000000001</v>
      </c>
      <c r="AA306" s="307">
        <v>201.84100000000001</v>
      </c>
      <c r="AB306" s="66">
        <v>210.28899999999999</v>
      </c>
      <c r="AC306" s="66">
        <v>230.29499999999999</v>
      </c>
      <c r="AD306" s="308">
        <v>221.90899999999999</v>
      </c>
      <c r="AE306" s="66">
        <v>212.6</v>
      </c>
      <c r="AF306" s="66">
        <v>196.3</v>
      </c>
      <c r="AG306" s="66">
        <v>220.6</v>
      </c>
      <c r="AH306" s="47"/>
      <c r="AI306" s="207"/>
      <c r="AJ306" s="47"/>
      <c r="AK306" s="47"/>
      <c r="AL306" s="208"/>
      <c r="AM306" s="207"/>
      <c r="AN306" s="47"/>
      <c r="AO306" s="47"/>
      <c r="AP306" s="208"/>
      <c r="AQ306" s="47"/>
      <c r="AR306" s="47"/>
      <c r="AS306" s="47"/>
      <c r="AT306" s="208"/>
      <c r="AU306" s="47"/>
      <c r="AV306" s="47"/>
      <c r="AW306" s="47"/>
      <c r="AX306" s="782"/>
      <c r="AY306" s="883"/>
      <c r="AZ306" s="883"/>
      <c r="BA306" s="47"/>
      <c r="BB306" s="782"/>
      <c r="BC306" s="883"/>
      <c r="BD306" s="883"/>
      <c r="BE306" s="47"/>
      <c r="BF306" s="208"/>
      <c r="BG306" s="883"/>
      <c r="BH306" s="883"/>
      <c r="BI306" s="47"/>
      <c r="BJ306" s="208"/>
      <c r="BK306" s="883"/>
      <c r="BL306" s="883"/>
      <c r="BM306" s="47"/>
      <c r="BN306" s="208"/>
      <c r="BO306" s="89"/>
      <c r="BP306" s="4">
        <v>376.22899999999998</v>
      </c>
      <c r="BQ306" s="4">
        <v>454.73500000000001</v>
      </c>
      <c r="BR306" s="4">
        <v>588.35799999999995</v>
      </c>
      <c r="BS306" s="4">
        <v>693.37599999999998</v>
      </c>
      <c r="BT306" s="4">
        <v>510.22300000000001</v>
      </c>
      <c r="BU306" s="4">
        <v>818.55200000000002</v>
      </c>
      <c r="BV306" s="51">
        <v>864.33399999999995</v>
      </c>
      <c r="BW306" s="50"/>
      <c r="BX306" s="50"/>
      <c r="BY306" s="47"/>
      <c r="BZ306" s="47"/>
      <c r="CA306" s="47"/>
      <c r="CB306" s="47"/>
      <c r="CC306" s="47"/>
      <c r="CD306" s="47"/>
      <c r="CE306" s="47"/>
      <c r="CF306" s="29"/>
      <c r="CG306" s="29"/>
      <c r="CH306" s="29"/>
      <c r="CI306" s="29"/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29"/>
      <c r="DD306" s="2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29"/>
      <c r="DX306" s="2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29"/>
      <c r="ET306" s="29"/>
      <c r="EU306" s="29"/>
      <c r="EV306" s="29"/>
      <c r="EW306" s="29"/>
      <c r="EX306" s="29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29"/>
      <c r="FJ306" s="29"/>
      <c r="FK306" s="29"/>
      <c r="FL306" s="29"/>
      <c r="FM306" s="29"/>
      <c r="FN306" s="29"/>
      <c r="FO306" s="29"/>
      <c r="FP306" s="29"/>
      <c r="FQ306" s="29"/>
      <c r="FR306" s="29"/>
      <c r="FS306" s="29"/>
      <c r="FT306" s="29"/>
      <c r="FU306" s="29"/>
      <c r="FV306" s="29"/>
      <c r="FW306" s="29"/>
      <c r="FX306" s="29"/>
      <c r="FY306" s="29"/>
      <c r="FZ306" s="29"/>
      <c r="GA306" s="29"/>
      <c r="GB306" s="29"/>
      <c r="GC306" s="29"/>
      <c r="GD306" s="29"/>
      <c r="GE306" s="29"/>
      <c r="GF306" s="29"/>
      <c r="GG306" s="29"/>
      <c r="GH306" s="29"/>
      <c r="GI306" s="29"/>
      <c r="GJ306" s="29"/>
      <c r="GK306" s="29"/>
      <c r="GL306" s="29"/>
      <c r="GM306" s="29"/>
      <c r="GN306" s="29"/>
      <c r="GO306" s="29"/>
      <c r="GP306" s="29"/>
      <c r="GQ306" s="29"/>
      <c r="GR306" s="29"/>
      <c r="GS306" s="29"/>
      <c r="GT306" s="29"/>
      <c r="GU306" s="29"/>
      <c r="GV306" s="29"/>
      <c r="GW306" s="29"/>
      <c r="GX306" s="29"/>
      <c r="GY306" s="29"/>
      <c r="GZ306" s="29"/>
      <c r="HA306" s="29"/>
      <c r="HB306" s="29"/>
      <c r="HC306" s="29"/>
      <c r="HD306" s="29"/>
      <c r="HE306" s="29"/>
      <c r="HF306" s="29"/>
      <c r="HG306" s="29"/>
      <c r="HH306" s="29"/>
      <c r="HI306" s="29"/>
      <c r="HJ306" s="29"/>
      <c r="HK306" s="29"/>
      <c r="HL306" s="29"/>
      <c r="HM306" s="29"/>
      <c r="HN306" s="29"/>
      <c r="HO306" s="29"/>
      <c r="HP306" s="29"/>
      <c r="HQ306" s="29"/>
      <c r="HR306" s="29"/>
    </row>
    <row r="307" spans="1:226" s="46" customFormat="1" hidden="1" outlineLevel="1">
      <c r="A307" s="84"/>
      <c r="B307" s="91" t="s">
        <v>269</v>
      </c>
      <c r="C307" s="307"/>
      <c r="D307" s="66"/>
      <c r="E307" s="66"/>
      <c r="F307" s="308"/>
      <c r="G307" s="66"/>
      <c r="H307" s="66"/>
      <c r="I307" s="66"/>
      <c r="J307" s="66"/>
      <c r="K307" s="307"/>
      <c r="L307" s="66"/>
      <c r="M307" s="66"/>
      <c r="N307" s="308"/>
      <c r="O307" s="66"/>
      <c r="P307" s="66"/>
      <c r="Q307" s="66"/>
      <c r="R307" s="66"/>
      <c r="S307" s="307">
        <v>103.148</v>
      </c>
      <c r="T307" s="66">
        <v>113.626</v>
      </c>
      <c r="U307" s="66">
        <v>124.63800000000001</v>
      </c>
      <c r="V307" s="308">
        <v>147.81100000000006</v>
      </c>
      <c r="W307" s="66">
        <v>164.73</v>
      </c>
      <c r="X307" s="66">
        <v>190.09100000000001</v>
      </c>
      <c r="Y307" s="66">
        <v>185.11500000000001</v>
      </c>
      <c r="Z307" s="66">
        <v>176.61600000000001</v>
      </c>
      <c r="AA307" s="307">
        <v>174.34100000000001</v>
      </c>
      <c r="AB307" s="66">
        <v>182.78899999999999</v>
      </c>
      <c r="AC307" s="66">
        <v>202.79499999999999</v>
      </c>
      <c r="AD307" s="308">
        <v>194.40899999999999</v>
      </c>
      <c r="AE307" s="66">
        <v>185.1</v>
      </c>
      <c r="AF307" s="66"/>
      <c r="AG307" s="66"/>
      <c r="AH307" s="47"/>
      <c r="AI307" s="207"/>
      <c r="AJ307" s="47"/>
      <c r="AK307" s="47"/>
      <c r="AL307" s="208"/>
      <c r="AM307" s="207"/>
      <c r="AN307" s="47"/>
      <c r="AO307" s="47"/>
      <c r="AP307" s="208"/>
      <c r="AQ307" s="47"/>
      <c r="AR307" s="47"/>
      <c r="AS307" s="47"/>
      <c r="AT307" s="208"/>
      <c r="AU307" s="47"/>
      <c r="AV307" s="47"/>
      <c r="AW307" s="47"/>
      <c r="AX307" s="782"/>
      <c r="AY307" s="883"/>
      <c r="AZ307" s="883"/>
      <c r="BA307" s="47"/>
      <c r="BB307" s="782"/>
      <c r="BC307" s="883"/>
      <c r="BD307" s="883"/>
      <c r="BE307" s="47"/>
      <c r="BF307" s="208"/>
      <c r="BG307" s="883"/>
      <c r="BH307" s="883"/>
      <c r="BI307" s="47"/>
      <c r="BJ307" s="208"/>
      <c r="BK307" s="883"/>
      <c r="BL307" s="883"/>
      <c r="BM307" s="47"/>
      <c r="BN307" s="208"/>
      <c r="BO307" s="89"/>
      <c r="BP307" s="73">
        <f>SUM(C307:F307)</f>
        <v>0</v>
      </c>
      <c r="BQ307" s="73">
        <f>SUM(G307:J307)</f>
        <v>0</v>
      </c>
      <c r="BR307" s="73">
        <f>SUM(K307:N307)</f>
        <v>0</v>
      </c>
      <c r="BS307" s="73">
        <f>SUM(O307:R307)</f>
        <v>0</v>
      </c>
      <c r="BT307" s="73">
        <f>SUM(S307:V307)</f>
        <v>489.22300000000007</v>
      </c>
      <c r="BU307" s="73">
        <f>SUM(W307:Z307)</f>
        <v>716.55200000000002</v>
      </c>
      <c r="BV307" s="73">
        <f>SUM(AA307:AD307)</f>
        <v>754.33399999999995</v>
      </c>
      <c r="BW307" s="73">
        <f>SUM(AE307:AH307)</f>
        <v>185.1</v>
      </c>
      <c r="BX307" s="4"/>
      <c r="BY307" s="47"/>
      <c r="BZ307" s="47"/>
      <c r="CA307" s="47"/>
      <c r="CB307" s="47"/>
      <c r="CC307" s="47"/>
      <c r="CD307" s="47"/>
      <c r="CE307" s="47"/>
      <c r="CF307" s="29"/>
      <c r="CG307" s="29"/>
      <c r="CH307" s="29"/>
      <c r="CI307" s="29"/>
      <c r="CJ307" s="29"/>
      <c r="CK307" s="29"/>
      <c r="CL307" s="29"/>
      <c r="CM307" s="29"/>
      <c r="CN307" s="29"/>
      <c r="CO307" s="29"/>
      <c r="CP307" s="29"/>
      <c r="CQ307" s="29"/>
      <c r="CR307" s="29"/>
      <c r="CS307" s="29"/>
      <c r="CT307" s="29"/>
      <c r="CU307" s="29"/>
      <c r="CV307" s="29"/>
      <c r="CW307" s="29"/>
      <c r="CX307" s="29"/>
      <c r="CY307" s="29"/>
      <c r="CZ307" s="29"/>
      <c r="DA307" s="29"/>
      <c r="DB307" s="29"/>
      <c r="DC307" s="29"/>
      <c r="DD307" s="29"/>
      <c r="DE307" s="29"/>
      <c r="DF307" s="29"/>
      <c r="DG307" s="29"/>
      <c r="DH307" s="29"/>
      <c r="DI307" s="29"/>
      <c r="DJ307" s="29"/>
      <c r="DK307" s="29"/>
      <c r="DL307" s="29"/>
      <c r="DM307" s="29"/>
      <c r="DN307" s="29"/>
      <c r="DO307" s="29"/>
      <c r="DP307" s="29"/>
      <c r="DQ307" s="29"/>
      <c r="DR307" s="29"/>
      <c r="DS307" s="29"/>
      <c r="DT307" s="29"/>
      <c r="DU307" s="29"/>
      <c r="DV307" s="29"/>
      <c r="DW307" s="29"/>
      <c r="DX307" s="29"/>
      <c r="DY307" s="29"/>
      <c r="DZ307" s="29"/>
      <c r="EA307" s="29"/>
      <c r="EB307" s="29"/>
      <c r="EC307" s="29"/>
      <c r="ED307" s="29"/>
      <c r="EE307" s="29"/>
      <c r="EF307" s="29"/>
      <c r="EG307" s="29"/>
      <c r="EH307" s="29"/>
      <c r="EI307" s="29"/>
      <c r="EJ307" s="29"/>
      <c r="EK307" s="29"/>
      <c r="EL307" s="29"/>
      <c r="EM307" s="29"/>
      <c r="EN307" s="29"/>
      <c r="EO307" s="29"/>
      <c r="EP307" s="29"/>
      <c r="EQ307" s="29"/>
      <c r="ER307" s="29"/>
      <c r="ES307" s="29"/>
      <c r="ET307" s="29"/>
      <c r="EU307" s="29"/>
      <c r="EV307" s="29"/>
      <c r="EW307" s="29"/>
      <c r="EX307" s="29"/>
      <c r="EY307" s="29"/>
      <c r="EZ307" s="29"/>
      <c r="FA307" s="29"/>
      <c r="FB307" s="29"/>
      <c r="FC307" s="29"/>
      <c r="FD307" s="29"/>
      <c r="FE307" s="29"/>
      <c r="FF307" s="29"/>
      <c r="FG307" s="29"/>
      <c r="FH307" s="29"/>
      <c r="FI307" s="29"/>
      <c r="FJ307" s="29"/>
      <c r="FK307" s="29"/>
      <c r="FL307" s="29"/>
      <c r="FM307" s="29"/>
      <c r="FN307" s="29"/>
      <c r="FO307" s="29"/>
      <c r="FP307" s="29"/>
      <c r="FQ307" s="29"/>
      <c r="FR307" s="29"/>
      <c r="FS307" s="29"/>
      <c r="FT307" s="29"/>
      <c r="FU307" s="29"/>
      <c r="FV307" s="29"/>
      <c r="FW307" s="29"/>
      <c r="FX307" s="29"/>
      <c r="FY307" s="29"/>
      <c r="FZ307" s="29"/>
      <c r="GA307" s="29"/>
      <c r="GB307" s="29"/>
      <c r="GC307" s="29"/>
      <c r="GD307" s="29"/>
      <c r="GE307" s="29"/>
      <c r="GF307" s="29"/>
      <c r="GG307" s="29"/>
      <c r="GH307" s="29"/>
      <c r="GI307" s="29"/>
      <c r="GJ307" s="29"/>
      <c r="GK307" s="29"/>
      <c r="GL307" s="29"/>
      <c r="GM307" s="29"/>
      <c r="GN307" s="29"/>
      <c r="GO307" s="29"/>
      <c r="GP307" s="29"/>
      <c r="GQ307" s="29"/>
      <c r="GR307" s="29"/>
      <c r="GS307" s="29"/>
      <c r="GT307" s="29"/>
      <c r="GU307" s="29"/>
      <c r="GV307" s="29"/>
      <c r="GW307" s="29"/>
      <c r="GX307" s="29"/>
      <c r="GY307" s="29"/>
      <c r="GZ307" s="29"/>
      <c r="HA307" s="29"/>
      <c r="HB307" s="29"/>
      <c r="HC307" s="29"/>
      <c r="HD307" s="29"/>
      <c r="HE307" s="29"/>
      <c r="HF307" s="29"/>
      <c r="HG307" s="29"/>
      <c r="HH307" s="29"/>
      <c r="HI307" s="29"/>
      <c r="HJ307" s="29"/>
      <c r="HK307" s="29"/>
      <c r="HL307" s="29"/>
      <c r="HM307" s="29"/>
      <c r="HN307" s="29"/>
      <c r="HO307" s="29"/>
      <c r="HP307" s="29"/>
      <c r="HQ307" s="29"/>
      <c r="HR307" s="29"/>
    </row>
    <row r="308" spans="1:226" s="46" customFormat="1" hidden="1" outlineLevel="1">
      <c r="A308" s="84"/>
      <c r="B308" s="152" t="s">
        <v>271</v>
      </c>
      <c r="C308" s="311"/>
      <c r="D308" s="76"/>
      <c r="E308" s="76"/>
      <c r="F308" s="312"/>
      <c r="G308" s="76"/>
      <c r="H308" s="76"/>
      <c r="I308" s="76"/>
      <c r="J308" s="76"/>
      <c r="K308" s="311"/>
      <c r="L308" s="76"/>
      <c r="M308" s="76"/>
      <c r="N308" s="312"/>
      <c r="O308" s="76"/>
      <c r="P308" s="76"/>
      <c r="Q308" s="76"/>
      <c r="R308" s="76"/>
      <c r="S308" s="311">
        <v>0.67</v>
      </c>
      <c r="T308" s="76">
        <v>0.65</v>
      </c>
      <c r="U308" s="76">
        <v>0.67</v>
      </c>
      <c r="V308" s="312">
        <v>0.67</v>
      </c>
      <c r="W308" s="76">
        <v>0.67</v>
      </c>
      <c r="X308" s="76">
        <v>0.65</v>
      </c>
      <c r="Y308" s="76">
        <v>0.67</v>
      </c>
      <c r="Z308" s="76">
        <v>0.67</v>
      </c>
      <c r="AA308" s="311">
        <v>0.71</v>
      </c>
      <c r="AB308" s="76">
        <v>0.71</v>
      </c>
      <c r="AC308" s="76">
        <v>0.7</v>
      </c>
      <c r="AD308" s="312">
        <v>0.7</v>
      </c>
      <c r="AE308" s="66"/>
      <c r="AF308" s="66"/>
      <c r="AG308" s="66"/>
      <c r="AH308" s="47"/>
      <c r="AI308" s="207"/>
      <c r="AJ308" s="47"/>
      <c r="AK308" s="47"/>
      <c r="AL308" s="208"/>
      <c r="AM308" s="207"/>
      <c r="AN308" s="47"/>
      <c r="AO308" s="47"/>
      <c r="AP308" s="208"/>
      <c r="AQ308" s="47"/>
      <c r="AR308" s="47"/>
      <c r="AS308" s="47"/>
      <c r="AT308" s="208"/>
      <c r="AU308" s="47"/>
      <c r="AV308" s="47"/>
      <c r="AW308" s="47"/>
      <c r="AX308" s="782"/>
      <c r="AY308" s="883"/>
      <c r="AZ308" s="883"/>
      <c r="BA308" s="47"/>
      <c r="BB308" s="782"/>
      <c r="BC308" s="883"/>
      <c r="BD308" s="883"/>
      <c r="BE308" s="47"/>
      <c r="BF308" s="208"/>
      <c r="BG308" s="883"/>
      <c r="BH308" s="883"/>
      <c r="BI308" s="47"/>
      <c r="BJ308" s="208"/>
      <c r="BK308" s="883"/>
      <c r="BL308" s="883"/>
      <c r="BM308" s="47"/>
      <c r="BN308" s="208"/>
      <c r="BO308" s="89"/>
      <c r="BP308" s="4"/>
      <c r="BQ308" s="4"/>
      <c r="BR308" s="4"/>
      <c r="BS308" s="4"/>
      <c r="BT308" s="4"/>
      <c r="BU308" s="4"/>
      <c r="BV308" s="51"/>
      <c r="BW308" s="50"/>
      <c r="BX308" s="50"/>
      <c r="BY308" s="47"/>
      <c r="BZ308" s="47"/>
      <c r="CA308" s="47"/>
      <c r="CB308" s="47"/>
      <c r="CC308" s="47"/>
      <c r="CD308" s="47"/>
      <c r="CE308" s="47"/>
      <c r="CF308" s="29"/>
      <c r="CG308" s="29"/>
      <c r="CH308" s="29"/>
      <c r="CI308" s="29"/>
      <c r="CJ308" s="2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29"/>
      <c r="DD308" s="2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29"/>
      <c r="DX308" s="2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29"/>
      <c r="ER308" s="29"/>
      <c r="ES308" s="29"/>
      <c r="ET308" s="29"/>
      <c r="EU308" s="29"/>
      <c r="EV308" s="29"/>
      <c r="EW308" s="29"/>
      <c r="EX308" s="29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29"/>
      <c r="FJ308" s="29"/>
      <c r="FK308" s="29"/>
      <c r="FL308" s="29"/>
      <c r="FM308" s="29"/>
      <c r="FN308" s="29"/>
      <c r="FO308" s="29"/>
      <c r="FP308" s="29"/>
      <c r="FQ308" s="29"/>
      <c r="FR308" s="29"/>
      <c r="FS308" s="29"/>
      <c r="FT308" s="29"/>
      <c r="FU308" s="29"/>
      <c r="FV308" s="29"/>
      <c r="FW308" s="29"/>
      <c r="FX308" s="29"/>
      <c r="FY308" s="29"/>
      <c r="FZ308" s="29"/>
      <c r="GA308" s="29"/>
      <c r="GB308" s="29"/>
      <c r="GC308" s="29"/>
      <c r="GD308" s="29"/>
      <c r="GE308" s="29"/>
      <c r="GF308" s="29"/>
      <c r="GG308" s="29"/>
      <c r="GH308" s="29"/>
      <c r="GI308" s="29"/>
      <c r="GJ308" s="29"/>
      <c r="GK308" s="29"/>
      <c r="GL308" s="29"/>
      <c r="GM308" s="29"/>
      <c r="GN308" s="29"/>
      <c r="GO308" s="29"/>
      <c r="GP308" s="29"/>
      <c r="GQ308" s="29"/>
      <c r="GR308" s="29"/>
      <c r="GS308" s="29"/>
      <c r="GT308" s="29"/>
      <c r="GU308" s="29"/>
      <c r="GV308" s="29"/>
      <c r="GW308" s="29"/>
      <c r="GX308" s="29"/>
      <c r="GY308" s="29"/>
      <c r="GZ308" s="29"/>
      <c r="HA308" s="29"/>
      <c r="HB308" s="29"/>
      <c r="HC308" s="29"/>
      <c r="HD308" s="29"/>
      <c r="HE308" s="29"/>
      <c r="HF308" s="29"/>
      <c r="HG308" s="29"/>
      <c r="HH308" s="29"/>
      <c r="HI308" s="29"/>
      <c r="HJ308" s="29"/>
      <c r="HK308" s="29"/>
      <c r="HL308" s="29"/>
      <c r="HM308" s="29"/>
      <c r="HN308" s="29"/>
      <c r="HO308" s="29"/>
      <c r="HP308" s="29"/>
      <c r="HQ308" s="29"/>
      <c r="HR308" s="29"/>
    </row>
    <row r="309" spans="1:226" s="46" customFormat="1" hidden="1" outlineLevel="1">
      <c r="A309" s="84"/>
      <c r="B309" s="91" t="s">
        <v>270</v>
      </c>
      <c r="C309" s="307"/>
      <c r="D309" s="66"/>
      <c r="E309" s="66"/>
      <c r="F309" s="308"/>
      <c r="G309" s="66"/>
      <c r="H309" s="66"/>
      <c r="I309" s="66"/>
      <c r="J309" s="66"/>
      <c r="K309" s="307"/>
      <c r="L309" s="66"/>
      <c r="M309" s="66"/>
      <c r="N309" s="308"/>
      <c r="O309" s="66"/>
      <c r="P309" s="66"/>
      <c r="Q309" s="66"/>
      <c r="R309" s="66"/>
      <c r="S309" s="307">
        <v>3</v>
      </c>
      <c r="T309" s="66">
        <v>3</v>
      </c>
      <c r="U309" s="66">
        <v>5</v>
      </c>
      <c r="V309" s="308">
        <v>10</v>
      </c>
      <c r="W309" s="66">
        <v>25</v>
      </c>
      <c r="X309" s="66">
        <v>25</v>
      </c>
      <c r="Y309" s="66">
        <v>25</v>
      </c>
      <c r="Z309" s="66">
        <v>27</v>
      </c>
      <c r="AA309" s="307">
        <v>27.5</v>
      </c>
      <c r="AB309" s="66">
        <v>22</v>
      </c>
      <c r="AC309" s="66">
        <v>22</v>
      </c>
      <c r="AD309" s="308">
        <v>27.5</v>
      </c>
      <c r="AE309" s="66">
        <v>27.5</v>
      </c>
      <c r="AF309" s="66">
        <v>27</v>
      </c>
      <c r="AG309" s="66">
        <v>52</v>
      </c>
      <c r="AH309" s="66">
        <v>30</v>
      </c>
      <c r="AI309" s="207"/>
      <c r="AJ309" s="47"/>
      <c r="AK309" s="47"/>
      <c r="AL309" s="208"/>
      <c r="AM309" s="207"/>
      <c r="AN309" s="47"/>
      <c r="AO309" s="47"/>
      <c r="AP309" s="208"/>
      <c r="AQ309" s="47"/>
      <c r="AR309" s="47"/>
      <c r="AS309" s="47"/>
      <c r="AT309" s="208"/>
      <c r="AU309" s="47"/>
      <c r="AV309" s="47"/>
      <c r="AW309" s="47"/>
      <c r="AX309" s="782"/>
      <c r="AY309" s="883"/>
      <c r="AZ309" s="883"/>
      <c r="BA309" s="47"/>
      <c r="BB309" s="782"/>
      <c r="BC309" s="883"/>
      <c r="BD309" s="883"/>
      <c r="BE309" s="47"/>
      <c r="BF309" s="208"/>
      <c r="BG309" s="883"/>
      <c r="BH309" s="883"/>
      <c r="BI309" s="47"/>
      <c r="BJ309" s="208"/>
      <c r="BK309" s="883"/>
      <c r="BL309" s="883"/>
      <c r="BM309" s="47"/>
      <c r="BN309" s="208"/>
      <c r="BO309" s="89"/>
      <c r="BP309" s="73">
        <f>SUM(C309:F309)</f>
        <v>0</v>
      </c>
      <c r="BQ309" s="73">
        <f>SUM(G309:J309)</f>
        <v>0</v>
      </c>
      <c r="BR309" s="73">
        <f>SUM(K309:N309)</f>
        <v>0</v>
      </c>
      <c r="BS309" s="73">
        <f>SUM(O309:R309)</f>
        <v>0</v>
      </c>
      <c r="BT309" s="73">
        <f>SUM(S309:V309)</f>
        <v>21</v>
      </c>
      <c r="BU309" s="73">
        <f>SUM(W309:Z309)</f>
        <v>102</v>
      </c>
      <c r="BV309" s="73">
        <f>SUM(AA309:AD309)</f>
        <v>99</v>
      </c>
      <c r="BW309" s="73">
        <f>SUM(AE309:AH309)</f>
        <v>136.5</v>
      </c>
      <c r="BX309" s="50"/>
      <c r="BY309" s="47"/>
      <c r="BZ309" s="47"/>
      <c r="CA309" s="47"/>
      <c r="CB309" s="47"/>
      <c r="CC309" s="47"/>
      <c r="CD309" s="47"/>
      <c r="CE309" s="47"/>
      <c r="CF309" s="29"/>
      <c r="CG309" s="29"/>
      <c r="CH309" s="29"/>
      <c r="CI309" s="29"/>
      <c r="CJ309" s="2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29"/>
      <c r="DD309" s="2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29"/>
      <c r="DX309" s="2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29"/>
      <c r="ER309" s="29"/>
      <c r="ES309" s="29"/>
      <c r="ET309" s="29"/>
      <c r="EU309" s="29"/>
      <c r="EV309" s="29"/>
      <c r="EW309" s="29"/>
      <c r="EX309" s="29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29"/>
      <c r="FJ309" s="29"/>
      <c r="FK309" s="29"/>
      <c r="FL309" s="29"/>
      <c r="FM309" s="29"/>
      <c r="FN309" s="29"/>
      <c r="FO309" s="29"/>
      <c r="FP309" s="29"/>
      <c r="FQ309" s="29"/>
      <c r="FR309" s="29"/>
      <c r="FS309" s="29"/>
      <c r="FT309" s="29"/>
      <c r="FU309" s="29"/>
      <c r="FV309" s="29"/>
      <c r="FW309" s="29"/>
      <c r="FX309" s="29"/>
      <c r="FY309" s="29"/>
      <c r="FZ309" s="29"/>
      <c r="GA309" s="29"/>
      <c r="GB309" s="29"/>
      <c r="GC309" s="29"/>
      <c r="GD309" s="29"/>
      <c r="GE309" s="29"/>
      <c r="GF309" s="29"/>
      <c r="GG309" s="29"/>
      <c r="GH309" s="29"/>
      <c r="GI309" s="29"/>
      <c r="GJ309" s="29"/>
      <c r="GK309" s="29"/>
      <c r="GL309" s="29"/>
      <c r="GM309" s="29"/>
      <c r="GN309" s="29"/>
      <c r="GO309" s="29"/>
      <c r="GP309" s="29"/>
      <c r="GQ309" s="29"/>
      <c r="GR309" s="29"/>
      <c r="GS309" s="29"/>
      <c r="GT309" s="29"/>
      <c r="GU309" s="29"/>
      <c r="GV309" s="29"/>
      <c r="GW309" s="29"/>
      <c r="GX309" s="29"/>
      <c r="GY309" s="29"/>
      <c r="GZ309" s="29"/>
      <c r="HA309" s="29"/>
      <c r="HB309" s="29"/>
      <c r="HC309" s="29"/>
      <c r="HD309" s="29"/>
      <c r="HE309" s="29"/>
      <c r="HF309" s="29"/>
      <c r="HG309" s="29"/>
      <c r="HH309" s="29"/>
      <c r="HI309" s="29"/>
      <c r="HJ309" s="29"/>
      <c r="HK309" s="29"/>
      <c r="HL309" s="29"/>
      <c r="HM309" s="29"/>
      <c r="HN309" s="29"/>
      <c r="HO309" s="29"/>
      <c r="HP309" s="29"/>
      <c r="HQ309" s="29"/>
      <c r="HR309" s="29"/>
    </row>
    <row r="310" spans="1:226" s="46" customFormat="1" hidden="1" outlineLevel="1">
      <c r="A310" s="84"/>
      <c r="B310" s="152" t="s">
        <v>272</v>
      </c>
      <c r="C310" s="311"/>
      <c r="D310" s="76"/>
      <c r="E310" s="76"/>
      <c r="F310" s="312"/>
      <c r="G310" s="76"/>
      <c r="H310" s="76"/>
      <c r="I310" s="76"/>
      <c r="J310" s="76"/>
      <c r="K310" s="311"/>
      <c r="L310" s="76"/>
      <c r="M310" s="76"/>
      <c r="N310" s="312"/>
      <c r="O310" s="76"/>
      <c r="P310" s="76"/>
      <c r="Q310" s="76"/>
      <c r="R310" s="76"/>
      <c r="S310" s="311">
        <v>0.7</v>
      </c>
      <c r="T310" s="76">
        <v>0.7</v>
      </c>
      <c r="U310" s="76">
        <v>0.7</v>
      </c>
      <c r="V310" s="312">
        <v>0.7</v>
      </c>
      <c r="W310" s="76">
        <v>0.7</v>
      </c>
      <c r="X310" s="76">
        <v>0.7</v>
      </c>
      <c r="Y310" s="76">
        <v>0.7</v>
      </c>
      <c r="Z310" s="76">
        <v>0.7</v>
      </c>
      <c r="AA310" s="311">
        <v>0.7</v>
      </c>
      <c r="AB310" s="76">
        <v>0.7</v>
      </c>
      <c r="AC310" s="76">
        <v>0.7</v>
      </c>
      <c r="AD310" s="312">
        <v>0.7</v>
      </c>
      <c r="AE310" s="66"/>
      <c r="AF310" s="66"/>
      <c r="AG310" s="66"/>
      <c r="AH310" s="66"/>
      <c r="AI310" s="207"/>
      <c r="AJ310" s="47"/>
      <c r="AK310" s="47"/>
      <c r="AL310" s="208"/>
      <c r="AM310" s="207"/>
      <c r="AN310" s="47"/>
      <c r="AO310" s="47"/>
      <c r="AP310" s="208"/>
      <c r="AQ310" s="47"/>
      <c r="AR310" s="47"/>
      <c r="AS310" s="47"/>
      <c r="AT310" s="208"/>
      <c r="AU310" s="47"/>
      <c r="AV310" s="47"/>
      <c r="AW310" s="47"/>
      <c r="AX310" s="782"/>
      <c r="AY310" s="883"/>
      <c r="AZ310" s="883"/>
      <c r="BA310" s="47"/>
      <c r="BB310" s="782"/>
      <c r="BC310" s="883"/>
      <c r="BD310" s="883"/>
      <c r="BE310" s="47"/>
      <c r="BF310" s="208"/>
      <c r="BG310" s="883"/>
      <c r="BH310" s="883"/>
      <c r="BI310" s="47"/>
      <c r="BJ310" s="208"/>
      <c r="BK310" s="883"/>
      <c r="BL310" s="883"/>
      <c r="BM310" s="47"/>
      <c r="BN310" s="208"/>
      <c r="BO310" s="89"/>
      <c r="BP310" s="4"/>
      <c r="BQ310" s="4"/>
      <c r="BR310" s="4"/>
      <c r="BS310" s="4"/>
      <c r="BT310" s="4"/>
      <c r="BU310" s="4"/>
      <c r="BV310" s="51"/>
      <c r="BW310" s="50"/>
      <c r="BX310" s="50"/>
      <c r="BY310" s="47"/>
      <c r="BZ310" s="47"/>
      <c r="CA310" s="47"/>
      <c r="CB310" s="47"/>
      <c r="CC310" s="47"/>
      <c r="CD310" s="47"/>
      <c r="CE310" s="47"/>
      <c r="CF310" s="29"/>
      <c r="CG310" s="29"/>
      <c r="CH310" s="29"/>
      <c r="CI310" s="29"/>
      <c r="CJ310" s="29"/>
      <c r="CK310" s="29"/>
      <c r="CL310" s="29"/>
      <c r="CM310" s="29"/>
      <c r="CN310" s="29"/>
      <c r="CO310" s="29"/>
      <c r="CP310" s="29"/>
      <c r="CQ310" s="29"/>
      <c r="CR310" s="29"/>
      <c r="CS310" s="29"/>
      <c r="CT310" s="29"/>
      <c r="CU310" s="29"/>
      <c r="CV310" s="29"/>
      <c r="CW310" s="29"/>
      <c r="CX310" s="29"/>
      <c r="CY310" s="29"/>
      <c r="CZ310" s="29"/>
      <c r="DA310" s="29"/>
      <c r="DB310" s="29"/>
      <c r="DC310" s="29"/>
      <c r="DD310" s="29"/>
      <c r="DE310" s="29"/>
      <c r="DF310" s="29"/>
      <c r="DG310" s="29"/>
      <c r="DH310" s="29"/>
      <c r="DI310" s="29"/>
      <c r="DJ310" s="29"/>
      <c r="DK310" s="29"/>
      <c r="DL310" s="29"/>
      <c r="DM310" s="29"/>
      <c r="DN310" s="29"/>
      <c r="DO310" s="29"/>
      <c r="DP310" s="29"/>
      <c r="DQ310" s="29"/>
      <c r="DR310" s="29"/>
      <c r="DS310" s="29"/>
      <c r="DT310" s="29"/>
      <c r="DU310" s="29"/>
      <c r="DV310" s="29"/>
      <c r="DW310" s="29"/>
      <c r="DX310" s="29"/>
      <c r="DY310" s="29"/>
      <c r="DZ310" s="29"/>
      <c r="EA310" s="29"/>
      <c r="EB310" s="29"/>
      <c r="EC310" s="29"/>
      <c r="ED310" s="29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29"/>
      <c r="ET310" s="29"/>
      <c r="EU310" s="29"/>
      <c r="EV310" s="29"/>
      <c r="EW310" s="29"/>
      <c r="EX310" s="29"/>
      <c r="EY310" s="29"/>
      <c r="EZ310" s="29"/>
      <c r="FA310" s="29"/>
      <c r="FB310" s="29"/>
      <c r="FC310" s="29"/>
      <c r="FD310" s="29"/>
      <c r="FE310" s="29"/>
      <c r="FF310" s="29"/>
      <c r="FG310" s="29"/>
      <c r="FH310" s="29"/>
      <c r="FI310" s="29"/>
      <c r="FJ310" s="29"/>
      <c r="FK310" s="29"/>
      <c r="FL310" s="29"/>
      <c r="FM310" s="29"/>
      <c r="FN310" s="29"/>
      <c r="FO310" s="29"/>
      <c r="FP310" s="29"/>
      <c r="FQ310" s="29"/>
      <c r="FR310" s="29"/>
      <c r="FS310" s="29"/>
      <c r="FT310" s="29"/>
      <c r="FU310" s="29"/>
      <c r="FV310" s="29"/>
      <c r="FW310" s="29"/>
      <c r="FX310" s="29"/>
      <c r="FY310" s="29"/>
      <c r="FZ310" s="29"/>
      <c r="GA310" s="29"/>
      <c r="GB310" s="29"/>
      <c r="GC310" s="29"/>
      <c r="GD310" s="29"/>
      <c r="GE310" s="29"/>
      <c r="GF310" s="29"/>
      <c r="GG310" s="29"/>
      <c r="GH310" s="29"/>
      <c r="GI310" s="29"/>
      <c r="GJ310" s="29"/>
      <c r="GK310" s="29"/>
      <c r="GL310" s="29"/>
      <c r="GM310" s="29"/>
      <c r="GN310" s="29"/>
      <c r="GO310" s="29"/>
      <c r="GP310" s="29"/>
      <c r="GQ310" s="29"/>
      <c r="GR310" s="29"/>
      <c r="GS310" s="29"/>
      <c r="GT310" s="29"/>
      <c r="GU310" s="29"/>
      <c r="GV310" s="29"/>
      <c r="GW310" s="29"/>
      <c r="GX310" s="29"/>
      <c r="GY310" s="29"/>
      <c r="GZ310" s="29"/>
      <c r="HA310" s="29"/>
      <c r="HB310" s="29"/>
      <c r="HC310" s="29"/>
      <c r="HD310" s="29"/>
      <c r="HE310" s="29"/>
      <c r="HF310" s="29"/>
      <c r="HG310" s="29"/>
      <c r="HH310" s="29"/>
      <c r="HI310" s="29"/>
      <c r="HJ310" s="29"/>
      <c r="HK310" s="29"/>
      <c r="HL310" s="29"/>
      <c r="HM310" s="29"/>
      <c r="HN310" s="29"/>
      <c r="HO310" s="29"/>
      <c r="HP310" s="29"/>
      <c r="HQ310" s="29"/>
      <c r="HR310" s="29"/>
    </row>
    <row r="311" spans="1:226" s="46" customFormat="1" hidden="1" outlineLevel="1">
      <c r="A311" s="84"/>
      <c r="B311" s="5" t="s">
        <v>161</v>
      </c>
      <c r="C311" s="268"/>
      <c r="D311" s="9"/>
      <c r="E311" s="9"/>
      <c r="F311" s="269"/>
      <c r="G311" s="9"/>
      <c r="H311" s="9"/>
      <c r="I311" s="9"/>
      <c r="J311" s="9"/>
      <c r="K311" s="268"/>
      <c r="L311" s="9"/>
      <c r="M311" s="9"/>
      <c r="N311" s="269"/>
      <c r="O311" s="9"/>
      <c r="P311" s="9"/>
      <c r="Q311" s="9"/>
      <c r="R311" s="9"/>
      <c r="S311" s="268"/>
      <c r="T311" s="9"/>
      <c r="U311" s="9"/>
      <c r="V311" s="269"/>
      <c r="W311" s="9"/>
      <c r="X311" s="9"/>
      <c r="Y311" s="9"/>
      <c r="Z311" s="9"/>
      <c r="AA311" s="268"/>
      <c r="AB311" s="9"/>
      <c r="AC311" s="9"/>
      <c r="AD311" s="269"/>
      <c r="AE311" s="47"/>
      <c r="AF311" s="47"/>
      <c r="AG311" s="47"/>
      <c r="AH311" s="47"/>
      <c r="AI311" s="207"/>
      <c r="AJ311" s="47"/>
      <c r="AK311" s="47"/>
      <c r="AL311" s="208"/>
      <c r="AM311" s="207"/>
      <c r="AN311" s="47"/>
      <c r="AO311" s="47"/>
      <c r="AP311" s="208"/>
      <c r="AQ311" s="47"/>
      <c r="AR311" s="47"/>
      <c r="AS311" s="47"/>
      <c r="AT311" s="208"/>
      <c r="AU311" s="47"/>
      <c r="AV311" s="47"/>
      <c r="AW311" s="47"/>
      <c r="AX311" s="782"/>
      <c r="AY311" s="883"/>
      <c r="AZ311" s="883"/>
      <c r="BA311" s="47"/>
      <c r="BB311" s="782"/>
      <c r="BC311" s="883"/>
      <c r="BD311" s="883"/>
      <c r="BE311" s="47"/>
      <c r="BF311" s="208"/>
      <c r="BG311" s="883"/>
      <c r="BH311" s="883"/>
      <c r="BI311" s="47"/>
      <c r="BJ311" s="208"/>
      <c r="BK311" s="883"/>
      <c r="BL311" s="883"/>
      <c r="BM311" s="47"/>
      <c r="BN311" s="208"/>
      <c r="BO311" s="89"/>
      <c r="BP311" s="4">
        <v>4.4980000000000002</v>
      </c>
      <c r="BQ311" s="4">
        <v>7.3810000000000002</v>
      </c>
      <c r="BR311" s="4">
        <v>9.5960000000000001</v>
      </c>
      <c r="BS311" s="4">
        <v>29.088999999999999</v>
      </c>
      <c r="BT311" s="4">
        <v>28.443000000000001</v>
      </c>
      <c r="BU311" s="4">
        <v>26.710999999999999</v>
      </c>
      <c r="BV311" s="51">
        <v>22.564</v>
      </c>
      <c r="BW311" s="50"/>
      <c r="BX311" s="50"/>
      <c r="BY311" s="47"/>
      <c r="BZ311" s="47"/>
      <c r="CA311" s="47"/>
      <c r="CB311" s="47"/>
      <c r="CC311" s="47"/>
      <c r="CD311" s="47"/>
      <c r="CE311" s="47"/>
      <c r="CF311" s="29"/>
      <c r="CG311" s="29"/>
      <c r="CH311" s="29"/>
      <c r="CI311" s="29"/>
      <c r="CJ311" s="2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29"/>
      <c r="DD311" s="2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29"/>
      <c r="DX311" s="2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29"/>
      <c r="ER311" s="29"/>
      <c r="ES311" s="29"/>
      <c r="ET311" s="29"/>
      <c r="EU311" s="29"/>
      <c r="EV311" s="29"/>
      <c r="EW311" s="29"/>
      <c r="EX311" s="29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29"/>
      <c r="FJ311" s="29"/>
      <c r="FK311" s="29"/>
      <c r="FL311" s="29"/>
      <c r="FM311" s="29"/>
      <c r="FN311" s="29"/>
      <c r="FO311" s="29"/>
      <c r="FP311" s="29"/>
      <c r="FQ311" s="29"/>
      <c r="FR311" s="29"/>
      <c r="FS311" s="29"/>
      <c r="FT311" s="29"/>
      <c r="FU311" s="29"/>
      <c r="FV311" s="29"/>
      <c r="FW311" s="29"/>
      <c r="FX311" s="29"/>
      <c r="FY311" s="29"/>
      <c r="FZ311" s="29"/>
      <c r="GA311" s="29"/>
      <c r="GB311" s="29"/>
      <c r="GC311" s="29"/>
      <c r="GD311" s="29"/>
      <c r="GE311" s="29"/>
      <c r="GF311" s="29"/>
      <c r="GG311" s="29"/>
      <c r="GH311" s="29"/>
      <c r="GI311" s="29"/>
      <c r="GJ311" s="29"/>
      <c r="GK311" s="29"/>
      <c r="GL311" s="29"/>
      <c r="GM311" s="29"/>
      <c r="GN311" s="29"/>
      <c r="GO311" s="29"/>
      <c r="GP311" s="29"/>
      <c r="GQ311" s="29"/>
      <c r="GR311" s="29"/>
      <c r="GS311" s="29"/>
      <c r="GT311" s="29"/>
      <c r="GU311" s="29"/>
      <c r="GV311" s="29"/>
      <c r="GW311" s="29"/>
      <c r="GX311" s="29"/>
      <c r="GY311" s="29"/>
      <c r="GZ311" s="29"/>
      <c r="HA311" s="29"/>
      <c r="HB311" s="29"/>
      <c r="HC311" s="29"/>
      <c r="HD311" s="29"/>
      <c r="HE311" s="29"/>
      <c r="HF311" s="29"/>
      <c r="HG311" s="29"/>
      <c r="HH311" s="29"/>
      <c r="HI311" s="29"/>
      <c r="HJ311" s="29"/>
      <c r="HK311" s="29"/>
      <c r="HL311" s="29"/>
      <c r="HM311" s="29"/>
      <c r="HN311" s="29"/>
      <c r="HO311" s="29"/>
      <c r="HP311" s="29"/>
      <c r="HQ311" s="29"/>
      <c r="HR311" s="29"/>
    </row>
    <row r="312" spans="1:226" s="46" customFormat="1" hidden="1" outlineLevel="1">
      <c r="A312" s="84"/>
      <c r="B312" s="5" t="s">
        <v>164</v>
      </c>
      <c r="C312" s="307"/>
      <c r="D312" s="66"/>
      <c r="E312" s="66"/>
      <c r="F312" s="308"/>
      <c r="G312" s="66">
        <v>45.064</v>
      </c>
      <c r="H312" s="66">
        <v>54.517000000000003</v>
      </c>
      <c r="I312" s="66">
        <v>52.32</v>
      </c>
      <c r="J312" s="66">
        <v>62.065000000000019</v>
      </c>
      <c r="K312" s="307">
        <v>69.307000000000002</v>
      </c>
      <c r="L312" s="66">
        <v>66.363</v>
      </c>
      <c r="M312" s="66">
        <v>82.182000000000002</v>
      </c>
      <c r="N312" s="308">
        <v>87.542999999999964</v>
      </c>
      <c r="O312" s="66">
        <v>110.328</v>
      </c>
      <c r="P312" s="66">
        <v>83.686000000000007</v>
      </c>
      <c r="Q312" s="66">
        <v>99.001000000000005</v>
      </c>
      <c r="R312" s="66">
        <v>-38.268000000000001</v>
      </c>
      <c r="S312" s="307">
        <v>21.103999999999999</v>
      </c>
      <c r="T312" s="66">
        <v>32.822000000000003</v>
      </c>
      <c r="U312" s="66">
        <v>38.6</v>
      </c>
      <c r="V312" s="308">
        <v>56.427000000000007</v>
      </c>
      <c r="W312" s="66">
        <v>73.864999999999995</v>
      </c>
      <c r="X312" s="66">
        <v>85.225999999999999</v>
      </c>
      <c r="Y312" s="66">
        <v>87.027000000000001</v>
      </c>
      <c r="Z312" s="66">
        <v>75.826000000000036</v>
      </c>
      <c r="AA312" s="307">
        <v>69.885000000000005</v>
      </c>
      <c r="AB312" s="66">
        <v>69.863</v>
      </c>
      <c r="AC312" s="66">
        <v>95.887</v>
      </c>
      <c r="AD312" s="308">
        <v>92.334999999999994</v>
      </c>
      <c r="AE312" s="66">
        <v>95.787000000000006</v>
      </c>
      <c r="AF312" s="66">
        <v>86.837999999999994</v>
      </c>
      <c r="AG312" s="66">
        <v>100.895</v>
      </c>
      <c r="AH312" s="47"/>
      <c r="AI312" s="207"/>
      <c r="AJ312" s="47"/>
      <c r="AK312" s="47"/>
      <c r="AL312" s="208"/>
      <c r="AM312" s="207"/>
      <c r="AN312" s="47"/>
      <c r="AO312" s="47"/>
      <c r="AP312" s="208"/>
      <c r="AQ312" s="47"/>
      <c r="AR312" s="47"/>
      <c r="AS312" s="47"/>
      <c r="AT312" s="208"/>
      <c r="AU312" s="47"/>
      <c r="AV312" s="47"/>
      <c r="AW312" s="47"/>
      <c r="AX312" s="782"/>
      <c r="AY312" s="883"/>
      <c r="AZ312" s="883"/>
      <c r="BA312" s="47"/>
      <c r="BB312" s="782"/>
      <c r="BC312" s="883"/>
      <c r="BD312" s="883"/>
      <c r="BE312" s="47"/>
      <c r="BF312" s="208"/>
      <c r="BG312" s="883"/>
      <c r="BH312" s="883"/>
      <c r="BI312" s="47"/>
      <c r="BJ312" s="208"/>
      <c r="BK312" s="883"/>
      <c r="BL312" s="883"/>
      <c r="BM312" s="47"/>
      <c r="BN312" s="208"/>
      <c r="BO312" s="89"/>
      <c r="BP312" s="4">
        <v>177.79</v>
      </c>
      <c r="BQ312" s="4">
        <v>213.96600000000001</v>
      </c>
      <c r="BR312" s="4">
        <v>305.39499999999998</v>
      </c>
      <c r="BS312" s="4">
        <v>254.74700000000001</v>
      </c>
      <c r="BT312" s="4">
        <v>148.953</v>
      </c>
      <c r="BU312" s="4">
        <v>321.94400000000002</v>
      </c>
      <c r="BV312" s="51">
        <v>327.97</v>
      </c>
      <c r="BW312" s="50"/>
      <c r="BX312" s="50"/>
      <c r="BY312" s="47"/>
      <c r="BZ312" s="47"/>
      <c r="CA312" s="47"/>
      <c r="CB312" s="47"/>
      <c r="CC312" s="47"/>
      <c r="CD312" s="47"/>
      <c r="CE312" s="47"/>
      <c r="CF312" s="29"/>
      <c r="CG312" s="29"/>
      <c r="CH312" s="29"/>
      <c r="CI312" s="29"/>
      <c r="CJ312" s="2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29"/>
      <c r="DD312" s="2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29"/>
      <c r="DX312" s="2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29"/>
      <c r="ER312" s="29"/>
      <c r="ES312" s="29"/>
      <c r="ET312" s="29"/>
      <c r="EU312" s="29"/>
      <c r="EV312" s="29"/>
      <c r="EW312" s="29"/>
      <c r="EX312" s="29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29"/>
      <c r="FJ312" s="29"/>
      <c r="FK312" s="29"/>
      <c r="FL312" s="29"/>
      <c r="FM312" s="29"/>
      <c r="FN312" s="29"/>
      <c r="FO312" s="29"/>
      <c r="FP312" s="29"/>
      <c r="FQ312" s="29"/>
      <c r="FR312" s="29"/>
      <c r="FS312" s="29"/>
      <c r="FT312" s="29"/>
      <c r="FU312" s="29"/>
      <c r="FV312" s="29"/>
      <c r="FW312" s="29"/>
      <c r="FX312" s="29"/>
      <c r="FY312" s="29"/>
      <c r="FZ312" s="29"/>
      <c r="GA312" s="29"/>
      <c r="GB312" s="29"/>
      <c r="GC312" s="29"/>
      <c r="GD312" s="29"/>
      <c r="GE312" s="29"/>
      <c r="GF312" s="29"/>
      <c r="GG312" s="29"/>
      <c r="GH312" s="29"/>
      <c r="GI312" s="29"/>
      <c r="GJ312" s="29"/>
      <c r="GK312" s="29"/>
      <c r="GL312" s="29"/>
      <c r="GM312" s="29"/>
      <c r="GN312" s="29"/>
      <c r="GO312" s="29"/>
      <c r="GP312" s="29"/>
      <c r="GQ312" s="29"/>
      <c r="GR312" s="29"/>
      <c r="GS312" s="29"/>
      <c r="GT312" s="29"/>
      <c r="GU312" s="29"/>
      <c r="GV312" s="29"/>
      <c r="GW312" s="29"/>
      <c r="GX312" s="29"/>
      <c r="GY312" s="29"/>
      <c r="GZ312" s="29"/>
      <c r="HA312" s="29"/>
      <c r="HB312" s="29"/>
      <c r="HC312" s="29"/>
      <c r="HD312" s="29"/>
      <c r="HE312" s="29"/>
      <c r="HF312" s="29"/>
      <c r="HG312" s="29"/>
      <c r="HH312" s="29"/>
      <c r="HI312" s="29"/>
      <c r="HJ312" s="29"/>
      <c r="HK312" s="29"/>
      <c r="HL312" s="29"/>
      <c r="HM312" s="29"/>
      <c r="HN312" s="29"/>
      <c r="HO312" s="29"/>
      <c r="HP312" s="29"/>
      <c r="HQ312" s="29"/>
      <c r="HR312" s="29"/>
    </row>
    <row r="313" spans="1:226" s="46" customFormat="1" hidden="1" outlineLevel="1">
      <c r="A313" s="84"/>
      <c r="B313" s="9"/>
      <c r="C313" s="268"/>
      <c r="D313" s="9"/>
      <c r="E313" s="9"/>
      <c r="F313" s="269"/>
      <c r="G313" s="9"/>
      <c r="H313" s="9"/>
      <c r="I313" s="9"/>
      <c r="J313" s="9"/>
      <c r="K313" s="268"/>
      <c r="L313" s="9"/>
      <c r="M313" s="9"/>
      <c r="N313" s="269"/>
      <c r="O313" s="9"/>
      <c r="P313" s="9"/>
      <c r="Q313" s="9"/>
      <c r="R313" s="9"/>
      <c r="S313" s="268"/>
      <c r="T313" s="9"/>
      <c r="U313" s="9"/>
      <c r="V313" s="269"/>
      <c r="W313" s="9"/>
      <c r="X313" s="9"/>
      <c r="Y313" s="9"/>
      <c r="Z313" s="9"/>
      <c r="AA313" s="268"/>
      <c r="AB313" s="9"/>
      <c r="AC313" s="9"/>
      <c r="AD313" s="269"/>
      <c r="AE313" s="47"/>
      <c r="AF313" s="47"/>
      <c r="AG313" s="47"/>
      <c r="AH313" s="47"/>
      <c r="AI313" s="207"/>
      <c r="AJ313" s="47"/>
      <c r="AK313" s="47"/>
      <c r="AL313" s="208"/>
      <c r="AM313" s="207"/>
      <c r="AN313" s="47"/>
      <c r="AO313" s="47"/>
      <c r="AP313" s="208"/>
      <c r="AQ313" s="47"/>
      <c r="AR313" s="47"/>
      <c r="AS313" s="47"/>
      <c r="AT313" s="208"/>
      <c r="AU313" s="47"/>
      <c r="AV313" s="47"/>
      <c r="AW313" s="47"/>
      <c r="AX313" s="782"/>
      <c r="AY313" s="883"/>
      <c r="AZ313" s="883"/>
      <c r="BA313" s="47"/>
      <c r="BB313" s="782"/>
      <c r="BC313" s="883"/>
      <c r="BD313" s="883"/>
      <c r="BE313" s="47"/>
      <c r="BF313" s="208"/>
      <c r="BG313" s="883"/>
      <c r="BH313" s="883"/>
      <c r="BI313" s="47"/>
      <c r="BJ313" s="208"/>
      <c r="BK313" s="883"/>
      <c r="BL313" s="883"/>
      <c r="BM313" s="47"/>
      <c r="BN313" s="208"/>
      <c r="BO313" s="89"/>
      <c r="BP313" s="4"/>
      <c r="BQ313" s="4"/>
      <c r="BR313" s="4"/>
      <c r="BS313" s="4"/>
      <c r="BT313" s="4"/>
      <c r="BU313" s="4"/>
      <c r="BV313" s="51"/>
      <c r="BW313" s="50"/>
      <c r="BX313" s="50"/>
      <c r="BY313" s="47"/>
      <c r="BZ313" s="47"/>
      <c r="CA313" s="47"/>
      <c r="CB313" s="47"/>
      <c r="CC313" s="47"/>
      <c r="CD313" s="47"/>
      <c r="CE313" s="47"/>
      <c r="CF313" s="29"/>
      <c r="CG313" s="29"/>
      <c r="CH313" s="29"/>
      <c r="CI313" s="29"/>
      <c r="CJ313" s="29"/>
      <c r="CK313" s="29"/>
      <c r="CL313" s="29"/>
      <c r="CM313" s="29"/>
      <c r="CN313" s="29"/>
      <c r="CO313" s="29"/>
      <c r="CP313" s="29"/>
      <c r="CQ313" s="29"/>
      <c r="CR313" s="29"/>
      <c r="CS313" s="29"/>
      <c r="CT313" s="29"/>
      <c r="CU313" s="29"/>
      <c r="CV313" s="29"/>
      <c r="CW313" s="29"/>
      <c r="CX313" s="29"/>
      <c r="CY313" s="29"/>
      <c r="CZ313" s="29"/>
      <c r="DA313" s="29"/>
      <c r="DB313" s="29"/>
      <c r="DC313" s="29"/>
      <c r="DD313" s="29"/>
      <c r="DE313" s="29"/>
      <c r="DF313" s="29"/>
      <c r="DG313" s="29"/>
      <c r="DH313" s="29"/>
      <c r="DI313" s="29"/>
      <c r="DJ313" s="29"/>
      <c r="DK313" s="29"/>
      <c r="DL313" s="29"/>
      <c r="DM313" s="29"/>
      <c r="DN313" s="29"/>
      <c r="DO313" s="29"/>
      <c r="DP313" s="29"/>
      <c r="DQ313" s="29"/>
      <c r="DR313" s="29"/>
      <c r="DS313" s="29"/>
      <c r="DT313" s="29"/>
      <c r="DU313" s="29"/>
      <c r="DV313" s="29"/>
      <c r="DW313" s="29"/>
      <c r="DX313" s="29"/>
      <c r="DY313" s="29"/>
      <c r="DZ313" s="29"/>
      <c r="EA313" s="29"/>
      <c r="EB313" s="29"/>
      <c r="EC313" s="29"/>
      <c r="ED313" s="29"/>
      <c r="EE313" s="29"/>
      <c r="EF313" s="29"/>
      <c r="EG313" s="29"/>
      <c r="EH313" s="29"/>
      <c r="EI313" s="29"/>
      <c r="EJ313" s="29"/>
      <c r="EK313" s="29"/>
      <c r="EL313" s="29"/>
      <c r="EM313" s="29"/>
      <c r="EN313" s="29"/>
      <c r="EO313" s="29"/>
      <c r="EP313" s="29"/>
      <c r="EQ313" s="29"/>
      <c r="ER313" s="29"/>
      <c r="ES313" s="29"/>
      <c r="ET313" s="29"/>
      <c r="EU313" s="29"/>
      <c r="EV313" s="29"/>
      <c r="EW313" s="29"/>
      <c r="EX313" s="29"/>
      <c r="EY313" s="29"/>
      <c r="EZ313" s="29"/>
      <c r="FA313" s="29"/>
      <c r="FB313" s="29"/>
      <c r="FC313" s="29"/>
      <c r="FD313" s="29"/>
      <c r="FE313" s="29"/>
      <c r="FF313" s="29"/>
      <c r="FG313" s="29"/>
      <c r="FH313" s="29"/>
      <c r="FI313" s="29"/>
      <c r="FJ313" s="29"/>
      <c r="FK313" s="29"/>
      <c r="FL313" s="29"/>
      <c r="FM313" s="29"/>
      <c r="FN313" s="29"/>
      <c r="FO313" s="29"/>
      <c r="FP313" s="29"/>
      <c r="FQ313" s="29"/>
      <c r="FR313" s="29"/>
      <c r="FS313" s="29"/>
      <c r="FT313" s="29"/>
      <c r="FU313" s="29"/>
      <c r="FV313" s="29"/>
      <c r="FW313" s="29"/>
      <c r="FX313" s="29"/>
      <c r="FY313" s="29"/>
      <c r="FZ313" s="29"/>
      <c r="GA313" s="29"/>
      <c r="GB313" s="29"/>
      <c r="GC313" s="29"/>
      <c r="GD313" s="29"/>
      <c r="GE313" s="29"/>
      <c r="GF313" s="29"/>
      <c r="GG313" s="29"/>
      <c r="GH313" s="29"/>
      <c r="GI313" s="29"/>
      <c r="GJ313" s="29"/>
      <c r="GK313" s="29"/>
      <c r="GL313" s="29"/>
      <c r="GM313" s="29"/>
      <c r="GN313" s="29"/>
      <c r="GO313" s="29"/>
      <c r="GP313" s="29"/>
      <c r="GQ313" s="29"/>
      <c r="GR313" s="29"/>
      <c r="GS313" s="29"/>
      <c r="GT313" s="29"/>
      <c r="GU313" s="29"/>
      <c r="GV313" s="29"/>
      <c r="GW313" s="29"/>
      <c r="GX313" s="29"/>
      <c r="GY313" s="29"/>
      <c r="GZ313" s="29"/>
      <c r="HA313" s="29"/>
      <c r="HB313" s="29"/>
      <c r="HC313" s="29"/>
      <c r="HD313" s="29"/>
      <c r="HE313" s="29"/>
      <c r="HF313" s="29"/>
      <c r="HG313" s="29"/>
      <c r="HH313" s="29"/>
      <c r="HI313" s="29"/>
      <c r="HJ313" s="29"/>
      <c r="HK313" s="29"/>
      <c r="HL313" s="29"/>
      <c r="HM313" s="29"/>
      <c r="HN313" s="29"/>
      <c r="HO313" s="29"/>
      <c r="HP313" s="29"/>
      <c r="HQ313" s="29"/>
      <c r="HR313" s="29"/>
    </row>
    <row r="314" spans="1:226" s="46" customFormat="1" hidden="1" outlineLevel="1">
      <c r="A314" s="84"/>
      <c r="B314" s="357" t="s">
        <v>180</v>
      </c>
      <c r="C314" s="419"/>
      <c r="D314" s="420"/>
      <c r="E314" s="420"/>
      <c r="F314" s="421"/>
      <c r="G314" s="420"/>
      <c r="H314" s="420"/>
      <c r="I314" s="420"/>
      <c r="J314" s="420"/>
      <c r="K314" s="419"/>
      <c r="L314" s="420"/>
      <c r="M314" s="420"/>
      <c r="N314" s="421"/>
      <c r="O314" s="420"/>
      <c r="P314" s="420"/>
      <c r="Q314" s="420"/>
      <c r="R314" s="420"/>
      <c r="S314" s="419">
        <v>200</v>
      </c>
      <c r="T314" s="420">
        <v>200</v>
      </c>
      <c r="U314" s="420">
        <v>200</v>
      </c>
      <c r="V314" s="421">
        <v>200</v>
      </c>
      <c r="W314" s="420">
        <v>200</v>
      </c>
      <c r="X314" s="420">
        <v>110</v>
      </c>
      <c r="Y314" s="420">
        <v>110</v>
      </c>
      <c r="Z314" s="420">
        <v>80</v>
      </c>
      <c r="AA314" s="419">
        <v>55</v>
      </c>
      <c r="AB314" s="420">
        <v>24</v>
      </c>
      <c r="AC314" s="420">
        <v>22.4</v>
      </c>
      <c r="AD314" s="421">
        <v>15</v>
      </c>
      <c r="AE314" s="420">
        <v>10</v>
      </c>
      <c r="AF314" s="420">
        <v>7.3</v>
      </c>
      <c r="AG314" s="420">
        <v>3.3</v>
      </c>
      <c r="AH314" s="420">
        <v>0</v>
      </c>
      <c r="AI314" s="422"/>
      <c r="AJ314" s="423"/>
      <c r="AK314" s="423"/>
      <c r="AL314" s="424"/>
      <c r="AM314" s="422"/>
      <c r="AN314" s="423"/>
      <c r="AO314" s="423"/>
      <c r="AP314" s="424"/>
      <c r="AQ314" s="423"/>
      <c r="AR314" s="423"/>
      <c r="AS314" s="423"/>
      <c r="AT314" s="424"/>
      <c r="AU314" s="423"/>
      <c r="AV314" s="423"/>
      <c r="AW314" s="423"/>
      <c r="AX314" s="811"/>
      <c r="AY314" s="892"/>
      <c r="AZ314" s="892"/>
      <c r="BA314" s="423"/>
      <c r="BB314" s="811"/>
      <c r="BC314" s="892"/>
      <c r="BD314" s="892"/>
      <c r="BE314" s="423"/>
      <c r="BF314" s="424"/>
      <c r="BG314" s="892"/>
      <c r="BH314" s="892"/>
      <c r="BI314" s="423"/>
      <c r="BJ314" s="424"/>
      <c r="BK314" s="892"/>
      <c r="BL314" s="892"/>
      <c r="BM314" s="423"/>
      <c r="BN314" s="424"/>
      <c r="BO314" s="89"/>
      <c r="BP314" s="423"/>
      <c r="BQ314" s="423"/>
      <c r="BR314" s="423"/>
      <c r="BS314" s="423"/>
      <c r="BT314" s="423"/>
      <c r="BU314" s="423"/>
      <c r="BV314" s="423"/>
      <c r="BW314" s="425"/>
      <c r="BX314" s="425"/>
      <c r="BY314" s="423"/>
      <c r="BZ314" s="423"/>
      <c r="CA314" s="423"/>
      <c r="CB314" s="423"/>
      <c r="CC314" s="423"/>
      <c r="CD314" s="423"/>
      <c r="CE314" s="423"/>
      <c r="CF314" s="29"/>
      <c r="CG314" s="29"/>
      <c r="CH314" s="29"/>
      <c r="CI314" s="29"/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29"/>
      <c r="DD314" s="2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29"/>
      <c r="DX314" s="2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29"/>
      <c r="ER314" s="29"/>
      <c r="ES314" s="29"/>
      <c r="ET314" s="29"/>
      <c r="EU314" s="29"/>
      <c r="EV314" s="29"/>
      <c r="EW314" s="29"/>
      <c r="EX314" s="29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29"/>
      <c r="FJ314" s="29"/>
      <c r="FK314" s="29"/>
      <c r="FL314" s="29"/>
      <c r="FM314" s="29"/>
      <c r="FN314" s="29"/>
      <c r="FO314" s="29"/>
      <c r="FP314" s="29"/>
      <c r="FQ314" s="29"/>
      <c r="FR314" s="29"/>
      <c r="FS314" s="29"/>
      <c r="FT314" s="29"/>
      <c r="FU314" s="29"/>
      <c r="FV314" s="29"/>
      <c r="FW314" s="29"/>
      <c r="FX314" s="29"/>
      <c r="FY314" s="29"/>
      <c r="FZ314" s="29"/>
      <c r="GA314" s="29"/>
      <c r="GB314" s="29"/>
      <c r="GC314" s="29"/>
      <c r="GD314" s="29"/>
      <c r="GE314" s="29"/>
      <c r="GF314" s="29"/>
      <c r="GG314" s="29"/>
      <c r="GH314" s="29"/>
      <c r="GI314" s="29"/>
      <c r="GJ314" s="29"/>
      <c r="GK314" s="29"/>
      <c r="GL314" s="29"/>
      <c r="GM314" s="29"/>
      <c r="GN314" s="29"/>
      <c r="GO314" s="29"/>
      <c r="GP314" s="29"/>
      <c r="GQ314" s="29"/>
      <c r="GR314" s="29"/>
      <c r="GS314" s="29"/>
      <c r="GT314" s="29"/>
      <c r="GU314" s="29"/>
      <c r="GV314" s="29"/>
      <c r="GW314" s="29"/>
      <c r="GX314" s="29"/>
      <c r="GY314" s="29"/>
      <c r="GZ314" s="29"/>
      <c r="HA314" s="29"/>
      <c r="HB314" s="29"/>
      <c r="HC314" s="29"/>
      <c r="HD314" s="29"/>
      <c r="HE314" s="29"/>
      <c r="HF314" s="29"/>
      <c r="HG314" s="29"/>
      <c r="HH314" s="29"/>
      <c r="HI314" s="29"/>
      <c r="HJ314" s="29"/>
      <c r="HK314" s="29"/>
      <c r="HL314" s="29"/>
      <c r="HM314" s="29"/>
      <c r="HN314" s="29"/>
      <c r="HO314" s="29"/>
      <c r="HP314" s="29"/>
      <c r="HQ314" s="29"/>
      <c r="HR314" s="29"/>
    </row>
    <row r="315" spans="1:226" s="46" customFormat="1" hidden="1" outlineLevel="1">
      <c r="A315" s="84"/>
      <c r="B315" s="5" t="s">
        <v>1</v>
      </c>
      <c r="C315" s="268"/>
      <c r="D315" s="9"/>
      <c r="E315" s="9"/>
      <c r="F315" s="269"/>
      <c r="G315" s="9"/>
      <c r="H315" s="9"/>
      <c r="I315" s="9"/>
      <c r="J315" s="9"/>
      <c r="K315" s="268"/>
      <c r="L315" s="9"/>
      <c r="M315" s="9"/>
      <c r="N315" s="269"/>
      <c r="O315" s="9"/>
      <c r="P315" s="9"/>
      <c r="Q315" s="9"/>
      <c r="R315" s="9"/>
      <c r="S315" s="268"/>
      <c r="T315" s="9"/>
      <c r="U315" s="9"/>
      <c r="V315" s="269"/>
      <c r="W315" s="9"/>
      <c r="X315" s="9"/>
      <c r="Y315" s="9"/>
      <c r="Z315" s="9"/>
      <c r="AA315" s="268"/>
      <c r="AB315" s="9"/>
      <c r="AC315" s="9"/>
      <c r="AD315" s="269"/>
      <c r="AE315" s="47"/>
      <c r="AF315" s="47"/>
      <c r="AG315" s="47"/>
      <c r="AH315" s="47"/>
      <c r="AI315" s="207"/>
      <c r="AJ315" s="47"/>
      <c r="AK315" s="47"/>
      <c r="AL315" s="208"/>
      <c r="AM315" s="207"/>
      <c r="AN315" s="47"/>
      <c r="AO315" s="47"/>
      <c r="AP315" s="208"/>
      <c r="AQ315" s="47"/>
      <c r="AR315" s="47"/>
      <c r="AS315" s="47"/>
      <c r="AT315" s="208"/>
      <c r="AU315" s="47"/>
      <c r="AV315" s="47"/>
      <c r="AW315" s="47"/>
      <c r="AX315" s="782"/>
      <c r="AY315" s="883"/>
      <c r="AZ315" s="883"/>
      <c r="BA315" s="47"/>
      <c r="BB315" s="782"/>
      <c r="BC315" s="883"/>
      <c r="BD315" s="883"/>
      <c r="BE315" s="47"/>
      <c r="BF315" s="208"/>
      <c r="BG315" s="883"/>
      <c r="BH315" s="883"/>
      <c r="BI315" s="47"/>
      <c r="BJ315" s="208"/>
      <c r="BK315" s="883"/>
      <c r="BL315" s="883"/>
      <c r="BM315" s="47"/>
      <c r="BN315" s="208"/>
      <c r="BO315" s="89"/>
      <c r="BP315" s="4">
        <v>352.31900000000002</v>
      </c>
      <c r="BQ315" s="4">
        <v>661.48299999999995</v>
      </c>
      <c r="BR315" s="4">
        <v>710.35299999999995</v>
      </c>
      <c r="BS315" s="4"/>
      <c r="BT315" s="4"/>
      <c r="BU315" s="4"/>
      <c r="BV315" s="51"/>
      <c r="BW315" s="50"/>
      <c r="BX315" s="50"/>
      <c r="BY315" s="47"/>
      <c r="BZ315" s="47"/>
      <c r="CA315" s="47"/>
      <c r="CB315" s="47"/>
      <c r="CC315" s="47"/>
      <c r="CD315" s="47"/>
      <c r="CE315" s="47"/>
      <c r="CF315" s="29"/>
      <c r="CG315" s="29"/>
      <c r="CH315" s="29"/>
      <c r="CI315" s="29"/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29"/>
      <c r="DD315" s="2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29"/>
      <c r="DX315" s="2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29"/>
      <c r="ER315" s="29"/>
      <c r="ES315" s="29"/>
      <c r="ET315" s="29"/>
      <c r="EU315" s="29"/>
      <c r="EV315" s="29"/>
      <c r="EW315" s="29"/>
      <c r="EX315" s="29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29"/>
      <c r="FJ315" s="29"/>
      <c r="FK315" s="29"/>
      <c r="FL315" s="29"/>
      <c r="FM315" s="29"/>
      <c r="FN315" s="29"/>
      <c r="FO315" s="29"/>
      <c r="FP315" s="29"/>
      <c r="FQ315" s="29"/>
      <c r="FR315" s="29"/>
      <c r="FS315" s="29"/>
      <c r="FT315" s="29"/>
      <c r="FU315" s="29"/>
      <c r="FV315" s="29"/>
      <c r="FW315" s="29"/>
      <c r="FX315" s="29"/>
      <c r="FY315" s="29"/>
      <c r="FZ315" s="29"/>
      <c r="GA315" s="29"/>
      <c r="GB315" s="29"/>
      <c r="GC315" s="29"/>
      <c r="GD315" s="29"/>
      <c r="GE315" s="29"/>
      <c r="GF315" s="29"/>
      <c r="GG315" s="29"/>
      <c r="GH315" s="29"/>
      <c r="GI315" s="29"/>
      <c r="GJ315" s="29"/>
      <c r="GK315" s="29"/>
      <c r="GL315" s="29"/>
      <c r="GM315" s="29"/>
      <c r="GN315" s="29"/>
      <c r="GO315" s="29"/>
      <c r="GP315" s="29"/>
      <c r="GQ315" s="29"/>
      <c r="GR315" s="29"/>
      <c r="GS315" s="29"/>
      <c r="GT315" s="29"/>
      <c r="GU315" s="29"/>
      <c r="GV315" s="29"/>
      <c r="GW315" s="29"/>
      <c r="GX315" s="29"/>
      <c r="GY315" s="29"/>
      <c r="GZ315" s="29"/>
      <c r="HA315" s="29"/>
      <c r="HB315" s="29"/>
      <c r="HC315" s="29"/>
      <c r="HD315" s="29"/>
      <c r="HE315" s="29"/>
      <c r="HF315" s="29"/>
      <c r="HG315" s="29"/>
      <c r="HH315" s="29"/>
      <c r="HI315" s="29"/>
      <c r="HJ315" s="29"/>
      <c r="HK315" s="29"/>
      <c r="HL315" s="29"/>
      <c r="HM315" s="29"/>
      <c r="HN315" s="29"/>
      <c r="HO315" s="29"/>
      <c r="HP315" s="29"/>
      <c r="HQ315" s="29"/>
      <c r="HR315" s="29"/>
    </row>
    <row r="316" spans="1:226" s="46" customFormat="1" hidden="1" outlineLevel="1">
      <c r="A316" s="84"/>
      <c r="B316" s="5" t="s">
        <v>161</v>
      </c>
      <c r="C316" s="268"/>
      <c r="D316" s="9"/>
      <c r="E316" s="9"/>
      <c r="F316" s="269"/>
      <c r="G316" s="9"/>
      <c r="H316" s="9"/>
      <c r="I316" s="9"/>
      <c r="J316" s="9"/>
      <c r="K316" s="268"/>
      <c r="L316" s="9"/>
      <c r="M316" s="9"/>
      <c r="N316" s="269"/>
      <c r="O316" s="9"/>
      <c r="P316" s="9"/>
      <c r="Q316" s="9"/>
      <c r="R316" s="9"/>
      <c r="S316" s="268"/>
      <c r="T316" s="9"/>
      <c r="U316" s="9"/>
      <c r="V316" s="269"/>
      <c r="W316" s="9"/>
      <c r="X316" s="9"/>
      <c r="Y316" s="9"/>
      <c r="Z316" s="9"/>
      <c r="AA316" s="268"/>
      <c r="AB316" s="9"/>
      <c r="AC316" s="9"/>
      <c r="AD316" s="269"/>
      <c r="AE316" s="47"/>
      <c r="AF316" s="47"/>
      <c r="AG316" s="47"/>
      <c r="AH316" s="47"/>
      <c r="AI316" s="207"/>
      <c r="AJ316" s="47"/>
      <c r="AK316" s="47"/>
      <c r="AL316" s="208"/>
      <c r="AM316" s="207"/>
      <c r="AN316" s="47"/>
      <c r="AO316" s="47"/>
      <c r="AP316" s="208"/>
      <c r="AQ316" s="47"/>
      <c r="AR316" s="47"/>
      <c r="AS316" s="47"/>
      <c r="AT316" s="208"/>
      <c r="AU316" s="47"/>
      <c r="AV316" s="47"/>
      <c r="AW316" s="47"/>
      <c r="AX316" s="782"/>
      <c r="AY316" s="883"/>
      <c r="AZ316" s="883"/>
      <c r="BA316" s="47"/>
      <c r="BB316" s="782"/>
      <c r="BC316" s="883"/>
      <c r="BD316" s="883"/>
      <c r="BE316" s="47"/>
      <c r="BF316" s="208"/>
      <c r="BG316" s="883"/>
      <c r="BH316" s="883"/>
      <c r="BI316" s="47"/>
      <c r="BJ316" s="208"/>
      <c r="BK316" s="883"/>
      <c r="BL316" s="883"/>
      <c r="BM316" s="47"/>
      <c r="BN316" s="208"/>
      <c r="BO316" s="89"/>
      <c r="BP316" s="4">
        <v>12.092000000000001</v>
      </c>
      <c r="BQ316" s="4">
        <v>20.751000000000001</v>
      </c>
      <c r="BR316" s="4">
        <v>28.408999999999999</v>
      </c>
      <c r="BS316" s="4"/>
      <c r="BT316" s="4"/>
      <c r="BU316" s="4"/>
      <c r="BV316" s="51"/>
      <c r="BW316" s="50"/>
      <c r="BX316" s="50"/>
      <c r="BY316" s="47"/>
      <c r="BZ316" s="47"/>
      <c r="CA316" s="47"/>
      <c r="CB316" s="47"/>
      <c r="CC316" s="47"/>
      <c r="CD316" s="47"/>
      <c r="CE316" s="47"/>
      <c r="CF316" s="29"/>
      <c r="CG316" s="29"/>
      <c r="CH316" s="29"/>
      <c r="CI316" s="29"/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29"/>
      <c r="DC316" s="29"/>
      <c r="DD316" s="29"/>
      <c r="DE316" s="29"/>
      <c r="DF316" s="29"/>
      <c r="DG316" s="29"/>
      <c r="DH316" s="29"/>
      <c r="DI316" s="29"/>
      <c r="DJ316" s="29"/>
      <c r="DK316" s="29"/>
      <c r="DL316" s="29"/>
      <c r="DM316" s="29"/>
      <c r="DN316" s="29"/>
      <c r="DO316" s="29"/>
      <c r="DP316" s="29"/>
      <c r="DQ316" s="29"/>
      <c r="DR316" s="29"/>
      <c r="DS316" s="29"/>
      <c r="DT316" s="29"/>
      <c r="DU316" s="29"/>
      <c r="DV316" s="29"/>
      <c r="DW316" s="29"/>
      <c r="DX316" s="29"/>
      <c r="DY316" s="29"/>
      <c r="DZ316" s="29"/>
      <c r="EA316" s="29"/>
      <c r="EB316" s="29"/>
      <c r="EC316" s="29"/>
      <c r="ED316" s="29"/>
      <c r="EE316" s="29"/>
      <c r="EF316" s="29"/>
      <c r="EG316" s="29"/>
      <c r="EH316" s="29"/>
      <c r="EI316" s="29"/>
      <c r="EJ316" s="29"/>
      <c r="EK316" s="29"/>
      <c r="EL316" s="29"/>
      <c r="EM316" s="29"/>
      <c r="EN316" s="29"/>
      <c r="EO316" s="29"/>
      <c r="EP316" s="29"/>
      <c r="EQ316" s="29"/>
      <c r="ER316" s="29"/>
      <c r="ES316" s="29"/>
      <c r="ET316" s="29"/>
      <c r="EU316" s="29"/>
      <c r="EV316" s="29"/>
      <c r="EW316" s="29"/>
      <c r="EX316" s="29"/>
      <c r="EY316" s="29"/>
      <c r="EZ316" s="29"/>
      <c r="FA316" s="29"/>
      <c r="FB316" s="29"/>
      <c r="FC316" s="29"/>
      <c r="FD316" s="29"/>
      <c r="FE316" s="29"/>
      <c r="FF316" s="29"/>
      <c r="FG316" s="29"/>
      <c r="FH316" s="29"/>
      <c r="FI316" s="29"/>
      <c r="FJ316" s="29"/>
      <c r="FK316" s="29"/>
      <c r="FL316" s="29"/>
      <c r="FM316" s="29"/>
      <c r="FN316" s="29"/>
      <c r="FO316" s="29"/>
      <c r="FP316" s="29"/>
      <c r="FQ316" s="29"/>
      <c r="FR316" s="29"/>
      <c r="FS316" s="29"/>
      <c r="FT316" s="29"/>
      <c r="FU316" s="29"/>
      <c r="FV316" s="29"/>
      <c r="FW316" s="29"/>
      <c r="FX316" s="29"/>
      <c r="FY316" s="29"/>
      <c r="FZ316" s="29"/>
      <c r="GA316" s="29"/>
      <c r="GB316" s="29"/>
      <c r="GC316" s="29"/>
      <c r="GD316" s="29"/>
      <c r="GE316" s="29"/>
      <c r="GF316" s="29"/>
      <c r="GG316" s="29"/>
      <c r="GH316" s="29"/>
      <c r="GI316" s="29"/>
      <c r="GJ316" s="29"/>
      <c r="GK316" s="29"/>
      <c r="GL316" s="29"/>
      <c r="GM316" s="29"/>
      <c r="GN316" s="29"/>
      <c r="GO316" s="29"/>
      <c r="GP316" s="29"/>
      <c r="GQ316" s="29"/>
      <c r="GR316" s="29"/>
      <c r="GS316" s="29"/>
      <c r="GT316" s="29"/>
      <c r="GU316" s="29"/>
      <c r="GV316" s="29"/>
      <c r="GW316" s="29"/>
      <c r="GX316" s="29"/>
      <c r="GY316" s="29"/>
      <c r="GZ316" s="29"/>
      <c r="HA316" s="29"/>
      <c r="HB316" s="29"/>
      <c r="HC316" s="29"/>
      <c r="HD316" s="29"/>
      <c r="HE316" s="29"/>
      <c r="HF316" s="29"/>
      <c r="HG316" s="29"/>
      <c r="HH316" s="29"/>
      <c r="HI316" s="29"/>
      <c r="HJ316" s="29"/>
      <c r="HK316" s="29"/>
      <c r="HL316" s="29"/>
      <c r="HM316" s="29"/>
      <c r="HN316" s="29"/>
      <c r="HO316" s="29"/>
      <c r="HP316" s="29"/>
      <c r="HQ316" s="29"/>
      <c r="HR316" s="29"/>
    </row>
    <row r="317" spans="1:226" s="46" customFormat="1" hidden="1" outlineLevel="1">
      <c r="A317" s="84"/>
      <c r="B317" s="5" t="s">
        <v>164</v>
      </c>
      <c r="C317" s="268"/>
      <c r="D317" s="9"/>
      <c r="E317" s="9"/>
      <c r="F317" s="269"/>
      <c r="G317" s="9"/>
      <c r="H317" s="9"/>
      <c r="I317" s="9"/>
      <c r="J317" s="9"/>
      <c r="K317" s="268"/>
      <c r="L317" s="9"/>
      <c r="M317" s="9"/>
      <c r="N317" s="269"/>
      <c r="O317" s="9"/>
      <c r="P317" s="9"/>
      <c r="Q317" s="9"/>
      <c r="R317" s="9"/>
      <c r="S317" s="268"/>
      <c r="T317" s="9"/>
      <c r="U317" s="9"/>
      <c r="V317" s="269"/>
      <c r="W317" s="9"/>
      <c r="X317" s="9"/>
      <c r="Y317" s="9"/>
      <c r="Z317" s="9"/>
      <c r="AA317" s="268"/>
      <c r="AB317" s="9"/>
      <c r="AC317" s="9"/>
      <c r="AD317" s="269"/>
      <c r="AE317" s="47"/>
      <c r="AF317" s="47"/>
      <c r="AG317" s="47"/>
      <c r="AH317" s="47"/>
      <c r="AI317" s="207"/>
      <c r="AJ317" s="47"/>
      <c r="AK317" s="47"/>
      <c r="AL317" s="208"/>
      <c r="AM317" s="207"/>
      <c r="AN317" s="47"/>
      <c r="AO317" s="47"/>
      <c r="AP317" s="208"/>
      <c r="AQ317" s="47"/>
      <c r="AR317" s="47"/>
      <c r="AS317" s="47"/>
      <c r="AT317" s="208"/>
      <c r="AU317" s="47"/>
      <c r="AV317" s="47"/>
      <c r="AW317" s="47"/>
      <c r="AX317" s="782"/>
      <c r="AY317" s="883"/>
      <c r="AZ317" s="883"/>
      <c r="BA317" s="47"/>
      <c r="BB317" s="782"/>
      <c r="BC317" s="883"/>
      <c r="BD317" s="883"/>
      <c r="BE317" s="47"/>
      <c r="BF317" s="208"/>
      <c r="BG317" s="883"/>
      <c r="BH317" s="883"/>
      <c r="BI317" s="47"/>
      <c r="BJ317" s="208"/>
      <c r="BK317" s="883"/>
      <c r="BL317" s="883"/>
      <c r="BM317" s="47"/>
      <c r="BN317" s="208"/>
      <c r="BO317" s="89"/>
      <c r="BP317" s="4">
        <v>32.865000000000002</v>
      </c>
      <c r="BQ317" s="4">
        <v>77.951999999999998</v>
      </c>
      <c r="BR317" s="4">
        <v>57.213999999999999</v>
      </c>
      <c r="BS317" s="4"/>
      <c r="BT317" s="4"/>
      <c r="BU317" s="4"/>
      <c r="BV317" s="51"/>
      <c r="BW317" s="50"/>
      <c r="BX317" s="50"/>
      <c r="BY317" s="47"/>
      <c r="BZ317" s="47"/>
      <c r="CA317" s="47"/>
      <c r="CB317" s="47"/>
      <c r="CC317" s="47"/>
      <c r="CD317" s="47"/>
      <c r="CE317" s="47"/>
      <c r="CF317" s="29"/>
      <c r="CG317" s="29"/>
      <c r="CH317" s="29"/>
      <c r="CI317" s="29"/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29"/>
      <c r="DD317" s="2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29"/>
      <c r="DX317" s="2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29"/>
      <c r="ER317" s="29"/>
      <c r="ES317" s="29"/>
      <c r="ET317" s="29"/>
      <c r="EU317" s="29"/>
      <c r="EV317" s="29"/>
      <c r="EW317" s="29"/>
      <c r="EX317" s="29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29"/>
      <c r="FJ317" s="29"/>
      <c r="FK317" s="29"/>
      <c r="FL317" s="29"/>
      <c r="FM317" s="29"/>
      <c r="FN317" s="29"/>
      <c r="FO317" s="29"/>
      <c r="FP317" s="29"/>
      <c r="FQ317" s="29"/>
      <c r="FR317" s="29"/>
      <c r="FS317" s="29"/>
      <c r="FT317" s="29"/>
      <c r="FU317" s="29"/>
      <c r="FV317" s="29"/>
      <c r="FW317" s="29"/>
      <c r="FX317" s="29"/>
      <c r="FY317" s="29"/>
      <c r="FZ317" s="29"/>
      <c r="GA317" s="29"/>
      <c r="GB317" s="29"/>
      <c r="GC317" s="29"/>
      <c r="GD317" s="29"/>
      <c r="GE317" s="29"/>
      <c r="GF317" s="29"/>
      <c r="GG317" s="29"/>
      <c r="GH317" s="29"/>
      <c r="GI317" s="29"/>
      <c r="GJ317" s="29"/>
      <c r="GK317" s="29"/>
      <c r="GL317" s="29"/>
      <c r="GM317" s="29"/>
      <c r="GN317" s="29"/>
      <c r="GO317" s="29"/>
      <c r="GP317" s="29"/>
      <c r="GQ317" s="29"/>
      <c r="GR317" s="29"/>
      <c r="GS317" s="29"/>
      <c r="GT317" s="29"/>
      <c r="GU317" s="29"/>
      <c r="GV317" s="29"/>
      <c r="GW317" s="29"/>
      <c r="GX317" s="29"/>
      <c r="GY317" s="29"/>
      <c r="GZ317" s="29"/>
      <c r="HA317" s="29"/>
      <c r="HB317" s="29"/>
      <c r="HC317" s="29"/>
      <c r="HD317" s="29"/>
      <c r="HE317" s="29"/>
      <c r="HF317" s="29"/>
      <c r="HG317" s="29"/>
      <c r="HH317" s="29"/>
      <c r="HI317" s="29"/>
      <c r="HJ317" s="29"/>
      <c r="HK317" s="29"/>
      <c r="HL317" s="29"/>
      <c r="HM317" s="29"/>
      <c r="HN317" s="29"/>
      <c r="HO317" s="29"/>
      <c r="HP317" s="29"/>
      <c r="HQ317" s="29"/>
      <c r="HR317" s="29"/>
    </row>
    <row r="318" spans="1:226" s="46" customFormat="1" hidden="1" outlineLevel="1">
      <c r="A318" s="84"/>
      <c r="B318" s="9"/>
      <c r="C318" s="268"/>
      <c r="D318" s="9"/>
      <c r="E318" s="9"/>
      <c r="F318" s="269"/>
      <c r="G318" s="9"/>
      <c r="H318" s="9"/>
      <c r="I318" s="9"/>
      <c r="J318" s="9"/>
      <c r="K318" s="268"/>
      <c r="L318" s="9"/>
      <c r="M318" s="9"/>
      <c r="N318" s="269"/>
      <c r="O318" s="9"/>
      <c r="P318" s="9"/>
      <c r="Q318" s="9"/>
      <c r="R318" s="9"/>
      <c r="S318" s="268"/>
      <c r="T318" s="9"/>
      <c r="U318" s="9"/>
      <c r="V318" s="269"/>
      <c r="W318" s="9"/>
      <c r="X318" s="9"/>
      <c r="Y318" s="9"/>
      <c r="Z318" s="9"/>
      <c r="AA318" s="268"/>
      <c r="AB318" s="9"/>
      <c r="AC318" s="9"/>
      <c r="AD318" s="269"/>
      <c r="AE318" s="47"/>
      <c r="AF318" s="47"/>
      <c r="AG318" s="47"/>
      <c r="AH318" s="47"/>
      <c r="AI318" s="207"/>
      <c r="AJ318" s="47"/>
      <c r="AK318" s="47"/>
      <c r="AL318" s="208"/>
      <c r="AM318" s="207"/>
      <c r="AN318" s="47"/>
      <c r="AO318" s="47"/>
      <c r="AP318" s="208"/>
      <c r="AQ318" s="47"/>
      <c r="AR318" s="47"/>
      <c r="AS318" s="47"/>
      <c r="AT318" s="208"/>
      <c r="AU318" s="47"/>
      <c r="AV318" s="47"/>
      <c r="AW318" s="47"/>
      <c r="AX318" s="782"/>
      <c r="AY318" s="883"/>
      <c r="AZ318" s="883"/>
      <c r="BA318" s="47"/>
      <c r="BB318" s="782"/>
      <c r="BC318" s="883"/>
      <c r="BD318" s="883"/>
      <c r="BE318" s="47"/>
      <c r="BF318" s="208"/>
      <c r="BG318" s="883"/>
      <c r="BH318" s="883"/>
      <c r="BI318" s="47"/>
      <c r="BJ318" s="208"/>
      <c r="BK318" s="883"/>
      <c r="BL318" s="883"/>
      <c r="BM318" s="47"/>
      <c r="BN318" s="208"/>
      <c r="BO318" s="89"/>
      <c r="BP318" s="4"/>
      <c r="BQ318" s="4"/>
      <c r="BR318" s="4"/>
      <c r="BS318" s="4"/>
      <c r="BT318" s="4"/>
      <c r="BU318" s="4"/>
      <c r="BV318" s="51"/>
      <c r="BW318" s="50"/>
      <c r="BX318" s="50"/>
      <c r="BY318" s="47"/>
      <c r="BZ318" s="47"/>
      <c r="CA318" s="47"/>
      <c r="CB318" s="47"/>
      <c r="CC318" s="47"/>
      <c r="CD318" s="47"/>
      <c r="CE318" s="47"/>
      <c r="CF318" s="29"/>
      <c r="CG318" s="29"/>
      <c r="CH318" s="29"/>
      <c r="CI318" s="29"/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29"/>
      <c r="DD318" s="2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29"/>
      <c r="DX318" s="2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29"/>
      <c r="ER318" s="29"/>
      <c r="ES318" s="29"/>
      <c r="ET318" s="29"/>
      <c r="EU318" s="29"/>
      <c r="EV318" s="29"/>
      <c r="EW318" s="29"/>
      <c r="EX318" s="29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29"/>
      <c r="FJ318" s="29"/>
      <c r="FK318" s="29"/>
      <c r="FL318" s="29"/>
      <c r="FM318" s="29"/>
      <c r="FN318" s="29"/>
      <c r="FO318" s="29"/>
      <c r="FP318" s="29"/>
      <c r="FQ318" s="29"/>
      <c r="FR318" s="29"/>
      <c r="FS318" s="29"/>
      <c r="FT318" s="29"/>
      <c r="FU318" s="29"/>
      <c r="FV318" s="29"/>
      <c r="FW318" s="29"/>
      <c r="FX318" s="29"/>
      <c r="FY318" s="29"/>
      <c r="FZ318" s="29"/>
      <c r="GA318" s="29"/>
      <c r="GB318" s="29"/>
      <c r="GC318" s="29"/>
      <c r="GD318" s="29"/>
      <c r="GE318" s="29"/>
      <c r="GF318" s="29"/>
      <c r="GG318" s="29"/>
      <c r="GH318" s="29"/>
      <c r="GI318" s="29"/>
      <c r="GJ318" s="29"/>
      <c r="GK318" s="29"/>
      <c r="GL318" s="29"/>
      <c r="GM318" s="29"/>
      <c r="GN318" s="29"/>
      <c r="GO318" s="29"/>
      <c r="GP318" s="29"/>
      <c r="GQ318" s="29"/>
      <c r="GR318" s="29"/>
      <c r="GS318" s="29"/>
      <c r="GT318" s="29"/>
      <c r="GU318" s="29"/>
      <c r="GV318" s="29"/>
      <c r="GW318" s="29"/>
      <c r="GX318" s="29"/>
      <c r="GY318" s="29"/>
      <c r="GZ318" s="29"/>
      <c r="HA318" s="29"/>
      <c r="HB318" s="29"/>
      <c r="HC318" s="29"/>
      <c r="HD318" s="29"/>
      <c r="HE318" s="29"/>
      <c r="HF318" s="29"/>
      <c r="HG318" s="29"/>
      <c r="HH318" s="29"/>
      <c r="HI318" s="29"/>
      <c r="HJ318" s="29"/>
      <c r="HK318" s="29"/>
      <c r="HL318" s="29"/>
      <c r="HM318" s="29"/>
      <c r="HN318" s="29"/>
      <c r="HO318" s="29"/>
      <c r="HP318" s="29"/>
      <c r="HQ318" s="29"/>
      <c r="HR318" s="29"/>
    </row>
    <row r="319" spans="1:226" s="46" customFormat="1" hidden="1" outlineLevel="1">
      <c r="A319" s="84"/>
      <c r="B319" s="357" t="s">
        <v>179</v>
      </c>
      <c r="C319" s="419"/>
      <c r="D319" s="420"/>
      <c r="E319" s="420"/>
      <c r="F319" s="421"/>
      <c r="G319" s="420"/>
      <c r="H319" s="420"/>
      <c r="I319" s="420"/>
      <c r="J319" s="420"/>
      <c r="K319" s="419"/>
      <c r="L319" s="420"/>
      <c r="M319" s="420"/>
      <c r="N319" s="421"/>
      <c r="O319" s="420"/>
      <c r="P319" s="420"/>
      <c r="Q319" s="420"/>
      <c r="R319" s="420"/>
      <c r="S319" s="419"/>
      <c r="T319" s="420"/>
      <c r="U319" s="420"/>
      <c r="V319" s="421"/>
      <c r="W319" s="420"/>
      <c r="X319" s="420"/>
      <c r="Y319" s="420"/>
      <c r="Z319" s="420"/>
      <c r="AA319" s="419"/>
      <c r="AB319" s="420"/>
      <c r="AC319" s="420"/>
      <c r="AD319" s="421"/>
      <c r="AE319" s="420"/>
      <c r="AF319" s="420"/>
      <c r="AG319" s="420"/>
      <c r="AH319" s="420"/>
      <c r="AI319" s="422"/>
      <c r="AJ319" s="423"/>
      <c r="AK319" s="423"/>
      <c r="AL319" s="424"/>
      <c r="AM319" s="422"/>
      <c r="AN319" s="423"/>
      <c r="AO319" s="423"/>
      <c r="AP319" s="424"/>
      <c r="AQ319" s="423"/>
      <c r="AR319" s="423"/>
      <c r="AS319" s="423"/>
      <c r="AT319" s="424"/>
      <c r="AU319" s="423"/>
      <c r="AV319" s="423"/>
      <c r="AW319" s="423"/>
      <c r="AX319" s="811"/>
      <c r="AY319" s="892"/>
      <c r="AZ319" s="892"/>
      <c r="BA319" s="423"/>
      <c r="BB319" s="811"/>
      <c r="BC319" s="892"/>
      <c r="BD319" s="892"/>
      <c r="BE319" s="423"/>
      <c r="BF319" s="424"/>
      <c r="BG319" s="892"/>
      <c r="BH319" s="892"/>
      <c r="BI319" s="423"/>
      <c r="BJ319" s="424"/>
      <c r="BK319" s="892"/>
      <c r="BL319" s="892"/>
      <c r="BM319" s="423"/>
      <c r="BN319" s="424"/>
      <c r="BO319" s="89"/>
      <c r="BP319" s="423"/>
      <c r="BQ319" s="423"/>
      <c r="BR319" s="423"/>
      <c r="BS319" s="423"/>
      <c r="BT319" s="423"/>
      <c r="BU319" s="423"/>
      <c r="BV319" s="423"/>
      <c r="BW319" s="425"/>
      <c r="BX319" s="425"/>
      <c r="BY319" s="423"/>
      <c r="BZ319" s="423"/>
      <c r="CA319" s="423"/>
      <c r="CB319" s="423"/>
      <c r="CC319" s="423"/>
      <c r="CD319" s="423"/>
      <c r="CE319" s="423"/>
      <c r="CF319" s="29"/>
      <c r="CG319" s="29"/>
      <c r="CH319" s="29"/>
      <c r="CI319" s="29"/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29"/>
      <c r="DC319" s="29"/>
      <c r="DD319" s="29"/>
      <c r="DE319" s="29"/>
      <c r="DF319" s="29"/>
      <c r="DG319" s="29"/>
      <c r="DH319" s="29"/>
      <c r="DI319" s="29"/>
      <c r="DJ319" s="29"/>
      <c r="DK319" s="29"/>
      <c r="DL319" s="29"/>
      <c r="DM319" s="29"/>
      <c r="DN319" s="29"/>
      <c r="DO319" s="29"/>
      <c r="DP319" s="29"/>
      <c r="DQ319" s="29"/>
      <c r="DR319" s="29"/>
      <c r="DS319" s="29"/>
      <c r="DT319" s="29"/>
      <c r="DU319" s="29"/>
      <c r="DV319" s="29"/>
      <c r="DW319" s="29"/>
      <c r="DX319" s="29"/>
      <c r="DY319" s="29"/>
      <c r="DZ319" s="29"/>
      <c r="EA319" s="29"/>
      <c r="EB319" s="29"/>
      <c r="EC319" s="29"/>
      <c r="ED319" s="29"/>
      <c r="EE319" s="29"/>
      <c r="EF319" s="29"/>
      <c r="EG319" s="29"/>
      <c r="EH319" s="29"/>
      <c r="EI319" s="29"/>
      <c r="EJ319" s="29"/>
      <c r="EK319" s="29"/>
      <c r="EL319" s="29"/>
      <c r="EM319" s="29"/>
      <c r="EN319" s="29"/>
      <c r="EO319" s="29"/>
      <c r="EP319" s="29"/>
      <c r="EQ319" s="29"/>
      <c r="ER319" s="29"/>
      <c r="ES319" s="29"/>
      <c r="ET319" s="29"/>
      <c r="EU319" s="29"/>
      <c r="EV319" s="29"/>
      <c r="EW319" s="29"/>
      <c r="EX319" s="29"/>
      <c r="EY319" s="29"/>
      <c r="EZ319" s="29"/>
      <c r="FA319" s="29"/>
      <c r="FB319" s="29"/>
      <c r="FC319" s="29"/>
      <c r="FD319" s="29"/>
      <c r="FE319" s="29"/>
      <c r="FF319" s="29"/>
      <c r="FG319" s="29"/>
      <c r="FH319" s="29"/>
      <c r="FI319" s="29"/>
      <c r="FJ319" s="29"/>
      <c r="FK319" s="29"/>
      <c r="FL319" s="29"/>
      <c r="FM319" s="29"/>
      <c r="FN319" s="29"/>
      <c r="FO319" s="29"/>
      <c r="FP319" s="29"/>
      <c r="FQ319" s="29"/>
      <c r="FR319" s="29"/>
      <c r="FS319" s="29"/>
      <c r="FT319" s="29"/>
      <c r="FU319" s="29"/>
      <c r="FV319" s="29"/>
      <c r="FW319" s="29"/>
      <c r="FX319" s="29"/>
      <c r="FY319" s="29"/>
      <c r="FZ319" s="29"/>
      <c r="GA319" s="29"/>
      <c r="GB319" s="29"/>
      <c r="GC319" s="29"/>
      <c r="GD319" s="29"/>
      <c r="GE319" s="29"/>
      <c r="GF319" s="29"/>
      <c r="GG319" s="29"/>
      <c r="GH319" s="29"/>
      <c r="GI319" s="29"/>
      <c r="GJ319" s="29"/>
      <c r="GK319" s="29"/>
      <c r="GL319" s="29"/>
      <c r="GM319" s="29"/>
      <c r="GN319" s="29"/>
      <c r="GO319" s="29"/>
      <c r="GP319" s="29"/>
      <c r="GQ319" s="29"/>
      <c r="GR319" s="29"/>
      <c r="GS319" s="29"/>
      <c r="GT319" s="29"/>
      <c r="GU319" s="29"/>
      <c r="GV319" s="29"/>
      <c r="GW319" s="29"/>
      <c r="GX319" s="29"/>
      <c r="GY319" s="29"/>
      <c r="GZ319" s="29"/>
      <c r="HA319" s="29"/>
      <c r="HB319" s="29"/>
      <c r="HC319" s="29"/>
      <c r="HD319" s="29"/>
      <c r="HE319" s="29"/>
      <c r="HF319" s="29"/>
      <c r="HG319" s="29"/>
      <c r="HH319" s="29"/>
      <c r="HI319" s="29"/>
      <c r="HJ319" s="29"/>
      <c r="HK319" s="29"/>
      <c r="HL319" s="29"/>
      <c r="HM319" s="29"/>
      <c r="HN319" s="29"/>
      <c r="HO319" s="29"/>
      <c r="HP319" s="29"/>
      <c r="HQ319" s="29"/>
      <c r="HR319" s="29"/>
    </row>
    <row r="320" spans="1:226" s="46" customFormat="1" hidden="1" outlineLevel="1">
      <c r="A320" s="84"/>
      <c r="B320" s="5" t="s">
        <v>1</v>
      </c>
      <c r="C320" s="307"/>
      <c r="D320" s="66"/>
      <c r="E320" s="66"/>
      <c r="F320" s="308"/>
      <c r="G320" s="66">
        <v>57.384999999999998</v>
      </c>
      <c r="H320" s="66">
        <v>55.692999999999998</v>
      </c>
      <c r="I320" s="66">
        <v>48.942999999999998</v>
      </c>
      <c r="J320" s="66">
        <v>71.202000000000055</v>
      </c>
      <c r="K320" s="307">
        <v>67.225999999999999</v>
      </c>
      <c r="L320" s="66">
        <v>62.182000000000002</v>
      </c>
      <c r="M320" s="66">
        <v>65.873000000000005</v>
      </c>
      <c r="N320" s="308">
        <v>55.856000000000009</v>
      </c>
      <c r="O320" s="66">
        <v>42.465000000000003</v>
      </c>
      <c r="P320" s="66">
        <v>34.625</v>
      </c>
      <c r="Q320" s="66">
        <v>34.173999999999999</v>
      </c>
      <c r="R320" s="66">
        <v>25.069999999999993</v>
      </c>
      <c r="S320" s="307">
        <v>10.699</v>
      </c>
      <c r="T320" s="66">
        <v>44.277000000000001</v>
      </c>
      <c r="U320" s="66">
        <v>55.91</v>
      </c>
      <c r="V320" s="308">
        <v>45.16</v>
      </c>
      <c r="W320" s="66">
        <v>31.23</v>
      </c>
      <c r="X320" s="66">
        <v>45.704000000000001</v>
      </c>
      <c r="Y320" s="66">
        <v>51.933999999999997</v>
      </c>
      <c r="Z320" s="66">
        <v>68.74499999999999</v>
      </c>
      <c r="AA320" s="307">
        <v>122.60899999999999</v>
      </c>
      <c r="AB320" s="66">
        <v>167.684</v>
      </c>
      <c r="AC320" s="66">
        <v>191.083</v>
      </c>
      <c r="AD320" s="308">
        <v>109.79</v>
      </c>
      <c r="AE320" s="47"/>
      <c r="AF320" s="47"/>
      <c r="AG320" s="47"/>
      <c r="AH320" s="47"/>
      <c r="AI320" s="207"/>
      <c r="AJ320" s="47"/>
      <c r="AK320" s="47"/>
      <c r="AL320" s="208"/>
      <c r="AM320" s="207"/>
      <c r="AN320" s="47"/>
      <c r="AO320" s="47"/>
      <c r="AP320" s="208"/>
      <c r="AQ320" s="47"/>
      <c r="AR320" s="47"/>
      <c r="AS320" s="47"/>
      <c r="AT320" s="208"/>
      <c r="AU320" s="47"/>
      <c r="AV320" s="47"/>
      <c r="AW320" s="47"/>
      <c r="AX320" s="782"/>
      <c r="AY320" s="883"/>
      <c r="AZ320" s="883"/>
      <c r="BA320" s="47"/>
      <c r="BB320" s="782"/>
      <c r="BC320" s="883"/>
      <c r="BD320" s="883"/>
      <c r="BE320" s="47"/>
      <c r="BF320" s="208"/>
      <c r="BG320" s="883"/>
      <c r="BH320" s="883"/>
      <c r="BI320" s="47"/>
      <c r="BJ320" s="208"/>
      <c r="BK320" s="883"/>
      <c r="BL320" s="883"/>
      <c r="BM320" s="47"/>
      <c r="BN320" s="208"/>
      <c r="BO320" s="89"/>
      <c r="BP320" s="4">
        <v>230.125</v>
      </c>
      <c r="BQ320" s="4">
        <v>233.22300000000001</v>
      </c>
      <c r="BR320" s="4">
        <v>351.137</v>
      </c>
      <c r="BS320" s="4">
        <v>136.334</v>
      </c>
      <c r="BT320" s="4">
        <v>156.04599999999999</v>
      </c>
      <c r="BU320" s="4">
        <v>197.613</v>
      </c>
      <c r="BV320" s="51">
        <v>591.16600000000005</v>
      </c>
      <c r="BW320" s="50"/>
      <c r="BX320" s="50"/>
      <c r="BY320" s="47"/>
      <c r="BZ320" s="47"/>
      <c r="CA320" s="47"/>
      <c r="CB320" s="47"/>
      <c r="CC320" s="47"/>
      <c r="CD320" s="47"/>
      <c r="CE320" s="47"/>
      <c r="CF320" s="29"/>
      <c r="CG320" s="29"/>
      <c r="CH320" s="29"/>
      <c r="CI320" s="29"/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29"/>
      <c r="DD320" s="2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29"/>
      <c r="DX320" s="2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29"/>
      <c r="ER320" s="29"/>
      <c r="ES320" s="29"/>
      <c r="ET320" s="29"/>
      <c r="EU320" s="29"/>
      <c r="EV320" s="29"/>
      <c r="EW320" s="29"/>
      <c r="EX320" s="29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29"/>
      <c r="FJ320" s="29"/>
      <c r="FK320" s="29"/>
      <c r="FL320" s="29"/>
      <c r="FM320" s="29"/>
      <c r="FN320" s="29"/>
      <c r="FO320" s="29"/>
      <c r="FP320" s="29"/>
      <c r="FQ320" s="29"/>
      <c r="FR320" s="29"/>
      <c r="FS320" s="29"/>
      <c r="FT320" s="29"/>
      <c r="FU320" s="29"/>
      <c r="FV320" s="29"/>
      <c r="FW320" s="29"/>
      <c r="FX320" s="29"/>
      <c r="FY320" s="29"/>
      <c r="FZ320" s="29"/>
      <c r="GA320" s="29"/>
      <c r="GB320" s="29"/>
      <c r="GC320" s="29"/>
      <c r="GD320" s="29"/>
      <c r="GE320" s="29"/>
      <c r="GF320" s="29"/>
      <c r="GG320" s="29"/>
      <c r="GH320" s="29"/>
      <c r="GI320" s="29"/>
      <c r="GJ320" s="29"/>
      <c r="GK320" s="29"/>
      <c r="GL320" s="29"/>
      <c r="GM320" s="29"/>
      <c r="GN320" s="29"/>
      <c r="GO320" s="29"/>
      <c r="GP320" s="29"/>
      <c r="GQ320" s="29"/>
      <c r="GR320" s="29"/>
      <c r="GS320" s="29"/>
      <c r="GT320" s="29"/>
      <c r="GU320" s="29"/>
      <c r="GV320" s="29"/>
      <c r="GW320" s="29"/>
      <c r="GX320" s="29"/>
      <c r="GY320" s="29"/>
      <c r="GZ320" s="29"/>
      <c r="HA320" s="29"/>
      <c r="HB320" s="29"/>
      <c r="HC320" s="29"/>
      <c r="HD320" s="29"/>
      <c r="HE320" s="29"/>
      <c r="HF320" s="29"/>
      <c r="HG320" s="29"/>
      <c r="HH320" s="29"/>
      <c r="HI320" s="29"/>
      <c r="HJ320" s="29"/>
      <c r="HK320" s="29"/>
      <c r="HL320" s="29"/>
      <c r="HM320" s="29"/>
      <c r="HN320" s="29"/>
      <c r="HO320" s="29"/>
      <c r="HP320" s="29"/>
      <c r="HQ320" s="29"/>
      <c r="HR320" s="29"/>
    </row>
    <row r="321" spans="1:226" s="46" customFormat="1" hidden="1" outlineLevel="1">
      <c r="A321" s="84"/>
      <c r="B321" s="5" t="s">
        <v>161</v>
      </c>
      <c r="C321" s="268"/>
      <c r="D321" s="9"/>
      <c r="E321" s="9"/>
      <c r="F321" s="269"/>
      <c r="G321" s="9"/>
      <c r="H321" s="9"/>
      <c r="I321" s="9"/>
      <c r="J321" s="9"/>
      <c r="K321" s="268"/>
      <c r="L321" s="9"/>
      <c r="M321" s="9"/>
      <c r="N321" s="269"/>
      <c r="O321" s="9"/>
      <c r="P321" s="9"/>
      <c r="Q321" s="9"/>
      <c r="R321" s="9"/>
      <c r="S321" s="268"/>
      <c r="T321" s="9"/>
      <c r="U321" s="9"/>
      <c r="V321" s="269"/>
      <c r="W321" s="9"/>
      <c r="X321" s="9"/>
      <c r="Y321" s="9"/>
      <c r="Z321" s="9"/>
      <c r="AA321" s="268"/>
      <c r="AB321" s="9"/>
      <c r="AC321" s="9"/>
      <c r="AD321" s="269"/>
      <c r="AE321" s="47"/>
      <c r="AF321" s="47"/>
      <c r="AG321" s="47"/>
      <c r="AH321" s="47"/>
      <c r="AI321" s="207"/>
      <c r="AJ321" s="47"/>
      <c r="AK321" s="47"/>
      <c r="AL321" s="208"/>
      <c r="AM321" s="207"/>
      <c r="AN321" s="47"/>
      <c r="AO321" s="47"/>
      <c r="AP321" s="208"/>
      <c r="AQ321" s="47"/>
      <c r="AR321" s="47"/>
      <c r="AS321" s="47"/>
      <c r="AT321" s="208"/>
      <c r="AU321" s="47"/>
      <c r="AV321" s="47"/>
      <c r="AW321" s="47"/>
      <c r="AX321" s="782"/>
      <c r="AY321" s="883"/>
      <c r="AZ321" s="883"/>
      <c r="BA321" s="47"/>
      <c r="BB321" s="782"/>
      <c r="BC321" s="883"/>
      <c r="BD321" s="883"/>
      <c r="BE321" s="47"/>
      <c r="BF321" s="208"/>
      <c r="BG321" s="883"/>
      <c r="BH321" s="883"/>
      <c r="BI321" s="47"/>
      <c r="BJ321" s="208"/>
      <c r="BK321" s="883"/>
      <c r="BL321" s="883"/>
      <c r="BM321" s="47"/>
      <c r="BN321" s="208"/>
      <c r="BO321" s="89"/>
      <c r="BP321" s="4">
        <v>12.784000000000001</v>
      </c>
      <c r="BQ321" s="4">
        <v>18.073</v>
      </c>
      <c r="BR321" s="4">
        <v>21.481999999999999</v>
      </c>
      <c r="BS321" s="4">
        <v>30.568000000000001</v>
      </c>
      <c r="BT321" s="4">
        <v>28.922999999999998</v>
      </c>
      <c r="BU321" s="4">
        <v>33.741999999999997</v>
      </c>
      <c r="BV321" s="51">
        <v>62.997</v>
      </c>
      <c r="BW321" s="50"/>
      <c r="BX321" s="50"/>
      <c r="BY321" s="47"/>
      <c r="BZ321" s="47"/>
      <c r="CA321" s="47"/>
      <c r="CB321" s="47"/>
      <c r="CC321" s="47"/>
      <c r="CD321" s="47"/>
      <c r="CE321" s="47"/>
      <c r="CF321" s="29"/>
      <c r="CG321" s="29"/>
      <c r="CH321" s="29"/>
      <c r="CI321" s="29"/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29"/>
      <c r="DD321" s="2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29"/>
      <c r="DX321" s="2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29"/>
      <c r="ER321" s="29"/>
      <c r="ES321" s="29"/>
      <c r="ET321" s="29"/>
      <c r="EU321" s="29"/>
      <c r="EV321" s="29"/>
      <c r="EW321" s="29"/>
      <c r="EX321" s="29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29"/>
      <c r="FJ321" s="29"/>
      <c r="FK321" s="29"/>
      <c r="FL321" s="29"/>
      <c r="FM321" s="29"/>
      <c r="FN321" s="29"/>
      <c r="FO321" s="29"/>
      <c r="FP321" s="29"/>
      <c r="FQ321" s="29"/>
      <c r="FR321" s="29"/>
      <c r="FS321" s="29"/>
      <c r="FT321" s="29"/>
      <c r="FU321" s="29"/>
      <c r="FV321" s="29"/>
      <c r="FW321" s="29"/>
      <c r="FX321" s="29"/>
      <c r="FY321" s="29"/>
      <c r="FZ321" s="29"/>
      <c r="GA321" s="29"/>
      <c r="GB321" s="29"/>
      <c r="GC321" s="29"/>
      <c r="GD321" s="29"/>
      <c r="GE321" s="29"/>
      <c r="GF321" s="29"/>
      <c r="GG321" s="29"/>
      <c r="GH321" s="29"/>
      <c r="GI321" s="29"/>
      <c r="GJ321" s="29"/>
      <c r="GK321" s="29"/>
      <c r="GL321" s="29"/>
      <c r="GM321" s="29"/>
      <c r="GN321" s="29"/>
      <c r="GO321" s="29"/>
      <c r="GP321" s="29"/>
      <c r="GQ321" s="29"/>
      <c r="GR321" s="29"/>
      <c r="GS321" s="29"/>
      <c r="GT321" s="29"/>
      <c r="GU321" s="29"/>
      <c r="GV321" s="29"/>
      <c r="GW321" s="29"/>
      <c r="GX321" s="29"/>
      <c r="GY321" s="29"/>
      <c r="GZ321" s="29"/>
      <c r="HA321" s="29"/>
      <c r="HB321" s="29"/>
      <c r="HC321" s="29"/>
      <c r="HD321" s="29"/>
      <c r="HE321" s="29"/>
      <c r="HF321" s="29"/>
      <c r="HG321" s="29"/>
      <c r="HH321" s="29"/>
      <c r="HI321" s="29"/>
      <c r="HJ321" s="29"/>
      <c r="HK321" s="29"/>
      <c r="HL321" s="29"/>
      <c r="HM321" s="29"/>
      <c r="HN321" s="29"/>
      <c r="HO321" s="29"/>
      <c r="HP321" s="29"/>
      <c r="HQ321" s="29"/>
      <c r="HR321" s="29"/>
    </row>
    <row r="322" spans="1:226" s="46" customFormat="1" hidden="1" outlineLevel="1">
      <c r="A322" s="84"/>
      <c r="B322" s="5" t="s">
        <v>164</v>
      </c>
      <c r="C322" s="307"/>
      <c r="D322" s="66"/>
      <c r="E322" s="66"/>
      <c r="F322" s="308"/>
      <c r="G322" s="66">
        <v>17.164999999999999</v>
      </c>
      <c r="H322" s="66">
        <v>16.597000000000001</v>
      </c>
      <c r="I322" s="66">
        <v>4.9889999999999999</v>
      </c>
      <c r="J322" s="66">
        <v>3.6240000000000023</v>
      </c>
      <c r="K322" s="307">
        <v>10.167999999999999</v>
      </c>
      <c r="L322" s="66">
        <v>2.7669999999999999</v>
      </c>
      <c r="M322" s="66">
        <v>7.7880000000000003</v>
      </c>
      <c r="N322" s="308">
        <v>7.3810000000000002</v>
      </c>
      <c r="O322" s="66">
        <v>-3.85</v>
      </c>
      <c r="P322" s="66">
        <v>-6.359</v>
      </c>
      <c r="Q322" s="66">
        <v>1.9E-2</v>
      </c>
      <c r="R322" s="66">
        <v>-42.176999999999992</v>
      </c>
      <c r="S322" s="307">
        <v>-43.228999999999999</v>
      </c>
      <c r="T322" s="66">
        <v>-15.492000000000001</v>
      </c>
      <c r="U322" s="66">
        <v>-11.587999999999999</v>
      </c>
      <c r="V322" s="308">
        <v>-23.861000000000004</v>
      </c>
      <c r="W322" s="66">
        <v>-41.816000000000003</v>
      </c>
      <c r="X322" s="66">
        <v>-38.722000000000001</v>
      </c>
      <c r="Y322" s="66">
        <v>-31.765000000000001</v>
      </c>
      <c r="Z322" s="66">
        <v>-41.048000000000002</v>
      </c>
      <c r="AA322" s="307">
        <v>-35.305999999999997</v>
      </c>
      <c r="AB322" s="66">
        <v>-35.540999999999997</v>
      </c>
      <c r="AC322" s="66">
        <v>-45.64</v>
      </c>
      <c r="AD322" s="308">
        <v>-91.426000000000002</v>
      </c>
      <c r="AE322" s="47"/>
      <c r="AF322" s="47"/>
      <c r="AG322" s="47"/>
      <c r="AH322" s="47"/>
      <c r="AI322" s="207"/>
      <c r="AJ322" s="47"/>
      <c r="AK322" s="47"/>
      <c r="AL322" s="208"/>
      <c r="AM322" s="207"/>
      <c r="AN322" s="47"/>
      <c r="AO322" s="47"/>
      <c r="AP322" s="208"/>
      <c r="AQ322" s="47"/>
      <c r="AR322" s="47"/>
      <c r="AS322" s="47"/>
      <c r="AT322" s="208"/>
      <c r="AU322" s="47"/>
      <c r="AV322" s="47"/>
      <c r="AW322" s="47"/>
      <c r="AX322" s="782"/>
      <c r="AY322" s="883"/>
      <c r="AZ322" s="883"/>
      <c r="BA322" s="47"/>
      <c r="BB322" s="782"/>
      <c r="BC322" s="883"/>
      <c r="BD322" s="883"/>
      <c r="BE322" s="47"/>
      <c r="BF322" s="208"/>
      <c r="BG322" s="883"/>
      <c r="BH322" s="883"/>
      <c r="BI322" s="47"/>
      <c r="BJ322" s="208"/>
      <c r="BK322" s="883"/>
      <c r="BL322" s="883"/>
      <c r="BM322" s="47"/>
      <c r="BN322" s="208"/>
      <c r="BO322" s="89"/>
      <c r="BP322" s="4">
        <v>43.613</v>
      </c>
      <c r="BQ322" s="4">
        <v>42.375</v>
      </c>
      <c r="BR322" s="4">
        <v>28.103999999999999</v>
      </c>
      <c r="BS322" s="4">
        <v>-52.366999999999997</v>
      </c>
      <c r="BT322" s="4">
        <v>-94.17</v>
      </c>
      <c r="BU322" s="4">
        <v>-153.351</v>
      </c>
      <c r="BV322" s="51">
        <v>-207.91300000000001</v>
      </c>
      <c r="BW322" s="50"/>
      <c r="BX322" s="50"/>
      <c r="BY322" s="47"/>
      <c r="BZ322" s="47"/>
      <c r="CA322" s="47"/>
      <c r="CB322" s="47"/>
      <c r="CC322" s="47"/>
      <c r="CD322" s="47"/>
      <c r="CE322" s="47"/>
      <c r="CF322" s="29"/>
      <c r="CG322" s="29"/>
      <c r="CH322" s="29"/>
      <c r="CI322" s="29"/>
      <c r="CJ322" s="29"/>
      <c r="CK322" s="29"/>
      <c r="CL322" s="29"/>
      <c r="CM322" s="29"/>
      <c r="CN322" s="29"/>
      <c r="CO322" s="29"/>
      <c r="CP322" s="29"/>
      <c r="CQ322" s="29"/>
      <c r="CR322" s="29"/>
      <c r="CS322" s="29"/>
      <c r="CT322" s="29"/>
      <c r="CU322" s="29"/>
      <c r="CV322" s="29"/>
      <c r="CW322" s="29"/>
      <c r="CX322" s="29"/>
      <c r="CY322" s="29"/>
      <c r="CZ322" s="29"/>
      <c r="DA322" s="29"/>
      <c r="DB322" s="29"/>
      <c r="DC322" s="29"/>
      <c r="DD322" s="29"/>
      <c r="DE322" s="29"/>
      <c r="DF322" s="29"/>
      <c r="DG322" s="29"/>
      <c r="DH322" s="29"/>
      <c r="DI322" s="29"/>
      <c r="DJ322" s="29"/>
      <c r="DK322" s="29"/>
      <c r="DL322" s="29"/>
      <c r="DM322" s="29"/>
      <c r="DN322" s="29"/>
      <c r="DO322" s="29"/>
      <c r="DP322" s="29"/>
      <c r="DQ322" s="29"/>
      <c r="DR322" s="29"/>
      <c r="DS322" s="29"/>
      <c r="DT322" s="29"/>
      <c r="DU322" s="29"/>
      <c r="DV322" s="29"/>
      <c r="DW322" s="29"/>
      <c r="DX322" s="29"/>
      <c r="DY322" s="29"/>
      <c r="DZ322" s="29"/>
      <c r="EA322" s="29"/>
      <c r="EB322" s="29"/>
      <c r="EC322" s="29"/>
      <c r="ED322" s="29"/>
      <c r="EE322" s="29"/>
      <c r="EF322" s="29"/>
      <c r="EG322" s="29"/>
      <c r="EH322" s="29"/>
      <c r="EI322" s="29"/>
      <c r="EJ322" s="29"/>
      <c r="EK322" s="29"/>
      <c r="EL322" s="29"/>
      <c r="EM322" s="29"/>
      <c r="EN322" s="29"/>
      <c r="EO322" s="29"/>
      <c r="EP322" s="29"/>
      <c r="EQ322" s="29"/>
      <c r="ER322" s="29"/>
      <c r="ES322" s="29"/>
      <c r="ET322" s="29"/>
      <c r="EU322" s="29"/>
      <c r="EV322" s="29"/>
      <c r="EW322" s="29"/>
      <c r="EX322" s="29"/>
      <c r="EY322" s="29"/>
      <c r="EZ322" s="29"/>
      <c r="FA322" s="29"/>
      <c r="FB322" s="29"/>
      <c r="FC322" s="29"/>
      <c r="FD322" s="29"/>
      <c r="FE322" s="29"/>
      <c r="FF322" s="29"/>
      <c r="FG322" s="29"/>
      <c r="FH322" s="29"/>
      <c r="FI322" s="29"/>
      <c r="FJ322" s="29"/>
      <c r="FK322" s="29"/>
      <c r="FL322" s="29"/>
      <c r="FM322" s="29"/>
      <c r="FN322" s="29"/>
      <c r="FO322" s="29"/>
      <c r="FP322" s="29"/>
      <c r="FQ322" s="29"/>
      <c r="FR322" s="29"/>
      <c r="FS322" s="29"/>
      <c r="FT322" s="29"/>
      <c r="FU322" s="29"/>
      <c r="FV322" s="29"/>
      <c r="FW322" s="29"/>
      <c r="FX322" s="29"/>
      <c r="FY322" s="29"/>
      <c r="FZ322" s="29"/>
      <c r="GA322" s="29"/>
      <c r="GB322" s="29"/>
      <c r="GC322" s="29"/>
      <c r="GD322" s="29"/>
      <c r="GE322" s="29"/>
      <c r="GF322" s="29"/>
      <c r="GG322" s="29"/>
      <c r="GH322" s="29"/>
      <c r="GI322" s="29"/>
      <c r="GJ322" s="29"/>
      <c r="GK322" s="29"/>
      <c r="GL322" s="29"/>
      <c r="GM322" s="29"/>
      <c r="GN322" s="29"/>
      <c r="GO322" s="29"/>
      <c r="GP322" s="29"/>
      <c r="GQ322" s="29"/>
      <c r="GR322" s="29"/>
      <c r="GS322" s="29"/>
      <c r="GT322" s="29"/>
      <c r="GU322" s="29"/>
      <c r="GV322" s="29"/>
      <c r="GW322" s="29"/>
      <c r="GX322" s="29"/>
      <c r="GY322" s="29"/>
      <c r="GZ322" s="29"/>
      <c r="HA322" s="29"/>
      <c r="HB322" s="29"/>
      <c r="HC322" s="29"/>
      <c r="HD322" s="29"/>
      <c r="HE322" s="29"/>
      <c r="HF322" s="29"/>
      <c r="HG322" s="29"/>
      <c r="HH322" s="29"/>
      <c r="HI322" s="29"/>
      <c r="HJ322" s="29"/>
      <c r="HK322" s="29"/>
      <c r="HL322" s="29"/>
      <c r="HM322" s="29"/>
      <c r="HN322" s="29"/>
      <c r="HO322" s="29"/>
      <c r="HP322" s="29"/>
      <c r="HQ322" s="29"/>
      <c r="HR322" s="29"/>
    </row>
    <row r="323" spans="1:226" s="46" customFormat="1" hidden="1" outlineLevel="1">
      <c r="A323" s="84"/>
      <c r="B323" s="9"/>
      <c r="C323" s="268"/>
      <c r="D323" s="9"/>
      <c r="E323" s="9"/>
      <c r="F323" s="269"/>
      <c r="G323" s="9"/>
      <c r="H323" s="9"/>
      <c r="I323" s="9"/>
      <c r="J323" s="9"/>
      <c r="K323" s="268"/>
      <c r="L323" s="9"/>
      <c r="M323" s="9"/>
      <c r="N323" s="269"/>
      <c r="O323" s="9"/>
      <c r="P323" s="9"/>
      <c r="Q323" s="9"/>
      <c r="R323" s="9"/>
      <c r="S323" s="268"/>
      <c r="T323" s="9"/>
      <c r="U323" s="9"/>
      <c r="V323" s="269"/>
      <c r="W323" s="9"/>
      <c r="X323" s="9"/>
      <c r="Y323" s="9"/>
      <c r="Z323" s="9"/>
      <c r="AA323" s="268"/>
      <c r="AB323" s="9"/>
      <c r="AC323" s="9"/>
      <c r="AD323" s="269"/>
      <c r="AE323" s="47"/>
      <c r="AF323" s="47"/>
      <c r="AG323" s="47"/>
      <c r="AH323" s="47"/>
      <c r="AI323" s="207"/>
      <c r="AJ323" s="47"/>
      <c r="AK323" s="47"/>
      <c r="AL323" s="208"/>
      <c r="AM323" s="207"/>
      <c r="AN323" s="47"/>
      <c r="AO323" s="47"/>
      <c r="AP323" s="208"/>
      <c r="AQ323" s="47"/>
      <c r="AR323" s="47"/>
      <c r="AS323" s="47"/>
      <c r="AT323" s="208"/>
      <c r="AU323" s="47"/>
      <c r="AV323" s="47"/>
      <c r="AW323" s="47"/>
      <c r="AX323" s="782"/>
      <c r="AY323" s="883"/>
      <c r="AZ323" s="883"/>
      <c r="BA323" s="47"/>
      <c r="BB323" s="782"/>
      <c r="BC323" s="883"/>
      <c r="BD323" s="883"/>
      <c r="BE323" s="47"/>
      <c r="BF323" s="208"/>
      <c r="BG323" s="883"/>
      <c r="BH323" s="883"/>
      <c r="BI323" s="47"/>
      <c r="BJ323" s="208"/>
      <c r="BK323" s="883"/>
      <c r="BL323" s="883"/>
      <c r="BM323" s="47"/>
      <c r="BN323" s="208"/>
      <c r="BO323" s="89"/>
      <c r="BP323" s="4"/>
      <c r="BQ323" s="4"/>
      <c r="BR323" s="4"/>
      <c r="BS323" s="4"/>
      <c r="BT323" s="4"/>
      <c r="BU323" s="4"/>
      <c r="BV323" s="51"/>
      <c r="BW323" s="50"/>
      <c r="BX323" s="50"/>
      <c r="BY323" s="47"/>
      <c r="BZ323" s="47"/>
      <c r="CA323" s="47"/>
      <c r="CB323" s="47"/>
      <c r="CC323" s="47"/>
      <c r="CD323" s="47"/>
      <c r="CE323" s="47"/>
      <c r="CF323" s="29"/>
      <c r="CG323" s="29"/>
      <c r="CH323" s="29"/>
      <c r="CI323" s="29"/>
      <c r="CJ323" s="2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29"/>
      <c r="DD323" s="2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29"/>
      <c r="DX323" s="2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29"/>
      <c r="ER323" s="29"/>
      <c r="ES323" s="29"/>
      <c r="ET323" s="29"/>
      <c r="EU323" s="29"/>
      <c r="EV323" s="29"/>
      <c r="EW323" s="29"/>
      <c r="EX323" s="29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29"/>
      <c r="FJ323" s="29"/>
      <c r="FK323" s="29"/>
      <c r="FL323" s="29"/>
      <c r="FM323" s="29"/>
      <c r="FN323" s="29"/>
      <c r="FO323" s="29"/>
      <c r="FP323" s="29"/>
      <c r="FQ323" s="29"/>
      <c r="FR323" s="29"/>
      <c r="FS323" s="29"/>
      <c r="FT323" s="29"/>
      <c r="FU323" s="29"/>
      <c r="FV323" s="29"/>
      <c r="FW323" s="29"/>
      <c r="FX323" s="29"/>
      <c r="FY323" s="29"/>
      <c r="FZ323" s="29"/>
      <c r="GA323" s="29"/>
      <c r="GB323" s="29"/>
      <c r="GC323" s="29"/>
      <c r="GD323" s="29"/>
      <c r="GE323" s="29"/>
      <c r="GF323" s="29"/>
      <c r="GG323" s="29"/>
      <c r="GH323" s="29"/>
      <c r="GI323" s="29"/>
      <c r="GJ323" s="29"/>
      <c r="GK323" s="29"/>
      <c r="GL323" s="29"/>
      <c r="GM323" s="29"/>
      <c r="GN323" s="29"/>
      <c r="GO323" s="29"/>
      <c r="GP323" s="29"/>
      <c r="GQ323" s="29"/>
      <c r="GR323" s="29"/>
      <c r="GS323" s="29"/>
      <c r="GT323" s="29"/>
      <c r="GU323" s="29"/>
      <c r="GV323" s="29"/>
      <c r="GW323" s="29"/>
      <c r="GX323" s="29"/>
      <c r="GY323" s="29"/>
      <c r="GZ323" s="29"/>
      <c r="HA323" s="29"/>
      <c r="HB323" s="29"/>
      <c r="HC323" s="29"/>
      <c r="HD323" s="29"/>
      <c r="HE323" s="29"/>
      <c r="HF323" s="29"/>
      <c r="HG323" s="29"/>
      <c r="HH323" s="29"/>
      <c r="HI323" s="29"/>
      <c r="HJ323" s="29"/>
      <c r="HK323" s="29"/>
      <c r="HL323" s="29"/>
      <c r="HM323" s="29"/>
      <c r="HN323" s="29"/>
      <c r="HO323" s="29"/>
      <c r="HP323" s="29"/>
      <c r="HQ323" s="29"/>
      <c r="HR323" s="29"/>
    </row>
    <row r="324" spans="1:226" s="46" customFormat="1" hidden="1" outlineLevel="1">
      <c r="A324" s="84"/>
      <c r="B324" s="357" t="s">
        <v>176</v>
      </c>
      <c r="C324" s="419"/>
      <c r="D324" s="420"/>
      <c r="E324" s="420"/>
      <c r="F324" s="421"/>
      <c r="G324" s="420"/>
      <c r="H324" s="420"/>
      <c r="I324" s="420"/>
      <c r="J324" s="420"/>
      <c r="K324" s="419"/>
      <c r="L324" s="420"/>
      <c r="M324" s="420"/>
      <c r="N324" s="421"/>
      <c r="O324" s="420"/>
      <c r="P324" s="420"/>
      <c r="Q324" s="420"/>
      <c r="R324" s="420"/>
      <c r="S324" s="419"/>
      <c r="T324" s="420"/>
      <c r="U324" s="420"/>
      <c r="V324" s="421"/>
      <c r="W324" s="420"/>
      <c r="X324" s="420"/>
      <c r="Y324" s="420"/>
      <c r="Z324" s="420"/>
      <c r="AA324" s="419"/>
      <c r="AB324" s="420"/>
      <c r="AC324" s="420"/>
      <c r="AD324" s="421"/>
      <c r="AE324" s="420"/>
      <c r="AF324" s="420"/>
      <c r="AG324" s="420"/>
      <c r="AH324" s="420"/>
      <c r="AI324" s="422"/>
      <c r="AJ324" s="423"/>
      <c r="AK324" s="423"/>
      <c r="AL324" s="424"/>
      <c r="AM324" s="422"/>
      <c r="AN324" s="423"/>
      <c r="AO324" s="423"/>
      <c r="AP324" s="424"/>
      <c r="AQ324" s="423"/>
      <c r="AR324" s="423"/>
      <c r="AS324" s="423"/>
      <c r="AT324" s="424"/>
      <c r="AU324" s="423"/>
      <c r="AV324" s="423"/>
      <c r="AW324" s="423"/>
      <c r="AX324" s="811"/>
      <c r="AY324" s="892"/>
      <c r="AZ324" s="892"/>
      <c r="BA324" s="423"/>
      <c r="BB324" s="811"/>
      <c r="BC324" s="892"/>
      <c r="BD324" s="892"/>
      <c r="BE324" s="423"/>
      <c r="BF324" s="424"/>
      <c r="BG324" s="892"/>
      <c r="BH324" s="892"/>
      <c r="BI324" s="423"/>
      <c r="BJ324" s="424"/>
      <c r="BK324" s="892"/>
      <c r="BL324" s="892"/>
      <c r="BM324" s="423"/>
      <c r="BN324" s="424"/>
      <c r="BO324" s="89"/>
      <c r="BP324" s="423"/>
      <c r="BQ324" s="423"/>
      <c r="BR324" s="423"/>
      <c r="BS324" s="423"/>
      <c r="BT324" s="423"/>
      <c r="BU324" s="423"/>
      <c r="BV324" s="423"/>
      <c r="BW324" s="425"/>
      <c r="BX324" s="425"/>
      <c r="BY324" s="423"/>
      <c r="BZ324" s="423"/>
      <c r="CA324" s="423"/>
      <c r="CB324" s="423"/>
      <c r="CC324" s="423"/>
      <c r="CD324" s="423"/>
      <c r="CE324" s="423"/>
      <c r="CF324" s="29"/>
      <c r="CG324" s="29"/>
      <c r="CH324" s="29"/>
      <c r="CI324" s="29"/>
      <c r="CJ324" s="2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29"/>
      <c r="DD324" s="2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29"/>
      <c r="DX324" s="2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29"/>
      <c r="ER324" s="29"/>
      <c r="ES324" s="29"/>
      <c r="ET324" s="29"/>
      <c r="EU324" s="29"/>
      <c r="EV324" s="29"/>
      <c r="EW324" s="29"/>
      <c r="EX324" s="29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29"/>
      <c r="FJ324" s="29"/>
      <c r="FK324" s="29"/>
      <c r="FL324" s="29"/>
      <c r="FM324" s="29"/>
      <c r="FN324" s="29"/>
      <c r="FO324" s="29"/>
      <c r="FP324" s="29"/>
      <c r="FQ324" s="29"/>
      <c r="FR324" s="29"/>
      <c r="FS324" s="29"/>
      <c r="FT324" s="29"/>
      <c r="FU324" s="29"/>
      <c r="FV324" s="29"/>
      <c r="FW324" s="29"/>
      <c r="FX324" s="29"/>
      <c r="FY324" s="29"/>
      <c r="FZ324" s="29"/>
      <c r="GA324" s="29"/>
      <c r="GB324" s="29"/>
      <c r="GC324" s="29"/>
      <c r="GD324" s="29"/>
      <c r="GE324" s="29"/>
      <c r="GF324" s="29"/>
      <c r="GG324" s="29"/>
      <c r="GH324" s="29"/>
      <c r="GI324" s="29"/>
      <c r="GJ324" s="29"/>
      <c r="GK324" s="29"/>
      <c r="GL324" s="29"/>
      <c r="GM324" s="29"/>
      <c r="GN324" s="29"/>
      <c r="GO324" s="29"/>
      <c r="GP324" s="29"/>
      <c r="GQ324" s="29"/>
      <c r="GR324" s="29"/>
      <c r="GS324" s="29"/>
      <c r="GT324" s="29"/>
      <c r="GU324" s="29"/>
      <c r="GV324" s="29"/>
      <c r="GW324" s="29"/>
      <c r="GX324" s="29"/>
      <c r="GY324" s="29"/>
      <c r="GZ324" s="29"/>
      <c r="HA324" s="29"/>
      <c r="HB324" s="29"/>
      <c r="HC324" s="29"/>
      <c r="HD324" s="29"/>
      <c r="HE324" s="29"/>
      <c r="HF324" s="29"/>
      <c r="HG324" s="29"/>
      <c r="HH324" s="29"/>
      <c r="HI324" s="29"/>
      <c r="HJ324" s="29"/>
      <c r="HK324" s="29"/>
      <c r="HL324" s="29"/>
      <c r="HM324" s="29"/>
      <c r="HN324" s="29"/>
      <c r="HO324" s="29"/>
      <c r="HP324" s="29"/>
      <c r="HQ324" s="29"/>
      <c r="HR324" s="29"/>
    </row>
    <row r="325" spans="1:226" s="46" customFormat="1" hidden="1" outlineLevel="1">
      <c r="A325" s="84"/>
      <c r="B325" s="5" t="s">
        <v>1</v>
      </c>
      <c r="C325" s="307"/>
      <c r="D325" s="66"/>
      <c r="E325" s="66"/>
      <c r="F325" s="308"/>
      <c r="G325" s="66">
        <v>1.1890000000000001</v>
      </c>
      <c r="H325" s="66">
        <v>2.452</v>
      </c>
      <c r="I325" s="66">
        <v>1.899</v>
      </c>
      <c r="J325" s="66">
        <v>1.42</v>
      </c>
      <c r="K325" s="307">
        <v>3.9359999999999999</v>
      </c>
      <c r="L325" s="66">
        <v>5.6580000000000004</v>
      </c>
      <c r="M325" s="66">
        <v>9.5060000000000002</v>
      </c>
      <c r="N325" s="308">
        <v>10.631</v>
      </c>
      <c r="O325" s="66">
        <v>10.914</v>
      </c>
      <c r="P325" s="66">
        <v>8.1280000000000001</v>
      </c>
      <c r="Q325" s="66">
        <v>5.1120000000000001</v>
      </c>
      <c r="R325" s="66">
        <v>-24.154</v>
      </c>
      <c r="S325" s="307">
        <v>0</v>
      </c>
      <c r="T325" s="66">
        <v>0</v>
      </c>
      <c r="U325" s="66">
        <v>0</v>
      </c>
      <c r="V325" s="308">
        <v>0</v>
      </c>
      <c r="W325" s="66">
        <v>0</v>
      </c>
      <c r="X325" s="66">
        <v>0</v>
      </c>
      <c r="Y325" s="66">
        <v>0</v>
      </c>
      <c r="Z325" s="66">
        <v>0</v>
      </c>
      <c r="AA325" s="307">
        <v>0</v>
      </c>
      <c r="AB325" s="66">
        <v>0</v>
      </c>
      <c r="AC325" s="66">
        <v>0</v>
      </c>
      <c r="AD325" s="308">
        <v>0</v>
      </c>
      <c r="AE325" s="66"/>
      <c r="AF325" s="66"/>
      <c r="AG325" s="66"/>
      <c r="AH325" s="66"/>
      <c r="AI325" s="207"/>
      <c r="AJ325" s="47"/>
      <c r="AK325" s="47"/>
      <c r="AL325" s="208"/>
      <c r="AM325" s="207"/>
      <c r="AN325" s="47"/>
      <c r="AO325" s="47"/>
      <c r="AP325" s="208"/>
      <c r="AQ325" s="47"/>
      <c r="AR325" s="47"/>
      <c r="AS325" s="47"/>
      <c r="AT325" s="208"/>
      <c r="AU325" s="47"/>
      <c r="AV325" s="47"/>
      <c r="AW325" s="47"/>
      <c r="AX325" s="782"/>
      <c r="AY325" s="883"/>
      <c r="AZ325" s="883"/>
      <c r="BA325" s="47"/>
      <c r="BB325" s="782"/>
      <c r="BC325" s="883"/>
      <c r="BD325" s="883"/>
      <c r="BE325" s="47"/>
      <c r="BF325" s="208"/>
      <c r="BG325" s="883"/>
      <c r="BH325" s="883"/>
      <c r="BI325" s="47"/>
      <c r="BJ325" s="208"/>
      <c r="BK325" s="883"/>
      <c r="BL325" s="883"/>
      <c r="BM325" s="47"/>
      <c r="BN325" s="208"/>
      <c r="BO325" s="89"/>
      <c r="BP325" s="4">
        <v>6.4809999999999999</v>
      </c>
      <c r="BQ325" s="4">
        <v>6.96</v>
      </c>
      <c r="BR325" s="4">
        <v>29.731000000000002</v>
      </c>
      <c r="BS325" s="4">
        <v>0</v>
      </c>
      <c r="BT325" s="4">
        <v>0</v>
      </c>
      <c r="BU325" s="4">
        <v>0</v>
      </c>
      <c r="BV325" s="51">
        <v>0</v>
      </c>
      <c r="BW325" s="50"/>
      <c r="BX325" s="50"/>
      <c r="BY325" s="47"/>
      <c r="BZ325" s="47"/>
      <c r="CA325" s="47"/>
      <c r="CB325" s="47"/>
      <c r="CC325" s="47"/>
      <c r="CD325" s="47"/>
      <c r="CE325" s="47"/>
      <c r="CF325" s="29"/>
      <c r="CG325" s="29"/>
      <c r="CH325" s="29"/>
      <c r="CI325" s="29"/>
      <c r="CJ325" s="29"/>
      <c r="CK325" s="29"/>
      <c r="CL325" s="29"/>
      <c r="CM325" s="29"/>
      <c r="CN325" s="29"/>
      <c r="CO325" s="29"/>
      <c r="CP325" s="29"/>
      <c r="CQ325" s="29"/>
      <c r="CR325" s="29"/>
      <c r="CS325" s="29"/>
      <c r="CT325" s="29"/>
      <c r="CU325" s="29"/>
      <c r="CV325" s="29"/>
      <c r="CW325" s="29"/>
      <c r="CX325" s="29"/>
      <c r="CY325" s="29"/>
      <c r="CZ325" s="29"/>
      <c r="DA325" s="29"/>
      <c r="DB325" s="29"/>
      <c r="DC325" s="29"/>
      <c r="DD325" s="29"/>
      <c r="DE325" s="29"/>
      <c r="DF325" s="29"/>
      <c r="DG325" s="29"/>
      <c r="DH325" s="29"/>
      <c r="DI325" s="29"/>
      <c r="DJ325" s="29"/>
      <c r="DK325" s="29"/>
      <c r="DL325" s="29"/>
      <c r="DM325" s="29"/>
      <c r="DN325" s="29"/>
      <c r="DO325" s="29"/>
      <c r="DP325" s="29"/>
      <c r="DQ325" s="29"/>
      <c r="DR325" s="29"/>
      <c r="DS325" s="29"/>
      <c r="DT325" s="29"/>
      <c r="DU325" s="29"/>
      <c r="DV325" s="29"/>
      <c r="DW325" s="29"/>
      <c r="DX325" s="29"/>
      <c r="DY325" s="29"/>
      <c r="DZ325" s="29"/>
      <c r="EA325" s="29"/>
      <c r="EB325" s="29"/>
      <c r="EC325" s="29"/>
      <c r="ED325" s="29"/>
      <c r="EE325" s="29"/>
      <c r="EF325" s="29"/>
      <c r="EG325" s="29"/>
      <c r="EH325" s="29"/>
      <c r="EI325" s="29"/>
      <c r="EJ325" s="29"/>
      <c r="EK325" s="29"/>
      <c r="EL325" s="29"/>
      <c r="EM325" s="29"/>
      <c r="EN325" s="29"/>
      <c r="EO325" s="29"/>
      <c r="EP325" s="29"/>
      <c r="EQ325" s="29"/>
      <c r="ER325" s="29"/>
      <c r="ES325" s="29"/>
      <c r="ET325" s="29"/>
      <c r="EU325" s="29"/>
      <c r="EV325" s="29"/>
      <c r="EW325" s="29"/>
      <c r="EX325" s="29"/>
      <c r="EY325" s="29"/>
      <c r="EZ325" s="29"/>
      <c r="FA325" s="29"/>
      <c r="FB325" s="29"/>
      <c r="FC325" s="29"/>
      <c r="FD325" s="29"/>
      <c r="FE325" s="29"/>
      <c r="FF325" s="29"/>
      <c r="FG325" s="29"/>
      <c r="FH325" s="29"/>
      <c r="FI325" s="29"/>
      <c r="FJ325" s="29"/>
      <c r="FK325" s="29"/>
      <c r="FL325" s="29"/>
      <c r="FM325" s="29"/>
      <c r="FN325" s="29"/>
      <c r="FO325" s="29"/>
      <c r="FP325" s="29"/>
      <c r="FQ325" s="29"/>
      <c r="FR325" s="29"/>
      <c r="FS325" s="29"/>
      <c r="FT325" s="29"/>
      <c r="FU325" s="29"/>
      <c r="FV325" s="29"/>
      <c r="FW325" s="29"/>
      <c r="FX325" s="29"/>
      <c r="FY325" s="29"/>
      <c r="FZ325" s="29"/>
      <c r="GA325" s="29"/>
      <c r="GB325" s="29"/>
      <c r="GC325" s="29"/>
      <c r="GD325" s="29"/>
      <c r="GE325" s="29"/>
      <c r="GF325" s="29"/>
      <c r="GG325" s="29"/>
      <c r="GH325" s="29"/>
      <c r="GI325" s="29"/>
      <c r="GJ325" s="29"/>
      <c r="GK325" s="29"/>
      <c r="GL325" s="29"/>
      <c r="GM325" s="29"/>
      <c r="GN325" s="29"/>
      <c r="GO325" s="29"/>
      <c r="GP325" s="29"/>
      <c r="GQ325" s="29"/>
      <c r="GR325" s="29"/>
      <c r="GS325" s="29"/>
      <c r="GT325" s="29"/>
      <c r="GU325" s="29"/>
      <c r="GV325" s="29"/>
      <c r="GW325" s="29"/>
      <c r="GX325" s="29"/>
      <c r="GY325" s="29"/>
      <c r="GZ325" s="29"/>
      <c r="HA325" s="29"/>
      <c r="HB325" s="29"/>
      <c r="HC325" s="29"/>
      <c r="HD325" s="29"/>
      <c r="HE325" s="29"/>
      <c r="HF325" s="29"/>
      <c r="HG325" s="29"/>
      <c r="HH325" s="29"/>
      <c r="HI325" s="29"/>
      <c r="HJ325" s="29"/>
      <c r="HK325" s="29"/>
      <c r="HL325" s="29"/>
      <c r="HM325" s="29"/>
      <c r="HN325" s="29"/>
      <c r="HO325" s="29"/>
      <c r="HP325" s="29"/>
      <c r="HQ325" s="29"/>
      <c r="HR325" s="29"/>
    </row>
    <row r="326" spans="1:226" s="46" customFormat="1" hidden="1" outlineLevel="1">
      <c r="A326" s="84"/>
      <c r="B326" s="5" t="s">
        <v>161</v>
      </c>
      <c r="C326" s="307"/>
      <c r="D326" s="66"/>
      <c r="E326" s="66"/>
      <c r="F326" s="308"/>
      <c r="G326" s="66"/>
      <c r="H326" s="66"/>
      <c r="I326" s="66"/>
      <c r="J326" s="66"/>
      <c r="K326" s="307"/>
      <c r="L326" s="66"/>
      <c r="M326" s="66"/>
      <c r="N326" s="308"/>
      <c r="O326" s="66"/>
      <c r="P326" s="66"/>
      <c r="Q326" s="66"/>
      <c r="R326" s="66"/>
      <c r="S326" s="307"/>
      <c r="T326" s="66"/>
      <c r="U326" s="66"/>
      <c r="V326" s="308"/>
      <c r="W326" s="66"/>
      <c r="X326" s="66"/>
      <c r="Y326" s="66"/>
      <c r="Z326" s="66"/>
      <c r="AA326" s="307"/>
      <c r="AB326" s="66"/>
      <c r="AC326" s="66"/>
      <c r="AD326" s="308"/>
      <c r="AE326" s="66"/>
      <c r="AF326" s="66"/>
      <c r="AG326" s="66"/>
      <c r="AH326" s="66"/>
      <c r="AI326" s="207"/>
      <c r="AJ326" s="47"/>
      <c r="AK326" s="47"/>
      <c r="AL326" s="208"/>
      <c r="AM326" s="207"/>
      <c r="AN326" s="47"/>
      <c r="AO326" s="47"/>
      <c r="AP326" s="208"/>
      <c r="AQ326" s="47"/>
      <c r="AR326" s="47"/>
      <c r="AS326" s="47"/>
      <c r="AT326" s="208"/>
      <c r="AU326" s="47"/>
      <c r="AV326" s="47"/>
      <c r="AW326" s="47"/>
      <c r="AX326" s="782"/>
      <c r="AY326" s="883"/>
      <c r="AZ326" s="883"/>
      <c r="BA326" s="47"/>
      <c r="BB326" s="782"/>
      <c r="BC326" s="883"/>
      <c r="BD326" s="883"/>
      <c r="BE326" s="47"/>
      <c r="BF326" s="208"/>
      <c r="BG326" s="883"/>
      <c r="BH326" s="883"/>
      <c r="BI326" s="47"/>
      <c r="BJ326" s="208"/>
      <c r="BK326" s="883"/>
      <c r="BL326" s="883"/>
      <c r="BM326" s="47"/>
      <c r="BN326" s="208"/>
      <c r="BO326" s="89"/>
      <c r="BP326" s="4">
        <v>40.011000000000003</v>
      </c>
      <c r="BQ326" s="4">
        <v>33.506000000000007</v>
      </c>
      <c r="BR326" s="4">
        <v>35.433000000000021</v>
      </c>
      <c r="BS326" s="4">
        <v>0</v>
      </c>
      <c r="BT326" s="4">
        <v>0</v>
      </c>
      <c r="BU326" s="4">
        <v>0</v>
      </c>
      <c r="BV326" s="51">
        <v>0</v>
      </c>
      <c r="BW326" s="50"/>
      <c r="BX326" s="50"/>
      <c r="BY326" s="47"/>
      <c r="BZ326" s="47"/>
      <c r="CA326" s="47"/>
      <c r="CB326" s="47"/>
      <c r="CC326" s="47"/>
      <c r="CD326" s="47"/>
      <c r="CE326" s="47"/>
      <c r="CF326" s="29"/>
      <c r="CG326" s="29"/>
      <c r="CH326" s="29"/>
      <c r="CI326" s="29"/>
      <c r="CJ326" s="2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29"/>
      <c r="DD326" s="2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29"/>
      <c r="DX326" s="2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29"/>
      <c r="ER326" s="29"/>
      <c r="ES326" s="29"/>
      <c r="ET326" s="29"/>
      <c r="EU326" s="29"/>
      <c r="EV326" s="29"/>
      <c r="EW326" s="29"/>
      <c r="EX326" s="29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29"/>
      <c r="FJ326" s="29"/>
      <c r="FK326" s="29"/>
      <c r="FL326" s="29"/>
      <c r="FM326" s="29"/>
      <c r="FN326" s="29"/>
      <c r="FO326" s="29"/>
      <c r="FP326" s="29"/>
      <c r="FQ326" s="29"/>
      <c r="FR326" s="29"/>
      <c r="FS326" s="29"/>
      <c r="FT326" s="29"/>
      <c r="FU326" s="29"/>
      <c r="FV326" s="29"/>
      <c r="FW326" s="29"/>
      <c r="FX326" s="29"/>
      <c r="FY326" s="29"/>
      <c r="FZ326" s="29"/>
      <c r="GA326" s="29"/>
      <c r="GB326" s="29"/>
      <c r="GC326" s="29"/>
      <c r="GD326" s="29"/>
      <c r="GE326" s="29"/>
      <c r="GF326" s="29"/>
      <c r="GG326" s="29"/>
      <c r="GH326" s="29"/>
      <c r="GI326" s="29"/>
      <c r="GJ326" s="29"/>
      <c r="GK326" s="29"/>
      <c r="GL326" s="29"/>
      <c r="GM326" s="29"/>
      <c r="GN326" s="29"/>
      <c r="GO326" s="29"/>
      <c r="GP326" s="29"/>
      <c r="GQ326" s="29"/>
      <c r="GR326" s="29"/>
      <c r="GS326" s="29"/>
      <c r="GT326" s="29"/>
      <c r="GU326" s="29"/>
      <c r="GV326" s="29"/>
      <c r="GW326" s="29"/>
      <c r="GX326" s="29"/>
      <c r="GY326" s="29"/>
      <c r="GZ326" s="29"/>
      <c r="HA326" s="29"/>
      <c r="HB326" s="29"/>
      <c r="HC326" s="29"/>
      <c r="HD326" s="29"/>
      <c r="HE326" s="29"/>
      <c r="HF326" s="29"/>
      <c r="HG326" s="29"/>
      <c r="HH326" s="29"/>
      <c r="HI326" s="29"/>
      <c r="HJ326" s="29"/>
      <c r="HK326" s="29"/>
      <c r="HL326" s="29"/>
      <c r="HM326" s="29"/>
      <c r="HN326" s="29"/>
      <c r="HO326" s="29"/>
      <c r="HP326" s="29"/>
      <c r="HQ326" s="29"/>
      <c r="HR326" s="29"/>
    </row>
    <row r="327" spans="1:226" s="46" customFormat="1" hidden="1" outlineLevel="1">
      <c r="A327" s="84"/>
      <c r="B327" s="5" t="s">
        <v>164</v>
      </c>
      <c r="C327" s="307"/>
      <c r="D327" s="66"/>
      <c r="E327" s="66"/>
      <c r="F327" s="308"/>
      <c r="G327" s="66">
        <v>-50.942</v>
      </c>
      <c r="H327" s="66">
        <v>-58.491</v>
      </c>
      <c r="I327" s="66">
        <v>-82.444000000000003</v>
      </c>
      <c r="J327" s="66">
        <v>-72.072999999999979</v>
      </c>
      <c r="K327" s="307">
        <v>-70.484999999999999</v>
      </c>
      <c r="L327" s="66">
        <v>-64.599000000000004</v>
      </c>
      <c r="M327" s="66">
        <v>-67.072000000000003</v>
      </c>
      <c r="N327" s="308">
        <v>-70.195999999999984</v>
      </c>
      <c r="O327" s="66">
        <v>-76.126000000000005</v>
      </c>
      <c r="P327" s="66">
        <v>-84.052000000000007</v>
      </c>
      <c r="Q327" s="66">
        <v>-92.804000000000002</v>
      </c>
      <c r="R327" s="66">
        <v>226.114</v>
      </c>
      <c r="S327" s="307">
        <v>-140.24100000000001</v>
      </c>
      <c r="T327" s="66">
        <v>0</v>
      </c>
      <c r="U327" s="66">
        <v>0</v>
      </c>
      <c r="V327" s="308">
        <v>0</v>
      </c>
      <c r="W327" s="66">
        <v>0</v>
      </c>
      <c r="X327" s="66">
        <v>0</v>
      </c>
      <c r="Y327" s="66">
        <v>0</v>
      </c>
      <c r="Z327" s="66">
        <v>57</v>
      </c>
      <c r="AA327" s="307">
        <v>0</v>
      </c>
      <c r="AB327" s="66">
        <v>0</v>
      </c>
      <c r="AC327" s="66">
        <v>0</v>
      </c>
      <c r="AD327" s="308">
        <v>0</v>
      </c>
      <c r="AE327" s="66"/>
      <c r="AF327" s="66"/>
      <c r="AG327" s="66"/>
      <c r="AH327" s="66"/>
      <c r="AI327" s="207"/>
      <c r="AJ327" s="47"/>
      <c r="AK327" s="47"/>
      <c r="AL327" s="208"/>
      <c r="AM327" s="207"/>
      <c r="AN327" s="47"/>
      <c r="AO327" s="47"/>
      <c r="AP327" s="208"/>
      <c r="AQ327" s="47"/>
      <c r="AR327" s="47"/>
      <c r="AS327" s="47"/>
      <c r="AT327" s="208"/>
      <c r="AU327" s="47"/>
      <c r="AV327" s="47"/>
      <c r="AW327" s="47"/>
      <c r="AX327" s="782"/>
      <c r="AY327" s="883"/>
      <c r="AZ327" s="883"/>
      <c r="BA327" s="47"/>
      <c r="BB327" s="782"/>
      <c r="BC327" s="883"/>
      <c r="BD327" s="883"/>
      <c r="BE327" s="47"/>
      <c r="BF327" s="208"/>
      <c r="BG327" s="883"/>
      <c r="BH327" s="883"/>
      <c r="BI327" s="47"/>
      <c r="BJ327" s="208"/>
      <c r="BK327" s="883"/>
      <c r="BL327" s="883"/>
      <c r="BM327" s="47"/>
      <c r="BN327" s="208"/>
      <c r="BO327" s="89"/>
      <c r="BP327" s="4">
        <v>-122.715</v>
      </c>
      <c r="BQ327" s="4">
        <v>-263.95</v>
      </c>
      <c r="BR327" s="4">
        <v>-272.35199999999998</v>
      </c>
      <c r="BS327" s="4">
        <v>-26.867999999999999</v>
      </c>
      <c r="BT327" s="4">
        <v>-140.24100000000001</v>
      </c>
      <c r="BU327" s="4">
        <v>57</v>
      </c>
      <c r="BV327" s="51">
        <v>0</v>
      </c>
      <c r="BW327" s="50"/>
      <c r="BX327" s="50"/>
      <c r="BY327" s="47"/>
      <c r="BZ327" s="47"/>
      <c r="CA327" s="47"/>
      <c r="CB327" s="47"/>
      <c r="CC327" s="47"/>
      <c r="CD327" s="47"/>
      <c r="CE327" s="47"/>
      <c r="CF327" s="29"/>
      <c r="CG327" s="29"/>
      <c r="CH327" s="29"/>
      <c r="CI327" s="29"/>
      <c r="CJ327" s="2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29"/>
      <c r="DD327" s="2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29"/>
      <c r="DX327" s="2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29"/>
      <c r="ER327" s="29"/>
      <c r="ES327" s="29"/>
      <c r="ET327" s="29"/>
      <c r="EU327" s="29"/>
      <c r="EV327" s="29"/>
      <c r="EW327" s="29"/>
      <c r="EX327" s="29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29"/>
      <c r="FJ327" s="29"/>
      <c r="FK327" s="29"/>
      <c r="FL327" s="29"/>
      <c r="FM327" s="29"/>
      <c r="FN327" s="29"/>
      <c r="FO327" s="29"/>
      <c r="FP327" s="29"/>
      <c r="FQ327" s="29"/>
      <c r="FR327" s="29"/>
      <c r="FS327" s="29"/>
      <c r="FT327" s="29"/>
      <c r="FU327" s="29"/>
      <c r="FV327" s="29"/>
      <c r="FW327" s="29"/>
      <c r="FX327" s="29"/>
      <c r="FY327" s="29"/>
      <c r="FZ327" s="29"/>
      <c r="GA327" s="29"/>
      <c r="GB327" s="29"/>
      <c r="GC327" s="29"/>
      <c r="GD327" s="29"/>
      <c r="GE327" s="29"/>
      <c r="GF327" s="29"/>
      <c r="GG327" s="29"/>
      <c r="GH327" s="29"/>
      <c r="GI327" s="29"/>
      <c r="GJ327" s="29"/>
      <c r="GK327" s="29"/>
      <c r="GL327" s="29"/>
      <c r="GM327" s="29"/>
      <c r="GN327" s="29"/>
      <c r="GO327" s="29"/>
      <c r="GP327" s="29"/>
      <c r="GQ327" s="29"/>
      <c r="GR327" s="29"/>
      <c r="GS327" s="29"/>
      <c r="GT327" s="29"/>
      <c r="GU327" s="29"/>
      <c r="GV327" s="29"/>
      <c r="GW327" s="29"/>
      <c r="GX327" s="29"/>
      <c r="GY327" s="29"/>
      <c r="GZ327" s="29"/>
      <c r="HA327" s="29"/>
      <c r="HB327" s="29"/>
      <c r="HC327" s="29"/>
      <c r="HD327" s="29"/>
      <c r="HE327" s="29"/>
      <c r="HF327" s="29"/>
      <c r="HG327" s="29"/>
      <c r="HH327" s="29"/>
      <c r="HI327" s="29"/>
      <c r="HJ327" s="29"/>
      <c r="HK327" s="29"/>
      <c r="HL327" s="29"/>
      <c r="HM327" s="29"/>
      <c r="HN327" s="29"/>
      <c r="HO327" s="29"/>
      <c r="HP327" s="29"/>
      <c r="HQ327" s="29"/>
      <c r="HR327" s="29"/>
    </row>
    <row r="328" spans="1:226" s="46" customFormat="1" hidden="1" outlineLevel="1">
      <c r="A328" s="84"/>
      <c r="B328" s="5"/>
      <c r="C328" s="268"/>
      <c r="D328" s="9"/>
      <c r="E328" s="9"/>
      <c r="F328" s="269"/>
      <c r="G328" s="9"/>
      <c r="H328" s="9"/>
      <c r="I328" s="9"/>
      <c r="J328" s="9"/>
      <c r="K328" s="268"/>
      <c r="L328" s="9"/>
      <c r="M328" s="9"/>
      <c r="N328" s="269"/>
      <c r="O328" s="9"/>
      <c r="P328" s="9"/>
      <c r="Q328" s="9"/>
      <c r="R328" s="9"/>
      <c r="S328" s="268"/>
      <c r="T328" s="9"/>
      <c r="U328" s="9"/>
      <c r="V328" s="269"/>
      <c r="W328" s="9"/>
      <c r="X328" s="9"/>
      <c r="Y328" s="9"/>
      <c r="Z328" s="9"/>
      <c r="AA328" s="268"/>
      <c r="AB328" s="9"/>
      <c r="AC328" s="9"/>
      <c r="AD328" s="269"/>
      <c r="AE328" s="47"/>
      <c r="AF328" s="47"/>
      <c r="AG328" s="47"/>
      <c r="AH328" s="47"/>
      <c r="AI328" s="207"/>
      <c r="AJ328" s="47"/>
      <c r="AK328" s="47"/>
      <c r="AL328" s="208"/>
      <c r="AM328" s="207"/>
      <c r="AN328" s="47"/>
      <c r="AO328" s="47"/>
      <c r="AP328" s="208"/>
      <c r="AQ328" s="47"/>
      <c r="AR328" s="47"/>
      <c r="AS328" s="47"/>
      <c r="AT328" s="208"/>
      <c r="AU328" s="47"/>
      <c r="AV328" s="47"/>
      <c r="AW328" s="47"/>
      <c r="AX328" s="782"/>
      <c r="AY328" s="883"/>
      <c r="AZ328" s="883"/>
      <c r="BA328" s="47"/>
      <c r="BB328" s="782"/>
      <c r="BC328" s="883"/>
      <c r="BD328" s="883"/>
      <c r="BE328" s="47"/>
      <c r="BF328" s="208"/>
      <c r="BG328" s="883"/>
      <c r="BH328" s="883"/>
      <c r="BI328" s="47"/>
      <c r="BJ328" s="208"/>
      <c r="BK328" s="883"/>
      <c r="BL328" s="883"/>
      <c r="BM328" s="47"/>
      <c r="BN328" s="208"/>
      <c r="BO328" s="89"/>
      <c r="BP328" s="4"/>
      <c r="BQ328" s="4"/>
      <c r="BR328" s="4"/>
      <c r="BS328" s="4"/>
      <c r="BT328" s="4"/>
      <c r="BU328" s="4"/>
      <c r="BV328" s="51"/>
      <c r="BW328" s="50"/>
      <c r="BX328" s="50"/>
      <c r="BY328" s="47"/>
      <c r="BZ328" s="47"/>
      <c r="CA328" s="47"/>
      <c r="CB328" s="47"/>
      <c r="CC328" s="47"/>
      <c r="CD328" s="47"/>
      <c r="CE328" s="47"/>
      <c r="CF328" s="29"/>
      <c r="CG328" s="29"/>
      <c r="CH328" s="29"/>
      <c r="CI328" s="29"/>
      <c r="CJ328" s="29"/>
      <c r="CK328" s="29"/>
      <c r="CL328" s="29"/>
      <c r="CM328" s="29"/>
      <c r="CN328" s="29"/>
      <c r="CO328" s="29"/>
      <c r="CP328" s="29"/>
      <c r="CQ328" s="29"/>
      <c r="CR328" s="29"/>
      <c r="CS328" s="29"/>
      <c r="CT328" s="29"/>
      <c r="CU328" s="29"/>
      <c r="CV328" s="29"/>
      <c r="CW328" s="29"/>
      <c r="CX328" s="29"/>
      <c r="CY328" s="29"/>
      <c r="CZ328" s="29"/>
      <c r="DA328" s="29"/>
      <c r="DB328" s="29"/>
      <c r="DC328" s="29"/>
      <c r="DD328" s="29"/>
      <c r="DE328" s="29"/>
      <c r="DF328" s="29"/>
      <c r="DG328" s="29"/>
      <c r="DH328" s="29"/>
      <c r="DI328" s="29"/>
      <c r="DJ328" s="29"/>
      <c r="DK328" s="29"/>
      <c r="DL328" s="29"/>
      <c r="DM328" s="29"/>
      <c r="DN328" s="29"/>
      <c r="DO328" s="29"/>
      <c r="DP328" s="29"/>
      <c r="DQ328" s="29"/>
      <c r="DR328" s="29"/>
      <c r="DS328" s="29"/>
      <c r="DT328" s="29"/>
      <c r="DU328" s="29"/>
      <c r="DV328" s="29"/>
      <c r="DW328" s="29"/>
      <c r="DX328" s="29"/>
      <c r="DY328" s="29"/>
      <c r="DZ328" s="29"/>
      <c r="EA328" s="29"/>
      <c r="EB328" s="29"/>
      <c r="EC328" s="29"/>
      <c r="ED328" s="29"/>
      <c r="EE328" s="29"/>
      <c r="EF328" s="29"/>
      <c r="EG328" s="29"/>
      <c r="EH328" s="29"/>
      <c r="EI328" s="29"/>
      <c r="EJ328" s="29"/>
      <c r="EK328" s="29"/>
      <c r="EL328" s="29"/>
      <c r="EM328" s="29"/>
      <c r="EN328" s="29"/>
      <c r="EO328" s="29"/>
      <c r="EP328" s="29"/>
      <c r="EQ328" s="29"/>
      <c r="ER328" s="29"/>
      <c r="ES328" s="29"/>
      <c r="ET328" s="29"/>
      <c r="EU328" s="29"/>
      <c r="EV328" s="29"/>
      <c r="EW328" s="29"/>
      <c r="EX328" s="29"/>
      <c r="EY328" s="29"/>
      <c r="EZ328" s="29"/>
      <c r="FA328" s="29"/>
      <c r="FB328" s="29"/>
      <c r="FC328" s="29"/>
      <c r="FD328" s="29"/>
      <c r="FE328" s="29"/>
      <c r="FF328" s="29"/>
      <c r="FG328" s="29"/>
      <c r="FH328" s="29"/>
      <c r="FI328" s="29"/>
      <c r="FJ328" s="29"/>
      <c r="FK328" s="29"/>
      <c r="FL328" s="29"/>
      <c r="FM328" s="29"/>
      <c r="FN328" s="29"/>
      <c r="FO328" s="29"/>
      <c r="FP328" s="29"/>
      <c r="FQ328" s="29"/>
      <c r="FR328" s="29"/>
      <c r="FS328" s="29"/>
      <c r="FT328" s="29"/>
      <c r="FU328" s="29"/>
      <c r="FV328" s="29"/>
      <c r="FW328" s="29"/>
      <c r="FX328" s="29"/>
      <c r="FY328" s="29"/>
      <c r="FZ328" s="29"/>
      <c r="GA328" s="29"/>
      <c r="GB328" s="29"/>
      <c r="GC328" s="29"/>
      <c r="GD328" s="29"/>
      <c r="GE328" s="29"/>
      <c r="GF328" s="29"/>
      <c r="GG328" s="29"/>
      <c r="GH328" s="29"/>
      <c r="GI328" s="29"/>
      <c r="GJ328" s="29"/>
      <c r="GK328" s="29"/>
      <c r="GL328" s="29"/>
      <c r="GM328" s="29"/>
      <c r="GN328" s="29"/>
      <c r="GO328" s="29"/>
      <c r="GP328" s="29"/>
      <c r="GQ328" s="29"/>
      <c r="GR328" s="29"/>
      <c r="GS328" s="29"/>
      <c r="GT328" s="29"/>
      <c r="GU328" s="29"/>
      <c r="GV328" s="29"/>
      <c r="GW328" s="29"/>
      <c r="GX328" s="29"/>
      <c r="GY328" s="29"/>
      <c r="GZ328" s="29"/>
      <c r="HA328" s="29"/>
      <c r="HB328" s="29"/>
      <c r="HC328" s="29"/>
      <c r="HD328" s="29"/>
      <c r="HE328" s="29"/>
      <c r="HF328" s="29"/>
      <c r="HG328" s="29"/>
      <c r="HH328" s="29"/>
      <c r="HI328" s="29"/>
      <c r="HJ328" s="29"/>
      <c r="HK328" s="29"/>
      <c r="HL328" s="29"/>
      <c r="HM328" s="29"/>
      <c r="HN328" s="29"/>
      <c r="HO328" s="29"/>
      <c r="HP328" s="29"/>
      <c r="HQ328" s="29"/>
      <c r="HR328" s="29"/>
    </row>
    <row r="329" spans="1:226" s="46" customFormat="1" hidden="1" outlineLevel="1">
      <c r="A329" s="84"/>
      <c r="B329" s="357" t="s">
        <v>177</v>
      </c>
      <c r="C329" s="419"/>
      <c r="D329" s="420"/>
      <c r="E329" s="420"/>
      <c r="F329" s="421"/>
      <c r="G329" s="420"/>
      <c r="H329" s="420"/>
      <c r="I329" s="420"/>
      <c r="J329" s="420"/>
      <c r="K329" s="419"/>
      <c r="L329" s="420"/>
      <c r="M329" s="420"/>
      <c r="N329" s="421"/>
      <c r="O329" s="420"/>
      <c r="P329" s="420"/>
      <c r="Q329" s="420"/>
      <c r="R329" s="420"/>
      <c r="S329" s="419"/>
      <c r="T329" s="420"/>
      <c r="U329" s="420"/>
      <c r="V329" s="421"/>
      <c r="W329" s="420"/>
      <c r="X329" s="420"/>
      <c r="Y329" s="420"/>
      <c r="Z329" s="420"/>
      <c r="AA329" s="419"/>
      <c r="AB329" s="420"/>
      <c r="AC329" s="420"/>
      <c r="AD329" s="421">
        <f>ROUND(AD330,1)-ROUND(IS!AD7,1)</f>
        <v>0</v>
      </c>
      <c r="AE329" s="420"/>
      <c r="AF329" s="420"/>
      <c r="AG329" s="420"/>
      <c r="AH329" s="420"/>
      <c r="AI329" s="422"/>
      <c r="AJ329" s="423"/>
      <c r="AK329" s="423"/>
      <c r="AL329" s="424"/>
      <c r="AM329" s="422"/>
      <c r="AN329" s="423"/>
      <c r="AO329" s="423"/>
      <c r="AP329" s="424"/>
      <c r="AQ329" s="423"/>
      <c r="AR329" s="423"/>
      <c r="AS329" s="423"/>
      <c r="AT329" s="424"/>
      <c r="AU329" s="423"/>
      <c r="AV329" s="423"/>
      <c r="AW329" s="423"/>
      <c r="AX329" s="811"/>
      <c r="AY329" s="892"/>
      <c r="AZ329" s="892"/>
      <c r="BA329" s="423"/>
      <c r="BB329" s="811"/>
      <c r="BC329" s="892"/>
      <c r="BD329" s="892"/>
      <c r="BE329" s="423"/>
      <c r="BF329" s="424"/>
      <c r="BG329" s="892"/>
      <c r="BH329" s="892"/>
      <c r="BI329" s="423"/>
      <c r="BJ329" s="424"/>
      <c r="BK329" s="892"/>
      <c r="BL329" s="892"/>
      <c r="BM329" s="423"/>
      <c r="BN329" s="424"/>
      <c r="BO329" s="89"/>
      <c r="BP329" s="423"/>
      <c r="BQ329" s="423"/>
      <c r="BR329" s="423"/>
      <c r="BS329" s="423"/>
      <c r="BT329" s="423"/>
      <c r="BU329" s="423"/>
      <c r="BV329" s="423"/>
      <c r="BW329" s="425"/>
      <c r="BX329" s="425"/>
      <c r="BY329" s="423"/>
      <c r="BZ329" s="423"/>
      <c r="CA329" s="423"/>
      <c r="CB329" s="423"/>
      <c r="CC329" s="423"/>
      <c r="CD329" s="423"/>
      <c r="CE329" s="423"/>
      <c r="CF329" s="29"/>
      <c r="CG329" s="29"/>
      <c r="CH329" s="29"/>
      <c r="CI329" s="29"/>
      <c r="CJ329" s="2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29"/>
      <c r="DD329" s="2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29"/>
      <c r="DX329" s="2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29"/>
      <c r="ER329" s="29"/>
      <c r="ES329" s="29"/>
      <c r="ET329" s="29"/>
      <c r="EU329" s="29"/>
      <c r="EV329" s="29"/>
      <c r="EW329" s="29"/>
      <c r="EX329" s="29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29"/>
      <c r="FJ329" s="29"/>
      <c r="FK329" s="29"/>
      <c r="FL329" s="29"/>
      <c r="FM329" s="29"/>
      <c r="FN329" s="29"/>
      <c r="FO329" s="29"/>
      <c r="FP329" s="29"/>
      <c r="FQ329" s="29"/>
      <c r="FR329" s="29"/>
      <c r="FS329" s="29"/>
      <c r="FT329" s="29"/>
      <c r="FU329" s="29"/>
      <c r="FV329" s="29"/>
      <c r="FW329" s="29"/>
      <c r="FX329" s="29"/>
      <c r="FY329" s="29"/>
      <c r="FZ329" s="29"/>
      <c r="GA329" s="29"/>
      <c r="GB329" s="29"/>
      <c r="GC329" s="29"/>
      <c r="GD329" s="29"/>
      <c r="GE329" s="29"/>
      <c r="GF329" s="29"/>
      <c r="GG329" s="29"/>
      <c r="GH329" s="29"/>
      <c r="GI329" s="29"/>
      <c r="GJ329" s="29"/>
      <c r="GK329" s="29"/>
      <c r="GL329" s="29"/>
      <c r="GM329" s="29"/>
      <c r="GN329" s="29"/>
      <c r="GO329" s="29"/>
      <c r="GP329" s="29"/>
      <c r="GQ329" s="29"/>
      <c r="GR329" s="29"/>
      <c r="GS329" s="29"/>
      <c r="GT329" s="29"/>
      <c r="GU329" s="29"/>
      <c r="GV329" s="29"/>
      <c r="GW329" s="29"/>
      <c r="GX329" s="29"/>
      <c r="GY329" s="29"/>
      <c r="GZ329" s="29"/>
      <c r="HA329" s="29"/>
      <c r="HB329" s="29"/>
      <c r="HC329" s="29"/>
      <c r="HD329" s="29"/>
      <c r="HE329" s="29"/>
      <c r="HF329" s="29"/>
      <c r="HG329" s="29"/>
      <c r="HH329" s="29"/>
      <c r="HI329" s="29"/>
      <c r="HJ329" s="29"/>
      <c r="HK329" s="29"/>
      <c r="HL329" s="29"/>
      <c r="HM329" s="29"/>
      <c r="HN329" s="29"/>
      <c r="HO329" s="29"/>
      <c r="HP329" s="29"/>
      <c r="HQ329" s="29"/>
      <c r="HR329" s="29"/>
    </row>
    <row r="330" spans="1:226" s="46" customFormat="1" hidden="1" outlineLevel="1">
      <c r="A330" s="84"/>
      <c r="B330" s="5" t="s">
        <v>1</v>
      </c>
      <c r="C330" s="237"/>
      <c r="D330" s="73"/>
      <c r="E330" s="73"/>
      <c r="F330" s="313"/>
      <c r="G330" s="73">
        <f t="shared" ref="G330:AD330" si="1342">G301+G306+G320+G325</f>
        <v>681.80700000000002</v>
      </c>
      <c r="H330" s="73">
        <f t="shared" si="1342"/>
        <v>687.51900000000001</v>
      </c>
      <c r="I330" s="73">
        <f t="shared" si="1342"/>
        <v>820.572</v>
      </c>
      <c r="J330" s="73">
        <f t="shared" si="1342"/>
        <v>878.87299999999993</v>
      </c>
      <c r="K330" s="237">
        <f t="shared" si="1342"/>
        <v>844.28</v>
      </c>
      <c r="L330" s="73">
        <f t="shared" si="1342"/>
        <v>935.25300000000004</v>
      </c>
      <c r="M330" s="73">
        <f t="shared" si="1342"/>
        <v>1115.597</v>
      </c>
      <c r="N330" s="238">
        <f t="shared" si="1342"/>
        <v>1202.73</v>
      </c>
      <c r="O330" s="73">
        <f t="shared" si="1342"/>
        <v>1153.3879999999999</v>
      </c>
      <c r="P330" s="73">
        <f t="shared" si="1342"/>
        <v>892.67600000000004</v>
      </c>
      <c r="Q330" s="73">
        <f t="shared" si="1342"/>
        <v>897.65499999999997</v>
      </c>
      <c r="R330" s="73">
        <f t="shared" si="1342"/>
        <v>481.13999999999993</v>
      </c>
      <c r="S330" s="237">
        <f t="shared" si="1342"/>
        <v>664.23099999999999</v>
      </c>
      <c r="T330" s="73">
        <f t="shared" si="1342"/>
        <v>776.52</v>
      </c>
      <c r="U330" s="73">
        <f t="shared" si="1342"/>
        <v>903.20600000000002</v>
      </c>
      <c r="V330" s="238">
        <f t="shared" si="1342"/>
        <v>982.48800000000006</v>
      </c>
      <c r="W330" s="73">
        <f t="shared" si="1342"/>
        <v>1001.813</v>
      </c>
      <c r="X330" s="73">
        <f t="shared" si="1342"/>
        <v>811.20799999999997</v>
      </c>
      <c r="Y330" s="73">
        <f t="shared" si="1342"/>
        <v>843.91200000000003</v>
      </c>
      <c r="Z330" s="73">
        <f t="shared" si="1342"/>
        <v>886.37599999999998</v>
      </c>
      <c r="AA330" s="237">
        <f t="shared" si="1342"/>
        <v>962.0390000000001</v>
      </c>
      <c r="AB330" s="73">
        <f t="shared" si="1342"/>
        <v>1016.5169999999999</v>
      </c>
      <c r="AC330" s="73">
        <f t="shared" si="1342"/>
        <v>1066.18</v>
      </c>
      <c r="AD330" s="238">
        <f t="shared" si="1342"/>
        <v>953.19399999999996</v>
      </c>
      <c r="AE330" s="73"/>
      <c r="AF330" s="73"/>
      <c r="AG330" s="73"/>
      <c r="AH330" s="73"/>
      <c r="AI330" s="43"/>
      <c r="AJ330" s="47"/>
      <c r="AK330" s="47"/>
      <c r="AL330" s="208"/>
      <c r="AM330" s="207"/>
      <c r="AN330" s="47"/>
      <c r="AO330" s="47"/>
      <c r="AP330" s="208"/>
      <c r="AQ330" s="47"/>
      <c r="AR330" s="47"/>
      <c r="AS330" s="47"/>
      <c r="AT330" s="208"/>
      <c r="AU330" s="47"/>
      <c r="AV330" s="47"/>
      <c r="AW330" s="47"/>
      <c r="AX330" s="782"/>
      <c r="AY330" s="883"/>
      <c r="AZ330" s="883"/>
      <c r="BA330" s="47"/>
      <c r="BB330" s="782"/>
      <c r="BC330" s="883"/>
      <c r="BD330" s="883"/>
      <c r="BE330" s="47"/>
      <c r="BF330" s="208"/>
      <c r="BG330" s="883"/>
      <c r="BH330" s="883"/>
      <c r="BI330" s="47"/>
      <c r="BJ330" s="208"/>
      <c r="BK330" s="883"/>
      <c r="BL330" s="883"/>
      <c r="BM330" s="47"/>
      <c r="BN330" s="208"/>
      <c r="BO330" s="89"/>
      <c r="BP330" s="4">
        <v>2375.6869999999999</v>
      </c>
      <c r="BQ330" s="4">
        <v>3068.7710000000002</v>
      </c>
      <c r="BR330" s="4">
        <v>4097.8599999999997</v>
      </c>
      <c r="BS330" s="4">
        <v>3424.8589999999999</v>
      </c>
      <c r="BT330" s="4">
        <v>3326.4450000000002</v>
      </c>
      <c r="BU330" s="4">
        <v>3543.3090000000002</v>
      </c>
      <c r="BV330" s="51">
        <v>3997.93</v>
      </c>
      <c r="BW330" s="50"/>
      <c r="BX330" s="50"/>
      <c r="BY330" s="47"/>
      <c r="BZ330" s="47"/>
      <c r="CA330" s="47"/>
      <c r="CB330" s="47"/>
      <c r="CC330" s="47"/>
      <c r="CD330" s="47"/>
      <c r="CE330" s="47"/>
      <c r="CF330" s="29"/>
      <c r="CG330" s="29"/>
      <c r="CH330" s="29"/>
      <c r="CI330" s="29"/>
      <c r="CJ330" s="2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29"/>
      <c r="DD330" s="2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29"/>
      <c r="DX330" s="2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29"/>
      <c r="ER330" s="29"/>
      <c r="ES330" s="29"/>
      <c r="ET330" s="29"/>
      <c r="EU330" s="29"/>
      <c r="EV330" s="29"/>
      <c r="EW330" s="29"/>
      <c r="EX330" s="29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29"/>
      <c r="FJ330" s="29"/>
      <c r="FK330" s="29"/>
      <c r="FL330" s="29"/>
      <c r="FM330" s="29"/>
      <c r="FN330" s="29"/>
      <c r="FO330" s="29"/>
      <c r="FP330" s="29"/>
      <c r="FQ330" s="29"/>
      <c r="FR330" s="29"/>
      <c r="FS330" s="29"/>
      <c r="FT330" s="29"/>
      <c r="FU330" s="29"/>
      <c r="FV330" s="29"/>
      <c r="FW330" s="29"/>
      <c r="FX330" s="29"/>
      <c r="FY330" s="29"/>
      <c r="FZ330" s="29"/>
      <c r="GA330" s="29"/>
      <c r="GB330" s="29"/>
      <c r="GC330" s="29"/>
      <c r="GD330" s="29"/>
      <c r="GE330" s="29"/>
      <c r="GF330" s="29"/>
      <c r="GG330" s="29"/>
      <c r="GH330" s="29"/>
      <c r="GI330" s="29"/>
      <c r="GJ330" s="29"/>
      <c r="GK330" s="29"/>
      <c r="GL330" s="29"/>
      <c r="GM330" s="29"/>
      <c r="GN330" s="29"/>
      <c r="GO330" s="29"/>
      <c r="GP330" s="29"/>
      <c r="GQ330" s="29"/>
      <c r="GR330" s="29"/>
      <c r="GS330" s="29"/>
      <c r="GT330" s="29"/>
      <c r="GU330" s="29"/>
      <c r="GV330" s="29"/>
      <c r="GW330" s="29"/>
      <c r="GX330" s="29"/>
      <c r="GY330" s="29"/>
      <c r="GZ330" s="29"/>
      <c r="HA330" s="29"/>
      <c r="HB330" s="29"/>
      <c r="HC330" s="29"/>
      <c r="HD330" s="29"/>
      <c r="HE330" s="29"/>
      <c r="HF330" s="29"/>
      <c r="HG330" s="29"/>
      <c r="HH330" s="29"/>
      <c r="HI330" s="29"/>
      <c r="HJ330" s="29"/>
      <c r="HK330" s="29"/>
      <c r="HL330" s="29"/>
      <c r="HM330" s="29"/>
      <c r="HN330" s="29"/>
      <c r="HO330" s="29"/>
      <c r="HP330" s="29"/>
      <c r="HQ330" s="29"/>
      <c r="HR330" s="29"/>
    </row>
    <row r="331" spans="1:226" s="46" customFormat="1" hidden="1" outlineLevel="1">
      <c r="A331" s="84"/>
      <c r="B331" s="5" t="s">
        <v>161</v>
      </c>
      <c r="C331" s="237"/>
      <c r="D331" s="73"/>
      <c r="E331" s="73"/>
      <c r="F331" s="238"/>
      <c r="G331" s="73">
        <f t="shared" ref="G331:AD331" si="1343">G302+G307+G321+G326</f>
        <v>0</v>
      </c>
      <c r="H331" s="73">
        <f t="shared" si="1343"/>
        <v>0</v>
      </c>
      <c r="I331" s="73">
        <f t="shared" si="1343"/>
        <v>0</v>
      </c>
      <c r="J331" s="73">
        <f t="shared" si="1343"/>
        <v>0</v>
      </c>
      <c r="K331" s="237">
        <f t="shared" si="1343"/>
        <v>0</v>
      </c>
      <c r="L331" s="73">
        <f t="shared" si="1343"/>
        <v>0</v>
      </c>
      <c r="M331" s="73">
        <f t="shared" si="1343"/>
        <v>0</v>
      </c>
      <c r="N331" s="238">
        <f t="shared" si="1343"/>
        <v>0</v>
      </c>
      <c r="O331" s="73">
        <f t="shared" si="1343"/>
        <v>0</v>
      </c>
      <c r="P331" s="73">
        <f t="shared" si="1343"/>
        <v>0</v>
      </c>
      <c r="Q331" s="73">
        <f t="shared" si="1343"/>
        <v>0</v>
      </c>
      <c r="R331" s="73">
        <f t="shared" si="1343"/>
        <v>0</v>
      </c>
      <c r="S331" s="237">
        <f t="shared" si="1343"/>
        <v>103.148</v>
      </c>
      <c r="T331" s="73">
        <f t="shared" si="1343"/>
        <v>113.626</v>
      </c>
      <c r="U331" s="73">
        <f t="shared" si="1343"/>
        <v>124.63800000000001</v>
      </c>
      <c r="V331" s="238">
        <f t="shared" si="1343"/>
        <v>147.81100000000006</v>
      </c>
      <c r="W331" s="73">
        <f t="shared" si="1343"/>
        <v>164.73</v>
      </c>
      <c r="X331" s="73">
        <f t="shared" si="1343"/>
        <v>190.09100000000001</v>
      </c>
      <c r="Y331" s="73">
        <f t="shared" si="1343"/>
        <v>185.11500000000001</v>
      </c>
      <c r="Z331" s="73">
        <f t="shared" si="1343"/>
        <v>176.61600000000001</v>
      </c>
      <c r="AA331" s="237">
        <f t="shared" si="1343"/>
        <v>174.34100000000001</v>
      </c>
      <c r="AB331" s="73">
        <f t="shared" si="1343"/>
        <v>182.78899999999999</v>
      </c>
      <c r="AC331" s="73">
        <f t="shared" si="1343"/>
        <v>202.79499999999999</v>
      </c>
      <c r="AD331" s="238">
        <f t="shared" si="1343"/>
        <v>194.40899999999999</v>
      </c>
      <c r="AE331" s="73"/>
      <c r="AF331" s="73"/>
      <c r="AG331" s="73"/>
      <c r="AH331" s="73"/>
      <c r="AI331" s="43"/>
      <c r="AJ331" s="47"/>
      <c r="AK331" s="47"/>
      <c r="AL331" s="208"/>
      <c r="AM331" s="207"/>
      <c r="AN331" s="47"/>
      <c r="AO331" s="47"/>
      <c r="AP331" s="208"/>
      <c r="AQ331" s="47"/>
      <c r="AR331" s="47"/>
      <c r="AS331" s="47"/>
      <c r="AT331" s="208"/>
      <c r="AU331" s="47"/>
      <c r="AV331" s="47"/>
      <c r="AW331" s="47"/>
      <c r="AX331" s="782"/>
      <c r="AY331" s="883"/>
      <c r="AZ331" s="883"/>
      <c r="BA331" s="47"/>
      <c r="BB331" s="782"/>
      <c r="BC331" s="883"/>
      <c r="BD331" s="883"/>
      <c r="BE331" s="47"/>
      <c r="BF331" s="208"/>
      <c r="BG331" s="883"/>
      <c r="BH331" s="883"/>
      <c r="BI331" s="47"/>
      <c r="BJ331" s="208"/>
      <c r="BK331" s="883"/>
      <c r="BL331" s="883"/>
      <c r="BM331" s="47"/>
      <c r="BN331" s="208"/>
      <c r="BO331" s="89"/>
      <c r="BP331" s="4">
        <v>97.977000000000004</v>
      </c>
      <c r="BQ331" s="4">
        <v>107.562</v>
      </c>
      <c r="BR331" s="4">
        <v>133.19200000000001</v>
      </c>
      <c r="BS331" s="4">
        <v>185.023</v>
      </c>
      <c r="BT331" s="4">
        <v>196.66399999999999</v>
      </c>
      <c r="BU331" s="4">
        <v>186.989</v>
      </c>
      <c r="BV331" s="51">
        <v>204.20500000000001</v>
      </c>
      <c r="BW331" s="50"/>
      <c r="BX331" s="50"/>
      <c r="BY331" s="47"/>
      <c r="BZ331" s="47"/>
      <c r="CA331" s="47"/>
      <c r="CB331" s="47"/>
      <c r="CC331" s="47"/>
      <c r="CD331" s="47"/>
      <c r="CE331" s="47"/>
      <c r="CF331" s="29"/>
      <c r="CG331" s="29"/>
      <c r="CH331" s="29"/>
      <c r="CI331" s="29"/>
      <c r="CJ331" s="29"/>
      <c r="CK331" s="29"/>
      <c r="CL331" s="29"/>
      <c r="CM331" s="29"/>
      <c r="CN331" s="29"/>
      <c r="CO331" s="29"/>
      <c r="CP331" s="29"/>
      <c r="CQ331" s="29"/>
      <c r="CR331" s="29"/>
      <c r="CS331" s="29"/>
      <c r="CT331" s="29"/>
      <c r="CU331" s="29"/>
      <c r="CV331" s="29"/>
      <c r="CW331" s="29"/>
      <c r="CX331" s="29"/>
      <c r="CY331" s="29"/>
      <c r="CZ331" s="29"/>
      <c r="DA331" s="29"/>
      <c r="DB331" s="29"/>
      <c r="DC331" s="29"/>
      <c r="DD331" s="29"/>
      <c r="DE331" s="29"/>
      <c r="DF331" s="29"/>
      <c r="DG331" s="29"/>
      <c r="DH331" s="29"/>
      <c r="DI331" s="29"/>
      <c r="DJ331" s="29"/>
      <c r="DK331" s="29"/>
      <c r="DL331" s="29"/>
      <c r="DM331" s="29"/>
      <c r="DN331" s="29"/>
      <c r="DO331" s="29"/>
      <c r="DP331" s="29"/>
      <c r="DQ331" s="29"/>
      <c r="DR331" s="29"/>
      <c r="DS331" s="29"/>
      <c r="DT331" s="29"/>
      <c r="DU331" s="29"/>
      <c r="DV331" s="29"/>
      <c r="DW331" s="29"/>
      <c r="DX331" s="29"/>
      <c r="DY331" s="29"/>
      <c r="DZ331" s="29"/>
      <c r="EA331" s="29"/>
      <c r="EB331" s="29"/>
      <c r="EC331" s="29"/>
      <c r="ED331" s="29"/>
      <c r="EE331" s="29"/>
      <c r="EF331" s="29"/>
      <c r="EG331" s="29"/>
      <c r="EH331" s="29"/>
      <c r="EI331" s="29"/>
      <c r="EJ331" s="29"/>
      <c r="EK331" s="29"/>
      <c r="EL331" s="29"/>
      <c r="EM331" s="29"/>
      <c r="EN331" s="29"/>
      <c r="EO331" s="29"/>
      <c r="EP331" s="29"/>
      <c r="EQ331" s="29"/>
      <c r="ER331" s="29"/>
      <c r="ES331" s="29"/>
      <c r="ET331" s="29"/>
      <c r="EU331" s="29"/>
      <c r="EV331" s="29"/>
      <c r="EW331" s="29"/>
      <c r="EX331" s="29"/>
      <c r="EY331" s="29"/>
      <c r="EZ331" s="29"/>
      <c r="FA331" s="29"/>
      <c r="FB331" s="29"/>
      <c r="FC331" s="29"/>
      <c r="FD331" s="29"/>
      <c r="FE331" s="29"/>
      <c r="FF331" s="29"/>
      <c r="FG331" s="29"/>
      <c r="FH331" s="29"/>
      <c r="FI331" s="29"/>
      <c r="FJ331" s="29"/>
      <c r="FK331" s="29"/>
      <c r="FL331" s="29"/>
      <c r="FM331" s="29"/>
      <c r="FN331" s="29"/>
      <c r="FO331" s="29"/>
      <c r="FP331" s="29"/>
      <c r="FQ331" s="29"/>
      <c r="FR331" s="29"/>
      <c r="FS331" s="29"/>
      <c r="FT331" s="29"/>
      <c r="FU331" s="29"/>
      <c r="FV331" s="29"/>
      <c r="FW331" s="29"/>
      <c r="FX331" s="29"/>
      <c r="FY331" s="29"/>
      <c r="FZ331" s="29"/>
      <c r="GA331" s="29"/>
      <c r="GB331" s="29"/>
      <c r="GC331" s="29"/>
      <c r="GD331" s="29"/>
      <c r="GE331" s="29"/>
      <c r="GF331" s="29"/>
      <c r="GG331" s="29"/>
      <c r="GH331" s="29"/>
      <c r="GI331" s="29"/>
      <c r="GJ331" s="29"/>
      <c r="GK331" s="29"/>
      <c r="GL331" s="29"/>
      <c r="GM331" s="29"/>
      <c r="GN331" s="29"/>
      <c r="GO331" s="29"/>
      <c r="GP331" s="29"/>
      <c r="GQ331" s="29"/>
      <c r="GR331" s="29"/>
      <c r="GS331" s="29"/>
      <c r="GT331" s="29"/>
      <c r="GU331" s="29"/>
      <c r="GV331" s="29"/>
      <c r="GW331" s="29"/>
      <c r="GX331" s="29"/>
      <c r="GY331" s="29"/>
      <c r="GZ331" s="29"/>
      <c r="HA331" s="29"/>
      <c r="HB331" s="29"/>
      <c r="HC331" s="29"/>
      <c r="HD331" s="29"/>
      <c r="HE331" s="29"/>
      <c r="HF331" s="29"/>
      <c r="HG331" s="29"/>
      <c r="HH331" s="29"/>
      <c r="HI331" s="29"/>
      <c r="HJ331" s="29"/>
      <c r="HK331" s="29"/>
      <c r="HL331" s="29"/>
      <c r="HM331" s="29"/>
      <c r="HN331" s="29"/>
      <c r="HO331" s="29"/>
      <c r="HP331" s="29"/>
      <c r="HQ331" s="29"/>
      <c r="HR331" s="29"/>
    </row>
    <row r="332" spans="1:226" s="46" customFormat="1" hidden="1" outlineLevel="1">
      <c r="A332" s="84"/>
      <c r="B332" s="5" t="s">
        <v>164</v>
      </c>
      <c r="C332" s="237"/>
      <c r="D332" s="73"/>
      <c r="E332" s="73"/>
      <c r="F332" s="238"/>
      <c r="G332" s="73">
        <f t="shared" ref="G332:AD332" si="1344">G303+G312+G322+G327</f>
        <v>100.685</v>
      </c>
      <c r="H332" s="73">
        <f t="shared" si="1344"/>
        <v>95.816000000000017</v>
      </c>
      <c r="I332" s="73">
        <f t="shared" si="1344"/>
        <v>117.61299999999999</v>
      </c>
      <c r="J332" s="73">
        <f t="shared" si="1344"/>
        <v>138.51400000000004</v>
      </c>
      <c r="K332" s="237">
        <f t="shared" si="1344"/>
        <v>141.24599999999998</v>
      </c>
      <c r="L332" s="73">
        <f t="shared" si="1344"/>
        <v>184.76</v>
      </c>
      <c r="M332" s="73">
        <f t="shared" si="1344"/>
        <v>247.84100000000001</v>
      </c>
      <c r="N332" s="238">
        <f t="shared" si="1344"/>
        <v>262.49900000000008</v>
      </c>
      <c r="O332" s="73">
        <f t="shared" si="1344"/>
        <v>202.97900000000001</v>
      </c>
      <c r="P332" s="73">
        <f t="shared" si="1344"/>
        <v>-155.392</v>
      </c>
      <c r="Q332" s="73">
        <f t="shared" si="1344"/>
        <v>56.796000000000021</v>
      </c>
      <c r="R332" s="73">
        <f t="shared" si="1344"/>
        <v>-175.083</v>
      </c>
      <c r="S332" s="237">
        <f t="shared" si="1344"/>
        <v>-230.96500000000003</v>
      </c>
      <c r="T332" s="73">
        <f t="shared" si="1344"/>
        <v>-110.107</v>
      </c>
      <c r="U332" s="73">
        <f t="shared" si="1344"/>
        <v>107.845</v>
      </c>
      <c r="V332" s="238">
        <f t="shared" si="1344"/>
        <v>134.28200000000004</v>
      </c>
      <c r="W332" s="73">
        <f t="shared" si="1344"/>
        <v>147.393</v>
      </c>
      <c r="X332" s="73">
        <f t="shared" si="1344"/>
        <v>-175.20700000000002</v>
      </c>
      <c r="Y332" s="73">
        <f t="shared" si="1344"/>
        <v>103.783</v>
      </c>
      <c r="Z332" s="73">
        <f t="shared" si="1344"/>
        <v>179.77800000000008</v>
      </c>
      <c r="AA332" s="237">
        <f t="shared" si="1344"/>
        <v>154.86200000000002</v>
      </c>
      <c r="AB332" s="73">
        <f t="shared" si="1344"/>
        <v>174.03</v>
      </c>
      <c r="AC332" s="73">
        <f t="shared" si="1344"/>
        <v>197.08999999999997</v>
      </c>
      <c r="AD332" s="238">
        <f t="shared" si="1344"/>
        <v>122.31699999999999</v>
      </c>
      <c r="AE332" s="73"/>
      <c r="AF332" s="73"/>
      <c r="AG332" s="73"/>
      <c r="AH332" s="73"/>
      <c r="AI332" s="43"/>
      <c r="AJ332" s="47"/>
      <c r="AK332" s="47"/>
      <c r="AL332" s="208"/>
      <c r="AM332" s="207"/>
      <c r="AN332" s="47"/>
      <c r="AO332" s="47"/>
      <c r="AP332" s="208"/>
      <c r="AQ332" s="47"/>
      <c r="AR332" s="47"/>
      <c r="AS332" s="47"/>
      <c r="AT332" s="208"/>
      <c r="AU332" s="47"/>
      <c r="AV332" s="47"/>
      <c r="AW332" s="47"/>
      <c r="AX332" s="782"/>
      <c r="AY332" s="883"/>
      <c r="AZ332" s="883"/>
      <c r="BA332" s="47"/>
      <c r="BB332" s="782"/>
      <c r="BC332" s="883"/>
      <c r="BD332" s="883"/>
      <c r="BE332" s="47"/>
      <c r="BF332" s="208"/>
      <c r="BG332" s="883"/>
      <c r="BH332" s="883"/>
      <c r="BI332" s="47"/>
      <c r="BJ332" s="208"/>
      <c r="BK332" s="883"/>
      <c r="BL332" s="883"/>
      <c r="BM332" s="47"/>
      <c r="BN332" s="208"/>
      <c r="BO332" s="89"/>
      <c r="BP332" s="4">
        <v>336.66399999999999</v>
      </c>
      <c r="BQ332" s="4">
        <v>452.62799999999999</v>
      </c>
      <c r="BR332" s="4">
        <v>836.346</v>
      </c>
      <c r="BS332" s="4">
        <v>-70.7</v>
      </c>
      <c r="BT332" s="4">
        <v>-98.944999999999993</v>
      </c>
      <c r="BU332" s="4">
        <v>255.74700000000001</v>
      </c>
      <c r="BV332" s="51">
        <v>648.29899999999998</v>
      </c>
      <c r="BW332" s="50"/>
      <c r="BX332" s="50"/>
      <c r="BY332" s="47"/>
      <c r="BZ332" s="47"/>
      <c r="CA332" s="47"/>
      <c r="CB332" s="47"/>
      <c r="CC332" s="47"/>
      <c r="CD332" s="47"/>
      <c r="CE332" s="47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29"/>
      <c r="DX332" s="2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29"/>
      <c r="ER332" s="29"/>
      <c r="ES332" s="29"/>
      <c r="ET332" s="29"/>
      <c r="EU332" s="29"/>
      <c r="EV332" s="29"/>
      <c r="EW332" s="29"/>
      <c r="EX332" s="29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29"/>
      <c r="FJ332" s="29"/>
      <c r="FK332" s="29"/>
      <c r="FL332" s="29"/>
      <c r="FM332" s="29"/>
      <c r="FN332" s="29"/>
      <c r="FO332" s="29"/>
      <c r="FP332" s="29"/>
      <c r="FQ332" s="29"/>
      <c r="FR332" s="29"/>
      <c r="FS332" s="29"/>
      <c r="FT332" s="29"/>
      <c r="FU332" s="29"/>
      <c r="FV332" s="29"/>
      <c r="FW332" s="29"/>
      <c r="FX332" s="29"/>
      <c r="FY332" s="29"/>
      <c r="FZ332" s="29"/>
      <c r="GA332" s="29"/>
      <c r="GB332" s="29"/>
      <c r="GC332" s="29"/>
      <c r="GD332" s="29"/>
      <c r="GE332" s="29"/>
      <c r="GF332" s="29"/>
      <c r="GG332" s="29"/>
      <c r="GH332" s="29"/>
      <c r="GI332" s="29"/>
      <c r="GJ332" s="29"/>
      <c r="GK332" s="29"/>
      <c r="GL332" s="29"/>
      <c r="GM332" s="29"/>
      <c r="GN332" s="29"/>
      <c r="GO332" s="29"/>
      <c r="GP332" s="29"/>
      <c r="GQ332" s="29"/>
      <c r="GR332" s="29"/>
      <c r="GS332" s="29"/>
      <c r="GT332" s="29"/>
      <c r="GU332" s="29"/>
      <c r="GV332" s="29"/>
      <c r="GW332" s="29"/>
      <c r="GX332" s="29"/>
      <c r="GY332" s="29"/>
      <c r="GZ332" s="29"/>
      <c r="HA332" s="29"/>
      <c r="HB332" s="29"/>
      <c r="HC332" s="29"/>
      <c r="HD332" s="29"/>
      <c r="HE332" s="29"/>
      <c r="HF332" s="29"/>
      <c r="HG332" s="29"/>
      <c r="HH332" s="29"/>
      <c r="HI332" s="29"/>
      <c r="HJ332" s="29"/>
      <c r="HK332" s="29"/>
      <c r="HL332" s="29"/>
      <c r="HM332" s="29"/>
      <c r="HN332" s="29"/>
      <c r="HO332" s="29"/>
      <c r="HP332" s="29"/>
      <c r="HQ332" s="29"/>
      <c r="HR332" s="29"/>
    </row>
    <row r="333" spans="1:226" s="46" customFormat="1" hidden="1" outlineLevel="1">
      <c r="A333" s="84"/>
      <c r="B333" s="9" t="s">
        <v>111</v>
      </c>
      <c r="C333" s="314"/>
      <c r="D333" s="79"/>
      <c r="E333" s="79"/>
      <c r="F333" s="315"/>
      <c r="G333" s="79" t="b">
        <f>AND(ROUND(G330,4)=ROUND(IS!G7,4),ROUND(G332,4)=ROUND(IS!G24,4))</f>
        <v>1</v>
      </c>
      <c r="H333" s="79" t="b">
        <f>AND(ROUND(H330,4)=ROUND(IS!H7,4),ROUND(H332,4)=ROUND(IS!H24,4))</f>
        <v>1</v>
      </c>
      <c r="I333" s="79" t="b">
        <f>AND(ROUND(I330,4)=ROUND(IS!I7,4),ROUND(I332,4)=ROUND(IS!I24,4))</f>
        <v>1</v>
      </c>
      <c r="J333" s="79" t="b">
        <f>AND(ROUND(J330,4)=ROUND(IS!J7,4),ROUND(J332,4)=ROUND(IS!J24,4))</f>
        <v>1</v>
      </c>
      <c r="K333" s="314" t="b">
        <f>AND(ROUND(K330,4)=ROUND(IS!K7,4),ROUND(K332,4)=ROUND(IS!K24,4))</f>
        <v>1</v>
      </c>
      <c r="L333" s="79" t="b">
        <f>AND(ROUND(L330,4)=ROUND(IS!L7,4),ROUND(L332,4)=ROUND(IS!L24,4))</f>
        <v>1</v>
      </c>
      <c r="M333" s="79" t="b">
        <f>AND(ROUND(M330,4)=ROUND(IS!M7,4),ROUND(M332,4)=ROUND(IS!M24,4))</f>
        <v>1</v>
      </c>
      <c r="N333" s="315" t="b">
        <f>AND(ROUND(N330,4)=ROUND(IS!N7,4),ROUND(N332,4)=ROUND(IS!N24,4))</f>
        <v>1</v>
      </c>
      <c r="O333" s="79" t="b">
        <f>AND(ROUND(O330,4)=ROUND(IS!O7,4),ROUND(O332,4)=ROUND(IS!O24,4))</f>
        <v>1</v>
      </c>
      <c r="P333" s="79" t="b">
        <f>AND(ROUND(P330,4)=ROUND(IS!P7,4),ROUND(P332,4)=ROUND(IS!P24,4))</f>
        <v>1</v>
      </c>
      <c r="Q333" s="79" t="b">
        <f>AND(ROUND(Q330,4)=ROUND(IS!Q7,4),ROUND(Q332,4)=ROUND(IS!Q24,4))</f>
        <v>1</v>
      </c>
      <c r="R333" s="79" t="b">
        <f>AND(ROUND(R330,4)=ROUND(IS!R7,4),ROUND(R332,4)=ROUND(IS!R24,4))</f>
        <v>1</v>
      </c>
      <c r="S333" s="314" t="b">
        <f>AND(ROUND(S330,4)=ROUND(IS!S7,4),ROUND(S332,4)=ROUND(IS!S24,4))</f>
        <v>1</v>
      </c>
      <c r="T333" s="79" t="b">
        <f>AND(ROUND(T330,4)=ROUND(IS!T7,4),ROUND(T332,4)=ROUND(IS!T24,4))</f>
        <v>1</v>
      </c>
      <c r="U333" s="79" t="b">
        <f>AND(ROUND(U330,4)=ROUND(IS!U7,4),ROUND(U332,4)=ROUND(IS!U24,4))</f>
        <v>1</v>
      </c>
      <c r="V333" s="315" t="b">
        <f>AND(ROUND(V330,4)=ROUND(IS!V7,4),ROUND(V332,4)=ROUND(IS!V24,4))</f>
        <v>1</v>
      </c>
      <c r="W333" s="79" t="b">
        <f>AND(ROUND(W330,4)=ROUND(IS!W7,4),ROUND(W332,4)=ROUND(IS!W24,4))</f>
        <v>1</v>
      </c>
      <c r="X333" s="79" t="b">
        <f>AND(ROUND(X330,4)=ROUND(IS!X7,4),ROUND(X332,4)=ROUND(IS!X24,4))</f>
        <v>1</v>
      </c>
      <c r="Y333" s="79" t="b">
        <f>AND(ROUND(Y330,4)=ROUND(IS!Y7,4),ROUND(Y332,4)=ROUND(IS!Y24,4))</f>
        <v>1</v>
      </c>
      <c r="Z333" s="79" t="b">
        <f>AND(ROUND(Z330,4)=ROUND(IS!Z7,4),ROUND(Z332,4)=ROUND(IS!Z24,4))</f>
        <v>1</v>
      </c>
      <c r="AA333" s="314" t="b">
        <f>AND(ROUND(AA330,4)=ROUND(IS!AA7,4),ROUND(AA332,4)=ROUND(IS!AA24,4))</f>
        <v>1</v>
      </c>
      <c r="AB333" s="79" t="b">
        <f>AND(ROUND(AB330,4)=ROUND(IS!AB7,4),ROUND(AB332,4)=ROUND(IS!AB24,4))</f>
        <v>1</v>
      </c>
      <c r="AC333" s="79" t="b">
        <f>AND(ROUND(AC330,4)=ROUND(IS!AC7,4),ROUND(AC332,4)=ROUND(IS!AC24,4))</f>
        <v>1</v>
      </c>
      <c r="AD333" s="315" t="b">
        <f>AND(ROUND(AD330,4)=ROUND(IS!AD7,4),ROUND(AD332,4)=ROUND(IS!AD24,4))</f>
        <v>1</v>
      </c>
      <c r="AE333" s="5"/>
      <c r="AF333" s="5"/>
      <c r="AG333" s="5"/>
      <c r="AH333" s="5"/>
      <c r="AI333" s="43"/>
      <c r="AJ333" s="29"/>
      <c r="AK333" s="29"/>
      <c r="AL333" s="44"/>
      <c r="AM333" s="43"/>
      <c r="AN333" s="29"/>
      <c r="AO333" s="29"/>
      <c r="AP333" s="44"/>
      <c r="AQ333" s="29"/>
      <c r="AR333" s="29"/>
      <c r="AS333" s="29"/>
      <c r="AT333" s="44"/>
      <c r="AU333" s="29"/>
      <c r="AV333" s="29"/>
      <c r="AW333" s="29"/>
      <c r="AX333" s="761"/>
      <c r="AY333" s="741"/>
      <c r="AZ333" s="741"/>
      <c r="BA333" s="29"/>
      <c r="BB333" s="761"/>
      <c r="BC333" s="741"/>
      <c r="BD333" s="741"/>
      <c r="BE333" s="29"/>
      <c r="BF333" s="44"/>
      <c r="BG333" s="741"/>
      <c r="BH333" s="741"/>
      <c r="BI333" s="29"/>
      <c r="BJ333" s="44"/>
      <c r="BK333" s="741"/>
      <c r="BL333" s="741"/>
      <c r="BM333" s="29"/>
      <c r="BN333" s="44"/>
      <c r="BO333" s="88"/>
      <c r="BP333" s="48" t="b">
        <f>AND(ROUND(BP330,4)=ROUND(IS!BP7,4),ROUND(BP331,4)=ROUND(CF!BP11,4),ROUND(BP332,4)=ROUND(IS!BP24,4))</f>
        <v>1</v>
      </c>
      <c r="BQ333" s="48" t="b">
        <f>AND(ROUND(BQ330,4)=ROUND(IS!BQ7,4),ROUND(BQ331,4)=ROUND(CF!BQ11,4),ROUND(BQ332,4)=ROUND(IS!BQ24,4))</f>
        <v>1</v>
      </c>
      <c r="BR333" s="48" t="b">
        <f>AND(ROUND(BR330,4)=ROUND(IS!BR7,4),ROUND(BR331,4)=ROUND(CF!BR11,4),ROUND(BR332,4)=ROUND(IS!BR24,4))</f>
        <v>1</v>
      </c>
      <c r="BS333" s="48" t="b">
        <f>AND(ROUND(BS330,4)=ROUND(IS!BS7,4),ROUND(BS331,4)=ROUND(CF!BS11,4),ROUND(BS332,4)=ROUND(IS!BS24,4))</f>
        <v>1</v>
      </c>
      <c r="BT333" s="48" t="b">
        <f>AND(ROUND(BT330,4)=ROUND(IS!BT7,4),ROUND(BT331,4)=ROUND(CF!BT11,4),ROUND(BT332,4)=ROUND(IS!BT24,4))</f>
        <v>1</v>
      </c>
      <c r="BU333" s="48" t="b">
        <f>AND(ROUND(BU330,4)=ROUND(IS!BU7,4),ROUND(BU331,4)=ROUND(CF!BU11,4),ROUND(BU332,4)=ROUND(IS!BU24,4))</f>
        <v>1</v>
      </c>
      <c r="BV333" s="48" t="b">
        <f>AND(ROUND(BV330,4)=ROUND(IS!BV7,4),ROUND(BV331,4)=ROUND(CF!BV11,4),ROUND(BV332,4)=ROUND(IS!BV24,4))</f>
        <v>1</v>
      </c>
      <c r="BW333" s="48"/>
      <c r="BX333" s="48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29"/>
      <c r="DX333" s="2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29"/>
      <c r="ER333" s="29"/>
      <c r="ES333" s="29"/>
      <c r="ET333" s="29"/>
      <c r="EU333" s="29"/>
      <c r="EV333" s="29"/>
      <c r="EW333" s="29"/>
      <c r="EX333" s="29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29"/>
      <c r="FJ333" s="29"/>
      <c r="FK333" s="29"/>
      <c r="FL333" s="29"/>
      <c r="FM333" s="29"/>
      <c r="FN333" s="29"/>
      <c r="FO333" s="29"/>
      <c r="FP333" s="29"/>
      <c r="FQ333" s="29"/>
      <c r="FR333" s="29"/>
      <c r="FS333" s="29"/>
      <c r="FT333" s="29"/>
      <c r="FU333" s="29"/>
      <c r="FV333" s="29"/>
      <c r="FW333" s="29"/>
      <c r="FX333" s="29"/>
      <c r="FY333" s="29"/>
      <c r="FZ333" s="29"/>
      <c r="GA333" s="29"/>
      <c r="GB333" s="29"/>
      <c r="GC333" s="29"/>
      <c r="GD333" s="29"/>
      <c r="GE333" s="29"/>
      <c r="GF333" s="29"/>
      <c r="GG333" s="29"/>
      <c r="GH333" s="29"/>
      <c r="GI333" s="29"/>
      <c r="GJ333" s="29"/>
      <c r="GK333" s="29"/>
      <c r="GL333" s="29"/>
      <c r="GM333" s="29"/>
      <c r="GN333" s="29"/>
      <c r="GO333" s="29"/>
      <c r="GP333" s="29"/>
      <c r="GQ333" s="29"/>
      <c r="GR333" s="29"/>
      <c r="GS333" s="29"/>
      <c r="GT333" s="29"/>
      <c r="GU333" s="29"/>
      <c r="GV333" s="29"/>
      <c r="GW333" s="29"/>
      <c r="GX333" s="29"/>
      <c r="GY333" s="29"/>
      <c r="GZ333" s="29"/>
      <c r="HA333" s="29"/>
      <c r="HB333" s="29"/>
      <c r="HC333" s="29"/>
      <c r="HD333" s="29"/>
      <c r="HE333" s="29"/>
      <c r="HF333" s="29"/>
      <c r="HG333" s="29"/>
      <c r="HH333" s="29"/>
      <c r="HI333" s="29"/>
      <c r="HJ333" s="29"/>
      <c r="HK333" s="29"/>
      <c r="HL333" s="29"/>
      <c r="HM333" s="29"/>
      <c r="HN333" s="29"/>
      <c r="HO333" s="29"/>
      <c r="HP333" s="29"/>
      <c r="HQ333" s="29"/>
      <c r="HR333" s="29"/>
    </row>
    <row r="334" spans="1:226" s="46" customFormat="1" hidden="1" outlineLevel="1">
      <c r="A334" s="84"/>
      <c r="B334" s="9"/>
      <c r="C334" s="15"/>
      <c r="D334" s="5"/>
      <c r="E334" s="5"/>
      <c r="F334" s="16"/>
      <c r="G334" s="5"/>
      <c r="H334" s="5"/>
      <c r="I334" s="5"/>
      <c r="J334" s="5"/>
      <c r="K334" s="15"/>
      <c r="L334" s="5"/>
      <c r="M334" s="5"/>
      <c r="N334" s="16"/>
      <c r="O334" s="5"/>
      <c r="P334" s="5"/>
      <c r="Q334" s="5"/>
      <c r="R334" s="5"/>
      <c r="S334" s="15"/>
      <c r="T334" s="5"/>
      <c r="U334" s="5"/>
      <c r="V334" s="16"/>
      <c r="W334" s="5"/>
      <c r="X334" s="5"/>
      <c r="Y334" s="5"/>
      <c r="Z334" s="5"/>
      <c r="AA334" s="15"/>
      <c r="AB334" s="5"/>
      <c r="AC334" s="5"/>
      <c r="AD334" s="16"/>
      <c r="AE334" s="29"/>
      <c r="AF334" s="29"/>
      <c r="AG334" s="29"/>
      <c r="AH334" s="29"/>
      <c r="AI334" s="43"/>
      <c r="AJ334" s="29"/>
      <c r="AK334" s="29"/>
      <c r="AL334" s="44"/>
      <c r="AM334" s="43"/>
      <c r="AN334" s="29"/>
      <c r="AO334" s="29"/>
      <c r="AP334" s="44"/>
      <c r="AQ334" s="29"/>
      <c r="AR334" s="29"/>
      <c r="AS334" s="29"/>
      <c r="AT334" s="44"/>
      <c r="AU334" s="29"/>
      <c r="AV334" s="29"/>
      <c r="AW334" s="29"/>
      <c r="AX334" s="761"/>
      <c r="AY334" s="741"/>
      <c r="AZ334" s="741"/>
      <c r="BA334" s="29"/>
      <c r="BB334" s="761"/>
      <c r="BC334" s="741"/>
      <c r="BD334" s="741"/>
      <c r="BE334" s="29"/>
      <c r="BF334" s="44"/>
      <c r="BG334" s="741"/>
      <c r="BH334" s="741"/>
      <c r="BI334" s="29"/>
      <c r="BJ334" s="44"/>
      <c r="BK334" s="741"/>
      <c r="BL334" s="741"/>
      <c r="BM334" s="29"/>
      <c r="BN334" s="44"/>
      <c r="BO334" s="88"/>
      <c r="BP334" s="29"/>
      <c r="BQ334" s="29"/>
      <c r="BR334" s="29"/>
      <c r="BS334" s="29"/>
      <c r="BT334" s="29"/>
      <c r="BU334" s="29"/>
      <c r="BV334" s="48"/>
      <c r="BW334" s="48"/>
      <c r="BX334" s="48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  <c r="DK334" s="29"/>
      <c r="DL334" s="29"/>
      <c r="DM334" s="29"/>
      <c r="DN334" s="29"/>
      <c r="DO334" s="29"/>
      <c r="DP334" s="29"/>
      <c r="DQ334" s="29"/>
      <c r="DR334" s="29"/>
      <c r="DS334" s="29"/>
      <c r="DT334" s="29"/>
      <c r="DU334" s="29"/>
      <c r="DV334" s="29"/>
      <c r="DW334" s="29"/>
      <c r="DX334" s="29"/>
      <c r="DY334" s="29"/>
      <c r="DZ334" s="29"/>
      <c r="EA334" s="29"/>
      <c r="EB334" s="29"/>
      <c r="EC334" s="29"/>
      <c r="ED334" s="29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29"/>
      <c r="ET334" s="29"/>
      <c r="EU334" s="29"/>
      <c r="EV334" s="29"/>
      <c r="EW334" s="29"/>
      <c r="EX334" s="29"/>
      <c r="EY334" s="29"/>
      <c r="EZ334" s="29"/>
      <c r="FA334" s="29"/>
      <c r="FB334" s="29"/>
      <c r="FC334" s="29"/>
      <c r="FD334" s="29"/>
      <c r="FE334" s="29"/>
      <c r="FF334" s="29"/>
      <c r="FG334" s="29"/>
      <c r="FH334" s="29"/>
      <c r="FI334" s="29"/>
      <c r="FJ334" s="29"/>
      <c r="FK334" s="29"/>
      <c r="FL334" s="29"/>
      <c r="FM334" s="29"/>
      <c r="FN334" s="29"/>
      <c r="FO334" s="29"/>
      <c r="FP334" s="29"/>
      <c r="FQ334" s="29"/>
      <c r="FR334" s="29"/>
      <c r="FS334" s="29"/>
      <c r="FT334" s="29"/>
      <c r="FU334" s="29"/>
      <c r="FV334" s="29"/>
      <c r="FW334" s="29"/>
      <c r="FX334" s="29"/>
      <c r="FY334" s="29"/>
      <c r="FZ334" s="29"/>
      <c r="GA334" s="29"/>
      <c r="GB334" s="29"/>
      <c r="GC334" s="29"/>
      <c r="GD334" s="29"/>
      <c r="GE334" s="29"/>
      <c r="GF334" s="29"/>
      <c r="GG334" s="29"/>
      <c r="GH334" s="29"/>
      <c r="GI334" s="29"/>
      <c r="GJ334" s="29"/>
      <c r="GK334" s="29"/>
      <c r="GL334" s="29"/>
      <c r="GM334" s="29"/>
      <c r="GN334" s="29"/>
      <c r="GO334" s="29"/>
      <c r="GP334" s="29"/>
      <c r="GQ334" s="29"/>
      <c r="GR334" s="29"/>
      <c r="GS334" s="29"/>
      <c r="GT334" s="29"/>
      <c r="GU334" s="29"/>
      <c r="GV334" s="29"/>
      <c r="GW334" s="29"/>
      <c r="GX334" s="29"/>
      <c r="GY334" s="29"/>
      <c r="GZ334" s="29"/>
      <c r="HA334" s="29"/>
      <c r="HB334" s="29"/>
      <c r="HC334" s="29"/>
      <c r="HD334" s="29"/>
      <c r="HE334" s="29"/>
      <c r="HF334" s="29"/>
      <c r="HG334" s="29"/>
      <c r="HH334" s="29"/>
      <c r="HI334" s="29"/>
      <c r="HJ334" s="29"/>
      <c r="HK334" s="29"/>
      <c r="HL334" s="29"/>
      <c r="HM334" s="29"/>
      <c r="HN334" s="29"/>
      <c r="HO334" s="29"/>
      <c r="HP334" s="29"/>
      <c r="HQ334" s="29"/>
      <c r="HR334" s="29"/>
    </row>
    <row r="335" spans="1:226" s="46" customFormat="1" hidden="1" outlineLevel="1">
      <c r="A335" s="84"/>
      <c r="B335" s="357" t="s">
        <v>172</v>
      </c>
      <c r="C335" s="419"/>
      <c r="D335" s="420"/>
      <c r="E335" s="420"/>
      <c r="F335" s="421"/>
      <c r="G335" s="420"/>
      <c r="H335" s="420"/>
      <c r="I335" s="420"/>
      <c r="J335" s="420"/>
      <c r="K335" s="419"/>
      <c r="L335" s="420"/>
      <c r="M335" s="420"/>
      <c r="N335" s="421"/>
      <c r="O335" s="420"/>
      <c r="P335" s="420"/>
      <c r="Q335" s="420"/>
      <c r="R335" s="420"/>
      <c r="S335" s="419"/>
      <c r="T335" s="420"/>
      <c r="U335" s="420"/>
      <c r="V335" s="421"/>
      <c r="W335" s="420"/>
      <c r="X335" s="420"/>
      <c r="Y335" s="420"/>
      <c r="Z335" s="420"/>
      <c r="AA335" s="419"/>
      <c r="AB335" s="420"/>
      <c r="AC335" s="420"/>
      <c r="AD335" s="421"/>
      <c r="AE335" s="420"/>
      <c r="AF335" s="420"/>
      <c r="AG335" s="420"/>
      <c r="AH335" s="420"/>
      <c r="AI335" s="422"/>
      <c r="AJ335" s="423"/>
      <c r="AK335" s="423"/>
      <c r="AL335" s="424"/>
      <c r="AM335" s="422"/>
      <c r="AN335" s="423"/>
      <c r="AO335" s="423"/>
      <c r="AP335" s="424"/>
      <c r="AQ335" s="423"/>
      <c r="AR335" s="423"/>
      <c r="AS335" s="423"/>
      <c r="AT335" s="424"/>
      <c r="AU335" s="423"/>
      <c r="AV335" s="423"/>
      <c r="AW335" s="423"/>
      <c r="AX335" s="811"/>
      <c r="AY335" s="892"/>
      <c r="AZ335" s="892"/>
      <c r="BA335" s="423"/>
      <c r="BB335" s="811"/>
      <c r="BC335" s="892"/>
      <c r="BD335" s="892"/>
      <c r="BE335" s="423"/>
      <c r="BF335" s="424"/>
      <c r="BG335" s="892"/>
      <c r="BH335" s="892"/>
      <c r="BI335" s="423"/>
      <c r="BJ335" s="424"/>
      <c r="BK335" s="892"/>
      <c r="BL335" s="892"/>
      <c r="BM335" s="423"/>
      <c r="BN335" s="424"/>
      <c r="BO335" s="89"/>
      <c r="BP335" s="423"/>
      <c r="BQ335" s="423"/>
      <c r="BR335" s="423"/>
      <c r="BS335" s="423"/>
      <c r="BT335" s="423"/>
      <c r="BU335" s="423"/>
      <c r="BV335" s="423"/>
      <c r="BW335" s="425"/>
      <c r="BX335" s="425"/>
      <c r="BY335" s="423"/>
      <c r="BZ335" s="423"/>
      <c r="CA335" s="423"/>
      <c r="CB335" s="423"/>
      <c r="CC335" s="423"/>
      <c r="CD335" s="423"/>
      <c r="CE335" s="423"/>
      <c r="CF335" s="29"/>
      <c r="CG335" s="29"/>
      <c r="CH335" s="29"/>
      <c r="CI335" s="29"/>
      <c r="CJ335" s="2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29"/>
      <c r="DD335" s="2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29"/>
      <c r="DX335" s="2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29"/>
      <c r="ER335" s="29"/>
      <c r="ES335" s="29"/>
      <c r="ET335" s="29"/>
      <c r="EU335" s="29"/>
      <c r="EV335" s="29"/>
      <c r="EW335" s="29"/>
      <c r="EX335" s="29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29"/>
      <c r="FJ335" s="29"/>
      <c r="FK335" s="29"/>
      <c r="FL335" s="29"/>
      <c r="FM335" s="29"/>
      <c r="FN335" s="29"/>
      <c r="FO335" s="29"/>
      <c r="FP335" s="29"/>
      <c r="FQ335" s="29"/>
      <c r="FR335" s="29"/>
      <c r="FS335" s="29"/>
      <c r="FT335" s="29"/>
      <c r="FU335" s="29"/>
      <c r="FV335" s="29"/>
      <c r="FW335" s="29"/>
      <c r="FX335" s="29"/>
      <c r="FY335" s="29"/>
      <c r="FZ335" s="29"/>
      <c r="GA335" s="29"/>
      <c r="GB335" s="29"/>
      <c r="GC335" s="29"/>
      <c r="GD335" s="29"/>
      <c r="GE335" s="29"/>
      <c r="GF335" s="29"/>
      <c r="GG335" s="29"/>
      <c r="GH335" s="29"/>
      <c r="GI335" s="29"/>
      <c r="GJ335" s="29"/>
      <c r="GK335" s="29"/>
      <c r="GL335" s="29"/>
      <c r="GM335" s="29"/>
      <c r="GN335" s="29"/>
      <c r="GO335" s="29"/>
      <c r="GP335" s="29"/>
      <c r="GQ335" s="29"/>
      <c r="GR335" s="29"/>
      <c r="GS335" s="29"/>
      <c r="GT335" s="29"/>
      <c r="GU335" s="29"/>
      <c r="GV335" s="29"/>
      <c r="GW335" s="29"/>
      <c r="GX335" s="29"/>
      <c r="GY335" s="29"/>
      <c r="GZ335" s="29"/>
      <c r="HA335" s="29"/>
      <c r="HB335" s="29"/>
      <c r="HC335" s="29"/>
      <c r="HD335" s="29"/>
      <c r="HE335" s="29"/>
      <c r="HF335" s="29"/>
      <c r="HG335" s="29"/>
      <c r="HH335" s="29"/>
      <c r="HI335" s="29"/>
      <c r="HJ335" s="29"/>
      <c r="HK335" s="29"/>
      <c r="HL335" s="29"/>
      <c r="HM335" s="29"/>
      <c r="HN335" s="29"/>
      <c r="HO335" s="29"/>
      <c r="HP335" s="29"/>
      <c r="HQ335" s="29"/>
      <c r="HR335" s="29"/>
    </row>
    <row r="336" spans="1:226" s="46" customFormat="1" hidden="1" outlineLevel="1">
      <c r="A336" s="84"/>
      <c r="B336" s="5" t="s">
        <v>165</v>
      </c>
      <c r="C336" s="307">
        <v>68.742999999999995</v>
      </c>
      <c r="D336" s="66">
        <v>110.407</v>
      </c>
      <c r="E336" s="66">
        <v>102.251</v>
      </c>
      <c r="F336" s="308">
        <v>120.21100000000001</v>
      </c>
      <c r="G336" s="66">
        <v>179.72</v>
      </c>
      <c r="H336" s="66">
        <v>91.459000000000003</v>
      </c>
      <c r="I336" s="66">
        <v>158.47800000000001</v>
      </c>
      <c r="J336" s="66">
        <v>230.054</v>
      </c>
      <c r="K336" s="307">
        <v>238.285</v>
      </c>
      <c r="L336" s="66">
        <v>297.45800000000003</v>
      </c>
      <c r="M336" s="66">
        <v>345.19799999999998</v>
      </c>
      <c r="N336" s="308">
        <v>375.26800000000014</v>
      </c>
      <c r="O336" s="66">
        <v>367.42599999999999</v>
      </c>
      <c r="P336" s="66">
        <v>269.26600000000002</v>
      </c>
      <c r="Q336" s="66">
        <v>289.53099999999984</v>
      </c>
      <c r="R336" s="66">
        <v>161.51599999999991</v>
      </c>
      <c r="S336" s="307">
        <v>260.14999999999998</v>
      </c>
      <c r="T336" s="66">
        <v>323.47800000000001</v>
      </c>
      <c r="U336" s="66">
        <v>359.20699999999999</v>
      </c>
      <c r="V336" s="308">
        <v>361.36099999999999</v>
      </c>
      <c r="W336" s="66">
        <v>377.31900000000002</v>
      </c>
      <c r="X336" s="66">
        <v>271.36200000000002</v>
      </c>
      <c r="Y336" s="66">
        <v>282.3</v>
      </c>
      <c r="Z336" s="66">
        <v>292.21800000000002</v>
      </c>
      <c r="AA336" s="307">
        <v>289.48399999999998</v>
      </c>
      <c r="AB336" s="66">
        <v>232.732</v>
      </c>
      <c r="AC336" s="66">
        <v>209.98599999999999</v>
      </c>
      <c r="AD336" s="308">
        <v>209.60900000000004</v>
      </c>
      <c r="AE336" s="66">
        <v>178.61</v>
      </c>
      <c r="AF336" s="66">
        <v>196.68700000000001</v>
      </c>
      <c r="AG336" s="66">
        <v>205.636</v>
      </c>
      <c r="AH336" s="66">
        <v>199.56000000000006</v>
      </c>
      <c r="AI336" s="307">
        <v>175.04400000000001</v>
      </c>
      <c r="AJ336" s="66">
        <v>184.08600000000001</v>
      </c>
      <c r="AK336" s="66">
        <v>206.374</v>
      </c>
      <c r="AL336" s="308">
        <v>228.28599999999992</v>
      </c>
      <c r="AM336" s="307">
        <v>223.46199999999999</v>
      </c>
      <c r="AN336" s="66">
        <v>251.768</v>
      </c>
      <c r="AO336" s="29"/>
      <c r="AP336" s="308"/>
      <c r="AQ336" s="29"/>
      <c r="AR336" s="29"/>
      <c r="AS336" s="29"/>
      <c r="AT336" s="308"/>
      <c r="AU336" s="29"/>
      <c r="AV336" s="29"/>
      <c r="AW336" s="29"/>
      <c r="AX336" s="761"/>
      <c r="AY336" s="741"/>
      <c r="AZ336" s="741"/>
      <c r="BA336" s="29"/>
      <c r="BB336" s="761"/>
      <c r="BC336" s="741"/>
      <c r="BD336" s="741"/>
      <c r="BE336" s="29"/>
      <c r="BF336" s="44"/>
      <c r="BG336" s="741"/>
      <c r="BH336" s="741"/>
      <c r="BI336" s="29"/>
      <c r="BJ336" s="44"/>
      <c r="BK336" s="741"/>
      <c r="BL336" s="741"/>
      <c r="BM336" s="29"/>
      <c r="BN336" s="44"/>
      <c r="BO336" s="88"/>
      <c r="BP336" s="4">
        <v>401.61200000000002</v>
      </c>
      <c r="BQ336" s="4">
        <v>659.71100000000001</v>
      </c>
      <c r="BR336" s="4">
        <v>1256.2090000000001</v>
      </c>
      <c r="BS336" s="4">
        <v>1087.739</v>
      </c>
      <c r="BT336" s="4">
        <v>1304.1959999999999</v>
      </c>
      <c r="BU336" s="4">
        <v>1223.1990000000001</v>
      </c>
      <c r="BV336" s="51">
        <v>941.81100000000004</v>
      </c>
      <c r="BW336" s="51">
        <v>780.49300000000005</v>
      </c>
      <c r="BX336" s="51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29"/>
      <c r="CJ336" s="2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29"/>
      <c r="DD336" s="2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29"/>
      <c r="DX336" s="2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29"/>
      <c r="ER336" s="29"/>
      <c r="ES336" s="29"/>
      <c r="ET336" s="29"/>
      <c r="EU336" s="29"/>
      <c r="EV336" s="29"/>
      <c r="EW336" s="29"/>
      <c r="EX336" s="29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29"/>
      <c r="FJ336" s="29"/>
      <c r="FK336" s="29"/>
      <c r="FL336" s="29"/>
      <c r="FM336" s="29"/>
      <c r="FN336" s="29"/>
      <c r="FO336" s="29"/>
      <c r="FP336" s="29"/>
      <c r="FQ336" s="29"/>
      <c r="FR336" s="29"/>
      <c r="FS336" s="29"/>
      <c r="FT336" s="29"/>
      <c r="FU336" s="29"/>
      <c r="FV336" s="29"/>
      <c r="FW336" s="29"/>
      <c r="FX336" s="29"/>
      <c r="FY336" s="29"/>
      <c r="FZ336" s="29"/>
      <c r="GA336" s="29"/>
      <c r="GB336" s="29"/>
      <c r="GC336" s="29"/>
      <c r="GD336" s="29"/>
      <c r="GE336" s="29"/>
      <c r="GF336" s="29"/>
      <c r="GG336" s="29"/>
      <c r="GH336" s="29"/>
      <c r="GI336" s="29"/>
      <c r="GJ336" s="29"/>
      <c r="GK336" s="29"/>
      <c r="GL336" s="29"/>
      <c r="GM336" s="29"/>
      <c r="GN336" s="29"/>
      <c r="GO336" s="29"/>
      <c r="GP336" s="29"/>
      <c r="GQ336" s="29"/>
      <c r="GR336" s="29"/>
      <c r="GS336" s="29"/>
      <c r="GT336" s="29"/>
      <c r="GU336" s="29"/>
      <c r="GV336" s="29"/>
      <c r="GW336" s="29"/>
      <c r="GX336" s="29"/>
      <c r="GY336" s="29"/>
      <c r="GZ336" s="29"/>
      <c r="HA336" s="29"/>
      <c r="HB336" s="29"/>
      <c r="HC336" s="29"/>
      <c r="HD336" s="29"/>
      <c r="HE336" s="29"/>
      <c r="HF336" s="29"/>
      <c r="HG336" s="29"/>
      <c r="HH336" s="29"/>
      <c r="HI336" s="29"/>
      <c r="HJ336" s="29"/>
      <c r="HK336" s="29"/>
      <c r="HL336" s="29"/>
      <c r="HM336" s="29"/>
      <c r="HN336" s="29"/>
      <c r="HO336" s="29"/>
      <c r="HP336" s="29"/>
      <c r="HQ336" s="29"/>
      <c r="HR336" s="29"/>
    </row>
    <row r="337" spans="1:226" s="46" customFormat="1" hidden="1" outlineLevel="1">
      <c r="A337" s="84"/>
      <c r="B337" s="5" t="s">
        <v>166</v>
      </c>
      <c r="C337" s="307">
        <v>297.69900000000001</v>
      </c>
      <c r="D337" s="66">
        <v>241.58199999999999</v>
      </c>
      <c r="E337" s="66">
        <v>323.27199999999999</v>
      </c>
      <c r="F337" s="308">
        <v>269.23100000000017</v>
      </c>
      <c r="G337" s="66">
        <v>227.57400000000001</v>
      </c>
      <c r="H337" s="66">
        <v>289.40600000000001</v>
      </c>
      <c r="I337" s="66">
        <v>348.6</v>
      </c>
      <c r="J337" s="66">
        <v>253.05100000000004</v>
      </c>
      <c r="K337" s="307">
        <v>272.983</v>
      </c>
      <c r="L337" s="66">
        <v>316.97399999999999</v>
      </c>
      <c r="M337" s="66">
        <v>353.55799999999999</v>
      </c>
      <c r="N337" s="308">
        <v>350.13</v>
      </c>
      <c r="O337" s="66">
        <v>391.62799999999999</v>
      </c>
      <c r="P337" s="66">
        <v>272.07799999999997</v>
      </c>
      <c r="Q337" s="66">
        <v>215.434</v>
      </c>
      <c r="R337" s="66">
        <v>94.937000000000069</v>
      </c>
      <c r="S337" s="307">
        <v>166.43600000000001</v>
      </c>
      <c r="T337" s="66">
        <v>203.185</v>
      </c>
      <c r="U337" s="66">
        <v>240.59700000000001</v>
      </c>
      <c r="V337" s="308">
        <v>272.91899999999998</v>
      </c>
      <c r="W337" s="66">
        <v>278.125</v>
      </c>
      <c r="X337" s="66">
        <v>189.02699999999999</v>
      </c>
      <c r="Y337" s="66">
        <v>220.322</v>
      </c>
      <c r="Z337" s="66">
        <v>249.32300000000009</v>
      </c>
      <c r="AA337" s="307">
        <v>282.93700000000001</v>
      </c>
      <c r="AB337" s="66">
        <v>281.60899999999998</v>
      </c>
      <c r="AC337" s="66">
        <v>293.17099999999999</v>
      </c>
      <c r="AD337" s="308">
        <v>279.45799999999986</v>
      </c>
      <c r="AE337" s="66">
        <v>276.31799999999998</v>
      </c>
      <c r="AF337" s="66">
        <v>340.14400000000001</v>
      </c>
      <c r="AG337" s="66">
        <v>403.76900000000001</v>
      </c>
      <c r="AH337" s="66">
        <v>336.60699999999997</v>
      </c>
      <c r="AI337" s="307">
        <v>289.88099999999997</v>
      </c>
      <c r="AJ337" s="66">
        <v>319.00400000000002</v>
      </c>
      <c r="AK337" s="66">
        <v>319.01799999999997</v>
      </c>
      <c r="AL337" s="308">
        <v>393.59999999999991</v>
      </c>
      <c r="AM337" s="307">
        <v>372.85899999999998</v>
      </c>
      <c r="AN337" s="66">
        <v>330.91699999999997</v>
      </c>
      <c r="AO337" s="29"/>
      <c r="AP337" s="308"/>
      <c r="AQ337" s="29"/>
      <c r="AR337" s="29"/>
      <c r="AS337" s="29"/>
      <c r="AT337" s="308"/>
      <c r="AU337" s="29"/>
      <c r="AV337" s="29"/>
      <c r="AW337" s="29"/>
      <c r="AX337" s="761"/>
      <c r="AY337" s="741"/>
      <c r="AZ337" s="741"/>
      <c r="BA337" s="29"/>
      <c r="BB337" s="761"/>
      <c r="BC337" s="741"/>
      <c r="BD337" s="741"/>
      <c r="BE337" s="29"/>
      <c r="BF337" s="44"/>
      <c r="BG337" s="741"/>
      <c r="BH337" s="741"/>
      <c r="BI337" s="29"/>
      <c r="BJ337" s="44"/>
      <c r="BK337" s="741"/>
      <c r="BL337" s="741"/>
      <c r="BM337" s="29"/>
      <c r="BN337" s="44"/>
      <c r="BO337" s="88"/>
      <c r="BP337" s="4">
        <v>1131.7840000000001</v>
      </c>
      <c r="BQ337" s="4">
        <v>1118.6310000000001</v>
      </c>
      <c r="BR337" s="4">
        <v>1293.645</v>
      </c>
      <c r="BS337" s="4">
        <v>974.077</v>
      </c>
      <c r="BT337" s="4">
        <v>883.13699999999994</v>
      </c>
      <c r="BU337" s="4">
        <v>936.79700000000003</v>
      </c>
      <c r="BV337" s="51">
        <v>1137.175</v>
      </c>
      <c r="BW337" s="51">
        <v>1356.838</v>
      </c>
      <c r="BX337" s="51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  <c r="FA337" s="29"/>
      <c r="FB337" s="29"/>
      <c r="FC337" s="29"/>
      <c r="FD337" s="29"/>
      <c r="FE337" s="29"/>
      <c r="FF337" s="29"/>
      <c r="FG337" s="29"/>
      <c r="FH337" s="29"/>
      <c r="FI337" s="29"/>
      <c r="FJ337" s="29"/>
      <c r="FK337" s="29"/>
      <c r="FL337" s="29"/>
      <c r="FM337" s="29"/>
      <c r="FN337" s="29"/>
      <c r="FO337" s="29"/>
      <c r="FP337" s="29"/>
      <c r="FQ337" s="29"/>
      <c r="FR337" s="29"/>
      <c r="FS337" s="29"/>
      <c r="FT337" s="29"/>
      <c r="FU337" s="29"/>
      <c r="FV337" s="29"/>
      <c r="FW337" s="29"/>
      <c r="FX337" s="29"/>
      <c r="FY337" s="29"/>
      <c r="FZ337" s="29"/>
      <c r="GA337" s="29"/>
      <c r="GB337" s="29"/>
      <c r="GC337" s="29"/>
      <c r="GD337" s="29"/>
      <c r="GE337" s="29"/>
      <c r="GF337" s="29"/>
      <c r="GG337" s="29"/>
      <c r="GH337" s="29"/>
      <c r="GI337" s="29"/>
      <c r="GJ337" s="29"/>
      <c r="GK337" s="29"/>
      <c r="GL337" s="29"/>
      <c r="GM337" s="29"/>
      <c r="GN337" s="29"/>
      <c r="GO337" s="29"/>
      <c r="GP337" s="29"/>
      <c r="GQ337" s="29"/>
      <c r="GR337" s="29"/>
      <c r="GS337" s="29"/>
      <c r="GT337" s="29"/>
      <c r="GU337" s="29"/>
      <c r="GV337" s="29"/>
      <c r="GW337" s="29"/>
      <c r="GX337" s="29"/>
      <c r="GY337" s="29"/>
      <c r="GZ337" s="29"/>
      <c r="HA337" s="29"/>
      <c r="HB337" s="29"/>
      <c r="HC337" s="29"/>
      <c r="HD337" s="29"/>
      <c r="HE337" s="29"/>
      <c r="HF337" s="29"/>
      <c r="HG337" s="29"/>
      <c r="HH337" s="29"/>
      <c r="HI337" s="29"/>
      <c r="HJ337" s="29"/>
      <c r="HK337" s="29"/>
      <c r="HL337" s="29"/>
      <c r="HM337" s="29"/>
      <c r="HN337" s="29"/>
      <c r="HO337" s="29"/>
      <c r="HP337" s="29"/>
      <c r="HQ337" s="29"/>
      <c r="HR337" s="29"/>
    </row>
    <row r="338" spans="1:226" s="46" customFormat="1" hidden="1" outlineLevel="1">
      <c r="A338" s="84"/>
      <c r="B338" s="5" t="s">
        <v>167</v>
      </c>
      <c r="C338" s="307">
        <v>54.831000000000003</v>
      </c>
      <c r="D338" s="66">
        <v>44.808999999999997</v>
      </c>
      <c r="E338" s="66">
        <v>69.037000000000006</v>
      </c>
      <c r="F338" s="308">
        <v>82.166999999999987</v>
      </c>
      <c r="G338" s="66">
        <v>111.218</v>
      </c>
      <c r="H338" s="66">
        <v>113.738</v>
      </c>
      <c r="I338" s="66">
        <v>129.86600000000001</v>
      </c>
      <c r="J338" s="66">
        <v>189.87800000000004</v>
      </c>
      <c r="K338" s="307">
        <v>109.93</v>
      </c>
      <c r="L338" s="66">
        <v>138.83000000000001</v>
      </c>
      <c r="M338" s="66">
        <v>193.04499999999999</v>
      </c>
      <c r="N338" s="308">
        <v>220.64299999999997</v>
      </c>
      <c r="O338" s="66">
        <v>167.85400000000001</v>
      </c>
      <c r="P338" s="66">
        <v>171</v>
      </c>
      <c r="Q338" s="66">
        <v>181.83500000000001</v>
      </c>
      <c r="R338" s="66">
        <v>80.790999999999968</v>
      </c>
      <c r="S338" s="307">
        <v>70.483999999999995</v>
      </c>
      <c r="T338" s="66">
        <v>95.150999999999996</v>
      </c>
      <c r="U338" s="66">
        <v>116.408</v>
      </c>
      <c r="V338" s="308">
        <v>124.24299999999998</v>
      </c>
      <c r="W338" s="66">
        <v>127.63500000000001</v>
      </c>
      <c r="X338" s="66">
        <v>155.16399999999999</v>
      </c>
      <c r="Y338" s="66">
        <v>112.292</v>
      </c>
      <c r="Z338" s="66">
        <v>124.38199999999993</v>
      </c>
      <c r="AA338" s="307">
        <v>132.58699999999999</v>
      </c>
      <c r="AB338" s="66">
        <v>205.524</v>
      </c>
      <c r="AC338" s="66">
        <v>223.59700000000001</v>
      </c>
      <c r="AD338" s="308">
        <v>169.26700000000005</v>
      </c>
      <c r="AE338" s="66">
        <v>178.67699999999999</v>
      </c>
      <c r="AF338" s="66">
        <v>212.36699999999999</v>
      </c>
      <c r="AG338" s="66">
        <v>192.81399999999999</v>
      </c>
      <c r="AH338" s="66">
        <v>199.71500000000003</v>
      </c>
      <c r="AI338" s="307">
        <v>167.25700000000001</v>
      </c>
      <c r="AJ338" s="66">
        <v>165.11699999999999</v>
      </c>
      <c r="AK338" s="66">
        <v>174.691</v>
      </c>
      <c r="AL338" s="308">
        <v>168.27400000000006</v>
      </c>
      <c r="AM338" s="307">
        <v>154.85</v>
      </c>
      <c r="AN338" s="66">
        <v>150.79900000000001</v>
      </c>
      <c r="AO338" s="29"/>
      <c r="AP338" s="308"/>
      <c r="AQ338" s="29"/>
      <c r="AR338" s="29"/>
      <c r="AS338" s="29"/>
      <c r="AT338" s="308"/>
      <c r="AU338" s="29"/>
      <c r="AV338" s="29"/>
      <c r="AW338" s="29"/>
      <c r="AX338" s="761"/>
      <c r="AY338" s="741"/>
      <c r="AZ338" s="741"/>
      <c r="BA338" s="29"/>
      <c r="BB338" s="761"/>
      <c r="BC338" s="741"/>
      <c r="BD338" s="741"/>
      <c r="BE338" s="29"/>
      <c r="BF338" s="44"/>
      <c r="BG338" s="741"/>
      <c r="BH338" s="741"/>
      <c r="BI338" s="29"/>
      <c r="BJ338" s="44"/>
      <c r="BK338" s="741"/>
      <c r="BL338" s="741"/>
      <c r="BM338" s="29"/>
      <c r="BN338" s="44"/>
      <c r="BO338" s="88"/>
      <c r="BP338" s="4">
        <v>250.84399999999999</v>
      </c>
      <c r="BQ338" s="4">
        <v>544.70000000000005</v>
      </c>
      <c r="BR338" s="4">
        <v>662.44799999999998</v>
      </c>
      <c r="BS338" s="4">
        <v>601.48</v>
      </c>
      <c r="BT338" s="4">
        <v>406.286</v>
      </c>
      <c r="BU338" s="4">
        <v>519.47299999999996</v>
      </c>
      <c r="BV338" s="51">
        <v>730.97500000000002</v>
      </c>
      <c r="BW338" s="51">
        <v>783.57299999999998</v>
      </c>
      <c r="BX338" s="51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29"/>
      <c r="CJ338" s="2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29"/>
      <c r="DD338" s="2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29"/>
      <c r="DX338" s="2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29"/>
      <c r="ER338" s="29"/>
      <c r="ES338" s="29"/>
      <c r="ET338" s="29"/>
      <c r="EU338" s="29"/>
      <c r="EV338" s="29"/>
      <c r="EW338" s="29"/>
      <c r="EX338" s="29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29"/>
      <c r="FJ338" s="29"/>
      <c r="FK338" s="29"/>
      <c r="FL338" s="29"/>
      <c r="FM338" s="29"/>
      <c r="FN338" s="29"/>
      <c r="FO338" s="29"/>
      <c r="FP338" s="29"/>
      <c r="FQ338" s="29"/>
      <c r="FR338" s="29"/>
      <c r="FS338" s="29"/>
      <c r="FT338" s="29"/>
      <c r="FU338" s="29"/>
      <c r="FV338" s="29"/>
      <c r="FW338" s="29"/>
      <c r="FX338" s="29"/>
      <c r="FY338" s="29"/>
      <c r="FZ338" s="29"/>
      <c r="GA338" s="29"/>
      <c r="GB338" s="29"/>
      <c r="GC338" s="29"/>
      <c r="GD338" s="29"/>
      <c r="GE338" s="29"/>
      <c r="GF338" s="29"/>
      <c r="GG338" s="29"/>
      <c r="GH338" s="29"/>
      <c r="GI338" s="29"/>
      <c r="GJ338" s="29"/>
      <c r="GK338" s="29"/>
      <c r="GL338" s="29"/>
      <c r="GM338" s="29"/>
      <c r="GN338" s="29"/>
      <c r="GO338" s="29"/>
      <c r="GP338" s="29"/>
      <c r="GQ338" s="29"/>
      <c r="GR338" s="29"/>
      <c r="GS338" s="29"/>
      <c r="GT338" s="29"/>
      <c r="GU338" s="29"/>
      <c r="GV338" s="29"/>
      <c r="GW338" s="29"/>
      <c r="GX338" s="29"/>
      <c r="GY338" s="29"/>
      <c r="GZ338" s="29"/>
      <c r="HA338" s="29"/>
      <c r="HB338" s="29"/>
      <c r="HC338" s="29"/>
      <c r="HD338" s="29"/>
      <c r="HE338" s="29"/>
      <c r="HF338" s="29"/>
      <c r="HG338" s="29"/>
      <c r="HH338" s="29"/>
      <c r="HI338" s="29"/>
      <c r="HJ338" s="29"/>
      <c r="HK338" s="29"/>
      <c r="HL338" s="29"/>
      <c r="HM338" s="29"/>
      <c r="HN338" s="29"/>
      <c r="HO338" s="29"/>
      <c r="HP338" s="29"/>
      <c r="HQ338" s="29"/>
      <c r="HR338" s="29"/>
    </row>
    <row r="339" spans="1:226" s="46" customFormat="1" hidden="1" outlineLevel="1">
      <c r="A339" s="84"/>
      <c r="B339" s="5" t="s">
        <v>168</v>
      </c>
      <c r="C339" s="307">
        <v>97.805000000000007</v>
      </c>
      <c r="D339" s="66">
        <v>133.40600000000001</v>
      </c>
      <c r="E339" s="66">
        <v>51.511000000000003</v>
      </c>
      <c r="F339" s="308">
        <v>57.875999999999976</v>
      </c>
      <c r="G339" s="66">
        <v>77.372</v>
      </c>
      <c r="H339" s="66">
        <v>79.155000000000001</v>
      </c>
      <c r="I339" s="66">
        <v>81.489999999999995</v>
      </c>
      <c r="J339" s="66">
        <v>94.59199999999997</v>
      </c>
      <c r="K339" s="307">
        <v>101.866</v>
      </c>
      <c r="L339" s="66">
        <v>72.524000000000001</v>
      </c>
      <c r="M339" s="66">
        <v>82.783000000000001</v>
      </c>
      <c r="N339" s="308">
        <v>84.497</v>
      </c>
      <c r="O339" s="66">
        <v>93.831000000000003</v>
      </c>
      <c r="P339" s="66">
        <v>77.463999999999999</v>
      </c>
      <c r="Q339" s="66">
        <v>84.834999999999994</v>
      </c>
      <c r="R339" s="66">
        <v>53.41</v>
      </c>
      <c r="S339" s="307">
        <v>51.89</v>
      </c>
      <c r="T339" s="66">
        <v>59.881999999999998</v>
      </c>
      <c r="U339" s="66">
        <v>64.822000000000003</v>
      </c>
      <c r="V339" s="308">
        <v>72.198999999999998</v>
      </c>
      <c r="W339" s="66">
        <v>87.016000000000005</v>
      </c>
      <c r="X339" s="66">
        <v>61.143000000000001</v>
      </c>
      <c r="Y339" s="66">
        <v>79.474000000000004</v>
      </c>
      <c r="Z339" s="66">
        <v>69.631999999999991</v>
      </c>
      <c r="AA339" s="307">
        <v>109.318</v>
      </c>
      <c r="AB339" s="66">
        <v>153.17099999999999</v>
      </c>
      <c r="AC339" s="66">
        <v>180.245</v>
      </c>
      <c r="AD339" s="308">
        <v>153.53000000000003</v>
      </c>
      <c r="AE339" s="66">
        <v>145.94200000000001</v>
      </c>
      <c r="AF339" s="66">
        <v>154.81399999999999</v>
      </c>
      <c r="AG339" s="66">
        <v>257.55099999999999</v>
      </c>
      <c r="AH339" s="66">
        <v>241.12299999999993</v>
      </c>
      <c r="AI339" s="307">
        <v>185.97800000000001</v>
      </c>
      <c r="AJ339" s="66">
        <v>163.79599999999999</v>
      </c>
      <c r="AK339" s="66">
        <v>195.529</v>
      </c>
      <c r="AL339" s="308">
        <v>-250.14299999999997</v>
      </c>
      <c r="AM339" s="307">
        <v>86.918000000000006</v>
      </c>
      <c r="AN339" s="66">
        <v>80.156999999999996</v>
      </c>
      <c r="AO339" s="29"/>
      <c r="AP339" s="308"/>
      <c r="AQ339" s="29"/>
      <c r="AR339" s="29"/>
      <c r="AS339" s="29"/>
      <c r="AT339" s="308"/>
      <c r="AU339" s="29"/>
      <c r="AV339" s="29"/>
      <c r="AW339" s="29"/>
      <c r="AX339" s="761"/>
      <c r="AY339" s="741"/>
      <c r="AZ339" s="741"/>
      <c r="BA339" s="29"/>
      <c r="BB339" s="761"/>
      <c r="BC339" s="741"/>
      <c r="BD339" s="741"/>
      <c r="BE339" s="29"/>
      <c r="BF339" s="44"/>
      <c r="BG339" s="741"/>
      <c r="BH339" s="741"/>
      <c r="BI339" s="29"/>
      <c r="BJ339" s="44"/>
      <c r="BK339" s="741"/>
      <c r="BL339" s="741"/>
      <c r="BM339" s="29"/>
      <c r="BN339" s="44"/>
      <c r="BO339" s="88"/>
      <c r="BP339" s="4">
        <v>212.27699999999999</v>
      </c>
      <c r="BQ339" s="4">
        <v>302.08</v>
      </c>
      <c r="BR339" s="4">
        <v>438.32100000000003</v>
      </c>
      <c r="BS339" s="4">
        <v>321.11700000000002</v>
      </c>
      <c r="BT339" s="4">
        <v>203.76</v>
      </c>
      <c r="BU339" s="4">
        <v>261.42099999999999</v>
      </c>
      <c r="BV339" s="51">
        <v>296.59100000000001</v>
      </c>
      <c r="BW339" s="51">
        <v>263.488</v>
      </c>
      <c r="BX339" s="51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29"/>
      <c r="CJ339" s="2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29"/>
      <c r="DD339" s="2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29"/>
      <c r="DX339" s="2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29"/>
      <c r="ER339" s="29"/>
      <c r="ES339" s="29"/>
      <c r="ET339" s="29"/>
      <c r="EU339" s="29"/>
      <c r="EV339" s="29"/>
      <c r="EW339" s="29"/>
      <c r="EX339" s="29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29"/>
      <c r="FJ339" s="29"/>
      <c r="FK339" s="29"/>
      <c r="FL339" s="29"/>
      <c r="FM339" s="29"/>
      <c r="FN339" s="29"/>
      <c r="FO339" s="29"/>
      <c r="FP339" s="29"/>
      <c r="FQ339" s="29"/>
      <c r="FR339" s="29"/>
      <c r="FS339" s="29"/>
      <c r="FT339" s="29"/>
      <c r="FU339" s="29"/>
      <c r="FV339" s="29"/>
      <c r="FW339" s="29"/>
      <c r="FX339" s="29"/>
      <c r="FY339" s="29"/>
      <c r="FZ339" s="29"/>
      <c r="GA339" s="29"/>
      <c r="GB339" s="29"/>
      <c r="GC339" s="29"/>
      <c r="GD339" s="29"/>
      <c r="GE339" s="29"/>
      <c r="GF339" s="29"/>
      <c r="GG339" s="29"/>
      <c r="GH339" s="29"/>
      <c r="GI339" s="29"/>
      <c r="GJ339" s="29"/>
      <c r="GK339" s="29"/>
      <c r="GL339" s="29"/>
      <c r="GM339" s="29"/>
      <c r="GN339" s="29"/>
      <c r="GO339" s="29"/>
      <c r="GP339" s="29"/>
      <c r="GQ339" s="29"/>
      <c r="GR339" s="29"/>
      <c r="GS339" s="29"/>
      <c r="GT339" s="29"/>
      <c r="GU339" s="29"/>
      <c r="GV339" s="29"/>
      <c r="GW339" s="29"/>
      <c r="GX339" s="29"/>
      <c r="GY339" s="29"/>
      <c r="GZ339" s="29"/>
      <c r="HA339" s="29"/>
      <c r="HB339" s="29"/>
      <c r="HC339" s="29"/>
      <c r="HD339" s="29"/>
      <c r="HE339" s="29"/>
      <c r="HF339" s="29"/>
      <c r="HG339" s="29"/>
      <c r="HH339" s="29"/>
      <c r="HI339" s="29"/>
      <c r="HJ339" s="29"/>
      <c r="HK339" s="29"/>
      <c r="HL339" s="29"/>
      <c r="HM339" s="29"/>
      <c r="HN339" s="29"/>
      <c r="HO339" s="29"/>
      <c r="HP339" s="29"/>
      <c r="HQ339" s="29"/>
      <c r="HR339" s="29"/>
    </row>
    <row r="340" spans="1:226" s="46" customFormat="1" hidden="1" outlineLevel="1">
      <c r="A340" s="84"/>
      <c r="B340" s="5" t="s">
        <v>169</v>
      </c>
      <c r="C340" s="307">
        <v>0.92200000000000004</v>
      </c>
      <c r="D340" s="66">
        <v>6.0430000000000001</v>
      </c>
      <c r="E340" s="66">
        <v>6.66</v>
      </c>
      <c r="F340" s="308">
        <v>24.947000000000003</v>
      </c>
      <c r="G340" s="66">
        <v>27.59</v>
      </c>
      <c r="H340" s="66">
        <v>36.909999999999997</v>
      </c>
      <c r="I340" s="66">
        <v>28.696000000000002</v>
      </c>
      <c r="J340" s="66">
        <v>17.844000000000012</v>
      </c>
      <c r="K340" s="307">
        <v>39.665999999999997</v>
      </c>
      <c r="L340" s="66">
        <v>20.149000000000001</v>
      </c>
      <c r="M340" s="66">
        <v>26.734000000000002</v>
      </c>
      <c r="N340" s="308">
        <v>19.018000000000001</v>
      </c>
      <c r="O340" s="66">
        <v>0.69499999999999995</v>
      </c>
      <c r="P340" s="66">
        <v>21.349</v>
      </c>
      <c r="Q340" s="66">
        <v>64.305000000000007</v>
      </c>
      <c r="R340" s="66">
        <v>44.556999999999995</v>
      </c>
      <c r="S340" s="307">
        <v>70.602999999999994</v>
      </c>
      <c r="T340" s="66">
        <v>50.469000000000001</v>
      </c>
      <c r="U340" s="66">
        <v>71.385000000000005</v>
      </c>
      <c r="V340" s="308">
        <v>87.816000000000045</v>
      </c>
      <c r="W340" s="66">
        <v>64.900999999999996</v>
      </c>
      <c r="X340" s="66">
        <v>72.781000000000006</v>
      </c>
      <c r="Y340" s="66">
        <v>78.736999999999995</v>
      </c>
      <c r="Z340" s="66">
        <v>88.734999999999999</v>
      </c>
      <c r="AA340" s="307">
        <v>75.13</v>
      </c>
      <c r="AB340" s="66">
        <v>68.224000000000004</v>
      </c>
      <c r="AC340" s="66">
        <v>84.867999999999995</v>
      </c>
      <c r="AD340" s="308">
        <v>66.891999999999996</v>
      </c>
      <c r="AE340" s="66">
        <v>75.822000000000003</v>
      </c>
      <c r="AF340" s="66">
        <v>81.260000000000005</v>
      </c>
      <c r="AG340" s="66">
        <v>81.462999999999994</v>
      </c>
      <c r="AH340" s="66">
        <v>57.792000000000002</v>
      </c>
      <c r="AI340" s="307">
        <v>65.007000000000005</v>
      </c>
      <c r="AJ340" s="66">
        <v>76.531000000000006</v>
      </c>
      <c r="AK340" s="66">
        <v>79.382000000000005</v>
      </c>
      <c r="AL340" s="308">
        <v>505.91000000000014</v>
      </c>
      <c r="AM340" s="307">
        <v>172.935</v>
      </c>
      <c r="AN340" s="66">
        <v>206.12799999999999</v>
      </c>
      <c r="AO340" s="29"/>
      <c r="AP340" s="308"/>
      <c r="AQ340" s="29"/>
      <c r="AR340" s="29"/>
      <c r="AS340" s="29"/>
      <c r="AT340" s="308"/>
      <c r="AU340" s="29"/>
      <c r="AV340" s="29"/>
      <c r="AW340" s="29"/>
      <c r="AX340" s="761"/>
      <c r="AY340" s="741"/>
      <c r="AZ340" s="741"/>
      <c r="BA340" s="29"/>
      <c r="BB340" s="761"/>
      <c r="BC340" s="741"/>
      <c r="BD340" s="741"/>
      <c r="BE340" s="29"/>
      <c r="BF340" s="44"/>
      <c r="BG340" s="741"/>
      <c r="BH340" s="741"/>
      <c r="BI340" s="29"/>
      <c r="BJ340" s="44"/>
      <c r="BK340" s="741"/>
      <c r="BL340" s="741"/>
      <c r="BM340" s="29"/>
      <c r="BN340" s="44"/>
      <c r="BO340" s="88"/>
      <c r="BP340" s="4">
        <v>340.59800000000001</v>
      </c>
      <c r="BQ340" s="4">
        <v>332.60899999999998</v>
      </c>
      <c r="BR340" s="4">
        <v>341.67</v>
      </c>
      <c r="BS340" s="4">
        <v>309.54000000000002</v>
      </c>
      <c r="BT340" s="4">
        <v>248.79300000000001</v>
      </c>
      <c r="BU340" s="4">
        <v>297.26499999999999</v>
      </c>
      <c r="BV340" s="51">
        <v>596.26400000000001</v>
      </c>
      <c r="BW340" s="51">
        <v>799.43</v>
      </c>
      <c r="BX340" s="51"/>
      <c r="BY340" s="29"/>
      <c r="BZ340" s="29"/>
      <c r="CA340" s="29"/>
      <c r="CB340" s="29"/>
      <c r="CC340" s="29"/>
      <c r="CD340" s="29"/>
      <c r="CE340" s="29"/>
      <c r="CF340" s="29"/>
      <c r="CG340" s="29"/>
      <c r="CH340" s="29"/>
      <c r="CI340" s="29"/>
      <c r="CJ340" s="29"/>
      <c r="CK340" s="29"/>
      <c r="CL340" s="29"/>
      <c r="CM340" s="29"/>
      <c r="CN340" s="29"/>
      <c r="CO340" s="29"/>
      <c r="CP340" s="29"/>
      <c r="CQ340" s="29"/>
      <c r="CR340" s="29"/>
      <c r="CS340" s="29"/>
      <c r="CT340" s="29"/>
      <c r="CU340" s="29"/>
      <c r="CV340" s="29"/>
      <c r="CW340" s="29"/>
      <c r="CX340" s="29"/>
      <c r="CY340" s="29"/>
      <c r="CZ340" s="29"/>
      <c r="DA340" s="29"/>
      <c r="DB340" s="29"/>
      <c r="DC340" s="29"/>
      <c r="DD340" s="29"/>
      <c r="DE340" s="29"/>
      <c r="DF340" s="29"/>
      <c r="DG340" s="29"/>
      <c r="DH340" s="29"/>
      <c r="DI340" s="29"/>
      <c r="DJ340" s="29"/>
      <c r="DK340" s="29"/>
      <c r="DL340" s="29"/>
      <c r="DM340" s="29"/>
      <c r="DN340" s="29"/>
      <c r="DO340" s="29"/>
      <c r="DP340" s="29"/>
      <c r="DQ340" s="29"/>
      <c r="DR340" s="29"/>
      <c r="DS340" s="29"/>
      <c r="DT340" s="29"/>
      <c r="DU340" s="29"/>
      <c r="DV340" s="29"/>
      <c r="DW340" s="29"/>
      <c r="DX340" s="29"/>
      <c r="DY340" s="29"/>
      <c r="DZ340" s="29"/>
      <c r="EA340" s="29"/>
      <c r="EB340" s="29"/>
      <c r="EC340" s="29"/>
      <c r="ED340" s="29"/>
      <c r="EE340" s="29"/>
      <c r="EF340" s="29"/>
      <c r="EG340" s="29"/>
      <c r="EH340" s="29"/>
      <c r="EI340" s="29"/>
      <c r="EJ340" s="29"/>
      <c r="EK340" s="29"/>
      <c r="EL340" s="29"/>
      <c r="EM340" s="29"/>
      <c r="EN340" s="29"/>
      <c r="EO340" s="29"/>
      <c r="EP340" s="29"/>
      <c r="EQ340" s="29"/>
      <c r="ER340" s="29"/>
      <c r="ES340" s="29"/>
      <c r="ET340" s="29"/>
      <c r="EU340" s="29"/>
      <c r="EV340" s="29"/>
      <c r="EW340" s="29"/>
      <c r="EX340" s="29"/>
      <c r="EY340" s="29"/>
      <c r="EZ340" s="29"/>
      <c r="FA340" s="29"/>
      <c r="FB340" s="29"/>
      <c r="FC340" s="29"/>
      <c r="FD340" s="29"/>
      <c r="FE340" s="29"/>
      <c r="FF340" s="29"/>
      <c r="FG340" s="29"/>
      <c r="FH340" s="29"/>
      <c r="FI340" s="29"/>
      <c r="FJ340" s="29"/>
      <c r="FK340" s="29"/>
      <c r="FL340" s="29"/>
      <c r="FM340" s="29"/>
      <c r="FN340" s="29"/>
      <c r="FO340" s="29"/>
      <c r="FP340" s="29"/>
      <c r="FQ340" s="29"/>
      <c r="FR340" s="29"/>
      <c r="FS340" s="29"/>
      <c r="FT340" s="29"/>
      <c r="FU340" s="29"/>
      <c r="FV340" s="29"/>
      <c r="FW340" s="29"/>
      <c r="FX340" s="29"/>
      <c r="FY340" s="29"/>
      <c r="FZ340" s="29"/>
      <c r="GA340" s="29"/>
      <c r="GB340" s="29"/>
      <c r="GC340" s="29"/>
      <c r="GD340" s="29"/>
      <c r="GE340" s="29"/>
      <c r="GF340" s="29"/>
      <c r="GG340" s="29"/>
      <c r="GH340" s="29"/>
      <c r="GI340" s="29"/>
      <c r="GJ340" s="29"/>
      <c r="GK340" s="29"/>
      <c r="GL340" s="29"/>
      <c r="GM340" s="29"/>
      <c r="GN340" s="29"/>
      <c r="GO340" s="29"/>
      <c r="GP340" s="29"/>
      <c r="GQ340" s="29"/>
      <c r="GR340" s="29"/>
      <c r="GS340" s="29"/>
      <c r="GT340" s="29"/>
      <c r="GU340" s="29"/>
      <c r="GV340" s="29"/>
      <c r="GW340" s="29"/>
      <c r="GX340" s="29"/>
      <c r="GY340" s="29"/>
      <c r="GZ340" s="29"/>
      <c r="HA340" s="29"/>
      <c r="HB340" s="29"/>
      <c r="HC340" s="29"/>
      <c r="HD340" s="29"/>
      <c r="HE340" s="29"/>
      <c r="HF340" s="29"/>
      <c r="HG340" s="29"/>
      <c r="HH340" s="29"/>
      <c r="HI340" s="29"/>
      <c r="HJ340" s="29"/>
      <c r="HK340" s="29"/>
      <c r="HL340" s="29"/>
      <c r="HM340" s="29"/>
      <c r="HN340" s="29"/>
      <c r="HO340" s="29"/>
      <c r="HP340" s="29"/>
      <c r="HQ340" s="29"/>
      <c r="HR340" s="29"/>
    </row>
    <row r="341" spans="1:226" s="46" customFormat="1" hidden="1" outlineLevel="1">
      <c r="A341" s="84"/>
      <c r="B341" s="5" t="s">
        <v>171</v>
      </c>
      <c r="C341" s="307">
        <v>63.845999999999997</v>
      </c>
      <c r="D341" s="66">
        <v>38.564999999999998</v>
      </c>
      <c r="E341" s="66">
        <v>30.684000000000001</v>
      </c>
      <c r="F341" s="308">
        <v>79.181999999999988</v>
      </c>
      <c r="G341" s="66">
        <v>58.332999999999998</v>
      </c>
      <c r="H341" s="66">
        <v>76.850999999999999</v>
      </c>
      <c r="I341" s="66">
        <v>73.441999999999993</v>
      </c>
      <c r="J341" s="66">
        <v>93.453999999999979</v>
      </c>
      <c r="K341" s="307">
        <v>81.55</v>
      </c>
      <c r="L341" s="66">
        <v>89.317999999999998</v>
      </c>
      <c r="M341" s="66">
        <v>114.279</v>
      </c>
      <c r="N341" s="308">
        <v>153.17400000000004</v>
      </c>
      <c r="O341" s="66">
        <v>131.95400000000001</v>
      </c>
      <c r="P341" s="66">
        <v>81.519000000000005</v>
      </c>
      <c r="Q341" s="66">
        <v>61.715000000000003</v>
      </c>
      <c r="R341" s="66">
        <v>45.92900000000003</v>
      </c>
      <c r="S341" s="307">
        <v>44.667999999999999</v>
      </c>
      <c r="T341" s="66">
        <v>44.354999999999997</v>
      </c>
      <c r="U341" s="66">
        <v>50.786999999999999</v>
      </c>
      <c r="V341" s="308">
        <v>63.95</v>
      </c>
      <c r="W341" s="66">
        <v>66.816999999999993</v>
      </c>
      <c r="X341" s="66">
        <v>61.731000000000002</v>
      </c>
      <c r="Y341" s="66">
        <v>70.787000000000006</v>
      </c>
      <c r="Z341" s="66">
        <v>62.085999999999999</v>
      </c>
      <c r="AA341" s="307">
        <v>72.582999999999998</v>
      </c>
      <c r="AB341" s="66">
        <v>75.257000000000005</v>
      </c>
      <c r="AC341" s="66">
        <v>74.313000000000002</v>
      </c>
      <c r="AD341" s="308">
        <v>74.437999999999988</v>
      </c>
      <c r="AE341" s="66">
        <v>69.507999999999996</v>
      </c>
      <c r="AF341" s="66">
        <v>58.997999999999998</v>
      </c>
      <c r="AG341" s="66">
        <v>62.877000000000002</v>
      </c>
      <c r="AH341" s="66">
        <v>72.10499999999999</v>
      </c>
      <c r="AI341" s="307">
        <v>71.572000000000003</v>
      </c>
      <c r="AJ341" s="66">
        <v>68.703999999999994</v>
      </c>
      <c r="AK341" s="66">
        <v>78.972999999999999</v>
      </c>
      <c r="AL341" s="308">
        <v>98.290999999999997</v>
      </c>
      <c r="AM341" s="307">
        <v>91.763000000000005</v>
      </c>
      <c r="AN341" s="66">
        <v>83.055000000000007</v>
      </c>
      <c r="AO341" s="29"/>
      <c r="AP341" s="308"/>
      <c r="AQ341" s="29"/>
      <c r="AR341" s="29"/>
      <c r="AS341" s="29"/>
      <c r="AT341" s="308"/>
      <c r="AU341" s="29"/>
      <c r="AV341" s="29"/>
      <c r="AW341" s="29"/>
      <c r="AX341" s="761"/>
      <c r="AY341" s="741"/>
      <c r="AZ341" s="741"/>
      <c r="BA341" s="29"/>
      <c r="BB341" s="761"/>
      <c r="BC341" s="741"/>
      <c r="BD341" s="741"/>
      <c r="BE341" s="29"/>
      <c r="BF341" s="44"/>
      <c r="BG341" s="741"/>
      <c r="BH341" s="741"/>
      <c r="BI341" s="29"/>
      <c r="BJ341" s="44"/>
      <c r="BK341" s="741"/>
      <c r="BL341" s="741"/>
      <c r="BM341" s="29"/>
      <c r="BN341" s="44"/>
      <c r="BO341" s="88"/>
      <c r="BP341" s="4">
        <v>38.572000000000003</v>
      </c>
      <c r="BQ341" s="4">
        <v>111.04</v>
      </c>
      <c r="BR341" s="4">
        <v>105.56699999999999</v>
      </c>
      <c r="BS341" s="4">
        <v>130.90600000000001</v>
      </c>
      <c r="BT341" s="4">
        <v>280.27300000000002</v>
      </c>
      <c r="BU341" s="4">
        <v>305.154</v>
      </c>
      <c r="BV341" s="51">
        <v>295.11399999999998</v>
      </c>
      <c r="BW341" s="51">
        <v>296.33699999999999</v>
      </c>
      <c r="BX341" s="51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29"/>
      <c r="CJ341" s="2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29"/>
      <c r="DD341" s="2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29"/>
      <c r="DX341" s="2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29"/>
      <c r="ER341" s="29"/>
      <c r="ES341" s="29"/>
      <c r="ET341" s="29"/>
      <c r="EU341" s="29"/>
      <c r="EV341" s="29"/>
      <c r="EW341" s="29"/>
      <c r="EX341" s="29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29"/>
      <c r="FJ341" s="29"/>
      <c r="FK341" s="29"/>
      <c r="FL341" s="29"/>
      <c r="FM341" s="29"/>
      <c r="FN341" s="29"/>
      <c r="FO341" s="29"/>
      <c r="FP341" s="29"/>
      <c r="FQ341" s="29"/>
      <c r="FR341" s="29"/>
      <c r="FS341" s="29"/>
      <c r="FT341" s="29"/>
      <c r="FU341" s="29"/>
      <c r="FV341" s="29"/>
      <c r="FW341" s="29"/>
      <c r="FX341" s="29"/>
      <c r="FY341" s="29"/>
      <c r="FZ341" s="29"/>
      <c r="GA341" s="29"/>
      <c r="GB341" s="29"/>
      <c r="GC341" s="29"/>
      <c r="GD341" s="29"/>
      <c r="GE341" s="29"/>
      <c r="GF341" s="29"/>
      <c r="GG341" s="29"/>
      <c r="GH341" s="29"/>
      <c r="GI341" s="29"/>
      <c r="GJ341" s="29"/>
      <c r="GK341" s="29"/>
      <c r="GL341" s="29"/>
      <c r="GM341" s="29"/>
      <c r="GN341" s="29"/>
      <c r="GO341" s="29"/>
      <c r="GP341" s="29"/>
      <c r="GQ341" s="29"/>
      <c r="GR341" s="29"/>
      <c r="GS341" s="29"/>
      <c r="GT341" s="29"/>
      <c r="GU341" s="29"/>
      <c r="GV341" s="29"/>
      <c r="GW341" s="29"/>
      <c r="GX341" s="29"/>
      <c r="GY341" s="29"/>
      <c r="GZ341" s="29"/>
      <c r="HA341" s="29"/>
      <c r="HB341" s="29"/>
      <c r="HC341" s="29"/>
      <c r="HD341" s="29"/>
      <c r="HE341" s="29"/>
      <c r="HF341" s="29"/>
      <c r="HG341" s="29"/>
      <c r="HH341" s="29"/>
      <c r="HI341" s="29"/>
      <c r="HJ341" s="29"/>
      <c r="HK341" s="29"/>
      <c r="HL341" s="29"/>
      <c r="HM341" s="29"/>
      <c r="HN341" s="29"/>
      <c r="HO341" s="29"/>
      <c r="HP341" s="29"/>
      <c r="HQ341" s="29"/>
      <c r="HR341" s="29"/>
    </row>
    <row r="342" spans="1:226" s="46" customFormat="1" hidden="1" outlineLevel="1">
      <c r="A342" s="84"/>
      <c r="B342" s="9" t="s">
        <v>170</v>
      </c>
      <c r="C342" s="316">
        <v>583.846</v>
      </c>
      <c r="D342" s="75">
        <v>574.8119999999999</v>
      </c>
      <c r="E342" s="75">
        <v>583.41499999999996</v>
      </c>
      <c r="F342" s="317">
        <v>633.61400000000015</v>
      </c>
      <c r="G342" s="75">
        <v>681.8069999999999</v>
      </c>
      <c r="H342" s="75">
        <v>687.51900000000001</v>
      </c>
      <c r="I342" s="75">
        <v>820.57200000000012</v>
      </c>
      <c r="J342" s="75">
        <v>878.87300000000005</v>
      </c>
      <c r="K342" s="316">
        <v>844.28</v>
      </c>
      <c r="L342" s="75">
        <v>935.25300000000004</v>
      </c>
      <c r="M342" s="75">
        <v>1115.597</v>
      </c>
      <c r="N342" s="317">
        <v>1202.7300000000002</v>
      </c>
      <c r="O342" s="75">
        <v>1153.3880000000001</v>
      </c>
      <c r="P342" s="75">
        <v>892.67600000000004</v>
      </c>
      <c r="Q342" s="75">
        <v>897.65499999999986</v>
      </c>
      <c r="R342" s="75">
        <v>481.13999999999993</v>
      </c>
      <c r="S342" s="316">
        <v>664.23099999999999</v>
      </c>
      <c r="T342" s="75">
        <v>776.52</v>
      </c>
      <c r="U342" s="75">
        <v>903.20600000000002</v>
      </c>
      <c r="V342" s="317">
        <v>982.48799999999994</v>
      </c>
      <c r="W342" s="75">
        <v>1001.8129999999999</v>
      </c>
      <c r="X342" s="75">
        <v>811.20800000000008</v>
      </c>
      <c r="Y342" s="75">
        <v>843.91200000000003</v>
      </c>
      <c r="Z342" s="75">
        <v>886.37600000000009</v>
      </c>
      <c r="AA342" s="316">
        <v>962.03899999999999</v>
      </c>
      <c r="AB342" s="75">
        <v>1016.5170000000001</v>
      </c>
      <c r="AC342" s="75">
        <v>1066.18</v>
      </c>
      <c r="AD342" s="317">
        <v>953.19400000000007</v>
      </c>
      <c r="AE342" s="75">
        <v>924.87700000000007</v>
      </c>
      <c r="AF342" s="75">
        <v>1044.27</v>
      </c>
      <c r="AG342" s="75">
        <v>1204.1099999999999</v>
      </c>
      <c r="AH342" s="75">
        <v>1106.902</v>
      </c>
      <c r="AI342" s="316">
        <v>954.73900000000015</v>
      </c>
      <c r="AJ342" s="75">
        <v>977.23799999999983</v>
      </c>
      <c r="AK342" s="75">
        <v>1053.9669999999999</v>
      </c>
      <c r="AL342" s="317">
        <v>1144.2180000000008</v>
      </c>
      <c r="AM342" s="316">
        <v>1102.787</v>
      </c>
      <c r="AN342" s="75">
        <v>1102.8240000000001</v>
      </c>
      <c r="AO342" s="47"/>
      <c r="AP342" s="317"/>
      <c r="AQ342" s="47"/>
      <c r="AR342" s="47"/>
      <c r="AS342" s="47"/>
      <c r="AT342" s="317"/>
      <c r="AU342" s="47"/>
      <c r="AV342" s="47"/>
      <c r="AW342" s="47"/>
      <c r="AX342" s="782"/>
      <c r="AY342" s="883"/>
      <c r="AZ342" s="883"/>
      <c r="BA342" s="47"/>
      <c r="BB342" s="782"/>
      <c r="BC342" s="883"/>
      <c r="BD342" s="883"/>
      <c r="BE342" s="47"/>
      <c r="BF342" s="208"/>
      <c r="BG342" s="883"/>
      <c r="BH342" s="883"/>
      <c r="BI342" s="47"/>
      <c r="BJ342" s="208"/>
      <c r="BK342" s="883"/>
      <c r="BL342" s="883"/>
      <c r="BM342" s="47"/>
      <c r="BN342" s="208"/>
      <c r="BO342" s="89"/>
      <c r="BP342" s="153">
        <v>2375.6869999999999</v>
      </c>
      <c r="BQ342" s="153">
        <v>3068.7710000000002</v>
      </c>
      <c r="BR342" s="153">
        <v>4097.8599999999997</v>
      </c>
      <c r="BS342" s="153">
        <v>3424.8589999999999</v>
      </c>
      <c r="BT342" s="153">
        <v>3326.4450000000002</v>
      </c>
      <c r="BU342" s="153">
        <v>3543.3090000000002</v>
      </c>
      <c r="BV342" s="154">
        <v>3997.93</v>
      </c>
      <c r="BW342" s="154">
        <v>4280.1589999999997</v>
      </c>
      <c r="BX342" s="154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29"/>
      <c r="CJ342" s="2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29"/>
      <c r="DD342" s="2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29"/>
      <c r="DX342" s="2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29"/>
      <c r="ER342" s="29"/>
      <c r="ES342" s="29"/>
      <c r="ET342" s="29"/>
      <c r="EU342" s="29"/>
      <c r="EV342" s="29"/>
      <c r="EW342" s="29"/>
      <c r="EX342" s="29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29"/>
      <c r="FJ342" s="29"/>
      <c r="FK342" s="29"/>
      <c r="FL342" s="29"/>
      <c r="FM342" s="29"/>
      <c r="FN342" s="29"/>
      <c r="FO342" s="29"/>
      <c r="FP342" s="29"/>
      <c r="FQ342" s="29"/>
      <c r="FR342" s="29"/>
      <c r="FS342" s="29"/>
      <c r="FT342" s="29"/>
      <c r="FU342" s="29"/>
      <c r="FV342" s="29"/>
      <c r="FW342" s="29"/>
      <c r="FX342" s="29"/>
      <c r="FY342" s="29"/>
      <c r="FZ342" s="29"/>
      <c r="GA342" s="29"/>
      <c r="GB342" s="29"/>
      <c r="GC342" s="29"/>
      <c r="GD342" s="29"/>
      <c r="GE342" s="29"/>
      <c r="GF342" s="29"/>
      <c r="GG342" s="29"/>
      <c r="GH342" s="29"/>
      <c r="GI342" s="29"/>
      <c r="GJ342" s="29"/>
      <c r="GK342" s="29"/>
      <c r="GL342" s="29"/>
      <c r="GM342" s="29"/>
      <c r="GN342" s="29"/>
      <c r="GO342" s="29"/>
      <c r="GP342" s="29"/>
      <c r="GQ342" s="29"/>
      <c r="GR342" s="29"/>
      <c r="GS342" s="29"/>
      <c r="GT342" s="29"/>
      <c r="GU342" s="29"/>
      <c r="GV342" s="29"/>
      <c r="GW342" s="29"/>
      <c r="GX342" s="29"/>
      <c r="GY342" s="29"/>
      <c r="GZ342" s="29"/>
      <c r="HA342" s="29"/>
      <c r="HB342" s="29"/>
      <c r="HC342" s="29"/>
      <c r="HD342" s="29"/>
      <c r="HE342" s="29"/>
      <c r="HF342" s="29"/>
      <c r="HG342" s="29"/>
      <c r="HH342" s="29"/>
      <c r="HI342" s="29"/>
      <c r="HJ342" s="29"/>
      <c r="HK342" s="29"/>
      <c r="HL342" s="29"/>
      <c r="HM342" s="29"/>
      <c r="HN342" s="29"/>
      <c r="HO342" s="29"/>
      <c r="HP342" s="29"/>
      <c r="HQ342" s="29"/>
      <c r="HR342" s="29"/>
    </row>
    <row r="343" spans="1:226" s="46" customFormat="1" hidden="1" outlineLevel="1">
      <c r="A343" s="84"/>
      <c r="B343" s="5" t="s">
        <v>111</v>
      </c>
      <c r="C343" s="314" t="b">
        <f t="shared" ref="C343:AD343" si="1345">C330=C342</f>
        <v>0</v>
      </c>
      <c r="D343" s="79" t="b">
        <f t="shared" si="1345"/>
        <v>0</v>
      </c>
      <c r="E343" s="79" t="b">
        <f t="shared" si="1345"/>
        <v>0</v>
      </c>
      <c r="F343" s="315" t="b">
        <f t="shared" si="1345"/>
        <v>0</v>
      </c>
      <c r="G343" s="79" t="b">
        <f t="shared" si="1345"/>
        <v>1</v>
      </c>
      <c r="H343" s="79" t="b">
        <f t="shared" si="1345"/>
        <v>1</v>
      </c>
      <c r="I343" s="79" t="b">
        <f t="shared" si="1345"/>
        <v>1</v>
      </c>
      <c r="J343" s="79" t="b">
        <f t="shared" si="1345"/>
        <v>1</v>
      </c>
      <c r="K343" s="314" t="b">
        <f t="shared" si="1345"/>
        <v>1</v>
      </c>
      <c r="L343" s="79" t="b">
        <f t="shared" si="1345"/>
        <v>1</v>
      </c>
      <c r="M343" s="79" t="b">
        <f t="shared" si="1345"/>
        <v>1</v>
      </c>
      <c r="N343" s="315" t="b">
        <f t="shared" si="1345"/>
        <v>1</v>
      </c>
      <c r="O343" s="79" t="b">
        <f t="shared" si="1345"/>
        <v>1</v>
      </c>
      <c r="P343" s="79" t="b">
        <f t="shared" si="1345"/>
        <v>1</v>
      </c>
      <c r="Q343" s="79" t="b">
        <f t="shared" si="1345"/>
        <v>1</v>
      </c>
      <c r="R343" s="79" t="b">
        <f t="shared" si="1345"/>
        <v>1</v>
      </c>
      <c r="S343" s="314" t="b">
        <f t="shared" si="1345"/>
        <v>1</v>
      </c>
      <c r="T343" s="79" t="b">
        <f t="shared" si="1345"/>
        <v>1</v>
      </c>
      <c r="U343" s="79" t="b">
        <f t="shared" si="1345"/>
        <v>1</v>
      </c>
      <c r="V343" s="315" t="b">
        <f t="shared" si="1345"/>
        <v>1</v>
      </c>
      <c r="W343" s="79" t="b">
        <f t="shared" si="1345"/>
        <v>1</v>
      </c>
      <c r="X343" s="79" t="b">
        <f t="shared" si="1345"/>
        <v>1</v>
      </c>
      <c r="Y343" s="79" t="b">
        <f t="shared" si="1345"/>
        <v>1</v>
      </c>
      <c r="Z343" s="79" t="b">
        <f t="shared" si="1345"/>
        <v>1</v>
      </c>
      <c r="AA343" s="314" t="b">
        <f t="shared" si="1345"/>
        <v>1</v>
      </c>
      <c r="AB343" s="79" t="b">
        <f t="shared" si="1345"/>
        <v>1</v>
      </c>
      <c r="AC343" s="79" t="b">
        <f t="shared" si="1345"/>
        <v>1</v>
      </c>
      <c r="AD343" s="315" t="b">
        <f t="shared" si="1345"/>
        <v>1</v>
      </c>
      <c r="AE343" s="48" t="b">
        <f t="shared" ref="AE343:AN343" si="1346">AE238=AE342</f>
        <v>1</v>
      </c>
      <c r="AF343" s="48" t="b">
        <f t="shared" si="1346"/>
        <v>1</v>
      </c>
      <c r="AG343" s="48" t="b">
        <f t="shared" si="1346"/>
        <v>1</v>
      </c>
      <c r="AH343" s="48" t="b">
        <f t="shared" si="1346"/>
        <v>1</v>
      </c>
      <c r="AI343" s="343" t="b">
        <f t="shared" si="1346"/>
        <v>1</v>
      </c>
      <c r="AJ343" s="48" t="b">
        <f t="shared" si="1346"/>
        <v>1</v>
      </c>
      <c r="AK343" s="48" t="b">
        <f t="shared" si="1346"/>
        <v>1</v>
      </c>
      <c r="AL343" s="344" t="b">
        <f t="shared" si="1346"/>
        <v>1</v>
      </c>
      <c r="AM343" s="343" t="b">
        <f t="shared" si="1346"/>
        <v>1</v>
      </c>
      <c r="AN343" s="48" t="b">
        <f t="shared" si="1346"/>
        <v>1</v>
      </c>
      <c r="AO343" s="29"/>
      <c r="AP343" s="344"/>
      <c r="AQ343" s="29"/>
      <c r="AR343" s="29"/>
      <c r="AS343" s="29"/>
      <c r="AT343" s="344"/>
      <c r="AU343" s="29"/>
      <c r="AV343" s="29"/>
      <c r="AW343" s="29"/>
      <c r="AX343" s="761"/>
      <c r="AY343" s="741"/>
      <c r="AZ343" s="741"/>
      <c r="BA343" s="29"/>
      <c r="BB343" s="761"/>
      <c r="BC343" s="741"/>
      <c r="BD343" s="741"/>
      <c r="BE343" s="29"/>
      <c r="BF343" s="44"/>
      <c r="BG343" s="741"/>
      <c r="BH343" s="741"/>
      <c r="BI343" s="29"/>
      <c r="BJ343" s="44"/>
      <c r="BK343" s="741"/>
      <c r="BL343" s="741"/>
      <c r="BM343" s="29"/>
      <c r="BN343" s="44"/>
      <c r="BO343" s="88"/>
      <c r="BP343" s="48" t="b">
        <f>BP330=BP342</f>
        <v>1</v>
      </c>
      <c r="BQ343" s="48" t="b">
        <f>BQ330=BQ342</f>
        <v>1</v>
      </c>
      <c r="BR343" s="48" t="b">
        <f>BR330=BR342</f>
        <v>1</v>
      </c>
      <c r="BS343" s="48" t="b">
        <f>BS330=BS342</f>
        <v>1</v>
      </c>
      <c r="BT343" s="48" t="b">
        <f>BT330=BT342</f>
        <v>1</v>
      </c>
      <c r="BU343" s="48" t="b">
        <f>BU238=BU342</f>
        <v>1</v>
      </c>
      <c r="BV343" s="48" t="b">
        <f>BV238=BV342</f>
        <v>1</v>
      </c>
      <c r="BW343" s="48" t="b">
        <f>BW238=BW342</f>
        <v>1</v>
      </c>
      <c r="BX343" s="48"/>
      <c r="BY343" s="29"/>
      <c r="BZ343" s="29"/>
      <c r="CA343" s="29"/>
      <c r="CB343" s="29"/>
      <c r="CC343" s="29"/>
      <c r="CD343" s="29"/>
      <c r="CE343" s="29"/>
      <c r="CF343" s="29"/>
      <c r="CG343" s="29"/>
      <c r="CH343" s="29"/>
      <c r="CI343" s="29"/>
      <c r="CJ343" s="29"/>
      <c r="CK343" s="29"/>
      <c r="CL343" s="29"/>
      <c r="CM343" s="29"/>
      <c r="CN343" s="29"/>
      <c r="CO343" s="29"/>
      <c r="CP343" s="29"/>
      <c r="CQ343" s="29"/>
      <c r="CR343" s="29"/>
      <c r="CS343" s="29"/>
      <c r="CT343" s="29"/>
      <c r="CU343" s="29"/>
      <c r="CV343" s="29"/>
      <c r="CW343" s="29"/>
      <c r="CX343" s="29"/>
      <c r="CY343" s="29"/>
      <c r="CZ343" s="29"/>
      <c r="DA343" s="29"/>
      <c r="DB343" s="29"/>
      <c r="DC343" s="29"/>
      <c r="DD343" s="29"/>
      <c r="DE343" s="29"/>
      <c r="DF343" s="29"/>
      <c r="DG343" s="29"/>
      <c r="DH343" s="29"/>
      <c r="DI343" s="29"/>
      <c r="DJ343" s="29"/>
      <c r="DK343" s="29"/>
      <c r="DL343" s="29"/>
      <c r="DM343" s="29"/>
      <c r="DN343" s="29"/>
      <c r="DO343" s="29"/>
      <c r="DP343" s="29"/>
      <c r="DQ343" s="29"/>
      <c r="DR343" s="29"/>
      <c r="DS343" s="29"/>
      <c r="DT343" s="29"/>
      <c r="DU343" s="29"/>
      <c r="DV343" s="29"/>
      <c r="DW343" s="29"/>
      <c r="DX343" s="29"/>
      <c r="DY343" s="29"/>
      <c r="DZ343" s="29"/>
      <c r="EA343" s="29"/>
      <c r="EB343" s="29"/>
      <c r="EC343" s="29"/>
      <c r="ED343" s="29"/>
      <c r="EE343" s="29"/>
      <c r="EF343" s="29"/>
      <c r="EG343" s="29"/>
      <c r="EH343" s="29"/>
      <c r="EI343" s="29"/>
      <c r="EJ343" s="29"/>
      <c r="EK343" s="29"/>
      <c r="EL343" s="29"/>
      <c r="EM343" s="29"/>
      <c r="EN343" s="29"/>
      <c r="EO343" s="29"/>
      <c r="EP343" s="29"/>
      <c r="EQ343" s="29"/>
      <c r="ER343" s="29"/>
      <c r="ES343" s="29"/>
      <c r="ET343" s="29"/>
      <c r="EU343" s="29"/>
      <c r="EV343" s="29"/>
      <c r="EW343" s="29"/>
      <c r="EX343" s="29"/>
      <c r="EY343" s="29"/>
      <c r="EZ343" s="29"/>
      <c r="FA343" s="29"/>
      <c r="FB343" s="29"/>
      <c r="FC343" s="29"/>
      <c r="FD343" s="29"/>
      <c r="FE343" s="29"/>
      <c r="FF343" s="29"/>
      <c r="FG343" s="29"/>
      <c r="FH343" s="29"/>
      <c r="FI343" s="29"/>
      <c r="FJ343" s="29"/>
      <c r="FK343" s="29"/>
      <c r="FL343" s="29"/>
      <c r="FM343" s="29"/>
      <c r="FN343" s="29"/>
      <c r="FO343" s="29"/>
      <c r="FP343" s="29"/>
      <c r="FQ343" s="29"/>
      <c r="FR343" s="29"/>
      <c r="FS343" s="29"/>
      <c r="FT343" s="29"/>
      <c r="FU343" s="29"/>
      <c r="FV343" s="29"/>
      <c r="FW343" s="29"/>
      <c r="FX343" s="29"/>
      <c r="FY343" s="29"/>
      <c r="FZ343" s="29"/>
      <c r="GA343" s="29"/>
      <c r="GB343" s="29"/>
      <c r="GC343" s="29"/>
      <c r="GD343" s="29"/>
      <c r="GE343" s="29"/>
      <c r="GF343" s="29"/>
      <c r="GG343" s="29"/>
      <c r="GH343" s="29"/>
      <c r="GI343" s="29"/>
      <c r="GJ343" s="29"/>
      <c r="GK343" s="29"/>
      <c r="GL343" s="29"/>
      <c r="GM343" s="29"/>
      <c r="GN343" s="29"/>
      <c r="GO343" s="29"/>
      <c r="GP343" s="29"/>
      <c r="GQ343" s="29"/>
      <c r="GR343" s="29"/>
      <c r="GS343" s="29"/>
      <c r="GT343" s="29"/>
      <c r="GU343" s="29"/>
      <c r="GV343" s="29"/>
      <c r="GW343" s="29"/>
      <c r="GX343" s="29"/>
      <c r="GY343" s="29"/>
      <c r="GZ343" s="29"/>
      <c r="HA343" s="29"/>
      <c r="HB343" s="29"/>
      <c r="HC343" s="29"/>
      <c r="HD343" s="29"/>
      <c r="HE343" s="29"/>
      <c r="HF343" s="29"/>
      <c r="HG343" s="29"/>
      <c r="HH343" s="29"/>
      <c r="HI343" s="29"/>
      <c r="HJ343" s="29"/>
      <c r="HK343" s="29"/>
      <c r="HL343" s="29"/>
      <c r="HM343" s="29"/>
      <c r="HN343" s="29"/>
      <c r="HO343" s="29"/>
      <c r="HP343" s="29"/>
      <c r="HQ343" s="29"/>
      <c r="HR343" s="29"/>
    </row>
    <row r="344" spans="1:226" s="46" customFormat="1" hidden="1" outlineLevel="1">
      <c r="A344" s="84"/>
      <c r="B344" s="5"/>
      <c r="C344" s="314"/>
      <c r="D344" s="79"/>
      <c r="E344" s="79"/>
      <c r="F344" s="315"/>
      <c r="G344" s="79"/>
      <c r="H344" s="79"/>
      <c r="I344" s="79"/>
      <c r="J344" s="79"/>
      <c r="K344" s="314"/>
      <c r="L344" s="79"/>
      <c r="M344" s="79"/>
      <c r="N344" s="315"/>
      <c r="O344" s="79"/>
      <c r="P344" s="79"/>
      <c r="Q344" s="79"/>
      <c r="R344" s="79"/>
      <c r="S344" s="314"/>
      <c r="T344" s="79"/>
      <c r="U344" s="79"/>
      <c r="V344" s="315"/>
      <c r="W344" s="79"/>
      <c r="X344" s="79"/>
      <c r="Y344" s="79"/>
      <c r="Z344" s="79"/>
      <c r="AA344" s="314"/>
      <c r="AB344" s="79"/>
      <c r="AC344" s="79"/>
      <c r="AD344" s="315"/>
      <c r="AE344" s="48"/>
      <c r="AF344" s="48"/>
      <c r="AG344" s="48"/>
      <c r="AH344" s="48"/>
      <c r="AI344" s="343"/>
      <c r="AJ344" s="48"/>
      <c r="AK344" s="48"/>
      <c r="AL344" s="344"/>
      <c r="AM344" s="343"/>
      <c r="AN344" s="29"/>
      <c r="AO344" s="29"/>
      <c r="AP344" s="344"/>
      <c r="AQ344" s="29"/>
      <c r="AR344" s="29"/>
      <c r="AS344" s="29"/>
      <c r="AT344" s="344"/>
      <c r="AU344" s="29"/>
      <c r="AV344" s="29"/>
      <c r="AW344" s="29"/>
      <c r="AX344" s="761"/>
      <c r="AY344" s="741"/>
      <c r="AZ344" s="741"/>
      <c r="BA344" s="29"/>
      <c r="BB344" s="761"/>
      <c r="BC344" s="741"/>
      <c r="BD344" s="741"/>
      <c r="BE344" s="29"/>
      <c r="BF344" s="44"/>
      <c r="BG344" s="741"/>
      <c r="BH344" s="741"/>
      <c r="BI344" s="29"/>
      <c r="BJ344" s="44"/>
      <c r="BK344" s="741"/>
      <c r="BL344" s="741"/>
      <c r="BM344" s="29"/>
      <c r="BN344" s="44"/>
      <c r="BO344" s="88"/>
      <c r="BP344" s="29"/>
      <c r="BQ344" s="29"/>
      <c r="BR344" s="29"/>
      <c r="BS344" s="29"/>
      <c r="BT344" s="29"/>
      <c r="BU344" s="29"/>
      <c r="BV344" s="48"/>
      <c r="BW344" s="48"/>
      <c r="BX344" s="48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29"/>
      <c r="CJ344" s="2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29"/>
      <c r="DD344" s="2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29"/>
      <c r="DX344" s="2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29"/>
      <c r="ER344" s="29"/>
      <c r="ES344" s="29"/>
      <c r="ET344" s="29"/>
      <c r="EU344" s="29"/>
      <c r="EV344" s="29"/>
      <c r="EW344" s="29"/>
      <c r="EX344" s="29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29"/>
      <c r="FJ344" s="29"/>
      <c r="FK344" s="29"/>
      <c r="FL344" s="29"/>
      <c r="FM344" s="29"/>
      <c r="FN344" s="29"/>
      <c r="FO344" s="29"/>
      <c r="FP344" s="29"/>
      <c r="FQ344" s="29"/>
      <c r="FR344" s="29"/>
      <c r="FS344" s="29"/>
      <c r="FT344" s="29"/>
      <c r="FU344" s="29"/>
      <c r="FV344" s="29"/>
      <c r="FW344" s="29"/>
      <c r="FX344" s="29"/>
      <c r="FY344" s="29"/>
      <c r="FZ344" s="29"/>
      <c r="GA344" s="29"/>
      <c r="GB344" s="29"/>
      <c r="GC344" s="29"/>
      <c r="GD344" s="29"/>
      <c r="GE344" s="29"/>
      <c r="GF344" s="29"/>
      <c r="GG344" s="29"/>
      <c r="GH344" s="29"/>
      <c r="GI344" s="29"/>
      <c r="GJ344" s="29"/>
      <c r="GK344" s="29"/>
      <c r="GL344" s="29"/>
      <c r="GM344" s="29"/>
      <c r="GN344" s="29"/>
      <c r="GO344" s="29"/>
      <c r="GP344" s="29"/>
      <c r="GQ344" s="29"/>
      <c r="GR344" s="29"/>
      <c r="GS344" s="29"/>
      <c r="GT344" s="29"/>
      <c r="GU344" s="29"/>
      <c r="GV344" s="29"/>
      <c r="GW344" s="29"/>
      <c r="GX344" s="29"/>
      <c r="GY344" s="29"/>
      <c r="GZ344" s="29"/>
      <c r="HA344" s="29"/>
      <c r="HB344" s="29"/>
      <c r="HC344" s="29"/>
      <c r="HD344" s="29"/>
      <c r="HE344" s="29"/>
      <c r="HF344" s="29"/>
      <c r="HG344" s="29"/>
      <c r="HH344" s="29"/>
      <c r="HI344" s="29"/>
      <c r="HJ344" s="29"/>
      <c r="HK344" s="29"/>
      <c r="HL344" s="29"/>
      <c r="HM344" s="29"/>
      <c r="HN344" s="29"/>
      <c r="HO344" s="29"/>
      <c r="HP344" s="29"/>
      <c r="HQ344" s="29"/>
      <c r="HR344" s="29"/>
    </row>
    <row r="345" spans="1:226" s="46" customFormat="1" hidden="1" outlineLevel="1">
      <c r="A345" s="84"/>
      <c r="B345" s="357" t="s">
        <v>172</v>
      </c>
      <c r="C345" s="419"/>
      <c r="D345" s="420"/>
      <c r="E345" s="420"/>
      <c r="F345" s="421"/>
      <c r="G345" s="420"/>
      <c r="H345" s="420"/>
      <c r="I345" s="420"/>
      <c r="J345" s="420"/>
      <c r="K345" s="419"/>
      <c r="L345" s="420"/>
      <c r="M345" s="420"/>
      <c r="N345" s="421"/>
      <c r="O345" s="420"/>
      <c r="P345" s="420"/>
      <c r="Q345" s="420"/>
      <c r="R345" s="420"/>
      <c r="S345" s="419"/>
      <c r="T345" s="420"/>
      <c r="U345" s="420"/>
      <c r="V345" s="421"/>
      <c r="W345" s="420"/>
      <c r="X345" s="420"/>
      <c r="Y345" s="420"/>
      <c r="Z345" s="420"/>
      <c r="AA345" s="419"/>
      <c r="AB345" s="420"/>
      <c r="AC345" s="420"/>
      <c r="AD345" s="421"/>
      <c r="AE345" s="420"/>
      <c r="AF345" s="420"/>
      <c r="AG345" s="420"/>
      <c r="AH345" s="420"/>
      <c r="AI345" s="422"/>
      <c r="AJ345" s="423"/>
      <c r="AK345" s="423"/>
      <c r="AL345" s="424"/>
      <c r="AM345" s="422"/>
      <c r="AN345" s="423"/>
      <c r="AO345" s="423"/>
      <c r="AP345" s="424"/>
      <c r="AQ345" s="423"/>
      <c r="AR345" s="423"/>
      <c r="AS345" s="423"/>
      <c r="AT345" s="424"/>
      <c r="AU345" s="423"/>
      <c r="AV345" s="423"/>
      <c r="AW345" s="423"/>
      <c r="AX345" s="811"/>
      <c r="AY345" s="892"/>
      <c r="AZ345" s="892"/>
      <c r="BA345" s="423"/>
      <c r="BB345" s="811"/>
      <c r="BC345" s="892"/>
      <c r="BD345" s="892"/>
      <c r="BE345" s="423"/>
      <c r="BF345" s="424"/>
      <c r="BG345" s="892"/>
      <c r="BH345" s="892"/>
      <c r="BI345" s="423"/>
      <c r="BJ345" s="424"/>
      <c r="BK345" s="892"/>
      <c r="BL345" s="892"/>
      <c r="BM345" s="423"/>
      <c r="BN345" s="424"/>
      <c r="BO345" s="89"/>
      <c r="BP345" s="423"/>
      <c r="BQ345" s="423"/>
      <c r="BR345" s="423"/>
      <c r="BS345" s="423"/>
      <c r="BT345" s="423"/>
      <c r="BU345" s="423"/>
      <c r="BV345" s="423"/>
      <c r="BW345" s="425"/>
      <c r="BX345" s="425"/>
      <c r="BY345" s="423"/>
      <c r="BZ345" s="423"/>
      <c r="CA345" s="423"/>
      <c r="CB345" s="423"/>
      <c r="CC345" s="423"/>
      <c r="CD345" s="423"/>
      <c r="CE345" s="423"/>
      <c r="CF345" s="29"/>
      <c r="CG345" s="29"/>
      <c r="CH345" s="29"/>
      <c r="CI345" s="29"/>
      <c r="CJ345" s="2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29"/>
      <c r="DD345" s="2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29"/>
      <c r="DX345" s="2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29"/>
      <c r="ER345" s="29"/>
      <c r="ES345" s="29"/>
      <c r="ET345" s="29"/>
      <c r="EU345" s="29"/>
      <c r="EV345" s="29"/>
      <c r="EW345" s="29"/>
      <c r="EX345" s="29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29"/>
      <c r="FJ345" s="29"/>
      <c r="FK345" s="29"/>
      <c r="FL345" s="29"/>
      <c r="FM345" s="29"/>
      <c r="FN345" s="29"/>
      <c r="FO345" s="29"/>
      <c r="FP345" s="29"/>
      <c r="FQ345" s="29"/>
      <c r="FR345" s="29"/>
      <c r="FS345" s="29"/>
      <c r="FT345" s="29"/>
      <c r="FU345" s="29"/>
      <c r="FV345" s="29"/>
      <c r="FW345" s="29"/>
      <c r="FX345" s="29"/>
      <c r="FY345" s="29"/>
      <c r="FZ345" s="29"/>
      <c r="GA345" s="29"/>
      <c r="GB345" s="29"/>
      <c r="GC345" s="29"/>
      <c r="GD345" s="29"/>
      <c r="GE345" s="29"/>
      <c r="GF345" s="29"/>
      <c r="GG345" s="29"/>
      <c r="GH345" s="29"/>
      <c r="GI345" s="29"/>
      <c r="GJ345" s="29"/>
      <c r="GK345" s="29"/>
      <c r="GL345" s="29"/>
      <c r="GM345" s="29"/>
      <c r="GN345" s="29"/>
      <c r="GO345" s="29"/>
      <c r="GP345" s="29"/>
      <c r="GQ345" s="29"/>
      <c r="GR345" s="29"/>
      <c r="GS345" s="29"/>
      <c r="GT345" s="29"/>
      <c r="GU345" s="29"/>
      <c r="GV345" s="29"/>
      <c r="GW345" s="29"/>
      <c r="GX345" s="29"/>
      <c r="GY345" s="29"/>
      <c r="GZ345" s="29"/>
      <c r="HA345" s="29"/>
      <c r="HB345" s="29"/>
      <c r="HC345" s="29"/>
      <c r="HD345" s="29"/>
      <c r="HE345" s="29"/>
      <c r="HF345" s="29"/>
      <c r="HG345" s="29"/>
      <c r="HH345" s="29"/>
      <c r="HI345" s="29"/>
      <c r="HJ345" s="29"/>
      <c r="HK345" s="29"/>
      <c r="HL345" s="29"/>
      <c r="HM345" s="29"/>
      <c r="HN345" s="29"/>
      <c r="HO345" s="29"/>
      <c r="HP345" s="29"/>
      <c r="HQ345" s="29"/>
      <c r="HR345" s="29"/>
    </row>
    <row r="346" spans="1:226" s="46" customFormat="1" hidden="1" outlineLevel="1">
      <c r="A346" s="84"/>
      <c r="B346" s="5" t="s">
        <v>165</v>
      </c>
      <c r="C346" s="318">
        <f t="shared" ref="C346:AM346" si="1347">C336/C$342</f>
        <v>0.11774166475406185</v>
      </c>
      <c r="D346" s="74">
        <f t="shared" si="1347"/>
        <v>0.19207497407848134</v>
      </c>
      <c r="E346" s="74">
        <f t="shared" si="1347"/>
        <v>0.17526289176658127</v>
      </c>
      <c r="F346" s="319">
        <f t="shared" si="1347"/>
        <v>0.18972276496415796</v>
      </c>
      <c r="G346" s="74">
        <f t="shared" si="1347"/>
        <v>0.26359365626929621</v>
      </c>
      <c r="H346" s="74">
        <f t="shared" si="1347"/>
        <v>0.13302759632824693</v>
      </c>
      <c r="I346" s="74">
        <f t="shared" si="1347"/>
        <v>0.19313113291703835</v>
      </c>
      <c r="J346" s="74">
        <f t="shared" si="1347"/>
        <v>0.26176023156929384</v>
      </c>
      <c r="K346" s="318">
        <f t="shared" si="1347"/>
        <v>0.28223456673141611</v>
      </c>
      <c r="L346" s="74">
        <f t="shared" si="1347"/>
        <v>0.31805083758084712</v>
      </c>
      <c r="M346" s="74">
        <f t="shared" si="1347"/>
        <v>0.30942894253032233</v>
      </c>
      <c r="N346" s="319">
        <f t="shared" si="1347"/>
        <v>0.31201350261488453</v>
      </c>
      <c r="O346" s="74">
        <f t="shared" si="1347"/>
        <v>0.31856235715994957</v>
      </c>
      <c r="P346" s="74">
        <f t="shared" si="1347"/>
        <v>0.30163911654396447</v>
      </c>
      <c r="Q346" s="74">
        <f t="shared" si="1347"/>
        <v>0.3225415109368297</v>
      </c>
      <c r="R346" s="74">
        <f t="shared" si="1347"/>
        <v>0.33569439248451577</v>
      </c>
      <c r="S346" s="318">
        <f t="shared" si="1347"/>
        <v>0.39165591488503243</v>
      </c>
      <c r="T346" s="74">
        <f t="shared" si="1347"/>
        <v>0.4165739452943904</v>
      </c>
      <c r="U346" s="74">
        <f t="shared" si="1347"/>
        <v>0.39770218532649249</v>
      </c>
      <c r="V346" s="319">
        <f t="shared" si="1347"/>
        <v>0.36780194770826719</v>
      </c>
      <c r="W346" s="74">
        <f t="shared" si="1347"/>
        <v>0.37663615864437783</v>
      </c>
      <c r="X346" s="74">
        <f t="shared" si="1347"/>
        <v>0.3345159317955444</v>
      </c>
      <c r="Y346" s="74">
        <f t="shared" si="1347"/>
        <v>0.334513551175952</v>
      </c>
      <c r="Z346" s="74">
        <f t="shared" si="1347"/>
        <v>0.32967724757890554</v>
      </c>
      <c r="AA346" s="318">
        <f t="shared" si="1347"/>
        <v>0.30090671999783791</v>
      </c>
      <c r="AB346" s="74">
        <f t="shared" si="1347"/>
        <v>0.22895042581678415</v>
      </c>
      <c r="AC346" s="74">
        <f t="shared" si="1347"/>
        <v>0.19695173422874185</v>
      </c>
      <c r="AD346" s="319">
        <f t="shared" si="1347"/>
        <v>0.21990171990171992</v>
      </c>
      <c r="AE346" s="77">
        <f t="shared" si="1347"/>
        <v>0.19311757130948223</v>
      </c>
      <c r="AF346" s="77">
        <f t="shared" si="1347"/>
        <v>0.18834879868233312</v>
      </c>
      <c r="AG346" s="77">
        <f t="shared" si="1347"/>
        <v>0.17077841725423759</v>
      </c>
      <c r="AH346" s="77">
        <f t="shared" si="1347"/>
        <v>0.18028696307351513</v>
      </c>
      <c r="AI346" s="345">
        <f t="shared" si="1347"/>
        <v>0.18334225374683549</v>
      </c>
      <c r="AJ346" s="77">
        <f t="shared" si="1347"/>
        <v>0.18837376360722777</v>
      </c>
      <c r="AK346" s="77">
        <f t="shared" si="1347"/>
        <v>0.19580688958952228</v>
      </c>
      <c r="AL346" s="346">
        <f t="shared" si="1347"/>
        <v>0.1995126802759612</v>
      </c>
      <c r="AM346" s="345">
        <f t="shared" si="1347"/>
        <v>0.20263387218021248</v>
      </c>
      <c r="AN346" s="77">
        <f t="shared" ref="AN346:AN352" si="1348">AN336/AN$342</f>
        <v>0.22829390727804255</v>
      </c>
      <c r="AO346" s="29"/>
      <c r="AP346" s="346"/>
      <c r="AQ346" s="29"/>
      <c r="AR346" s="29"/>
      <c r="AS346" s="29"/>
      <c r="AT346" s="346"/>
      <c r="AU346" s="29"/>
      <c r="AV346" s="29"/>
      <c r="AW346" s="29"/>
      <c r="AX346" s="761"/>
      <c r="AY346" s="741"/>
      <c r="AZ346" s="741"/>
      <c r="BA346" s="29"/>
      <c r="BB346" s="761"/>
      <c r="BC346" s="741"/>
      <c r="BD346" s="741"/>
      <c r="BE346" s="29"/>
      <c r="BF346" s="44"/>
      <c r="BG346" s="741"/>
      <c r="BH346" s="741"/>
      <c r="BI346" s="29"/>
      <c r="BJ346" s="44"/>
      <c r="BK346" s="741"/>
      <c r="BL346" s="741"/>
      <c r="BM346" s="29"/>
      <c r="BN346" s="44"/>
      <c r="BO346" s="88"/>
      <c r="BP346" s="49">
        <f t="shared" ref="BP346:BW346" si="1349">BP336/BP$342</f>
        <v>0.16905088927960629</v>
      </c>
      <c r="BQ346" s="49">
        <f t="shared" si="1349"/>
        <v>0.21497563682659931</v>
      </c>
      <c r="BR346" s="49">
        <f t="shared" si="1349"/>
        <v>0.30655244444661361</v>
      </c>
      <c r="BS346" s="49">
        <f t="shared" si="1349"/>
        <v>0.31760110416224435</v>
      </c>
      <c r="BT346" s="49">
        <f t="shared" si="1349"/>
        <v>0.39206901061042643</v>
      </c>
      <c r="BU346" s="49">
        <f t="shared" si="1349"/>
        <v>0.34521375358457307</v>
      </c>
      <c r="BV346" s="49">
        <f t="shared" si="1349"/>
        <v>0.23557465988649129</v>
      </c>
      <c r="BW346" s="49">
        <f t="shared" si="1349"/>
        <v>0.18235140330067179</v>
      </c>
      <c r="BX346" s="49"/>
      <c r="BY346" s="29"/>
      <c r="BZ346" s="29"/>
      <c r="CA346" s="29"/>
      <c r="CB346" s="29"/>
      <c r="CC346" s="29"/>
      <c r="CD346" s="29"/>
      <c r="CE346" s="29"/>
      <c r="CF346" s="29"/>
      <c r="CG346" s="29"/>
      <c r="CH346" s="29"/>
      <c r="CI346" s="29"/>
      <c r="CJ346" s="29"/>
      <c r="CK346" s="29"/>
      <c r="CL346" s="29"/>
      <c r="CM346" s="29"/>
      <c r="CN346" s="29"/>
      <c r="CO346" s="29"/>
      <c r="CP346" s="29"/>
      <c r="CQ346" s="29"/>
      <c r="CR346" s="29"/>
      <c r="CS346" s="29"/>
      <c r="CT346" s="29"/>
      <c r="CU346" s="29"/>
      <c r="CV346" s="29"/>
      <c r="CW346" s="29"/>
      <c r="CX346" s="29"/>
      <c r="CY346" s="29"/>
      <c r="CZ346" s="29"/>
      <c r="DA346" s="29"/>
      <c r="DB346" s="29"/>
      <c r="DC346" s="29"/>
      <c r="DD346" s="29"/>
      <c r="DE346" s="29"/>
      <c r="DF346" s="29"/>
      <c r="DG346" s="29"/>
      <c r="DH346" s="29"/>
      <c r="DI346" s="29"/>
      <c r="DJ346" s="29"/>
      <c r="DK346" s="29"/>
      <c r="DL346" s="29"/>
      <c r="DM346" s="29"/>
      <c r="DN346" s="29"/>
      <c r="DO346" s="29"/>
      <c r="DP346" s="29"/>
      <c r="DQ346" s="29"/>
      <c r="DR346" s="29"/>
      <c r="DS346" s="29"/>
      <c r="DT346" s="29"/>
      <c r="DU346" s="29"/>
      <c r="DV346" s="29"/>
      <c r="DW346" s="29"/>
      <c r="DX346" s="29"/>
      <c r="DY346" s="29"/>
      <c r="DZ346" s="29"/>
      <c r="EA346" s="29"/>
      <c r="EB346" s="29"/>
      <c r="EC346" s="29"/>
      <c r="ED346" s="29"/>
      <c r="EE346" s="29"/>
      <c r="EF346" s="29"/>
      <c r="EG346" s="29"/>
      <c r="EH346" s="29"/>
      <c r="EI346" s="29"/>
      <c r="EJ346" s="29"/>
      <c r="EK346" s="29"/>
      <c r="EL346" s="29"/>
      <c r="EM346" s="29"/>
      <c r="EN346" s="29"/>
      <c r="EO346" s="29"/>
      <c r="EP346" s="29"/>
      <c r="EQ346" s="29"/>
      <c r="ER346" s="29"/>
      <c r="ES346" s="29"/>
      <c r="ET346" s="29"/>
      <c r="EU346" s="29"/>
      <c r="EV346" s="29"/>
      <c r="EW346" s="29"/>
      <c r="EX346" s="29"/>
      <c r="EY346" s="29"/>
      <c r="EZ346" s="29"/>
      <c r="FA346" s="29"/>
      <c r="FB346" s="29"/>
      <c r="FC346" s="29"/>
      <c r="FD346" s="29"/>
      <c r="FE346" s="29"/>
      <c r="FF346" s="29"/>
      <c r="FG346" s="29"/>
      <c r="FH346" s="29"/>
      <c r="FI346" s="29"/>
      <c r="FJ346" s="29"/>
      <c r="FK346" s="29"/>
      <c r="FL346" s="29"/>
      <c r="FM346" s="29"/>
      <c r="FN346" s="29"/>
      <c r="FO346" s="29"/>
      <c r="FP346" s="29"/>
      <c r="FQ346" s="29"/>
      <c r="FR346" s="29"/>
      <c r="FS346" s="29"/>
      <c r="FT346" s="29"/>
      <c r="FU346" s="29"/>
      <c r="FV346" s="29"/>
      <c r="FW346" s="29"/>
      <c r="FX346" s="29"/>
      <c r="FY346" s="29"/>
      <c r="FZ346" s="29"/>
      <c r="GA346" s="29"/>
      <c r="GB346" s="29"/>
      <c r="GC346" s="29"/>
      <c r="GD346" s="29"/>
      <c r="GE346" s="29"/>
      <c r="GF346" s="29"/>
      <c r="GG346" s="29"/>
      <c r="GH346" s="29"/>
      <c r="GI346" s="29"/>
      <c r="GJ346" s="29"/>
      <c r="GK346" s="29"/>
      <c r="GL346" s="29"/>
      <c r="GM346" s="29"/>
      <c r="GN346" s="29"/>
      <c r="GO346" s="29"/>
      <c r="GP346" s="29"/>
      <c r="GQ346" s="29"/>
      <c r="GR346" s="29"/>
      <c r="GS346" s="29"/>
      <c r="GT346" s="29"/>
      <c r="GU346" s="29"/>
      <c r="GV346" s="29"/>
      <c r="GW346" s="29"/>
      <c r="GX346" s="29"/>
      <c r="GY346" s="29"/>
      <c r="GZ346" s="29"/>
      <c r="HA346" s="29"/>
      <c r="HB346" s="29"/>
      <c r="HC346" s="29"/>
      <c r="HD346" s="29"/>
      <c r="HE346" s="29"/>
      <c r="HF346" s="29"/>
      <c r="HG346" s="29"/>
      <c r="HH346" s="29"/>
      <c r="HI346" s="29"/>
      <c r="HJ346" s="29"/>
      <c r="HK346" s="29"/>
      <c r="HL346" s="29"/>
      <c r="HM346" s="29"/>
      <c r="HN346" s="29"/>
      <c r="HO346" s="29"/>
      <c r="HP346" s="29"/>
      <c r="HQ346" s="29"/>
      <c r="HR346" s="29"/>
    </row>
    <row r="347" spans="1:226" hidden="1" outlineLevel="1">
      <c r="B347" s="5" t="s">
        <v>166</v>
      </c>
      <c r="C347" s="318">
        <f t="shared" ref="C347:AM347" si="1350">C337/C$342</f>
        <v>0.50989301973465606</v>
      </c>
      <c r="D347" s="74">
        <f t="shared" si="1350"/>
        <v>0.42028002198979847</v>
      </c>
      <c r="E347" s="74">
        <f t="shared" si="1350"/>
        <v>0.55410299700899024</v>
      </c>
      <c r="F347" s="319">
        <f t="shared" si="1350"/>
        <v>0.42491327527485206</v>
      </c>
      <c r="G347" s="74">
        <f t="shared" si="1350"/>
        <v>0.33378067400305372</v>
      </c>
      <c r="H347" s="74">
        <f t="shared" si="1350"/>
        <v>0.42094254849684154</v>
      </c>
      <c r="I347" s="74">
        <f t="shared" si="1350"/>
        <v>0.4248256094529182</v>
      </c>
      <c r="J347" s="74">
        <f t="shared" si="1350"/>
        <v>0.28792669703131174</v>
      </c>
      <c r="K347" s="318">
        <f t="shared" si="1350"/>
        <v>0.32333230681764347</v>
      </c>
      <c r="L347" s="74">
        <f t="shared" si="1350"/>
        <v>0.33891791846698166</v>
      </c>
      <c r="M347" s="74">
        <f t="shared" si="1350"/>
        <v>0.31692268803161</v>
      </c>
      <c r="N347" s="319">
        <f t="shared" si="1350"/>
        <v>0.29111271856526394</v>
      </c>
      <c r="O347" s="74">
        <f t="shared" si="1350"/>
        <v>0.33954575563470396</v>
      </c>
      <c r="P347" s="74">
        <f t="shared" si="1350"/>
        <v>0.30478919563200979</v>
      </c>
      <c r="Q347" s="74">
        <f t="shared" si="1350"/>
        <v>0.23999643515604552</v>
      </c>
      <c r="R347" s="74">
        <f t="shared" si="1350"/>
        <v>0.19731678929209812</v>
      </c>
      <c r="S347" s="318">
        <f t="shared" si="1350"/>
        <v>0.25056945550569004</v>
      </c>
      <c r="T347" s="74">
        <f t="shared" si="1350"/>
        <v>0.2616610003605831</v>
      </c>
      <c r="U347" s="74">
        <f t="shared" si="1350"/>
        <v>0.26638109135678906</v>
      </c>
      <c r="V347" s="319">
        <f t="shared" si="1350"/>
        <v>0.27778354544788331</v>
      </c>
      <c r="W347" s="74">
        <f t="shared" si="1350"/>
        <v>0.2776216719088293</v>
      </c>
      <c r="X347" s="74">
        <f t="shared" si="1350"/>
        <v>0.23301915168489459</v>
      </c>
      <c r="Y347" s="74">
        <f t="shared" si="1350"/>
        <v>0.26107224449942645</v>
      </c>
      <c r="Z347" s="74">
        <f t="shared" si="1350"/>
        <v>0.2812835636343945</v>
      </c>
      <c r="AA347" s="318">
        <f t="shared" si="1350"/>
        <v>0.29410138258428192</v>
      </c>
      <c r="AB347" s="74">
        <f t="shared" si="1350"/>
        <v>0.27703324194283024</v>
      </c>
      <c r="AC347" s="74">
        <f t="shared" si="1350"/>
        <v>0.27497326905400588</v>
      </c>
      <c r="AD347" s="319">
        <f t="shared" si="1350"/>
        <v>0.2931806117117815</v>
      </c>
      <c r="AE347" s="74">
        <f t="shared" si="1350"/>
        <v>0.29876188941880916</v>
      </c>
      <c r="AF347" s="74">
        <f t="shared" si="1350"/>
        <v>0.32572419010409187</v>
      </c>
      <c r="AG347" s="74">
        <f t="shared" si="1350"/>
        <v>0.33532567622559406</v>
      </c>
      <c r="AH347" s="74">
        <f t="shared" si="1350"/>
        <v>0.30409828512370557</v>
      </c>
      <c r="AI347" s="318">
        <f t="shared" si="1350"/>
        <v>0.30362329390545473</v>
      </c>
      <c r="AJ347" s="74">
        <f t="shared" si="1350"/>
        <v>0.32643429747922215</v>
      </c>
      <c r="AK347" s="74">
        <f t="shared" si="1350"/>
        <v>0.30268310108381002</v>
      </c>
      <c r="AL347" s="319">
        <f t="shared" si="1350"/>
        <v>0.34399039343901217</v>
      </c>
      <c r="AM347" s="318">
        <f t="shared" si="1350"/>
        <v>0.33810608938988213</v>
      </c>
      <c r="AN347" s="74">
        <f t="shared" si="1348"/>
        <v>0.3000632920574815</v>
      </c>
      <c r="AP347" s="319"/>
      <c r="AT347" s="319"/>
      <c r="BF347" s="16"/>
      <c r="BJ347" s="16"/>
      <c r="BN347" s="16"/>
      <c r="BP347" s="49">
        <f t="shared" ref="BP347:BW347" si="1351">BP337/BP$342</f>
        <v>0.47640282579312854</v>
      </c>
      <c r="BQ347" s="49">
        <f t="shared" si="1351"/>
        <v>0.36452084564146364</v>
      </c>
      <c r="BR347" s="49">
        <f t="shared" si="1351"/>
        <v>0.31568794443929271</v>
      </c>
      <c r="BS347" s="49">
        <f t="shared" si="1351"/>
        <v>0.28441375250776746</v>
      </c>
      <c r="BT347" s="49">
        <f t="shared" si="1351"/>
        <v>0.2654897345364195</v>
      </c>
      <c r="BU347" s="49">
        <f t="shared" si="1351"/>
        <v>0.26438478834332541</v>
      </c>
      <c r="BV347" s="49">
        <f t="shared" si="1351"/>
        <v>0.28444094819068866</v>
      </c>
      <c r="BW347" s="49">
        <f t="shared" si="1351"/>
        <v>0.31700644765766883</v>
      </c>
      <c r="BX347" s="49"/>
      <c r="CE347" s="925"/>
    </row>
    <row r="348" spans="1:226" hidden="1" outlineLevel="1">
      <c r="B348" s="5" t="s">
        <v>167</v>
      </c>
      <c r="C348" s="318">
        <f t="shared" ref="C348:AM348" si="1352">C338/C$342</f>
        <v>9.3913463481808568E-2</v>
      </c>
      <c r="D348" s="74">
        <f t="shared" si="1352"/>
        <v>7.7954183280794426E-2</v>
      </c>
      <c r="E348" s="74">
        <f t="shared" si="1352"/>
        <v>0.11833257629646136</v>
      </c>
      <c r="F348" s="319">
        <f t="shared" si="1352"/>
        <v>0.12967989974968983</v>
      </c>
      <c r="G348" s="74">
        <f t="shared" si="1352"/>
        <v>0.16312240854083343</v>
      </c>
      <c r="H348" s="74">
        <f t="shared" si="1352"/>
        <v>0.16543251895583977</v>
      </c>
      <c r="I348" s="74">
        <f t="shared" si="1352"/>
        <v>0.15826277279751197</v>
      </c>
      <c r="J348" s="74">
        <f t="shared" si="1352"/>
        <v>0.21604714219233045</v>
      </c>
      <c r="K348" s="318">
        <f t="shared" si="1352"/>
        <v>0.13020561898896102</v>
      </c>
      <c r="L348" s="74">
        <f t="shared" si="1352"/>
        <v>0.1484411170025651</v>
      </c>
      <c r="M348" s="74">
        <f t="shared" si="1352"/>
        <v>0.17304187802584625</v>
      </c>
      <c r="N348" s="319">
        <f t="shared" si="1352"/>
        <v>0.18345181379029368</v>
      </c>
      <c r="O348" s="74">
        <f t="shared" si="1352"/>
        <v>0.14553125227590369</v>
      </c>
      <c r="P348" s="74">
        <f t="shared" si="1352"/>
        <v>0.1915588634622192</v>
      </c>
      <c r="Q348" s="74">
        <f t="shared" si="1352"/>
        <v>0.20256668764725874</v>
      </c>
      <c r="R348" s="74">
        <f t="shared" si="1352"/>
        <v>0.16791578334788207</v>
      </c>
      <c r="S348" s="318">
        <f t="shared" si="1352"/>
        <v>0.10611368635309101</v>
      </c>
      <c r="T348" s="74">
        <f t="shared" si="1352"/>
        <v>0.12253515685365476</v>
      </c>
      <c r="U348" s="74">
        <f t="shared" si="1352"/>
        <v>0.12888311193681176</v>
      </c>
      <c r="V348" s="319">
        <f t="shared" si="1352"/>
        <v>0.12645752416314499</v>
      </c>
      <c r="W348" s="74">
        <f t="shared" si="1352"/>
        <v>0.1274040165180528</v>
      </c>
      <c r="X348" s="74">
        <f t="shared" si="1352"/>
        <v>0.19127523397205151</v>
      </c>
      <c r="Y348" s="74">
        <f t="shared" si="1352"/>
        <v>0.13306126705154092</v>
      </c>
      <c r="Z348" s="74">
        <f t="shared" si="1352"/>
        <v>0.14032645288229817</v>
      </c>
      <c r="AA348" s="318">
        <f t="shared" si="1352"/>
        <v>0.13781873707822656</v>
      </c>
      <c r="AB348" s="74">
        <f t="shared" si="1352"/>
        <v>0.20218451831105627</v>
      </c>
      <c r="AC348" s="74">
        <f t="shared" si="1352"/>
        <v>0.20971787127877092</v>
      </c>
      <c r="AD348" s="319">
        <f t="shared" si="1352"/>
        <v>0.17757875102025406</v>
      </c>
      <c r="AE348" s="74">
        <f t="shared" si="1352"/>
        <v>0.19319001337475142</v>
      </c>
      <c r="AF348" s="74">
        <f t="shared" si="1352"/>
        <v>0.20336407250998303</v>
      </c>
      <c r="AG348" s="74">
        <f t="shared" si="1352"/>
        <v>0.16012988846533954</v>
      </c>
      <c r="AH348" s="74">
        <f t="shared" si="1352"/>
        <v>0.18042699353691657</v>
      </c>
      <c r="AI348" s="318">
        <f t="shared" si="1352"/>
        <v>0.17518609798070464</v>
      </c>
      <c r="AJ348" s="74">
        <f t="shared" si="1352"/>
        <v>0.16896293431078205</v>
      </c>
      <c r="AK348" s="74">
        <f t="shared" si="1352"/>
        <v>0.1657461761136734</v>
      </c>
      <c r="AL348" s="319">
        <f t="shared" si="1352"/>
        <v>0.14706463278850704</v>
      </c>
      <c r="AM348" s="318">
        <f t="shared" si="1352"/>
        <v>0.14041696175236015</v>
      </c>
      <c r="AN348" s="74">
        <f t="shared" si="1348"/>
        <v>0.13673895381311976</v>
      </c>
      <c r="AP348" s="319"/>
      <c r="AT348" s="319"/>
      <c r="BF348" s="16"/>
      <c r="BJ348" s="16"/>
      <c r="BN348" s="16"/>
      <c r="BP348" s="49">
        <f t="shared" ref="BP348:BW348" si="1353">BP338/BP$342</f>
        <v>0.10558798360221697</v>
      </c>
      <c r="BQ348" s="49">
        <f t="shared" si="1353"/>
        <v>0.17749776702139064</v>
      </c>
      <c r="BR348" s="49">
        <f t="shared" si="1353"/>
        <v>0.16165706002645283</v>
      </c>
      <c r="BS348" s="49">
        <f t="shared" si="1353"/>
        <v>0.17562182851907188</v>
      </c>
      <c r="BT348" s="49">
        <f t="shared" si="1353"/>
        <v>0.12213819858738081</v>
      </c>
      <c r="BU348" s="49">
        <f t="shared" si="1353"/>
        <v>0.14660674527680198</v>
      </c>
      <c r="BV348" s="49">
        <f t="shared" si="1353"/>
        <v>0.18283836885588292</v>
      </c>
      <c r="BW348" s="49">
        <f t="shared" si="1353"/>
        <v>0.18307100273611332</v>
      </c>
      <c r="BX348" s="49"/>
      <c r="CE348" s="925"/>
    </row>
    <row r="349" spans="1:226" hidden="1" outlineLevel="1">
      <c r="B349" s="5" t="s">
        <v>168</v>
      </c>
      <c r="C349" s="318">
        <f t="shared" ref="C349:AM349" si="1354">C339/C$342</f>
        <v>0.16751848946468761</v>
      </c>
      <c r="D349" s="74">
        <f t="shared" si="1354"/>
        <v>0.23208631691753134</v>
      </c>
      <c r="E349" s="74">
        <f t="shared" si="1354"/>
        <v>8.829221051909876E-2</v>
      </c>
      <c r="F349" s="319">
        <f t="shared" si="1354"/>
        <v>9.1342678665559729E-2</v>
      </c>
      <c r="G349" s="74">
        <f t="shared" si="1354"/>
        <v>0.11348079441836181</v>
      </c>
      <c r="H349" s="74">
        <f t="shared" si="1354"/>
        <v>0.11513136364231388</v>
      </c>
      <c r="I349" s="74">
        <f t="shared" si="1354"/>
        <v>9.9308774854613591E-2</v>
      </c>
      <c r="J349" s="74">
        <f t="shared" si="1354"/>
        <v>0.10762874727065226</v>
      </c>
      <c r="K349" s="318">
        <f t="shared" si="1354"/>
        <v>0.1206542853081916</v>
      </c>
      <c r="L349" s="74">
        <f t="shared" si="1354"/>
        <v>7.7544792692458619E-2</v>
      </c>
      <c r="M349" s="74">
        <f t="shared" si="1354"/>
        <v>7.4205111702523405E-2</v>
      </c>
      <c r="N349" s="319">
        <f t="shared" si="1354"/>
        <v>7.0254338047608347E-2</v>
      </c>
      <c r="O349" s="74">
        <f t="shared" si="1354"/>
        <v>8.1352502366939819E-2</v>
      </c>
      <c r="P349" s="74">
        <f t="shared" si="1354"/>
        <v>8.6777285375657001E-2</v>
      </c>
      <c r="Q349" s="74">
        <f t="shared" si="1354"/>
        <v>9.4507355275690555E-2</v>
      </c>
      <c r="R349" s="74">
        <f t="shared" si="1354"/>
        <v>0.11100719125410484</v>
      </c>
      <c r="S349" s="318">
        <f t="shared" si="1354"/>
        <v>7.8120412928634766E-2</v>
      </c>
      <c r="T349" s="74">
        <f t="shared" si="1354"/>
        <v>7.7115850203471906E-2</v>
      </c>
      <c r="U349" s="74">
        <f t="shared" si="1354"/>
        <v>7.176878807270988E-2</v>
      </c>
      <c r="V349" s="319">
        <f t="shared" si="1354"/>
        <v>7.3485884814878152E-2</v>
      </c>
      <c r="W349" s="74">
        <f t="shared" si="1354"/>
        <v>8.68585254932807E-2</v>
      </c>
      <c r="X349" s="74">
        <f t="shared" si="1354"/>
        <v>7.5372777388783146E-2</v>
      </c>
      <c r="Y349" s="74">
        <f t="shared" si="1354"/>
        <v>9.4173326128790674E-2</v>
      </c>
      <c r="Z349" s="74">
        <f t="shared" si="1354"/>
        <v>7.8558083702627304E-2</v>
      </c>
      <c r="AA349" s="318">
        <f t="shared" si="1354"/>
        <v>0.11363156795098743</v>
      </c>
      <c r="AB349" s="74">
        <f t="shared" si="1354"/>
        <v>0.15068218239340805</v>
      </c>
      <c r="AC349" s="74">
        <f t="shared" si="1354"/>
        <v>0.16905681967397623</v>
      </c>
      <c r="AD349" s="319">
        <f t="shared" si="1354"/>
        <v>0.16106899539862821</v>
      </c>
      <c r="AE349" s="74">
        <f t="shared" si="1354"/>
        <v>0.15779611775403649</v>
      </c>
      <c r="AF349" s="74">
        <f t="shared" si="1354"/>
        <v>0.14825093127256361</v>
      </c>
      <c r="AG349" s="74">
        <f t="shared" si="1354"/>
        <v>0.2138932489556602</v>
      </c>
      <c r="AH349" s="74">
        <f t="shared" si="1354"/>
        <v>0.21783590597902969</v>
      </c>
      <c r="AI349" s="318">
        <f t="shared" si="1354"/>
        <v>0.19479459831430368</v>
      </c>
      <c r="AJ349" s="74">
        <f t="shared" si="1354"/>
        <v>0.16761116534559647</v>
      </c>
      <c r="AK349" s="74">
        <f t="shared" si="1354"/>
        <v>0.18551719361232374</v>
      </c>
      <c r="AL349" s="319">
        <f t="shared" si="1354"/>
        <v>-0.21861480941568809</v>
      </c>
      <c r="AM349" s="318">
        <f t="shared" si="1354"/>
        <v>7.8816670853029652E-2</v>
      </c>
      <c r="AN349" s="74">
        <f t="shared" si="1348"/>
        <v>7.2683401884616208E-2</v>
      </c>
      <c r="AP349" s="319"/>
      <c r="AT349" s="319"/>
      <c r="BF349" s="16"/>
      <c r="BJ349" s="16"/>
      <c r="BN349" s="16"/>
      <c r="BP349" s="49">
        <f t="shared" ref="BP349:BW349" si="1355">BP339/BP$342</f>
        <v>8.9353942670057127E-2</v>
      </c>
      <c r="BQ349" s="49">
        <f t="shared" si="1355"/>
        <v>9.8436800921280848E-2</v>
      </c>
      <c r="BR349" s="49">
        <f t="shared" si="1355"/>
        <v>0.10696339064780155</v>
      </c>
      <c r="BS349" s="49">
        <f t="shared" si="1355"/>
        <v>9.3760648248584835E-2</v>
      </c>
      <c r="BT349" s="49">
        <f t="shared" si="1355"/>
        <v>6.1254582594932425E-2</v>
      </c>
      <c r="BU349" s="49">
        <f t="shared" si="1355"/>
        <v>7.3778775715016662E-2</v>
      </c>
      <c r="BV349" s="49">
        <f t="shared" si="1355"/>
        <v>7.418614132813732E-2</v>
      </c>
      <c r="BW349" s="49">
        <f t="shared" si="1355"/>
        <v>6.1560329884941194E-2</v>
      </c>
      <c r="BX349" s="49"/>
      <c r="CE349" s="925"/>
    </row>
    <row r="350" spans="1:226" hidden="1" outlineLevel="1">
      <c r="B350" s="5" t="s">
        <v>169</v>
      </c>
      <c r="C350" s="318">
        <f t="shared" ref="C350:AM350" si="1356">C340/C$342</f>
        <v>1.5791835518270229E-3</v>
      </c>
      <c r="D350" s="74">
        <f t="shared" si="1356"/>
        <v>1.0513002512125705E-2</v>
      </c>
      <c r="E350" s="74">
        <f t="shared" si="1356"/>
        <v>1.1415544680887534E-2</v>
      </c>
      <c r="F350" s="319">
        <f t="shared" si="1356"/>
        <v>3.937255174285921E-2</v>
      </c>
      <c r="G350" s="74">
        <f t="shared" si="1356"/>
        <v>4.0465996975683739E-2</v>
      </c>
      <c r="H350" s="74">
        <f t="shared" si="1356"/>
        <v>5.3685789047284507E-2</v>
      </c>
      <c r="I350" s="74">
        <f t="shared" si="1356"/>
        <v>3.4970727736262017E-2</v>
      </c>
      <c r="J350" s="74">
        <f t="shared" si="1356"/>
        <v>2.0303274762110125E-2</v>
      </c>
      <c r="K350" s="318">
        <f t="shared" si="1356"/>
        <v>4.698204387170133E-2</v>
      </c>
      <c r="L350" s="74">
        <f t="shared" si="1356"/>
        <v>2.1543903093601411E-2</v>
      </c>
      <c r="M350" s="74">
        <f t="shared" si="1356"/>
        <v>2.3963850745385658E-2</v>
      </c>
      <c r="N350" s="319">
        <f t="shared" si="1356"/>
        <v>1.581236021384683E-2</v>
      </c>
      <c r="O350" s="74">
        <f t="shared" si="1356"/>
        <v>6.0257259482498506E-4</v>
      </c>
      <c r="P350" s="74">
        <f t="shared" si="1356"/>
        <v>2.3915732023712971E-2</v>
      </c>
      <c r="Q350" s="74">
        <f t="shared" si="1356"/>
        <v>7.1636653279934959E-2</v>
      </c>
      <c r="R350" s="74">
        <f t="shared" si="1356"/>
        <v>9.2607141372573476E-2</v>
      </c>
      <c r="S350" s="318">
        <f t="shared" si="1356"/>
        <v>0.10629284089420697</v>
      </c>
      <c r="T350" s="74">
        <f t="shared" si="1356"/>
        <v>6.4993818575181578E-2</v>
      </c>
      <c r="U350" s="74">
        <f t="shared" si="1356"/>
        <v>7.9035125984548385E-2</v>
      </c>
      <c r="V350" s="319">
        <f t="shared" si="1356"/>
        <v>8.9381244351076097E-2</v>
      </c>
      <c r="W350" s="74">
        <f t="shared" si="1356"/>
        <v>6.4783547428512112E-2</v>
      </c>
      <c r="X350" s="74">
        <f t="shared" si="1356"/>
        <v>8.9719282847309192E-2</v>
      </c>
      <c r="Y350" s="74">
        <f t="shared" si="1356"/>
        <v>9.3300012323559792E-2</v>
      </c>
      <c r="Z350" s="74">
        <f t="shared" si="1356"/>
        <v>0.10010988564672328</v>
      </c>
      <c r="AA350" s="318">
        <f t="shared" si="1356"/>
        <v>7.8094547102560294E-2</v>
      </c>
      <c r="AB350" s="74">
        <f t="shared" si="1356"/>
        <v>6.7115454045529988E-2</v>
      </c>
      <c r="AC350" s="74">
        <f t="shared" si="1356"/>
        <v>7.960006753081092E-2</v>
      </c>
      <c r="AD350" s="319">
        <f t="shared" si="1356"/>
        <v>7.0176690159610727E-2</v>
      </c>
      <c r="AE350" s="74">
        <f t="shared" si="1356"/>
        <v>8.1980630937951743E-2</v>
      </c>
      <c r="AF350" s="74">
        <f t="shared" si="1356"/>
        <v>7.7815124440997072E-2</v>
      </c>
      <c r="AG350" s="74">
        <f t="shared" si="1356"/>
        <v>6.7654117979254386E-2</v>
      </c>
      <c r="AH350" s="74">
        <f t="shared" si="1356"/>
        <v>5.2210584134819521E-2</v>
      </c>
      <c r="AI350" s="318">
        <f t="shared" si="1356"/>
        <v>6.8088765620761271E-2</v>
      </c>
      <c r="AJ350" s="74">
        <f t="shared" si="1356"/>
        <v>7.8313573561404712E-2</v>
      </c>
      <c r="AK350" s="74">
        <f t="shared" si="1356"/>
        <v>7.5317348645640728E-2</v>
      </c>
      <c r="AL350" s="319">
        <f t="shared" si="1356"/>
        <v>0.44214476611974274</v>
      </c>
      <c r="AM350" s="318">
        <f t="shared" si="1356"/>
        <v>0.15681632083076785</v>
      </c>
      <c r="AN350" s="74">
        <f t="shared" si="1348"/>
        <v>0.18690924390473909</v>
      </c>
      <c r="AP350" s="319"/>
      <c r="AT350" s="319"/>
      <c r="BF350" s="16"/>
      <c r="BJ350" s="16"/>
      <c r="BN350" s="16"/>
      <c r="BP350" s="49">
        <f t="shared" ref="BP350:BW350" si="1357">BP340/BP$342</f>
        <v>0.14336821306847242</v>
      </c>
      <c r="BQ350" s="49">
        <f t="shared" si="1357"/>
        <v>0.10838508314892181</v>
      </c>
      <c r="BR350" s="49">
        <f t="shared" si="1357"/>
        <v>8.3377665415607177E-2</v>
      </c>
      <c r="BS350" s="49">
        <f t="shared" si="1357"/>
        <v>9.0380363103999328E-2</v>
      </c>
      <c r="BT350" s="49">
        <f t="shared" si="1357"/>
        <v>7.4792458615729404E-2</v>
      </c>
      <c r="BU350" s="49">
        <f t="shared" si="1357"/>
        <v>8.3894743585727349E-2</v>
      </c>
      <c r="BV350" s="49">
        <f t="shared" si="1357"/>
        <v>0.14914318159647619</v>
      </c>
      <c r="BW350" s="49">
        <f t="shared" si="1357"/>
        <v>0.18677577164773551</v>
      </c>
      <c r="BX350" s="49"/>
      <c r="CE350" s="925"/>
    </row>
    <row r="351" spans="1:226" hidden="1" outlineLevel="1">
      <c r="B351" s="5" t="s">
        <v>171</v>
      </c>
      <c r="C351" s="318">
        <f t="shared" ref="C351:AM351" si="1358">C341/C$342</f>
        <v>0.10935417901295889</v>
      </c>
      <c r="D351" s="74">
        <f t="shared" si="1358"/>
        <v>6.7091501221268876E-2</v>
      </c>
      <c r="E351" s="74">
        <f t="shared" si="1358"/>
        <v>5.2593779727980947E-2</v>
      </c>
      <c r="F351" s="319">
        <f t="shared" si="1358"/>
        <v>0.12496882960288121</v>
      </c>
      <c r="G351" s="74">
        <f t="shared" si="1358"/>
        <v>8.5556469792771275E-2</v>
      </c>
      <c r="H351" s="74">
        <f t="shared" si="1358"/>
        <v>0.11178018352947336</v>
      </c>
      <c r="I351" s="74">
        <f t="shared" si="1358"/>
        <v>8.9500982241655799E-2</v>
      </c>
      <c r="J351" s="74">
        <f t="shared" si="1358"/>
        <v>0.10633390717430161</v>
      </c>
      <c r="K351" s="318">
        <f t="shared" si="1358"/>
        <v>9.6591178282086507E-2</v>
      </c>
      <c r="L351" s="74">
        <f t="shared" si="1358"/>
        <v>9.5501431163546119E-2</v>
      </c>
      <c r="M351" s="74">
        <f t="shared" si="1358"/>
        <v>0.10243752896431238</v>
      </c>
      <c r="N351" s="319">
        <f t="shared" si="1358"/>
        <v>0.12735526676810258</v>
      </c>
      <c r="O351" s="74">
        <f t="shared" si="1358"/>
        <v>0.11440555996767783</v>
      </c>
      <c r="P351" s="74">
        <f t="shared" si="1358"/>
        <v>9.1319806962436537E-2</v>
      </c>
      <c r="Q351" s="74">
        <f t="shared" si="1358"/>
        <v>6.8751357704240512E-2</v>
      </c>
      <c r="R351" s="74">
        <f t="shared" si="1358"/>
        <v>9.5458702248825786E-2</v>
      </c>
      <c r="S351" s="318">
        <f t="shared" si="1358"/>
        <v>6.7247689433344721E-2</v>
      </c>
      <c r="T351" s="74">
        <f t="shared" si="1358"/>
        <v>5.7120228712718282E-2</v>
      </c>
      <c r="U351" s="74">
        <f t="shared" si="1358"/>
        <v>5.6229697322648431E-2</v>
      </c>
      <c r="V351" s="319">
        <f t="shared" si="1358"/>
        <v>6.5089853514750315E-2</v>
      </c>
      <c r="W351" s="74">
        <f t="shared" si="1358"/>
        <v>6.6696080006947406E-2</v>
      </c>
      <c r="X351" s="74">
        <f t="shared" si="1358"/>
        <v>7.6097622311417035E-2</v>
      </c>
      <c r="Y351" s="74">
        <f t="shared" si="1358"/>
        <v>8.3879598820730122E-2</v>
      </c>
      <c r="Z351" s="74">
        <f t="shared" si="1358"/>
        <v>7.0044766555051124E-2</v>
      </c>
      <c r="AA351" s="318">
        <f t="shared" si="1358"/>
        <v>7.5447045286105865E-2</v>
      </c>
      <c r="AB351" s="74">
        <f t="shared" si="1358"/>
        <v>7.4034177490391206E-2</v>
      </c>
      <c r="AC351" s="74">
        <f t="shared" si="1358"/>
        <v>6.9700238233694117E-2</v>
      </c>
      <c r="AD351" s="319">
        <f t="shared" si="1358"/>
        <v>7.8093231808005481E-2</v>
      </c>
      <c r="AE351" s="74">
        <f t="shared" si="1358"/>
        <v>7.5153777204968866E-2</v>
      </c>
      <c r="AF351" s="74">
        <f t="shared" si="1358"/>
        <v>5.6496882990031312E-2</v>
      </c>
      <c r="AG351" s="74">
        <f t="shared" si="1358"/>
        <v>5.2218651119914299E-2</v>
      </c>
      <c r="AH351" s="74">
        <f t="shared" si="1358"/>
        <v>6.5141268152013446E-2</v>
      </c>
      <c r="AI351" s="318">
        <f t="shared" si="1358"/>
        <v>7.4964990431940035E-2</v>
      </c>
      <c r="AJ351" s="74">
        <f t="shared" si="1358"/>
        <v>7.030426569576706E-2</v>
      </c>
      <c r="AK351" s="74">
        <f t="shared" si="1358"/>
        <v>7.4929290955029912E-2</v>
      </c>
      <c r="AL351" s="319">
        <f t="shared" si="1358"/>
        <v>8.5902336792464312E-2</v>
      </c>
      <c r="AM351" s="318">
        <f t="shared" si="1358"/>
        <v>8.3210084993747657E-2</v>
      </c>
      <c r="AN351" s="74">
        <f t="shared" si="1348"/>
        <v>7.5311201062000829E-2</v>
      </c>
      <c r="AP351" s="319"/>
      <c r="AT351" s="319"/>
      <c r="BF351" s="16"/>
      <c r="BJ351" s="16"/>
      <c r="BN351" s="16"/>
      <c r="BP351" s="49">
        <f t="shared" ref="BP351:BW351" si="1359">BP341/BP$342</f>
        <v>1.6236145586518765E-2</v>
      </c>
      <c r="BQ351" s="49">
        <f t="shared" si="1359"/>
        <v>3.6183866440343708E-2</v>
      </c>
      <c r="BR351" s="49">
        <f t="shared" si="1359"/>
        <v>2.576149502423216E-2</v>
      </c>
      <c r="BS351" s="49">
        <f t="shared" si="1359"/>
        <v>3.8222303458332156E-2</v>
      </c>
      <c r="BT351" s="49">
        <f t="shared" si="1359"/>
        <v>8.4256015055111391E-2</v>
      </c>
      <c r="BU351" s="49">
        <f t="shared" si="1359"/>
        <v>8.6121193494555506E-2</v>
      </c>
      <c r="BV351" s="49">
        <f t="shared" si="1359"/>
        <v>7.3816700142323652E-2</v>
      </c>
      <c r="BW351" s="49">
        <f t="shared" si="1359"/>
        <v>6.9235044772869417E-2</v>
      </c>
      <c r="BX351" s="49"/>
      <c r="CE351" s="925"/>
    </row>
    <row r="352" spans="1:226" s="9" customFormat="1" hidden="1" outlineLevel="1">
      <c r="A352" s="85"/>
      <c r="B352" s="9" t="s">
        <v>170</v>
      </c>
      <c r="C352" s="320">
        <f t="shared" ref="C352:AM352" si="1360">C342/C$342</f>
        <v>1</v>
      </c>
      <c r="D352" s="155">
        <f t="shared" si="1360"/>
        <v>1</v>
      </c>
      <c r="E352" s="155">
        <f t="shared" si="1360"/>
        <v>1</v>
      </c>
      <c r="F352" s="321">
        <f t="shared" si="1360"/>
        <v>1</v>
      </c>
      <c r="G352" s="155">
        <f t="shared" si="1360"/>
        <v>1</v>
      </c>
      <c r="H352" s="155">
        <f t="shared" si="1360"/>
        <v>1</v>
      </c>
      <c r="I352" s="155">
        <f t="shared" si="1360"/>
        <v>1</v>
      </c>
      <c r="J352" s="155">
        <f t="shared" si="1360"/>
        <v>1</v>
      </c>
      <c r="K352" s="320">
        <f t="shared" si="1360"/>
        <v>1</v>
      </c>
      <c r="L352" s="155">
        <f t="shared" si="1360"/>
        <v>1</v>
      </c>
      <c r="M352" s="155">
        <f t="shared" si="1360"/>
        <v>1</v>
      </c>
      <c r="N352" s="321">
        <f t="shared" si="1360"/>
        <v>1</v>
      </c>
      <c r="O352" s="155">
        <f t="shared" si="1360"/>
        <v>1</v>
      </c>
      <c r="P352" s="155">
        <f t="shared" si="1360"/>
        <v>1</v>
      </c>
      <c r="Q352" s="155">
        <f t="shared" si="1360"/>
        <v>1</v>
      </c>
      <c r="R352" s="155">
        <f t="shared" si="1360"/>
        <v>1</v>
      </c>
      <c r="S352" s="320">
        <f t="shared" si="1360"/>
        <v>1</v>
      </c>
      <c r="T352" s="155">
        <f t="shared" si="1360"/>
        <v>1</v>
      </c>
      <c r="U352" s="155">
        <f t="shared" si="1360"/>
        <v>1</v>
      </c>
      <c r="V352" s="321">
        <f t="shared" si="1360"/>
        <v>1</v>
      </c>
      <c r="W352" s="155">
        <f t="shared" si="1360"/>
        <v>1</v>
      </c>
      <c r="X352" s="155">
        <f t="shared" si="1360"/>
        <v>1</v>
      </c>
      <c r="Y352" s="155">
        <f t="shared" si="1360"/>
        <v>1</v>
      </c>
      <c r="Z352" s="155">
        <f t="shared" si="1360"/>
        <v>1</v>
      </c>
      <c r="AA352" s="320">
        <f t="shared" si="1360"/>
        <v>1</v>
      </c>
      <c r="AB352" s="155">
        <f t="shared" si="1360"/>
        <v>1</v>
      </c>
      <c r="AC352" s="155">
        <f t="shared" si="1360"/>
        <v>1</v>
      </c>
      <c r="AD352" s="321">
        <f t="shared" si="1360"/>
        <v>1</v>
      </c>
      <c r="AE352" s="155">
        <f t="shared" si="1360"/>
        <v>1</v>
      </c>
      <c r="AF352" s="155">
        <f t="shared" si="1360"/>
        <v>1</v>
      </c>
      <c r="AG352" s="155">
        <f t="shared" si="1360"/>
        <v>1</v>
      </c>
      <c r="AH352" s="155">
        <f t="shared" si="1360"/>
        <v>1</v>
      </c>
      <c r="AI352" s="320">
        <f t="shared" si="1360"/>
        <v>1</v>
      </c>
      <c r="AJ352" s="155">
        <f t="shared" si="1360"/>
        <v>1</v>
      </c>
      <c r="AK352" s="155">
        <f t="shared" si="1360"/>
        <v>1</v>
      </c>
      <c r="AL352" s="321">
        <f t="shared" si="1360"/>
        <v>1</v>
      </c>
      <c r="AM352" s="320">
        <f t="shared" si="1360"/>
        <v>1</v>
      </c>
      <c r="AN352" s="155">
        <f t="shared" si="1348"/>
        <v>1</v>
      </c>
      <c r="AP352" s="321"/>
      <c r="AT352" s="321"/>
      <c r="AX352" s="269"/>
      <c r="BB352" s="269"/>
      <c r="BF352" s="269"/>
      <c r="BJ352" s="269"/>
      <c r="BN352" s="269"/>
      <c r="BO352" s="85"/>
      <c r="BP352" s="156">
        <f t="shared" ref="BP352:BW352" si="1361">BP342/BP$342</f>
        <v>1</v>
      </c>
      <c r="BQ352" s="156">
        <f t="shared" si="1361"/>
        <v>1</v>
      </c>
      <c r="BR352" s="156">
        <f t="shared" si="1361"/>
        <v>1</v>
      </c>
      <c r="BS352" s="156">
        <f t="shared" si="1361"/>
        <v>1</v>
      </c>
      <c r="BT352" s="156">
        <f t="shared" si="1361"/>
        <v>1</v>
      </c>
      <c r="BU352" s="156">
        <f t="shared" si="1361"/>
        <v>1</v>
      </c>
      <c r="BV352" s="156">
        <f t="shared" si="1361"/>
        <v>1</v>
      </c>
      <c r="BW352" s="156">
        <f t="shared" si="1361"/>
        <v>1</v>
      </c>
      <c r="BX352" s="156"/>
    </row>
    <row r="353" spans="31:83" hidden="1" outlineLevel="1">
      <c r="AE353" s="29"/>
      <c r="AF353" s="29"/>
      <c r="AG353" s="29"/>
      <c r="AH353" s="29"/>
      <c r="AI353" s="43"/>
      <c r="AJ353" s="29"/>
      <c r="AK353" s="29"/>
      <c r="AL353" s="44"/>
      <c r="AM353" s="43"/>
      <c r="AN353" s="29"/>
      <c r="AP353" s="44"/>
      <c r="AT353" s="44"/>
      <c r="BF353" s="16"/>
      <c r="BJ353" s="16"/>
      <c r="BN353" s="16"/>
      <c r="CE353" s="925"/>
    </row>
    <row r="354" spans="31:83" collapsed="1">
      <c r="AN354" s="35"/>
      <c r="AO354" s="35"/>
      <c r="AP354" s="36"/>
      <c r="AT354" s="36"/>
      <c r="BF354" s="16"/>
      <c r="BJ354" s="16"/>
      <c r="BN354" s="16"/>
      <c r="BX354" s="14"/>
      <c r="BY354" s="14"/>
      <c r="BZ354" s="580"/>
      <c r="CE354" s="925"/>
    </row>
    <row r="355" spans="31:83">
      <c r="BF355" s="16"/>
      <c r="BJ355" s="16"/>
      <c r="BN355" s="16"/>
      <c r="CE355" s="925"/>
    </row>
    <row r="356" spans="31:83">
      <c r="BF356" s="16"/>
      <c r="BJ356" s="16"/>
      <c r="BN356" s="16"/>
      <c r="CE356" s="925"/>
    </row>
    <row r="357" spans="31:83">
      <c r="BF357" s="16"/>
      <c r="BJ357" s="16"/>
      <c r="BN357" s="16"/>
      <c r="CE357" s="925"/>
    </row>
    <row r="358" spans="31:83">
      <c r="BF358" s="16"/>
      <c r="BJ358" s="16"/>
      <c r="BN358" s="16"/>
      <c r="CE358" s="925"/>
    </row>
    <row r="359" spans="31:83">
      <c r="BF359" s="16"/>
      <c r="BJ359" s="16"/>
      <c r="BN359" s="16"/>
      <c r="CE359" s="925"/>
    </row>
    <row r="360" spans="31:83">
      <c r="BF360" s="16"/>
      <c r="BJ360" s="16"/>
      <c r="BN360" s="16"/>
      <c r="CE360" s="925"/>
    </row>
    <row r="361" spans="31:83">
      <c r="BF361" s="16"/>
      <c r="BJ361" s="16"/>
      <c r="BN361" s="16"/>
      <c r="CE361" s="925"/>
    </row>
    <row r="362" spans="31:83">
      <c r="BF362" s="16"/>
      <c r="BJ362" s="16"/>
      <c r="BN362" s="16"/>
      <c r="CE362" s="925"/>
    </row>
    <row r="363" spans="31:83">
      <c r="BF363" s="16"/>
      <c r="BJ363" s="16"/>
      <c r="BN363" s="16"/>
      <c r="CE363" s="925"/>
    </row>
    <row r="364" spans="31:83">
      <c r="BF364" s="16"/>
      <c r="BJ364" s="16"/>
      <c r="BN364" s="16"/>
      <c r="CE364" s="925"/>
    </row>
    <row r="365" spans="31:83">
      <c r="BF365" s="16"/>
      <c r="BJ365" s="16"/>
      <c r="BN365" s="16"/>
      <c r="CE365" s="925"/>
    </row>
    <row r="366" spans="31:83">
      <c r="BF366" s="16"/>
      <c r="BJ366" s="16"/>
      <c r="BN366" s="16"/>
      <c r="CE366" s="925"/>
    </row>
    <row r="367" spans="31:83">
      <c r="BF367" s="16"/>
      <c r="BJ367" s="16"/>
      <c r="BN367" s="16"/>
      <c r="CE367" s="925"/>
    </row>
    <row r="368" spans="31:83">
      <c r="BF368" s="16"/>
      <c r="BJ368" s="16"/>
      <c r="BN368" s="16"/>
      <c r="CE368" s="925"/>
    </row>
    <row r="369" spans="58:83">
      <c r="BF369" s="16"/>
      <c r="BJ369" s="16"/>
      <c r="BN369" s="16"/>
      <c r="CE369" s="925"/>
    </row>
    <row r="370" spans="58:83">
      <c r="BF370" s="16"/>
      <c r="BJ370" s="16"/>
      <c r="BN370" s="16"/>
      <c r="CE370" s="925"/>
    </row>
    <row r="371" spans="58:83">
      <c r="BF371" s="16"/>
      <c r="BJ371" s="16"/>
      <c r="BN371" s="16"/>
      <c r="CE371" s="925"/>
    </row>
    <row r="372" spans="58:83">
      <c r="BF372" s="16"/>
      <c r="BJ372" s="16"/>
      <c r="BN372" s="16"/>
      <c r="CE372" s="925"/>
    </row>
    <row r="373" spans="58:83">
      <c r="BF373" s="16"/>
      <c r="BJ373" s="16"/>
      <c r="BN373" s="16"/>
      <c r="CE373" s="925"/>
    </row>
    <row r="374" spans="58:83">
      <c r="BF374" s="16"/>
      <c r="BJ374" s="16"/>
      <c r="BN374" s="16"/>
      <c r="CE374" s="925"/>
    </row>
    <row r="375" spans="58:83">
      <c r="BF375" s="16"/>
      <c r="BJ375" s="16"/>
      <c r="BN375" s="16"/>
      <c r="CE375" s="925"/>
    </row>
    <row r="376" spans="58:83">
      <c r="BF376" s="16"/>
      <c r="BJ376" s="16"/>
      <c r="BN376" s="16"/>
      <c r="CE376" s="925"/>
    </row>
    <row r="377" spans="58:83">
      <c r="BF377" s="16"/>
      <c r="BJ377" s="16"/>
      <c r="BN377" s="16"/>
      <c r="CE377" s="925"/>
    </row>
    <row r="378" spans="58:83">
      <c r="BF378" s="16"/>
      <c r="BJ378" s="16"/>
      <c r="BN378" s="16"/>
      <c r="CE378" s="925"/>
    </row>
    <row r="379" spans="58:83">
      <c r="BF379" s="16"/>
      <c r="BJ379" s="16"/>
      <c r="BN379" s="16"/>
      <c r="CE379" s="925"/>
    </row>
    <row r="380" spans="58:83">
      <c r="BF380" s="16"/>
      <c r="BJ380" s="16"/>
      <c r="BN380" s="16"/>
      <c r="CE380" s="925"/>
    </row>
    <row r="381" spans="58:83">
      <c r="BF381" s="16"/>
      <c r="BJ381" s="16"/>
      <c r="BN381" s="16"/>
      <c r="CE381" s="925"/>
    </row>
    <row r="382" spans="58:83">
      <c r="BF382" s="16"/>
      <c r="BJ382" s="16"/>
      <c r="BN382" s="16"/>
      <c r="CE382" s="925"/>
    </row>
    <row r="383" spans="58:83">
      <c r="BF383" s="16"/>
      <c r="BJ383" s="16"/>
      <c r="BN383" s="16"/>
      <c r="CE383" s="925"/>
    </row>
    <row r="384" spans="58:83">
      <c r="BF384" s="16"/>
      <c r="BJ384" s="16"/>
      <c r="BN384" s="16"/>
      <c r="CE384" s="925"/>
    </row>
    <row r="385" spans="58:83">
      <c r="BF385" s="16"/>
      <c r="BJ385" s="16"/>
      <c r="BN385" s="16"/>
      <c r="CE385" s="925"/>
    </row>
    <row r="386" spans="58:83">
      <c r="BF386" s="16"/>
      <c r="BJ386" s="16"/>
      <c r="BN386" s="16"/>
      <c r="CE386" s="925"/>
    </row>
    <row r="387" spans="58:83">
      <c r="BF387" s="16"/>
      <c r="BJ387" s="16"/>
      <c r="BN387" s="16"/>
      <c r="CE387" s="925"/>
    </row>
    <row r="388" spans="58:83">
      <c r="BF388" s="16"/>
      <c r="BJ388" s="16"/>
      <c r="BN388" s="16"/>
      <c r="CE388" s="925"/>
    </row>
    <row r="389" spans="58:83">
      <c r="BF389" s="16"/>
      <c r="BJ389" s="16"/>
      <c r="BN389" s="16"/>
      <c r="CE389" s="925"/>
    </row>
    <row r="390" spans="58:83">
      <c r="BF390" s="16"/>
      <c r="BJ390" s="16"/>
      <c r="BN390" s="16"/>
      <c r="CE390" s="925"/>
    </row>
    <row r="391" spans="58:83">
      <c r="BF391" s="16"/>
      <c r="BJ391" s="16"/>
      <c r="BN391" s="16"/>
      <c r="CE391" s="925"/>
    </row>
    <row r="392" spans="58:83">
      <c r="BF392" s="16"/>
      <c r="BJ392" s="16"/>
      <c r="BN392" s="16"/>
      <c r="CE392" s="925"/>
    </row>
    <row r="393" spans="58:83">
      <c r="BF393" s="16"/>
      <c r="BJ393" s="16"/>
      <c r="BN393" s="16"/>
      <c r="CE393" s="925"/>
    </row>
    <row r="394" spans="58:83">
      <c r="BF394" s="16"/>
      <c r="BJ394" s="16"/>
      <c r="BN394" s="16"/>
      <c r="CE394" s="925"/>
    </row>
    <row r="395" spans="58:83">
      <c r="BF395" s="16"/>
      <c r="BJ395" s="16"/>
      <c r="BN395" s="16"/>
      <c r="CE395" s="925"/>
    </row>
    <row r="396" spans="58:83">
      <c r="BF396" s="16"/>
      <c r="BJ396" s="16"/>
      <c r="BN396" s="16"/>
      <c r="CE396" s="925"/>
    </row>
    <row r="397" spans="58:83">
      <c r="BF397" s="16"/>
      <c r="BJ397" s="16"/>
      <c r="BN397" s="16"/>
      <c r="CE397" s="925"/>
    </row>
    <row r="398" spans="58:83">
      <c r="BF398" s="16"/>
      <c r="BJ398" s="16"/>
      <c r="BN398" s="16"/>
      <c r="CE398" s="925"/>
    </row>
    <row r="399" spans="58:83">
      <c r="BF399" s="16"/>
      <c r="BJ399" s="16"/>
      <c r="BN399" s="16"/>
      <c r="CE399" s="925"/>
    </row>
    <row r="400" spans="58:83">
      <c r="BF400" s="16"/>
      <c r="BJ400" s="16"/>
      <c r="BN400" s="16"/>
      <c r="CE400" s="925"/>
    </row>
    <row r="401" spans="58:83">
      <c r="BF401" s="16"/>
      <c r="BJ401" s="16"/>
      <c r="BN401" s="16"/>
      <c r="CE401" s="925"/>
    </row>
    <row r="402" spans="58:83">
      <c r="BF402" s="16"/>
      <c r="BJ402" s="16"/>
      <c r="BN402" s="16"/>
      <c r="CE402" s="925"/>
    </row>
    <row r="403" spans="58:83">
      <c r="BF403" s="16"/>
      <c r="BJ403" s="16"/>
      <c r="BN403" s="16"/>
      <c r="CE403" s="925"/>
    </row>
    <row r="404" spans="58:83">
      <c r="BF404" s="16"/>
      <c r="BJ404" s="16"/>
      <c r="BN404" s="16"/>
      <c r="CE404" s="925"/>
    </row>
    <row r="405" spans="58:83">
      <c r="BF405" s="16"/>
      <c r="BJ405" s="16"/>
      <c r="BN405" s="16"/>
      <c r="CE405" s="925"/>
    </row>
    <row r="406" spans="58:83">
      <c r="BF406" s="16"/>
      <c r="BJ406" s="16"/>
      <c r="BN406" s="16"/>
      <c r="CE406" s="925"/>
    </row>
    <row r="407" spans="58:83">
      <c r="BF407" s="16"/>
      <c r="BJ407" s="16"/>
      <c r="BN407" s="16"/>
      <c r="CE407" s="925"/>
    </row>
    <row r="408" spans="58:83">
      <c r="BF408" s="16"/>
      <c r="BJ408" s="16"/>
      <c r="BN408" s="16"/>
      <c r="CE408" s="925"/>
    </row>
    <row r="409" spans="58:83">
      <c r="BF409" s="16"/>
      <c r="BJ409" s="16"/>
      <c r="BN409" s="16"/>
      <c r="CE409" s="925"/>
    </row>
    <row r="410" spans="58:83">
      <c r="BF410" s="16"/>
      <c r="BJ410" s="16"/>
      <c r="BN410" s="16"/>
      <c r="CE410" s="925"/>
    </row>
    <row r="411" spans="58:83">
      <c r="BF411" s="16"/>
      <c r="BJ411" s="16"/>
      <c r="BN411" s="16"/>
      <c r="CE411" s="925"/>
    </row>
    <row r="412" spans="58:83">
      <c r="BF412" s="16"/>
      <c r="BJ412" s="16"/>
      <c r="BN412" s="16"/>
      <c r="CE412" s="925"/>
    </row>
    <row r="413" spans="58:83">
      <c r="BF413" s="16"/>
      <c r="BJ413" s="16"/>
      <c r="BN413" s="16"/>
      <c r="CE413" s="925"/>
    </row>
    <row r="414" spans="58:83">
      <c r="BF414" s="16"/>
      <c r="BJ414" s="16"/>
      <c r="BN414" s="16"/>
      <c r="CE414" s="925"/>
    </row>
    <row r="415" spans="58:83">
      <c r="BF415" s="16"/>
      <c r="BJ415" s="16"/>
      <c r="BN415" s="16"/>
      <c r="CE415" s="925"/>
    </row>
    <row r="416" spans="58:83">
      <c r="BF416" s="16"/>
      <c r="BJ416" s="16"/>
      <c r="BN416" s="16"/>
      <c r="CE416" s="925"/>
    </row>
    <row r="417" spans="58:83">
      <c r="BF417" s="16"/>
      <c r="BJ417" s="16"/>
      <c r="BN417" s="16"/>
      <c r="CE417" s="925"/>
    </row>
    <row r="418" spans="58:83">
      <c r="BF418" s="16"/>
      <c r="BJ418" s="16"/>
      <c r="BN418" s="16"/>
      <c r="CE418" s="925"/>
    </row>
    <row r="419" spans="58:83">
      <c r="BF419" s="16"/>
      <c r="BJ419" s="16"/>
      <c r="BN419" s="16"/>
      <c r="CE419" s="925"/>
    </row>
    <row r="420" spans="58:83">
      <c r="BF420" s="16"/>
      <c r="BJ420" s="16"/>
      <c r="BN420" s="16"/>
      <c r="CE420" s="925"/>
    </row>
    <row r="421" spans="58:83">
      <c r="BF421" s="16"/>
      <c r="BJ421" s="16"/>
      <c r="BN421" s="16"/>
      <c r="CE421" s="925"/>
    </row>
    <row r="422" spans="58:83">
      <c r="BF422" s="16"/>
      <c r="BJ422" s="16"/>
      <c r="BN422" s="16"/>
      <c r="CE422" s="925"/>
    </row>
    <row r="423" spans="58:83">
      <c r="BF423" s="16"/>
      <c r="BJ423" s="16"/>
      <c r="BN423" s="16"/>
      <c r="CE423" s="925"/>
    </row>
    <row r="424" spans="58:83">
      <c r="BF424" s="16"/>
      <c r="BJ424" s="16"/>
      <c r="BN424" s="16"/>
      <c r="CE424" s="925"/>
    </row>
    <row r="425" spans="58:83">
      <c r="BF425" s="16"/>
      <c r="BJ425" s="16"/>
      <c r="BN425" s="16"/>
      <c r="CE425" s="925"/>
    </row>
    <row r="426" spans="58:83">
      <c r="BF426" s="16"/>
      <c r="BJ426" s="16"/>
      <c r="BN426" s="16"/>
      <c r="CE426" s="925"/>
    </row>
    <row r="427" spans="58:83">
      <c r="BF427" s="16"/>
      <c r="BJ427" s="16"/>
      <c r="BN427" s="16"/>
      <c r="CE427" s="925"/>
    </row>
    <row r="428" spans="58:83">
      <c r="BF428" s="16"/>
      <c r="BJ428" s="16"/>
      <c r="BN428" s="16"/>
      <c r="CE428" s="925"/>
    </row>
    <row r="429" spans="58:83">
      <c r="BF429" s="16"/>
      <c r="BJ429" s="16"/>
      <c r="BN429" s="16"/>
      <c r="CE429" s="925"/>
    </row>
    <row r="430" spans="58:83">
      <c r="BF430" s="16"/>
      <c r="BJ430" s="16"/>
      <c r="BN430" s="16"/>
      <c r="CE430" s="925"/>
    </row>
    <row r="431" spans="58:83">
      <c r="BF431" s="16"/>
      <c r="BJ431" s="16"/>
      <c r="BN431" s="16"/>
      <c r="CE431" s="925"/>
    </row>
    <row r="432" spans="58:83">
      <c r="BF432" s="16"/>
      <c r="BJ432" s="16"/>
      <c r="BN432" s="16"/>
      <c r="CE432" s="925"/>
    </row>
    <row r="433" spans="58:83">
      <c r="BF433" s="16"/>
      <c r="BJ433" s="16"/>
      <c r="BN433" s="16"/>
      <c r="CE433" s="925"/>
    </row>
    <row r="434" spans="58:83">
      <c r="BF434" s="16"/>
      <c r="BJ434" s="16"/>
      <c r="BN434" s="16"/>
      <c r="CE434" s="925"/>
    </row>
    <row r="435" spans="58:83">
      <c r="BF435" s="16"/>
      <c r="BJ435" s="16"/>
      <c r="BN435" s="16"/>
      <c r="CE435" s="925"/>
    </row>
    <row r="436" spans="58:83">
      <c r="BF436" s="16"/>
      <c r="BJ436" s="16"/>
      <c r="BN436" s="16"/>
      <c r="CE436" s="925"/>
    </row>
    <row r="437" spans="58:83">
      <c r="BF437" s="16"/>
      <c r="BJ437" s="16"/>
      <c r="BN437" s="16"/>
      <c r="CE437" s="925"/>
    </row>
    <row r="438" spans="58:83">
      <c r="BF438" s="16"/>
      <c r="BJ438" s="16"/>
      <c r="BN438" s="16"/>
      <c r="CE438" s="925"/>
    </row>
    <row r="439" spans="58:83">
      <c r="BF439" s="16"/>
      <c r="BJ439" s="16"/>
      <c r="BN439" s="16"/>
      <c r="CE439" s="925"/>
    </row>
    <row r="440" spans="58:83">
      <c r="BF440" s="16"/>
      <c r="BJ440" s="16"/>
      <c r="BN440" s="16"/>
      <c r="CE440" s="925"/>
    </row>
    <row r="441" spans="58:83">
      <c r="BF441" s="16"/>
      <c r="BJ441" s="16"/>
      <c r="BN441" s="16"/>
      <c r="CE441" s="925"/>
    </row>
    <row r="442" spans="58:83">
      <c r="BF442" s="16"/>
      <c r="BJ442" s="16"/>
      <c r="BN442" s="16"/>
      <c r="CE442" s="925"/>
    </row>
    <row r="443" spans="58:83">
      <c r="BF443" s="16"/>
      <c r="BJ443" s="16"/>
      <c r="BN443" s="16"/>
      <c r="CE443" s="925"/>
    </row>
    <row r="444" spans="58:83">
      <c r="BF444" s="16"/>
      <c r="BJ444" s="16"/>
      <c r="BN444" s="16"/>
      <c r="CE444" s="925"/>
    </row>
    <row r="445" spans="58:83">
      <c r="BF445" s="16"/>
      <c r="BJ445" s="16"/>
      <c r="BN445" s="16"/>
      <c r="CE445" s="925"/>
    </row>
    <row r="446" spans="58:83">
      <c r="BF446" s="16"/>
      <c r="BJ446" s="16"/>
      <c r="BN446" s="16"/>
      <c r="CE446" s="925"/>
    </row>
    <row r="447" spans="58:83">
      <c r="BF447" s="16"/>
      <c r="BJ447" s="16"/>
      <c r="BN447" s="16"/>
      <c r="CE447" s="925"/>
    </row>
    <row r="448" spans="58:83">
      <c r="BF448" s="16"/>
      <c r="BJ448" s="16"/>
      <c r="BN448" s="16"/>
      <c r="CE448" s="925"/>
    </row>
    <row r="449" spans="58:83">
      <c r="BF449" s="16"/>
      <c r="BJ449" s="16"/>
      <c r="BN449" s="16"/>
      <c r="CE449" s="925"/>
    </row>
    <row r="450" spans="58:83">
      <c r="BF450" s="16"/>
      <c r="BJ450" s="16"/>
      <c r="BN450" s="16"/>
      <c r="CE450" s="925"/>
    </row>
    <row r="451" spans="58:83">
      <c r="BF451" s="16"/>
      <c r="BJ451" s="16"/>
      <c r="BN451" s="16"/>
      <c r="CE451" s="925"/>
    </row>
    <row r="452" spans="58:83">
      <c r="BF452" s="16"/>
      <c r="BJ452" s="16"/>
      <c r="BN452" s="16"/>
      <c r="CE452" s="925"/>
    </row>
    <row r="453" spans="58:83">
      <c r="BF453" s="16"/>
      <c r="BJ453" s="16"/>
      <c r="BN453" s="16"/>
      <c r="CE453" s="925"/>
    </row>
    <row r="454" spans="58:83">
      <c r="BF454" s="16"/>
      <c r="BJ454" s="16"/>
      <c r="BN454" s="16"/>
      <c r="CE454" s="925"/>
    </row>
    <row r="455" spans="58:83">
      <c r="BF455" s="16"/>
      <c r="BJ455" s="16"/>
      <c r="BN455" s="16"/>
      <c r="CE455" s="925"/>
    </row>
    <row r="456" spans="58:83">
      <c r="BF456" s="16"/>
      <c r="BJ456" s="16"/>
      <c r="BN456" s="16"/>
      <c r="CE456" s="925"/>
    </row>
    <row r="457" spans="58:83">
      <c r="BF457" s="16"/>
      <c r="BJ457" s="16"/>
      <c r="BN457" s="16"/>
      <c r="CE457" s="925"/>
    </row>
    <row r="458" spans="58:83">
      <c r="BF458" s="16"/>
      <c r="BJ458" s="16"/>
      <c r="BN458" s="16"/>
      <c r="CE458" s="925"/>
    </row>
    <row r="459" spans="58:83">
      <c r="BF459" s="16"/>
      <c r="BJ459" s="16"/>
      <c r="BN459" s="16"/>
      <c r="CE459" s="925"/>
    </row>
    <row r="460" spans="58:83">
      <c r="BF460" s="16"/>
      <c r="BJ460" s="16"/>
      <c r="BN460" s="16"/>
      <c r="CE460" s="925"/>
    </row>
    <row r="461" spans="58:83">
      <c r="BF461" s="16"/>
      <c r="BJ461" s="16"/>
      <c r="BN461" s="16"/>
      <c r="CE461" s="925"/>
    </row>
    <row r="462" spans="58:83">
      <c r="BF462" s="16"/>
      <c r="BJ462" s="16"/>
      <c r="BN462" s="16"/>
      <c r="CE462" s="925"/>
    </row>
    <row r="463" spans="58:83">
      <c r="BF463" s="16"/>
      <c r="BJ463" s="16"/>
      <c r="BN463" s="16"/>
      <c r="CE463" s="925"/>
    </row>
    <row r="464" spans="58:83">
      <c r="BF464" s="16"/>
      <c r="BJ464" s="16"/>
      <c r="BN464" s="16"/>
      <c r="CE464" s="925"/>
    </row>
    <row r="465" spans="58:83">
      <c r="BF465" s="16"/>
      <c r="BJ465" s="16"/>
      <c r="BN465" s="16"/>
      <c r="CE465" s="925"/>
    </row>
    <row r="466" spans="58:83">
      <c r="BF466" s="16"/>
      <c r="BJ466" s="16"/>
      <c r="BN466" s="16"/>
      <c r="CE466" s="925"/>
    </row>
    <row r="467" spans="58:83">
      <c r="BF467" s="16"/>
      <c r="BJ467" s="16"/>
      <c r="BN467" s="16"/>
      <c r="CE467" s="925"/>
    </row>
    <row r="468" spans="58:83">
      <c r="BF468" s="16"/>
      <c r="BJ468" s="16"/>
      <c r="BN468" s="16"/>
      <c r="CE468" s="925"/>
    </row>
    <row r="469" spans="58:83">
      <c r="BF469" s="16"/>
      <c r="BJ469" s="16"/>
      <c r="BN469" s="16"/>
      <c r="CE469" s="925"/>
    </row>
    <row r="470" spans="58:83">
      <c r="BF470" s="16"/>
      <c r="BJ470" s="16"/>
      <c r="BN470" s="16"/>
      <c r="CE470" s="925"/>
    </row>
    <row r="471" spans="58:83">
      <c r="BF471" s="16"/>
      <c r="BJ471" s="16"/>
      <c r="BN471" s="16"/>
      <c r="CE471" s="925"/>
    </row>
    <row r="472" spans="58:83">
      <c r="BF472" s="16"/>
      <c r="BJ472" s="16"/>
      <c r="BN472" s="16"/>
      <c r="CE472" s="925"/>
    </row>
    <row r="473" spans="58:83">
      <c r="BF473" s="16"/>
      <c r="BJ473" s="16"/>
      <c r="BN473" s="16"/>
      <c r="CE473" s="925"/>
    </row>
    <row r="474" spans="58:83">
      <c r="BF474" s="16"/>
      <c r="BJ474" s="16"/>
      <c r="BN474" s="16"/>
      <c r="CE474" s="925"/>
    </row>
    <row r="475" spans="58:83">
      <c r="BF475" s="16"/>
      <c r="BJ475" s="16"/>
      <c r="BN475" s="16"/>
      <c r="CE475" s="925"/>
    </row>
    <row r="476" spans="58:83">
      <c r="BF476" s="16"/>
      <c r="BJ476" s="16"/>
      <c r="BN476" s="16"/>
      <c r="CE476" s="925"/>
    </row>
    <row r="477" spans="58:83">
      <c r="BF477" s="16"/>
      <c r="BJ477" s="16"/>
      <c r="BN477" s="16"/>
    </row>
    <row r="478" spans="58:83">
      <c r="BF478" s="16"/>
      <c r="BJ478" s="16"/>
      <c r="BN478" s="16"/>
    </row>
    <row r="479" spans="58:83">
      <c r="BF479" s="16"/>
      <c r="BJ479" s="16"/>
      <c r="BN479" s="16"/>
    </row>
    <row r="480" spans="58:83">
      <c r="BF480" s="16"/>
      <c r="BJ480" s="16"/>
      <c r="BN480" s="16"/>
    </row>
    <row r="481" spans="58:66">
      <c r="BF481" s="16"/>
      <c r="BJ481" s="16"/>
      <c r="BN481" s="16"/>
    </row>
    <row r="482" spans="58:66">
      <c r="BF482" s="16"/>
      <c r="BJ482" s="16"/>
      <c r="BN482" s="16"/>
    </row>
    <row r="483" spans="58:66">
      <c r="BF483" s="16"/>
      <c r="BJ483" s="16"/>
      <c r="BN483" s="16"/>
    </row>
    <row r="484" spans="58:66">
      <c r="BF484" s="16"/>
      <c r="BJ484" s="16"/>
      <c r="BN484" s="16"/>
    </row>
    <row r="485" spans="58:66">
      <c r="BF485" s="16"/>
      <c r="BJ485" s="16"/>
      <c r="BN485" s="16"/>
    </row>
    <row r="486" spans="58:66">
      <c r="BF486" s="16"/>
      <c r="BJ486" s="16"/>
      <c r="BN486" s="16"/>
    </row>
    <row r="487" spans="58:66">
      <c r="BF487" s="16"/>
      <c r="BJ487" s="16"/>
      <c r="BN487" s="16"/>
    </row>
    <row r="488" spans="58:66">
      <c r="BF488" s="16"/>
      <c r="BJ488" s="16"/>
      <c r="BN488" s="16"/>
    </row>
    <row r="489" spans="58:66">
      <c r="BF489" s="16"/>
      <c r="BJ489" s="16"/>
      <c r="BN489" s="16"/>
    </row>
    <row r="490" spans="58:66">
      <c r="BF490" s="16"/>
      <c r="BJ490" s="16"/>
      <c r="BN490" s="16"/>
    </row>
    <row r="491" spans="58:66">
      <c r="BF491" s="16"/>
      <c r="BJ491" s="16"/>
      <c r="BN491" s="16"/>
    </row>
    <row r="492" spans="58:66">
      <c r="BF492" s="16"/>
      <c r="BJ492" s="16"/>
      <c r="BN492" s="16"/>
    </row>
    <row r="493" spans="58:66">
      <c r="BF493" s="16"/>
      <c r="BJ493" s="16"/>
      <c r="BN493" s="16"/>
    </row>
    <row r="494" spans="58:66">
      <c r="BF494" s="16"/>
      <c r="BJ494" s="16"/>
      <c r="BN494" s="16"/>
    </row>
    <row r="495" spans="58:66">
      <c r="BF495" s="16"/>
      <c r="BJ495" s="16"/>
      <c r="BN495" s="16"/>
    </row>
    <row r="496" spans="58:66">
      <c r="BF496" s="16"/>
      <c r="BJ496" s="16"/>
      <c r="BN496" s="16"/>
    </row>
    <row r="497" spans="58:66">
      <c r="BF497" s="16"/>
      <c r="BJ497" s="16"/>
      <c r="BN497" s="16"/>
    </row>
    <row r="498" spans="58:66">
      <c r="BF498" s="16"/>
      <c r="BJ498" s="16"/>
      <c r="BN498" s="16"/>
    </row>
    <row r="499" spans="58:66">
      <c r="BF499" s="16"/>
      <c r="BJ499" s="16"/>
      <c r="BN499" s="16"/>
    </row>
    <row r="500" spans="58:66">
      <c r="BF500" s="16"/>
      <c r="BJ500" s="16"/>
      <c r="BN500" s="16"/>
    </row>
    <row r="501" spans="58:66">
      <c r="BF501" s="16"/>
      <c r="BJ501" s="16"/>
      <c r="BN501" s="16"/>
    </row>
    <row r="502" spans="58:66">
      <c r="BF502" s="16"/>
      <c r="BJ502" s="16"/>
      <c r="BN502" s="16"/>
    </row>
    <row r="503" spans="58:66">
      <c r="BF503" s="16"/>
      <c r="BJ503" s="16"/>
      <c r="BN503" s="16"/>
    </row>
    <row r="504" spans="58:66">
      <c r="BF504" s="16"/>
      <c r="BJ504" s="16"/>
      <c r="BN504" s="16"/>
    </row>
    <row r="505" spans="58:66">
      <c r="BF505" s="16"/>
      <c r="BJ505" s="16"/>
      <c r="BN505" s="16"/>
    </row>
    <row r="506" spans="58:66">
      <c r="BF506" s="16"/>
      <c r="BJ506" s="16"/>
      <c r="BN506" s="16"/>
    </row>
    <row r="507" spans="58:66">
      <c r="BF507" s="16"/>
      <c r="BJ507" s="16"/>
      <c r="BN507" s="16"/>
    </row>
    <row r="508" spans="58:66">
      <c r="BF508" s="16"/>
      <c r="BJ508" s="16"/>
      <c r="BN508" s="16"/>
    </row>
    <row r="509" spans="58:66">
      <c r="BF509" s="16"/>
      <c r="BJ509" s="16"/>
      <c r="BN509" s="16"/>
    </row>
    <row r="510" spans="58:66">
      <c r="BF510" s="16"/>
      <c r="BJ510" s="16"/>
      <c r="BN510" s="16"/>
    </row>
    <row r="511" spans="58:66">
      <c r="BF511" s="16"/>
      <c r="BJ511" s="16"/>
      <c r="BN511" s="16"/>
    </row>
    <row r="512" spans="58:66">
      <c r="BF512" s="16"/>
      <c r="BJ512" s="16"/>
      <c r="BN512" s="16"/>
    </row>
    <row r="513" spans="58:66">
      <c r="BF513" s="16"/>
      <c r="BJ513" s="16"/>
      <c r="BN513" s="16"/>
    </row>
    <row r="514" spans="58:66">
      <c r="BF514" s="16"/>
      <c r="BJ514" s="16"/>
      <c r="BN514" s="16"/>
    </row>
    <row r="515" spans="58:66">
      <c r="BF515" s="16"/>
      <c r="BJ515" s="16"/>
      <c r="BN515" s="16"/>
    </row>
    <row r="516" spans="58:66">
      <c r="BF516" s="16"/>
      <c r="BJ516" s="16"/>
      <c r="BN516" s="16"/>
    </row>
    <row r="517" spans="58:66">
      <c r="BF517" s="16"/>
      <c r="BJ517" s="16"/>
      <c r="BN517" s="16"/>
    </row>
    <row r="518" spans="58:66">
      <c r="BF518" s="16"/>
      <c r="BJ518" s="16"/>
      <c r="BN518" s="16"/>
    </row>
    <row r="519" spans="58:66">
      <c r="BF519" s="16"/>
      <c r="BJ519" s="16"/>
      <c r="BN519" s="16"/>
    </row>
    <row r="520" spans="58:66">
      <c r="BF520" s="16"/>
      <c r="BJ520" s="16"/>
      <c r="BN520" s="16"/>
    </row>
    <row r="521" spans="58:66">
      <c r="BF521" s="16"/>
      <c r="BJ521" s="16"/>
      <c r="BN521" s="16"/>
    </row>
    <row r="522" spans="58:66">
      <c r="BF522" s="16"/>
      <c r="BJ522" s="16"/>
      <c r="BN522" s="16"/>
    </row>
    <row r="523" spans="58:66">
      <c r="BF523" s="16"/>
      <c r="BJ523" s="16"/>
      <c r="BN523" s="16"/>
    </row>
    <row r="524" spans="58:66">
      <c r="BF524" s="16"/>
      <c r="BJ524" s="16"/>
      <c r="BN524" s="16"/>
    </row>
    <row r="525" spans="58:66">
      <c r="BF525" s="16"/>
      <c r="BJ525" s="16"/>
      <c r="BN525" s="16"/>
    </row>
    <row r="526" spans="58:66">
      <c r="BF526" s="16"/>
      <c r="BJ526" s="16"/>
      <c r="BN526" s="16"/>
    </row>
    <row r="527" spans="58:66">
      <c r="BF527" s="16"/>
      <c r="BJ527" s="16"/>
      <c r="BN527" s="16"/>
    </row>
    <row r="528" spans="58:66">
      <c r="BF528" s="16"/>
      <c r="BJ528" s="16"/>
      <c r="BN528" s="16"/>
    </row>
    <row r="529" spans="58:66">
      <c r="BF529" s="16"/>
      <c r="BJ529" s="16"/>
      <c r="BN529" s="16"/>
    </row>
    <row r="530" spans="58:66">
      <c r="BF530" s="16"/>
      <c r="BJ530" s="16"/>
      <c r="BN530" s="16"/>
    </row>
    <row r="531" spans="58:66">
      <c r="BF531" s="16"/>
      <c r="BJ531" s="16"/>
      <c r="BN531" s="16"/>
    </row>
    <row r="532" spans="58:66">
      <c r="BF532" s="16"/>
      <c r="BJ532" s="16"/>
      <c r="BN532" s="16"/>
    </row>
    <row r="533" spans="58:66">
      <c r="BF533" s="16"/>
      <c r="BJ533" s="16"/>
      <c r="BN533" s="16"/>
    </row>
    <row r="534" spans="58:66">
      <c r="BF534" s="16"/>
      <c r="BJ534" s="16"/>
      <c r="BN534" s="16"/>
    </row>
    <row r="535" spans="58:66">
      <c r="BF535" s="16"/>
      <c r="BJ535" s="16"/>
      <c r="BN535" s="16"/>
    </row>
    <row r="536" spans="58:66">
      <c r="BF536" s="16"/>
      <c r="BJ536" s="16"/>
      <c r="BN536" s="16"/>
    </row>
    <row r="537" spans="58:66">
      <c r="BF537" s="16"/>
      <c r="BJ537" s="16"/>
      <c r="BN537" s="16"/>
    </row>
    <row r="538" spans="58:66">
      <c r="BF538" s="16"/>
      <c r="BJ538" s="16"/>
      <c r="BN538" s="16"/>
    </row>
    <row r="539" spans="58:66">
      <c r="BF539" s="16"/>
      <c r="BJ539" s="16"/>
      <c r="BN539" s="16"/>
    </row>
    <row r="540" spans="58:66">
      <c r="BF540" s="16"/>
      <c r="BJ540" s="16"/>
      <c r="BN540" s="16"/>
    </row>
    <row r="541" spans="58:66">
      <c r="BF541" s="16"/>
      <c r="BJ541" s="16"/>
      <c r="BN541" s="16"/>
    </row>
    <row r="542" spans="58:66">
      <c r="BF542" s="16"/>
      <c r="BJ542" s="16"/>
      <c r="BN542" s="16"/>
    </row>
    <row r="543" spans="58:66">
      <c r="BF543" s="16"/>
      <c r="BJ543" s="16"/>
      <c r="BN543" s="16"/>
    </row>
    <row r="544" spans="58:66">
      <c r="BF544" s="16"/>
      <c r="BJ544" s="16"/>
      <c r="BN544" s="16"/>
    </row>
    <row r="545" spans="58:66">
      <c r="BF545" s="16"/>
      <c r="BJ545" s="16"/>
      <c r="BN545" s="16"/>
    </row>
    <row r="546" spans="58:66">
      <c r="BF546" s="16"/>
      <c r="BJ546" s="16"/>
      <c r="BN546" s="16"/>
    </row>
    <row r="547" spans="58:66">
      <c r="BF547" s="16"/>
      <c r="BJ547" s="16"/>
      <c r="BN547" s="16"/>
    </row>
    <row r="548" spans="58:66">
      <c r="BF548" s="16"/>
      <c r="BJ548" s="16"/>
      <c r="BN548" s="16"/>
    </row>
    <row r="549" spans="58:66">
      <c r="BF549" s="16"/>
      <c r="BJ549" s="16"/>
      <c r="BN549" s="16"/>
    </row>
    <row r="550" spans="58:66">
      <c r="BF550" s="16"/>
      <c r="BJ550" s="16"/>
      <c r="BN550" s="16"/>
    </row>
    <row r="551" spans="58:66">
      <c r="BF551" s="16"/>
      <c r="BJ551" s="16"/>
      <c r="BN551" s="16"/>
    </row>
    <row r="552" spans="58:66">
      <c r="BF552" s="16"/>
      <c r="BJ552" s="16"/>
      <c r="BN552" s="16"/>
    </row>
    <row r="553" spans="58:66">
      <c r="BF553" s="16"/>
      <c r="BJ553" s="16"/>
      <c r="BN553" s="16"/>
    </row>
    <row r="554" spans="58:66">
      <c r="BF554" s="16"/>
      <c r="BJ554" s="16"/>
      <c r="BN554" s="16"/>
    </row>
    <row r="555" spans="58:66">
      <c r="BF555" s="16"/>
      <c r="BJ555" s="16"/>
      <c r="BN555" s="16"/>
    </row>
    <row r="556" spans="58:66">
      <c r="BF556" s="16"/>
      <c r="BJ556" s="16"/>
      <c r="BN556" s="16"/>
    </row>
    <row r="557" spans="58:66">
      <c r="BF557" s="16"/>
      <c r="BJ557" s="16"/>
      <c r="BN557" s="16"/>
    </row>
    <row r="558" spans="58:66">
      <c r="BF558" s="16"/>
      <c r="BJ558" s="16"/>
      <c r="BN558" s="16"/>
    </row>
    <row r="559" spans="58:66">
      <c r="BF559" s="16"/>
      <c r="BJ559" s="16"/>
      <c r="BN559" s="16"/>
    </row>
    <row r="560" spans="58:66">
      <c r="BF560" s="16"/>
      <c r="BJ560" s="16"/>
      <c r="BN560" s="16"/>
    </row>
    <row r="561" spans="58:66">
      <c r="BF561" s="16"/>
      <c r="BJ561" s="16"/>
      <c r="BN561" s="16"/>
    </row>
    <row r="562" spans="58:66">
      <c r="BF562" s="16"/>
      <c r="BJ562" s="16"/>
      <c r="BN562" s="16"/>
    </row>
    <row r="563" spans="58:66">
      <c r="BF563" s="16"/>
      <c r="BJ563" s="16"/>
      <c r="BN563" s="16"/>
    </row>
    <row r="564" spans="58:66">
      <c r="BF564" s="16"/>
      <c r="BJ564" s="16"/>
      <c r="BN564" s="16"/>
    </row>
    <row r="565" spans="58:66">
      <c r="BF565" s="16"/>
      <c r="BJ565" s="16"/>
      <c r="BN565" s="16"/>
    </row>
    <row r="566" spans="58:66">
      <c r="BF566" s="16"/>
      <c r="BJ566" s="16"/>
      <c r="BN566" s="16"/>
    </row>
    <row r="567" spans="58:66">
      <c r="BF567" s="16"/>
      <c r="BJ567" s="16"/>
      <c r="BN567" s="16"/>
    </row>
    <row r="568" spans="58:66">
      <c r="BF568" s="16"/>
      <c r="BJ568" s="16"/>
      <c r="BN568" s="16"/>
    </row>
    <row r="569" spans="58:66">
      <c r="BF569" s="16"/>
      <c r="BJ569" s="16"/>
      <c r="BN569" s="16"/>
    </row>
    <row r="570" spans="58:66">
      <c r="BF570" s="16"/>
      <c r="BJ570" s="16"/>
      <c r="BN570" s="16"/>
    </row>
    <row r="571" spans="58:66">
      <c r="BF571" s="16"/>
      <c r="BJ571" s="16"/>
      <c r="BN571" s="16"/>
    </row>
    <row r="572" spans="58:66">
      <c r="BF572" s="16"/>
      <c r="BJ572" s="16"/>
      <c r="BN572" s="16"/>
    </row>
    <row r="573" spans="58:66">
      <c r="BF573" s="16"/>
      <c r="BJ573" s="16"/>
      <c r="BN573" s="16"/>
    </row>
    <row r="574" spans="58:66">
      <c r="BF574" s="16"/>
      <c r="BJ574" s="16"/>
      <c r="BN574" s="16"/>
    </row>
    <row r="575" spans="58:66">
      <c r="BF575" s="16"/>
      <c r="BJ575" s="16"/>
      <c r="BN575" s="16"/>
    </row>
    <row r="576" spans="58:66">
      <c r="BF576" s="16"/>
      <c r="BJ576" s="16"/>
      <c r="BN576" s="16"/>
    </row>
    <row r="577" spans="58:66">
      <c r="BF577" s="16"/>
      <c r="BJ577" s="16"/>
      <c r="BN577" s="16"/>
    </row>
    <row r="578" spans="58:66">
      <c r="BF578" s="16"/>
      <c r="BJ578" s="16"/>
      <c r="BN578" s="16"/>
    </row>
    <row r="579" spans="58:66">
      <c r="BF579" s="16"/>
      <c r="BJ579" s="16"/>
      <c r="BN579" s="16"/>
    </row>
    <row r="580" spans="58:66">
      <c r="BF580" s="16"/>
      <c r="BJ580" s="16"/>
      <c r="BN580" s="16"/>
    </row>
    <row r="581" spans="58:66">
      <c r="BF581" s="16"/>
      <c r="BJ581" s="16"/>
      <c r="BN581" s="16"/>
    </row>
    <row r="582" spans="58:66">
      <c r="BF582" s="16"/>
      <c r="BJ582" s="16"/>
      <c r="BN582" s="16"/>
    </row>
    <row r="583" spans="58:66">
      <c r="BF583" s="16"/>
      <c r="BJ583" s="16"/>
      <c r="BN583" s="16"/>
    </row>
    <row r="584" spans="58:66">
      <c r="BF584" s="16"/>
      <c r="BJ584" s="16"/>
      <c r="BN584" s="16"/>
    </row>
    <row r="585" spans="58:66">
      <c r="BF585" s="16"/>
      <c r="BJ585" s="16"/>
      <c r="BN585" s="16"/>
    </row>
    <row r="586" spans="58:66">
      <c r="BF586" s="16"/>
      <c r="BJ586" s="16"/>
      <c r="BN586" s="16"/>
    </row>
    <row r="587" spans="58:66">
      <c r="BF587" s="16"/>
      <c r="BJ587" s="16"/>
      <c r="BN587" s="16"/>
    </row>
    <row r="588" spans="58:66">
      <c r="BF588" s="16"/>
      <c r="BJ588" s="16"/>
      <c r="BN588" s="16"/>
    </row>
    <row r="589" spans="58:66">
      <c r="BF589" s="16"/>
      <c r="BJ589" s="16"/>
      <c r="BN589" s="16"/>
    </row>
    <row r="590" spans="58:66">
      <c r="BF590" s="16"/>
      <c r="BJ590" s="16"/>
      <c r="BN590" s="16"/>
    </row>
    <row r="591" spans="58:66">
      <c r="BF591" s="16"/>
      <c r="BJ591" s="16"/>
      <c r="BN591" s="16"/>
    </row>
    <row r="592" spans="58:66">
      <c r="BF592" s="16"/>
      <c r="BJ592" s="16"/>
      <c r="BN592" s="16"/>
    </row>
    <row r="593" spans="58:66">
      <c r="BF593" s="16"/>
      <c r="BJ593" s="16"/>
      <c r="BN593" s="16"/>
    </row>
    <row r="594" spans="58:66">
      <c r="BF594" s="16"/>
      <c r="BJ594" s="16"/>
      <c r="BN594" s="16"/>
    </row>
    <row r="595" spans="58:66">
      <c r="BF595" s="16"/>
      <c r="BJ595" s="16"/>
      <c r="BN595" s="16"/>
    </row>
    <row r="596" spans="58:66">
      <c r="BF596" s="16"/>
      <c r="BJ596" s="16"/>
      <c r="BN596" s="16"/>
    </row>
    <row r="597" spans="58:66">
      <c r="BF597" s="16"/>
      <c r="BJ597" s="16"/>
      <c r="BN597" s="16"/>
    </row>
    <row r="598" spans="58:66">
      <c r="BF598" s="16"/>
      <c r="BJ598" s="16"/>
      <c r="BN598" s="16"/>
    </row>
    <row r="599" spans="58:66">
      <c r="BF599" s="16"/>
      <c r="BJ599" s="16"/>
      <c r="BN599" s="16"/>
    </row>
    <row r="600" spans="58:66">
      <c r="BF600" s="16"/>
      <c r="BJ600" s="16"/>
      <c r="BN600" s="16"/>
    </row>
    <row r="601" spans="58:66">
      <c r="BF601" s="16"/>
      <c r="BJ601" s="16"/>
      <c r="BN601" s="16"/>
    </row>
    <row r="602" spans="58:66">
      <c r="BF602" s="16"/>
      <c r="BJ602" s="16"/>
      <c r="BN602" s="16"/>
    </row>
    <row r="603" spans="58:66">
      <c r="BF603" s="16"/>
      <c r="BJ603" s="16"/>
      <c r="BN603" s="16"/>
    </row>
    <row r="604" spans="58:66">
      <c r="BF604" s="16"/>
      <c r="BJ604" s="16"/>
      <c r="BN604" s="16"/>
    </row>
    <row r="605" spans="58:66">
      <c r="BF605" s="16"/>
      <c r="BJ605" s="16"/>
      <c r="BN605" s="16"/>
    </row>
    <row r="606" spans="58:66">
      <c r="BF606" s="16"/>
      <c r="BJ606" s="16"/>
      <c r="BN606" s="16"/>
    </row>
    <row r="607" spans="58:66">
      <c r="BF607" s="16"/>
      <c r="BJ607" s="16"/>
      <c r="BN607" s="16"/>
    </row>
    <row r="608" spans="58:66">
      <c r="BF608" s="16"/>
      <c r="BJ608" s="16"/>
      <c r="BN608" s="16"/>
    </row>
    <row r="609" spans="58:66">
      <c r="BF609" s="16"/>
      <c r="BJ609" s="16"/>
      <c r="BN609" s="16"/>
    </row>
    <row r="610" spans="58:66">
      <c r="BF610" s="16"/>
      <c r="BJ610" s="16"/>
      <c r="BN610" s="16"/>
    </row>
    <row r="611" spans="58:66">
      <c r="BF611" s="16"/>
      <c r="BJ611" s="16"/>
      <c r="BN611" s="16"/>
    </row>
    <row r="612" spans="58:66">
      <c r="BF612" s="16"/>
      <c r="BJ612" s="16"/>
      <c r="BN612" s="16"/>
    </row>
    <row r="613" spans="58:66">
      <c r="BF613" s="16"/>
      <c r="BJ613" s="16"/>
      <c r="BN613" s="16"/>
    </row>
    <row r="614" spans="58:66">
      <c r="BF614" s="16"/>
      <c r="BJ614" s="16"/>
      <c r="BN614" s="16"/>
    </row>
    <row r="615" spans="58:66">
      <c r="BF615" s="16"/>
      <c r="BJ615" s="16"/>
      <c r="BN615" s="16"/>
    </row>
    <row r="616" spans="58:66">
      <c r="BF616" s="16"/>
      <c r="BJ616" s="16"/>
      <c r="BN616" s="16"/>
    </row>
    <row r="617" spans="58:66">
      <c r="BF617" s="16"/>
      <c r="BJ617" s="16"/>
      <c r="BN617" s="16"/>
    </row>
    <row r="618" spans="58:66">
      <c r="BF618" s="16"/>
      <c r="BJ618" s="16"/>
      <c r="BN618" s="16"/>
    </row>
    <row r="619" spans="58:66">
      <c r="BF619" s="16"/>
      <c r="BJ619" s="16"/>
      <c r="BN619" s="16"/>
    </row>
    <row r="620" spans="58:66">
      <c r="BF620" s="16"/>
      <c r="BJ620" s="16"/>
      <c r="BN620" s="16"/>
    </row>
    <row r="621" spans="58:66">
      <c r="BF621" s="16"/>
      <c r="BJ621" s="16"/>
      <c r="BN621" s="16"/>
    </row>
    <row r="622" spans="58:66">
      <c r="BF622" s="16"/>
      <c r="BJ622" s="16"/>
      <c r="BN622" s="16"/>
    </row>
    <row r="623" spans="58:66">
      <c r="BF623" s="16"/>
      <c r="BJ623" s="16"/>
      <c r="BN623" s="16"/>
    </row>
    <row r="624" spans="58:66">
      <c r="BF624" s="16"/>
      <c r="BJ624" s="16"/>
      <c r="BN624" s="16"/>
    </row>
    <row r="625" spans="58:66">
      <c r="BF625" s="16"/>
      <c r="BJ625" s="16"/>
      <c r="BN625" s="16"/>
    </row>
    <row r="626" spans="58:66">
      <c r="BF626" s="16"/>
      <c r="BJ626" s="16"/>
      <c r="BN626" s="16"/>
    </row>
    <row r="627" spans="58:66">
      <c r="BF627" s="16"/>
      <c r="BJ627" s="16"/>
      <c r="BN627" s="16"/>
    </row>
    <row r="628" spans="58:66">
      <c r="BF628" s="16"/>
      <c r="BJ628" s="16"/>
      <c r="BN628" s="16"/>
    </row>
    <row r="629" spans="58:66">
      <c r="BF629" s="16"/>
      <c r="BJ629" s="16"/>
      <c r="BN629" s="16"/>
    </row>
    <row r="630" spans="58:66">
      <c r="BF630" s="16"/>
      <c r="BJ630" s="16"/>
      <c r="BN630" s="16"/>
    </row>
    <row r="631" spans="58:66">
      <c r="BF631" s="16"/>
      <c r="BJ631" s="16"/>
      <c r="BN631" s="16"/>
    </row>
    <row r="632" spans="58:66">
      <c r="BF632" s="16"/>
      <c r="BJ632" s="16"/>
      <c r="BN632" s="16"/>
    </row>
    <row r="633" spans="58:66">
      <c r="BF633" s="16"/>
      <c r="BJ633" s="16"/>
      <c r="BN633" s="16"/>
    </row>
    <row r="634" spans="58:66">
      <c r="BF634" s="16"/>
      <c r="BJ634" s="16"/>
      <c r="BN634" s="16"/>
    </row>
    <row r="635" spans="58:66">
      <c r="BF635" s="16"/>
      <c r="BJ635" s="16"/>
      <c r="BN635" s="16"/>
    </row>
    <row r="636" spans="58:66">
      <c r="BF636" s="16"/>
      <c r="BJ636" s="16"/>
      <c r="BN636" s="16"/>
    </row>
    <row r="637" spans="58:66">
      <c r="BF637" s="16"/>
      <c r="BJ637" s="16"/>
      <c r="BN637" s="16"/>
    </row>
    <row r="638" spans="58:66">
      <c r="BF638" s="16"/>
      <c r="BJ638" s="16"/>
      <c r="BN638" s="16"/>
    </row>
    <row r="639" spans="58:66">
      <c r="BF639" s="16"/>
      <c r="BJ639" s="16"/>
      <c r="BN639" s="16"/>
    </row>
    <row r="640" spans="58:66">
      <c r="BF640" s="16"/>
      <c r="BJ640" s="16"/>
      <c r="BN640" s="16"/>
    </row>
    <row r="641" spans="58:66">
      <c r="BF641" s="16"/>
      <c r="BJ641" s="16"/>
      <c r="BN641" s="16"/>
    </row>
    <row r="642" spans="58:66">
      <c r="BF642" s="16"/>
      <c r="BJ642" s="16"/>
      <c r="BN642" s="16"/>
    </row>
    <row r="643" spans="58:66">
      <c r="BF643" s="16"/>
      <c r="BJ643" s="16"/>
      <c r="BN643" s="16"/>
    </row>
    <row r="644" spans="58:66">
      <c r="BF644" s="16"/>
      <c r="BJ644" s="16"/>
      <c r="BN644" s="16"/>
    </row>
    <row r="645" spans="58:66">
      <c r="BF645" s="16"/>
      <c r="BJ645" s="16"/>
      <c r="BN645" s="16"/>
    </row>
    <row r="646" spans="58:66">
      <c r="BF646" s="16"/>
      <c r="BJ646" s="16"/>
      <c r="BN646" s="16"/>
    </row>
    <row r="647" spans="58:66">
      <c r="BF647" s="16"/>
      <c r="BJ647" s="16"/>
      <c r="BN647" s="16"/>
    </row>
    <row r="648" spans="58:66">
      <c r="BF648" s="16"/>
      <c r="BJ648" s="16"/>
      <c r="BN648" s="16"/>
    </row>
    <row r="649" spans="58:66">
      <c r="BF649" s="16"/>
      <c r="BJ649" s="16"/>
      <c r="BN649" s="16"/>
    </row>
    <row r="650" spans="58:66">
      <c r="BF650" s="16"/>
      <c r="BJ650" s="16"/>
      <c r="BN650" s="16"/>
    </row>
    <row r="651" spans="58:66">
      <c r="BF651" s="16"/>
      <c r="BJ651" s="16"/>
      <c r="BN651" s="16"/>
    </row>
    <row r="652" spans="58:66">
      <c r="BF652" s="16"/>
      <c r="BJ652" s="16"/>
      <c r="BN652" s="16"/>
    </row>
    <row r="653" spans="58:66">
      <c r="BF653" s="16"/>
      <c r="BJ653" s="16"/>
      <c r="BN653" s="16"/>
    </row>
    <row r="654" spans="58:66">
      <c r="BF654" s="16"/>
      <c r="BJ654" s="16"/>
      <c r="BN654" s="16"/>
    </row>
    <row r="655" spans="58:66">
      <c r="BF655" s="16"/>
      <c r="BJ655" s="16"/>
      <c r="BN655" s="16"/>
    </row>
    <row r="656" spans="58:66">
      <c r="BF656" s="16"/>
      <c r="BJ656" s="16"/>
      <c r="BN656" s="16"/>
    </row>
    <row r="657" spans="58:66">
      <c r="BF657" s="16"/>
      <c r="BJ657" s="16"/>
      <c r="BN657" s="16"/>
    </row>
    <row r="658" spans="58:66">
      <c r="BF658" s="16"/>
      <c r="BJ658" s="16"/>
      <c r="BN658" s="16"/>
    </row>
    <row r="659" spans="58:66">
      <c r="BF659" s="16"/>
      <c r="BJ659" s="16"/>
      <c r="BN659" s="16"/>
    </row>
    <row r="660" spans="58:66">
      <c r="BF660" s="16"/>
      <c r="BJ660" s="16"/>
      <c r="BN660" s="16"/>
    </row>
    <row r="661" spans="58:66">
      <c r="BF661" s="16"/>
      <c r="BJ661" s="16"/>
      <c r="BN661" s="16"/>
    </row>
    <row r="662" spans="58:66">
      <c r="BF662" s="16"/>
      <c r="BJ662" s="16"/>
      <c r="BN662" s="16"/>
    </row>
    <row r="663" spans="58:66">
      <c r="BF663" s="16"/>
      <c r="BJ663" s="16"/>
      <c r="BN663" s="16"/>
    </row>
    <row r="664" spans="58:66">
      <c r="BF664" s="16"/>
      <c r="BJ664" s="16"/>
      <c r="BN664" s="16"/>
    </row>
    <row r="665" spans="58:66">
      <c r="BF665" s="16"/>
      <c r="BJ665" s="16"/>
      <c r="BN665" s="16"/>
    </row>
    <row r="666" spans="58:66">
      <c r="BF666" s="16"/>
      <c r="BJ666" s="16"/>
      <c r="BN666" s="16"/>
    </row>
    <row r="667" spans="58:66">
      <c r="BF667" s="16"/>
      <c r="BJ667" s="16"/>
      <c r="BN667" s="16"/>
    </row>
    <row r="668" spans="58:66">
      <c r="BF668" s="16"/>
      <c r="BJ668" s="16"/>
      <c r="BN668" s="16"/>
    </row>
    <row r="669" spans="58:66">
      <c r="BF669" s="16"/>
      <c r="BJ669" s="16"/>
      <c r="BN669" s="16"/>
    </row>
    <row r="670" spans="58:66">
      <c r="BF670" s="16"/>
      <c r="BJ670" s="16"/>
      <c r="BN670" s="16"/>
    </row>
    <row r="671" spans="58:66">
      <c r="BF671" s="16"/>
      <c r="BJ671" s="16"/>
      <c r="BN671" s="16"/>
    </row>
    <row r="672" spans="58:66">
      <c r="BF672" s="16"/>
      <c r="BJ672" s="16"/>
      <c r="BN672" s="16"/>
    </row>
    <row r="673" spans="58:66">
      <c r="BF673" s="16"/>
      <c r="BJ673" s="16"/>
      <c r="BN673" s="16"/>
    </row>
    <row r="674" spans="58:66">
      <c r="BF674" s="16"/>
      <c r="BJ674" s="16"/>
      <c r="BN674" s="16"/>
    </row>
    <row r="675" spans="58:66">
      <c r="BF675" s="16"/>
      <c r="BJ675" s="16"/>
      <c r="BN675" s="16"/>
    </row>
    <row r="676" spans="58:66">
      <c r="BF676" s="16"/>
      <c r="BJ676" s="16"/>
      <c r="BN676" s="16"/>
    </row>
    <row r="677" spans="58:66">
      <c r="BF677" s="16"/>
      <c r="BJ677" s="16"/>
      <c r="BN677" s="16"/>
    </row>
    <row r="678" spans="58:66">
      <c r="BF678" s="16"/>
      <c r="BJ678" s="16"/>
      <c r="BN678" s="16"/>
    </row>
    <row r="679" spans="58:66">
      <c r="BF679" s="16"/>
      <c r="BJ679" s="16"/>
      <c r="BN679" s="16"/>
    </row>
    <row r="680" spans="58:66">
      <c r="BF680" s="16"/>
      <c r="BJ680" s="16"/>
      <c r="BN680" s="16"/>
    </row>
    <row r="681" spans="58:66">
      <c r="BF681" s="16"/>
      <c r="BJ681" s="16"/>
      <c r="BN681" s="16"/>
    </row>
    <row r="682" spans="58:66">
      <c r="BF682" s="16"/>
      <c r="BJ682" s="16"/>
      <c r="BN682" s="16"/>
    </row>
    <row r="683" spans="58:66">
      <c r="BF683" s="16"/>
      <c r="BJ683" s="16"/>
      <c r="BN683" s="16"/>
    </row>
    <row r="684" spans="58:66">
      <c r="BF684" s="16"/>
      <c r="BJ684" s="16"/>
      <c r="BN684" s="16"/>
    </row>
    <row r="685" spans="58:66">
      <c r="BF685" s="16"/>
      <c r="BJ685" s="16"/>
      <c r="BN685" s="16"/>
    </row>
    <row r="686" spans="58:66">
      <c r="BF686" s="16"/>
      <c r="BJ686" s="16"/>
      <c r="BN686" s="16"/>
    </row>
    <row r="687" spans="58:66">
      <c r="BF687" s="16"/>
      <c r="BJ687" s="16"/>
      <c r="BN687" s="16"/>
    </row>
    <row r="688" spans="58:66">
      <c r="BF688" s="16"/>
      <c r="BJ688" s="16"/>
      <c r="BN688" s="16"/>
    </row>
    <row r="689" spans="58:66">
      <c r="BF689" s="16"/>
      <c r="BJ689" s="16"/>
      <c r="BN689" s="16"/>
    </row>
    <row r="690" spans="58:66">
      <c r="BF690" s="16"/>
      <c r="BJ690" s="16"/>
      <c r="BN690" s="16"/>
    </row>
    <row r="691" spans="58:66">
      <c r="BF691" s="16"/>
      <c r="BJ691" s="16"/>
      <c r="BN691" s="16"/>
    </row>
    <row r="692" spans="58:66">
      <c r="BF692" s="16"/>
      <c r="BJ692" s="16"/>
      <c r="BN692" s="16"/>
    </row>
    <row r="693" spans="58:66">
      <c r="BF693" s="16"/>
      <c r="BJ693" s="16"/>
      <c r="BN693" s="16"/>
    </row>
    <row r="694" spans="58:66">
      <c r="BF694" s="16"/>
      <c r="BJ694" s="16"/>
      <c r="BN694" s="16"/>
    </row>
    <row r="695" spans="58:66">
      <c r="BF695" s="16"/>
      <c r="BJ695" s="16"/>
      <c r="BN695" s="16"/>
    </row>
    <row r="696" spans="58:66">
      <c r="BF696" s="16"/>
      <c r="BJ696" s="16"/>
      <c r="BN696" s="16"/>
    </row>
    <row r="697" spans="58:66">
      <c r="BF697" s="16"/>
      <c r="BJ697" s="16"/>
      <c r="BN697" s="16"/>
    </row>
    <row r="698" spans="58:66">
      <c r="BF698" s="16"/>
      <c r="BJ698" s="16"/>
      <c r="BN698" s="16"/>
    </row>
    <row r="699" spans="58:66">
      <c r="BF699" s="16"/>
      <c r="BJ699" s="16"/>
      <c r="BN699" s="16"/>
    </row>
    <row r="700" spans="58:66">
      <c r="BF700" s="16"/>
      <c r="BJ700" s="16"/>
      <c r="BN700" s="16"/>
    </row>
    <row r="701" spans="58:66">
      <c r="BF701" s="16"/>
      <c r="BJ701" s="16"/>
      <c r="BN701" s="16"/>
    </row>
    <row r="702" spans="58:66">
      <c r="BF702" s="16"/>
      <c r="BJ702" s="16"/>
      <c r="BN702" s="16"/>
    </row>
    <row r="703" spans="58:66">
      <c r="BF703" s="16"/>
      <c r="BJ703" s="16"/>
      <c r="BN703" s="16"/>
    </row>
    <row r="704" spans="58:66">
      <c r="BF704" s="16"/>
      <c r="BJ704" s="16"/>
      <c r="BN704" s="16"/>
    </row>
    <row r="705" spans="58:66">
      <c r="BF705" s="16"/>
      <c r="BJ705" s="16"/>
      <c r="BN705" s="16"/>
    </row>
    <row r="706" spans="58:66">
      <c r="BF706" s="16"/>
      <c r="BJ706" s="16"/>
      <c r="BN706" s="16"/>
    </row>
    <row r="707" spans="58:66">
      <c r="BF707" s="16"/>
      <c r="BJ707" s="16"/>
      <c r="BN707" s="16"/>
    </row>
    <row r="708" spans="58:66">
      <c r="BF708" s="16"/>
      <c r="BJ708" s="16"/>
      <c r="BN708" s="16"/>
    </row>
    <row r="709" spans="58:66">
      <c r="BF709" s="16"/>
      <c r="BJ709" s="16"/>
      <c r="BN709" s="16"/>
    </row>
    <row r="710" spans="58:66">
      <c r="BF710" s="16"/>
      <c r="BJ710" s="16"/>
      <c r="BN710" s="16"/>
    </row>
    <row r="711" spans="58:66">
      <c r="BF711" s="16"/>
      <c r="BJ711" s="16"/>
      <c r="BN711" s="16"/>
    </row>
    <row r="712" spans="58:66">
      <c r="BF712" s="16"/>
      <c r="BJ712" s="16"/>
      <c r="BN712" s="16"/>
    </row>
    <row r="713" spans="58:66">
      <c r="BF713" s="16"/>
      <c r="BJ713" s="16"/>
      <c r="BN713" s="16"/>
    </row>
    <row r="714" spans="58:66">
      <c r="BF714" s="16"/>
      <c r="BJ714" s="16"/>
      <c r="BN714" s="16"/>
    </row>
    <row r="715" spans="58:66">
      <c r="BF715" s="16"/>
      <c r="BJ715" s="16"/>
      <c r="BN715" s="16"/>
    </row>
    <row r="716" spans="58:66">
      <c r="BF716" s="16"/>
      <c r="BJ716" s="16"/>
      <c r="BN716" s="16"/>
    </row>
    <row r="717" spans="58:66">
      <c r="BF717" s="16"/>
      <c r="BJ717" s="16"/>
      <c r="BN717" s="16"/>
    </row>
    <row r="718" spans="58:66">
      <c r="BF718" s="16"/>
      <c r="BJ718" s="16"/>
      <c r="BN718" s="16"/>
    </row>
    <row r="719" spans="58:66">
      <c r="BF719" s="16"/>
      <c r="BJ719" s="16"/>
      <c r="BN719" s="16"/>
    </row>
    <row r="720" spans="58:66">
      <c r="BF720" s="16"/>
      <c r="BJ720" s="16"/>
      <c r="BN720" s="16"/>
    </row>
    <row r="721" spans="58:66">
      <c r="BF721" s="16"/>
      <c r="BJ721" s="16"/>
      <c r="BN721" s="16"/>
    </row>
    <row r="722" spans="58:66">
      <c r="BF722" s="16"/>
      <c r="BJ722" s="16"/>
      <c r="BN722" s="16"/>
    </row>
    <row r="723" spans="58:66">
      <c r="BF723" s="16"/>
      <c r="BJ723" s="16"/>
      <c r="BN723" s="16"/>
    </row>
    <row r="724" spans="58:66">
      <c r="BF724" s="16"/>
      <c r="BJ724" s="16"/>
      <c r="BN724" s="16"/>
    </row>
    <row r="725" spans="58:66">
      <c r="BF725" s="16"/>
      <c r="BJ725" s="16"/>
      <c r="BN725" s="16"/>
    </row>
    <row r="726" spans="58:66">
      <c r="BF726" s="16"/>
      <c r="BJ726" s="16"/>
      <c r="BN726" s="16"/>
    </row>
    <row r="727" spans="58:66">
      <c r="BF727" s="16"/>
      <c r="BJ727" s="16"/>
      <c r="BN727" s="16"/>
    </row>
    <row r="728" spans="58:66">
      <c r="BF728" s="16"/>
      <c r="BJ728" s="16"/>
      <c r="BN728" s="16"/>
    </row>
    <row r="729" spans="58:66">
      <c r="BF729" s="16"/>
      <c r="BJ729" s="16"/>
      <c r="BN729" s="16"/>
    </row>
    <row r="730" spans="58:66">
      <c r="BF730" s="16"/>
      <c r="BJ730" s="16"/>
      <c r="BN730" s="16"/>
    </row>
    <row r="731" spans="58:66">
      <c r="BF731" s="16"/>
      <c r="BJ731" s="16"/>
      <c r="BN731" s="16"/>
    </row>
    <row r="732" spans="58:66">
      <c r="BF732" s="16"/>
      <c r="BJ732" s="16"/>
      <c r="BN732" s="16"/>
    </row>
    <row r="733" spans="58:66">
      <c r="BF733" s="16"/>
      <c r="BJ733" s="16"/>
      <c r="BN733" s="16"/>
    </row>
    <row r="734" spans="58:66">
      <c r="BF734" s="16"/>
      <c r="BJ734" s="16"/>
      <c r="BN734" s="16"/>
    </row>
    <row r="735" spans="58:66">
      <c r="BF735" s="16"/>
      <c r="BJ735" s="16"/>
      <c r="BN735" s="16"/>
    </row>
    <row r="736" spans="58:66">
      <c r="BF736" s="16"/>
      <c r="BJ736" s="16"/>
      <c r="BN736" s="16"/>
    </row>
    <row r="737" spans="58:66">
      <c r="BF737" s="16"/>
      <c r="BJ737" s="16"/>
      <c r="BN737" s="16"/>
    </row>
    <row r="738" spans="58:66">
      <c r="BF738" s="16"/>
      <c r="BJ738" s="16"/>
      <c r="BN738" s="16"/>
    </row>
    <row r="739" spans="58:66">
      <c r="BF739" s="16"/>
      <c r="BJ739" s="16"/>
      <c r="BN739" s="16"/>
    </row>
    <row r="740" spans="58:66">
      <c r="BF740" s="16"/>
      <c r="BJ740" s="16"/>
      <c r="BN740" s="16"/>
    </row>
    <row r="741" spans="58:66">
      <c r="BF741" s="16"/>
      <c r="BJ741" s="16"/>
      <c r="BN741" s="16"/>
    </row>
    <row r="742" spans="58:66">
      <c r="BF742" s="16"/>
      <c r="BJ742" s="16"/>
      <c r="BN742" s="16"/>
    </row>
    <row r="743" spans="58:66">
      <c r="BF743" s="16"/>
      <c r="BJ743" s="16"/>
      <c r="BN743" s="16"/>
    </row>
    <row r="744" spans="58:66">
      <c r="BF744" s="16"/>
      <c r="BJ744" s="16"/>
      <c r="BN744" s="16"/>
    </row>
    <row r="745" spans="58:66">
      <c r="BF745" s="16"/>
      <c r="BJ745" s="16"/>
      <c r="BN745" s="16"/>
    </row>
    <row r="746" spans="58:66">
      <c r="BF746" s="16"/>
      <c r="BJ746" s="16"/>
      <c r="BN746" s="16"/>
    </row>
    <row r="747" spans="58:66">
      <c r="BF747" s="16"/>
      <c r="BJ747" s="16"/>
      <c r="BN747" s="16"/>
    </row>
    <row r="748" spans="58:66">
      <c r="BF748" s="16"/>
      <c r="BJ748" s="16"/>
      <c r="BN748" s="16"/>
    </row>
    <row r="749" spans="58:66">
      <c r="BF749" s="16"/>
      <c r="BJ749" s="16"/>
      <c r="BN749" s="16"/>
    </row>
    <row r="750" spans="58:66">
      <c r="BF750" s="16"/>
      <c r="BJ750" s="16"/>
      <c r="BN750" s="16"/>
    </row>
    <row r="751" spans="58:66">
      <c r="BF751" s="16"/>
      <c r="BJ751" s="16"/>
      <c r="BN751" s="16"/>
    </row>
    <row r="752" spans="58:66">
      <c r="BF752" s="16"/>
      <c r="BJ752" s="16"/>
      <c r="BN752" s="16"/>
    </row>
    <row r="753" spans="58:66">
      <c r="BF753" s="16"/>
      <c r="BJ753" s="16"/>
      <c r="BN753" s="16"/>
    </row>
    <row r="754" spans="58:66">
      <c r="BF754" s="16"/>
      <c r="BJ754" s="16"/>
      <c r="BN754" s="16"/>
    </row>
    <row r="755" spans="58:66">
      <c r="BF755" s="16"/>
      <c r="BJ755" s="16"/>
      <c r="BN755" s="16"/>
    </row>
    <row r="756" spans="58:66">
      <c r="BF756" s="16"/>
      <c r="BJ756" s="16"/>
      <c r="BN756" s="16"/>
    </row>
    <row r="757" spans="58:66">
      <c r="BF757" s="16"/>
      <c r="BJ757" s="16"/>
      <c r="BN757" s="16"/>
    </row>
    <row r="758" spans="58:66">
      <c r="BF758" s="16"/>
      <c r="BJ758" s="16"/>
      <c r="BN758" s="16"/>
    </row>
    <row r="759" spans="58:66">
      <c r="BF759" s="16"/>
      <c r="BJ759" s="16"/>
      <c r="BN759" s="16"/>
    </row>
    <row r="760" spans="58:66">
      <c r="BF760" s="16"/>
      <c r="BJ760" s="16"/>
      <c r="BN760" s="16"/>
    </row>
    <row r="761" spans="58:66">
      <c r="BF761" s="16"/>
      <c r="BJ761" s="16"/>
      <c r="BN761" s="16"/>
    </row>
    <row r="762" spans="58:66">
      <c r="BF762" s="16"/>
      <c r="BJ762" s="16"/>
      <c r="BN762" s="16"/>
    </row>
    <row r="763" spans="58:66">
      <c r="BF763" s="16"/>
      <c r="BJ763" s="16"/>
      <c r="BN763" s="16"/>
    </row>
    <row r="764" spans="58:66">
      <c r="BF764" s="16"/>
      <c r="BJ764" s="16"/>
      <c r="BN764" s="16"/>
    </row>
    <row r="765" spans="58:66">
      <c r="BF765" s="16"/>
      <c r="BJ765" s="16"/>
      <c r="BN765" s="16"/>
    </row>
    <row r="766" spans="58:66">
      <c r="BF766" s="16"/>
      <c r="BJ766" s="16"/>
      <c r="BN766" s="16"/>
    </row>
    <row r="767" spans="58:66">
      <c r="BF767" s="16"/>
      <c r="BJ767" s="16"/>
      <c r="BN767" s="16"/>
    </row>
    <row r="768" spans="58:66">
      <c r="BF768" s="16"/>
      <c r="BJ768" s="16"/>
      <c r="BN768" s="16"/>
    </row>
    <row r="769" spans="58:66">
      <c r="BF769" s="16"/>
      <c r="BJ769" s="16"/>
      <c r="BN769" s="16"/>
    </row>
    <row r="770" spans="58:66">
      <c r="BF770" s="16"/>
      <c r="BJ770" s="16"/>
      <c r="BN770" s="16"/>
    </row>
    <row r="771" spans="58:66">
      <c r="BF771" s="16"/>
      <c r="BJ771" s="16"/>
      <c r="BN771" s="16"/>
    </row>
    <row r="772" spans="58:66">
      <c r="BF772" s="16"/>
      <c r="BJ772" s="16"/>
      <c r="BN772" s="16"/>
    </row>
    <row r="773" spans="58:66">
      <c r="BF773" s="16"/>
      <c r="BJ773" s="16"/>
      <c r="BN773" s="16"/>
    </row>
    <row r="774" spans="58:66">
      <c r="BF774" s="16"/>
      <c r="BJ774" s="16"/>
      <c r="BN774" s="16"/>
    </row>
    <row r="775" spans="58:66">
      <c r="BF775" s="16"/>
      <c r="BJ775" s="16"/>
      <c r="BN775" s="16"/>
    </row>
    <row r="776" spans="58:66">
      <c r="BF776" s="16"/>
      <c r="BJ776" s="16"/>
      <c r="BN776" s="16"/>
    </row>
    <row r="777" spans="58:66">
      <c r="BF777" s="16"/>
      <c r="BJ777" s="16"/>
      <c r="BN777" s="16"/>
    </row>
    <row r="778" spans="58:66">
      <c r="BF778" s="16"/>
      <c r="BJ778" s="16"/>
      <c r="BN778" s="16"/>
    </row>
    <row r="779" spans="58:66">
      <c r="BF779" s="16"/>
      <c r="BJ779" s="16"/>
      <c r="BN779" s="16"/>
    </row>
    <row r="780" spans="58:66">
      <c r="BF780" s="16"/>
      <c r="BJ780" s="16"/>
      <c r="BN780" s="16"/>
    </row>
    <row r="781" spans="58:66">
      <c r="BF781" s="16"/>
      <c r="BJ781" s="16"/>
      <c r="BN781" s="16"/>
    </row>
    <row r="782" spans="58:66">
      <c r="BF782" s="16"/>
      <c r="BJ782" s="16"/>
      <c r="BN782" s="16"/>
    </row>
    <row r="783" spans="58:66">
      <c r="BF783" s="16"/>
      <c r="BJ783" s="16"/>
      <c r="BN783" s="16"/>
    </row>
    <row r="784" spans="58:66">
      <c r="BF784" s="16"/>
      <c r="BJ784" s="16"/>
      <c r="BN784" s="16"/>
    </row>
    <row r="785" spans="58:66">
      <c r="BF785" s="16"/>
      <c r="BJ785" s="16"/>
      <c r="BN785" s="16"/>
    </row>
    <row r="786" spans="58:66">
      <c r="BF786" s="16"/>
      <c r="BJ786" s="16"/>
      <c r="BN786" s="16"/>
    </row>
    <row r="787" spans="58:66">
      <c r="BF787" s="16"/>
      <c r="BJ787" s="16"/>
      <c r="BN787" s="16"/>
    </row>
    <row r="788" spans="58:66">
      <c r="BF788" s="16"/>
      <c r="BJ788" s="16"/>
      <c r="BN788" s="16"/>
    </row>
    <row r="789" spans="58:66">
      <c r="BF789" s="16"/>
      <c r="BJ789" s="16"/>
      <c r="BN789" s="16"/>
    </row>
    <row r="790" spans="58:66">
      <c r="BF790" s="16"/>
      <c r="BJ790" s="16"/>
      <c r="BN790" s="16"/>
    </row>
    <row r="791" spans="58:66">
      <c r="BF791" s="16"/>
      <c r="BJ791" s="16"/>
      <c r="BN791" s="16"/>
    </row>
    <row r="792" spans="58:66">
      <c r="BF792" s="16"/>
      <c r="BJ792" s="16"/>
      <c r="BN792" s="16"/>
    </row>
    <row r="793" spans="58:66">
      <c r="BF793" s="16"/>
      <c r="BJ793" s="16"/>
      <c r="BN793" s="16"/>
    </row>
    <row r="794" spans="58:66">
      <c r="BF794" s="16"/>
      <c r="BJ794" s="16"/>
      <c r="BN794" s="16"/>
    </row>
    <row r="795" spans="58:66">
      <c r="BF795" s="16"/>
      <c r="BJ795" s="16"/>
      <c r="BN795" s="16"/>
    </row>
    <row r="796" spans="58:66">
      <c r="BF796" s="16"/>
      <c r="BJ796" s="16"/>
      <c r="BN796" s="16"/>
    </row>
    <row r="797" spans="58:66">
      <c r="BF797" s="16"/>
      <c r="BJ797" s="16"/>
      <c r="BN797" s="16"/>
    </row>
    <row r="798" spans="58:66">
      <c r="BF798" s="16"/>
      <c r="BJ798" s="16"/>
      <c r="BN798" s="16"/>
    </row>
    <row r="799" spans="58:66">
      <c r="BF799" s="16"/>
      <c r="BJ799" s="16"/>
      <c r="BN799" s="16"/>
    </row>
    <row r="800" spans="58:66">
      <c r="BF800" s="16"/>
      <c r="BJ800" s="16"/>
      <c r="BN800" s="16"/>
    </row>
    <row r="801" spans="58:66">
      <c r="BF801" s="16"/>
      <c r="BJ801" s="16"/>
      <c r="BN801" s="16"/>
    </row>
    <row r="802" spans="58:66">
      <c r="BF802" s="16"/>
      <c r="BJ802" s="16"/>
      <c r="BN802" s="16"/>
    </row>
    <row r="803" spans="58:66">
      <c r="BF803" s="16"/>
      <c r="BJ803" s="16"/>
      <c r="BN803" s="16"/>
    </row>
    <row r="804" spans="58:66">
      <c r="BF804" s="16"/>
      <c r="BJ804" s="16"/>
      <c r="BN804" s="16"/>
    </row>
    <row r="805" spans="58:66">
      <c r="BF805" s="16"/>
      <c r="BJ805" s="16"/>
      <c r="BN805" s="16"/>
    </row>
    <row r="806" spans="58:66">
      <c r="BF806" s="16"/>
      <c r="BJ806" s="16"/>
      <c r="BN806" s="16"/>
    </row>
    <row r="807" spans="58:66">
      <c r="BF807" s="16"/>
      <c r="BJ807" s="16"/>
      <c r="BN807" s="16"/>
    </row>
    <row r="808" spans="58:66">
      <c r="BF808" s="16"/>
      <c r="BJ808" s="16"/>
      <c r="BN808" s="16"/>
    </row>
    <row r="809" spans="58:66">
      <c r="BF809" s="16"/>
      <c r="BJ809" s="16"/>
      <c r="BN809" s="16"/>
    </row>
    <row r="810" spans="58:66">
      <c r="BF810" s="16"/>
      <c r="BJ810" s="16"/>
      <c r="BN810" s="16"/>
    </row>
    <row r="811" spans="58:66">
      <c r="BF811" s="16"/>
      <c r="BJ811" s="16"/>
      <c r="BN811" s="16"/>
    </row>
    <row r="812" spans="58:66">
      <c r="BF812" s="16"/>
      <c r="BJ812" s="16"/>
      <c r="BN812" s="16"/>
    </row>
    <row r="813" spans="58:66">
      <c r="BF813" s="16"/>
      <c r="BJ813" s="16"/>
      <c r="BN813" s="16"/>
    </row>
    <row r="814" spans="58:66">
      <c r="BF814" s="16"/>
      <c r="BJ814" s="16"/>
      <c r="BN814" s="16"/>
    </row>
    <row r="815" spans="58:66">
      <c r="BF815" s="16"/>
      <c r="BJ815" s="16"/>
      <c r="BN815" s="16"/>
    </row>
    <row r="816" spans="58:66">
      <c r="BF816" s="16"/>
      <c r="BJ816" s="16"/>
      <c r="BN816" s="16"/>
    </row>
    <row r="817" spans="58:66">
      <c r="BF817" s="16"/>
      <c r="BJ817" s="16"/>
      <c r="BN817" s="16"/>
    </row>
    <row r="818" spans="58:66">
      <c r="BF818" s="16"/>
      <c r="BJ818" s="16"/>
      <c r="BN818" s="16"/>
    </row>
    <row r="819" spans="58:66">
      <c r="BF819" s="16"/>
      <c r="BJ819" s="16"/>
      <c r="BN819" s="16"/>
    </row>
    <row r="820" spans="58:66">
      <c r="BF820" s="16"/>
      <c r="BJ820" s="16"/>
      <c r="BN820" s="16"/>
    </row>
    <row r="821" spans="58:66">
      <c r="BF821" s="16"/>
      <c r="BJ821" s="16"/>
      <c r="BN821" s="16"/>
    </row>
    <row r="822" spans="58:66">
      <c r="BF822" s="16"/>
      <c r="BJ822" s="16"/>
      <c r="BN822" s="16"/>
    </row>
    <row r="823" spans="58:66">
      <c r="BF823" s="16"/>
      <c r="BJ823" s="16"/>
      <c r="BN823" s="16"/>
    </row>
    <row r="824" spans="58:66">
      <c r="BF824" s="16"/>
      <c r="BJ824" s="16"/>
      <c r="BN824" s="16"/>
    </row>
    <row r="825" spans="58:66">
      <c r="BF825" s="16"/>
      <c r="BJ825" s="16"/>
      <c r="BN825" s="16"/>
    </row>
    <row r="826" spans="58:66">
      <c r="BF826" s="16"/>
      <c r="BJ826" s="16"/>
      <c r="BN826" s="16"/>
    </row>
    <row r="827" spans="58:66">
      <c r="BF827" s="16"/>
      <c r="BJ827" s="16"/>
      <c r="BN827" s="16"/>
    </row>
    <row r="828" spans="58:66">
      <c r="BF828" s="16"/>
      <c r="BJ828" s="16"/>
      <c r="BN828" s="16"/>
    </row>
    <row r="829" spans="58:66">
      <c r="BF829" s="16"/>
      <c r="BJ829" s="16"/>
      <c r="BN829" s="16"/>
    </row>
    <row r="830" spans="58:66">
      <c r="BF830" s="16"/>
      <c r="BJ830" s="16"/>
      <c r="BN830" s="16"/>
    </row>
    <row r="831" spans="58:66">
      <c r="BF831" s="16"/>
      <c r="BJ831" s="16"/>
      <c r="BN831" s="16"/>
    </row>
    <row r="832" spans="58:66">
      <c r="BF832" s="16"/>
      <c r="BJ832" s="16"/>
      <c r="BN832" s="16"/>
    </row>
    <row r="833" spans="58:66">
      <c r="BF833" s="16"/>
      <c r="BJ833" s="16"/>
      <c r="BN833" s="16"/>
    </row>
    <row r="834" spans="58:66">
      <c r="BF834" s="16"/>
      <c r="BJ834" s="16"/>
      <c r="BN834" s="16"/>
    </row>
    <row r="835" spans="58:66">
      <c r="BF835" s="16"/>
      <c r="BJ835" s="16"/>
      <c r="BN835" s="16"/>
    </row>
    <row r="836" spans="58:66">
      <c r="BF836" s="16"/>
      <c r="BJ836" s="16"/>
      <c r="BN836" s="16"/>
    </row>
    <row r="837" spans="58:66">
      <c r="BF837" s="16"/>
      <c r="BJ837" s="16"/>
      <c r="BN837" s="16"/>
    </row>
    <row r="838" spans="58:66">
      <c r="BF838" s="16"/>
      <c r="BJ838" s="16"/>
      <c r="BN838" s="16"/>
    </row>
    <row r="839" spans="58:66">
      <c r="BF839" s="16"/>
      <c r="BJ839" s="16"/>
      <c r="BN839" s="16"/>
    </row>
    <row r="840" spans="58:66">
      <c r="BF840" s="16"/>
      <c r="BJ840" s="16"/>
      <c r="BN840" s="16"/>
    </row>
    <row r="841" spans="58:66">
      <c r="BF841" s="16"/>
      <c r="BJ841" s="16"/>
      <c r="BN841" s="16"/>
    </row>
    <row r="842" spans="58:66">
      <c r="BF842" s="16"/>
      <c r="BJ842" s="16"/>
      <c r="BN842" s="16"/>
    </row>
    <row r="843" spans="58:66">
      <c r="BF843" s="16"/>
      <c r="BJ843" s="16"/>
      <c r="BN843" s="16"/>
    </row>
    <row r="844" spans="58:66">
      <c r="BF844" s="16"/>
      <c r="BJ844" s="16"/>
      <c r="BN844" s="16"/>
    </row>
    <row r="845" spans="58:66">
      <c r="BF845" s="16"/>
      <c r="BJ845" s="16"/>
      <c r="BN845" s="16"/>
    </row>
    <row r="846" spans="58:66">
      <c r="BF846" s="16"/>
      <c r="BJ846" s="16"/>
      <c r="BN846" s="16"/>
    </row>
    <row r="847" spans="58:66">
      <c r="BF847" s="16"/>
      <c r="BJ847" s="16"/>
      <c r="BN847" s="16"/>
    </row>
    <row r="848" spans="58:66">
      <c r="BF848" s="16"/>
      <c r="BJ848" s="16"/>
      <c r="BN848" s="16"/>
    </row>
  </sheetData>
  <conditionalFormatting sqref="A313:B313 A306:A312 A323:B323 A320:A322 A318:B318 A315:A317 BT304:CA304 BW300:CA303 BT301:BV303 BU343:CA343 A132 B202 B204:B206 B208:B209 A89 A90:B91 AO73 BT308:CA308 BY307:CA307 BX309:CA309 BT334:CA334 BW333:CA333 BO111:BQ111 AA149:AO150 AA130:AO130 AA40:AM40 C90:V90 AA154:AO155 AA202:AO202 AA203:AD203 A325:A328 BP310:CA313 BO23:BU23 BO242:BY242 AA344:AO344 C40:Z41 AA45:AM45 C45:Z46 C58:Z59 AA58:AM58 C53:AM55 C60:AM61 AO31 C23:AM24 C70:V70 AO76 C78:AE78 C81:AH81 C79:AM79 C69:AO69 BO47:BU47 BW47:BX47 C47:AM47 BX31 AN32:AO32 C93:AD94 A92:A108 C95:V96 BO106:BW106 C122:F122 C183:AO183 AA196:AO197 C196:Z198 C194:AO194 B196:B199 C193:AM193 A23:B26 A31:AM32 BO112:CA112 C123:AO123 A109:B114 B181:B188 A150:A157 BO110 BW199:BX200 A27 A117:B131 C191:AO192 A191:B194 C110:AM110 C296:AO304 BO241 BY241:CA241 C117:AO117 A149:B149 A196:A200 A202:A213 C202:Z209 C306:AO313 BT306:CA306 C315:AO318 C320:AO323 C325:AO328 BP330:CA332 A330:AO334 A336:Z344 AA336:AM343 BT336:CA342 C56:V57 AO336:AO343 A346:AO353 CI117:JP132 CI191:JP213 BO22:BX22 BO346:CA353 BO343 BO336:BR342 BO235:BY235 BO228:BY228 BO236:CA237 BO229:CA230 BO238:BO239 BO330:BO333 BO325:CA328 BO320:CA323 BO315:CA318 BO306:BO313 BO198:BU200 BO117:CA117 BO191:CA192 BO107:BX107 BO187:CA188 BO19:CA21 BO193:BT194 BO196:CA197 BO184:BO185 BO182:CA183 BO108:CA109 BO31:BT31 BO344:CA344 BO301:BO304 BO202:CA209 BO334:BR334 BO122:CA123 BO300:BV300 C184:AN184 BO124:BX127 BO139:BW139 BO131:BX133 BO135:BX135 BO147:BZ147 BO130:BZ130 BO129:BW129 BO136:BW136 BO166:BW172 BO32:BZ32 BO114:CA114 BO113:BW113 BO186:BW186 BO2:BW3 CA89:CA96 BY54:BZ54 BY78:BZ78 BY83:BZ84 BO101:BX101 BO99:BW100 BO105:BX105 BO102:BW104 CA98:CA105 C25:AO28 A19:AO22 AA41:AO41 AA46:AO46 AN54:AO54 AA59:AO59 C102:AO109 C111:AO114 W181:AO182 C164:AO172 C185:AO188 C199:AO200 AA206:AO209 CF3:CH3 CI7:JP7 CI12:JP27 CF11:JP11 A2:AP17 CF6:CH6 CM6:JP6 BO4:CB4 CI10:JP10 CM8:JP9 CF8:CL8 BO267:BW274 C275:AL286 CI218:JP246 BO243:CA245 A221:AN223 AO242:AQ245 BO221:CA222 A225:AN245 A224 C224:AD224 BO225:CA227 BO223:BW223 BO233:CA234 BO231:BW231 BO224:BX224 BO232:BX232 BO253:BW253 BZ277:CA286 CI266:JP353 C266:AH274 AI266:AL266 AQ266:AS266 A248:AL258 C88:AO89 C86:AL87 AN86:AO87 B131:B132 CA22 BO293:CA299 AQ44 BO36:BX46 AP83:AP88 C42:AM42 AM43:AM44 C43:AH44 BO86:BX98 BO85:BW85 CF132 CF185 A266:B286 BO254:BY255 BZ249:CA255 BO275:BX286 CA38:CA42 CI30:JP115 BO48:BX56 C49:AR52 BY46:BZ50 A34:B61 BO68:BX73 BO66:BT66 AQ83 AQ82:AR82 AR84 AQ257:AS257 AR221:AR223 BY44:CA44 CA46:CA48 CA50:CA52 CA54:CA55 CA60:CA61 CA67:CA69 BY69:BZ70 BY86:CA87 BO24:CA27 BO211:CA212 BO210:BW210 BO266:CA266 BO248:CA248 BO128:CA128 BO288:BX292 A288:B304 A287 BZ288:CA292 C288:AL295 C85:AO85 AO83:AO84 C82:AM84 A246:AP246 CH260:XFD264 CH248:JP258 CF247:CG264 AR225:AR244 C34:AP34 AS225 AS232 BO213:BW213 AS240 BO249:BY252 AS228 AS235 AS242:AS245 BY56:CA56 BO58:BX61 BO57:BW57 CF224:CH225 CG223:CH223 CF228:CH230 CG226:CH227 CG231:CH231 CF235:CH237 CG233:CH234 BO240:CA240 CG238:CH239 CF242:CH246 CG241:CH241 BO34:CA35 C48:AP48 AR48 CA223:CA224 CA231:CA232 CA238:CA239 CA166:CA172 A137 BO141:BW146 BO134:BW134 A138:B139 A141:B142 A133:B136 CI147:JP157 CF147:CH147 B137:B139 BO137:CA138 AO137:AT138 AK137:AM138 AG137:AI138 AC137:AE138 Y137:AA138 W137:W138 AT158:AV158 A158:V158 A160:AO161 AQ160:AS161 BO164:CA165 A164:A172 A159 AP158:AP163 AT159:AT163 AU159:AV159 A173:AT173 CF180:CH184 A177:A178 A180:A188 A174:A175 CI180:JP189 BO180:BW181 C175:AV175 C174:AT174 BZ31:CA32 BO260:CA264 C36:AO39 C35:AH35 A1:AX1 A62:A65 BO256:CA258 CF158:JP161 CF164:JP178 CF240:CH240 CF232:CH232 CF221:CH222 BO6:CA12 CF34:CH114 CB89 BA175:BA178 BA158:BA159 A176:AW176 A260:AS264 BY72:CA73 BY71:CB71 BO246:BZ246 A144:B145 A143 A147:B147 A146 BA1 AI66:AM67 C66:V68 AI68:AO68 BO67:BU67 BY67:CA67 A66:B88 C76:AL76 C71:AM73 C75:AM75 C74:V74 C77:V77 C80:AL80 BO75:BX76 BO74:BT74 BY75:BZ75 CA75:CA76 CA78:CA79 BO78:BX84 BO77:BT77 BY81:CA81 CF266:CH304 CF133:JP139 CF141:JP146 BO1:CB1 BO149:CA161 BO173:CA178 CE5 CI3:JP5 CE1:CF1 CJ1:JP1 CG2:JP2 BO14:CA17 BO13:BZ13 C177:AX178 BB177:BB178">
    <cfRule type="containsText" dxfId="2626" priority="3682" stopIfTrue="1" operator="containsText" text="FALSE">
      <formula>NOT(ISERROR(SEARCH("FALSE",A1)))</formula>
    </cfRule>
  </conditionalFormatting>
  <conditionalFormatting sqref="B306 B311:B312">
    <cfRule type="containsText" dxfId="2625" priority="3681" stopIfTrue="1" operator="containsText" text="FALSE">
      <formula>NOT(ISERROR(SEARCH("FALSE",B306)))</formula>
    </cfRule>
  </conditionalFormatting>
  <conditionalFormatting sqref="B320:B322">
    <cfRule type="containsText" dxfId="2624" priority="3680" stopIfTrue="1" operator="containsText" text="FALSE">
      <formula>NOT(ISERROR(SEARCH("FALSE",B320)))</formula>
    </cfRule>
  </conditionalFormatting>
  <conditionalFormatting sqref="B325:B328">
    <cfRule type="containsText" dxfId="2623" priority="3679" stopIfTrue="1" operator="containsText" text="FALSE">
      <formula>NOT(ISERROR(SEARCH("FALSE",B325)))</formula>
    </cfRule>
  </conditionalFormatting>
  <conditionalFormatting sqref="BS301:BS304 BS308 BS334 BS306 BS336:BS342">
    <cfRule type="containsText" dxfId="2622" priority="3677" stopIfTrue="1" operator="containsText" text="FALSE">
      <formula>NOT(ISERROR(SEARCH("FALSE",BS301)))</formula>
    </cfRule>
  </conditionalFormatting>
  <conditionalFormatting sqref="B315:B317">
    <cfRule type="containsText" dxfId="2621" priority="3675" stopIfTrue="1" operator="containsText" text="FALSE">
      <formula>NOT(ISERROR(SEARCH("FALSE",B315)))</formula>
    </cfRule>
  </conditionalFormatting>
  <conditionalFormatting sqref="BP301:BR304 BP308:BR308 BP307:BX307 BP306:BR306">
    <cfRule type="containsText" dxfId="2620" priority="3674" stopIfTrue="1" operator="containsText" text="FALSE">
      <formula>NOT(ISERROR(SEARCH("FALSE",BP301)))</formula>
    </cfRule>
  </conditionalFormatting>
  <conditionalFormatting sqref="BP333:BV333">
    <cfRule type="containsText" dxfId="2619" priority="3673" stopIfTrue="1" operator="containsText" text="FALSE">
      <formula>NOT(ISERROR(SEARCH("FALSE",BP333)))</formula>
    </cfRule>
  </conditionalFormatting>
  <conditionalFormatting sqref="BP343:BT343">
    <cfRule type="containsText" dxfId="2618" priority="3672" stopIfTrue="1" operator="containsText" text="FALSE">
      <formula>NOT(ISERROR(SEARCH("FALSE",BP343)))</formula>
    </cfRule>
  </conditionalFormatting>
  <conditionalFormatting sqref="B97">
    <cfRule type="containsText" dxfId="2617" priority="3671" stopIfTrue="1" operator="containsText" text="FALSE">
      <formula>NOT(ISERROR(SEARCH("FALSE",B97)))</formula>
    </cfRule>
  </conditionalFormatting>
  <conditionalFormatting sqref="AA97:AO98">
    <cfRule type="containsText" dxfId="2616" priority="3670" stopIfTrue="1" operator="containsText" text="FALSE">
      <formula>NOT(ISERROR(SEARCH("FALSE",AA97)))</formula>
    </cfRule>
  </conditionalFormatting>
  <conditionalFormatting sqref="B150">
    <cfRule type="containsText" dxfId="2615" priority="3669" stopIfTrue="1" operator="containsText" text="FALSE">
      <formula>NOT(ISERROR(SEARCH("FALSE",B150)))</formula>
    </cfRule>
  </conditionalFormatting>
  <conditionalFormatting sqref="B151:B157 B159">
    <cfRule type="containsText" dxfId="2614" priority="3668" stopIfTrue="1" operator="containsText" text="FALSE">
      <formula>NOT(ISERROR(SEARCH("FALSE",B151)))</formula>
    </cfRule>
  </conditionalFormatting>
  <conditionalFormatting sqref="B165">
    <cfRule type="containsText" dxfId="2613" priority="3666" stopIfTrue="1" operator="containsText" text="FALSE">
      <formula>NOT(ISERROR(SEARCH("FALSE",B165)))</formula>
    </cfRule>
  </conditionalFormatting>
  <conditionalFormatting sqref="B166:B172 B174:B175">
    <cfRule type="containsText" dxfId="2612" priority="3665" stopIfTrue="1" operator="containsText" text="FALSE">
      <formula>NOT(ISERROR(SEARCH("FALSE",B166)))</formula>
    </cfRule>
  </conditionalFormatting>
  <conditionalFormatting sqref="B180">
    <cfRule type="containsText" dxfId="2611" priority="3664" stopIfTrue="1" operator="containsText" text="FALSE">
      <formula>NOT(ISERROR(SEARCH("FALSE",B180)))</formula>
    </cfRule>
  </conditionalFormatting>
  <conditionalFormatting sqref="B200">
    <cfRule type="containsText" dxfId="2610" priority="3661" stopIfTrue="1" operator="containsText" text="FALSE">
      <formula>NOT(ISERROR(SEARCH("FALSE",B200)))</formula>
    </cfRule>
  </conditionalFormatting>
  <conditionalFormatting sqref="B203">
    <cfRule type="containsText" dxfId="2609" priority="3660" stopIfTrue="1" operator="containsText" text="FALSE">
      <formula>NOT(ISERROR(SEARCH("FALSE",B203)))</formula>
    </cfRule>
  </conditionalFormatting>
  <conditionalFormatting sqref="B207">
    <cfRule type="containsText" dxfId="2608" priority="3659" stopIfTrue="1" operator="containsText" text="FALSE">
      <formula>NOT(ISERROR(SEARCH("FALSE",B207)))</formula>
    </cfRule>
  </conditionalFormatting>
  <conditionalFormatting sqref="B211:B212 AA213:AD213 AA211:AO212">
    <cfRule type="containsText" dxfId="2607" priority="3658" stopIfTrue="1" operator="containsText" text="FALSE">
      <formula>NOT(ISERROR(SEARCH("FALSE",B211)))</formula>
    </cfRule>
  </conditionalFormatting>
  <conditionalFormatting sqref="B210">
    <cfRule type="containsText" dxfId="2606" priority="3657" stopIfTrue="1" operator="containsText" text="FALSE">
      <formula>NOT(ISERROR(SEARCH("FALSE",B210)))</formula>
    </cfRule>
  </conditionalFormatting>
  <conditionalFormatting sqref="B89">
    <cfRule type="containsText" dxfId="2605" priority="3655" stopIfTrue="1" operator="containsText" text="FALSE">
      <formula>NOT(ISERROR(SEARCH("FALSE",B89)))</formula>
    </cfRule>
  </conditionalFormatting>
  <conditionalFormatting sqref="B98">
    <cfRule type="containsText" dxfId="2604" priority="3653" stopIfTrue="1" operator="containsText" text="FALSE">
      <formula>NOT(ISERROR(SEARCH("FALSE",B98)))</formula>
    </cfRule>
  </conditionalFormatting>
  <conditionalFormatting sqref="B99:B100">
    <cfRule type="containsText" dxfId="2603" priority="3651" stopIfTrue="1" operator="containsText" text="FALSE">
      <formula>NOT(ISERROR(SEARCH("FALSE",B99)))</formula>
    </cfRule>
  </conditionalFormatting>
  <conditionalFormatting sqref="B107:B108 B164">
    <cfRule type="containsText" dxfId="2602" priority="3650" stopIfTrue="1" operator="containsText" text="FALSE">
      <formula>NOT(ISERROR(SEARCH("FALSE",B107)))</formula>
    </cfRule>
  </conditionalFormatting>
  <conditionalFormatting sqref="B106">
    <cfRule type="containsText" dxfId="2601" priority="3649" stopIfTrue="1" operator="containsText" text="FALSE">
      <formula>NOT(ISERROR(SEARCH("FALSE",B106)))</formula>
    </cfRule>
  </conditionalFormatting>
  <conditionalFormatting sqref="AN71:AO71">
    <cfRule type="containsText" dxfId="2600" priority="3635" stopIfTrue="1" operator="containsText" text="FALSE">
      <formula>NOT(ISERROR(SEARCH("FALSE",AN71)))</formula>
    </cfRule>
  </conditionalFormatting>
  <conditionalFormatting sqref="S181:V182 S149:V155 S130:V130">
    <cfRule type="containsText" dxfId="2599" priority="3602" stopIfTrue="1" operator="containsText" text="FALSE">
      <formula>NOT(ISERROR(SEARCH("FALSE",S130)))</formula>
    </cfRule>
  </conditionalFormatting>
  <conditionalFormatting sqref="AN23:AO24">
    <cfRule type="containsText" dxfId="2598" priority="3633" stopIfTrue="1" operator="containsText" text="FALSE">
      <formula>NOT(ISERROR(SEARCH("FALSE",AN23)))</formula>
    </cfRule>
  </conditionalFormatting>
  <conditionalFormatting sqref="W181:Z182 W149:Z150 W130:Z130 W154:Z155 X181:AO181">
    <cfRule type="containsText" dxfId="2597" priority="3612" stopIfTrue="1" operator="containsText" text="FALSE">
      <formula>NOT(ISERROR(SEARCH("FALSE",W130)))</formula>
    </cfRule>
  </conditionalFormatting>
  <conditionalFormatting sqref="K156:N157 K159:N159">
    <cfRule type="containsText" dxfId="2596" priority="3580" stopIfTrue="1" operator="containsText" text="FALSE">
      <formula>NOT(ISERROR(SEARCH("FALSE",K156)))</formula>
    </cfRule>
  </conditionalFormatting>
  <conditionalFormatting sqref="B307:B310">
    <cfRule type="containsText" dxfId="2595" priority="3614" stopIfTrue="1" operator="containsText" text="FALSE">
      <formula>NOT(ISERROR(SEARCH("FALSE",B307)))</formula>
    </cfRule>
  </conditionalFormatting>
  <conditionalFormatting sqref="BP309:BW309">
    <cfRule type="containsText" dxfId="2594" priority="3613" stopIfTrue="1" operator="containsText" text="FALSE">
      <formula>NOT(ISERROR(SEARCH("FALSE",BP309)))</formula>
    </cfRule>
  </conditionalFormatting>
  <conditionalFormatting sqref="W97:Z98 W99:AO101">
    <cfRule type="containsText" dxfId="2593" priority="3611" stopIfTrue="1" operator="containsText" text="FALSE">
      <formula>NOT(ISERROR(SEARCH("FALSE",W97)))</formula>
    </cfRule>
  </conditionalFormatting>
  <conditionalFormatting sqref="W211:Z213">
    <cfRule type="containsText" dxfId="2592" priority="3609" stopIfTrue="1" operator="containsText" text="FALSE">
      <formula>NOT(ISERROR(SEARCH("FALSE",W211)))</formula>
    </cfRule>
  </conditionalFormatting>
  <conditionalFormatting sqref="S97:V101 S91:V91">
    <cfRule type="containsText" dxfId="2591" priority="3601" stopIfTrue="1" operator="containsText" text="FALSE">
      <formula>NOT(ISERROR(SEARCH("FALSE",S91)))</formula>
    </cfRule>
  </conditionalFormatting>
  <conditionalFormatting sqref="S156:V157 S159:V159">
    <cfRule type="containsText" dxfId="2590" priority="3600" stopIfTrue="1" operator="containsText" text="FALSE">
      <formula>NOT(ISERROR(SEARCH("FALSE",S156)))</formula>
    </cfRule>
  </conditionalFormatting>
  <conditionalFormatting sqref="S211:V213">
    <cfRule type="containsText" dxfId="2589" priority="3599" stopIfTrue="1" operator="containsText" text="FALSE">
      <formula>NOT(ISERROR(SEARCH("FALSE",S211)))</formula>
    </cfRule>
  </conditionalFormatting>
  <conditionalFormatting sqref="S92:AO92">
    <cfRule type="containsText" dxfId="2588" priority="3598" stopIfTrue="1" operator="containsText" text="FALSE">
      <formula>NOT(ISERROR(SEARCH("FALSE",S92)))</formula>
    </cfRule>
  </conditionalFormatting>
  <conditionalFormatting sqref="O181:R182 O149:R155 O130:R130">
    <cfRule type="containsText" dxfId="2587" priority="3592" stopIfTrue="1" operator="containsText" text="FALSE">
      <formula>NOT(ISERROR(SEARCH("FALSE",O130)))</formula>
    </cfRule>
  </conditionalFormatting>
  <conditionalFormatting sqref="O97:R101 O91:R91">
    <cfRule type="containsText" dxfId="2586" priority="3591" stopIfTrue="1" operator="containsText" text="FALSE">
      <formula>NOT(ISERROR(SEARCH("FALSE",O91)))</formula>
    </cfRule>
  </conditionalFormatting>
  <conditionalFormatting sqref="O156:R157 O159:R159">
    <cfRule type="containsText" dxfId="2585" priority="3590" stopIfTrue="1" operator="containsText" text="FALSE">
      <formula>NOT(ISERROR(SEARCH("FALSE",O156)))</formula>
    </cfRule>
  </conditionalFormatting>
  <conditionalFormatting sqref="O211:R213">
    <cfRule type="containsText" dxfId="2584" priority="3589" stopIfTrue="1" operator="containsText" text="FALSE">
      <formula>NOT(ISERROR(SEARCH("FALSE",O211)))</formula>
    </cfRule>
  </conditionalFormatting>
  <conditionalFormatting sqref="O92:R92">
    <cfRule type="containsText" dxfId="2583" priority="3588" stopIfTrue="1" operator="containsText" text="FALSE">
      <formula>NOT(ISERROR(SEARCH("FALSE",O92)))</formula>
    </cfRule>
  </conditionalFormatting>
  <conditionalFormatting sqref="K181:N182 K149:N155 K130:N130">
    <cfRule type="containsText" dxfId="2582" priority="3582" stopIfTrue="1" operator="containsText" text="FALSE">
      <formula>NOT(ISERROR(SEARCH("FALSE",K130)))</formula>
    </cfRule>
  </conditionalFormatting>
  <conditionalFormatting sqref="K97:N101 K91:N91">
    <cfRule type="containsText" dxfId="2581" priority="3581" stopIfTrue="1" operator="containsText" text="FALSE">
      <formula>NOT(ISERROR(SEARCH("FALSE",K91)))</formula>
    </cfRule>
  </conditionalFormatting>
  <conditionalFormatting sqref="K211:N213">
    <cfRule type="containsText" dxfId="2580" priority="3579" stopIfTrue="1" operator="containsText" text="FALSE">
      <formula>NOT(ISERROR(SEARCH("FALSE",K211)))</formula>
    </cfRule>
  </conditionalFormatting>
  <conditionalFormatting sqref="K92:N92">
    <cfRule type="containsText" dxfId="2579" priority="3578" stopIfTrue="1" operator="containsText" text="FALSE">
      <formula>NOT(ISERROR(SEARCH("FALSE",K92)))</formula>
    </cfRule>
  </conditionalFormatting>
  <conditionalFormatting sqref="G181:J182 G149:J155 G130:J130">
    <cfRule type="containsText" dxfId="2578" priority="3572" stopIfTrue="1" operator="containsText" text="FALSE">
      <formula>NOT(ISERROR(SEARCH("FALSE",G130)))</formula>
    </cfRule>
  </conditionalFormatting>
  <conditionalFormatting sqref="G97:J101 G91:J91">
    <cfRule type="containsText" dxfId="2577" priority="3571" stopIfTrue="1" operator="containsText" text="FALSE">
      <formula>NOT(ISERROR(SEARCH("FALSE",G91)))</formula>
    </cfRule>
  </conditionalFormatting>
  <conditionalFormatting sqref="G156:J157 G159:J159">
    <cfRule type="containsText" dxfId="2576" priority="3570" stopIfTrue="1" operator="containsText" text="FALSE">
      <formula>NOT(ISERROR(SEARCH("FALSE",G156)))</formula>
    </cfRule>
  </conditionalFormatting>
  <conditionalFormatting sqref="G211:J213">
    <cfRule type="containsText" dxfId="2575" priority="3569" stopIfTrue="1" operator="containsText" text="FALSE">
      <formula>NOT(ISERROR(SEARCH("FALSE",G211)))</formula>
    </cfRule>
  </conditionalFormatting>
  <conditionalFormatting sqref="G92:J92">
    <cfRule type="containsText" dxfId="2574" priority="3568" stopIfTrue="1" operator="containsText" text="FALSE">
      <formula>NOT(ISERROR(SEARCH("FALSE",G92)))</formula>
    </cfRule>
  </conditionalFormatting>
  <conditionalFormatting sqref="C181:F182 C149:F155 C130:F130">
    <cfRule type="containsText" dxfId="2573" priority="3562" stopIfTrue="1" operator="containsText" text="FALSE">
      <formula>NOT(ISERROR(SEARCH("FALSE",C130)))</formula>
    </cfRule>
  </conditionalFormatting>
  <conditionalFormatting sqref="C97:F101 C91:F91">
    <cfRule type="containsText" dxfId="2572" priority="3561" stopIfTrue="1" operator="containsText" text="FALSE">
      <formula>NOT(ISERROR(SEARCH("FALSE",C91)))</formula>
    </cfRule>
  </conditionalFormatting>
  <conditionalFormatting sqref="C156:F157 C159:F159">
    <cfRule type="containsText" dxfId="2571" priority="3560" stopIfTrue="1" operator="containsText" text="FALSE">
      <formula>NOT(ISERROR(SEARCH("FALSE",C156)))</formula>
    </cfRule>
  </conditionalFormatting>
  <conditionalFormatting sqref="C211:F213">
    <cfRule type="containsText" dxfId="2570" priority="3559" stopIfTrue="1" operator="containsText" text="FALSE">
      <formula>NOT(ISERROR(SEARCH("FALSE",C211)))</formula>
    </cfRule>
  </conditionalFormatting>
  <conditionalFormatting sqref="C92:F92">
    <cfRule type="containsText" dxfId="2569" priority="3558" stopIfTrue="1" operator="containsText" text="FALSE">
      <formula>NOT(ISERROR(SEARCH("FALSE",C92)))</formula>
    </cfRule>
  </conditionalFormatting>
  <conditionalFormatting sqref="W90:AM91">
    <cfRule type="containsText" dxfId="2568" priority="3547" stopIfTrue="1" operator="containsText" text="FALSE">
      <formula>NOT(ISERROR(SEARCH("FALSE",W90)))</formula>
    </cfRule>
  </conditionalFormatting>
  <conditionalFormatting sqref="W151:AM151 W153:AM153 W152:AK152">
    <cfRule type="containsText" dxfId="2567" priority="3541" stopIfTrue="1" operator="containsText" text="FALSE">
      <formula>NOT(ISERROR(SEARCH("FALSE",W151)))</formula>
    </cfRule>
  </conditionalFormatting>
  <conditionalFormatting sqref="W156:AM157">
    <cfRule type="containsText" dxfId="2566" priority="3539" stopIfTrue="1" operator="containsText" text="FALSE">
      <formula>NOT(ISERROR(SEARCH("FALSE",W156)))</formula>
    </cfRule>
  </conditionalFormatting>
  <conditionalFormatting sqref="AC124:AD126 AA124 AA126">
    <cfRule type="containsText" dxfId="2565" priority="3531" stopIfTrue="1" operator="containsText" text="FALSE">
      <formula>NOT(ISERROR(SEARCH("FALSE",AA124)))</formula>
    </cfRule>
  </conditionalFormatting>
  <conditionalFormatting sqref="W158:AM159 AI162:AM163">
    <cfRule type="containsText" dxfId="2564" priority="3536" stopIfTrue="1" operator="containsText" text="FALSE">
      <formula>NOT(ISERROR(SEARCH("FALSE",W158)))</formula>
    </cfRule>
  </conditionalFormatting>
  <conditionalFormatting sqref="AO124:AO126 AM124 AM126">
    <cfRule type="containsText" dxfId="2563" priority="3534" stopIfTrue="1" operator="containsText" text="FALSE">
      <formula>NOT(ISERROR(SEARCH("FALSE",AM124)))</formula>
    </cfRule>
  </conditionalFormatting>
  <conditionalFormatting sqref="AK124:AL126 AI124 AI126">
    <cfRule type="containsText" dxfId="2562" priority="3533" stopIfTrue="1" operator="containsText" text="FALSE">
      <formula>NOT(ISERROR(SEARCH("FALSE",AI124)))</formula>
    </cfRule>
  </conditionalFormatting>
  <conditionalFormatting sqref="AG124:AH126 AE124 AE126">
    <cfRule type="containsText" dxfId="2561" priority="3532" stopIfTrue="1" operator="containsText" text="FALSE">
      <formula>NOT(ISERROR(SEARCH("FALSE",AE124)))</formula>
    </cfRule>
  </conditionalFormatting>
  <conditionalFormatting sqref="Y124:Z126 W124 W126">
    <cfRule type="containsText" dxfId="2560" priority="3530" stopIfTrue="1" operator="containsText" text="FALSE">
      <formula>NOT(ISERROR(SEARCH("FALSE",W124)))</formula>
    </cfRule>
  </conditionalFormatting>
  <conditionalFormatting sqref="AM131:AM133 AO131:AO133 AO135">
    <cfRule type="containsText" dxfId="2559" priority="3529" stopIfTrue="1" operator="containsText" text="FALSE">
      <formula>NOT(ISERROR(SEARCH("FALSE",AM131)))</formula>
    </cfRule>
  </conditionalFormatting>
  <conditionalFormatting sqref="AI131:AI133 AK131:AL133">
    <cfRule type="containsText" dxfId="2558" priority="3528" stopIfTrue="1" operator="containsText" text="FALSE">
      <formula>NOT(ISERROR(SEARCH("FALSE",AI131)))</formula>
    </cfRule>
  </conditionalFormatting>
  <conditionalFormatting sqref="AE131:AE133 AG131:AH133">
    <cfRule type="containsText" dxfId="2557" priority="3527" stopIfTrue="1" operator="containsText" text="FALSE">
      <formula>NOT(ISERROR(SEARCH("FALSE",AE131)))</formula>
    </cfRule>
  </conditionalFormatting>
  <conditionalFormatting sqref="AA131:AA133 AC131:AD133">
    <cfRule type="containsText" dxfId="2556" priority="3526" stopIfTrue="1" operator="containsText" text="FALSE">
      <formula>NOT(ISERROR(SEARCH("FALSE",AA131)))</formula>
    </cfRule>
  </conditionalFormatting>
  <conditionalFormatting sqref="W131:W133 Y131:Z133 W135:AM135">
    <cfRule type="containsText" dxfId="2555" priority="3525" stopIfTrue="1" operator="containsText" text="FALSE">
      <formula>NOT(ISERROR(SEARCH("FALSE",W131)))</formula>
    </cfRule>
  </conditionalFormatting>
  <conditionalFormatting sqref="AO184">
    <cfRule type="containsText" dxfId="2554" priority="3521" stopIfTrue="1" operator="containsText" text="FALSE">
      <formula>NOT(ISERROR(SEARCH("FALSE",AO184)))</formula>
    </cfRule>
  </conditionalFormatting>
  <conditionalFormatting sqref="AA198 AC198:AE198 AG198:AI198 AK198:AM198">
    <cfRule type="containsText" dxfId="2553" priority="3520" stopIfTrue="1" operator="containsText" text="FALSE">
      <formula>NOT(ISERROR(SEARCH("FALSE",AA198)))</formula>
    </cfRule>
  </conditionalFormatting>
  <conditionalFormatting sqref="AA204:AO205">
    <cfRule type="containsText" dxfId="2552" priority="3519" stopIfTrue="1" operator="containsText" text="FALSE">
      <formula>NOT(ISERROR(SEARCH("FALSE",AA204)))</formula>
    </cfRule>
  </conditionalFormatting>
  <conditionalFormatting sqref="BU31:BV31">
    <cfRule type="containsText" dxfId="2551" priority="3514" stopIfTrue="1" operator="containsText" text="FALSE">
      <formula>NOT(ISERROR(SEARCH("FALSE",BU31)))</formula>
    </cfRule>
  </conditionalFormatting>
  <conditionalFormatting sqref="BW31">
    <cfRule type="containsText" dxfId="2550" priority="3513" stopIfTrue="1" operator="containsText" text="FALSE">
      <formula>NOT(ISERROR(SEARCH("FALSE",BW31)))</formula>
    </cfRule>
  </conditionalFormatting>
  <conditionalFormatting sqref="BV23:CA23">
    <cfRule type="containsText" dxfId="2549" priority="3512" stopIfTrue="1" operator="containsText" text="FALSE">
      <formula>NOT(ISERROR(SEARCH("FALSE",BV23)))</formula>
    </cfRule>
  </conditionalFormatting>
  <conditionalFormatting sqref="CA110">
    <cfRule type="containsText" dxfId="2548" priority="3511" stopIfTrue="1" operator="containsText" text="FALSE">
      <formula>NOT(ISERROR(SEARCH("FALSE",CA110)))</formula>
    </cfRule>
  </conditionalFormatting>
  <conditionalFormatting sqref="BX110:BZ110">
    <cfRule type="containsText" dxfId="2547" priority="3510" stopIfTrue="1" operator="containsText" text="FALSE">
      <formula>NOT(ISERROR(SEARCH("FALSE",BX110)))</formula>
    </cfRule>
  </conditionalFormatting>
  <conditionalFormatting sqref="BW110">
    <cfRule type="containsText" dxfId="2546" priority="3509" stopIfTrue="1" operator="containsText" text="FALSE">
      <formula>NOT(ISERROR(SEARCH("FALSE",BW110)))</formula>
    </cfRule>
  </conditionalFormatting>
  <conditionalFormatting sqref="BX111:CA111">
    <cfRule type="containsText" dxfId="2545" priority="3508" stopIfTrue="1" operator="containsText" text="FALSE">
      <formula>NOT(ISERROR(SEARCH("FALSE",BX111)))</formula>
    </cfRule>
  </conditionalFormatting>
  <conditionalFormatting sqref="AI81:AL81">
    <cfRule type="containsText" dxfId="2544" priority="3492" stopIfTrue="1" operator="containsText" text="FALSE">
      <formula>NOT(ISERROR(SEARCH("FALSE",AI81)))</formula>
    </cfRule>
  </conditionalFormatting>
  <conditionalFormatting sqref="AN75:AO75">
    <cfRule type="containsText" dxfId="2543" priority="3496" stopIfTrue="1" operator="containsText" text="FALSE">
      <formula>NOT(ISERROR(SEARCH("FALSE",AN75)))</formula>
    </cfRule>
  </conditionalFormatting>
  <conditionalFormatting sqref="BX198">
    <cfRule type="containsText" dxfId="2542" priority="3503" stopIfTrue="1" operator="containsText" text="FALSE">
      <formula>NOT(ISERROR(SEARCH("FALSE",BX198)))</formula>
    </cfRule>
  </conditionalFormatting>
  <conditionalFormatting sqref="BW198">
    <cfRule type="containsText" dxfId="2541" priority="3502" stopIfTrue="1" operator="containsText" text="FALSE">
      <formula>NOT(ISERROR(SEARCH("FALSE",BW198)))</formula>
    </cfRule>
  </conditionalFormatting>
  <conditionalFormatting sqref="AF78:AM78">
    <cfRule type="containsText" dxfId="2540" priority="3495" stopIfTrue="1" operator="containsText" text="FALSE">
      <formula>NOT(ISERROR(SEARCH("FALSE",AF78)))</formula>
    </cfRule>
  </conditionalFormatting>
  <conditionalFormatting sqref="W70:AM70">
    <cfRule type="containsText" dxfId="2539" priority="3497" stopIfTrue="1" operator="containsText" text="FALSE">
      <formula>NOT(ISERROR(SEARCH("FALSE",W70)))</formula>
    </cfRule>
  </conditionalFormatting>
  <conditionalFormatting sqref="AO82">
    <cfRule type="containsText" dxfId="2538" priority="3491" stopIfTrue="1" operator="containsText" text="FALSE">
      <formula>NOT(ISERROR(SEARCH("FALSE",AO82)))</formula>
    </cfRule>
  </conditionalFormatting>
  <conditionalFormatting sqref="AN78:AO78">
    <cfRule type="containsText" dxfId="2537" priority="3494" stopIfTrue="1" operator="containsText" text="FALSE">
      <formula>NOT(ISERROR(SEARCH("FALSE",AN78)))</formula>
    </cfRule>
  </conditionalFormatting>
  <conditionalFormatting sqref="AN81:AO81">
    <cfRule type="containsText" dxfId="2536" priority="3489" stopIfTrue="1" operator="containsText" text="FALSE">
      <formula>NOT(ISERROR(SEARCH("FALSE",AN81)))</formula>
    </cfRule>
  </conditionalFormatting>
  <conditionalFormatting sqref="AN70:AO70">
    <cfRule type="containsText" dxfId="2535" priority="3488" stopIfTrue="1" operator="containsText" text="FALSE">
      <formula>NOT(ISERROR(SEARCH("FALSE",AN70)))</formula>
    </cfRule>
  </conditionalFormatting>
  <conditionalFormatting sqref="W95:AD96">
    <cfRule type="containsText" dxfId="2534" priority="3479" stopIfTrue="1" operator="containsText" text="FALSE">
      <formula>NOT(ISERROR(SEARCH("FALSE",W95)))</formula>
    </cfRule>
  </conditionalFormatting>
  <conditionalFormatting sqref="AO79">
    <cfRule type="containsText" dxfId="2533" priority="3490" stopIfTrue="1" operator="containsText" text="FALSE">
      <formula>NOT(ISERROR(SEARCH("FALSE",AO79)))</formula>
    </cfRule>
  </conditionalFormatting>
  <conditionalFormatting sqref="AS211:AS212">
    <cfRule type="containsText" dxfId="2532" priority="3372" stopIfTrue="1" operator="containsText" text="FALSE">
      <formula>NOT(ISERROR(SEARCH("FALSE",AS211)))</formula>
    </cfRule>
  </conditionalFormatting>
  <conditionalFormatting sqref="AN72">
    <cfRule type="containsText" dxfId="2531" priority="3487" stopIfTrue="1" operator="containsText" text="FALSE">
      <formula>NOT(ISERROR(SEARCH("FALSE",AN72)))</formula>
    </cfRule>
  </conditionalFormatting>
  <conditionalFormatting sqref="BY22:BZ22">
    <cfRule type="containsText" dxfId="2530" priority="3484" stopIfTrue="1" operator="containsText" text="FALSE">
      <formula>NOT(ISERROR(SEARCH("FALSE",BY22)))</formula>
    </cfRule>
  </conditionalFormatting>
  <conditionalFormatting sqref="AO72">
    <cfRule type="containsText" dxfId="2529" priority="3486" stopIfTrue="1" operator="containsText" text="FALSE">
      <formula>NOT(ISERROR(SEARCH("FALSE",AO72)))</formula>
    </cfRule>
  </conditionalFormatting>
  <conditionalFormatting sqref="C118:AO118 C119:AM121 BZ119:CA120 BO119:BT119 BO118:CA118 BO120:BZ120 AN120:AO121 BX119:BZ119 BO121:CA121">
    <cfRule type="containsText" dxfId="2528" priority="3475" stopIfTrue="1" operator="containsText" text="FALSE">
      <formula>NOT(ISERROR(SEARCH("FALSE",C118)))</formula>
    </cfRule>
  </conditionalFormatting>
  <conditionalFormatting sqref="AE93:AM94 AE96:AM96 AE95:AJ95">
    <cfRule type="containsText" dxfId="2527" priority="3481" stopIfTrue="1" operator="containsText" text="FALSE">
      <formula>NOT(ISERROR(SEARCH("FALSE",AE93)))</formula>
    </cfRule>
  </conditionalFormatting>
  <conditionalFormatting sqref="B18:AO18 BO18:CA18">
    <cfRule type="containsText" dxfId="2526" priority="3460" stopIfTrue="1" operator="containsText" text="FALSE">
      <formula>NOT(ISERROR(SEARCH("FALSE",B18)))</formula>
    </cfRule>
  </conditionalFormatting>
  <conditionalFormatting sqref="G122:AO122">
    <cfRule type="containsText" dxfId="2525" priority="3477" stopIfTrue="1" operator="containsText" text="FALSE">
      <formula>NOT(ISERROR(SEARCH("FALSE",G122)))</formula>
    </cfRule>
  </conditionalFormatting>
  <conditionalFormatting sqref="BU119:BV119">
    <cfRule type="containsText" dxfId="2524" priority="3474" stopIfTrue="1" operator="containsText" text="FALSE">
      <formula>NOT(ISERROR(SEARCH("FALSE",BU119)))</formula>
    </cfRule>
  </conditionalFormatting>
  <conditionalFormatting sqref="BW119">
    <cfRule type="containsText" dxfId="2523" priority="3473" stopIfTrue="1" operator="containsText" text="FALSE">
      <formula>NOT(ISERROR(SEARCH("FALSE",BW119)))</formula>
    </cfRule>
  </conditionalFormatting>
  <conditionalFormatting sqref="BU194:BY194 BZ193:CA194 BX193:BY193">
    <cfRule type="containsText" dxfId="2522" priority="3450" stopIfTrue="1" operator="containsText" text="FALSE">
      <formula>NOT(ISERROR(SEARCH("FALSE",BU193)))</formula>
    </cfRule>
  </conditionalFormatting>
  <conditionalFormatting sqref="BP110:BV110">
    <cfRule type="containsText" dxfId="2521" priority="3459" stopIfTrue="1" operator="containsText" text="FALSE">
      <formula>NOT(ISERROR(SEARCH("FALSE",BP110)))</formula>
    </cfRule>
  </conditionalFormatting>
  <conditionalFormatting sqref="BR111:BW111">
    <cfRule type="containsText" dxfId="2520" priority="3458" stopIfTrue="1" operator="containsText" text="FALSE">
      <formula>NOT(ISERROR(SEARCH("FALSE",BR111)))</formula>
    </cfRule>
  </conditionalFormatting>
  <conditionalFormatting sqref="AS181">
    <cfRule type="containsText" dxfId="2519" priority="3368" stopIfTrue="1" operator="containsText" text="FALSE">
      <formula>NOT(ISERROR(SEARCH("FALSE",AS181)))</formula>
    </cfRule>
  </conditionalFormatting>
  <conditionalFormatting sqref="B27:B29">
    <cfRule type="containsText" dxfId="2518" priority="3439" stopIfTrue="1" operator="containsText" text="FALSE">
      <formula>NOT(ISERROR(SEARCH("FALSE",B27)))</formula>
    </cfRule>
  </conditionalFormatting>
  <conditionalFormatting sqref="BU28:CA28">
    <cfRule type="containsText" dxfId="2517" priority="3436" stopIfTrue="1" operator="containsText" text="FALSE">
      <formula>NOT(ISERROR(SEARCH("FALSE",BU28)))</formula>
    </cfRule>
  </conditionalFormatting>
  <conditionalFormatting sqref="BY184:CA184">
    <cfRule type="containsText" dxfId="2516" priority="3455" stopIfTrue="1" operator="containsText" text="FALSE">
      <formula>NOT(ISERROR(SEARCH("FALSE",BY184)))</formula>
    </cfRule>
  </conditionalFormatting>
  <conditionalFormatting sqref="CA97">
    <cfRule type="containsText" dxfId="2515" priority="3442" stopIfTrue="1" operator="containsText" text="FALSE">
      <formula>NOT(ISERROR(SEARCH("FALSE",CA97)))</formula>
    </cfRule>
  </conditionalFormatting>
  <conditionalFormatting sqref="BY185:CA185">
    <cfRule type="containsText" dxfId="2514" priority="3453" stopIfTrue="1" operator="containsText" text="FALSE">
      <formula>NOT(ISERROR(SEARCH("FALSE",BY185)))</formula>
    </cfRule>
  </conditionalFormatting>
  <conditionalFormatting sqref="BU193:BV193">
    <cfRule type="containsText" dxfId="2513" priority="3449" stopIfTrue="1" operator="containsText" text="FALSE">
      <formula>NOT(ISERROR(SEARCH("FALSE",BU193)))</formula>
    </cfRule>
  </conditionalFormatting>
  <conditionalFormatting sqref="BW193">
    <cfRule type="containsText" dxfId="2512" priority="3448" stopIfTrue="1" operator="containsText" text="FALSE">
      <formula>NOT(ISERROR(SEARCH("FALSE",BW193)))</formula>
    </cfRule>
  </conditionalFormatting>
  <conditionalFormatting sqref="A18">
    <cfRule type="containsText" dxfId="2511" priority="3375" stopIfTrue="1" operator="containsText" text="FALSE">
      <formula>NOT(ISERROR(SEARCH("FALSE",A18)))</formula>
    </cfRule>
  </conditionalFormatting>
  <conditionalFormatting sqref="BV198:BV200">
    <cfRule type="containsText" dxfId="2510" priority="3446" stopIfTrue="1" operator="containsText" text="FALSE">
      <formula>NOT(ISERROR(SEARCH("FALSE",BV198)))</formula>
    </cfRule>
  </conditionalFormatting>
  <conditionalFormatting sqref="BY200:CA200">
    <cfRule type="containsText" dxfId="2509" priority="3445" stopIfTrue="1" operator="containsText" text="FALSE">
      <formula>NOT(ISERROR(SEARCH("FALSE",BY200)))</formula>
    </cfRule>
  </conditionalFormatting>
  <conditionalFormatting sqref="BP28:BT28">
    <cfRule type="containsText" dxfId="2508" priority="3438" stopIfTrue="1" operator="containsText" text="FALSE">
      <formula>NOT(ISERROR(SEARCH("FALSE",BP28)))</formula>
    </cfRule>
  </conditionalFormatting>
  <conditionalFormatting sqref="BP115:BV115">
    <cfRule type="containsText" dxfId="2507" priority="3429" stopIfTrue="1" operator="containsText" text="FALSE">
      <formula>NOT(ISERROR(SEARCH("FALSE",BP115)))</formula>
    </cfRule>
  </conditionalFormatting>
  <conditionalFormatting sqref="A115 BO115 BY115:CA115 C115:AO116">
    <cfRule type="containsText" dxfId="2506" priority="3435" stopIfTrue="1" operator="containsText" text="FALSE">
      <formula>NOT(ISERROR(SEARCH("FALSE",A115)))</formula>
    </cfRule>
  </conditionalFormatting>
  <conditionalFormatting sqref="B115:B116">
    <cfRule type="containsText" dxfId="2505" priority="3434" stopIfTrue="1" operator="containsText" text="FALSE">
      <formula>NOT(ISERROR(SEARCH("FALSE",B115)))</formula>
    </cfRule>
  </conditionalFormatting>
  <conditionalFormatting sqref="BY116:CA116">
    <cfRule type="containsText" dxfId="2504" priority="3432" stopIfTrue="1" operator="containsText" text="FALSE">
      <formula>NOT(ISERROR(SEARCH("FALSE",BY116)))</formula>
    </cfRule>
  </conditionalFormatting>
  <conditionalFormatting sqref="BX115">
    <cfRule type="containsText" dxfId="2503" priority="3431" stopIfTrue="1" operator="containsText" text="FALSE">
      <formula>NOT(ISERROR(SEARCH("FALSE",BX115)))</formula>
    </cfRule>
  </conditionalFormatting>
  <conditionalFormatting sqref="BP189:BU189">
    <cfRule type="containsText" dxfId="2502" priority="3412" stopIfTrue="1" operator="containsText" text="FALSE">
      <formula>NOT(ISERROR(SEARCH("FALSE",BP189)))</formula>
    </cfRule>
  </conditionalFormatting>
  <conditionalFormatting sqref="BW115">
    <cfRule type="containsText" dxfId="2501" priority="3430" stopIfTrue="1" operator="containsText" text="FALSE">
      <formula>NOT(ISERROR(SEARCH("FALSE",BW115)))</formula>
    </cfRule>
  </conditionalFormatting>
  <conditionalFormatting sqref="BO30:CA30 A30:AO30">
    <cfRule type="containsText" dxfId="2500" priority="3396" stopIfTrue="1" operator="containsText" text="FALSE">
      <formula>NOT(ISERROR(SEARCH("FALSE",A30)))</formula>
    </cfRule>
  </conditionalFormatting>
  <conditionalFormatting sqref="BP116:BX116">
    <cfRule type="containsText" dxfId="2499" priority="3428" stopIfTrue="1" operator="containsText" text="FALSE">
      <formula>NOT(ISERROR(SEARCH("FALSE",BP116)))</formula>
    </cfRule>
  </conditionalFormatting>
  <conditionalFormatting sqref="BV189">
    <cfRule type="containsText" dxfId="2498" priority="3421" stopIfTrue="1" operator="containsText" text="FALSE">
      <formula>NOT(ISERROR(SEARCH("FALSE",BV189)))</formula>
    </cfRule>
  </conditionalFormatting>
  <conditionalFormatting sqref="A189 BY189:CA189 BO189:BO190 C189:AO190">
    <cfRule type="containsText" dxfId="2497" priority="3426" stopIfTrue="1" operator="containsText" text="FALSE">
      <formula>NOT(ISERROR(SEARCH("FALSE",A189)))</formula>
    </cfRule>
  </conditionalFormatting>
  <conditionalFormatting sqref="B189:B190">
    <cfRule type="containsText" dxfId="2496" priority="3425" stopIfTrue="1" operator="containsText" text="FALSE">
      <formula>NOT(ISERROR(SEARCH("FALSE",B189)))</formula>
    </cfRule>
  </conditionalFormatting>
  <conditionalFormatting sqref="BY190:CA190">
    <cfRule type="containsText" dxfId="2495" priority="3424" stopIfTrue="1" operator="containsText" text="FALSE">
      <formula>NOT(ISERROR(SEARCH("FALSE",BY190)))</formula>
    </cfRule>
  </conditionalFormatting>
  <conditionalFormatting sqref="BX189">
    <cfRule type="containsText" dxfId="2494" priority="3423" stopIfTrue="1" operator="containsText" text="FALSE">
      <formula>NOT(ISERROR(SEARCH("FALSE",BX189)))</formula>
    </cfRule>
  </conditionalFormatting>
  <conditionalFormatting sqref="BW189">
    <cfRule type="containsText" dxfId="2493" priority="3422" stopIfTrue="1" operator="containsText" text="FALSE">
      <formula>NOT(ISERROR(SEARCH("FALSE",BW189)))</formula>
    </cfRule>
  </conditionalFormatting>
  <conditionalFormatting sqref="BV190:BX190">
    <cfRule type="containsText" dxfId="2492" priority="3420" stopIfTrue="1" operator="containsText" text="FALSE">
      <formula>NOT(ISERROR(SEARCH("FALSE",BV190)))</formula>
    </cfRule>
  </conditionalFormatting>
  <conditionalFormatting sqref="BP185:BQ185">
    <cfRule type="containsText" dxfId="2491" priority="3419" stopIfTrue="1" operator="containsText" text="FALSE">
      <formula>NOT(ISERROR(SEARCH("FALSE",BP185)))</formula>
    </cfRule>
  </conditionalFormatting>
  <conditionalFormatting sqref="BX184">
    <cfRule type="containsText" dxfId="2490" priority="3418" stopIfTrue="1" operator="containsText" text="FALSE">
      <formula>NOT(ISERROR(SEARCH("FALSE",BX184)))</formula>
    </cfRule>
  </conditionalFormatting>
  <conditionalFormatting sqref="BW184">
    <cfRule type="containsText" dxfId="2489" priority="3417" stopIfTrue="1" operator="containsText" text="FALSE">
      <formula>NOT(ISERROR(SEARCH("FALSE",BW184)))</formula>
    </cfRule>
  </conditionalFormatting>
  <conditionalFormatting sqref="BX185">
    <cfRule type="containsText" dxfId="2488" priority="3416" stopIfTrue="1" operator="containsText" text="FALSE">
      <formula>NOT(ISERROR(SEARCH("FALSE",BX185)))</formula>
    </cfRule>
  </conditionalFormatting>
  <conditionalFormatting sqref="BP184:BV184">
    <cfRule type="containsText" dxfId="2487" priority="3415" stopIfTrue="1" operator="containsText" text="FALSE">
      <formula>NOT(ISERROR(SEARCH("FALSE",BP184)))</formula>
    </cfRule>
  </conditionalFormatting>
  <conditionalFormatting sqref="BR185:BW185">
    <cfRule type="containsText" dxfId="2486" priority="3414" stopIfTrue="1" operator="containsText" text="FALSE">
      <formula>NOT(ISERROR(SEARCH("FALSE",BR185)))</formula>
    </cfRule>
  </conditionalFormatting>
  <conditionalFormatting sqref="BP190:BQ190">
    <cfRule type="containsText" dxfId="2485" priority="3413" stopIfTrue="1" operator="containsText" text="FALSE">
      <formula>NOT(ISERROR(SEARCH("FALSE",BP190)))</formula>
    </cfRule>
  </conditionalFormatting>
  <conditionalFormatting sqref="BR190:BU190">
    <cfRule type="containsText" dxfId="2484" priority="3411" stopIfTrue="1" operator="containsText" text="FALSE">
      <formula>NOT(ISERROR(SEARCH("FALSE",BR190)))</formula>
    </cfRule>
  </conditionalFormatting>
  <conditionalFormatting sqref="BP241:BW241">
    <cfRule type="containsText" dxfId="2483" priority="3400" stopIfTrue="1" operator="containsText" text="FALSE">
      <formula>NOT(ISERROR(SEARCH("FALSE",BP241)))</formula>
    </cfRule>
  </conditionalFormatting>
  <conditionalFormatting sqref="BO214:BO217">
    <cfRule type="containsText" dxfId="2482" priority="3407" stopIfTrue="1" operator="containsText" text="FALSE">
      <formula>NOT(ISERROR(SEARCH("FALSE",BO214)))</formula>
    </cfRule>
  </conditionalFormatting>
  <conditionalFormatting sqref="A218:A220 BO218:CA219 BO220:BY220">
    <cfRule type="containsText" dxfId="2481" priority="3406" stopIfTrue="1" operator="containsText" text="FALSE">
      <formula>NOT(ISERROR(SEARCH("FALSE",A218)))</formula>
    </cfRule>
  </conditionalFormatting>
  <conditionalFormatting sqref="B215:AM220 B214:AH214">
    <cfRule type="containsText" dxfId="2480" priority="3403" stopIfTrue="1" operator="containsText" text="FALSE">
      <formula>NOT(ISERROR(SEARCH("FALSE",B214)))</formula>
    </cfRule>
  </conditionalFormatting>
  <conditionalFormatting sqref="B213">
    <cfRule type="containsText" dxfId="2479" priority="3402" stopIfTrue="1" operator="containsText" text="FALSE">
      <formula>NOT(ISERROR(SEARCH("FALSE",B213)))</formula>
    </cfRule>
  </conditionalFormatting>
  <conditionalFormatting sqref="BX241">
    <cfRule type="containsText" dxfId="2478" priority="3398" stopIfTrue="1" operator="containsText" text="FALSE">
      <formula>NOT(ISERROR(SEARCH("FALSE",BX241)))</formula>
    </cfRule>
  </conditionalFormatting>
  <conditionalFormatting sqref="BP238:BW239">
    <cfRule type="containsText" dxfId="2477" priority="3401" stopIfTrue="1" operator="containsText" text="FALSE">
      <formula>NOT(ISERROR(SEARCH("FALSE",BP238)))</formula>
    </cfRule>
  </conditionalFormatting>
  <conditionalFormatting sqref="BO33:CA33 A33:AO33">
    <cfRule type="containsText" dxfId="2476" priority="3397" stopIfTrue="1" operator="containsText" text="FALSE">
      <formula>NOT(ISERROR(SEARCH("FALSE",A33)))</formula>
    </cfRule>
  </conditionalFormatting>
  <conditionalFormatting sqref="AS148">
    <cfRule type="containsText" dxfId="2475" priority="3325" stopIfTrue="1" operator="containsText" text="FALSE">
      <formula>NOT(ISERROR(SEARCH("FALSE",AS148)))</formula>
    </cfRule>
  </conditionalFormatting>
  <conditionalFormatting sqref="BO148:CA148 C148:AO148">
    <cfRule type="containsText" dxfId="2474" priority="3393" stopIfTrue="1" operator="containsText" text="FALSE">
      <formula>NOT(ISERROR(SEARCH("FALSE",C148)))</formula>
    </cfRule>
  </conditionalFormatting>
  <conditionalFormatting sqref="A148:B148">
    <cfRule type="containsText" dxfId="2473" priority="3394" stopIfTrue="1" operator="containsText" text="FALSE">
      <formula>NOT(ISERROR(SEARCH("FALSE",A148)))</formula>
    </cfRule>
  </conditionalFormatting>
  <conditionalFormatting sqref="A201:B201">
    <cfRule type="containsText" dxfId="2472" priority="3390" stopIfTrue="1" operator="containsText" text="FALSE">
      <formula>NOT(ISERROR(SEARCH("FALSE",A201)))</formula>
    </cfRule>
  </conditionalFormatting>
  <conditionalFormatting sqref="A195:B195">
    <cfRule type="containsText" dxfId="2471" priority="3392" stopIfTrue="1" operator="containsText" text="FALSE">
      <formula>NOT(ISERROR(SEARCH("FALSE",A195)))</formula>
    </cfRule>
  </conditionalFormatting>
  <conditionalFormatting sqref="C195:AO195 BO195:CA195">
    <cfRule type="containsText" dxfId="2470" priority="3391" stopIfTrue="1" operator="containsText" text="FALSE">
      <formula>NOT(ISERROR(SEARCH("FALSE",C195)))</formula>
    </cfRule>
  </conditionalFormatting>
  <conditionalFormatting sqref="BO201:CA201 C201:AO201">
    <cfRule type="containsText" dxfId="2469" priority="3389" stopIfTrue="1" operator="containsText" text="FALSE">
      <formula>NOT(ISERROR(SEARCH("FALSE",C201)))</formula>
    </cfRule>
  </conditionalFormatting>
  <conditionalFormatting sqref="A305:AO305 BO305:CA305">
    <cfRule type="containsText" dxfId="2468" priority="3388" stopIfTrue="1" operator="containsText" text="FALSE">
      <formula>NOT(ISERROR(SEARCH("FALSE",A305)))</formula>
    </cfRule>
  </conditionalFormatting>
  <conditionalFormatting sqref="A314:AO314 BO314:CA314">
    <cfRule type="containsText" dxfId="2467" priority="3387" stopIfTrue="1" operator="containsText" text="FALSE">
      <formula>NOT(ISERROR(SEARCH("FALSE",A314)))</formula>
    </cfRule>
  </conditionalFormatting>
  <conditionalFormatting sqref="A319:AO319 BO319:CA319">
    <cfRule type="containsText" dxfId="2466" priority="3386" stopIfTrue="1" operator="containsText" text="FALSE">
      <formula>NOT(ISERROR(SEARCH("FALSE",A319)))</formula>
    </cfRule>
  </conditionalFormatting>
  <conditionalFormatting sqref="A324:AO324 BO324:CA324">
    <cfRule type="containsText" dxfId="2465" priority="3385" stopIfTrue="1" operator="containsText" text="FALSE">
      <formula>NOT(ISERROR(SEARCH("FALSE",A324)))</formula>
    </cfRule>
  </conditionalFormatting>
  <conditionalFormatting sqref="A329:AO329 BO329:CA329">
    <cfRule type="containsText" dxfId="2464" priority="3384" stopIfTrue="1" operator="containsText" text="FALSE">
      <formula>NOT(ISERROR(SEARCH("FALSE",A329)))</formula>
    </cfRule>
  </conditionalFormatting>
  <conditionalFormatting sqref="A335:AO335 BO335:CA335">
    <cfRule type="containsText" dxfId="2463" priority="3383" stopIfTrue="1" operator="containsText" text="FALSE">
      <formula>NOT(ISERROR(SEARCH("FALSE",A335)))</formula>
    </cfRule>
  </conditionalFormatting>
  <conditionalFormatting sqref="A345:AO345 BO345:CA345">
    <cfRule type="containsText" dxfId="2462" priority="3382" stopIfTrue="1" operator="containsText" text="FALSE">
      <formula>NOT(ISERROR(SEARCH("FALSE",A345)))</formula>
    </cfRule>
  </conditionalFormatting>
  <conditionalFormatting sqref="W56:AO56 W57:AH57">
    <cfRule type="containsText" dxfId="2461" priority="3381" stopIfTrue="1" operator="containsText" text="FALSE">
      <formula>NOT(ISERROR(SEARCH("FALSE",W56)))</formula>
    </cfRule>
  </conditionalFormatting>
  <conditionalFormatting sqref="AO225 AO228 AO232 AO235 AO240">
    <cfRule type="containsText" dxfId="2460" priority="3380" stopIfTrue="1" operator="containsText" text="FALSE">
      <formula>NOT(ISERROR(SEARCH("FALSE",AO225)))</formula>
    </cfRule>
  </conditionalFormatting>
  <conditionalFormatting sqref="AN215:AN220 AO217 AO220">
    <cfRule type="containsText" dxfId="2459" priority="3379" stopIfTrue="1" operator="containsText" text="FALSE">
      <formula>NOT(ISERROR(SEARCH("FALSE",AN215)))</formula>
    </cfRule>
  </conditionalFormatting>
  <conditionalFormatting sqref="AN336:AN343">
    <cfRule type="containsText" dxfId="2458" priority="3378" stopIfTrue="1" operator="containsText" text="FALSE">
      <formula>NOT(ISERROR(SEARCH("FALSE",AN336)))</formula>
    </cfRule>
  </conditionalFormatting>
  <conditionalFormatting sqref="AN31:AO31">
    <cfRule type="containsText" dxfId="2457" priority="3377" stopIfTrue="1" operator="containsText" text="FALSE">
      <formula>NOT(ISERROR(SEARCH("FALSE",AN31)))</formula>
    </cfRule>
  </conditionalFormatting>
  <conditionalFormatting sqref="AN119:AO119">
    <cfRule type="containsText" dxfId="2456" priority="3376" stopIfTrue="1" operator="containsText" text="FALSE">
      <formula>NOT(ISERROR(SEARCH("FALSE",AN119)))</formula>
    </cfRule>
  </conditionalFormatting>
  <conditionalFormatting sqref="AS149:AS150 AS32 AS165:AS172 AS196:AS197 AS194 AS123 AS185:AS188 AS181:AS183 AS191:AS192 AS25:AS28 AS111:AS114 AS117 AS306:AS313 AS315:AS318 AS320:AS323 AS325:AS328 AS330:AS334 AS336:AS344 AS346:AS353 AS19:AS21 AS2:AS5 AS102:AS109 AS296:AS304 AS61 AS7:AS12 AS14 AS34 AS66:AS68">
    <cfRule type="containsText" dxfId="2455" priority="3374" stopIfTrue="1" operator="containsText" text="FALSE">
      <formula>NOT(ISERROR(SEARCH("FALSE",AS2)))</formula>
    </cfRule>
  </conditionalFormatting>
  <conditionalFormatting sqref="AS97:AS98">
    <cfRule type="containsText" dxfId="2454" priority="3373" stopIfTrue="1" operator="containsText" text="FALSE">
      <formula>NOT(ISERROR(SEARCH("FALSE",AS97)))</formula>
    </cfRule>
  </conditionalFormatting>
  <conditionalFormatting sqref="AS23:AS24">
    <cfRule type="containsText" dxfId="2453" priority="3369" stopIfTrue="1" operator="containsText" text="FALSE">
      <formula>NOT(ISERROR(SEARCH("FALSE",AS23)))</formula>
    </cfRule>
  </conditionalFormatting>
  <conditionalFormatting sqref="AS99:AS101">
    <cfRule type="containsText" dxfId="2452" priority="3367" stopIfTrue="1" operator="containsText" text="FALSE">
      <formula>NOT(ISERROR(SEARCH("FALSE",AS99)))</formula>
    </cfRule>
  </conditionalFormatting>
  <conditionalFormatting sqref="AS324">
    <cfRule type="containsText" dxfId="2451" priority="3319" stopIfTrue="1" operator="containsText" text="FALSE">
      <formula>NOT(ISERROR(SEARCH("FALSE",AS324)))</formula>
    </cfRule>
  </conditionalFormatting>
  <conditionalFormatting sqref="AS335">
    <cfRule type="containsText" dxfId="2450" priority="3317" stopIfTrue="1" operator="containsText" text="FALSE">
      <formula>NOT(ISERROR(SEARCH("FALSE",AS335)))</formula>
    </cfRule>
  </conditionalFormatting>
  <conditionalFormatting sqref="AQ97:AR98">
    <cfRule type="containsText" dxfId="2449" priority="3308" stopIfTrue="1" operator="containsText" text="FALSE">
      <formula>NOT(ISERROR(SEARCH("FALSE",AQ97)))</formula>
    </cfRule>
  </conditionalFormatting>
  <conditionalFormatting sqref="AS184">
    <cfRule type="containsText" dxfId="2448" priority="3350" stopIfTrue="1" operator="containsText" text="FALSE">
      <formula>NOT(ISERROR(SEARCH("FALSE",AS184)))</formula>
    </cfRule>
  </conditionalFormatting>
  <conditionalFormatting sqref="AQ99:AR101">
    <cfRule type="containsText" dxfId="2447" priority="3302" stopIfTrue="1" operator="containsText" text="FALSE">
      <formula>NOT(ISERROR(SEARCH("FALSE",AQ99)))</formula>
    </cfRule>
  </conditionalFormatting>
  <conditionalFormatting sqref="AQ23:AR24">
    <cfRule type="containsText" dxfId="2446" priority="3304" stopIfTrue="1" operator="containsText" text="FALSE">
      <formula>NOT(ISERROR(SEARCH("FALSE",AQ23)))</formula>
    </cfRule>
  </conditionalFormatting>
  <conditionalFormatting sqref="AQ131:AR133 AQ135:AR135">
    <cfRule type="containsText" dxfId="2445" priority="3295" stopIfTrue="1" operator="containsText" text="FALSE">
      <formula>NOT(ISERROR(SEARCH("FALSE",AQ131)))</formula>
    </cfRule>
  </conditionalFormatting>
  <conditionalFormatting sqref="AS118 AS120:AS121">
    <cfRule type="containsText" dxfId="2444" priority="3332" stopIfTrue="1" operator="containsText" text="FALSE">
      <formula>NOT(ISERROR(SEARCH("FALSE",AS118)))</formula>
    </cfRule>
  </conditionalFormatting>
  <conditionalFormatting sqref="AQ204:AR205">
    <cfRule type="containsText" dxfId="2443" priority="3292" stopIfTrue="1" operator="containsText" text="FALSE">
      <formula>NOT(ISERROR(SEARCH("FALSE",AQ204)))</formula>
    </cfRule>
  </conditionalFormatting>
  <conditionalFormatting sqref="AS18">
    <cfRule type="containsText" dxfId="2442" priority="3331" stopIfTrue="1" operator="containsText" text="FALSE">
      <formula>NOT(ISERROR(SEARCH("FALSE",AS18)))</formula>
    </cfRule>
  </conditionalFormatting>
  <conditionalFormatting sqref="AS122">
    <cfRule type="containsText" dxfId="2441" priority="3333" stopIfTrue="1" operator="containsText" text="FALSE">
      <formula>NOT(ISERROR(SEARCH("FALSE",AS122)))</formula>
    </cfRule>
  </conditionalFormatting>
  <conditionalFormatting sqref="AS115:AS116">
    <cfRule type="containsText" dxfId="2440" priority="3330" stopIfTrue="1" operator="containsText" text="FALSE">
      <formula>NOT(ISERROR(SEARCH("FALSE",AS115)))</formula>
    </cfRule>
  </conditionalFormatting>
  <conditionalFormatting sqref="AS189:AS190">
    <cfRule type="containsText" dxfId="2439" priority="3329" stopIfTrue="1" operator="containsText" text="FALSE">
      <formula>NOT(ISERROR(SEARCH("FALSE",AS189)))</formula>
    </cfRule>
  </conditionalFormatting>
  <conditionalFormatting sqref="AQ72:AR72">
    <cfRule type="containsText" dxfId="2438" priority="3285" stopIfTrue="1" operator="containsText" text="FALSE">
      <formula>NOT(ISERROR(SEARCH("FALSE",AQ72)))</formula>
    </cfRule>
  </conditionalFormatting>
  <conditionalFormatting sqref="AS33">
    <cfRule type="containsText" dxfId="2437" priority="3327" stopIfTrue="1" operator="containsText" text="FALSE">
      <formula>NOT(ISERROR(SEARCH("FALSE",AS33)))</formula>
    </cfRule>
  </conditionalFormatting>
  <conditionalFormatting sqref="AS30">
    <cfRule type="containsText" dxfId="2436" priority="3326" stopIfTrue="1" operator="containsText" text="FALSE">
      <formula>NOT(ISERROR(SEARCH("FALSE",AS30)))</formula>
    </cfRule>
  </conditionalFormatting>
  <conditionalFormatting sqref="AS195">
    <cfRule type="containsText" dxfId="2435" priority="3324" stopIfTrue="1" operator="containsText" text="FALSE">
      <formula>NOT(ISERROR(SEARCH("FALSE",AS195)))</formula>
    </cfRule>
  </conditionalFormatting>
  <conditionalFormatting sqref="AS305">
    <cfRule type="containsText" dxfId="2434" priority="3322" stopIfTrue="1" operator="containsText" text="FALSE">
      <formula>NOT(ISERROR(SEARCH("FALSE",AS305)))</formula>
    </cfRule>
  </conditionalFormatting>
  <conditionalFormatting sqref="AS314">
    <cfRule type="containsText" dxfId="2433" priority="3321" stopIfTrue="1" operator="containsText" text="FALSE">
      <formula>NOT(ISERROR(SEARCH("FALSE",AS314)))</formula>
    </cfRule>
  </conditionalFormatting>
  <conditionalFormatting sqref="AS319">
    <cfRule type="containsText" dxfId="2432" priority="3320" stopIfTrue="1" operator="containsText" text="FALSE">
      <formula>NOT(ISERROR(SEARCH("FALSE",AS319)))</formula>
    </cfRule>
  </conditionalFormatting>
  <conditionalFormatting sqref="AS329">
    <cfRule type="containsText" dxfId="2431" priority="3318" stopIfTrue="1" operator="containsText" text="FALSE">
      <formula>NOT(ISERROR(SEARCH("FALSE",AS329)))</formula>
    </cfRule>
  </conditionalFormatting>
  <conditionalFormatting sqref="AS345">
    <cfRule type="containsText" dxfId="2430" priority="3316" stopIfTrue="1" operator="containsText" text="FALSE">
      <formula>NOT(ISERROR(SEARCH("FALSE",AS345)))</formula>
    </cfRule>
  </conditionalFormatting>
  <conditionalFormatting sqref="AQ324:AR324">
    <cfRule type="containsText" dxfId="2429" priority="3271" stopIfTrue="1" operator="containsText" text="FALSE">
      <formula>NOT(ISERROR(SEARCH("FALSE",AQ324)))</formula>
    </cfRule>
  </conditionalFormatting>
  <conditionalFormatting sqref="AQ329:AR329">
    <cfRule type="containsText" dxfId="2428" priority="3270" stopIfTrue="1" operator="containsText" text="FALSE">
      <formula>NOT(ISERROR(SEARCH("FALSE",AQ329)))</formula>
    </cfRule>
  </conditionalFormatting>
  <conditionalFormatting sqref="AQ335:AR335">
    <cfRule type="containsText" dxfId="2427" priority="3269" stopIfTrue="1" operator="containsText" text="FALSE">
      <formula>NOT(ISERROR(SEARCH("FALSE",AQ335)))</formula>
    </cfRule>
  </conditionalFormatting>
  <conditionalFormatting sqref="AQ345:AR345">
    <cfRule type="containsText" dxfId="2426" priority="3268" stopIfTrue="1" operator="containsText" text="FALSE">
      <formula>NOT(ISERROR(SEARCH("FALSE",AQ345)))</formula>
    </cfRule>
  </conditionalFormatting>
  <conditionalFormatting sqref="AQ56:AR56 AQ57">
    <cfRule type="containsText" dxfId="2425" priority="3267" stopIfTrue="1" operator="containsText" text="FALSE">
      <formula>NOT(ISERROR(SEARCH("FALSE",AQ56)))</formula>
    </cfRule>
  </conditionalFormatting>
  <conditionalFormatting sqref="AQ73:AR73 AQ149:AR150 AQ130:AR130 AQ154:AR155 AQ202:AR202 AQ41:AR41 AQ54:AR54 AQ76:AR76 AQ68:AR69 AQ46 AQ59 AQ32:AR32 AQ164:AR172 AQ196:AR197 AQ194:AR194 AQ206:AR209 AQ123:AR123 AQ185:AR188 AQ181:AR183 AQ191:AR192 AQ25:AR28 AQ111:AR114 AQ117:AR117 AQ199:AR200 AQ306:AR313 AQ315:AR318 AQ320:AR323 AQ325:AR328 AQ330:AR334 AQ36:AR39 AQ246:AR246 AQ336:AR344 AQ346:AR353 AQ19:AR21 AQ2:AR5 AQ102:AR109 AR14 AQ7:AR12 AQ296:AR304 AR34 AQ88:AR89 AR43:AR44 AR61 AQ84:AQ85 AR245 AR66:AR67">
    <cfRule type="containsText" dxfId="2424" priority="3309" stopIfTrue="1" operator="containsText" text="FALSE">
      <formula>NOT(ISERROR(SEARCH("FALSE",AQ2)))</formula>
    </cfRule>
  </conditionalFormatting>
  <conditionalFormatting sqref="AQ211:AR212">
    <cfRule type="containsText" dxfId="2423" priority="3307" stopIfTrue="1" operator="containsText" text="FALSE">
      <formula>NOT(ISERROR(SEARCH("FALSE",AQ211)))</formula>
    </cfRule>
  </conditionalFormatting>
  <conditionalFormatting sqref="AQ42:AR42">
    <cfRule type="containsText" dxfId="2422" priority="3306" stopIfTrue="1" operator="containsText" text="FALSE">
      <formula>NOT(ISERROR(SEARCH("FALSE",AQ42)))</formula>
    </cfRule>
  </conditionalFormatting>
  <conditionalFormatting sqref="AQ71:AR71">
    <cfRule type="containsText" dxfId="2421" priority="3305" stopIfTrue="1" operator="containsText" text="FALSE">
      <formula>NOT(ISERROR(SEARCH("FALSE",AQ71)))</formula>
    </cfRule>
  </conditionalFormatting>
  <conditionalFormatting sqref="AQ181:AR181">
    <cfRule type="containsText" dxfId="2420" priority="3303" stopIfTrue="1" operator="containsText" text="FALSE">
      <formula>NOT(ISERROR(SEARCH("FALSE",AQ181)))</formula>
    </cfRule>
  </conditionalFormatting>
  <conditionalFormatting sqref="AQ92:AR92">
    <cfRule type="containsText" dxfId="2419" priority="3301" stopIfTrue="1" operator="containsText" text="FALSE">
      <formula>NOT(ISERROR(SEARCH("FALSE",AQ92)))</formula>
    </cfRule>
  </conditionalFormatting>
  <conditionalFormatting sqref="AQ55:AR55">
    <cfRule type="containsText" dxfId="2418" priority="3299" stopIfTrue="1" operator="containsText" text="FALSE">
      <formula>NOT(ISERROR(SEARCH("FALSE",AQ55)))</formula>
    </cfRule>
  </conditionalFormatting>
  <conditionalFormatting sqref="AQ124:AR126">
    <cfRule type="containsText" dxfId="2417" priority="3296" stopIfTrue="1" operator="containsText" text="FALSE">
      <formula>NOT(ISERROR(SEARCH("FALSE",AQ124)))</formula>
    </cfRule>
  </conditionalFormatting>
  <conditionalFormatting sqref="AQ184:AR184">
    <cfRule type="containsText" dxfId="2416" priority="3294" stopIfTrue="1" operator="containsText" text="FALSE">
      <formula>NOT(ISERROR(SEARCH("FALSE",AQ184)))</formula>
    </cfRule>
  </conditionalFormatting>
  <conditionalFormatting sqref="AQ198:AR198">
    <cfRule type="containsText" dxfId="2415" priority="3293" stopIfTrue="1" operator="containsText" text="FALSE">
      <formula>NOT(ISERROR(SEARCH("FALSE",AQ198)))</formula>
    </cfRule>
  </conditionalFormatting>
  <conditionalFormatting sqref="AQ75:AR75">
    <cfRule type="containsText" dxfId="2414" priority="3291" stopIfTrue="1" operator="containsText" text="FALSE">
      <formula>NOT(ISERROR(SEARCH("FALSE",AQ75)))</formula>
    </cfRule>
  </conditionalFormatting>
  <conditionalFormatting sqref="AQ78:AR78">
    <cfRule type="containsText" dxfId="2413" priority="3290" stopIfTrue="1" operator="containsText" text="FALSE">
      <formula>NOT(ISERROR(SEARCH("FALSE",AQ78)))</formula>
    </cfRule>
  </conditionalFormatting>
  <conditionalFormatting sqref="AQ81:AR81">
    <cfRule type="containsText" dxfId="2412" priority="3287" stopIfTrue="1" operator="containsText" text="FALSE">
      <formula>NOT(ISERROR(SEARCH("FALSE",AQ81)))</formula>
    </cfRule>
  </conditionalFormatting>
  <conditionalFormatting sqref="AQ70:AR70">
    <cfRule type="containsText" dxfId="2411" priority="3286" stopIfTrue="1" operator="containsText" text="FALSE">
      <formula>NOT(ISERROR(SEARCH("FALSE",AQ70)))</formula>
    </cfRule>
  </conditionalFormatting>
  <conditionalFormatting sqref="AQ79:AR79">
    <cfRule type="containsText" dxfId="2410" priority="3288" stopIfTrue="1" operator="containsText" text="FALSE">
      <formula>NOT(ISERROR(SEARCH("FALSE",AQ79)))</formula>
    </cfRule>
  </conditionalFormatting>
  <conditionalFormatting sqref="AQ118:AR118 AQ120:AR121">
    <cfRule type="containsText" dxfId="2409" priority="3283" stopIfTrue="1" operator="containsText" text="FALSE">
      <formula>NOT(ISERROR(SEARCH("FALSE",AQ118)))</formula>
    </cfRule>
  </conditionalFormatting>
  <conditionalFormatting sqref="AQ18:AR18">
    <cfRule type="containsText" dxfId="2408" priority="3282" stopIfTrue="1" operator="containsText" text="FALSE">
      <formula>NOT(ISERROR(SEARCH("FALSE",AQ18)))</formula>
    </cfRule>
  </conditionalFormatting>
  <conditionalFormatting sqref="AQ122:AR122">
    <cfRule type="containsText" dxfId="2407" priority="3284" stopIfTrue="1" operator="containsText" text="FALSE">
      <formula>NOT(ISERROR(SEARCH("FALSE",AQ122)))</formula>
    </cfRule>
  </conditionalFormatting>
  <conditionalFormatting sqref="AQ115:AR116">
    <cfRule type="containsText" dxfId="2406" priority="3281" stopIfTrue="1" operator="containsText" text="FALSE">
      <formula>NOT(ISERROR(SEARCH("FALSE",AQ115)))</formula>
    </cfRule>
  </conditionalFormatting>
  <conditionalFormatting sqref="AQ189:AR190">
    <cfRule type="containsText" dxfId="2405" priority="3280" stopIfTrue="1" operator="containsText" text="FALSE">
      <formula>NOT(ISERROR(SEARCH("FALSE",AQ189)))</formula>
    </cfRule>
  </conditionalFormatting>
  <conditionalFormatting sqref="AQ33:AR33">
    <cfRule type="containsText" dxfId="2404" priority="3279" stopIfTrue="1" operator="containsText" text="FALSE">
      <formula>NOT(ISERROR(SEARCH("FALSE",AQ33)))</formula>
    </cfRule>
  </conditionalFormatting>
  <conditionalFormatting sqref="AQ30:AR30">
    <cfRule type="containsText" dxfId="2403" priority="3278" stopIfTrue="1" operator="containsText" text="FALSE">
      <formula>NOT(ISERROR(SEARCH("FALSE",AQ30)))</formula>
    </cfRule>
  </conditionalFormatting>
  <conditionalFormatting sqref="AQ148:AR148">
    <cfRule type="containsText" dxfId="2402" priority="3277" stopIfTrue="1" operator="containsText" text="FALSE">
      <formula>NOT(ISERROR(SEARCH("FALSE",AQ148)))</formula>
    </cfRule>
  </conditionalFormatting>
  <conditionalFormatting sqref="AQ195:AR195">
    <cfRule type="containsText" dxfId="2401" priority="3276" stopIfTrue="1" operator="containsText" text="FALSE">
      <formula>NOT(ISERROR(SEARCH("FALSE",AQ195)))</formula>
    </cfRule>
  </conditionalFormatting>
  <conditionalFormatting sqref="AQ201:AR201">
    <cfRule type="containsText" dxfId="2400" priority="3275" stopIfTrue="1" operator="containsText" text="FALSE">
      <formula>NOT(ISERROR(SEARCH("FALSE",AQ201)))</formula>
    </cfRule>
  </conditionalFormatting>
  <conditionalFormatting sqref="AQ305:AR305">
    <cfRule type="containsText" dxfId="2399" priority="3274" stopIfTrue="1" operator="containsText" text="FALSE">
      <formula>NOT(ISERROR(SEARCH("FALSE",AQ305)))</formula>
    </cfRule>
  </conditionalFormatting>
  <conditionalFormatting sqref="AQ314:AR314">
    <cfRule type="containsText" dxfId="2398" priority="3273" stopIfTrue="1" operator="containsText" text="FALSE">
      <formula>NOT(ISERROR(SEARCH("FALSE",AQ314)))</formula>
    </cfRule>
  </conditionalFormatting>
  <conditionalFormatting sqref="AQ319:AR319">
    <cfRule type="containsText" dxfId="2397" priority="3272" stopIfTrue="1" operator="containsText" text="FALSE">
      <formula>NOT(ISERROR(SEARCH("FALSE",AQ319)))</formula>
    </cfRule>
  </conditionalFormatting>
  <conditionalFormatting sqref="BY124:BZ127">
    <cfRule type="containsText" dxfId="2396" priority="3266" stopIfTrue="1" operator="containsText" text="FALSE">
      <formula>NOT(ISERROR(SEARCH("FALSE",BY124)))</formula>
    </cfRule>
  </conditionalFormatting>
  <conditionalFormatting sqref="BY131:BZ132">
    <cfRule type="containsText" dxfId="2395" priority="3265" stopIfTrue="1" operator="containsText" text="FALSE">
      <formula>NOT(ISERROR(SEARCH("FALSE",BY131)))</formula>
    </cfRule>
  </conditionalFormatting>
  <conditionalFormatting sqref="BY133:BZ133">
    <cfRule type="containsText" dxfId="2394" priority="3264" stopIfTrue="1" operator="containsText" text="FALSE">
      <formula>NOT(ISERROR(SEARCH("FALSE",BY133)))</formula>
    </cfRule>
  </conditionalFormatting>
  <conditionalFormatting sqref="BY135:BZ135">
    <cfRule type="containsText" dxfId="2393" priority="3263" stopIfTrue="1" operator="containsText" text="FALSE">
      <formula>NOT(ISERROR(SEARCH("FALSE",BY135)))</formula>
    </cfRule>
  </conditionalFormatting>
  <conditionalFormatting sqref="BX166:BZ172">
    <cfRule type="containsText" dxfId="2392" priority="3262" stopIfTrue="1" operator="containsText" text="FALSE">
      <formula>NOT(ISERROR(SEARCH("FALSE",BX166)))</formula>
    </cfRule>
  </conditionalFormatting>
  <conditionalFormatting sqref="BX181:CA181">
    <cfRule type="containsText" dxfId="2391" priority="3261" stopIfTrue="1" operator="containsText" text="FALSE">
      <formula>NOT(ISERROR(SEARCH("FALSE",BX181)))</formula>
    </cfRule>
  </conditionalFormatting>
  <conditionalFormatting sqref="BX181:CA181">
    <cfRule type="containsText" dxfId="2390" priority="3260" stopIfTrue="1" operator="containsText" text="FALSE">
      <formula>NOT(ISERROR(SEARCH("FALSE",BX181)))</formula>
    </cfRule>
  </conditionalFormatting>
  <conditionalFormatting sqref="BY198:BZ198">
    <cfRule type="containsText" dxfId="2389" priority="3256" stopIfTrue="1" operator="containsText" text="FALSE">
      <formula>NOT(ISERROR(SEARCH("FALSE",BY198)))</formula>
    </cfRule>
  </conditionalFormatting>
  <conditionalFormatting sqref="BY199:CA199">
    <cfRule type="containsText" dxfId="2388" priority="3255" stopIfTrue="1" operator="containsText" text="FALSE">
      <formula>NOT(ISERROR(SEARCH("FALSE",BY199)))</formula>
    </cfRule>
  </conditionalFormatting>
  <conditionalFormatting sqref="BX214:CA214">
    <cfRule type="containsText" dxfId="2387" priority="3254" stopIfTrue="1" operator="containsText" text="FALSE">
      <formula>NOT(ISERROR(SEARCH("FALSE",BX214)))</formula>
    </cfRule>
  </conditionalFormatting>
  <conditionalFormatting sqref="BX113:CA113">
    <cfRule type="containsText" dxfId="2386" priority="3253" stopIfTrue="1" operator="containsText" text="FALSE">
      <formula>NOT(ISERROR(SEARCH("FALSE",BX113)))</formula>
    </cfRule>
  </conditionalFormatting>
  <conditionalFormatting sqref="BX186:CA186">
    <cfRule type="containsText" dxfId="2385" priority="3251" stopIfTrue="1" operator="containsText" text="FALSE">
      <formula>NOT(ISERROR(SEARCH("FALSE",BX186)))</formula>
    </cfRule>
  </conditionalFormatting>
  <conditionalFormatting sqref="BY36:BZ36 BY55:BZ55 BY51:BZ53 BY60:BZ61 BY76:BZ76 BY89:BZ98 BY79:BZ79 BY82:BZ82 BY101:BZ101 BY105:BZ105 BY38:BZ42 BY88">
    <cfRule type="containsText" dxfId="2384" priority="3250" stopIfTrue="1" operator="containsText" text="FALSE">
      <formula>NOT(ISERROR(SEARCH("FALSE",BY36)))</formula>
    </cfRule>
  </conditionalFormatting>
  <conditionalFormatting sqref="BY45:BZ45">
    <cfRule type="containsText" dxfId="2383" priority="3249" stopIfTrue="1" operator="containsText" text="FALSE">
      <formula>NOT(ISERROR(SEARCH("FALSE",BY45)))</formula>
    </cfRule>
  </conditionalFormatting>
  <conditionalFormatting sqref="BY43:BZ43">
    <cfRule type="containsText" dxfId="2382" priority="3247" stopIfTrue="1" operator="containsText" text="FALSE">
      <formula>NOT(ISERROR(SEARCH("FALSE",BY43)))</formula>
    </cfRule>
  </conditionalFormatting>
  <conditionalFormatting sqref="BY58:BZ58">
    <cfRule type="containsText" dxfId="2381" priority="3246" stopIfTrue="1" operator="containsText" text="FALSE">
      <formula>NOT(ISERROR(SEARCH("FALSE",BY58)))</formula>
    </cfRule>
  </conditionalFormatting>
  <conditionalFormatting sqref="BY59:BZ59">
    <cfRule type="containsText" dxfId="2380" priority="3245" stopIfTrue="1" operator="containsText" text="FALSE">
      <formula>NOT(ISERROR(SEARCH("FALSE",BY59)))</formula>
    </cfRule>
  </conditionalFormatting>
  <conditionalFormatting sqref="BX99:BX100">
    <cfRule type="containsText" dxfId="2379" priority="3244" stopIfTrue="1" operator="containsText" text="FALSE">
      <formula>NOT(ISERROR(SEARCH("FALSE",BX99)))</formula>
    </cfRule>
  </conditionalFormatting>
  <conditionalFormatting sqref="BY99:BZ100">
    <cfRule type="containsText" dxfId="2378" priority="3243" stopIfTrue="1" operator="containsText" text="FALSE">
      <formula>NOT(ISERROR(SEARCH("FALSE",BY99)))</formula>
    </cfRule>
  </conditionalFormatting>
  <conditionalFormatting sqref="BX102:BX103">
    <cfRule type="containsText" dxfId="2377" priority="3242" stopIfTrue="1" operator="containsText" text="FALSE">
      <formula>NOT(ISERROR(SEARCH("FALSE",BX102)))</formula>
    </cfRule>
  </conditionalFormatting>
  <conditionalFormatting sqref="BY102:BZ103">
    <cfRule type="containsText" dxfId="2376" priority="3241" stopIfTrue="1" operator="containsText" text="FALSE">
      <formula>NOT(ISERROR(SEARCH("FALSE",BY102)))</formula>
    </cfRule>
  </conditionalFormatting>
  <conditionalFormatting sqref="BX104">
    <cfRule type="containsText" dxfId="2375" priority="3240" stopIfTrue="1" operator="containsText" text="FALSE">
      <formula>NOT(ISERROR(SEARCH("FALSE",BX104)))</formula>
    </cfRule>
  </conditionalFormatting>
  <conditionalFormatting sqref="BY104:BZ104">
    <cfRule type="containsText" dxfId="2374" priority="3239" stopIfTrue="1" operator="containsText" text="FALSE">
      <formula>NOT(ISERROR(SEARCH("FALSE",BY104)))</formula>
    </cfRule>
  </conditionalFormatting>
  <conditionalFormatting sqref="BX106:CA106">
    <cfRule type="containsText" dxfId="2373" priority="3238" stopIfTrue="1" operator="containsText" text="FALSE">
      <formula>NOT(ISERROR(SEARCH("FALSE",BX106)))</formula>
    </cfRule>
  </conditionalFormatting>
  <conditionalFormatting sqref="BY107:CA107">
    <cfRule type="containsText" dxfId="2372" priority="3236" stopIfTrue="1" operator="containsText" text="FALSE">
      <formula>NOT(ISERROR(SEARCH("FALSE",BY107)))</formula>
    </cfRule>
  </conditionalFormatting>
  <conditionalFormatting sqref="AO215:AO216 AO218:AO219">
    <cfRule type="containsText" dxfId="2371" priority="3234" stopIfTrue="1" operator="containsText" text="FALSE">
      <formula>NOT(ISERROR(SEARCH("FALSE",AO215)))</formula>
    </cfRule>
  </conditionalFormatting>
  <conditionalFormatting sqref="AO221:AO223 AO226:AO227 AO229:AO231 AO233:AO234 AO236:AO239 AO241">
    <cfRule type="containsText" dxfId="2370" priority="3235" stopIfTrue="1" operator="containsText" text="FALSE">
      <formula>NOT(ISERROR(SEARCH("FALSE",AO221)))</formula>
    </cfRule>
  </conditionalFormatting>
  <conditionalFormatting sqref="AE213:AO213">
    <cfRule type="containsText" dxfId="2369" priority="3184" stopIfTrue="1" operator="containsText" text="FALSE">
      <formula>NOT(ISERROR(SEARCH("FALSE",AE213)))</formula>
    </cfRule>
  </conditionalFormatting>
  <conditionalFormatting sqref="CF336:CH344 CF306:CH313 CF330:CH334 CF20:CH27 CF31:CH32 CF191:CH194 CF149:CH157 CF196:CH200 CF202:CH213 CF2 CF346:CH353 CF325:CH328 CF320:CH323 CF315:CH318 CF117:CH117 CF122:CH131 CF4:CH5 CF7:CH7 CF12:CH17 CF10:CH10 CG132:CH132 CF186:CH188 CG185:CH185 CG19:CH19 CF18:CF19">
    <cfRule type="containsText" dxfId="2368" priority="3134" stopIfTrue="1" operator="containsText" text="FALSE">
      <formula>NOT(ISERROR(SEARCH("FALSE",CF2)))</formula>
    </cfRule>
  </conditionalFormatting>
  <conditionalFormatting sqref="CF119:CH121">
    <cfRule type="containsText" dxfId="2367" priority="3133" stopIfTrue="1" operator="containsText" text="FALSE">
      <formula>NOT(ISERROR(SEARCH("FALSE",CF119)))</formula>
    </cfRule>
  </conditionalFormatting>
  <conditionalFormatting sqref="CG18:CH18">
    <cfRule type="containsText" dxfId="2366" priority="3132" stopIfTrue="1" operator="containsText" text="FALSE">
      <formula>NOT(ISERROR(SEARCH("FALSE",CG18)))</formula>
    </cfRule>
  </conditionalFormatting>
  <conditionalFormatting sqref="CF115:CH115">
    <cfRule type="containsText" dxfId="2365" priority="3131" stopIfTrue="1" operator="containsText" text="FALSE">
      <formula>NOT(ISERROR(SEARCH("FALSE",CF115)))</formula>
    </cfRule>
  </conditionalFormatting>
  <conditionalFormatting sqref="CF189:CH189">
    <cfRule type="containsText" dxfId="2364" priority="3130" stopIfTrue="1" operator="containsText" text="FALSE">
      <formula>NOT(ISERROR(SEARCH("FALSE",CF189)))</formula>
    </cfRule>
  </conditionalFormatting>
  <conditionalFormatting sqref="CF220:CH220 CG218:CH219">
    <cfRule type="containsText" dxfId="2363" priority="3129" stopIfTrue="1" operator="containsText" text="FALSE">
      <formula>NOT(ISERROR(SEARCH("FALSE",CF218)))</formula>
    </cfRule>
  </conditionalFormatting>
  <conditionalFormatting sqref="CF33:CH33">
    <cfRule type="containsText" dxfId="2362" priority="3128" stopIfTrue="1" operator="containsText" text="FALSE">
      <formula>NOT(ISERROR(SEARCH("FALSE",CF33)))</formula>
    </cfRule>
  </conditionalFormatting>
  <conditionalFormatting sqref="CF30:CH30">
    <cfRule type="containsText" dxfId="2361" priority="3127" stopIfTrue="1" operator="containsText" text="FALSE">
      <formula>NOT(ISERROR(SEARCH("FALSE",CF30)))</formula>
    </cfRule>
  </conditionalFormatting>
  <conditionalFormatting sqref="CF118:CH118">
    <cfRule type="containsText" dxfId="2360" priority="3126" stopIfTrue="1" operator="containsText" text="FALSE">
      <formula>NOT(ISERROR(SEARCH("FALSE",CF118)))</formula>
    </cfRule>
  </conditionalFormatting>
  <conditionalFormatting sqref="CF148:CH148">
    <cfRule type="containsText" dxfId="2359" priority="3125" stopIfTrue="1" operator="containsText" text="FALSE">
      <formula>NOT(ISERROR(SEARCH("FALSE",CF148)))</formula>
    </cfRule>
  </conditionalFormatting>
  <conditionalFormatting sqref="CF195:CH195">
    <cfRule type="containsText" dxfId="2358" priority="3124" stopIfTrue="1" operator="containsText" text="FALSE">
      <formula>NOT(ISERROR(SEARCH("FALSE",CF195)))</formula>
    </cfRule>
  </conditionalFormatting>
  <conditionalFormatting sqref="CF201:CH201">
    <cfRule type="containsText" dxfId="2357" priority="3123" stopIfTrue="1" operator="containsText" text="FALSE">
      <formula>NOT(ISERROR(SEARCH("FALSE",CF201)))</formula>
    </cfRule>
  </conditionalFormatting>
  <conditionalFormatting sqref="CF305:CH305">
    <cfRule type="containsText" dxfId="2356" priority="3122" stopIfTrue="1" operator="containsText" text="FALSE">
      <formula>NOT(ISERROR(SEARCH("FALSE",CF305)))</formula>
    </cfRule>
  </conditionalFormatting>
  <conditionalFormatting sqref="CF314:CH314">
    <cfRule type="containsText" dxfId="2355" priority="3121" stopIfTrue="1" operator="containsText" text="FALSE">
      <formula>NOT(ISERROR(SEARCH("FALSE",CF314)))</formula>
    </cfRule>
  </conditionalFormatting>
  <conditionalFormatting sqref="CF319:CH319">
    <cfRule type="containsText" dxfId="2354" priority="3120" stopIfTrue="1" operator="containsText" text="FALSE">
      <formula>NOT(ISERROR(SEARCH("FALSE",CF319)))</formula>
    </cfRule>
  </conditionalFormatting>
  <conditionalFormatting sqref="CF324:CH324">
    <cfRule type="containsText" dxfId="2353" priority="3119" stopIfTrue="1" operator="containsText" text="FALSE">
      <formula>NOT(ISERROR(SEARCH("FALSE",CF324)))</formula>
    </cfRule>
  </conditionalFormatting>
  <conditionalFormatting sqref="CF329:CH329">
    <cfRule type="containsText" dxfId="2352" priority="3118" stopIfTrue="1" operator="containsText" text="FALSE">
      <formula>NOT(ISERROR(SEARCH("FALSE",CF329)))</formula>
    </cfRule>
  </conditionalFormatting>
  <conditionalFormatting sqref="CF335:CH335">
    <cfRule type="containsText" dxfId="2351" priority="3117" stopIfTrue="1" operator="containsText" text="FALSE">
      <formula>NOT(ISERROR(SEARCH("FALSE",CF335)))</formula>
    </cfRule>
  </conditionalFormatting>
  <conditionalFormatting sqref="CF345:CH345">
    <cfRule type="containsText" dxfId="2350" priority="3116" stopIfTrue="1" operator="containsText" text="FALSE">
      <formula>NOT(ISERROR(SEARCH("FALSE",CF345)))</formula>
    </cfRule>
  </conditionalFormatting>
  <conditionalFormatting sqref="AP149:AP150 AP130 AP154:AP155 AP202 AP71:AP72 AP196:AP197 AP31:AP32 AP123 AP191:AP194 AP221:AP222 AP117 AP306:AP313 AP315:AP318 AP320:AP323 AP325:AP328 AP330:AP334 AP336:AP344 AP346:AP353 AP19:AP28 AP36:AP39 AP68:AP69 AP89 AP102:AP114 AP164:AP172 AP181:AP188 AP199:AP200 AP206:AP209 AP229:AP230 AP236:AP237 AP240 AP296:AP304">
    <cfRule type="containsText" dxfId="2349" priority="3109" stopIfTrue="1" operator="containsText" text="FALSE">
      <formula>NOT(ISERROR(SEARCH("FALSE",AP19)))</formula>
    </cfRule>
  </conditionalFormatting>
  <conditionalFormatting sqref="AP97:AP98">
    <cfRule type="containsText" dxfId="2348" priority="3108" stopIfTrue="1" operator="containsText" text="FALSE">
      <formula>NOT(ISERROR(SEARCH("FALSE",AP97)))</formula>
    </cfRule>
  </conditionalFormatting>
  <conditionalFormatting sqref="AP211:AP212">
    <cfRule type="containsText" dxfId="2347" priority="3107" stopIfTrue="1" operator="containsText" text="FALSE">
      <formula>NOT(ISERROR(SEARCH("FALSE",AP211)))</formula>
    </cfRule>
  </conditionalFormatting>
  <conditionalFormatting sqref="AP181">
    <cfRule type="containsText" dxfId="2346" priority="3106" stopIfTrue="1" operator="containsText" text="FALSE">
      <formula>NOT(ISERROR(SEARCH("FALSE",AP181)))</formula>
    </cfRule>
  </conditionalFormatting>
  <conditionalFormatting sqref="AP99:AP101">
    <cfRule type="containsText" dxfId="2345" priority="3105" stopIfTrue="1" operator="containsText" text="FALSE">
      <formula>NOT(ISERROR(SEARCH("FALSE",AP99)))</formula>
    </cfRule>
  </conditionalFormatting>
  <conditionalFormatting sqref="AP92">
    <cfRule type="containsText" dxfId="2344" priority="3104" stopIfTrue="1" operator="containsText" text="FALSE">
      <formula>NOT(ISERROR(SEARCH("FALSE",AP92)))</formula>
    </cfRule>
  </conditionalFormatting>
  <conditionalFormatting sqref="AP90:AP91">
    <cfRule type="containsText" dxfId="2343" priority="3103" stopIfTrue="1" operator="containsText" text="FALSE">
      <formula>NOT(ISERROR(SEARCH("FALSE",AP90)))</formula>
    </cfRule>
  </conditionalFormatting>
  <conditionalFormatting sqref="AP151 AP153">
    <cfRule type="containsText" dxfId="2342" priority="3102" stopIfTrue="1" operator="containsText" text="FALSE">
      <formula>NOT(ISERROR(SEARCH("FALSE",AP151)))</formula>
    </cfRule>
  </conditionalFormatting>
  <conditionalFormatting sqref="AP156:AP157">
    <cfRule type="containsText" dxfId="2341" priority="3101" stopIfTrue="1" operator="containsText" text="FALSE">
      <formula>NOT(ISERROR(SEARCH("FALSE",AP156)))</formula>
    </cfRule>
  </conditionalFormatting>
  <conditionalFormatting sqref="AP124:AP126">
    <cfRule type="containsText" dxfId="2340" priority="3098" stopIfTrue="1" operator="containsText" text="FALSE">
      <formula>NOT(ISERROR(SEARCH("FALSE",AP124)))</formula>
    </cfRule>
  </conditionalFormatting>
  <conditionalFormatting sqref="AP131:AP133">
    <cfRule type="containsText" dxfId="2339" priority="3097" stopIfTrue="1" operator="containsText" text="FALSE">
      <formula>NOT(ISERROR(SEARCH("FALSE",AP131)))</formula>
    </cfRule>
  </conditionalFormatting>
  <conditionalFormatting sqref="AP135">
    <cfRule type="containsText" dxfId="2338" priority="3096" stopIfTrue="1" operator="containsText" text="FALSE">
      <formula>NOT(ISERROR(SEARCH("FALSE",AP135)))</formula>
    </cfRule>
  </conditionalFormatting>
  <conditionalFormatting sqref="AP198">
    <cfRule type="containsText" dxfId="2337" priority="3095" stopIfTrue="1" operator="containsText" text="FALSE">
      <formula>NOT(ISERROR(SEARCH("FALSE",AP198)))</formula>
    </cfRule>
  </conditionalFormatting>
  <conditionalFormatting sqref="AP204:AP205">
    <cfRule type="containsText" dxfId="2336" priority="3094" stopIfTrue="1" operator="containsText" text="FALSE">
      <formula>NOT(ISERROR(SEARCH("FALSE",AP204)))</formula>
    </cfRule>
  </conditionalFormatting>
  <conditionalFormatting sqref="AP70">
    <cfRule type="containsText" dxfId="2335" priority="3093" stopIfTrue="1" operator="containsText" text="FALSE">
      <formula>NOT(ISERROR(SEARCH("FALSE",AP70)))</formula>
    </cfRule>
  </conditionalFormatting>
  <conditionalFormatting sqref="AP118:AP121">
    <cfRule type="containsText" dxfId="2334" priority="3088" stopIfTrue="1" operator="containsText" text="FALSE">
      <formula>NOT(ISERROR(SEARCH("FALSE",AP118)))</formula>
    </cfRule>
  </conditionalFormatting>
  <conditionalFormatting sqref="AP93 AP96">
    <cfRule type="containsText" dxfId="2333" priority="3090" stopIfTrue="1" operator="containsText" text="FALSE">
      <formula>NOT(ISERROR(SEARCH("FALSE",AP93)))</formula>
    </cfRule>
  </conditionalFormatting>
  <conditionalFormatting sqref="AP18">
    <cfRule type="containsText" dxfId="2332" priority="3087" stopIfTrue="1" operator="containsText" text="FALSE">
      <formula>NOT(ISERROR(SEARCH("FALSE",AP18)))</formula>
    </cfRule>
  </conditionalFormatting>
  <conditionalFormatting sqref="AP122">
    <cfRule type="containsText" dxfId="2331" priority="3089" stopIfTrue="1" operator="containsText" text="FALSE">
      <formula>NOT(ISERROR(SEARCH("FALSE",AP122)))</formula>
    </cfRule>
  </conditionalFormatting>
  <conditionalFormatting sqref="AP115:AP116">
    <cfRule type="containsText" dxfId="2330" priority="3086" stopIfTrue="1" operator="containsText" text="FALSE">
      <formula>NOT(ISERROR(SEARCH("FALSE",AP115)))</formula>
    </cfRule>
  </conditionalFormatting>
  <conditionalFormatting sqref="AP189:AP190">
    <cfRule type="containsText" dxfId="2329" priority="3085" stopIfTrue="1" operator="containsText" text="FALSE">
      <formula>NOT(ISERROR(SEARCH("FALSE",AP189)))</formula>
    </cfRule>
  </conditionalFormatting>
  <conditionalFormatting sqref="AP215:AP216 AP218:AP219">
    <cfRule type="containsText" dxfId="2328" priority="3084" stopIfTrue="1" operator="containsText" text="FALSE">
      <formula>NOT(ISERROR(SEARCH("FALSE",AP215)))</formula>
    </cfRule>
  </conditionalFormatting>
  <conditionalFormatting sqref="AP33">
    <cfRule type="containsText" dxfId="2327" priority="3083" stopIfTrue="1" operator="containsText" text="FALSE">
      <formula>NOT(ISERROR(SEARCH("FALSE",AP33)))</formula>
    </cfRule>
  </conditionalFormatting>
  <conditionalFormatting sqref="AP30">
    <cfRule type="containsText" dxfId="2326" priority="3082" stopIfTrue="1" operator="containsText" text="FALSE">
      <formula>NOT(ISERROR(SEARCH("FALSE",AP30)))</formula>
    </cfRule>
  </conditionalFormatting>
  <conditionalFormatting sqref="AP148">
    <cfRule type="containsText" dxfId="2325" priority="3081" stopIfTrue="1" operator="containsText" text="FALSE">
      <formula>NOT(ISERROR(SEARCH("FALSE",AP148)))</formula>
    </cfRule>
  </conditionalFormatting>
  <conditionalFormatting sqref="AP195">
    <cfRule type="containsText" dxfId="2324" priority="3080" stopIfTrue="1" operator="containsText" text="FALSE">
      <formula>NOT(ISERROR(SEARCH("FALSE",AP195)))</formula>
    </cfRule>
  </conditionalFormatting>
  <conditionalFormatting sqref="AP201">
    <cfRule type="containsText" dxfId="2323" priority="3079" stopIfTrue="1" operator="containsText" text="FALSE">
      <formula>NOT(ISERROR(SEARCH("FALSE",AP201)))</formula>
    </cfRule>
  </conditionalFormatting>
  <conditionalFormatting sqref="AP305">
    <cfRule type="containsText" dxfId="2322" priority="3078" stopIfTrue="1" operator="containsText" text="FALSE">
      <formula>NOT(ISERROR(SEARCH("FALSE",AP305)))</formula>
    </cfRule>
  </conditionalFormatting>
  <conditionalFormatting sqref="AP314">
    <cfRule type="containsText" dxfId="2321" priority="3077" stopIfTrue="1" operator="containsText" text="FALSE">
      <formula>NOT(ISERROR(SEARCH("FALSE",AP314)))</formula>
    </cfRule>
  </conditionalFormatting>
  <conditionalFormatting sqref="AP319">
    <cfRule type="containsText" dxfId="2320" priority="3076" stopIfTrue="1" operator="containsText" text="FALSE">
      <formula>NOT(ISERROR(SEARCH("FALSE",AP319)))</formula>
    </cfRule>
  </conditionalFormatting>
  <conditionalFormatting sqref="AP324">
    <cfRule type="containsText" dxfId="2319" priority="3075" stopIfTrue="1" operator="containsText" text="FALSE">
      <formula>NOT(ISERROR(SEARCH("FALSE",AP324)))</formula>
    </cfRule>
  </conditionalFormatting>
  <conditionalFormatting sqref="AP329">
    <cfRule type="containsText" dxfId="2318" priority="3074" stopIfTrue="1" operator="containsText" text="FALSE">
      <formula>NOT(ISERROR(SEARCH("FALSE",AP329)))</formula>
    </cfRule>
  </conditionalFormatting>
  <conditionalFormatting sqref="AP335">
    <cfRule type="containsText" dxfId="2317" priority="3073" stopIfTrue="1" operator="containsText" text="FALSE">
      <formula>NOT(ISERROR(SEARCH("FALSE",AP335)))</formula>
    </cfRule>
  </conditionalFormatting>
  <conditionalFormatting sqref="AP345">
    <cfRule type="containsText" dxfId="2316" priority="3072" stopIfTrue="1" operator="containsText" text="FALSE">
      <formula>NOT(ISERROR(SEARCH("FALSE",AP345)))</formula>
    </cfRule>
  </conditionalFormatting>
  <conditionalFormatting sqref="AP213">
    <cfRule type="containsText" dxfId="2315" priority="3070" stopIfTrue="1" operator="containsText" text="FALSE">
      <formula>NOT(ISERROR(SEARCH("FALSE",AP213)))</formula>
    </cfRule>
  </conditionalFormatting>
  <conditionalFormatting sqref="AP54 AP59">
    <cfRule type="containsText" dxfId="2314" priority="3069" stopIfTrue="1" operator="containsText" text="FALSE">
      <formula>NOT(ISERROR(SEARCH("FALSE",AP54)))</formula>
    </cfRule>
  </conditionalFormatting>
  <conditionalFormatting sqref="AP73 AP76">
    <cfRule type="containsText" dxfId="2313" priority="3065" stopIfTrue="1" operator="containsText" text="FALSE">
      <formula>NOT(ISERROR(SEARCH("FALSE",AP73)))</formula>
    </cfRule>
  </conditionalFormatting>
  <conditionalFormatting sqref="AP56">
    <cfRule type="containsText" dxfId="2312" priority="3066" stopIfTrue="1" operator="containsText" text="FALSE">
      <formula>NOT(ISERROR(SEARCH("FALSE",AP56)))</formula>
    </cfRule>
  </conditionalFormatting>
  <conditionalFormatting sqref="AP75">
    <cfRule type="containsText" dxfId="2311" priority="3064" stopIfTrue="1" operator="containsText" text="FALSE">
      <formula>NOT(ISERROR(SEARCH("FALSE",AP75)))</formula>
    </cfRule>
  </conditionalFormatting>
  <conditionalFormatting sqref="AP82">
    <cfRule type="containsText" dxfId="2310" priority="3062" stopIfTrue="1" operator="containsText" text="FALSE">
      <formula>NOT(ISERROR(SEARCH("FALSE",AP82)))</formula>
    </cfRule>
  </conditionalFormatting>
  <conditionalFormatting sqref="AP78">
    <cfRule type="containsText" dxfId="2309" priority="3063" stopIfTrue="1" operator="containsText" text="FALSE">
      <formula>NOT(ISERROR(SEARCH("FALSE",AP78)))</formula>
    </cfRule>
  </conditionalFormatting>
  <conditionalFormatting sqref="AP81">
    <cfRule type="containsText" dxfId="2308" priority="3060" stopIfTrue="1" operator="containsText" text="FALSE">
      <formula>NOT(ISERROR(SEARCH("FALSE",AP81)))</formula>
    </cfRule>
  </conditionalFormatting>
  <conditionalFormatting sqref="AP79">
    <cfRule type="containsText" dxfId="2307" priority="3061" stopIfTrue="1" operator="containsText" text="FALSE">
      <formula>NOT(ISERROR(SEARCH("FALSE",AP79)))</formula>
    </cfRule>
  </conditionalFormatting>
  <conditionalFormatting sqref="AP41 AP46">
    <cfRule type="containsText" dxfId="2306" priority="3059" stopIfTrue="1" operator="containsText" text="FALSE">
      <formula>NOT(ISERROR(SEARCH("FALSE",AP41)))</formula>
    </cfRule>
  </conditionalFormatting>
  <conditionalFormatting sqref="CA198">
    <cfRule type="containsText" dxfId="2305" priority="3054" stopIfTrue="1" operator="containsText" text="FALSE">
      <formula>NOT(ISERROR(SEARCH("FALSE",CA198)))</formula>
    </cfRule>
  </conditionalFormatting>
  <conditionalFormatting sqref="BY31">
    <cfRule type="containsText" dxfId="2304" priority="3056" stopIfTrue="1" operator="containsText" text="FALSE">
      <formula>NOT(ISERROR(SEARCH("FALSE",BY31)))</formula>
    </cfRule>
  </conditionalFormatting>
  <conditionalFormatting sqref="AP94">
    <cfRule type="containsText" dxfId="2303" priority="3052" stopIfTrue="1" operator="containsText" text="FALSE">
      <formula>NOT(ISERROR(SEARCH("FALSE",AP94)))</formula>
    </cfRule>
  </conditionalFormatting>
  <conditionalFormatting sqref="AP220">
    <cfRule type="containsText" dxfId="2302" priority="3041" stopIfTrue="1" operator="containsText" text="FALSE">
      <formula>NOT(ISERROR(SEARCH("FALSE",AP220)))</formula>
    </cfRule>
  </conditionalFormatting>
  <conditionalFormatting sqref="AP223">
    <cfRule type="containsText" dxfId="2301" priority="3049" stopIfTrue="1" operator="containsText" text="FALSE">
      <formula>NOT(ISERROR(SEARCH("FALSE",AP223)))</formula>
    </cfRule>
  </conditionalFormatting>
  <conditionalFormatting sqref="AP226:AP227">
    <cfRule type="containsText" dxfId="2300" priority="3048" stopIfTrue="1" operator="containsText" text="FALSE">
      <formula>NOT(ISERROR(SEARCH("FALSE",AP226)))</formula>
    </cfRule>
  </conditionalFormatting>
  <conditionalFormatting sqref="AP231">
    <cfRule type="containsText" dxfId="2299" priority="3047" stopIfTrue="1" operator="containsText" text="FALSE">
      <formula>NOT(ISERROR(SEARCH("FALSE",AP231)))</formula>
    </cfRule>
  </conditionalFormatting>
  <conditionalFormatting sqref="AP233:AP234">
    <cfRule type="containsText" dxfId="2298" priority="3046" stopIfTrue="1" operator="containsText" text="FALSE">
      <formula>NOT(ISERROR(SEARCH("FALSE",AP233)))</formula>
    </cfRule>
  </conditionalFormatting>
  <conditionalFormatting sqref="AP238">
    <cfRule type="containsText" dxfId="2297" priority="3045" stopIfTrue="1" operator="containsText" text="FALSE">
      <formula>NOT(ISERROR(SEARCH("FALSE",AP238)))</formula>
    </cfRule>
  </conditionalFormatting>
  <conditionalFormatting sqref="AP239">
    <cfRule type="containsText" dxfId="2296" priority="3044" stopIfTrue="1" operator="containsText" text="FALSE">
      <formula>NOT(ISERROR(SEARCH("FALSE",AP239)))</formula>
    </cfRule>
  </conditionalFormatting>
  <conditionalFormatting sqref="AP241">
    <cfRule type="containsText" dxfId="2295" priority="3043" stopIfTrue="1" operator="containsText" text="FALSE">
      <formula>NOT(ISERROR(SEARCH("FALSE",AP241)))</formula>
    </cfRule>
  </conditionalFormatting>
  <conditionalFormatting sqref="AP217">
    <cfRule type="containsText" dxfId="2294" priority="3042" stopIfTrue="1" operator="containsText" text="FALSE">
      <formula>NOT(ISERROR(SEARCH("FALSE",AP217)))</formula>
    </cfRule>
  </conditionalFormatting>
  <conditionalFormatting sqref="AP225">
    <cfRule type="containsText" dxfId="2293" priority="3040" stopIfTrue="1" operator="containsText" text="FALSE">
      <formula>NOT(ISERROR(SEARCH("FALSE",AP225)))</formula>
    </cfRule>
  </conditionalFormatting>
  <conditionalFormatting sqref="AP228">
    <cfRule type="containsText" dxfId="2292" priority="3039" stopIfTrue="1" operator="containsText" text="FALSE">
      <formula>NOT(ISERROR(SEARCH("FALSE",AP228)))</formula>
    </cfRule>
  </conditionalFormatting>
  <conditionalFormatting sqref="AP232">
    <cfRule type="containsText" dxfId="2291" priority="3038" stopIfTrue="1" operator="containsText" text="FALSE">
      <formula>NOT(ISERROR(SEARCH("FALSE",AP232)))</formula>
    </cfRule>
  </conditionalFormatting>
  <conditionalFormatting sqref="AP235">
    <cfRule type="containsText" dxfId="2290" priority="3037" stopIfTrue="1" operator="containsText" text="FALSE">
      <formula>NOT(ISERROR(SEARCH("FALSE",AP235)))</formula>
    </cfRule>
  </conditionalFormatting>
  <conditionalFormatting sqref="AQ13:AQ16">
    <cfRule type="containsText" dxfId="2289" priority="3036" stopIfTrue="1" operator="containsText" text="FALSE">
      <formula>NOT(ISERROR(SEARCH("FALSE",AQ13)))</formula>
    </cfRule>
  </conditionalFormatting>
  <conditionalFormatting sqref="AQ17">
    <cfRule type="containsText" dxfId="2288" priority="3035" stopIfTrue="1" operator="containsText" text="FALSE">
      <formula>NOT(ISERROR(SEARCH("FALSE",AQ17)))</formula>
    </cfRule>
  </conditionalFormatting>
  <conditionalFormatting sqref="AQ6">
    <cfRule type="containsText" dxfId="2287" priority="3034" stopIfTrue="1" operator="containsText" text="FALSE">
      <formula>NOT(ISERROR(SEARCH("FALSE",AQ6)))</formula>
    </cfRule>
  </conditionalFormatting>
  <conditionalFormatting sqref="A247 CI247:JP247">
    <cfRule type="containsText" dxfId="2286" priority="3033" stopIfTrue="1" operator="containsText" text="FALSE">
      <formula>NOT(ISERROR(SEARCH("FALSE",A247)))</formula>
    </cfRule>
  </conditionalFormatting>
  <conditionalFormatting sqref="B247">
    <cfRule type="containsText" dxfId="2285" priority="3025" stopIfTrue="1" operator="containsText" text="FALSE">
      <formula>NOT(ISERROR(SEARCH("FALSE",B247)))</formula>
    </cfRule>
  </conditionalFormatting>
  <conditionalFormatting sqref="CH247">
    <cfRule type="containsText" dxfId="2284" priority="3021" stopIfTrue="1" operator="containsText" text="FALSE">
      <formula>NOT(ISERROR(SEARCH("FALSE",CH247)))</formula>
    </cfRule>
  </conditionalFormatting>
  <conditionalFormatting sqref="BX267:BY274 BY275:BY286 BZ267:CA276 BY288:BY292">
    <cfRule type="containsText" dxfId="2283" priority="3019" stopIfTrue="1" operator="containsText" text="FALSE">
      <formula>NOT(ISERROR(SEARCH("FALSE",BX267)))</formula>
    </cfRule>
  </conditionalFormatting>
  <conditionalFormatting sqref="C247:AP247 BO247:CA247">
    <cfRule type="containsText" dxfId="2282" priority="3018" stopIfTrue="1" operator="containsText" text="FALSE">
      <formula>NOT(ISERROR(SEARCH("FALSE",C247)))</formula>
    </cfRule>
  </conditionalFormatting>
  <conditionalFormatting sqref="AS247">
    <cfRule type="containsText" dxfId="2281" priority="3017" stopIfTrue="1" operator="containsText" text="FALSE">
      <formula>NOT(ISERROR(SEARCH("FALSE",AS247)))</formula>
    </cfRule>
  </conditionalFormatting>
  <conditionalFormatting sqref="AQ247:AR247">
    <cfRule type="containsText" dxfId="2280" priority="3016" stopIfTrue="1" operator="containsText" text="FALSE">
      <formula>NOT(ISERROR(SEARCH("FALSE",AQ247)))</formula>
    </cfRule>
  </conditionalFormatting>
  <conditionalFormatting sqref="AI267:AL274">
    <cfRule type="containsText" dxfId="2279" priority="3014" stopIfTrue="1" operator="containsText" text="FALSE">
      <formula>NOT(ISERROR(SEARCH("FALSE",AI267)))</formula>
    </cfRule>
  </conditionalFormatting>
  <conditionalFormatting sqref="AM275:AP286 AM288:AP295">
    <cfRule type="containsText" dxfId="2278" priority="3013" stopIfTrue="1" operator="containsText" text="FALSE">
      <formula>NOT(ISERROR(SEARCH("FALSE",AM275)))</formula>
    </cfRule>
  </conditionalFormatting>
  <conditionalFormatting sqref="AM255:AP256 AN253:AP253 AM266:AP266 AN257:AP257 AM258:AP258 AM248:AP252">
    <cfRule type="containsText" dxfId="2277" priority="3012" stopIfTrue="1" operator="containsText" text="FALSE">
      <formula>NOT(ISERROR(SEARCH("FALSE",AM248)))</formula>
    </cfRule>
  </conditionalFormatting>
  <conditionalFormatting sqref="AM267:AP274">
    <cfRule type="containsText" dxfId="2276" priority="3011" stopIfTrue="1" operator="containsText" text="FALSE">
      <formula>NOT(ISERROR(SEARCH("FALSE",AM267)))</formula>
    </cfRule>
  </conditionalFormatting>
  <conditionalFormatting sqref="AQ293:AS295 AR275:AS286 AR288:AS292">
    <cfRule type="containsText" dxfId="2275" priority="3010" stopIfTrue="1" operator="containsText" text="FALSE">
      <formula>NOT(ISERROR(SEARCH("FALSE",AQ275)))</formula>
    </cfRule>
  </conditionalFormatting>
  <conditionalFormatting sqref="AR256:AS256 AQ255 AR258:AS258 AQ248:AQ253">
    <cfRule type="containsText" dxfId="2274" priority="3009" stopIfTrue="1" operator="containsText" text="FALSE">
      <formula>NOT(ISERROR(SEARCH("FALSE",AQ248)))</formula>
    </cfRule>
  </conditionalFormatting>
  <conditionalFormatting sqref="AQ267:AS267 AR268:AS274 AQ268:AQ286 AQ288:AQ292">
    <cfRule type="containsText" dxfId="2273" priority="3008" stopIfTrue="1" operator="containsText" text="FALSE">
      <formula>NOT(ISERROR(SEARCH("FALSE",AQ267)))</formula>
    </cfRule>
  </conditionalFormatting>
  <conditionalFormatting sqref="AQ213:AS213">
    <cfRule type="containsText" dxfId="2272" priority="3007" stopIfTrue="1" operator="containsText" text="FALSE">
      <formula>NOT(ISERROR(SEARCH("FALSE",AQ213)))</formula>
    </cfRule>
  </conditionalFormatting>
  <conditionalFormatting sqref="AQ221:AQ223 AQ225:AQ241">
    <cfRule type="containsText" dxfId="2271" priority="3005" stopIfTrue="1" operator="containsText" text="FALSE">
      <formula>NOT(ISERROR(SEARCH("FALSE",AQ221)))</formula>
    </cfRule>
  </conditionalFormatting>
  <conditionalFormatting sqref="AQ215:AQ220">
    <cfRule type="containsText" dxfId="2270" priority="3004" stopIfTrue="1" operator="containsText" text="FALSE">
      <formula>NOT(ISERROR(SEARCH("FALSE",AQ215)))</formula>
    </cfRule>
  </conditionalFormatting>
  <conditionalFormatting sqref="AR215 AR218:AR219">
    <cfRule type="containsText" dxfId="2269" priority="3002" stopIfTrue="1" operator="containsText" text="FALSE">
      <formula>NOT(ISERROR(SEARCH("FALSE",AR215)))</formula>
    </cfRule>
  </conditionalFormatting>
  <conditionalFormatting sqref="AS215 AS218:AS219">
    <cfRule type="containsText" dxfId="2268" priority="3000" stopIfTrue="1" operator="containsText" text="FALSE">
      <formula>NOT(ISERROR(SEARCH("FALSE",AS215)))</formula>
    </cfRule>
  </conditionalFormatting>
  <conditionalFormatting sqref="AS221:AS223 AS226:AS227 AS229:AS231 AS233:AS234 AS236:AS239 AS241">
    <cfRule type="containsText" dxfId="2267" priority="3001" stopIfTrue="1" operator="containsText" text="FALSE">
      <formula>NOT(ISERROR(SEARCH("FALSE",AS221)))</formula>
    </cfRule>
  </conditionalFormatting>
  <conditionalFormatting sqref="AN224">
    <cfRule type="containsText" dxfId="2266" priority="2981" stopIfTrue="1" operator="containsText" text="FALSE">
      <formula>NOT(ISERROR(SEARCH("FALSE",AN224)))</formula>
    </cfRule>
  </conditionalFormatting>
  <conditionalFormatting sqref="AE224:AM224">
    <cfRule type="containsText" dxfId="2265" priority="2982" stopIfTrue="1" operator="containsText" text="FALSE">
      <formula>NOT(ISERROR(SEARCH("FALSE",AE224)))</formula>
    </cfRule>
  </conditionalFormatting>
  <conditionalFormatting sqref="AO224">
    <cfRule type="containsText" dxfId="2264" priority="2980" stopIfTrue="1" operator="containsText" text="FALSE">
      <formula>NOT(ISERROR(SEARCH("FALSE",AO224)))</formula>
    </cfRule>
  </conditionalFormatting>
  <conditionalFormatting sqref="AP224">
    <cfRule type="containsText" dxfId="2263" priority="2979" stopIfTrue="1" operator="containsText" text="FALSE">
      <formula>NOT(ISERROR(SEARCH("FALSE",AP224)))</formula>
    </cfRule>
  </conditionalFormatting>
  <conditionalFormatting sqref="AQ224">
    <cfRule type="containsText" dxfId="2262" priority="2978" stopIfTrue="1" operator="containsText" text="FALSE">
      <formula>NOT(ISERROR(SEARCH("FALSE",AQ224)))</formula>
    </cfRule>
  </conditionalFormatting>
  <conditionalFormatting sqref="B224">
    <cfRule type="containsText" dxfId="2261" priority="2977" stopIfTrue="1" operator="containsText" text="FALSE">
      <formula>NOT(ISERROR(SEARCH("FALSE",B224)))</formula>
    </cfRule>
  </conditionalFormatting>
  <conditionalFormatting sqref="AM253">
    <cfRule type="containsText" dxfId="2260" priority="2976" stopIfTrue="1" operator="containsText" text="FALSE">
      <formula>NOT(ISERROR(SEARCH("FALSE",AM253)))</formula>
    </cfRule>
  </conditionalFormatting>
  <conditionalFormatting sqref="BX239">
    <cfRule type="containsText" dxfId="2259" priority="2975" stopIfTrue="1" operator="containsText" text="FALSE">
      <formula>NOT(ISERROR(SEARCH("FALSE",BX239)))</formula>
    </cfRule>
  </conditionalFormatting>
  <conditionalFormatting sqref="AM257">
    <cfRule type="containsText" dxfId="2258" priority="2973" stopIfTrue="1" operator="containsText" text="FALSE">
      <formula>NOT(ISERROR(SEARCH("FALSE",AM257)))</formula>
    </cfRule>
  </conditionalFormatting>
  <conditionalFormatting sqref="AQ256 AQ258">
    <cfRule type="containsText" dxfId="2257" priority="2972" stopIfTrue="1" operator="containsText" text="FALSE">
      <formula>NOT(ISERROR(SEARCH("FALSE",AQ256)))</formula>
    </cfRule>
  </conditionalFormatting>
  <conditionalFormatting sqref="BX253:BY253">
    <cfRule type="containsText" dxfId="2256" priority="2967" stopIfTrue="1" operator="containsText" text="FALSE">
      <formula>NOT(ISERROR(SEARCH("FALSE",BX253)))</formula>
    </cfRule>
  </conditionalFormatting>
  <conditionalFormatting sqref="A259 CI259:JP259">
    <cfRule type="containsText" dxfId="2255" priority="2966" stopIfTrue="1" operator="containsText" text="FALSE">
      <formula>NOT(ISERROR(SEARCH("FALSE",A259)))</formula>
    </cfRule>
  </conditionalFormatting>
  <conditionalFormatting sqref="AQ254">
    <cfRule type="containsText" dxfId="2254" priority="2968" stopIfTrue="1" operator="containsText" text="FALSE">
      <formula>NOT(ISERROR(SEARCH("FALSE",AQ254)))</formula>
    </cfRule>
  </conditionalFormatting>
  <conditionalFormatting sqref="B259">
    <cfRule type="containsText" dxfId="2253" priority="2965" stopIfTrue="1" operator="containsText" text="FALSE">
      <formula>NOT(ISERROR(SEARCH("FALSE",B259)))</formula>
    </cfRule>
  </conditionalFormatting>
  <conditionalFormatting sqref="CH259">
    <cfRule type="containsText" dxfId="2252" priority="2964" stopIfTrue="1" operator="containsText" text="FALSE">
      <formula>NOT(ISERROR(SEARCH("FALSE",CH259)))</formula>
    </cfRule>
  </conditionalFormatting>
  <conditionalFormatting sqref="C259:AP259 BO259:CA259">
    <cfRule type="containsText" dxfId="2251" priority="2963" stopIfTrue="1" operator="containsText" text="FALSE">
      <formula>NOT(ISERROR(SEARCH("FALSE",C259)))</formula>
    </cfRule>
  </conditionalFormatting>
  <conditionalFormatting sqref="AS259">
    <cfRule type="containsText" dxfId="2250" priority="2962" stopIfTrue="1" operator="containsText" text="FALSE">
      <formula>NOT(ISERROR(SEARCH("FALSE",AS259)))</formula>
    </cfRule>
  </conditionalFormatting>
  <conditionalFormatting sqref="AQ259:AR259">
    <cfRule type="containsText" dxfId="2249" priority="2961" stopIfTrue="1" operator="containsText" text="FALSE">
      <formula>NOT(ISERROR(SEARCH("FALSE",AQ259)))</formula>
    </cfRule>
  </conditionalFormatting>
  <conditionalFormatting sqref="AQ22">
    <cfRule type="containsText" dxfId="2248" priority="2960" stopIfTrue="1" operator="containsText" text="FALSE">
      <formula>NOT(ISERROR(SEARCH("FALSE",AQ22)))</formula>
    </cfRule>
  </conditionalFormatting>
  <conditionalFormatting sqref="AQ31">
    <cfRule type="containsText" dxfId="2247" priority="2959" stopIfTrue="1" operator="containsText" text="FALSE">
      <formula>NOT(ISERROR(SEARCH("FALSE",AQ31)))</formula>
    </cfRule>
  </conditionalFormatting>
  <conditionalFormatting sqref="AQ119">
    <cfRule type="containsText" dxfId="2246" priority="2956" stopIfTrue="1" operator="containsText" text="FALSE">
      <formula>NOT(ISERROR(SEARCH("FALSE",AQ119)))</formula>
    </cfRule>
  </conditionalFormatting>
  <conditionalFormatting sqref="AQ110">
    <cfRule type="containsText" dxfId="2245" priority="2957" stopIfTrue="1" operator="containsText" text="FALSE">
      <formula>NOT(ISERROR(SEARCH("FALSE",AQ110)))</formula>
    </cfRule>
  </conditionalFormatting>
  <conditionalFormatting sqref="AQ86:AQ87">
    <cfRule type="containsText" dxfId="2244" priority="2954" stopIfTrue="1" operator="containsText" text="FALSE">
      <formula>NOT(ISERROR(SEARCH("FALSE",AQ86)))</formula>
    </cfRule>
  </conditionalFormatting>
  <conditionalFormatting sqref="AM86:AM87">
    <cfRule type="containsText" dxfId="2243" priority="2955" stopIfTrue="1" operator="containsText" text="FALSE">
      <formula>NOT(ISERROR(SEARCH("FALSE",AM86)))</formula>
    </cfRule>
  </conditionalFormatting>
  <conditionalFormatting sqref="AN47:AQ47">
    <cfRule type="containsText" dxfId="2242" priority="2952" stopIfTrue="1" operator="containsText" text="FALSE">
      <formula>NOT(ISERROR(SEARCH("FALSE",AN47)))</formula>
    </cfRule>
  </conditionalFormatting>
  <conditionalFormatting sqref="AN43:AQ43">
    <cfRule type="containsText" dxfId="2241" priority="2951" stopIfTrue="1" operator="containsText" text="FALSE">
      <formula>NOT(ISERROR(SEARCH("FALSE",AN43)))</formula>
    </cfRule>
  </conditionalFormatting>
  <conditionalFormatting sqref="AO44:AP44">
    <cfRule type="containsText" dxfId="2240" priority="2947" stopIfTrue="1" operator="containsText" text="FALSE">
      <formula>NOT(ISERROR(SEARCH("FALSE",AO44)))</formula>
    </cfRule>
  </conditionalFormatting>
  <conditionalFormatting sqref="AN44">
    <cfRule type="containsText" dxfId="2239" priority="2946" stopIfTrue="1" operator="containsText" text="FALSE">
      <formula>NOT(ISERROR(SEARCH("FALSE",AN44)))</formula>
    </cfRule>
  </conditionalFormatting>
  <conditionalFormatting sqref="AO42:AP42">
    <cfRule type="containsText" dxfId="2238" priority="2944" stopIfTrue="1" operator="containsText" text="FALSE">
      <formula>NOT(ISERROR(SEARCH("FALSE",AO42)))</formula>
    </cfRule>
  </conditionalFormatting>
  <conditionalFormatting sqref="AN42">
    <cfRule type="containsText" dxfId="2237" priority="2943" stopIfTrue="1" operator="containsText" text="FALSE">
      <formula>NOT(ISERROR(SEARCH("FALSE",AN42)))</formula>
    </cfRule>
  </conditionalFormatting>
  <conditionalFormatting sqref="AR57">
    <cfRule type="containsText" dxfId="2236" priority="2939" stopIfTrue="1" operator="containsText" text="FALSE">
      <formula>NOT(ISERROR(SEARCH("FALSE",AR57)))</formula>
    </cfRule>
  </conditionalFormatting>
  <conditionalFormatting sqref="AO57:AP57">
    <cfRule type="containsText" dxfId="2235" priority="2938" stopIfTrue="1" operator="containsText" text="FALSE">
      <formula>NOT(ISERROR(SEARCH("FALSE",AO57)))</formula>
    </cfRule>
  </conditionalFormatting>
  <conditionalFormatting sqref="AN57">
    <cfRule type="containsText" dxfId="2234" priority="2937" stopIfTrue="1" operator="containsText" text="FALSE">
      <formula>NOT(ISERROR(SEARCH("FALSE",AN57)))</formula>
    </cfRule>
  </conditionalFormatting>
  <conditionalFormatting sqref="AN60:AQ61 AN66:AQ67">
    <cfRule type="containsText" dxfId="2233" priority="2934" stopIfTrue="1" operator="containsText" text="FALSE">
      <formula>NOT(ISERROR(SEARCH("FALSE",AN60)))</formula>
    </cfRule>
  </conditionalFormatting>
  <conditionalFormatting sqref="AO55:AP55">
    <cfRule type="containsText" dxfId="2232" priority="2936" stopIfTrue="1" operator="containsText" text="FALSE">
      <formula>NOT(ISERROR(SEARCH("FALSE",AO55)))</formula>
    </cfRule>
  </conditionalFormatting>
  <conditionalFormatting sqref="AN55">
    <cfRule type="containsText" dxfId="2231" priority="2935" stopIfTrue="1" operator="containsText" text="FALSE">
      <formula>NOT(ISERROR(SEARCH("FALSE",AN55)))</formula>
    </cfRule>
  </conditionalFormatting>
  <conditionalFormatting sqref="AM57">
    <cfRule type="containsText" dxfId="2230" priority="2926" stopIfTrue="1" operator="containsText" text="FALSE">
      <formula>NOT(ISERROR(SEARCH("FALSE",AM57)))</formula>
    </cfRule>
  </conditionalFormatting>
  <conditionalFormatting sqref="AI43:AI44">
    <cfRule type="containsText" dxfId="2229" priority="2933" stopIfTrue="1" operator="containsText" text="FALSE">
      <formula>NOT(ISERROR(SEARCH("FALSE",AI43)))</formula>
    </cfRule>
  </conditionalFormatting>
  <conditionalFormatting sqref="AJ43:AL43">
    <cfRule type="containsText" dxfId="2228" priority="2932" stopIfTrue="1" operator="containsText" text="FALSE">
      <formula>NOT(ISERROR(SEARCH("FALSE",AJ43)))</formula>
    </cfRule>
  </conditionalFormatting>
  <conditionalFormatting sqref="AK44:AL44">
    <cfRule type="containsText" dxfId="2227" priority="2931" stopIfTrue="1" operator="containsText" text="FALSE">
      <formula>NOT(ISERROR(SEARCH("FALSE",AK44)))</formula>
    </cfRule>
  </conditionalFormatting>
  <conditionalFormatting sqref="AJ44">
    <cfRule type="containsText" dxfId="2226" priority="2930" stopIfTrue="1" operator="containsText" text="FALSE">
      <formula>NOT(ISERROR(SEARCH("FALSE",AJ44)))</formula>
    </cfRule>
  </conditionalFormatting>
  <conditionalFormatting sqref="AI57">
    <cfRule type="containsText" dxfId="2225" priority="2929" stopIfTrue="1" operator="containsText" text="FALSE">
      <formula>NOT(ISERROR(SEARCH("FALSE",AI57)))</formula>
    </cfRule>
  </conditionalFormatting>
  <conditionalFormatting sqref="AK57:AL57">
    <cfRule type="containsText" dxfId="2224" priority="2928" stopIfTrue="1" operator="containsText" text="FALSE">
      <formula>NOT(ISERROR(SEARCH("FALSE",AK57)))</formula>
    </cfRule>
  </conditionalFormatting>
  <conditionalFormatting sqref="AJ57">
    <cfRule type="containsText" dxfId="2223" priority="2927" stopIfTrue="1" operator="containsText" text="FALSE">
      <formula>NOT(ISERROR(SEARCH("FALSE",AJ57)))</formula>
    </cfRule>
  </conditionalFormatting>
  <conditionalFormatting sqref="BX85:CA85">
    <cfRule type="containsText" dxfId="2222" priority="2925" stopIfTrue="1" operator="containsText" text="FALSE">
      <formula>NOT(ISERROR(SEARCH("FALSE",BX85)))</formula>
    </cfRule>
  </conditionalFormatting>
  <conditionalFormatting sqref="AK95:AM95">
    <cfRule type="containsText" dxfId="2221" priority="2924" stopIfTrue="1" operator="containsText" text="FALSE">
      <formula>NOT(ISERROR(SEARCH("FALSE",AK95)))</formula>
    </cfRule>
  </conditionalFormatting>
  <conditionalFormatting sqref="AP95">
    <cfRule type="containsText" dxfId="2220" priority="2923" stopIfTrue="1" operator="containsText" text="FALSE">
      <formula>NOT(ISERROR(SEARCH("FALSE",AP95)))</formula>
    </cfRule>
  </conditionalFormatting>
  <conditionalFormatting sqref="AL152:AM152">
    <cfRule type="containsText" dxfId="2219" priority="2922" stopIfTrue="1" operator="containsText" text="FALSE">
      <formula>NOT(ISERROR(SEARCH("FALSE",AL152)))</formula>
    </cfRule>
  </conditionalFormatting>
  <conditionalFormatting sqref="AP152">
    <cfRule type="containsText" dxfId="2218" priority="2921" stopIfTrue="1" operator="containsText" text="FALSE">
      <formula>NOT(ISERROR(SEARCH("FALSE",AP152)))</formula>
    </cfRule>
  </conditionalFormatting>
  <conditionalFormatting sqref="AR248:AS248">
    <cfRule type="containsText" dxfId="2217" priority="2920" stopIfTrue="1" operator="containsText" text="FALSE">
      <formula>NOT(ISERROR(SEARCH("FALSE",AR248)))</formula>
    </cfRule>
  </conditionalFormatting>
  <conditionalFormatting sqref="AR254:AS255">
    <cfRule type="containsText" dxfId="2216" priority="2918" stopIfTrue="1" operator="containsText" text="FALSE">
      <formula>NOT(ISERROR(SEARCH("FALSE",AR254)))</formula>
    </cfRule>
  </conditionalFormatting>
  <conditionalFormatting sqref="AR249:AS252">
    <cfRule type="containsText" dxfId="2215" priority="2917" stopIfTrue="1" operator="containsText" text="FALSE">
      <formula>NOT(ISERROR(SEARCH("FALSE",AR249)))</formula>
    </cfRule>
  </conditionalFormatting>
  <conditionalFormatting sqref="AN354:AP354">
    <cfRule type="containsText" dxfId="2214" priority="2916" stopIfTrue="1" operator="containsText" text="FALSE">
      <formula>NOT(ISERROR(SEARCH("FALSE",AN354)))</formula>
    </cfRule>
  </conditionalFormatting>
  <conditionalFormatting sqref="BY66:BZ66">
    <cfRule type="containsText" dxfId="2213" priority="2914" stopIfTrue="1" operator="containsText" text="FALSE">
      <formula>NOT(ISERROR(SEARCH("FALSE",BY66)))</formula>
    </cfRule>
  </conditionalFormatting>
  <conditionalFormatting sqref="AR31:AS31">
    <cfRule type="containsText" dxfId="2212" priority="2912" stopIfTrue="1" operator="containsText" text="FALSE">
      <formula>NOT(ISERROR(SEARCH("FALSE",AR31)))</formula>
    </cfRule>
  </conditionalFormatting>
  <conditionalFormatting sqref="AR6:AS6">
    <cfRule type="containsText" dxfId="2211" priority="2911" stopIfTrue="1" operator="containsText" text="FALSE">
      <formula>NOT(ISERROR(SEARCH("FALSE",AR6)))</formula>
    </cfRule>
  </conditionalFormatting>
  <conditionalFormatting sqref="AR13:AS13">
    <cfRule type="containsText" dxfId="2210" priority="2910" stopIfTrue="1" operator="containsText" text="FALSE">
      <formula>NOT(ISERROR(SEARCH("FALSE",AR13)))</formula>
    </cfRule>
  </conditionalFormatting>
  <conditionalFormatting sqref="AR15:AS16">
    <cfRule type="containsText" dxfId="2209" priority="2909" stopIfTrue="1" operator="containsText" text="FALSE">
      <formula>NOT(ISERROR(SEARCH("FALSE",AR15)))</formula>
    </cfRule>
  </conditionalFormatting>
  <conditionalFormatting sqref="AR22">
    <cfRule type="containsText" dxfId="2208" priority="2903" stopIfTrue="1" operator="containsText" text="FALSE">
      <formula>NOT(ISERROR(SEARCH("FALSE",AR22)))</formula>
    </cfRule>
  </conditionalFormatting>
  <conditionalFormatting sqref="AR253:AS253">
    <cfRule type="containsText" dxfId="2207" priority="2908" stopIfTrue="1" operator="containsText" text="FALSE">
      <formula>NOT(ISERROR(SEARCH("FALSE",AR253)))</formula>
    </cfRule>
  </conditionalFormatting>
  <conditionalFormatting sqref="AR17:AS17">
    <cfRule type="containsText" dxfId="2206" priority="2907" stopIfTrue="1" operator="containsText" text="FALSE">
      <formula>NOT(ISERROR(SEARCH("FALSE",AR17)))</formula>
    </cfRule>
  </conditionalFormatting>
  <conditionalFormatting sqref="AR86:AR87">
    <cfRule type="containsText" dxfId="2205" priority="2906" stopIfTrue="1" operator="containsText" text="FALSE">
      <formula>NOT(ISERROR(SEARCH("FALSE",AR86)))</formula>
    </cfRule>
  </conditionalFormatting>
  <conditionalFormatting sqref="AR85">
    <cfRule type="containsText" dxfId="2204" priority="2905" stopIfTrue="1" operator="containsText" text="FALSE">
      <formula>NOT(ISERROR(SEARCH("FALSE",AR85)))</formula>
    </cfRule>
  </conditionalFormatting>
  <conditionalFormatting sqref="AR119:AS119">
    <cfRule type="containsText" dxfId="2203" priority="2904" stopIfTrue="1" operator="containsText" text="FALSE">
      <formula>NOT(ISERROR(SEARCH("FALSE",AR119)))</formula>
    </cfRule>
  </conditionalFormatting>
  <conditionalFormatting sqref="AR216:AS216">
    <cfRule type="containsText" dxfId="2202" priority="2902" stopIfTrue="1" operator="containsText" text="FALSE">
      <formula>NOT(ISERROR(SEARCH("FALSE",AR216)))</formula>
    </cfRule>
  </conditionalFormatting>
  <conditionalFormatting sqref="AR224:AS224">
    <cfRule type="containsText" dxfId="2201" priority="2901" stopIfTrue="1" operator="containsText" text="FALSE">
      <formula>NOT(ISERROR(SEARCH("FALSE",AR224)))</formula>
    </cfRule>
  </conditionalFormatting>
  <conditionalFormatting sqref="AU266 AU44 AU262:AU264 AU48:AV52 AU83 AU82:AV82 AV84 AU257:AV257 AU245 BA245 BA257 BA48 AW49:AW52 BA82:BA89">
    <cfRule type="containsText" dxfId="2200" priority="2900" stopIfTrue="1" operator="containsText" text="FALSE">
      <formula>NOT(ISERROR(SEARCH("FALSE",AU44)))</formula>
    </cfRule>
  </conditionalFormatting>
  <conditionalFormatting sqref="BA149:BA150 BA130 BA154:BA155 BA46 BA32 BA164:BA165 BA196:BA197 BA194 BA123 BA185:BA188 BA181:BA183 BA191:BA192 BA25:BA28 BA111:BA114 BA117 AW306:AW313 AW315:AW318 AW320:AW323 AW325:AW328 AW330:AW334 BA246 AW336:AW344 AW346:AW353 BA19:BA22 BA102:BA109 AW296:AW304 BA59:BA61 BA170 BA66:BA69 AW2:AX5 BA34 BA296:BA304 BA346:BA353 BA336:BA344 BA330:BA334 BA325:BA328 BA320:BA323 BA315:BA318 BA306:BA313 BA17">
    <cfRule type="containsText" dxfId="2199" priority="2899" stopIfTrue="1" operator="containsText" text="FALSE">
      <formula>NOT(ISERROR(SEARCH("FALSE",AW2)))</formula>
    </cfRule>
  </conditionalFormatting>
  <conditionalFormatting sqref="BA97:BA98">
    <cfRule type="containsText" dxfId="2198" priority="2898" stopIfTrue="1" operator="containsText" text="FALSE">
      <formula>NOT(ISERROR(SEARCH("FALSE",BA97)))</formula>
    </cfRule>
  </conditionalFormatting>
  <conditionalFormatting sqref="BA212">
    <cfRule type="containsText" dxfId="2197" priority="2897" stopIfTrue="1" operator="containsText" text="FALSE">
      <formula>NOT(ISERROR(SEARCH("FALSE",BA212)))</formula>
    </cfRule>
  </conditionalFormatting>
  <conditionalFormatting sqref="BA71">
    <cfRule type="containsText" dxfId="2196" priority="2895" stopIfTrue="1" operator="containsText" text="FALSE">
      <formula>NOT(ISERROR(SEARCH("FALSE",BA71)))</formula>
    </cfRule>
  </conditionalFormatting>
  <conditionalFormatting sqref="BA23:BA24">
    <cfRule type="containsText" dxfId="2195" priority="2894" stopIfTrue="1" operator="containsText" text="FALSE">
      <formula>NOT(ISERROR(SEARCH("FALSE",BA23)))</formula>
    </cfRule>
  </conditionalFormatting>
  <conditionalFormatting sqref="BA181">
    <cfRule type="containsText" dxfId="2194" priority="2893" stopIfTrue="1" operator="containsText" text="FALSE">
      <formula>NOT(ISERROR(SEARCH("FALSE",BA181)))</formula>
    </cfRule>
  </conditionalFormatting>
  <conditionalFormatting sqref="BA99:BA101">
    <cfRule type="containsText" dxfId="2193" priority="2892" stopIfTrue="1" operator="containsText" text="FALSE">
      <formula>NOT(ISERROR(SEARCH("FALSE",BA99)))</formula>
    </cfRule>
  </conditionalFormatting>
  <conditionalFormatting sqref="AW324 BA324">
    <cfRule type="containsText" dxfId="2192" priority="2858" stopIfTrue="1" operator="containsText" text="FALSE">
      <formula>NOT(ISERROR(SEARCH("FALSE",AW324)))</formula>
    </cfRule>
  </conditionalFormatting>
  <conditionalFormatting sqref="AW335 BA335">
    <cfRule type="containsText" dxfId="2191" priority="2856" stopIfTrue="1" operator="containsText" text="FALSE">
      <formula>NOT(ISERROR(SEARCH("FALSE",AW335)))</formula>
    </cfRule>
  </conditionalFormatting>
  <conditionalFormatting sqref="BA124">
    <cfRule type="containsText" dxfId="2190" priority="2884" stopIfTrue="1" operator="containsText" text="FALSE">
      <formula>NOT(ISERROR(SEARCH("FALSE",BA124)))</formula>
    </cfRule>
  </conditionalFormatting>
  <conditionalFormatting sqref="AU97:AV98">
    <cfRule type="containsText" dxfId="2189" priority="2852" stopIfTrue="1" operator="containsText" text="FALSE">
      <formula>NOT(ISERROR(SEARCH("FALSE",AU97)))</formula>
    </cfRule>
  </conditionalFormatting>
  <conditionalFormatting sqref="BA184">
    <cfRule type="containsText" dxfId="2188" priority="2882" stopIfTrue="1" operator="containsText" text="FALSE">
      <formula>NOT(ISERROR(SEARCH("FALSE",BA184)))</formula>
    </cfRule>
  </conditionalFormatting>
  <conditionalFormatting sqref="AU99:AW101">
    <cfRule type="containsText" dxfId="2187" priority="2846" stopIfTrue="1" operator="containsText" text="FALSE">
      <formula>NOT(ISERROR(SEARCH("FALSE",AU99)))</formula>
    </cfRule>
  </conditionalFormatting>
  <conditionalFormatting sqref="AU23:AU24">
    <cfRule type="containsText" dxfId="2186" priority="2848" stopIfTrue="1" operator="containsText" text="FALSE">
      <formula>NOT(ISERROR(SEARCH("FALSE",AU23)))</formula>
    </cfRule>
  </conditionalFormatting>
  <conditionalFormatting sqref="BA72">
    <cfRule type="containsText" dxfId="2185" priority="2873" stopIfTrue="1" operator="containsText" text="FALSE">
      <formula>NOT(ISERROR(SEARCH("FALSE",BA72)))</formula>
    </cfRule>
  </conditionalFormatting>
  <conditionalFormatting sqref="BA70">
    <cfRule type="containsText" dxfId="2184" priority="2875" stopIfTrue="1" operator="containsText" text="FALSE">
      <formula>NOT(ISERROR(SEARCH("FALSE",BA70)))</formula>
    </cfRule>
  </conditionalFormatting>
  <conditionalFormatting sqref="BA118:BA121">
    <cfRule type="containsText" dxfId="2183" priority="2870" stopIfTrue="1" operator="containsText" text="FALSE">
      <formula>NOT(ISERROR(SEARCH("FALSE",BA118)))</formula>
    </cfRule>
  </conditionalFormatting>
  <conditionalFormatting sqref="BA115:BA116">
    <cfRule type="containsText" dxfId="2182" priority="2868" stopIfTrue="1" operator="containsText" text="FALSE">
      <formula>NOT(ISERROR(SEARCH("FALSE",BA115)))</formula>
    </cfRule>
  </conditionalFormatting>
  <conditionalFormatting sqref="BA189:BA190">
    <cfRule type="containsText" dxfId="2181" priority="2867" stopIfTrue="1" operator="containsText" text="FALSE">
      <formula>NOT(ISERROR(SEARCH("FALSE",BA189)))</formula>
    </cfRule>
  </conditionalFormatting>
  <conditionalFormatting sqref="AU72:AW72">
    <cfRule type="containsText" dxfId="2180" priority="2832" stopIfTrue="1" operator="containsText" text="FALSE">
      <formula>NOT(ISERROR(SEARCH("FALSE",AU72)))</formula>
    </cfRule>
  </conditionalFormatting>
  <conditionalFormatting sqref="BA33">
    <cfRule type="containsText" dxfId="2179" priority="2866" stopIfTrue="1" operator="containsText" text="FALSE">
      <formula>NOT(ISERROR(SEARCH("FALSE",BA33)))</formula>
    </cfRule>
  </conditionalFormatting>
  <conditionalFormatting sqref="BA30">
    <cfRule type="containsText" dxfId="2178" priority="2865" stopIfTrue="1" operator="containsText" text="FALSE">
      <formula>NOT(ISERROR(SEARCH("FALSE",BA30)))</formula>
    </cfRule>
  </conditionalFormatting>
  <conditionalFormatting sqref="BA148">
    <cfRule type="containsText" dxfId="2177" priority="2864" stopIfTrue="1" operator="containsText" text="FALSE">
      <formula>NOT(ISERROR(SEARCH("FALSE",BA148)))</formula>
    </cfRule>
  </conditionalFormatting>
  <conditionalFormatting sqref="BA195">
    <cfRule type="containsText" dxfId="2176" priority="2863" stopIfTrue="1" operator="containsText" text="FALSE">
      <formula>NOT(ISERROR(SEARCH("FALSE",BA195)))</formula>
    </cfRule>
  </conditionalFormatting>
  <conditionalFormatting sqref="AW305 BA305">
    <cfRule type="containsText" dxfId="2175" priority="2861" stopIfTrue="1" operator="containsText" text="FALSE">
      <formula>NOT(ISERROR(SEARCH("FALSE",AW305)))</formula>
    </cfRule>
  </conditionalFormatting>
  <conditionalFormatting sqref="AW314 BA314">
    <cfRule type="containsText" dxfId="2174" priority="2860" stopIfTrue="1" operator="containsText" text="FALSE">
      <formula>NOT(ISERROR(SEARCH("FALSE",AW314)))</formula>
    </cfRule>
  </conditionalFormatting>
  <conditionalFormatting sqref="AW319 BA319">
    <cfRule type="containsText" dxfId="2173" priority="2859" stopIfTrue="1" operator="containsText" text="FALSE">
      <formula>NOT(ISERROR(SEARCH("FALSE",AW319)))</formula>
    </cfRule>
  </conditionalFormatting>
  <conditionalFormatting sqref="AW329 BA329">
    <cfRule type="containsText" dxfId="2172" priority="2857" stopIfTrue="1" operator="containsText" text="FALSE">
      <formula>NOT(ISERROR(SEARCH("FALSE",AW329)))</formula>
    </cfRule>
  </conditionalFormatting>
  <conditionalFormatting sqref="AW345 BA345">
    <cfRule type="containsText" dxfId="2171" priority="2855" stopIfTrue="1" operator="containsText" text="FALSE">
      <formula>NOT(ISERROR(SEARCH("FALSE",AW345)))</formula>
    </cfRule>
  </conditionalFormatting>
  <conditionalFormatting sqref="AU324:AV324">
    <cfRule type="containsText" dxfId="2170" priority="2818" stopIfTrue="1" operator="containsText" text="FALSE">
      <formula>NOT(ISERROR(SEARCH("FALSE",AU324)))</formula>
    </cfRule>
  </conditionalFormatting>
  <conditionalFormatting sqref="AU329:AV329">
    <cfRule type="containsText" dxfId="2169" priority="2817" stopIfTrue="1" operator="containsText" text="FALSE">
      <formula>NOT(ISERROR(SEARCH("FALSE",AU329)))</formula>
    </cfRule>
  </conditionalFormatting>
  <conditionalFormatting sqref="AU335:AV335">
    <cfRule type="containsText" dxfId="2168" priority="2816" stopIfTrue="1" operator="containsText" text="FALSE">
      <formula>NOT(ISERROR(SEARCH("FALSE",AU335)))</formula>
    </cfRule>
  </conditionalFormatting>
  <conditionalFormatting sqref="AU345:AV345">
    <cfRule type="containsText" dxfId="2167" priority="2815" stopIfTrue="1" operator="containsText" text="FALSE">
      <formula>NOT(ISERROR(SEARCH("FALSE",AU345)))</formula>
    </cfRule>
  </conditionalFormatting>
  <conditionalFormatting sqref="AU57 AU56:AW56">
    <cfRule type="containsText" dxfId="2166" priority="2814" stopIfTrue="1" operator="containsText" text="FALSE">
      <formula>NOT(ISERROR(SEARCH("FALSE",AU56)))</formula>
    </cfRule>
  </conditionalFormatting>
  <conditionalFormatting sqref="AV73 AU149:AV150 AV130 AV154:AV155 AU202:AV202 AU68:AV69 AV46 AU59:AV59 AU32 AU164:AV165 AU196:AU197 AU194 AU209 AU123:AV123 AU185:AU188 AU181:AV183 AU191:AU192 AU25:AU28 AU306:AV313 AU315:AV318 AU320:AV323 AU325:AV328 AU330:AV334 AU336:AV344 AU346:AV353 AU19:AV21 AU2:AV5 AU102:AV109 AU296:AV304 AV34 AU89:AV89 AV43:AV44 AV60:AV61 AU84:AU85 AU170:AV170 AV66:AV67 AV88 AU7:AW12 AU36:AW39 AU41:AW41 AW43 AU54:AW54 AW66:AW69 AW102:AW107 AU111:AW114 AU117:AW117 AW181">
    <cfRule type="containsText" dxfId="2165" priority="2853" stopIfTrue="1" operator="containsText" text="FALSE">
      <formula>NOT(ISERROR(SEARCH("FALSE",AU2)))</formula>
    </cfRule>
  </conditionalFormatting>
  <conditionalFormatting sqref="AU211:AU212">
    <cfRule type="containsText" dxfId="2164" priority="2851" stopIfTrue="1" operator="containsText" text="FALSE">
      <formula>NOT(ISERROR(SEARCH("FALSE",AU211)))</formula>
    </cfRule>
  </conditionalFormatting>
  <conditionalFormatting sqref="AU42:AV42">
    <cfRule type="containsText" dxfId="2163" priority="2850" stopIfTrue="1" operator="containsText" text="FALSE">
      <formula>NOT(ISERROR(SEARCH("FALSE",AU42)))</formula>
    </cfRule>
  </conditionalFormatting>
  <conditionalFormatting sqref="AU71:AW71">
    <cfRule type="containsText" dxfId="2162" priority="2849" stopIfTrue="1" operator="containsText" text="FALSE">
      <formula>NOT(ISERROR(SEARCH("FALSE",AU71)))</formula>
    </cfRule>
  </conditionalFormatting>
  <conditionalFormatting sqref="AU181:AW181">
    <cfRule type="containsText" dxfId="2161" priority="2847" stopIfTrue="1" operator="containsText" text="FALSE">
      <formula>NOT(ISERROR(SEARCH("FALSE",AU181)))</formula>
    </cfRule>
  </conditionalFormatting>
  <conditionalFormatting sqref="AU92:AV92">
    <cfRule type="containsText" dxfId="2160" priority="2845" stopIfTrue="1" operator="containsText" text="FALSE">
      <formula>NOT(ISERROR(SEARCH("FALSE",AU92)))</formula>
    </cfRule>
  </conditionalFormatting>
  <conditionalFormatting sqref="AU55:AV55">
    <cfRule type="containsText" dxfId="2159" priority="2844" stopIfTrue="1" operator="containsText" text="FALSE">
      <formula>NOT(ISERROR(SEARCH("FALSE",AU55)))</formula>
    </cfRule>
  </conditionalFormatting>
  <conditionalFormatting sqref="AU184">
    <cfRule type="containsText" dxfId="2158" priority="2840" stopIfTrue="1" operator="containsText" text="FALSE">
      <formula>NOT(ISERROR(SEARCH("FALSE",AU184)))</formula>
    </cfRule>
  </conditionalFormatting>
  <conditionalFormatting sqref="AV124">
    <cfRule type="containsText" dxfId="2157" priority="2842" stopIfTrue="1" operator="containsText" text="FALSE">
      <formula>NOT(ISERROR(SEARCH("FALSE",AV124)))</formula>
    </cfRule>
  </conditionalFormatting>
  <conditionalFormatting sqref="AV75:AW75">
    <cfRule type="containsText" dxfId="2156" priority="2837" stopIfTrue="1" operator="containsText" text="FALSE">
      <formula>NOT(ISERROR(SEARCH("FALSE",AV75)))</formula>
    </cfRule>
  </conditionalFormatting>
  <conditionalFormatting sqref="AV78:AW78">
    <cfRule type="containsText" dxfId="2155" priority="2836" stopIfTrue="1" operator="containsText" text="FALSE">
      <formula>NOT(ISERROR(SEARCH("FALSE",AV78)))</formula>
    </cfRule>
  </conditionalFormatting>
  <conditionalFormatting sqref="AU70:AW70">
    <cfRule type="containsText" dxfId="2154" priority="2833" stopIfTrue="1" operator="containsText" text="FALSE">
      <formula>NOT(ISERROR(SEARCH("FALSE",AU70)))</formula>
    </cfRule>
  </conditionalFormatting>
  <conditionalFormatting sqref="AV79">
    <cfRule type="containsText" dxfId="2153" priority="2835" stopIfTrue="1" operator="containsText" text="FALSE">
      <formula>NOT(ISERROR(SEARCH("FALSE",AV79)))</formula>
    </cfRule>
  </conditionalFormatting>
  <conditionalFormatting sqref="AU118:AW118 AU121 AV120:AX121">
    <cfRule type="containsText" dxfId="2152" priority="2830" stopIfTrue="1" operator="containsText" text="FALSE">
      <formula>NOT(ISERROR(SEARCH("FALSE",AU118)))</formula>
    </cfRule>
  </conditionalFormatting>
  <conditionalFormatting sqref="AU18:AW18">
    <cfRule type="containsText" dxfId="2151" priority="2829" stopIfTrue="1" operator="containsText" text="FALSE">
      <formula>NOT(ISERROR(SEARCH("FALSE",AU18)))</formula>
    </cfRule>
  </conditionalFormatting>
  <conditionalFormatting sqref="AU122">
    <cfRule type="containsText" dxfId="2150" priority="2831" stopIfTrue="1" operator="containsText" text="FALSE">
      <formula>NOT(ISERROR(SEARCH("FALSE",AU122)))</formula>
    </cfRule>
  </conditionalFormatting>
  <conditionalFormatting sqref="AU115:AW116">
    <cfRule type="containsText" dxfId="2149" priority="2828" stopIfTrue="1" operator="containsText" text="FALSE">
      <formula>NOT(ISERROR(SEARCH("FALSE",AU115)))</formula>
    </cfRule>
  </conditionalFormatting>
  <conditionalFormatting sqref="AU189:AU190">
    <cfRule type="containsText" dxfId="2148" priority="2827" stopIfTrue="1" operator="containsText" text="FALSE">
      <formula>NOT(ISERROR(SEARCH("FALSE",AU189)))</formula>
    </cfRule>
  </conditionalFormatting>
  <conditionalFormatting sqref="AU33:AX33">
    <cfRule type="containsText" dxfId="2147" priority="2826" stopIfTrue="1" operator="containsText" text="FALSE">
      <formula>NOT(ISERROR(SEARCH("FALSE",AU33)))</formula>
    </cfRule>
  </conditionalFormatting>
  <conditionalFormatting sqref="AU30">
    <cfRule type="containsText" dxfId="2146" priority="2825" stopIfTrue="1" operator="containsText" text="FALSE">
      <formula>NOT(ISERROR(SEARCH("FALSE",AU30)))</formula>
    </cfRule>
  </conditionalFormatting>
  <conditionalFormatting sqref="AU148:AW148">
    <cfRule type="containsText" dxfId="2145" priority="2824" stopIfTrue="1" operator="containsText" text="FALSE">
      <formula>NOT(ISERROR(SEARCH("FALSE",AU148)))</formula>
    </cfRule>
  </conditionalFormatting>
  <conditionalFormatting sqref="AU195">
    <cfRule type="containsText" dxfId="2144" priority="2823" stopIfTrue="1" operator="containsText" text="FALSE">
      <formula>NOT(ISERROR(SEARCH("FALSE",AU195)))</formula>
    </cfRule>
  </conditionalFormatting>
  <conditionalFormatting sqref="AU201:AW201">
    <cfRule type="containsText" dxfId="2143" priority="2822" stopIfTrue="1" operator="containsText" text="FALSE">
      <formula>NOT(ISERROR(SEARCH("FALSE",AU201)))</formula>
    </cfRule>
  </conditionalFormatting>
  <conditionalFormatting sqref="AU305:AV305">
    <cfRule type="containsText" dxfId="2142" priority="2821" stopIfTrue="1" operator="containsText" text="FALSE">
      <formula>NOT(ISERROR(SEARCH("FALSE",AU305)))</formula>
    </cfRule>
  </conditionalFormatting>
  <conditionalFormatting sqref="AU314:AV314">
    <cfRule type="containsText" dxfId="2141" priority="2820" stopIfTrue="1" operator="containsText" text="FALSE">
      <formula>NOT(ISERROR(SEARCH("FALSE",AU314)))</formula>
    </cfRule>
  </conditionalFormatting>
  <conditionalFormatting sqref="AU319:AV319">
    <cfRule type="containsText" dxfId="2140" priority="2819" stopIfTrue="1" operator="containsText" text="FALSE">
      <formula>NOT(ISERROR(SEARCH("FALSE",AU319)))</formula>
    </cfRule>
  </conditionalFormatting>
  <conditionalFormatting sqref="AU14">
    <cfRule type="containsText" dxfId="2139" priority="2811" stopIfTrue="1" operator="containsText" text="FALSE">
      <formula>NOT(ISERROR(SEARCH("FALSE",AU14)))</formula>
    </cfRule>
  </conditionalFormatting>
  <conditionalFormatting sqref="AU17">
    <cfRule type="containsText" dxfId="2138" priority="2810" stopIfTrue="1" operator="containsText" text="FALSE">
      <formula>NOT(ISERROR(SEARCH("FALSE",AU17)))</formula>
    </cfRule>
  </conditionalFormatting>
  <conditionalFormatting sqref="BA247">
    <cfRule type="containsText" dxfId="2137" priority="2808" stopIfTrue="1" operator="containsText" text="FALSE">
      <formula>NOT(ISERROR(SEARCH("FALSE",BA247)))</formula>
    </cfRule>
  </conditionalFormatting>
  <conditionalFormatting sqref="AU247:AV247">
    <cfRule type="containsText" dxfId="2136" priority="2807" stopIfTrue="1" operator="containsText" text="FALSE">
      <formula>NOT(ISERROR(SEARCH("FALSE",AU247)))</formula>
    </cfRule>
  </conditionalFormatting>
  <conditionalFormatting sqref="AU293:AW295 BA277:BA286 AV290:AW292 AW288:AW289 BA288:BA295">
    <cfRule type="containsText" dxfId="2135" priority="2806" stopIfTrue="1" operator="containsText" text="FALSE">
      <formula>NOT(ISERROR(SEARCH("FALSE",AU277)))</formula>
    </cfRule>
  </conditionalFormatting>
  <conditionalFormatting sqref="BA256 AV258 BA258">
    <cfRule type="containsText" dxfId="2134" priority="2805" stopIfTrue="1" operator="containsText" text="FALSE">
      <formula>NOT(ISERROR(SEARCH("FALSE",AV256)))</formula>
    </cfRule>
  </conditionalFormatting>
  <conditionalFormatting sqref="AU267:AU286 AU288:AU292">
    <cfRule type="containsText" dxfId="2133" priority="2804" stopIfTrue="1" operator="containsText" text="FALSE">
      <formula>NOT(ISERROR(SEARCH("FALSE",AU267)))</formula>
    </cfRule>
  </conditionalFormatting>
  <conditionalFormatting sqref="AU213:AV213">
    <cfRule type="containsText" dxfId="2132" priority="2803" stopIfTrue="1" operator="containsText" text="FALSE">
      <formula>NOT(ISERROR(SEARCH("FALSE",AU213)))</formula>
    </cfRule>
  </conditionalFormatting>
  <conditionalFormatting sqref="BA213">
    <cfRule type="containsText" dxfId="2131" priority="2802" stopIfTrue="1" operator="containsText" text="FALSE">
      <formula>NOT(ISERROR(SEARCH("FALSE",BA213)))</formula>
    </cfRule>
  </conditionalFormatting>
  <conditionalFormatting sqref="AU221:AU223 AU226:AU227 AU233:AU234 AU241 AU229:AU231 AU236:AU239">
    <cfRule type="containsText" dxfId="2130" priority="2801" stopIfTrue="1" operator="containsText" text="FALSE">
      <formula>NOT(ISERROR(SEARCH("FALSE",AU221)))</formula>
    </cfRule>
  </conditionalFormatting>
  <conditionalFormatting sqref="AU215 AU218:AU219">
    <cfRule type="containsText" dxfId="2129" priority="2800" stopIfTrue="1" operator="containsText" text="FALSE">
      <formula>NOT(ISERROR(SEARCH("FALSE",AU215)))</formula>
    </cfRule>
  </conditionalFormatting>
  <conditionalFormatting sqref="AU258">
    <cfRule type="containsText" dxfId="2128" priority="2779" stopIfTrue="1" operator="containsText" text="FALSE">
      <formula>NOT(ISERROR(SEARCH("FALSE",AU258)))</formula>
    </cfRule>
  </conditionalFormatting>
  <conditionalFormatting sqref="CA53">
    <cfRule type="containsText" dxfId="2127" priority="2743" stopIfTrue="1" operator="containsText" text="FALSE">
      <formula>NOT(ISERROR(SEARCH("FALSE",CA53)))</formula>
    </cfRule>
  </conditionalFormatting>
  <conditionalFormatting sqref="BA259">
    <cfRule type="containsText" dxfId="2126" priority="2777" stopIfTrue="1" operator="containsText" text="FALSE">
      <formula>NOT(ISERROR(SEARCH("FALSE",BA259)))</formula>
    </cfRule>
  </conditionalFormatting>
  <conditionalFormatting sqref="AU259:AV259">
    <cfRule type="containsText" dxfId="2125" priority="2776" stopIfTrue="1" operator="containsText" text="FALSE">
      <formula>NOT(ISERROR(SEARCH("FALSE",AU259)))</formula>
    </cfRule>
  </conditionalFormatting>
  <conditionalFormatting sqref="AV119:AW119">
    <cfRule type="containsText" dxfId="2124" priority="2751" stopIfTrue="1" operator="containsText" text="FALSE">
      <formula>NOT(ISERROR(SEARCH("FALSE",AV119)))</formula>
    </cfRule>
  </conditionalFormatting>
  <conditionalFormatting sqref="AU34">
    <cfRule type="containsText" dxfId="2123" priority="2773" stopIfTrue="1" operator="containsText" text="FALSE">
      <formula>NOT(ISERROR(SEARCH("FALSE",AU34)))</formula>
    </cfRule>
  </conditionalFormatting>
  <conditionalFormatting sqref="AU86:AU87">
    <cfRule type="containsText" dxfId="2122" priority="2770" stopIfTrue="1" operator="containsText" text="FALSE">
      <formula>NOT(ISERROR(SEARCH("FALSE",AU86)))</formula>
    </cfRule>
  </conditionalFormatting>
  <conditionalFormatting sqref="AU43">
    <cfRule type="containsText" dxfId="2121" priority="2768" stopIfTrue="1" operator="containsText" text="FALSE">
      <formula>NOT(ISERROR(SEARCH("FALSE",AU43)))</formula>
    </cfRule>
  </conditionalFormatting>
  <conditionalFormatting sqref="AV47 BA47">
    <cfRule type="containsText" dxfId="2120" priority="2767" stopIfTrue="1" operator="containsText" text="FALSE">
      <formula>NOT(ISERROR(SEARCH("FALSE",AV47)))</formula>
    </cfRule>
  </conditionalFormatting>
  <conditionalFormatting sqref="AV57">
    <cfRule type="containsText" dxfId="2119" priority="2765" stopIfTrue="1" operator="containsText" text="FALSE">
      <formula>NOT(ISERROR(SEARCH("FALSE",AV57)))</formula>
    </cfRule>
  </conditionalFormatting>
  <conditionalFormatting sqref="AU61 AU66:AU67">
    <cfRule type="containsText" dxfId="2118" priority="2764" stopIfTrue="1" operator="containsText" text="FALSE">
      <formula>NOT(ISERROR(SEARCH("FALSE",AU61)))</formula>
    </cfRule>
  </conditionalFormatting>
  <conditionalFormatting sqref="AV17">
    <cfRule type="containsText" dxfId="2117" priority="2754" stopIfTrue="1" operator="containsText" text="FALSE">
      <formula>NOT(ISERROR(SEARCH("FALSE",AV17)))</formula>
    </cfRule>
  </conditionalFormatting>
  <conditionalFormatting sqref="AV86:AW87">
    <cfRule type="containsText" dxfId="2116" priority="2753" stopIfTrue="1" operator="containsText" text="FALSE">
      <formula>NOT(ISERROR(SEARCH("FALSE",AV86)))</formula>
    </cfRule>
  </conditionalFormatting>
  <conditionalFormatting sqref="AV85:AW85">
    <cfRule type="containsText" dxfId="2115" priority="2752" stopIfTrue="1" operator="containsText" text="FALSE">
      <formula>NOT(ISERROR(SEARCH("FALSE",AV85)))</formula>
    </cfRule>
  </conditionalFormatting>
  <conditionalFormatting sqref="CA66">
    <cfRule type="containsText" dxfId="2114" priority="2740" stopIfTrue="1" operator="containsText" text="FALSE">
      <formula>NOT(ISERROR(SEARCH("FALSE",CA66)))</formula>
    </cfRule>
  </conditionalFormatting>
  <conditionalFormatting sqref="CA36">
    <cfRule type="containsText" dxfId="2113" priority="2747" stopIfTrue="1" operator="containsText" text="FALSE">
      <formula>NOT(ISERROR(SEARCH("FALSE",CA36)))</formula>
    </cfRule>
  </conditionalFormatting>
  <conditionalFormatting sqref="CA43">
    <cfRule type="containsText" dxfId="2112" priority="2746" stopIfTrue="1" operator="containsText" text="FALSE">
      <formula>NOT(ISERROR(SEARCH("FALSE",CA43)))</formula>
    </cfRule>
  </conditionalFormatting>
  <conditionalFormatting sqref="CA45">
    <cfRule type="containsText" dxfId="2111" priority="2745" stopIfTrue="1" operator="containsText" text="FALSE">
      <formula>NOT(ISERROR(SEARCH("FALSE",CA45)))</formula>
    </cfRule>
  </conditionalFormatting>
  <conditionalFormatting sqref="CA49">
    <cfRule type="containsText" dxfId="2110" priority="2744" stopIfTrue="1" operator="containsText" text="FALSE">
      <formula>NOT(ISERROR(SEARCH("FALSE",CA49)))</formula>
    </cfRule>
  </conditionalFormatting>
  <conditionalFormatting sqref="CA59">
    <cfRule type="containsText" dxfId="2109" priority="2742" stopIfTrue="1" operator="containsText" text="FALSE">
      <formula>NOT(ISERROR(SEARCH("FALSE",CA59)))</formula>
    </cfRule>
  </conditionalFormatting>
  <conditionalFormatting sqref="CA58">
    <cfRule type="containsText" dxfId="2108" priority="2741" stopIfTrue="1" operator="containsText" text="FALSE">
      <formula>NOT(ISERROR(SEARCH("FALSE",CA58)))</formula>
    </cfRule>
  </conditionalFormatting>
  <conditionalFormatting sqref="CA70">
    <cfRule type="containsText" dxfId="2107" priority="2739" stopIfTrue="1" operator="containsText" text="FALSE">
      <formula>NOT(ISERROR(SEARCH("FALSE",CA70)))</formula>
    </cfRule>
  </conditionalFormatting>
  <conditionalFormatting sqref="CA128 CA147 CA130">
    <cfRule type="containsText" dxfId="2106" priority="2738" stopIfTrue="1" operator="containsText" text="FALSE">
      <formula>NOT(ISERROR(SEARCH("FALSE",CA128)))</formula>
    </cfRule>
  </conditionalFormatting>
  <conditionalFormatting sqref="CA124:CA127">
    <cfRule type="containsText" dxfId="2105" priority="2737" stopIfTrue="1" operator="containsText" text="FALSE">
      <formula>NOT(ISERROR(SEARCH("FALSE",CA124)))</formula>
    </cfRule>
  </conditionalFormatting>
  <conditionalFormatting sqref="CA131:CA132">
    <cfRule type="containsText" dxfId="2104" priority="2736" stopIfTrue="1" operator="containsText" text="FALSE">
      <formula>NOT(ISERROR(SEARCH("FALSE",CA131)))</formula>
    </cfRule>
  </conditionalFormatting>
  <conditionalFormatting sqref="CA133">
    <cfRule type="containsText" dxfId="2103" priority="2735" stopIfTrue="1" operator="containsText" text="FALSE">
      <formula>NOT(ISERROR(SEARCH("FALSE",CA133)))</formula>
    </cfRule>
  </conditionalFormatting>
  <conditionalFormatting sqref="CA135">
    <cfRule type="containsText" dxfId="2102" priority="2734" stopIfTrue="1" operator="containsText" text="FALSE">
      <formula>NOT(ISERROR(SEARCH("FALSE",CA135)))</formula>
    </cfRule>
  </conditionalFormatting>
  <conditionalFormatting sqref="BX210">
    <cfRule type="containsText" dxfId="2101" priority="2733" stopIfTrue="1" operator="containsText" text="FALSE">
      <formula>NOT(ISERROR(SEARCH("FALSE",BX210)))</formula>
    </cfRule>
  </conditionalFormatting>
  <conditionalFormatting sqref="BY210:CA210">
    <cfRule type="containsText" dxfId="2100" priority="2732" stopIfTrue="1" operator="containsText" text="FALSE">
      <formula>NOT(ISERROR(SEARCH("FALSE",BY210)))</formula>
    </cfRule>
  </conditionalFormatting>
  <conditionalFormatting sqref="B287:AL287 BO287:BX287">
    <cfRule type="containsText" dxfId="2099" priority="2731" stopIfTrue="1" operator="containsText" text="FALSE">
      <formula>NOT(ISERROR(SEARCH("FALSE",B287)))</formula>
    </cfRule>
  </conditionalFormatting>
  <conditionalFormatting sqref="BY287:CA287">
    <cfRule type="containsText" dxfId="2098" priority="2730" stopIfTrue="1" operator="containsText" text="FALSE">
      <formula>NOT(ISERROR(SEARCH("FALSE",BY287)))</formula>
    </cfRule>
  </conditionalFormatting>
  <conditionalFormatting sqref="AM287:AP287">
    <cfRule type="containsText" dxfId="2097" priority="2729" stopIfTrue="1" operator="containsText" text="FALSE">
      <formula>NOT(ISERROR(SEARCH("FALSE",AM287)))</formula>
    </cfRule>
  </conditionalFormatting>
  <conditionalFormatting sqref="AR287:AS287">
    <cfRule type="containsText" dxfId="2096" priority="2728" stopIfTrue="1" operator="containsText" text="FALSE">
      <formula>NOT(ISERROR(SEARCH("FALSE",AR287)))</formula>
    </cfRule>
  </conditionalFormatting>
  <conditionalFormatting sqref="AQ287">
    <cfRule type="containsText" dxfId="2095" priority="2727" stopIfTrue="1" operator="containsText" text="FALSE">
      <formula>NOT(ISERROR(SEARCH("FALSE",AQ287)))</formula>
    </cfRule>
  </conditionalFormatting>
  <conditionalFormatting sqref="BA287">
    <cfRule type="containsText" dxfId="2094" priority="2726" stopIfTrue="1" operator="containsText" text="FALSE">
      <formula>NOT(ISERROR(SEARCH("FALSE",BA287)))</formula>
    </cfRule>
  </conditionalFormatting>
  <conditionalFormatting sqref="AU287">
    <cfRule type="containsText" dxfId="2093" priority="2725" stopIfTrue="1" operator="containsText" text="FALSE">
      <formula>NOT(ISERROR(SEARCH("FALSE",AU287)))</formula>
    </cfRule>
  </conditionalFormatting>
  <conditionalFormatting sqref="AM76">
    <cfRule type="containsText" dxfId="2092" priority="2724" stopIfTrue="1" operator="containsText" text="FALSE">
      <formula>NOT(ISERROR(SEARCH("FALSE",AM76)))</formula>
    </cfRule>
  </conditionalFormatting>
  <conditionalFormatting sqref="AM81">
    <cfRule type="containsText" dxfId="2091" priority="2723" stopIfTrue="1" operator="containsText" text="FALSE">
      <formula>NOT(ISERROR(SEARCH("FALSE",AM81)))</formula>
    </cfRule>
  </conditionalFormatting>
  <conditionalFormatting sqref="AR217:AS217">
    <cfRule type="containsText" dxfId="2090" priority="2722" stopIfTrue="1" operator="containsText" text="FALSE">
      <formula>NOT(ISERROR(SEARCH("FALSE",AR217)))</formula>
    </cfRule>
  </conditionalFormatting>
  <conditionalFormatting sqref="AR220:AS220">
    <cfRule type="containsText" dxfId="2089" priority="2721" stopIfTrue="1" operator="containsText" text="FALSE">
      <formula>NOT(ISERROR(SEARCH("FALSE",AR220)))</formula>
    </cfRule>
  </conditionalFormatting>
  <conditionalFormatting sqref="BX213:BZ213">
    <cfRule type="containsText" dxfId="2088" priority="2719" stopIfTrue="1" operator="containsText" text="FALSE">
      <formula>NOT(ISERROR(SEARCH("FALSE",BX213)))</formula>
    </cfRule>
  </conditionalFormatting>
  <conditionalFormatting sqref="CA213">
    <cfRule type="containsText" dxfId="2087" priority="2718" stopIfTrue="1" operator="containsText" text="FALSE">
      <formula>NOT(ISERROR(SEARCH("FALSE",CA213)))</formula>
    </cfRule>
  </conditionalFormatting>
  <conditionalFormatting sqref="AR45">
    <cfRule type="containsText" dxfId="2086" priority="2717" stopIfTrue="1" operator="containsText" text="FALSE">
      <formula>NOT(ISERROR(SEARCH("FALSE",AR45)))</formula>
    </cfRule>
  </conditionalFormatting>
  <conditionalFormatting sqref="AS22">
    <cfRule type="containsText" dxfId="2085" priority="2716" stopIfTrue="1" operator="containsText" text="FALSE">
      <formula>NOT(ISERROR(SEARCH("FALSE",AS22)))</formula>
    </cfRule>
  </conditionalFormatting>
  <conditionalFormatting sqref="AS78">
    <cfRule type="containsText" dxfId="2084" priority="2704" stopIfTrue="1" operator="containsText" text="FALSE">
      <formula>NOT(ISERROR(SEARCH("FALSE",AS78)))</formula>
    </cfRule>
  </conditionalFormatting>
  <conditionalFormatting sqref="AS69">
    <cfRule type="containsText" dxfId="2083" priority="2712" stopIfTrue="1" operator="containsText" text="FALSE">
      <formula>NOT(ISERROR(SEARCH("FALSE",AS69)))</formula>
    </cfRule>
  </conditionalFormatting>
  <conditionalFormatting sqref="AR59">
    <cfRule type="containsText" dxfId="2082" priority="2711" stopIfTrue="1" operator="containsText" text="FALSE">
      <formula>NOT(ISERROR(SEARCH("FALSE",AR59)))</formula>
    </cfRule>
  </conditionalFormatting>
  <conditionalFormatting sqref="AR60">
    <cfRule type="containsText" dxfId="2081" priority="2710" stopIfTrue="1" operator="containsText" text="FALSE">
      <formula>NOT(ISERROR(SEARCH("FALSE",AR60)))</formula>
    </cfRule>
  </conditionalFormatting>
  <conditionalFormatting sqref="AS82 AS84">
    <cfRule type="containsText" dxfId="2080" priority="2709" stopIfTrue="1" operator="containsText" text="FALSE">
      <formula>NOT(ISERROR(SEARCH("FALSE",AS82)))</formula>
    </cfRule>
  </conditionalFormatting>
  <conditionalFormatting sqref="AS72">
    <cfRule type="containsText" dxfId="2079" priority="2700" stopIfTrue="1" operator="containsText" text="FALSE">
      <formula>NOT(ISERROR(SEARCH("FALSE",AS72)))</formula>
    </cfRule>
  </conditionalFormatting>
  <conditionalFormatting sqref="AS73 AS76 AS88:AS89">
    <cfRule type="containsText" dxfId="2078" priority="2708" stopIfTrue="1" operator="containsText" text="FALSE">
      <formula>NOT(ISERROR(SEARCH("FALSE",AS73)))</formula>
    </cfRule>
  </conditionalFormatting>
  <conditionalFormatting sqref="AS71">
    <cfRule type="containsText" dxfId="2077" priority="2707" stopIfTrue="1" operator="containsText" text="FALSE">
      <formula>NOT(ISERROR(SEARCH("FALSE",AS71)))</formula>
    </cfRule>
  </conditionalFormatting>
  <conditionalFormatting sqref="AS92">
    <cfRule type="containsText" dxfId="2076" priority="2706" stopIfTrue="1" operator="containsText" text="FALSE">
      <formula>NOT(ISERROR(SEARCH("FALSE",AS92)))</formula>
    </cfRule>
  </conditionalFormatting>
  <conditionalFormatting sqref="AS75">
    <cfRule type="containsText" dxfId="2075" priority="2705" stopIfTrue="1" operator="containsText" text="FALSE">
      <formula>NOT(ISERROR(SEARCH("FALSE",AS75)))</formula>
    </cfRule>
  </conditionalFormatting>
  <conditionalFormatting sqref="AS81">
    <cfRule type="containsText" dxfId="2074" priority="2702" stopIfTrue="1" operator="containsText" text="FALSE">
      <formula>NOT(ISERROR(SEARCH("FALSE",AS81)))</formula>
    </cfRule>
  </conditionalFormatting>
  <conditionalFormatting sqref="AS70">
    <cfRule type="containsText" dxfId="2073" priority="2701" stopIfTrue="1" operator="containsText" text="FALSE">
      <formula>NOT(ISERROR(SEARCH("FALSE",AS70)))</formula>
    </cfRule>
  </conditionalFormatting>
  <conditionalFormatting sqref="AS79">
    <cfRule type="containsText" dxfId="2072" priority="2703" stopIfTrue="1" operator="containsText" text="FALSE">
      <formula>NOT(ISERROR(SEARCH("FALSE",AS79)))</formula>
    </cfRule>
  </conditionalFormatting>
  <conditionalFormatting sqref="AS86:AS87">
    <cfRule type="containsText" dxfId="2071" priority="2699" stopIfTrue="1" operator="containsText" text="FALSE">
      <formula>NOT(ISERROR(SEARCH("FALSE",AS86)))</formula>
    </cfRule>
  </conditionalFormatting>
  <conditionalFormatting sqref="AS85">
    <cfRule type="containsText" dxfId="2070" priority="2698" stopIfTrue="1" operator="containsText" text="FALSE">
      <formula>NOT(ISERROR(SEARCH("FALSE",AS85)))</formula>
    </cfRule>
  </conditionalFormatting>
  <conditionalFormatting sqref="AS48:AS52">
    <cfRule type="containsText" dxfId="2069" priority="2697" stopIfTrue="1" operator="containsText" text="FALSE">
      <formula>NOT(ISERROR(SEARCH("FALSE",AS48)))</formula>
    </cfRule>
  </conditionalFormatting>
  <conditionalFormatting sqref="AS56">
    <cfRule type="containsText" dxfId="2068" priority="2693" stopIfTrue="1" operator="containsText" text="FALSE">
      <formula>NOT(ISERROR(SEARCH("FALSE",AS56)))</formula>
    </cfRule>
  </conditionalFormatting>
  <conditionalFormatting sqref="AS41 AS54 AS36:AS39 AS43:AS44">
    <cfRule type="containsText" dxfId="2067" priority="2696" stopIfTrue="1" operator="containsText" text="FALSE">
      <formula>NOT(ISERROR(SEARCH("FALSE",AS36)))</formula>
    </cfRule>
  </conditionalFormatting>
  <conditionalFormatting sqref="AS42">
    <cfRule type="containsText" dxfId="2066" priority="2695" stopIfTrue="1" operator="containsText" text="FALSE">
      <formula>NOT(ISERROR(SEARCH("FALSE",AS42)))</formula>
    </cfRule>
  </conditionalFormatting>
  <conditionalFormatting sqref="AS55">
    <cfRule type="containsText" dxfId="2065" priority="2694" stopIfTrue="1" operator="containsText" text="FALSE">
      <formula>NOT(ISERROR(SEARCH("FALSE",AS55)))</formula>
    </cfRule>
  </conditionalFormatting>
  <conditionalFormatting sqref="AS57">
    <cfRule type="containsText" dxfId="2064" priority="2691" stopIfTrue="1" operator="containsText" text="FALSE">
      <formula>NOT(ISERROR(SEARCH("FALSE",AS57)))</formula>
    </cfRule>
  </conditionalFormatting>
  <conditionalFormatting sqref="AS59">
    <cfRule type="containsText" dxfId="2063" priority="2689" stopIfTrue="1" operator="containsText" text="FALSE">
      <formula>NOT(ISERROR(SEARCH("FALSE",AS59)))</formula>
    </cfRule>
  </conditionalFormatting>
  <conditionalFormatting sqref="AS131:AS133 AS135">
    <cfRule type="containsText" dxfId="2062" priority="2685" stopIfTrue="1" operator="containsText" text="FALSE">
      <formula>NOT(ISERROR(SEARCH("FALSE",AS131)))</formula>
    </cfRule>
  </conditionalFormatting>
  <conditionalFormatting sqref="AS130">
    <cfRule type="containsText" dxfId="2061" priority="2687" stopIfTrue="1" operator="containsText" text="FALSE">
      <formula>NOT(ISERROR(SEARCH("FALSE",AS130)))</formula>
    </cfRule>
  </conditionalFormatting>
  <conditionalFormatting sqref="AS124:AS126">
    <cfRule type="containsText" dxfId="2060" priority="2686" stopIfTrue="1" operator="containsText" text="FALSE">
      <formula>NOT(ISERROR(SEARCH("FALSE",AS124)))</formula>
    </cfRule>
  </conditionalFormatting>
  <conditionalFormatting sqref="AS154:AS155 AS164">
    <cfRule type="containsText" dxfId="2059" priority="2684" stopIfTrue="1" operator="containsText" text="FALSE">
      <formula>NOT(ISERROR(SEARCH("FALSE",AS154)))</formula>
    </cfRule>
  </conditionalFormatting>
  <conditionalFormatting sqref="AS204:AS205">
    <cfRule type="containsText" dxfId="2058" priority="2680" stopIfTrue="1" operator="containsText" text="FALSE">
      <formula>NOT(ISERROR(SEARCH("FALSE",AS204)))</formula>
    </cfRule>
  </conditionalFormatting>
  <conditionalFormatting sqref="AS202 AS206:AS209 AS199:AS200">
    <cfRule type="containsText" dxfId="2057" priority="2682" stopIfTrue="1" operator="containsText" text="FALSE">
      <formula>NOT(ISERROR(SEARCH("FALSE",AS199)))</formula>
    </cfRule>
  </conditionalFormatting>
  <conditionalFormatting sqref="AS198">
    <cfRule type="containsText" dxfId="2056" priority="2681" stopIfTrue="1" operator="containsText" text="FALSE">
      <formula>NOT(ISERROR(SEARCH("FALSE",AS198)))</formula>
    </cfRule>
  </conditionalFormatting>
  <conditionalFormatting sqref="AS201">
    <cfRule type="containsText" dxfId="2055" priority="2679" stopIfTrue="1" operator="containsText" text="FALSE">
      <formula>NOT(ISERROR(SEARCH("FALSE",AS201)))</formula>
    </cfRule>
  </conditionalFormatting>
  <conditionalFormatting sqref="AT34 AT83:AT88 AT48:AT52 AT2:AT17 AT260:AT264 AT244:AT245">
    <cfRule type="containsText" dxfId="2054" priority="2640" stopIfTrue="1" operator="containsText" text="FALSE">
      <formula>NOT(ISERROR(SEARCH("FALSE",AT2)))</formula>
    </cfRule>
  </conditionalFormatting>
  <conditionalFormatting sqref="AT149:AT150 AT130 AT154:AT155 AT202 AT71:AT72 AT196:AT197 AT31:AT32 AT123 AT191:AT194 AT221:AT222 AT117 AT306:AT313 AT315:AT318 AT320:AT323 AT325:AT328 AT330:AT334 AT336:AT344 AT346:AT353 AT19:AT28 AT36:AT39 AT68:AT69 AT89 AT102:AT114 AT164:AT172 AT181:AT188 AT199:AT200 AT206:AT209 AT229:AT230 AT236:AT237 AT296:AT304">
    <cfRule type="containsText" dxfId="2053" priority="2639" stopIfTrue="1" operator="containsText" text="FALSE">
      <formula>NOT(ISERROR(SEARCH("FALSE",AT19)))</formula>
    </cfRule>
  </conditionalFormatting>
  <conditionalFormatting sqref="AT97:AT98">
    <cfRule type="containsText" dxfId="2052" priority="2638" stopIfTrue="1" operator="containsText" text="FALSE">
      <formula>NOT(ISERROR(SEARCH("FALSE",AT97)))</formula>
    </cfRule>
  </conditionalFormatting>
  <conditionalFormatting sqref="AT211:AT212">
    <cfRule type="containsText" dxfId="2051" priority="2637" stopIfTrue="1" operator="containsText" text="FALSE">
      <formula>NOT(ISERROR(SEARCH("FALSE",AT211)))</formula>
    </cfRule>
  </conditionalFormatting>
  <conditionalFormatting sqref="AT181">
    <cfRule type="containsText" dxfId="2050" priority="2636" stopIfTrue="1" operator="containsText" text="FALSE">
      <formula>NOT(ISERROR(SEARCH("FALSE",AT181)))</formula>
    </cfRule>
  </conditionalFormatting>
  <conditionalFormatting sqref="AT99:AT101">
    <cfRule type="containsText" dxfId="2049" priority="2635" stopIfTrue="1" operator="containsText" text="FALSE">
      <formula>NOT(ISERROR(SEARCH("FALSE",AT99)))</formula>
    </cfRule>
  </conditionalFormatting>
  <conditionalFormatting sqref="AT92">
    <cfRule type="containsText" dxfId="2048" priority="2634" stopIfTrue="1" operator="containsText" text="FALSE">
      <formula>NOT(ISERROR(SEARCH("FALSE",AT92)))</formula>
    </cfRule>
  </conditionalFormatting>
  <conditionalFormatting sqref="AT90:AT91">
    <cfRule type="containsText" dxfId="2047" priority="2633" stopIfTrue="1" operator="containsText" text="FALSE">
      <formula>NOT(ISERROR(SEARCH("FALSE",AT90)))</formula>
    </cfRule>
  </conditionalFormatting>
  <conditionalFormatting sqref="AT151 AT153">
    <cfRule type="containsText" dxfId="2046" priority="2632" stopIfTrue="1" operator="containsText" text="FALSE">
      <formula>NOT(ISERROR(SEARCH("FALSE",AT151)))</formula>
    </cfRule>
  </conditionalFormatting>
  <conditionalFormatting sqref="AT156:AT157">
    <cfRule type="containsText" dxfId="2045" priority="2631" stopIfTrue="1" operator="containsText" text="FALSE">
      <formula>NOT(ISERROR(SEARCH("FALSE",AT156)))</formula>
    </cfRule>
  </conditionalFormatting>
  <conditionalFormatting sqref="AT124:AT126">
    <cfRule type="containsText" dxfId="2044" priority="2628" stopIfTrue="1" operator="containsText" text="FALSE">
      <formula>NOT(ISERROR(SEARCH("FALSE",AT124)))</formula>
    </cfRule>
  </conditionalFormatting>
  <conditionalFormatting sqref="AT131:AT133">
    <cfRule type="containsText" dxfId="2043" priority="2627" stopIfTrue="1" operator="containsText" text="FALSE">
      <formula>NOT(ISERROR(SEARCH("FALSE",AT131)))</formula>
    </cfRule>
  </conditionalFormatting>
  <conditionalFormatting sqref="AT135">
    <cfRule type="containsText" dxfId="2042" priority="2626" stopIfTrue="1" operator="containsText" text="FALSE">
      <formula>NOT(ISERROR(SEARCH("FALSE",AT135)))</formula>
    </cfRule>
  </conditionalFormatting>
  <conditionalFormatting sqref="AT198">
    <cfRule type="containsText" dxfId="2041" priority="2625" stopIfTrue="1" operator="containsText" text="FALSE">
      <formula>NOT(ISERROR(SEARCH("FALSE",AT198)))</formula>
    </cfRule>
  </conditionalFormatting>
  <conditionalFormatting sqref="AT204:AT205">
    <cfRule type="containsText" dxfId="2040" priority="2624" stopIfTrue="1" operator="containsText" text="FALSE">
      <formula>NOT(ISERROR(SEARCH("FALSE",AT204)))</formula>
    </cfRule>
  </conditionalFormatting>
  <conditionalFormatting sqref="AT70">
    <cfRule type="containsText" dxfId="2039" priority="2623" stopIfTrue="1" operator="containsText" text="FALSE">
      <formula>NOT(ISERROR(SEARCH("FALSE",AT70)))</formula>
    </cfRule>
  </conditionalFormatting>
  <conditionalFormatting sqref="AT118:AT121">
    <cfRule type="containsText" dxfId="2038" priority="2620" stopIfTrue="1" operator="containsText" text="FALSE">
      <formula>NOT(ISERROR(SEARCH("FALSE",AT118)))</formula>
    </cfRule>
  </conditionalFormatting>
  <conditionalFormatting sqref="AT96">
    <cfRule type="containsText" dxfId="2037" priority="2622" stopIfTrue="1" operator="containsText" text="FALSE">
      <formula>NOT(ISERROR(SEARCH("FALSE",AT96)))</formula>
    </cfRule>
  </conditionalFormatting>
  <conditionalFormatting sqref="AT18">
    <cfRule type="containsText" dxfId="2036" priority="2619" stopIfTrue="1" operator="containsText" text="FALSE">
      <formula>NOT(ISERROR(SEARCH("FALSE",AT18)))</formula>
    </cfRule>
  </conditionalFormatting>
  <conditionalFormatting sqref="AT122">
    <cfRule type="containsText" dxfId="2035" priority="2621" stopIfTrue="1" operator="containsText" text="FALSE">
      <formula>NOT(ISERROR(SEARCH("FALSE",AT122)))</formula>
    </cfRule>
  </conditionalFormatting>
  <conditionalFormatting sqref="AT115:AT116">
    <cfRule type="containsText" dxfId="2034" priority="2618" stopIfTrue="1" operator="containsText" text="FALSE">
      <formula>NOT(ISERROR(SEARCH("FALSE",AT115)))</formula>
    </cfRule>
  </conditionalFormatting>
  <conditionalFormatting sqref="AT189:AT190">
    <cfRule type="containsText" dxfId="2033" priority="2617" stopIfTrue="1" operator="containsText" text="FALSE">
      <formula>NOT(ISERROR(SEARCH("FALSE",AT189)))</formula>
    </cfRule>
  </conditionalFormatting>
  <conditionalFormatting sqref="AT215:AT216 AT218:AT219">
    <cfRule type="containsText" dxfId="2032" priority="2616" stopIfTrue="1" operator="containsText" text="FALSE">
      <formula>NOT(ISERROR(SEARCH("FALSE",AT215)))</formula>
    </cfRule>
  </conditionalFormatting>
  <conditionalFormatting sqref="AT33">
    <cfRule type="containsText" dxfId="2031" priority="2615" stopIfTrue="1" operator="containsText" text="FALSE">
      <formula>NOT(ISERROR(SEARCH("FALSE",AT33)))</formula>
    </cfRule>
  </conditionalFormatting>
  <conditionalFormatting sqref="AT30">
    <cfRule type="containsText" dxfId="2030" priority="2614" stopIfTrue="1" operator="containsText" text="FALSE">
      <formula>NOT(ISERROR(SEARCH("FALSE",AT30)))</formula>
    </cfRule>
  </conditionalFormatting>
  <conditionalFormatting sqref="AT148">
    <cfRule type="containsText" dxfId="2029" priority="2613" stopIfTrue="1" operator="containsText" text="FALSE">
      <formula>NOT(ISERROR(SEARCH("FALSE",AT148)))</formula>
    </cfRule>
  </conditionalFormatting>
  <conditionalFormatting sqref="AT195">
    <cfRule type="containsText" dxfId="2028" priority="2612" stopIfTrue="1" operator="containsText" text="FALSE">
      <formula>NOT(ISERROR(SEARCH("FALSE",AT195)))</formula>
    </cfRule>
  </conditionalFormatting>
  <conditionalFormatting sqref="AT201">
    <cfRule type="containsText" dxfId="2027" priority="2611" stopIfTrue="1" operator="containsText" text="FALSE">
      <formula>NOT(ISERROR(SEARCH("FALSE",AT201)))</formula>
    </cfRule>
  </conditionalFormatting>
  <conditionalFormatting sqref="AT305">
    <cfRule type="containsText" dxfId="2026" priority="2610" stopIfTrue="1" operator="containsText" text="FALSE">
      <formula>NOT(ISERROR(SEARCH("FALSE",AT305)))</formula>
    </cfRule>
  </conditionalFormatting>
  <conditionalFormatting sqref="AT314">
    <cfRule type="containsText" dxfId="2025" priority="2609" stopIfTrue="1" operator="containsText" text="FALSE">
      <formula>NOT(ISERROR(SEARCH("FALSE",AT314)))</formula>
    </cfRule>
  </conditionalFormatting>
  <conditionalFormatting sqref="AT319">
    <cfRule type="containsText" dxfId="2024" priority="2608" stopIfTrue="1" operator="containsText" text="FALSE">
      <formula>NOT(ISERROR(SEARCH("FALSE",AT319)))</formula>
    </cfRule>
  </conditionalFormatting>
  <conditionalFormatting sqref="AT324">
    <cfRule type="containsText" dxfId="2023" priority="2607" stopIfTrue="1" operator="containsText" text="FALSE">
      <formula>NOT(ISERROR(SEARCH("FALSE",AT324)))</formula>
    </cfRule>
  </conditionalFormatting>
  <conditionalFormatting sqref="AT329">
    <cfRule type="containsText" dxfId="2022" priority="2606" stopIfTrue="1" operator="containsText" text="FALSE">
      <formula>NOT(ISERROR(SEARCH("FALSE",AT329)))</formula>
    </cfRule>
  </conditionalFormatting>
  <conditionalFormatting sqref="AT335">
    <cfRule type="containsText" dxfId="2021" priority="2605" stopIfTrue="1" operator="containsText" text="FALSE">
      <formula>NOT(ISERROR(SEARCH("FALSE",AT335)))</formula>
    </cfRule>
  </conditionalFormatting>
  <conditionalFormatting sqref="AT345">
    <cfRule type="containsText" dxfId="2020" priority="2604" stopIfTrue="1" operator="containsText" text="FALSE">
      <formula>NOT(ISERROR(SEARCH("FALSE",AT345)))</formula>
    </cfRule>
  </conditionalFormatting>
  <conditionalFormatting sqref="AT213">
    <cfRule type="containsText" dxfId="2019" priority="2603" stopIfTrue="1" operator="containsText" text="FALSE">
      <formula>NOT(ISERROR(SEARCH("FALSE",AT213)))</formula>
    </cfRule>
  </conditionalFormatting>
  <conditionalFormatting sqref="AT54 AT59">
    <cfRule type="containsText" dxfId="2018" priority="2602" stopIfTrue="1" operator="containsText" text="FALSE">
      <formula>NOT(ISERROR(SEARCH("FALSE",AT54)))</formula>
    </cfRule>
  </conditionalFormatting>
  <conditionalFormatting sqref="AT73 AT76">
    <cfRule type="containsText" dxfId="2017" priority="2600" stopIfTrue="1" operator="containsText" text="FALSE">
      <formula>NOT(ISERROR(SEARCH("FALSE",AT73)))</formula>
    </cfRule>
  </conditionalFormatting>
  <conditionalFormatting sqref="AT56">
    <cfRule type="containsText" dxfId="2016" priority="2601" stopIfTrue="1" operator="containsText" text="FALSE">
      <formula>NOT(ISERROR(SEARCH("FALSE",AT56)))</formula>
    </cfRule>
  </conditionalFormatting>
  <conditionalFormatting sqref="AT75">
    <cfRule type="containsText" dxfId="2015" priority="2599" stopIfTrue="1" operator="containsText" text="FALSE">
      <formula>NOT(ISERROR(SEARCH("FALSE",AT75)))</formula>
    </cfRule>
  </conditionalFormatting>
  <conditionalFormatting sqref="AT82">
    <cfRule type="containsText" dxfId="2014" priority="2597" stopIfTrue="1" operator="containsText" text="FALSE">
      <formula>NOT(ISERROR(SEARCH("FALSE",AT82)))</formula>
    </cfRule>
  </conditionalFormatting>
  <conditionalFormatting sqref="AT78">
    <cfRule type="containsText" dxfId="2013" priority="2598" stopIfTrue="1" operator="containsText" text="FALSE">
      <formula>NOT(ISERROR(SEARCH("FALSE",AT78)))</formula>
    </cfRule>
  </conditionalFormatting>
  <conditionalFormatting sqref="AT81">
    <cfRule type="containsText" dxfId="2012" priority="2595" stopIfTrue="1" operator="containsText" text="FALSE">
      <formula>NOT(ISERROR(SEARCH("FALSE",AT81)))</formula>
    </cfRule>
  </conditionalFormatting>
  <conditionalFormatting sqref="AT79">
    <cfRule type="containsText" dxfId="2011" priority="2596" stopIfTrue="1" operator="containsText" text="FALSE">
      <formula>NOT(ISERROR(SEARCH("FALSE",AT79)))</formula>
    </cfRule>
  </conditionalFormatting>
  <conditionalFormatting sqref="AT41">
    <cfRule type="containsText" dxfId="2010" priority="2594" stopIfTrue="1" operator="containsText" text="FALSE">
      <formula>NOT(ISERROR(SEARCH("FALSE",AT41)))</formula>
    </cfRule>
  </conditionalFormatting>
  <conditionalFormatting sqref="AT94">
    <cfRule type="containsText" dxfId="2009" priority="2593" stopIfTrue="1" operator="containsText" text="FALSE">
      <formula>NOT(ISERROR(SEARCH("FALSE",AT94)))</formula>
    </cfRule>
  </conditionalFormatting>
  <conditionalFormatting sqref="AT223">
    <cfRule type="containsText" dxfId="2008" priority="2592" stopIfTrue="1" operator="containsText" text="FALSE">
      <formula>NOT(ISERROR(SEARCH("FALSE",AT223)))</formula>
    </cfRule>
  </conditionalFormatting>
  <conditionalFormatting sqref="AT226:AT227">
    <cfRule type="containsText" dxfId="2007" priority="2591" stopIfTrue="1" operator="containsText" text="FALSE">
      <formula>NOT(ISERROR(SEARCH("FALSE",AT226)))</formula>
    </cfRule>
  </conditionalFormatting>
  <conditionalFormatting sqref="AT231">
    <cfRule type="containsText" dxfId="2006" priority="2590" stopIfTrue="1" operator="containsText" text="FALSE">
      <formula>NOT(ISERROR(SEARCH("FALSE",AT231)))</formula>
    </cfRule>
  </conditionalFormatting>
  <conditionalFormatting sqref="AT233:AT234">
    <cfRule type="containsText" dxfId="2005" priority="2589" stopIfTrue="1" operator="containsText" text="FALSE">
      <formula>NOT(ISERROR(SEARCH("FALSE",AT233)))</formula>
    </cfRule>
  </conditionalFormatting>
  <conditionalFormatting sqref="AT238">
    <cfRule type="containsText" dxfId="2004" priority="2588" stopIfTrue="1" operator="containsText" text="FALSE">
      <formula>NOT(ISERROR(SEARCH("FALSE",AT238)))</formula>
    </cfRule>
  </conditionalFormatting>
  <conditionalFormatting sqref="AT239">
    <cfRule type="containsText" dxfId="2003" priority="2587" stopIfTrue="1" operator="containsText" text="FALSE">
      <formula>NOT(ISERROR(SEARCH("FALSE",AT239)))</formula>
    </cfRule>
  </conditionalFormatting>
  <conditionalFormatting sqref="AT241">
    <cfRule type="containsText" dxfId="2002" priority="2586" stopIfTrue="1" operator="containsText" text="FALSE">
      <formula>NOT(ISERROR(SEARCH("FALSE",AT241)))</formula>
    </cfRule>
  </conditionalFormatting>
  <conditionalFormatting sqref="AT217">
    <cfRule type="containsText" dxfId="2001" priority="2585" stopIfTrue="1" operator="containsText" text="FALSE">
      <formula>NOT(ISERROR(SEARCH("FALSE",AT217)))</formula>
    </cfRule>
  </conditionalFormatting>
  <conditionalFormatting sqref="AT225">
    <cfRule type="containsText" dxfId="2000" priority="2583" stopIfTrue="1" operator="containsText" text="FALSE">
      <formula>NOT(ISERROR(SEARCH("FALSE",AT225)))</formula>
    </cfRule>
  </conditionalFormatting>
  <conditionalFormatting sqref="AT232">
    <cfRule type="containsText" dxfId="1999" priority="2581" stopIfTrue="1" operator="containsText" text="FALSE">
      <formula>NOT(ISERROR(SEARCH("FALSE",AT232)))</formula>
    </cfRule>
  </conditionalFormatting>
  <conditionalFormatting sqref="AT247">
    <cfRule type="containsText" dxfId="1998" priority="2579" stopIfTrue="1" operator="containsText" text="FALSE">
      <formula>NOT(ISERROR(SEARCH("FALSE",AT247)))</formula>
    </cfRule>
  </conditionalFormatting>
  <conditionalFormatting sqref="AT277:AT286 AT288:AT295">
    <cfRule type="containsText" dxfId="1997" priority="2578" stopIfTrue="1" operator="containsText" text="FALSE">
      <formula>NOT(ISERROR(SEARCH("FALSE",AT277)))</formula>
    </cfRule>
  </conditionalFormatting>
  <conditionalFormatting sqref="AT266 AT248:AT258">
    <cfRule type="containsText" dxfId="1996" priority="2577" stopIfTrue="1" operator="containsText" text="FALSE">
      <formula>NOT(ISERROR(SEARCH("FALSE",AT248)))</formula>
    </cfRule>
  </conditionalFormatting>
  <conditionalFormatting sqref="AT267:AT274">
    <cfRule type="containsText" dxfId="1995" priority="2576" stopIfTrue="1" operator="containsText" text="FALSE">
      <formula>NOT(ISERROR(SEARCH("FALSE",AT267)))</formula>
    </cfRule>
  </conditionalFormatting>
  <conditionalFormatting sqref="AT224">
    <cfRule type="containsText" dxfId="1994" priority="2575" stopIfTrue="1" operator="containsText" text="FALSE">
      <formula>NOT(ISERROR(SEARCH("FALSE",AT224)))</formula>
    </cfRule>
  </conditionalFormatting>
  <conditionalFormatting sqref="AT259">
    <cfRule type="containsText" dxfId="1993" priority="2574" stopIfTrue="1" operator="containsText" text="FALSE">
      <formula>NOT(ISERROR(SEARCH("FALSE",AT259)))</formula>
    </cfRule>
  </conditionalFormatting>
  <conditionalFormatting sqref="AT43">
    <cfRule type="containsText" dxfId="1992" priority="2572" stopIfTrue="1" operator="containsText" text="FALSE">
      <formula>NOT(ISERROR(SEARCH("FALSE",AT43)))</formula>
    </cfRule>
  </conditionalFormatting>
  <conditionalFormatting sqref="AT44">
    <cfRule type="containsText" dxfId="1991" priority="2571" stopIfTrue="1" operator="containsText" text="FALSE">
      <formula>NOT(ISERROR(SEARCH("FALSE",AT44)))</formula>
    </cfRule>
  </conditionalFormatting>
  <conditionalFormatting sqref="AT42">
    <cfRule type="containsText" dxfId="1990" priority="2570" stopIfTrue="1" operator="containsText" text="FALSE">
      <formula>NOT(ISERROR(SEARCH("FALSE",AT42)))</formula>
    </cfRule>
  </conditionalFormatting>
  <conditionalFormatting sqref="AT57">
    <cfRule type="containsText" dxfId="1989" priority="2569" stopIfTrue="1" operator="containsText" text="FALSE">
      <formula>NOT(ISERROR(SEARCH("FALSE",AT57)))</formula>
    </cfRule>
  </conditionalFormatting>
  <conditionalFormatting sqref="AT61 AT66:AT67">
    <cfRule type="containsText" dxfId="1988" priority="2567" stopIfTrue="1" operator="containsText" text="FALSE">
      <formula>NOT(ISERROR(SEARCH("FALSE",AT61)))</formula>
    </cfRule>
  </conditionalFormatting>
  <conditionalFormatting sqref="AT55">
    <cfRule type="containsText" dxfId="1987" priority="2568" stopIfTrue="1" operator="containsText" text="FALSE">
      <formula>NOT(ISERROR(SEARCH("FALSE",AT55)))</formula>
    </cfRule>
  </conditionalFormatting>
  <conditionalFormatting sqref="AT95">
    <cfRule type="containsText" dxfId="1986" priority="2566" stopIfTrue="1" operator="containsText" text="FALSE">
      <formula>NOT(ISERROR(SEARCH("FALSE",AT95)))</formula>
    </cfRule>
  </conditionalFormatting>
  <conditionalFormatting sqref="AT152">
    <cfRule type="containsText" dxfId="1985" priority="2565" stopIfTrue="1" operator="containsText" text="FALSE">
      <formula>NOT(ISERROR(SEARCH("FALSE",AT152)))</formula>
    </cfRule>
  </conditionalFormatting>
  <conditionalFormatting sqref="AT354">
    <cfRule type="containsText" dxfId="1984" priority="2564" stopIfTrue="1" operator="containsText" text="FALSE">
      <formula>NOT(ISERROR(SEARCH("FALSE",AT354)))</formula>
    </cfRule>
  </conditionalFormatting>
  <conditionalFormatting sqref="AT287">
    <cfRule type="containsText" dxfId="1983" priority="2563" stopIfTrue="1" operator="containsText" text="FALSE">
      <formula>NOT(ISERROR(SEARCH("FALSE",AT287)))</formula>
    </cfRule>
  </conditionalFormatting>
  <conditionalFormatting sqref="AT275:AT276">
    <cfRule type="containsText" dxfId="1982" priority="2562" stopIfTrue="1" operator="containsText" text="FALSE">
      <formula>NOT(ISERROR(SEARCH("FALSE",AT275)))</formula>
    </cfRule>
  </conditionalFormatting>
  <conditionalFormatting sqref="BX57:CA57">
    <cfRule type="containsText" dxfId="1981" priority="2561" stopIfTrue="1" operator="containsText" text="FALSE">
      <formula>NOT(ISERROR(SEARCH("FALSE",BX57)))</formula>
    </cfRule>
  </conditionalFormatting>
  <conditionalFormatting sqref="AT220">
    <cfRule type="containsText" dxfId="1980" priority="2560" stopIfTrue="1" operator="containsText" text="FALSE">
      <formula>NOT(ISERROR(SEARCH("FALSE",AT220)))</formula>
    </cfRule>
  </conditionalFormatting>
  <conditionalFormatting sqref="AT228">
    <cfRule type="containsText" dxfId="1979" priority="2559" stopIfTrue="1" operator="containsText" text="FALSE">
      <formula>NOT(ISERROR(SEARCH("FALSE",AT228)))</formula>
    </cfRule>
  </conditionalFormatting>
  <conditionalFormatting sqref="AT235">
    <cfRule type="containsText" dxfId="1978" priority="2558" stopIfTrue="1" operator="containsText" text="FALSE">
      <formula>NOT(ISERROR(SEARCH("FALSE",AT235)))</formula>
    </cfRule>
  </conditionalFormatting>
  <conditionalFormatting sqref="AT240">
    <cfRule type="containsText" dxfId="1977" priority="2557" stopIfTrue="1" operator="containsText" text="FALSE">
      <formula>NOT(ISERROR(SEARCH("FALSE",AT240)))</formula>
    </cfRule>
  </conditionalFormatting>
  <conditionalFormatting sqref="AT243">
    <cfRule type="containsText" dxfId="1976" priority="2556" stopIfTrue="1" operator="containsText" text="FALSE">
      <formula>NOT(ISERROR(SEARCH("FALSE",AT243)))</formula>
    </cfRule>
  </conditionalFormatting>
  <conditionalFormatting sqref="AT242">
    <cfRule type="containsText" dxfId="1975" priority="2555" stopIfTrue="1" operator="containsText" text="FALSE">
      <formula>NOT(ISERROR(SEARCH("FALSE",AT242)))</formula>
    </cfRule>
  </conditionalFormatting>
  <conditionalFormatting sqref="AQ48">
    <cfRule type="containsText" dxfId="1974" priority="2554" stopIfTrue="1" operator="containsText" text="FALSE">
      <formula>NOT(ISERROR(SEARCH("FALSE",AQ48)))</formula>
    </cfRule>
  </conditionalFormatting>
  <conditionalFormatting sqref="AU255 AU248:AU253">
    <cfRule type="containsText" dxfId="1973" priority="2553" stopIfTrue="1" operator="containsText" text="FALSE">
      <formula>NOT(ISERROR(SEARCH("FALSE",AU248)))</formula>
    </cfRule>
  </conditionalFormatting>
  <conditionalFormatting sqref="AU256">
    <cfRule type="containsText" dxfId="1972" priority="2552" stopIfTrue="1" operator="containsText" text="FALSE">
      <formula>NOT(ISERROR(SEARCH("FALSE",AU256)))</formula>
    </cfRule>
  </conditionalFormatting>
  <conditionalFormatting sqref="AU254">
    <cfRule type="containsText" dxfId="1971" priority="2551" stopIfTrue="1" operator="containsText" text="FALSE">
      <formula>NOT(ISERROR(SEARCH("FALSE",AU254)))</formula>
    </cfRule>
  </conditionalFormatting>
  <conditionalFormatting sqref="AU216:AU217">
    <cfRule type="containsText" dxfId="1970" priority="2550" stopIfTrue="1" operator="containsText" text="FALSE">
      <formula>NOT(ISERROR(SEARCH("FALSE",AU216)))</formula>
    </cfRule>
  </conditionalFormatting>
  <conditionalFormatting sqref="AU225">
    <cfRule type="containsText" dxfId="1969" priority="2549" stopIfTrue="1" operator="containsText" text="FALSE">
      <formula>NOT(ISERROR(SEARCH("FALSE",AU225)))</formula>
    </cfRule>
  </conditionalFormatting>
  <conditionalFormatting sqref="AU224">
    <cfRule type="containsText" dxfId="1968" priority="2548" stopIfTrue="1" operator="containsText" text="FALSE">
      <formula>NOT(ISERROR(SEARCH("FALSE",AU224)))</formula>
    </cfRule>
  </conditionalFormatting>
  <conditionalFormatting sqref="AU232">
    <cfRule type="containsText" dxfId="1967" priority="2547" stopIfTrue="1" operator="containsText" text="FALSE">
      <formula>NOT(ISERROR(SEARCH("FALSE",AU232)))</formula>
    </cfRule>
  </conditionalFormatting>
  <conditionalFormatting sqref="AU240">
    <cfRule type="containsText" dxfId="1966" priority="2546" stopIfTrue="1" operator="containsText" text="FALSE">
      <formula>NOT(ISERROR(SEARCH("FALSE",AU240)))</formula>
    </cfRule>
  </conditionalFormatting>
  <conditionalFormatting sqref="AU243:AU244 AV244">
    <cfRule type="containsText" dxfId="1965" priority="2545" stopIfTrue="1" operator="containsText" text="FALSE">
      <formula>NOT(ISERROR(SEARCH("FALSE",AU243)))</formula>
    </cfRule>
  </conditionalFormatting>
  <conditionalFormatting sqref="AU13">
    <cfRule type="containsText" dxfId="1964" priority="2543" stopIfTrue="1" operator="containsText" text="FALSE">
      <formula>NOT(ISERROR(SEARCH("FALSE",AU13)))</formula>
    </cfRule>
  </conditionalFormatting>
  <conditionalFormatting sqref="AU15:AU16">
    <cfRule type="containsText" dxfId="1963" priority="2542" stopIfTrue="1" operator="containsText" text="FALSE">
      <formula>NOT(ISERROR(SEARCH("FALSE",AU15)))</formula>
    </cfRule>
  </conditionalFormatting>
  <conditionalFormatting sqref="AU31">
    <cfRule type="containsText" dxfId="1962" priority="2541" stopIfTrue="1" operator="containsText" text="FALSE">
      <formula>NOT(ISERROR(SEARCH("FALSE",AU31)))</formula>
    </cfRule>
  </conditionalFormatting>
  <conditionalFormatting sqref="AU78">
    <cfRule type="containsText" dxfId="1961" priority="2540" stopIfTrue="1" operator="containsText" text="FALSE">
      <formula>NOT(ISERROR(SEARCH("FALSE",AU78)))</formula>
    </cfRule>
  </conditionalFormatting>
  <conditionalFormatting sqref="AU76">
    <cfRule type="containsText" dxfId="1960" priority="2539" stopIfTrue="1" operator="containsText" text="FALSE">
      <formula>NOT(ISERROR(SEARCH("FALSE",AU76)))</formula>
    </cfRule>
  </conditionalFormatting>
  <conditionalFormatting sqref="AU242">
    <cfRule type="containsText" dxfId="1959" priority="2519" stopIfTrue="1" operator="containsText" text="FALSE">
      <formula>NOT(ISERROR(SEARCH("FALSE",AU242)))</formula>
    </cfRule>
  </conditionalFormatting>
  <conditionalFormatting sqref="AU79">
    <cfRule type="containsText" dxfId="1958" priority="2538" stopIfTrue="1" operator="containsText" text="FALSE">
      <formula>NOT(ISERROR(SEARCH("FALSE",AU79)))</formula>
    </cfRule>
  </conditionalFormatting>
  <conditionalFormatting sqref="AU81:AW81">
    <cfRule type="containsText" dxfId="1957" priority="2536" stopIfTrue="1" operator="containsText" text="FALSE">
      <formula>NOT(ISERROR(SEARCH("FALSE",AU81)))</formula>
    </cfRule>
  </conditionalFormatting>
  <conditionalFormatting sqref="AU75">
    <cfRule type="containsText" dxfId="1956" priority="2535" stopIfTrue="1" operator="containsText" text="FALSE">
      <formula>NOT(ISERROR(SEARCH("FALSE",AU75)))</formula>
    </cfRule>
  </conditionalFormatting>
  <conditionalFormatting sqref="AU73">
    <cfRule type="containsText" dxfId="1955" priority="2534" stopIfTrue="1" operator="containsText" text="FALSE">
      <formula>NOT(ISERROR(SEARCH("FALSE",AU73)))</formula>
    </cfRule>
  </conditionalFormatting>
  <conditionalFormatting sqref="AU22">
    <cfRule type="containsText" dxfId="1954" priority="2533" stopIfTrue="1" operator="containsText" text="FALSE">
      <formula>NOT(ISERROR(SEARCH("FALSE",AU22)))</formula>
    </cfRule>
  </conditionalFormatting>
  <conditionalFormatting sqref="AU110">
    <cfRule type="containsText" dxfId="1953" priority="2532" stopIfTrue="1" operator="containsText" text="FALSE">
      <formula>NOT(ISERROR(SEARCH("FALSE",AU110)))</formula>
    </cfRule>
  </conditionalFormatting>
  <conditionalFormatting sqref="AU120">
    <cfRule type="containsText" dxfId="1952" priority="2531" stopIfTrue="1" operator="containsText" text="FALSE">
      <formula>NOT(ISERROR(SEARCH("FALSE",AU120)))</formula>
    </cfRule>
  </conditionalFormatting>
  <conditionalFormatting sqref="AU119">
    <cfRule type="containsText" dxfId="1951" priority="2530" stopIfTrue="1" operator="containsText" text="FALSE">
      <formula>NOT(ISERROR(SEARCH("FALSE",AU119)))</formula>
    </cfRule>
  </conditionalFormatting>
  <conditionalFormatting sqref="AU138 AU135">
    <cfRule type="containsText" dxfId="1950" priority="2526" stopIfTrue="1" operator="containsText" text="FALSE">
      <formula>NOT(ISERROR(SEARCH("FALSE",AU135)))</formula>
    </cfRule>
  </conditionalFormatting>
  <conditionalFormatting sqref="AU130">
    <cfRule type="containsText" dxfId="1949" priority="2528" stopIfTrue="1" operator="containsText" text="FALSE">
      <formula>NOT(ISERROR(SEARCH("FALSE",AU130)))</formula>
    </cfRule>
  </conditionalFormatting>
  <conditionalFormatting sqref="AU124:AU126">
    <cfRule type="containsText" dxfId="1948" priority="2527" stopIfTrue="1" operator="containsText" text="FALSE">
      <formula>NOT(ISERROR(SEARCH("FALSE",AU124)))</formula>
    </cfRule>
  </conditionalFormatting>
  <conditionalFormatting sqref="AU154:AU155">
    <cfRule type="containsText" dxfId="1947" priority="2525" stopIfTrue="1" operator="containsText" text="FALSE">
      <formula>NOT(ISERROR(SEARCH("FALSE",AU154)))</formula>
    </cfRule>
  </conditionalFormatting>
  <conditionalFormatting sqref="AU206:AU208">
    <cfRule type="containsText" dxfId="1946" priority="2521" stopIfTrue="1" operator="containsText" text="FALSE">
      <formula>NOT(ISERROR(SEARCH("FALSE",AU206)))</formula>
    </cfRule>
  </conditionalFormatting>
  <conditionalFormatting sqref="AU199:AU200">
    <cfRule type="containsText" dxfId="1945" priority="2523" stopIfTrue="1" operator="containsText" text="FALSE">
      <formula>NOT(ISERROR(SEARCH("FALSE",AU199)))</formula>
    </cfRule>
  </conditionalFormatting>
  <conditionalFormatting sqref="AU198">
    <cfRule type="containsText" dxfId="1944" priority="2522" stopIfTrue="1" operator="containsText" text="FALSE">
      <formula>NOT(ISERROR(SEARCH("FALSE",AU198)))</formula>
    </cfRule>
  </conditionalFormatting>
  <conditionalFormatting sqref="AU204:AU205">
    <cfRule type="containsText" dxfId="1943" priority="2520" stopIfTrue="1" operator="containsText" text="FALSE">
      <formula>NOT(ISERROR(SEARCH("FALSE",AU204)))</formula>
    </cfRule>
  </conditionalFormatting>
  <conditionalFormatting sqref="AQ34">
    <cfRule type="containsText" dxfId="1942" priority="2518" stopIfTrue="1" operator="containsText" text="FALSE">
      <formula>NOT(ISERROR(SEARCH("FALSE",AQ34)))</formula>
    </cfRule>
  </conditionalFormatting>
  <conditionalFormatting sqref="AU260:AU261">
    <cfRule type="containsText" dxfId="1941" priority="2517" stopIfTrue="1" operator="containsText" text="FALSE">
      <formula>NOT(ISERROR(SEARCH("FALSE",AU260)))</formula>
    </cfRule>
  </conditionalFormatting>
  <conditionalFormatting sqref="AU141">
    <cfRule type="containsText" dxfId="1940" priority="2516" stopIfTrue="1" operator="containsText" text="FALSE">
      <formula>NOT(ISERROR(SEARCH("FALSE",AU141)))</formula>
    </cfRule>
  </conditionalFormatting>
  <conditionalFormatting sqref="BA125">
    <cfRule type="containsText" dxfId="1939" priority="2515" stopIfTrue="1" operator="containsText" text="FALSE">
      <formula>NOT(ISERROR(SEARCH("FALSE",BA125)))</formula>
    </cfRule>
  </conditionalFormatting>
  <conditionalFormatting sqref="AV125">
    <cfRule type="containsText" dxfId="1938" priority="2514" stopIfTrue="1" operator="containsText" text="FALSE">
      <formula>NOT(ISERROR(SEARCH("FALSE",AV125)))</formula>
    </cfRule>
  </conditionalFormatting>
  <conditionalFormatting sqref="BA126">
    <cfRule type="containsText" dxfId="1937" priority="2513" stopIfTrue="1" operator="containsText" text="FALSE">
      <formula>NOT(ISERROR(SEARCH("FALSE",BA126)))</formula>
    </cfRule>
  </conditionalFormatting>
  <conditionalFormatting sqref="AV126">
    <cfRule type="containsText" dxfId="1936" priority="2512" stopIfTrue="1" operator="containsText" text="FALSE">
      <formula>NOT(ISERROR(SEARCH("FALSE",AV126)))</formula>
    </cfRule>
  </conditionalFormatting>
  <conditionalFormatting sqref="BA131:BA132 BA137">
    <cfRule type="containsText" dxfId="1935" priority="2511" stopIfTrue="1" operator="containsText" text="FALSE">
      <formula>NOT(ISERROR(SEARCH("FALSE",BA131)))</formula>
    </cfRule>
  </conditionalFormatting>
  <conditionalFormatting sqref="AV131:AV132 AV137">
    <cfRule type="containsText" dxfId="1934" priority="2510" stopIfTrue="1" operator="containsText" text="FALSE">
      <formula>NOT(ISERROR(SEARCH("FALSE",AV131)))</formula>
    </cfRule>
  </conditionalFormatting>
  <conditionalFormatting sqref="AU131:AU132 AU137">
    <cfRule type="containsText" dxfId="1933" priority="2509" stopIfTrue="1" operator="containsText" text="FALSE">
      <formula>NOT(ISERROR(SEARCH("FALSE",AU131)))</formula>
    </cfRule>
  </conditionalFormatting>
  <conditionalFormatting sqref="AV141">
    <cfRule type="containsText" dxfId="1932" priority="2507" stopIfTrue="1" operator="containsText" text="FALSE">
      <formula>NOT(ISERROR(SEARCH("FALSE",AV141)))</formula>
    </cfRule>
  </conditionalFormatting>
  <conditionalFormatting sqref="BA133">
    <cfRule type="containsText" dxfId="1931" priority="2506" stopIfTrue="1" operator="containsText" text="FALSE">
      <formula>NOT(ISERROR(SEARCH("FALSE",BA133)))</formula>
    </cfRule>
  </conditionalFormatting>
  <conditionalFormatting sqref="AV133">
    <cfRule type="containsText" dxfId="1930" priority="2505" stopIfTrue="1" operator="containsText" text="FALSE">
      <formula>NOT(ISERROR(SEARCH("FALSE",AV133)))</formula>
    </cfRule>
  </conditionalFormatting>
  <conditionalFormatting sqref="AU133">
    <cfRule type="containsText" dxfId="1929" priority="2504" stopIfTrue="1" operator="containsText" text="FALSE">
      <formula>NOT(ISERROR(SEARCH("FALSE",AU133)))</formula>
    </cfRule>
  </conditionalFormatting>
  <conditionalFormatting sqref="AU144">
    <cfRule type="containsText" dxfId="1928" priority="2503" stopIfTrue="1" operator="containsText" text="FALSE">
      <formula>NOT(ISERROR(SEARCH("FALSE",AU144)))</formula>
    </cfRule>
  </conditionalFormatting>
  <conditionalFormatting sqref="AV144">
    <cfRule type="containsText" dxfId="1927" priority="2501" stopIfTrue="1" operator="containsText" text="FALSE">
      <formula>NOT(ISERROR(SEARCH("FALSE",AV144)))</formula>
    </cfRule>
  </conditionalFormatting>
  <conditionalFormatting sqref="BA135">
    <cfRule type="containsText" dxfId="1926" priority="2500" stopIfTrue="1" operator="containsText" text="FALSE">
      <formula>NOT(ISERROR(SEARCH("FALSE",BA135)))</formula>
    </cfRule>
  </conditionalFormatting>
  <conditionalFormatting sqref="AV135">
    <cfRule type="containsText" dxfId="1925" priority="2499" stopIfTrue="1" operator="containsText" text="FALSE">
      <formula>NOT(ISERROR(SEARCH("FALSE",AV135)))</formula>
    </cfRule>
  </conditionalFormatting>
  <conditionalFormatting sqref="A162:A163 CI162:JP163 BO162:CA163">
    <cfRule type="containsText" dxfId="1924" priority="2498" stopIfTrue="1" operator="containsText" text="FALSE">
      <formula>NOT(ISERROR(SEARCH("FALSE",A162)))</formula>
    </cfRule>
  </conditionalFormatting>
  <conditionalFormatting sqref="B162:B163">
    <cfRule type="containsText" dxfId="1923" priority="2497" stopIfTrue="1" operator="containsText" text="FALSE">
      <formula>NOT(ISERROR(SEARCH("FALSE",B162)))</formula>
    </cfRule>
  </conditionalFormatting>
  <conditionalFormatting sqref="K162:N163">
    <cfRule type="containsText" dxfId="1922" priority="2494" stopIfTrue="1" operator="containsText" text="FALSE">
      <formula>NOT(ISERROR(SEARCH("FALSE",K162)))</formula>
    </cfRule>
  </conditionalFormatting>
  <conditionalFormatting sqref="S162:V163">
    <cfRule type="containsText" dxfId="1921" priority="2496" stopIfTrue="1" operator="containsText" text="FALSE">
      <formula>NOT(ISERROR(SEARCH("FALSE",S162)))</formula>
    </cfRule>
  </conditionalFormatting>
  <conditionalFormatting sqref="O162:R163">
    <cfRule type="containsText" dxfId="1920" priority="2495" stopIfTrue="1" operator="containsText" text="FALSE">
      <formula>NOT(ISERROR(SEARCH("FALSE",O162)))</formula>
    </cfRule>
  </conditionalFormatting>
  <conditionalFormatting sqref="G162:J163">
    <cfRule type="containsText" dxfId="1919" priority="2493" stopIfTrue="1" operator="containsText" text="FALSE">
      <formula>NOT(ISERROR(SEARCH("FALSE",G162)))</formula>
    </cfRule>
  </conditionalFormatting>
  <conditionalFormatting sqref="C162:F163">
    <cfRule type="containsText" dxfId="1918" priority="2492" stopIfTrue="1" operator="containsText" text="FALSE">
      <formula>NOT(ISERROR(SEARCH("FALSE",C162)))</formula>
    </cfRule>
  </conditionalFormatting>
  <conditionalFormatting sqref="W162:AH163">
    <cfRule type="containsText" dxfId="1917" priority="2491" stopIfTrue="1" operator="containsText" text="FALSE">
      <formula>NOT(ISERROR(SEARCH("FALSE",W162)))</formula>
    </cfRule>
  </conditionalFormatting>
  <conditionalFormatting sqref="CF162:CH163">
    <cfRule type="containsText" dxfId="1916" priority="2490" stopIfTrue="1" operator="containsText" text="FALSE">
      <formula>NOT(ISERROR(SEARCH("FALSE",CF162)))</formula>
    </cfRule>
  </conditionalFormatting>
  <conditionalFormatting sqref="B177:B178">
    <cfRule type="containsText" dxfId="1915" priority="2486" stopIfTrue="1" operator="containsText" text="FALSE">
      <formula>NOT(ISERROR(SEARCH("FALSE",B177)))</formula>
    </cfRule>
  </conditionalFormatting>
  <conditionalFormatting sqref="AT141 AT144">
    <cfRule type="containsText" dxfId="1914" priority="2485" stopIfTrue="1" operator="containsText" text="FALSE">
      <formula>NOT(ISERROR(SEARCH("FALSE",AT141)))</formula>
    </cfRule>
  </conditionalFormatting>
  <conditionalFormatting sqref="AM254">
    <cfRule type="containsText" dxfId="1913" priority="2484" stopIfTrue="1" operator="containsText" text="FALSE">
      <formula>NOT(ISERROR(SEARCH("FALSE",AM254)))</formula>
    </cfRule>
  </conditionalFormatting>
  <conditionalFormatting sqref="AN254:AO254">
    <cfRule type="containsText" dxfId="1912" priority="2483" stopIfTrue="1" operator="containsText" text="FALSE">
      <formula>NOT(ISERROR(SEARCH("FALSE",AN254)))</formula>
    </cfRule>
  </conditionalFormatting>
  <conditionalFormatting sqref="AP254">
    <cfRule type="containsText" dxfId="1911" priority="2482" stopIfTrue="1" operator="containsText" text="FALSE">
      <formula>NOT(ISERROR(SEARCH("FALSE",AP254)))</formula>
    </cfRule>
  </conditionalFormatting>
  <conditionalFormatting sqref="BZ141">
    <cfRule type="containsText" dxfId="1910" priority="2481" stopIfTrue="1" operator="containsText" text="FALSE">
      <formula>NOT(ISERROR(SEARCH("FALSE",BZ141)))</formula>
    </cfRule>
  </conditionalFormatting>
  <conditionalFormatting sqref="BZ144">
    <cfRule type="containsText" dxfId="1909" priority="2480" stopIfTrue="1" operator="containsText" text="FALSE">
      <formula>NOT(ISERROR(SEARCH("FALSE",BZ144)))</formula>
    </cfRule>
  </conditionalFormatting>
  <conditionalFormatting sqref="CA141">
    <cfRule type="containsText" dxfId="1908" priority="2479" stopIfTrue="1" operator="containsText" text="FALSE">
      <formula>NOT(ISERROR(SEARCH("FALSE",CA141)))</formula>
    </cfRule>
  </conditionalFormatting>
  <conditionalFormatting sqref="CA144">
    <cfRule type="containsText" dxfId="1907" priority="2478" stopIfTrue="1" operator="containsText" text="FALSE">
      <formula>NOT(ISERROR(SEARCH("FALSE",CA144)))</formula>
    </cfRule>
  </conditionalFormatting>
  <conditionalFormatting sqref="BX141">
    <cfRule type="containsText" dxfId="1906" priority="2477" stopIfTrue="1" operator="containsText" text="FALSE">
      <formula>NOT(ISERROR(SEARCH("FALSE",BX141)))</formula>
    </cfRule>
  </conditionalFormatting>
  <conditionalFormatting sqref="BY141">
    <cfRule type="containsText" dxfId="1905" priority="2476" stopIfTrue="1" operator="containsText" text="FALSE">
      <formula>NOT(ISERROR(SEARCH("FALSE",BY141)))</formula>
    </cfRule>
  </conditionalFormatting>
  <conditionalFormatting sqref="BX144">
    <cfRule type="containsText" dxfId="1904" priority="2475" stopIfTrue="1" operator="containsText" text="FALSE">
      <formula>NOT(ISERROR(SEARCH("FALSE",BX144)))</formula>
    </cfRule>
  </conditionalFormatting>
  <conditionalFormatting sqref="BY144">
    <cfRule type="containsText" dxfId="1903" priority="2474" stopIfTrue="1" operator="containsText" text="FALSE">
      <formula>NOT(ISERROR(SEARCH("FALSE",BY144)))</formula>
    </cfRule>
  </conditionalFormatting>
  <conditionalFormatting sqref="AU60">
    <cfRule type="containsText" dxfId="1902" priority="2473" stopIfTrue="1" operator="containsText" text="FALSE">
      <formula>NOT(ISERROR(SEARCH("FALSE",AU60)))</formula>
    </cfRule>
  </conditionalFormatting>
  <conditionalFormatting sqref="AS60:AT60">
    <cfRule type="containsText" dxfId="1901" priority="2472" stopIfTrue="1" operator="containsText" text="FALSE">
      <formula>NOT(ISERROR(SEARCH("FALSE",AS60)))</formula>
    </cfRule>
  </conditionalFormatting>
  <conditionalFormatting sqref="AR46">
    <cfRule type="containsText" dxfId="1900" priority="2471" stopIfTrue="1" operator="containsText" text="FALSE">
      <formula>NOT(ISERROR(SEARCH("FALSE",AR46)))</formula>
    </cfRule>
  </conditionalFormatting>
  <conditionalFormatting sqref="AR47">
    <cfRule type="containsText" dxfId="1899" priority="2470" stopIfTrue="1" operator="containsText" text="FALSE">
      <formula>NOT(ISERROR(SEARCH("FALSE",AR47)))</formula>
    </cfRule>
  </conditionalFormatting>
  <conditionalFormatting sqref="AU47">
    <cfRule type="containsText" dxfId="1898" priority="2469" stopIfTrue="1" operator="containsText" text="FALSE">
      <formula>NOT(ISERROR(SEARCH("FALSE",AU47)))</formula>
    </cfRule>
  </conditionalFormatting>
  <conditionalFormatting sqref="AS47:AT47">
    <cfRule type="containsText" dxfId="1897" priority="2468" stopIfTrue="1" operator="containsText" text="FALSE">
      <formula>NOT(ISERROR(SEARCH("FALSE",AS47)))</formula>
    </cfRule>
  </conditionalFormatting>
  <conditionalFormatting sqref="AU46">
    <cfRule type="containsText" dxfId="1896" priority="2467" stopIfTrue="1" operator="containsText" text="FALSE">
      <formula>NOT(ISERROR(SEARCH("FALSE",AU46)))</formula>
    </cfRule>
  </conditionalFormatting>
  <conditionalFormatting sqref="AS46">
    <cfRule type="containsText" dxfId="1895" priority="2466" stopIfTrue="1" operator="containsText" text="FALSE">
      <formula>NOT(ISERROR(SEARCH("FALSE",AS46)))</formula>
    </cfRule>
  </conditionalFormatting>
  <conditionalFormatting sqref="AT46">
    <cfRule type="containsText" dxfId="1894" priority="2465" stopIfTrue="1" operator="containsText" text="FALSE">
      <formula>NOT(ISERROR(SEARCH("FALSE",AT46)))</formula>
    </cfRule>
  </conditionalFormatting>
  <conditionalFormatting sqref="AV122">
    <cfRule type="containsText" dxfId="1893" priority="2463" stopIfTrue="1" operator="containsText" text="FALSE">
      <formula>NOT(ISERROR(SEARCH("FALSE",AV122)))</formula>
    </cfRule>
  </conditionalFormatting>
  <conditionalFormatting sqref="BA122">
    <cfRule type="containsText" dxfId="1892" priority="2462" stopIfTrue="1" operator="containsText" text="FALSE">
      <formula>NOT(ISERROR(SEARCH("FALSE",BA122)))</formula>
    </cfRule>
  </conditionalFormatting>
  <conditionalFormatting sqref="BA151">
    <cfRule type="containsText" dxfId="1891" priority="2461" stopIfTrue="1" operator="containsText" text="FALSE">
      <formula>NOT(ISERROR(SEARCH("FALSE",BA151)))</formula>
    </cfRule>
  </conditionalFormatting>
  <conditionalFormatting sqref="AV151">
    <cfRule type="containsText" dxfId="1890" priority="2460" stopIfTrue="1" operator="containsText" text="FALSE">
      <formula>NOT(ISERROR(SEARCH("FALSE",AV151)))</formula>
    </cfRule>
  </conditionalFormatting>
  <conditionalFormatting sqref="AU151:AU153">
    <cfRule type="containsText" dxfId="1889" priority="2459" stopIfTrue="1" operator="containsText" text="FALSE">
      <formula>NOT(ISERROR(SEARCH("FALSE",AU151)))</formula>
    </cfRule>
  </conditionalFormatting>
  <conditionalFormatting sqref="BA152">
    <cfRule type="containsText" dxfId="1888" priority="2458" stopIfTrue="1" operator="containsText" text="FALSE">
      <formula>NOT(ISERROR(SEARCH("FALSE",BA152)))</formula>
    </cfRule>
  </conditionalFormatting>
  <conditionalFormatting sqref="AV152">
    <cfRule type="containsText" dxfId="1887" priority="2457" stopIfTrue="1" operator="containsText" text="FALSE">
      <formula>NOT(ISERROR(SEARCH("FALSE",AV152)))</formula>
    </cfRule>
  </conditionalFormatting>
  <conditionalFormatting sqref="BA153">
    <cfRule type="containsText" dxfId="1886" priority="2456" stopIfTrue="1" operator="containsText" text="FALSE">
      <formula>NOT(ISERROR(SEARCH("FALSE",BA153)))</formula>
    </cfRule>
  </conditionalFormatting>
  <conditionalFormatting sqref="AV153">
    <cfRule type="containsText" dxfId="1885" priority="2455" stopIfTrue="1" operator="containsText" text="FALSE">
      <formula>NOT(ISERROR(SEARCH("FALSE",AV153)))</formula>
    </cfRule>
  </conditionalFormatting>
  <conditionalFormatting sqref="AU156:AU157">
    <cfRule type="containsText" dxfId="1884" priority="2454" stopIfTrue="1" operator="containsText" text="FALSE">
      <formula>NOT(ISERROR(SEARCH("FALSE",AU156)))</formula>
    </cfRule>
  </conditionalFormatting>
  <conditionalFormatting sqref="BA156:BA157">
    <cfRule type="containsText" dxfId="1883" priority="2453" stopIfTrue="1" operator="containsText" text="FALSE">
      <formula>NOT(ISERROR(SEARCH("FALSE",BA156)))</formula>
    </cfRule>
  </conditionalFormatting>
  <conditionalFormatting sqref="AV156:AV157">
    <cfRule type="containsText" dxfId="1882" priority="2452" stopIfTrue="1" operator="containsText" text="FALSE">
      <formula>NOT(ISERROR(SEARCH("FALSE",AV156)))</formula>
    </cfRule>
  </conditionalFormatting>
  <conditionalFormatting sqref="BA160">
    <cfRule type="containsText" dxfId="1881" priority="2451" stopIfTrue="1" operator="containsText" text="FALSE">
      <formula>NOT(ISERROR(SEARCH("FALSE",BA160)))</formula>
    </cfRule>
  </conditionalFormatting>
  <conditionalFormatting sqref="AV160">
    <cfRule type="containsText" dxfId="1880" priority="2450" stopIfTrue="1" operator="containsText" text="FALSE">
      <formula>NOT(ISERROR(SEARCH("FALSE",AV160)))</formula>
    </cfRule>
  </conditionalFormatting>
  <conditionalFormatting sqref="AU160">
    <cfRule type="containsText" dxfId="1879" priority="2449" stopIfTrue="1" operator="containsText" text="FALSE">
      <formula>NOT(ISERROR(SEARCH("FALSE",AU160)))</formula>
    </cfRule>
  </conditionalFormatting>
  <conditionalFormatting sqref="AU169">
    <cfRule type="containsText" dxfId="1878" priority="2445" stopIfTrue="1" operator="containsText" text="FALSE">
      <formula>NOT(ISERROR(SEARCH("FALSE",AU169)))</formula>
    </cfRule>
  </conditionalFormatting>
  <conditionalFormatting sqref="BA169">
    <cfRule type="containsText" dxfId="1877" priority="2447" stopIfTrue="1" operator="containsText" text="FALSE">
      <formula>NOT(ISERROR(SEARCH("FALSE",BA169)))</formula>
    </cfRule>
  </conditionalFormatting>
  <conditionalFormatting sqref="AV169">
    <cfRule type="containsText" dxfId="1876" priority="2446" stopIfTrue="1" operator="containsText" text="FALSE">
      <formula>NOT(ISERROR(SEARCH("FALSE",AV169)))</formula>
    </cfRule>
  </conditionalFormatting>
  <conditionalFormatting sqref="BA166">
    <cfRule type="containsText" dxfId="1875" priority="2444" stopIfTrue="1" operator="containsText" text="FALSE">
      <formula>NOT(ISERROR(SEARCH("FALSE",BA166)))</formula>
    </cfRule>
  </conditionalFormatting>
  <conditionalFormatting sqref="AV166">
    <cfRule type="containsText" dxfId="1874" priority="2443" stopIfTrue="1" operator="containsText" text="FALSE">
      <formula>NOT(ISERROR(SEARCH("FALSE",AV166)))</formula>
    </cfRule>
  </conditionalFormatting>
  <conditionalFormatting sqref="AU166:AU168">
    <cfRule type="containsText" dxfId="1873" priority="2442" stopIfTrue="1" operator="containsText" text="FALSE">
      <formula>NOT(ISERROR(SEARCH("FALSE",AU166)))</formula>
    </cfRule>
  </conditionalFormatting>
  <conditionalFormatting sqref="BA167">
    <cfRule type="containsText" dxfId="1872" priority="2441" stopIfTrue="1" operator="containsText" text="FALSE">
      <formula>NOT(ISERROR(SEARCH("FALSE",BA167)))</formula>
    </cfRule>
  </conditionalFormatting>
  <conditionalFormatting sqref="AV167">
    <cfRule type="containsText" dxfId="1871" priority="2440" stopIfTrue="1" operator="containsText" text="FALSE">
      <formula>NOT(ISERROR(SEARCH("FALSE",AV167)))</formula>
    </cfRule>
  </conditionalFormatting>
  <conditionalFormatting sqref="BA168">
    <cfRule type="containsText" dxfId="1870" priority="2439" stopIfTrue="1" operator="containsText" text="FALSE">
      <formula>NOT(ISERROR(SEARCH("FALSE",BA168)))</formula>
    </cfRule>
  </conditionalFormatting>
  <conditionalFormatting sqref="AV168">
    <cfRule type="containsText" dxfId="1869" priority="2438" stopIfTrue="1" operator="containsText" text="FALSE">
      <formula>NOT(ISERROR(SEARCH("FALSE",AV168)))</formula>
    </cfRule>
  </conditionalFormatting>
  <conditionalFormatting sqref="AU171:AU174">
    <cfRule type="containsText" dxfId="1868" priority="2437" stopIfTrue="1" operator="containsText" text="FALSE">
      <formula>NOT(ISERROR(SEARCH("FALSE",AU171)))</formula>
    </cfRule>
  </conditionalFormatting>
  <conditionalFormatting sqref="BA171:BA174">
    <cfRule type="containsText" dxfId="1867" priority="2436" stopIfTrue="1" operator="containsText" text="FALSE">
      <formula>NOT(ISERROR(SEARCH("FALSE",BA171)))</formula>
    </cfRule>
  </conditionalFormatting>
  <conditionalFormatting sqref="AV171:AV174">
    <cfRule type="containsText" dxfId="1866" priority="2435" stopIfTrue="1" operator="containsText" text="FALSE">
      <formula>NOT(ISERROR(SEARCH("FALSE",AV171)))</formula>
    </cfRule>
  </conditionalFormatting>
  <conditionalFormatting sqref="AQ35">
    <cfRule type="containsText" dxfId="1865" priority="2426" stopIfTrue="1" operator="containsText" text="FALSE">
      <formula>NOT(ISERROR(SEARCH("FALSE",AQ35)))</formula>
    </cfRule>
  </conditionalFormatting>
  <conditionalFormatting sqref="AI35:AP35">
    <cfRule type="containsText" dxfId="1864" priority="2433" stopIfTrue="1" operator="containsText" text="FALSE">
      <formula>NOT(ISERROR(SEARCH("FALSE",AI35)))</formula>
    </cfRule>
  </conditionalFormatting>
  <conditionalFormatting sqref="AS35">
    <cfRule type="containsText" dxfId="1863" priority="2432" stopIfTrue="1" operator="containsText" text="FALSE">
      <formula>NOT(ISERROR(SEARCH("FALSE",AS35)))</formula>
    </cfRule>
  </conditionalFormatting>
  <conditionalFormatting sqref="AR35">
    <cfRule type="containsText" dxfId="1862" priority="2431" stopIfTrue="1" operator="containsText" text="FALSE">
      <formula>NOT(ISERROR(SEARCH("FALSE",AR35)))</formula>
    </cfRule>
  </conditionalFormatting>
  <conditionalFormatting sqref="BA35">
    <cfRule type="containsText" dxfId="1861" priority="2430" stopIfTrue="1" operator="containsText" text="FALSE">
      <formula>NOT(ISERROR(SEARCH("FALSE",BA35)))</formula>
    </cfRule>
  </conditionalFormatting>
  <conditionalFormatting sqref="AV35">
    <cfRule type="containsText" dxfId="1860" priority="2429" stopIfTrue="1" operator="containsText" text="FALSE">
      <formula>NOT(ISERROR(SEARCH("FALSE",AV35)))</formula>
    </cfRule>
  </conditionalFormatting>
  <conditionalFormatting sqref="AU35">
    <cfRule type="containsText" dxfId="1859" priority="2428" stopIfTrue="1" operator="containsText" text="FALSE">
      <formula>NOT(ISERROR(SEARCH("FALSE",AU35)))</formula>
    </cfRule>
  </conditionalFormatting>
  <conditionalFormatting sqref="AT35">
    <cfRule type="containsText" dxfId="1858" priority="2427" stopIfTrue="1" operator="containsText" text="FALSE">
      <formula>NOT(ISERROR(SEARCH("FALSE",AT35)))</formula>
    </cfRule>
  </conditionalFormatting>
  <conditionalFormatting sqref="BO62:BT62 CA63:CA65 BY63:BZ63 B62:V65 AI62:AM63 AI64:AO65 BO63:BX65">
    <cfRule type="containsText" dxfId="1857" priority="2425" stopIfTrue="1" operator="containsText" text="FALSE">
      <formula>NOT(ISERROR(SEARCH("FALSE",B62)))</formula>
    </cfRule>
  </conditionalFormatting>
  <conditionalFormatting sqref="AS62:AS65">
    <cfRule type="containsText" dxfId="1856" priority="2424" stopIfTrue="1" operator="containsText" text="FALSE">
      <formula>NOT(ISERROR(SEARCH("FALSE",AS62)))</formula>
    </cfRule>
  </conditionalFormatting>
  <conditionalFormatting sqref="AQ64:AR65 AR62:AR63">
    <cfRule type="containsText" dxfId="1855" priority="2423" stopIfTrue="1" operator="containsText" text="FALSE">
      <formula>NOT(ISERROR(SEARCH("FALSE",AQ62)))</formula>
    </cfRule>
  </conditionalFormatting>
  <conditionalFormatting sqref="AP64:AP65">
    <cfRule type="containsText" dxfId="1854" priority="2422" stopIfTrue="1" operator="containsText" text="FALSE">
      <formula>NOT(ISERROR(SEARCH("FALSE",AP64)))</formula>
    </cfRule>
  </conditionalFormatting>
  <conditionalFormatting sqref="AN62:AQ63">
    <cfRule type="containsText" dxfId="1853" priority="2421" stopIfTrue="1" operator="containsText" text="FALSE">
      <formula>NOT(ISERROR(SEARCH("FALSE",AN62)))</formula>
    </cfRule>
  </conditionalFormatting>
  <conditionalFormatting sqref="BY62:BZ62">
    <cfRule type="containsText" dxfId="1852" priority="2419" stopIfTrue="1" operator="containsText" text="FALSE">
      <formula>NOT(ISERROR(SEARCH("FALSE",BY62)))</formula>
    </cfRule>
  </conditionalFormatting>
  <conditionalFormatting sqref="BA62:BA65">
    <cfRule type="containsText" dxfId="1851" priority="2418" stopIfTrue="1" operator="containsText" text="FALSE">
      <formula>NOT(ISERROR(SEARCH("FALSE",BA62)))</formula>
    </cfRule>
  </conditionalFormatting>
  <conditionalFormatting sqref="AU64:AV65 AV62:AV63 AW62:AW65">
    <cfRule type="containsText" dxfId="1850" priority="2417" stopIfTrue="1" operator="containsText" text="FALSE">
      <formula>NOT(ISERROR(SEARCH("FALSE",AU62)))</formula>
    </cfRule>
  </conditionalFormatting>
  <conditionalFormatting sqref="AU62:AU63">
    <cfRule type="containsText" dxfId="1849" priority="2416" stopIfTrue="1" operator="containsText" text="FALSE">
      <formula>NOT(ISERROR(SEARCH("FALSE",AU62)))</formula>
    </cfRule>
  </conditionalFormatting>
  <conditionalFormatting sqref="CA62">
    <cfRule type="containsText" dxfId="1848" priority="2415" stopIfTrue="1" operator="containsText" text="FALSE">
      <formula>NOT(ISERROR(SEARCH("FALSE",CA62)))</formula>
    </cfRule>
  </conditionalFormatting>
  <conditionalFormatting sqref="AT64:AT65">
    <cfRule type="containsText" dxfId="1847" priority="2414" stopIfTrue="1" operator="containsText" text="FALSE">
      <formula>NOT(ISERROR(SEARCH("FALSE",AT64)))</formula>
    </cfRule>
  </conditionalFormatting>
  <conditionalFormatting sqref="AT62:AT63">
    <cfRule type="containsText" dxfId="1846" priority="2413" stopIfTrue="1" operator="containsText" text="FALSE">
      <formula>NOT(ISERROR(SEARCH("FALSE",AT62)))</formula>
    </cfRule>
  </conditionalFormatting>
  <conditionalFormatting sqref="AU220">
    <cfRule type="containsText" dxfId="1845" priority="2412" stopIfTrue="1" operator="containsText" text="FALSE">
      <formula>NOT(ISERROR(SEARCH("FALSE",AU220)))</formula>
    </cfRule>
  </conditionalFormatting>
  <conditionalFormatting sqref="AU228">
    <cfRule type="containsText" dxfId="1844" priority="2411" stopIfTrue="1" operator="containsText" text="FALSE">
      <formula>NOT(ISERROR(SEARCH("FALSE",AU228)))</formula>
    </cfRule>
  </conditionalFormatting>
  <conditionalFormatting sqref="AU235">
    <cfRule type="containsText" dxfId="1843" priority="2410" stopIfTrue="1" operator="containsText" text="FALSE">
      <formula>NOT(ISERROR(SEARCH("FALSE",AU235)))</formula>
    </cfRule>
  </conditionalFormatting>
  <conditionalFormatting sqref="AU6">
    <cfRule type="containsText" dxfId="1842" priority="2409" stopIfTrue="1" operator="containsText" text="FALSE">
      <formula>NOT(ISERROR(SEARCH("FALSE",AU6)))</formula>
    </cfRule>
  </conditionalFormatting>
  <conditionalFormatting sqref="AV6:AW6">
    <cfRule type="containsText" dxfId="1841" priority="2408" stopIfTrue="1" operator="containsText" text="FALSE">
      <formula>NOT(ISERROR(SEARCH("FALSE",AV6)))</formula>
    </cfRule>
  </conditionalFormatting>
  <conditionalFormatting sqref="AV14:AW14">
    <cfRule type="containsText" dxfId="1840" priority="2407" stopIfTrue="1" operator="containsText" text="FALSE">
      <formula>NOT(ISERROR(SEARCH("FALSE",AV14)))</formula>
    </cfRule>
  </conditionalFormatting>
  <conditionalFormatting sqref="AV13:AW13">
    <cfRule type="containsText" dxfId="1839" priority="2406" stopIfTrue="1" operator="containsText" text="FALSE">
      <formula>NOT(ISERROR(SEARCH("FALSE",AV13)))</formula>
    </cfRule>
  </conditionalFormatting>
  <conditionalFormatting sqref="AV15:AW16">
    <cfRule type="containsText" dxfId="1838" priority="2405" stopIfTrue="1" operator="containsText" text="FALSE">
      <formula>NOT(ISERROR(SEARCH("FALSE",AV15)))</formula>
    </cfRule>
  </conditionalFormatting>
  <conditionalFormatting sqref="AV22:AW22">
    <cfRule type="containsText" dxfId="1837" priority="2404" stopIfTrue="1" operator="containsText" text="FALSE">
      <formula>NOT(ISERROR(SEARCH("FALSE",AV22)))</formula>
    </cfRule>
  </conditionalFormatting>
  <conditionalFormatting sqref="AV23:AW24">
    <cfRule type="containsText" dxfId="1836" priority="2402" stopIfTrue="1" operator="containsText" text="FALSE">
      <formula>NOT(ISERROR(SEARCH("FALSE",AV23)))</formula>
    </cfRule>
  </conditionalFormatting>
  <conditionalFormatting sqref="AV32:AW32 AV25:AW28">
    <cfRule type="containsText" dxfId="1835" priority="2403" stopIfTrue="1" operator="containsText" text="FALSE">
      <formula>NOT(ISERROR(SEARCH("FALSE",AV25)))</formula>
    </cfRule>
  </conditionalFormatting>
  <conditionalFormatting sqref="AV30:AW30">
    <cfRule type="containsText" dxfId="1834" priority="2401" stopIfTrue="1" operator="containsText" text="FALSE">
      <formula>NOT(ISERROR(SEARCH("FALSE",AV30)))</formula>
    </cfRule>
  </conditionalFormatting>
  <conditionalFormatting sqref="AV31:AW31">
    <cfRule type="containsText" dxfId="1833" priority="2400" stopIfTrue="1" operator="containsText" text="FALSE">
      <formula>NOT(ISERROR(SEARCH("FALSE",AV31)))</formula>
    </cfRule>
  </conditionalFormatting>
  <conditionalFormatting sqref="AV245">
    <cfRule type="containsText" dxfId="1832" priority="2399" stopIfTrue="1" operator="containsText" text="FALSE">
      <formula>NOT(ISERROR(SEARCH("FALSE",AV245)))</formula>
    </cfRule>
  </conditionalFormatting>
  <conditionalFormatting sqref="AV221:AV223 AV225:AV243 AW225:AW228 AW232:AW235">
    <cfRule type="containsText" dxfId="1831" priority="2386" stopIfTrue="1" operator="containsText" text="FALSE">
      <formula>NOT(ISERROR(SEARCH("FALSE",AV221)))</formula>
    </cfRule>
  </conditionalFormatting>
  <conditionalFormatting sqref="AV215 AV218:AW219">
    <cfRule type="containsText" dxfId="1830" priority="2385" stopIfTrue="1" operator="containsText" text="FALSE">
      <formula>NOT(ISERROR(SEARCH("FALSE",AV215)))</formula>
    </cfRule>
  </conditionalFormatting>
  <conditionalFormatting sqref="AV216:AW216">
    <cfRule type="containsText" dxfId="1829" priority="2384" stopIfTrue="1" operator="containsText" text="FALSE">
      <formula>NOT(ISERROR(SEARCH("FALSE",AV216)))</formula>
    </cfRule>
  </conditionalFormatting>
  <conditionalFormatting sqref="AV224:AW224">
    <cfRule type="containsText" dxfId="1828" priority="2383" stopIfTrue="1" operator="containsText" text="FALSE">
      <formula>NOT(ISERROR(SEARCH("FALSE",AV224)))</formula>
    </cfRule>
  </conditionalFormatting>
  <conditionalFormatting sqref="AV217:AW217">
    <cfRule type="containsText" dxfId="1827" priority="2382" stopIfTrue="1" operator="containsText" text="FALSE">
      <formula>NOT(ISERROR(SEARCH("FALSE",AV217)))</formula>
    </cfRule>
  </conditionalFormatting>
  <conditionalFormatting sqref="AV220:AW220">
    <cfRule type="containsText" dxfId="1826" priority="2381" stopIfTrue="1" operator="containsText" text="FALSE">
      <formula>NOT(ISERROR(SEARCH("FALSE",AV220)))</formula>
    </cfRule>
  </conditionalFormatting>
  <conditionalFormatting sqref="AV256:AW256">
    <cfRule type="containsText" dxfId="1825" priority="2380" stopIfTrue="1" operator="containsText" text="FALSE">
      <formula>NOT(ISERROR(SEARCH("FALSE",AV256)))</formula>
    </cfRule>
  </conditionalFormatting>
  <conditionalFormatting sqref="AV248">
    <cfRule type="containsText" dxfId="1824" priority="2379" stopIfTrue="1" operator="containsText" text="FALSE">
      <formula>NOT(ISERROR(SEARCH("FALSE",AV248)))</formula>
    </cfRule>
  </conditionalFormatting>
  <conditionalFormatting sqref="AV249:AV252">
    <cfRule type="containsText" dxfId="1823" priority="2377" stopIfTrue="1" operator="containsText" text="FALSE">
      <formula>NOT(ISERROR(SEARCH("FALSE",AV249)))</formula>
    </cfRule>
  </conditionalFormatting>
  <conditionalFormatting sqref="AV260:AW264">
    <cfRule type="containsText" dxfId="1822" priority="2375" stopIfTrue="1" operator="containsText" text="FALSE">
      <formula>NOT(ISERROR(SEARCH("FALSE",AV260)))</formula>
    </cfRule>
  </conditionalFormatting>
  <conditionalFormatting sqref="AV253:AW253">
    <cfRule type="containsText" dxfId="1821" priority="2374" stopIfTrue="1" operator="containsText" text="FALSE">
      <formula>NOT(ISERROR(SEARCH("FALSE",AV253)))</formula>
    </cfRule>
  </conditionalFormatting>
  <conditionalFormatting sqref="AV254:AW254">
    <cfRule type="containsText" dxfId="1820" priority="2373" stopIfTrue="1" operator="containsText" text="FALSE">
      <formula>NOT(ISERROR(SEARCH("FALSE",AV254)))</formula>
    </cfRule>
  </conditionalFormatting>
  <conditionalFormatting sqref="AV255:AW255">
    <cfRule type="containsText" dxfId="1819" priority="2372" stopIfTrue="1" operator="containsText" text="FALSE">
      <formula>NOT(ISERROR(SEARCH("FALSE",AV255)))</formula>
    </cfRule>
  </conditionalFormatting>
  <conditionalFormatting sqref="AV266:AW266">
    <cfRule type="containsText" dxfId="1818" priority="2371" stopIfTrue="1" operator="containsText" text="FALSE">
      <formula>NOT(ISERROR(SEARCH("FALSE",AV266)))</formula>
    </cfRule>
  </conditionalFormatting>
  <conditionalFormatting sqref="AV288:AV289 AV275:AW286">
    <cfRule type="containsText" dxfId="1817" priority="2370" stopIfTrue="1" operator="containsText" text="FALSE">
      <formula>NOT(ISERROR(SEARCH("FALSE",AV275)))</formula>
    </cfRule>
  </conditionalFormatting>
  <conditionalFormatting sqref="AV267:AW274">
    <cfRule type="containsText" dxfId="1816" priority="2369" stopIfTrue="1" operator="containsText" text="FALSE">
      <formula>NOT(ISERROR(SEARCH("FALSE",AV267)))</formula>
    </cfRule>
  </conditionalFormatting>
  <conditionalFormatting sqref="AV287:AW287">
    <cfRule type="containsText" dxfId="1815" priority="2368" stopIfTrue="1" operator="containsText" text="FALSE">
      <formula>NOT(ISERROR(SEARCH("FALSE",AV287)))</formula>
    </cfRule>
  </conditionalFormatting>
  <conditionalFormatting sqref="AV138">
    <cfRule type="containsText" dxfId="1814" priority="2367" stopIfTrue="1" operator="containsText" text="FALSE">
      <formula>NOT(ISERROR(SEARCH("FALSE",AV138)))</formula>
    </cfRule>
  </conditionalFormatting>
  <conditionalFormatting sqref="AV196:AV197 AV194:AW194 AV185:AW188 AV191:AW192 AV199:AW200">
    <cfRule type="containsText" dxfId="1813" priority="2366" stopIfTrue="1" operator="containsText" text="FALSE">
      <formula>NOT(ISERROR(SEARCH("FALSE",AV185)))</formula>
    </cfRule>
  </conditionalFormatting>
  <conditionalFormatting sqref="AV184:AW184">
    <cfRule type="containsText" dxfId="1812" priority="2365" stopIfTrue="1" operator="containsText" text="FALSE">
      <formula>NOT(ISERROR(SEARCH("FALSE",AV184)))</formula>
    </cfRule>
  </conditionalFormatting>
  <conditionalFormatting sqref="AV198">
    <cfRule type="containsText" dxfId="1811" priority="2364" stopIfTrue="1" operator="containsText" text="FALSE">
      <formula>NOT(ISERROR(SEARCH("FALSE",AV198)))</formula>
    </cfRule>
  </conditionalFormatting>
  <conditionalFormatting sqref="AV189:AW190">
    <cfRule type="containsText" dxfId="1810" priority="2363" stopIfTrue="1" operator="containsText" text="FALSE">
      <formula>NOT(ISERROR(SEARCH("FALSE",AV189)))</formula>
    </cfRule>
  </conditionalFormatting>
  <conditionalFormatting sqref="AV195:AW195">
    <cfRule type="containsText" dxfId="1809" priority="2362" stopIfTrue="1" operator="containsText" text="FALSE">
      <formula>NOT(ISERROR(SEARCH("FALSE",AV195)))</formula>
    </cfRule>
  </conditionalFormatting>
  <conditionalFormatting sqref="AV204:AV205">
    <cfRule type="containsText" dxfId="1808" priority="2359" stopIfTrue="1" operator="containsText" text="FALSE">
      <formula>NOT(ISERROR(SEARCH("FALSE",AV204)))</formula>
    </cfRule>
  </conditionalFormatting>
  <conditionalFormatting sqref="AV206:AV209">
    <cfRule type="containsText" dxfId="1807" priority="2361" stopIfTrue="1" operator="containsText" text="FALSE">
      <formula>NOT(ISERROR(SEARCH("FALSE",AV206)))</formula>
    </cfRule>
  </conditionalFormatting>
  <conditionalFormatting sqref="AV211:AV212">
    <cfRule type="containsText" dxfId="1806" priority="2360" stopIfTrue="1" operator="containsText" text="FALSE">
      <formula>NOT(ISERROR(SEARCH("FALSE",AV211)))</formula>
    </cfRule>
  </conditionalFormatting>
  <conditionalFormatting sqref="AV161">
    <cfRule type="containsText" dxfId="1805" priority="2358" stopIfTrue="1" operator="containsText" text="FALSE">
      <formula>NOT(ISERROR(SEARCH("FALSE",AV161)))</formula>
    </cfRule>
  </conditionalFormatting>
  <conditionalFormatting sqref="AV76">
    <cfRule type="containsText" dxfId="1804" priority="2357" stopIfTrue="1" operator="containsText" text="FALSE">
      <formula>NOT(ISERROR(SEARCH("FALSE",AV76)))</formula>
    </cfRule>
  </conditionalFormatting>
  <conditionalFormatting sqref="BA2:BA4">
    <cfRule type="containsText" dxfId="1803" priority="2355" stopIfTrue="1" operator="containsText" text="FALSE">
      <formula>NOT(ISERROR(SEARCH("FALSE",BA2)))</formula>
    </cfRule>
  </conditionalFormatting>
  <conditionalFormatting sqref="CB112 CB306:CB313 CB330:CB334 CB346:CB353 CB325:CB328 CB320:CB323 CB315:CB318 CB117 CB191:CB192 CB187:CB188 CB196:CB197 CB182:CB183 CB108:CB109 CB336:CB344 CB202:CB209 CB122:CB123 CB114 CB90:CB96 CB98:CB105 CB243:CB246 CB277:CB286 CB19:CB22 CB38:CB42 CB44 CB46:CB48 CB50:CB52 CB60:CB61 CB67:CB69 CB72:CB73 CB86:CB87 CB24:CB27 CB211:CB212 CB266 CB128 CB288:CB304 CB54:CB56 CB34:CB35 CB221:CB227 CB229:CB234 CB236:CB241 CB137:CB138 CB149:CB161 CB164:CB178 CB31:CB32 CB260:CB264 CB248:CB258 CB6:CB12 CB75:CB76 CB78:CB79 CB81 CB14:CB17">
    <cfRule type="containsText" dxfId="1802" priority="2353" stopIfTrue="1" operator="containsText" text="FALSE">
      <formula>NOT(ISERROR(SEARCH("FALSE",CB6)))</formula>
    </cfRule>
  </conditionalFormatting>
  <conditionalFormatting sqref="CB23">
    <cfRule type="containsText" dxfId="1801" priority="2352" stopIfTrue="1" operator="containsText" text="FALSE">
      <formula>NOT(ISERROR(SEARCH("FALSE",CB23)))</formula>
    </cfRule>
  </conditionalFormatting>
  <conditionalFormatting sqref="CB110">
    <cfRule type="containsText" dxfId="1800" priority="2351" stopIfTrue="1" operator="containsText" text="FALSE">
      <formula>NOT(ISERROR(SEARCH("FALSE",CB110)))</formula>
    </cfRule>
  </conditionalFormatting>
  <conditionalFormatting sqref="CB111">
    <cfRule type="containsText" dxfId="1799" priority="2350" stopIfTrue="1" operator="containsText" text="FALSE">
      <formula>NOT(ISERROR(SEARCH("FALSE",CB111)))</formula>
    </cfRule>
  </conditionalFormatting>
  <conditionalFormatting sqref="CB118:CB121">
    <cfRule type="containsText" dxfId="1798" priority="2349" stopIfTrue="1" operator="containsText" text="FALSE">
      <formula>NOT(ISERROR(SEARCH("FALSE",CB118)))</formula>
    </cfRule>
  </conditionalFormatting>
  <conditionalFormatting sqref="CB18">
    <cfRule type="containsText" dxfId="1797" priority="2348" stopIfTrue="1" operator="containsText" text="FALSE">
      <formula>NOT(ISERROR(SEARCH("FALSE",CB18)))</formula>
    </cfRule>
  </conditionalFormatting>
  <conditionalFormatting sqref="CB193:CB194">
    <cfRule type="containsText" dxfId="1796" priority="2345" stopIfTrue="1" operator="containsText" text="FALSE">
      <formula>NOT(ISERROR(SEARCH("FALSE",CB193)))</formula>
    </cfRule>
  </conditionalFormatting>
  <conditionalFormatting sqref="CB28">
    <cfRule type="containsText" dxfId="1795" priority="2342" stopIfTrue="1" operator="containsText" text="FALSE">
      <formula>NOT(ISERROR(SEARCH("FALSE",CB28)))</formula>
    </cfRule>
  </conditionalFormatting>
  <conditionalFormatting sqref="CB184">
    <cfRule type="containsText" dxfId="1794" priority="2347" stopIfTrue="1" operator="containsText" text="FALSE">
      <formula>NOT(ISERROR(SEARCH("FALSE",CB184)))</formula>
    </cfRule>
  </conditionalFormatting>
  <conditionalFormatting sqref="CB97">
    <cfRule type="containsText" dxfId="1793" priority="2343" stopIfTrue="1" operator="containsText" text="FALSE">
      <formula>NOT(ISERROR(SEARCH("FALSE",CB97)))</formula>
    </cfRule>
  </conditionalFormatting>
  <conditionalFormatting sqref="CB185">
    <cfRule type="containsText" dxfId="1792" priority="2346" stopIfTrue="1" operator="containsText" text="FALSE">
      <formula>NOT(ISERROR(SEARCH("FALSE",CB185)))</formula>
    </cfRule>
  </conditionalFormatting>
  <conditionalFormatting sqref="CB200">
    <cfRule type="containsText" dxfId="1791" priority="2344" stopIfTrue="1" operator="containsText" text="FALSE">
      <formula>NOT(ISERROR(SEARCH("FALSE",CB200)))</formula>
    </cfRule>
  </conditionalFormatting>
  <conditionalFormatting sqref="CB115">
    <cfRule type="containsText" dxfId="1790" priority="2341" stopIfTrue="1" operator="containsText" text="FALSE">
      <formula>NOT(ISERROR(SEARCH("FALSE",CB115)))</formula>
    </cfRule>
  </conditionalFormatting>
  <conditionalFormatting sqref="CB116">
    <cfRule type="containsText" dxfId="1789" priority="2340" stopIfTrue="1" operator="containsText" text="FALSE">
      <formula>NOT(ISERROR(SEARCH("FALSE",CB116)))</formula>
    </cfRule>
  </conditionalFormatting>
  <conditionalFormatting sqref="CB30">
    <cfRule type="containsText" dxfId="1788" priority="2335" stopIfTrue="1" operator="containsText" text="FALSE">
      <formula>NOT(ISERROR(SEARCH("FALSE",CB30)))</formula>
    </cfRule>
  </conditionalFormatting>
  <conditionalFormatting sqref="CB189">
    <cfRule type="containsText" dxfId="1787" priority="2339" stopIfTrue="1" operator="containsText" text="FALSE">
      <formula>NOT(ISERROR(SEARCH("FALSE",CB189)))</formula>
    </cfRule>
  </conditionalFormatting>
  <conditionalFormatting sqref="CB190">
    <cfRule type="containsText" dxfId="1786" priority="2338" stopIfTrue="1" operator="containsText" text="FALSE">
      <formula>NOT(ISERROR(SEARCH("FALSE",CB190)))</formula>
    </cfRule>
  </conditionalFormatting>
  <conditionalFormatting sqref="CB218:CB219">
    <cfRule type="containsText" dxfId="1785" priority="2337" stopIfTrue="1" operator="containsText" text="FALSE">
      <formula>NOT(ISERROR(SEARCH("FALSE",CB218)))</formula>
    </cfRule>
  </conditionalFormatting>
  <conditionalFormatting sqref="CB33">
    <cfRule type="containsText" dxfId="1784" priority="2336" stopIfTrue="1" operator="containsText" text="FALSE">
      <formula>NOT(ISERROR(SEARCH("FALSE",CB33)))</formula>
    </cfRule>
  </conditionalFormatting>
  <conditionalFormatting sqref="CB148">
    <cfRule type="containsText" dxfId="1783" priority="2334" stopIfTrue="1" operator="containsText" text="FALSE">
      <formula>NOT(ISERROR(SEARCH("FALSE",CB148)))</formula>
    </cfRule>
  </conditionalFormatting>
  <conditionalFormatting sqref="CB195">
    <cfRule type="containsText" dxfId="1782" priority="2333" stopIfTrue="1" operator="containsText" text="FALSE">
      <formula>NOT(ISERROR(SEARCH("FALSE",CB195)))</formula>
    </cfRule>
  </conditionalFormatting>
  <conditionalFormatting sqref="CB201">
    <cfRule type="containsText" dxfId="1781" priority="2332" stopIfTrue="1" operator="containsText" text="FALSE">
      <formula>NOT(ISERROR(SEARCH("FALSE",CB201)))</formula>
    </cfRule>
  </conditionalFormatting>
  <conditionalFormatting sqref="CB305">
    <cfRule type="containsText" dxfId="1780" priority="2331" stopIfTrue="1" operator="containsText" text="FALSE">
      <formula>NOT(ISERROR(SEARCH("FALSE",CB305)))</formula>
    </cfRule>
  </conditionalFormatting>
  <conditionalFormatting sqref="CB314">
    <cfRule type="containsText" dxfId="1779" priority="2330" stopIfTrue="1" operator="containsText" text="FALSE">
      <formula>NOT(ISERROR(SEARCH("FALSE",CB314)))</formula>
    </cfRule>
  </conditionalFormatting>
  <conditionalFormatting sqref="CB319">
    <cfRule type="containsText" dxfId="1778" priority="2329" stopIfTrue="1" operator="containsText" text="FALSE">
      <formula>NOT(ISERROR(SEARCH("FALSE",CB319)))</formula>
    </cfRule>
  </conditionalFormatting>
  <conditionalFormatting sqref="CB324">
    <cfRule type="containsText" dxfId="1777" priority="2328" stopIfTrue="1" operator="containsText" text="FALSE">
      <formula>NOT(ISERROR(SEARCH("FALSE",CB324)))</formula>
    </cfRule>
  </conditionalFormatting>
  <conditionalFormatting sqref="CB329">
    <cfRule type="containsText" dxfId="1776" priority="2327" stopIfTrue="1" operator="containsText" text="FALSE">
      <formula>NOT(ISERROR(SEARCH("FALSE",CB329)))</formula>
    </cfRule>
  </conditionalFormatting>
  <conditionalFormatting sqref="CB335">
    <cfRule type="containsText" dxfId="1775" priority="2326" stopIfTrue="1" operator="containsText" text="FALSE">
      <formula>NOT(ISERROR(SEARCH("FALSE",CB335)))</formula>
    </cfRule>
  </conditionalFormatting>
  <conditionalFormatting sqref="CB345">
    <cfRule type="containsText" dxfId="1774" priority="2325" stopIfTrue="1" operator="containsText" text="FALSE">
      <formula>NOT(ISERROR(SEARCH("FALSE",CB345)))</formula>
    </cfRule>
  </conditionalFormatting>
  <conditionalFormatting sqref="CB181">
    <cfRule type="containsText" dxfId="1773" priority="2324" stopIfTrue="1" operator="containsText" text="FALSE">
      <formula>NOT(ISERROR(SEARCH("FALSE",CB181)))</formula>
    </cfRule>
  </conditionalFormatting>
  <conditionalFormatting sqref="CB181">
    <cfRule type="containsText" dxfId="1772" priority="2323" stopIfTrue="1" operator="containsText" text="FALSE">
      <formula>NOT(ISERROR(SEARCH("FALSE",CB181)))</formula>
    </cfRule>
  </conditionalFormatting>
  <conditionalFormatting sqref="CB199">
    <cfRule type="containsText" dxfId="1771" priority="2322" stopIfTrue="1" operator="containsText" text="FALSE">
      <formula>NOT(ISERROR(SEARCH("FALSE",CB199)))</formula>
    </cfRule>
  </conditionalFormatting>
  <conditionalFormatting sqref="CB214">
    <cfRule type="containsText" dxfId="1770" priority="2321" stopIfTrue="1" operator="containsText" text="FALSE">
      <formula>NOT(ISERROR(SEARCH("FALSE",CB214)))</formula>
    </cfRule>
  </conditionalFormatting>
  <conditionalFormatting sqref="CB113">
    <cfRule type="containsText" dxfId="1769" priority="2320" stopIfTrue="1" operator="containsText" text="FALSE">
      <formula>NOT(ISERROR(SEARCH("FALSE",CB113)))</formula>
    </cfRule>
  </conditionalFormatting>
  <conditionalFormatting sqref="CB186">
    <cfRule type="containsText" dxfId="1768" priority="2319" stopIfTrue="1" operator="containsText" text="FALSE">
      <formula>NOT(ISERROR(SEARCH("FALSE",CB186)))</formula>
    </cfRule>
  </conditionalFormatting>
  <conditionalFormatting sqref="CB106">
    <cfRule type="containsText" dxfId="1767" priority="2318" stopIfTrue="1" operator="containsText" text="FALSE">
      <formula>NOT(ISERROR(SEARCH("FALSE",CB106)))</formula>
    </cfRule>
  </conditionalFormatting>
  <conditionalFormatting sqref="CB107">
    <cfRule type="containsText" dxfId="1766" priority="2317" stopIfTrue="1" operator="containsText" text="FALSE">
      <formula>NOT(ISERROR(SEARCH("FALSE",CB107)))</formula>
    </cfRule>
  </conditionalFormatting>
  <conditionalFormatting sqref="CB198">
    <cfRule type="containsText" dxfId="1765" priority="2316" stopIfTrue="1" operator="containsText" text="FALSE">
      <formula>NOT(ISERROR(SEARCH("FALSE",CB198)))</formula>
    </cfRule>
  </conditionalFormatting>
  <conditionalFormatting sqref="CB267:CB276">
    <cfRule type="containsText" dxfId="1764" priority="2315" stopIfTrue="1" operator="containsText" text="FALSE">
      <formula>NOT(ISERROR(SEARCH("FALSE",CB267)))</formula>
    </cfRule>
  </conditionalFormatting>
  <conditionalFormatting sqref="CB247">
    <cfRule type="containsText" dxfId="1763" priority="2314" stopIfTrue="1" operator="containsText" text="FALSE">
      <formula>NOT(ISERROR(SEARCH("FALSE",CB247)))</formula>
    </cfRule>
  </conditionalFormatting>
  <conditionalFormatting sqref="CB259">
    <cfRule type="containsText" dxfId="1762" priority="2313" stopIfTrue="1" operator="containsText" text="FALSE">
      <formula>NOT(ISERROR(SEARCH("FALSE",CB259)))</formula>
    </cfRule>
  </conditionalFormatting>
  <conditionalFormatting sqref="CB85">
    <cfRule type="containsText" dxfId="1761" priority="2312" stopIfTrue="1" operator="containsText" text="FALSE">
      <formula>NOT(ISERROR(SEARCH("FALSE",CB85)))</formula>
    </cfRule>
  </conditionalFormatting>
  <conditionalFormatting sqref="CB53">
    <cfRule type="containsText" dxfId="1760" priority="2307" stopIfTrue="1" operator="containsText" text="FALSE">
      <formula>NOT(ISERROR(SEARCH("FALSE",CB53)))</formula>
    </cfRule>
  </conditionalFormatting>
  <conditionalFormatting sqref="CB66">
    <cfRule type="containsText" dxfId="1759" priority="2304" stopIfTrue="1" operator="containsText" text="FALSE">
      <formula>NOT(ISERROR(SEARCH("FALSE",CB66)))</formula>
    </cfRule>
  </conditionalFormatting>
  <conditionalFormatting sqref="CB36">
    <cfRule type="containsText" dxfId="1758" priority="2311" stopIfTrue="1" operator="containsText" text="FALSE">
      <formula>NOT(ISERROR(SEARCH("FALSE",CB36)))</formula>
    </cfRule>
  </conditionalFormatting>
  <conditionalFormatting sqref="CB43">
    <cfRule type="containsText" dxfId="1757" priority="2310" stopIfTrue="1" operator="containsText" text="FALSE">
      <formula>NOT(ISERROR(SEARCH("FALSE",CB43)))</formula>
    </cfRule>
  </conditionalFormatting>
  <conditionalFormatting sqref="CB45">
    <cfRule type="containsText" dxfId="1756" priority="2309" stopIfTrue="1" operator="containsText" text="FALSE">
      <formula>NOT(ISERROR(SEARCH("FALSE",CB45)))</formula>
    </cfRule>
  </conditionalFormatting>
  <conditionalFormatting sqref="CB49">
    <cfRule type="containsText" dxfId="1755" priority="2308" stopIfTrue="1" operator="containsText" text="FALSE">
      <formula>NOT(ISERROR(SEARCH("FALSE",CB49)))</formula>
    </cfRule>
  </conditionalFormatting>
  <conditionalFormatting sqref="CB59">
    <cfRule type="containsText" dxfId="1754" priority="2306" stopIfTrue="1" operator="containsText" text="FALSE">
      <formula>NOT(ISERROR(SEARCH("FALSE",CB59)))</formula>
    </cfRule>
  </conditionalFormatting>
  <conditionalFormatting sqref="CB58">
    <cfRule type="containsText" dxfId="1753" priority="2305" stopIfTrue="1" operator="containsText" text="FALSE">
      <formula>NOT(ISERROR(SEARCH("FALSE",CB58)))</formula>
    </cfRule>
  </conditionalFormatting>
  <conditionalFormatting sqref="CB70">
    <cfRule type="containsText" dxfId="1752" priority="2303" stopIfTrue="1" operator="containsText" text="FALSE">
      <formula>NOT(ISERROR(SEARCH("FALSE",CB70)))</formula>
    </cfRule>
  </conditionalFormatting>
  <conditionalFormatting sqref="CB128 CB147 CB130">
    <cfRule type="containsText" dxfId="1751" priority="2302" stopIfTrue="1" operator="containsText" text="FALSE">
      <formula>NOT(ISERROR(SEARCH("FALSE",CB128)))</formula>
    </cfRule>
  </conditionalFormatting>
  <conditionalFormatting sqref="CB124:CB127">
    <cfRule type="containsText" dxfId="1750" priority="2301" stopIfTrue="1" operator="containsText" text="FALSE">
      <formula>NOT(ISERROR(SEARCH("FALSE",CB124)))</formula>
    </cfRule>
  </conditionalFormatting>
  <conditionalFormatting sqref="CB131:CB132">
    <cfRule type="containsText" dxfId="1749" priority="2300" stopIfTrue="1" operator="containsText" text="FALSE">
      <formula>NOT(ISERROR(SEARCH("FALSE",CB131)))</formula>
    </cfRule>
  </conditionalFormatting>
  <conditionalFormatting sqref="CB133">
    <cfRule type="containsText" dxfId="1748" priority="2299" stopIfTrue="1" operator="containsText" text="FALSE">
      <formula>NOT(ISERROR(SEARCH("FALSE",CB133)))</formula>
    </cfRule>
  </conditionalFormatting>
  <conditionalFormatting sqref="CB135">
    <cfRule type="containsText" dxfId="1747" priority="2298" stopIfTrue="1" operator="containsText" text="FALSE">
      <formula>NOT(ISERROR(SEARCH("FALSE",CB135)))</formula>
    </cfRule>
  </conditionalFormatting>
  <conditionalFormatting sqref="CB210">
    <cfRule type="containsText" dxfId="1746" priority="2297" stopIfTrue="1" operator="containsText" text="FALSE">
      <formula>NOT(ISERROR(SEARCH("FALSE",CB210)))</formula>
    </cfRule>
  </conditionalFormatting>
  <conditionalFormatting sqref="CB287">
    <cfRule type="containsText" dxfId="1745" priority="2296" stopIfTrue="1" operator="containsText" text="FALSE">
      <formula>NOT(ISERROR(SEARCH("FALSE",CB287)))</formula>
    </cfRule>
  </conditionalFormatting>
  <conditionalFormatting sqref="CB213">
    <cfRule type="containsText" dxfId="1744" priority="2295" stopIfTrue="1" operator="containsText" text="FALSE">
      <formula>NOT(ISERROR(SEARCH("FALSE",CB213)))</formula>
    </cfRule>
  </conditionalFormatting>
  <conditionalFormatting sqref="CB57">
    <cfRule type="containsText" dxfId="1743" priority="2294" stopIfTrue="1" operator="containsText" text="FALSE">
      <formula>NOT(ISERROR(SEARCH("FALSE",CB57)))</formula>
    </cfRule>
  </conditionalFormatting>
  <conditionalFormatting sqref="CB162:CB163">
    <cfRule type="containsText" dxfId="1742" priority="2293" stopIfTrue="1" operator="containsText" text="FALSE">
      <formula>NOT(ISERROR(SEARCH("FALSE",CB162)))</formula>
    </cfRule>
  </conditionalFormatting>
  <conditionalFormatting sqref="CB141">
    <cfRule type="containsText" dxfId="1741" priority="2292" stopIfTrue="1" operator="containsText" text="FALSE">
      <formula>NOT(ISERROR(SEARCH("FALSE",CB141)))</formula>
    </cfRule>
  </conditionalFormatting>
  <conditionalFormatting sqref="CB144">
    <cfRule type="containsText" dxfId="1740" priority="2291" stopIfTrue="1" operator="containsText" text="FALSE">
      <formula>NOT(ISERROR(SEARCH("FALSE",CB144)))</formula>
    </cfRule>
  </conditionalFormatting>
  <conditionalFormatting sqref="CB63:CB65">
    <cfRule type="containsText" dxfId="1739" priority="2290" stopIfTrue="1" operator="containsText" text="FALSE">
      <formula>NOT(ISERROR(SEARCH("FALSE",CB63)))</formula>
    </cfRule>
  </conditionalFormatting>
  <conditionalFormatting sqref="CB62">
    <cfRule type="containsText" dxfId="1738" priority="2289" stopIfTrue="1" operator="containsText" text="FALSE">
      <formula>NOT(ISERROR(SEARCH("FALSE",CB62)))</formula>
    </cfRule>
  </conditionalFormatting>
  <conditionalFormatting sqref="BY37:CA37">
    <cfRule type="containsText" dxfId="1737" priority="2287" stopIfTrue="1" operator="containsText" text="FALSE">
      <formula>NOT(ISERROR(SEARCH("FALSE",BY37)))</formula>
    </cfRule>
  </conditionalFormatting>
  <conditionalFormatting sqref="CB37">
    <cfRule type="containsText" dxfId="1736" priority="2286" stopIfTrue="1" operator="containsText" text="FALSE">
      <formula>NOT(ISERROR(SEARCH("FALSE",CB37)))</formula>
    </cfRule>
  </conditionalFormatting>
  <conditionalFormatting sqref="AU88">
    <cfRule type="containsText" dxfId="1735" priority="2285" stopIfTrue="1" operator="containsText" text="FALSE">
      <formula>NOT(ISERROR(SEARCH("FALSE",AU88)))</formula>
    </cfRule>
  </conditionalFormatting>
  <conditionalFormatting sqref="AW158:AW159 AW175">
    <cfRule type="containsText" dxfId="1734" priority="2284" stopIfTrue="1" operator="containsText" text="FALSE">
      <formula>NOT(ISERROR(SEARCH("FALSE",AW158)))</formula>
    </cfRule>
  </conditionalFormatting>
  <conditionalFormatting sqref="AW44 AW82:AW84 AW48 AW257 AW242:AW245 AW88:AW89">
    <cfRule type="containsText" dxfId="1733" priority="2283" stopIfTrue="1" operator="containsText" text="FALSE">
      <formula>NOT(ISERROR(SEARCH("FALSE",AW44)))</formula>
    </cfRule>
  </conditionalFormatting>
  <conditionalFormatting sqref="AW73 AW149:AW150 AW130 AW154:AW155 AW202 AW76 AW46 AW164:AW165 AW196:AW197 AW206:AW209 AW123 AW182:AW183 AW34 AW19:AW21 AW108:AW109 AW59:AW61 AW17 AW170">
    <cfRule type="containsText" dxfId="1732" priority="2282" stopIfTrue="1" operator="containsText" text="FALSE">
      <formula>NOT(ISERROR(SEARCH("FALSE",AW17)))</formula>
    </cfRule>
  </conditionalFormatting>
  <conditionalFormatting sqref="AW97:AW98">
    <cfRule type="containsText" dxfId="1731" priority="2281" stopIfTrue="1" operator="containsText" text="FALSE">
      <formula>NOT(ISERROR(SEARCH("FALSE",AW97)))</formula>
    </cfRule>
  </conditionalFormatting>
  <conditionalFormatting sqref="AW211:AW212">
    <cfRule type="containsText" dxfId="1730" priority="2280" stopIfTrue="1" operator="containsText" text="FALSE">
      <formula>NOT(ISERROR(SEARCH("FALSE",AW211)))</formula>
    </cfRule>
  </conditionalFormatting>
  <conditionalFormatting sqref="AW42">
    <cfRule type="containsText" dxfId="1729" priority="2279" stopIfTrue="1" operator="containsText" text="FALSE">
      <formula>NOT(ISERROR(SEARCH("FALSE",AW42)))</formula>
    </cfRule>
  </conditionalFormatting>
  <conditionalFormatting sqref="AW92">
    <cfRule type="containsText" dxfId="1728" priority="2275" stopIfTrue="1" operator="containsText" text="FALSE">
      <formula>NOT(ISERROR(SEARCH("FALSE",AW92)))</formula>
    </cfRule>
  </conditionalFormatting>
  <conditionalFormatting sqref="AW55">
    <cfRule type="containsText" dxfId="1727" priority="2274" stopIfTrue="1" operator="containsText" text="FALSE">
      <formula>NOT(ISERROR(SEARCH("FALSE",AW55)))</formula>
    </cfRule>
  </conditionalFormatting>
  <conditionalFormatting sqref="AW138">
    <cfRule type="containsText" dxfId="1726" priority="2272" stopIfTrue="1" operator="containsText" text="FALSE">
      <formula>NOT(ISERROR(SEARCH("FALSE",AW138)))</formula>
    </cfRule>
  </conditionalFormatting>
  <conditionalFormatting sqref="AW124">
    <cfRule type="containsText" dxfId="1725" priority="2273" stopIfTrue="1" operator="containsText" text="FALSE">
      <formula>NOT(ISERROR(SEARCH("FALSE",AW124)))</formula>
    </cfRule>
  </conditionalFormatting>
  <conditionalFormatting sqref="AW198">
    <cfRule type="containsText" dxfId="1724" priority="2270" stopIfTrue="1" operator="containsText" text="FALSE">
      <formula>NOT(ISERROR(SEARCH("FALSE",AW198)))</formula>
    </cfRule>
  </conditionalFormatting>
  <conditionalFormatting sqref="AW204:AW205">
    <cfRule type="containsText" dxfId="1723" priority="2269" stopIfTrue="1" operator="containsText" text="FALSE">
      <formula>NOT(ISERROR(SEARCH("FALSE",AW204)))</formula>
    </cfRule>
  </conditionalFormatting>
  <conditionalFormatting sqref="AW79">
    <cfRule type="containsText" dxfId="1722" priority="2266" stopIfTrue="1" operator="containsText" text="FALSE">
      <formula>NOT(ISERROR(SEARCH("FALSE",AW79)))</formula>
    </cfRule>
  </conditionalFormatting>
  <conditionalFormatting sqref="AW247">
    <cfRule type="containsText" dxfId="1721" priority="2252" stopIfTrue="1" operator="containsText" text="FALSE">
      <formula>NOT(ISERROR(SEARCH("FALSE",AW247)))</formula>
    </cfRule>
  </conditionalFormatting>
  <conditionalFormatting sqref="AW258">
    <cfRule type="containsText" dxfId="1720" priority="2250" stopIfTrue="1" operator="containsText" text="FALSE">
      <formula>NOT(ISERROR(SEARCH("FALSE",AW258)))</formula>
    </cfRule>
  </conditionalFormatting>
  <conditionalFormatting sqref="AW213">
    <cfRule type="containsText" dxfId="1719" priority="2249" stopIfTrue="1" operator="containsText" text="FALSE">
      <formula>NOT(ISERROR(SEARCH("FALSE",AW213)))</formula>
    </cfRule>
  </conditionalFormatting>
  <conditionalFormatting sqref="AW240">
    <cfRule type="containsText" dxfId="1718" priority="2248" stopIfTrue="1" operator="containsText" text="FALSE">
      <formula>NOT(ISERROR(SEARCH("FALSE",AW240)))</formula>
    </cfRule>
  </conditionalFormatting>
  <conditionalFormatting sqref="AW236:AW239 AW241">
    <cfRule type="containsText" dxfId="1717" priority="2247" stopIfTrue="1" operator="containsText" text="FALSE">
      <formula>NOT(ISERROR(SEARCH("FALSE",AW236)))</formula>
    </cfRule>
  </conditionalFormatting>
  <conditionalFormatting sqref="AW259">
    <cfRule type="containsText" dxfId="1716" priority="2246" stopIfTrue="1" operator="containsText" text="FALSE">
      <formula>NOT(ISERROR(SEARCH("FALSE",AW259)))</formula>
    </cfRule>
  </conditionalFormatting>
  <conditionalFormatting sqref="AW47">
    <cfRule type="containsText" dxfId="1715" priority="2245" stopIfTrue="1" operator="containsText" text="FALSE">
      <formula>NOT(ISERROR(SEARCH("FALSE",AW47)))</formula>
    </cfRule>
  </conditionalFormatting>
  <conditionalFormatting sqref="AW57">
    <cfRule type="containsText" dxfId="1714" priority="2244" stopIfTrue="1" operator="containsText" text="FALSE">
      <formula>NOT(ISERROR(SEARCH("FALSE",AW57)))</formula>
    </cfRule>
  </conditionalFormatting>
  <conditionalFormatting sqref="AW125">
    <cfRule type="containsText" dxfId="1713" priority="2240" stopIfTrue="1" operator="containsText" text="FALSE">
      <formula>NOT(ISERROR(SEARCH("FALSE",AW125)))</formula>
    </cfRule>
  </conditionalFormatting>
  <conditionalFormatting sqref="AW126">
    <cfRule type="containsText" dxfId="1712" priority="2239" stopIfTrue="1" operator="containsText" text="FALSE">
      <formula>NOT(ISERROR(SEARCH("FALSE",AW126)))</formula>
    </cfRule>
  </conditionalFormatting>
  <conditionalFormatting sqref="AW131:AW132 AW137">
    <cfRule type="containsText" dxfId="1711" priority="2238" stopIfTrue="1" operator="containsText" text="FALSE">
      <formula>NOT(ISERROR(SEARCH("FALSE",AW131)))</formula>
    </cfRule>
  </conditionalFormatting>
  <conditionalFormatting sqref="AW141">
    <cfRule type="containsText" dxfId="1710" priority="2237" stopIfTrue="1" operator="containsText" text="FALSE">
      <formula>NOT(ISERROR(SEARCH("FALSE",AW141)))</formula>
    </cfRule>
  </conditionalFormatting>
  <conditionalFormatting sqref="AW133">
    <cfRule type="containsText" dxfId="1709" priority="2236" stopIfTrue="1" operator="containsText" text="FALSE">
      <formula>NOT(ISERROR(SEARCH("FALSE",AW133)))</formula>
    </cfRule>
  </conditionalFormatting>
  <conditionalFormatting sqref="AW144">
    <cfRule type="containsText" dxfId="1708" priority="2235" stopIfTrue="1" operator="containsText" text="FALSE">
      <formula>NOT(ISERROR(SEARCH("FALSE",AW144)))</formula>
    </cfRule>
  </conditionalFormatting>
  <conditionalFormatting sqref="AW135">
    <cfRule type="containsText" dxfId="1707" priority="2234" stopIfTrue="1" operator="containsText" text="FALSE">
      <formula>NOT(ISERROR(SEARCH("FALSE",AW135)))</formula>
    </cfRule>
  </conditionalFormatting>
  <conditionalFormatting sqref="AW122">
    <cfRule type="containsText" dxfId="1706" priority="2233" stopIfTrue="1" operator="containsText" text="FALSE">
      <formula>NOT(ISERROR(SEARCH("FALSE",AW122)))</formula>
    </cfRule>
  </conditionalFormatting>
  <conditionalFormatting sqref="AW151">
    <cfRule type="containsText" dxfId="1705" priority="2232" stopIfTrue="1" operator="containsText" text="FALSE">
      <formula>NOT(ISERROR(SEARCH("FALSE",AW151)))</formula>
    </cfRule>
  </conditionalFormatting>
  <conditionalFormatting sqref="AW152">
    <cfRule type="containsText" dxfId="1704" priority="2231" stopIfTrue="1" operator="containsText" text="FALSE">
      <formula>NOT(ISERROR(SEARCH("FALSE",AW152)))</formula>
    </cfRule>
  </conditionalFormatting>
  <conditionalFormatting sqref="AW153">
    <cfRule type="containsText" dxfId="1703" priority="2230" stopIfTrue="1" operator="containsText" text="FALSE">
      <formula>NOT(ISERROR(SEARCH("FALSE",AW153)))</formula>
    </cfRule>
  </conditionalFormatting>
  <conditionalFormatting sqref="AW156:AW157">
    <cfRule type="containsText" dxfId="1702" priority="2229" stopIfTrue="1" operator="containsText" text="FALSE">
      <formula>NOT(ISERROR(SEARCH("FALSE",AW156)))</formula>
    </cfRule>
  </conditionalFormatting>
  <conditionalFormatting sqref="AW160">
    <cfRule type="containsText" dxfId="1701" priority="2228" stopIfTrue="1" operator="containsText" text="FALSE">
      <formula>NOT(ISERROR(SEARCH("FALSE",AW160)))</formula>
    </cfRule>
  </conditionalFormatting>
  <conditionalFormatting sqref="AW169">
    <cfRule type="containsText" dxfId="1700" priority="2227" stopIfTrue="1" operator="containsText" text="FALSE">
      <formula>NOT(ISERROR(SEARCH("FALSE",AW169)))</formula>
    </cfRule>
  </conditionalFormatting>
  <conditionalFormatting sqref="AW166">
    <cfRule type="containsText" dxfId="1699" priority="2226" stopIfTrue="1" operator="containsText" text="FALSE">
      <formula>NOT(ISERROR(SEARCH("FALSE",AW166)))</formula>
    </cfRule>
  </conditionalFormatting>
  <conditionalFormatting sqref="AW167">
    <cfRule type="containsText" dxfId="1698" priority="2225" stopIfTrue="1" operator="containsText" text="FALSE">
      <formula>NOT(ISERROR(SEARCH("FALSE",AW167)))</formula>
    </cfRule>
  </conditionalFormatting>
  <conditionalFormatting sqref="AW168">
    <cfRule type="containsText" dxfId="1697" priority="2224" stopIfTrue="1" operator="containsText" text="FALSE">
      <formula>NOT(ISERROR(SEARCH("FALSE",AW168)))</formula>
    </cfRule>
  </conditionalFormatting>
  <conditionalFormatting sqref="AW171:AW174">
    <cfRule type="containsText" dxfId="1696" priority="2223" stopIfTrue="1" operator="containsText" text="FALSE">
      <formula>NOT(ISERROR(SEARCH("FALSE",AW171)))</formula>
    </cfRule>
  </conditionalFormatting>
  <conditionalFormatting sqref="AW35">
    <cfRule type="containsText" dxfId="1695" priority="2222" stopIfTrue="1" operator="containsText" text="FALSE">
      <formula>NOT(ISERROR(SEARCH("FALSE",AW35)))</formula>
    </cfRule>
  </conditionalFormatting>
  <conditionalFormatting sqref="AW248">
    <cfRule type="containsText" dxfId="1694" priority="2215" stopIfTrue="1" operator="containsText" text="FALSE">
      <formula>NOT(ISERROR(SEARCH("FALSE",AW248)))</formula>
    </cfRule>
  </conditionalFormatting>
  <conditionalFormatting sqref="AW249:AW252">
    <cfRule type="containsText" dxfId="1693" priority="2214" stopIfTrue="1" operator="containsText" text="FALSE">
      <formula>NOT(ISERROR(SEARCH("FALSE",AW249)))</formula>
    </cfRule>
  </conditionalFormatting>
  <conditionalFormatting sqref="AW221:AW223 AW229:AW231">
    <cfRule type="containsText" dxfId="1692" priority="2213" stopIfTrue="1" operator="containsText" text="FALSE">
      <formula>NOT(ISERROR(SEARCH("FALSE",AW221)))</formula>
    </cfRule>
  </conditionalFormatting>
  <conditionalFormatting sqref="AW215">
    <cfRule type="containsText" dxfId="1691" priority="2212" stopIfTrue="1" operator="containsText" text="FALSE">
      <formula>NOT(ISERROR(SEARCH("FALSE",AW215)))</formula>
    </cfRule>
  </conditionalFormatting>
  <conditionalFormatting sqref="AX62:AX65">
    <cfRule type="containsText" dxfId="1690" priority="2127" stopIfTrue="1" operator="containsText" text="FALSE">
      <formula>NOT(ISERROR(SEARCH("FALSE",AX62)))</formula>
    </cfRule>
  </conditionalFormatting>
  <conditionalFormatting sqref="AX243">
    <cfRule type="containsText" dxfId="1689" priority="2126" stopIfTrue="1" operator="containsText" text="FALSE">
      <formula>NOT(ISERROR(SEARCH("FALSE",AX243)))</formula>
    </cfRule>
  </conditionalFormatting>
  <conditionalFormatting sqref="AX18">
    <cfRule type="containsText" dxfId="1688" priority="2124" stopIfTrue="1" operator="containsText" text="FALSE">
      <formula>NOT(ISERROR(SEARCH("FALSE",AX18)))</formula>
    </cfRule>
  </conditionalFormatting>
  <conditionalFormatting sqref="AX31:AX32 AX22:AX28">
    <cfRule type="containsText" dxfId="1687" priority="2123" stopIfTrue="1" operator="containsText" text="FALSE">
      <formula>NOT(ISERROR(SEARCH("FALSE",AX22)))</formula>
    </cfRule>
  </conditionalFormatting>
  <conditionalFormatting sqref="AX175:AX176 AX158:AX159 AX162:AX163">
    <cfRule type="containsText" dxfId="1686" priority="2194" stopIfTrue="1" operator="containsText" text="FALSE">
      <formula>NOT(ISERROR(SEARCH("FALSE",AX158)))</formula>
    </cfRule>
  </conditionalFormatting>
  <conditionalFormatting sqref="AX43:AX44 AX245 AX257 AX48:AX52 AX82:AX89">
    <cfRule type="containsText" dxfId="1685" priority="2193" stopIfTrue="1" operator="containsText" text="FALSE">
      <formula>NOT(ISERROR(SEARCH("FALSE",AX43)))</formula>
    </cfRule>
  </conditionalFormatting>
  <conditionalFormatting sqref="AX73 AX149:AX150 AX130 AX154:AX155 AX202 AX41 AX54 AX76 AX46 AX164:AX165 AX196:AX197 AX194 AX206:AX209 AX123 AX185:AX188 AX181:AX183 AX191:AX192 AX111:AX114 AX117 AX199:AX200 AX306:AX313 AX315:AX318 AX320:AX323 AX325:AX328 AX330:AX334 AX336:AX344 AX346:AX353 AX19:AX21 AX102:AX109 AX296:AX304 AX59:AX61 AX170 AX66:AX69 AX34">
    <cfRule type="containsText" dxfId="1684" priority="2192" stopIfTrue="1" operator="containsText" text="FALSE">
      <formula>NOT(ISERROR(SEARCH("FALSE",AX19)))</formula>
    </cfRule>
  </conditionalFormatting>
  <conditionalFormatting sqref="AX97:AX98">
    <cfRule type="containsText" dxfId="1683" priority="2191" stopIfTrue="1" operator="containsText" text="FALSE">
      <formula>NOT(ISERROR(SEARCH("FALSE",AX97)))</formula>
    </cfRule>
  </conditionalFormatting>
  <conditionalFormatting sqref="AX211:AX212">
    <cfRule type="containsText" dxfId="1682" priority="2190" stopIfTrue="1" operator="containsText" text="FALSE">
      <formula>NOT(ISERROR(SEARCH("FALSE",AX211)))</formula>
    </cfRule>
  </conditionalFormatting>
  <conditionalFormatting sqref="AX42">
    <cfRule type="containsText" dxfId="1681" priority="2189" stopIfTrue="1" operator="containsText" text="FALSE">
      <formula>NOT(ISERROR(SEARCH("FALSE",AX42)))</formula>
    </cfRule>
  </conditionalFormatting>
  <conditionalFormatting sqref="AX71">
    <cfRule type="containsText" dxfId="1680" priority="2188" stopIfTrue="1" operator="containsText" text="FALSE">
      <formula>NOT(ISERROR(SEARCH("FALSE",AX71)))</formula>
    </cfRule>
  </conditionalFormatting>
  <conditionalFormatting sqref="AX181">
    <cfRule type="containsText" dxfId="1679" priority="2187" stopIfTrue="1" operator="containsText" text="FALSE">
      <formula>NOT(ISERROR(SEARCH("FALSE",AX181)))</formula>
    </cfRule>
  </conditionalFormatting>
  <conditionalFormatting sqref="AX99:AX101">
    <cfRule type="containsText" dxfId="1678" priority="2186" stopIfTrue="1" operator="containsText" text="FALSE">
      <formula>NOT(ISERROR(SEARCH("FALSE",AX99)))</formula>
    </cfRule>
  </conditionalFormatting>
  <conditionalFormatting sqref="AX92">
    <cfRule type="containsText" dxfId="1677" priority="2185" stopIfTrue="1" operator="containsText" text="FALSE">
      <formula>NOT(ISERROR(SEARCH("FALSE",AX92)))</formula>
    </cfRule>
  </conditionalFormatting>
  <conditionalFormatting sqref="AX55">
    <cfRule type="containsText" dxfId="1676" priority="2184" stopIfTrue="1" operator="containsText" text="FALSE">
      <formula>NOT(ISERROR(SEARCH("FALSE",AX55)))</formula>
    </cfRule>
  </conditionalFormatting>
  <conditionalFormatting sqref="AX324">
    <cfRule type="containsText" dxfId="1675" priority="2161" stopIfTrue="1" operator="containsText" text="FALSE">
      <formula>NOT(ISERROR(SEARCH("FALSE",AX324)))</formula>
    </cfRule>
  </conditionalFormatting>
  <conditionalFormatting sqref="AX90:AX91">
    <cfRule type="containsText" dxfId="1674" priority="2183" stopIfTrue="1" operator="containsText" text="FALSE">
      <formula>NOT(ISERROR(SEARCH("FALSE",AX90)))</formula>
    </cfRule>
  </conditionalFormatting>
  <conditionalFormatting sqref="AX78">
    <cfRule type="containsText" dxfId="1673" priority="2176" stopIfTrue="1" operator="containsText" text="FALSE">
      <formula>NOT(ISERROR(SEARCH("FALSE",AX78)))</formula>
    </cfRule>
  </conditionalFormatting>
  <conditionalFormatting sqref="AX335">
    <cfRule type="containsText" dxfId="1672" priority="2159" stopIfTrue="1" operator="containsText" text="FALSE">
      <formula>NOT(ISERROR(SEARCH("FALSE",AX335)))</formula>
    </cfRule>
  </conditionalFormatting>
  <conditionalFormatting sqref="AX138">
    <cfRule type="containsText" dxfId="1671" priority="2181" stopIfTrue="1" operator="containsText" text="FALSE">
      <formula>NOT(ISERROR(SEARCH("FALSE",AX138)))</formula>
    </cfRule>
  </conditionalFormatting>
  <conditionalFormatting sqref="AX56">
    <cfRule type="containsText" dxfId="1670" priority="2157" stopIfTrue="1" operator="containsText" text="FALSE">
      <formula>NOT(ISERROR(SEARCH("FALSE",AX56)))</formula>
    </cfRule>
  </conditionalFormatting>
  <conditionalFormatting sqref="AX124">
    <cfRule type="containsText" dxfId="1669" priority="2182" stopIfTrue="1" operator="containsText" text="FALSE">
      <formula>NOT(ISERROR(SEARCH("FALSE",AX124)))</formula>
    </cfRule>
  </conditionalFormatting>
  <conditionalFormatting sqref="AX184">
    <cfRule type="containsText" dxfId="1668" priority="2180" stopIfTrue="1" operator="containsText" text="FALSE">
      <formula>NOT(ISERROR(SEARCH("FALSE",AX184)))</formula>
    </cfRule>
  </conditionalFormatting>
  <conditionalFormatting sqref="AX198">
    <cfRule type="containsText" dxfId="1667" priority="2179" stopIfTrue="1" operator="containsText" text="FALSE">
      <formula>NOT(ISERROR(SEARCH("FALSE",AX198)))</formula>
    </cfRule>
  </conditionalFormatting>
  <conditionalFormatting sqref="AX204:AX205">
    <cfRule type="containsText" dxfId="1666" priority="2178" stopIfTrue="1" operator="containsText" text="FALSE">
      <formula>NOT(ISERROR(SEARCH("FALSE",AX204)))</formula>
    </cfRule>
  </conditionalFormatting>
  <conditionalFormatting sqref="AX75">
    <cfRule type="containsText" dxfId="1665" priority="2177" stopIfTrue="1" operator="containsText" text="FALSE">
      <formula>NOT(ISERROR(SEARCH("FALSE",AX75)))</formula>
    </cfRule>
  </conditionalFormatting>
  <conditionalFormatting sqref="AX72">
    <cfRule type="containsText" dxfId="1664" priority="2172" stopIfTrue="1" operator="containsText" text="FALSE">
      <formula>NOT(ISERROR(SEARCH("FALSE",AX72)))</formula>
    </cfRule>
  </conditionalFormatting>
  <conditionalFormatting sqref="AX81">
    <cfRule type="containsText" dxfId="1663" priority="2174" stopIfTrue="1" operator="containsText" text="FALSE">
      <formula>NOT(ISERROR(SEARCH("FALSE",AX81)))</formula>
    </cfRule>
  </conditionalFormatting>
  <conditionalFormatting sqref="AX70">
    <cfRule type="containsText" dxfId="1662" priority="2173" stopIfTrue="1" operator="containsText" text="FALSE">
      <formula>NOT(ISERROR(SEARCH("FALSE",AX70)))</formula>
    </cfRule>
  </conditionalFormatting>
  <conditionalFormatting sqref="AX79">
    <cfRule type="containsText" dxfId="1661" priority="2175" stopIfTrue="1" operator="containsText" text="FALSE">
      <formula>NOT(ISERROR(SEARCH("FALSE",AX79)))</formula>
    </cfRule>
  </conditionalFormatting>
  <conditionalFormatting sqref="AX118:AX119">
    <cfRule type="containsText" dxfId="1660" priority="2170" stopIfTrue="1" operator="containsText" text="FALSE">
      <formula>NOT(ISERROR(SEARCH("FALSE",AX118)))</formula>
    </cfRule>
  </conditionalFormatting>
  <conditionalFormatting sqref="AX96">
    <cfRule type="containsText" dxfId="1659" priority="2171" stopIfTrue="1" operator="containsText" text="FALSE">
      <formula>NOT(ISERROR(SEARCH("FALSE",AX96)))</formula>
    </cfRule>
  </conditionalFormatting>
  <conditionalFormatting sqref="AX115:AX116">
    <cfRule type="containsText" dxfId="1658" priority="2169" stopIfTrue="1" operator="containsText" text="FALSE">
      <formula>NOT(ISERROR(SEARCH("FALSE",AX115)))</formula>
    </cfRule>
  </conditionalFormatting>
  <conditionalFormatting sqref="AX189:AX190">
    <cfRule type="containsText" dxfId="1657" priority="2168" stopIfTrue="1" operator="containsText" text="FALSE">
      <formula>NOT(ISERROR(SEARCH("FALSE",AX189)))</formula>
    </cfRule>
  </conditionalFormatting>
  <conditionalFormatting sqref="AX148">
    <cfRule type="containsText" dxfId="1656" priority="2167" stopIfTrue="1" operator="containsText" text="FALSE">
      <formula>NOT(ISERROR(SEARCH("FALSE",AX148)))</formula>
    </cfRule>
  </conditionalFormatting>
  <conditionalFormatting sqref="AX195">
    <cfRule type="containsText" dxfId="1655" priority="2166" stopIfTrue="1" operator="containsText" text="FALSE">
      <formula>NOT(ISERROR(SEARCH("FALSE",AX195)))</formula>
    </cfRule>
  </conditionalFormatting>
  <conditionalFormatting sqref="AX201">
    <cfRule type="containsText" dxfId="1654" priority="2165" stopIfTrue="1" operator="containsText" text="FALSE">
      <formula>NOT(ISERROR(SEARCH("FALSE",AX201)))</formula>
    </cfRule>
  </conditionalFormatting>
  <conditionalFormatting sqref="AX305">
    <cfRule type="containsText" dxfId="1653" priority="2164" stopIfTrue="1" operator="containsText" text="FALSE">
      <formula>NOT(ISERROR(SEARCH("FALSE",AX305)))</formula>
    </cfRule>
  </conditionalFormatting>
  <conditionalFormatting sqref="AX314">
    <cfRule type="containsText" dxfId="1652" priority="2163" stopIfTrue="1" operator="containsText" text="FALSE">
      <formula>NOT(ISERROR(SEARCH("FALSE",AX314)))</formula>
    </cfRule>
  </conditionalFormatting>
  <conditionalFormatting sqref="AX319">
    <cfRule type="containsText" dxfId="1651" priority="2162" stopIfTrue="1" operator="containsText" text="FALSE">
      <formula>NOT(ISERROR(SEARCH("FALSE",AX319)))</formula>
    </cfRule>
  </conditionalFormatting>
  <conditionalFormatting sqref="AX329">
    <cfRule type="containsText" dxfId="1650" priority="2160" stopIfTrue="1" operator="containsText" text="FALSE">
      <formula>NOT(ISERROR(SEARCH("FALSE",AX329)))</formula>
    </cfRule>
  </conditionalFormatting>
  <conditionalFormatting sqref="AX345">
    <cfRule type="containsText" dxfId="1649" priority="2158" stopIfTrue="1" operator="containsText" text="FALSE">
      <formula>NOT(ISERROR(SEARCH("FALSE",AX345)))</formula>
    </cfRule>
  </conditionalFormatting>
  <conditionalFormatting sqref="AX95">
    <cfRule type="containsText" dxfId="1648" priority="2156" stopIfTrue="1" operator="containsText" text="FALSE">
      <formula>NOT(ISERROR(SEARCH("FALSE",AX95)))</formula>
    </cfRule>
  </conditionalFormatting>
  <conditionalFormatting sqref="AX247">
    <cfRule type="containsText" dxfId="1647" priority="2155" stopIfTrue="1" operator="containsText" text="FALSE">
      <formula>NOT(ISERROR(SEARCH("FALSE",AX247)))</formula>
    </cfRule>
  </conditionalFormatting>
  <conditionalFormatting sqref="AX288:AX295">
    <cfRule type="containsText" dxfId="1646" priority="2154" stopIfTrue="1" operator="containsText" text="FALSE">
      <formula>NOT(ISERROR(SEARCH("FALSE",AX288)))</formula>
    </cfRule>
  </conditionalFormatting>
  <conditionalFormatting sqref="AX258">
    <cfRule type="containsText" dxfId="1645" priority="2153" stopIfTrue="1" operator="containsText" text="FALSE">
      <formula>NOT(ISERROR(SEARCH("FALSE",AX258)))</formula>
    </cfRule>
  </conditionalFormatting>
  <conditionalFormatting sqref="AX213">
    <cfRule type="containsText" dxfId="1644" priority="2152" stopIfTrue="1" operator="containsText" text="FALSE">
      <formula>NOT(ISERROR(SEARCH("FALSE",AX213)))</formula>
    </cfRule>
  </conditionalFormatting>
  <conditionalFormatting sqref="AX259">
    <cfRule type="containsText" dxfId="1643" priority="2151" stopIfTrue="1" operator="containsText" text="FALSE">
      <formula>NOT(ISERROR(SEARCH("FALSE",AX259)))</formula>
    </cfRule>
  </conditionalFormatting>
  <conditionalFormatting sqref="AX47">
    <cfRule type="containsText" dxfId="1642" priority="2150" stopIfTrue="1" operator="containsText" text="FALSE">
      <formula>NOT(ISERROR(SEARCH("FALSE",AX47)))</formula>
    </cfRule>
  </conditionalFormatting>
  <conditionalFormatting sqref="AX57">
    <cfRule type="containsText" dxfId="1641" priority="2149" stopIfTrue="1" operator="containsText" text="FALSE">
      <formula>NOT(ISERROR(SEARCH("FALSE",AX57)))</formula>
    </cfRule>
  </conditionalFormatting>
  <conditionalFormatting sqref="AX244">
    <cfRule type="containsText" dxfId="1640" priority="2148" stopIfTrue="1" operator="containsText" text="FALSE">
      <formula>NOT(ISERROR(SEARCH("FALSE",AX244)))</formula>
    </cfRule>
  </conditionalFormatting>
  <conditionalFormatting sqref="AX125">
    <cfRule type="containsText" dxfId="1639" priority="2147" stopIfTrue="1" operator="containsText" text="FALSE">
      <formula>NOT(ISERROR(SEARCH("FALSE",AX125)))</formula>
    </cfRule>
  </conditionalFormatting>
  <conditionalFormatting sqref="AX126">
    <cfRule type="containsText" dxfId="1638" priority="2146" stopIfTrue="1" operator="containsText" text="FALSE">
      <formula>NOT(ISERROR(SEARCH("FALSE",AX126)))</formula>
    </cfRule>
  </conditionalFormatting>
  <conditionalFormatting sqref="AX131:AX132 AX137">
    <cfRule type="containsText" dxfId="1637" priority="2145" stopIfTrue="1" operator="containsText" text="FALSE">
      <formula>NOT(ISERROR(SEARCH("FALSE",AX131)))</formula>
    </cfRule>
  </conditionalFormatting>
  <conditionalFormatting sqref="AX141">
    <cfRule type="containsText" dxfId="1636" priority="2144" stopIfTrue="1" operator="containsText" text="FALSE">
      <formula>NOT(ISERROR(SEARCH("FALSE",AX141)))</formula>
    </cfRule>
  </conditionalFormatting>
  <conditionalFormatting sqref="AX133">
    <cfRule type="containsText" dxfId="1635" priority="2143" stopIfTrue="1" operator="containsText" text="FALSE">
      <formula>NOT(ISERROR(SEARCH("FALSE",AX133)))</formula>
    </cfRule>
  </conditionalFormatting>
  <conditionalFormatting sqref="AX144">
    <cfRule type="containsText" dxfId="1634" priority="2142" stopIfTrue="1" operator="containsText" text="FALSE">
      <formula>NOT(ISERROR(SEARCH("FALSE",AX144)))</formula>
    </cfRule>
  </conditionalFormatting>
  <conditionalFormatting sqref="AX135">
    <cfRule type="containsText" dxfId="1633" priority="2141" stopIfTrue="1" operator="containsText" text="FALSE">
      <formula>NOT(ISERROR(SEARCH("FALSE",AX135)))</formula>
    </cfRule>
  </conditionalFormatting>
  <conditionalFormatting sqref="AX122">
    <cfRule type="containsText" dxfId="1632" priority="2140" stopIfTrue="1" operator="containsText" text="FALSE">
      <formula>NOT(ISERROR(SEARCH("FALSE",AX122)))</formula>
    </cfRule>
  </conditionalFormatting>
  <conditionalFormatting sqref="AX151">
    <cfRule type="containsText" dxfId="1631" priority="2139" stopIfTrue="1" operator="containsText" text="FALSE">
      <formula>NOT(ISERROR(SEARCH("FALSE",AX151)))</formula>
    </cfRule>
  </conditionalFormatting>
  <conditionalFormatting sqref="AX152">
    <cfRule type="containsText" dxfId="1630" priority="2138" stopIfTrue="1" operator="containsText" text="FALSE">
      <formula>NOT(ISERROR(SEARCH("FALSE",AX152)))</formula>
    </cfRule>
  </conditionalFormatting>
  <conditionalFormatting sqref="AX153">
    <cfRule type="containsText" dxfId="1629" priority="2137" stopIfTrue="1" operator="containsText" text="FALSE">
      <formula>NOT(ISERROR(SEARCH("FALSE",AX153)))</formula>
    </cfRule>
  </conditionalFormatting>
  <conditionalFormatting sqref="AX156:AX157">
    <cfRule type="containsText" dxfId="1628" priority="2136" stopIfTrue="1" operator="containsText" text="FALSE">
      <formula>NOT(ISERROR(SEARCH("FALSE",AX156)))</formula>
    </cfRule>
  </conditionalFormatting>
  <conditionalFormatting sqref="AX160">
    <cfRule type="containsText" dxfId="1627" priority="2135" stopIfTrue="1" operator="containsText" text="FALSE">
      <formula>NOT(ISERROR(SEARCH("FALSE",AX160)))</formula>
    </cfRule>
  </conditionalFormatting>
  <conditionalFormatting sqref="AX161">
    <cfRule type="containsText" dxfId="1626" priority="2134" stopIfTrue="1" operator="containsText" text="FALSE">
      <formula>NOT(ISERROR(SEARCH("FALSE",AX161)))</formula>
    </cfRule>
  </conditionalFormatting>
  <conditionalFormatting sqref="AX169">
    <cfRule type="containsText" dxfId="1625" priority="2133" stopIfTrue="1" operator="containsText" text="FALSE">
      <formula>NOT(ISERROR(SEARCH("FALSE",AX169)))</formula>
    </cfRule>
  </conditionalFormatting>
  <conditionalFormatting sqref="AX166">
    <cfRule type="containsText" dxfId="1624" priority="2132" stopIfTrue="1" operator="containsText" text="FALSE">
      <formula>NOT(ISERROR(SEARCH("FALSE",AX166)))</formula>
    </cfRule>
  </conditionalFormatting>
  <conditionalFormatting sqref="AX167">
    <cfRule type="containsText" dxfId="1623" priority="2131" stopIfTrue="1" operator="containsText" text="FALSE">
      <formula>NOT(ISERROR(SEARCH("FALSE",AX167)))</formula>
    </cfRule>
  </conditionalFormatting>
  <conditionalFormatting sqref="AX168">
    <cfRule type="containsText" dxfId="1622" priority="2130" stopIfTrue="1" operator="containsText" text="FALSE">
      <formula>NOT(ISERROR(SEARCH("FALSE",AX168)))</formula>
    </cfRule>
  </conditionalFormatting>
  <conditionalFormatting sqref="AX171:AX174">
    <cfRule type="containsText" dxfId="1621" priority="2129" stopIfTrue="1" operator="containsText" text="FALSE">
      <formula>NOT(ISERROR(SEARCH("FALSE",AX171)))</formula>
    </cfRule>
  </conditionalFormatting>
  <conditionalFormatting sqref="AX35">
    <cfRule type="containsText" dxfId="1620" priority="2128" stopIfTrue="1" operator="containsText" text="FALSE">
      <formula>NOT(ISERROR(SEARCH("FALSE",AX35)))</formula>
    </cfRule>
  </conditionalFormatting>
  <conditionalFormatting sqref="AX6:AX17">
    <cfRule type="containsText" dxfId="1619" priority="2125" stopIfTrue="1" operator="containsText" text="FALSE">
      <formula>NOT(ISERROR(SEARCH("FALSE",AX6)))</formula>
    </cfRule>
  </conditionalFormatting>
  <conditionalFormatting sqref="AX30">
    <cfRule type="containsText" dxfId="1618" priority="2121" stopIfTrue="1" operator="containsText" text="FALSE">
      <formula>NOT(ISERROR(SEARCH("FALSE",AX30)))</formula>
    </cfRule>
  </conditionalFormatting>
  <conditionalFormatting sqref="AX36:AX39">
    <cfRule type="containsText" dxfId="1617" priority="2120" stopIfTrue="1" operator="containsText" text="FALSE">
      <formula>NOT(ISERROR(SEARCH("FALSE",AX36)))</formula>
    </cfRule>
  </conditionalFormatting>
  <conditionalFormatting sqref="AX221:AX222 AX229:AX230 AX236:AX237">
    <cfRule type="containsText" dxfId="1616" priority="2119" stopIfTrue="1" operator="containsText" text="FALSE">
      <formula>NOT(ISERROR(SEARCH("FALSE",AX221)))</formula>
    </cfRule>
  </conditionalFormatting>
  <conditionalFormatting sqref="AX215:AX216 AX218:AX219">
    <cfRule type="containsText" dxfId="1615" priority="2118" stopIfTrue="1" operator="containsText" text="FALSE">
      <formula>NOT(ISERROR(SEARCH("FALSE",AX215)))</formula>
    </cfRule>
  </conditionalFormatting>
  <conditionalFormatting sqref="AX238">
    <cfRule type="containsText" dxfId="1614" priority="2113" stopIfTrue="1" operator="containsText" text="FALSE">
      <formula>NOT(ISERROR(SEARCH("FALSE",AX238)))</formula>
    </cfRule>
  </conditionalFormatting>
  <conditionalFormatting sqref="AX217">
    <cfRule type="containsText" dxfId="1613" priority="2110" stopIfTrue="1" operator="containsText" text="FALSE">
      <formula>NOT(ISERROR(SEARCH("FALSE",AX217)))</formula>
    </cfRule>
  </conditionalFormatting>
  <conditionalFormatting sqref="AX225">
    <cfRule type="containsText" dxfId="1612" priority="2109" stopIfTrue="1" operator="containsText" text="FALSE">
      <formula>NOT(ISERROR(SEARCH("FALSE",AX225)))</formula>
    </cfRule>
  </conditionalFormatting>
  <conditionalFormatting sqref="AX232">
    <cfRule type="containsText" dxfId="1611" priority="2108" stopIfTrue="1" operator="containsText" text="FALSE">
      <formula>NOT(ISERROR(SEARCH("FALSE",AX232)))</formula>
    </cfRule>
  </conditionalFormatting>
  <conditionalFormatting sqref="AX224">
    <cfRule type="containsText" dxfId="1610" priority="2107" stopIfTrue="1" operator="containsText" text="FALSE">
      <formula>NOT(ISERROR(SEARCH("FALSE",AX224)))</formula>
    </cfRule>
  </conditionalFormatting>
  <conditionalFormatting sqref="AX220">
    <cfRule type="containsText" dxfId="1609" priority="2106" stopIfTrue="1" operator="containsText" text="FALSE">
      <formula>NOT(ISERROR(SEARCH("FALSE",AX220)))</formula>
    </cfRule>
  </conditionalFormatting>
  <conditionalFormatting sqref="AX228">
    <cfRule type="containsText" dxfId="1608" priority="2105" stopIfTrue="1" operator="containsText" text="FALSE">
      <formula>NOT(ISERROR(SEARCH("FALSE",AX228)))</formula>
    </cfRule>
  </conditionalFormatting>
  <conditionalFormatting sqref="AX235">
    <cfRule type="containsText" dxfId="1607" priority="2104" stopIfTrue="1" operator="containsText" text="FALSE">
      <formula>NOT(ISERROR(SEARCH("FALSE",AX235)))</formula>
    </cfRule>
  </conditionalFormatting>
  <conditionalFormatting sqref="AX240">
    <cfRule type="containsText" dxfId="1606" priority="2103" stopIfTrue="1" operator="containsText" text="FALSE">
      <formula>NOT(ISERROR(SEARCH("FALSE",AX240)))</formula>
    </cfRule>
  </conditionalFormatting>
  <conditionalFormatting sqref="AX242">
    <cfRule type="containsText" dxfId="1605" priority="2102" stopIfTrue="1" operator="containsText" text="FALSE">
      <formula>NOT(ISERROR(SEARCH("FALSE",AX242)))</formula>
    </cfRule>
  </conditionalFormatting>
  <conditionalFormatting sqref="AX260:AX264">
    <cfRule type="containsText" dxfId="1604" priority="2101" stopIfTrue="1" operator="containsText" text="FALSE">
      <formula>NOT(ISERROR(SEARCH("FALSE",AX260)))</formula>
    </cfRule>
  </conditionalFormatting>
  <conditionalFormatting sqref="AX277:AX286">
    <cfRule type="containsText" dxfId="1603" priority="2100" stopIfTrue="1" operator="containsText" text="FALSE">
      <formula>NOT(ISERROR(SEARCH("FALSE",AX277)))</formula>
    </cfRule>
  </conditionalFormatting>
  <conditionalFormatting sqref="AX266">
    <cfRule type="containsText" dxfId="1602" priority="2099" stopIfTrue="1" operator="containsText" text="FALSE">
      <formula>NOT(ISERROR(SEARCH("FALSE",AX266)))</formula>
    </cfRule>
  </conditionalFormatting>
  <conditionalFormatting sqref="AX267:AX274">
    <cfRule type="containsText" dxfId="1601" priority="2098" stopIfTrue="1" operator="containsText" text="FALSE">
      <formula>NOT(ISERROR(SEARCH("FALSE",AX267)))</formula>
    </cfRule>
  </conditionalFormatting>
  <conditionalFormatting sqref="AX287">
    <cfRule type="containsText" dxfId="1600" priority="2097" stopIfTrue="1" operator="containsText" text="FALSE">
      <formula>NOT(ISERROR(SEARCH("FALSE",AX287)))</formula>
    </cfRule>
  </conditionalFormatting>
  <conditionalFormatting sqref="AX275:AX276">
    <cfRule type="containsText" dxfId="1599" priority="2096" stopIfTrue="1" operator="containsText" text="FALSE">
      <formula>NOT(ISERROR(SEARCH("FALSE",AX275)))</formula>
    </cfRule>
  </conditionalFormatting>
  <conditionalFormatting sqref="AX248:AX256">
    <cfRule type="containsText" dxfId="1598" priority="2095" stopIfTrue="1" operator="containsText" text="FALSE">
      <formula>NOT(ISERROR(SEARCH("FALSE",AX248)))</formula>
    </cfRule>
  </conditionalFormatting>
  <conditionalFormatting sqref="CA246">
    <cfRule type="containsText" dxfId="1597" priority="2093" stopIfTrue="1" operator="containsText" text="FALSE">
      <formula>NOT(ISERROR(SEARCH("FALSE",CA246)))</formula>
    </cfRule>
  </conditionalFormatting>
  <conditionalFormatting sqref="AY171:AY174">
    <cfRule type="containsText" dxfId="1596" priority="2015" stopIfTrue="1" operator="containsText" text="FALSE">
      <formula>NOT(ISERROR(SEARCH("FALSE",AY171)))</formula>
    </cfRule>
  </conditionalFormatting>
  <conditionalFormatting sqref="AY35">
    <cfRule type="containsText" dxfId="1595" priority="2014" stopIfTrue="1" operator="containsText" text="FALSE">
      <formula>NOT(ISERROR(SEARCH("FALSE",AY35)))</formula>
    </cfRule>
  </conditionalFormatting>
  <conditionalFormatting sqref="AX223">
    <cfRule type="containsText" dxfId="1594" priority="2081" stopIfTrue="1" operator="containsText" text="FALSE">
      <formula>NOT(ISERROR(SEARCH("FALSE",AX223)))</formula>
    </cfRule>
  </conditionalFormatting>
  <conditionalFormatting sqref="AX226:AX227">
    <cfRule type="containsText" dxfId="1593" priority="2080" stopIfTrue="1" operator="containsText" text="FALSE">
      <formula>NOT(ISERROR(SEARCH("FALSE",AX226)))</formula>
    </cfRule>
  </conditionalFormatting>
  <conditionalFormatting sqref="AX231">
    <cfRule type="containsText" dxfId="1592" priority="2079" stopIfTrue="1" operator="containsText" text="FALSE">
      <formula>NOT(ISERROR(SEARCH("FALSE",AX231)))</formula>
    </cfRule>
  </conditionalFormatting>
  <conditionalFormatting sqref="AX233:AX234">
    <cfRule type="containsText" dxfId="1591" priority="2078" stopIfTrue="1" operator="containsText" text="FALSE">
      <formula>NOT(ISERROR(SEARCH("FALSE",AX233)))</formula>
    </cfRule>
  </conditionalFormatting>
  <conditionalFormatting sqref="AX239">
    <cfRule type="containsText" dxfId="1590" priority="2077" stopIfTrue="1" operator="containsText" text="FALSE">
      <formula>NOT(ISERROR(SEARCH("FALSE",AX239)))</formula>
    </cfRule>
  </conditionalFormatting>
  <conditionalFormatting sqref="AX241">
    <cfRule type="containsText" dxfId="1589" priority="2076" stopIfTrue="1" operator="containsText" text="FALSE">
      <formula>NOT(ISERROR(SEARCH("FALSE",AX241)))</formula>
    </cfRule>
  </conditionalFormatting>
  <conditionalFormatting sqref="AY1 AY158:AY159">
    <cfRule type="containsText" dxfId="1588" priority="2075" stopIfTrue="1" operator="containsText" text="FALSE">
      <formula>NOT(ISERROR(SEARCH("FALSE",AY1)))</formula>
    </cfRule>
  </conditionalFormatting>
  <conditionalFormatting sqref="AY245 AY257 AY82:AY84 AY88:AY89">
    <cfRule type="containsText" dxfId="1587" priority="2074" stopIfTrue="1" operator="containsText" text="FALSE">
      <formula>NOT(ISERROR(SEARCH("FALSE",AY82)))</formula>
    </cfRule>
  </conditionalFormatting>
  <conditionalFormatting sqref="AY149:AY150 AY130 AY154:AY155 AY164:AY165 AY123 AY246 AY5 AY59:AY61 AY170 AY34 AY296:AY304 AY346:AY353 AY336:AY344 AY330:AY334 AY325:AY328 AY320:AY323 AY315:AY318 AY306:AY313">
    <cfRule type="containsText" dxfId="1586" priority="2073" stopIfTrue="1" operator="containsText" text="FALSE">
      <formula>NOT(ISERROR(SEARCH("FALSE",AY5)))</formula>
    </cfRule>
  </conditionalFormatting>
  <conditionalFormatting sqref="AY97">
    <cfRule type="containsText" dxfId="1585" priority="2072" stopIfTrue="1" operator="containsText" text="FALSE">
      <formula>NOT(ISERROR(SEARCH("FALSE",AY97)))</formula>
    </cfRule>
  </conditionalFormatting>
  <conditionalFormatting sqref="AY152">
    <cfRule type="containsText" dxfId="1584" priority="2024" stopIfTrue="1" operator="containsText" text="FALSE">
      <formula>NOT(ISERROR(SEARCH("FALSE",AY152)))</formula>
    </cfRule>
  </conditionalFormatting>
  <conditionalFormatting sqref="AY288:AY295">
    <cfRule type="containsText" dxfId="1583" priority="2045" stopIfTrue="1" operator="containsText" text="FALSE">
      <formula>NOT(ISERROR(SEARCH("FALSE",AY288)))</formula>
    </cfRule>
  </conditionalFormatting>
  <conditionalFormatting sqref="AY131:AY132 AY137">
    <cfRule type="containsText" dxfId="1582" priority="2031" stopIfTrue="1" operator="containsText" text="FALSE">
      <formula>NOT(ISERROR(SEARCH("FALSE",AY131)))</formula>
    </cfRule>
  </conditionalFormatting>
  <conditionalFormatting sqref="AY324">
    <cfRule type="containsText" dxfId="1581" priority="2050" stopIfTrue="1" operator="containsText" text="FALSE">
      <formula>NOT(ISERROR(SEARCH("FALSE",AY324)))</formula>
    </cfRule>
  </conditionalFormatting>
  <conditionalFormatting sqref="AY335">
    <cfRule type="containsText" dxfId="1580" priority="2048" stopIfTrue="1" operator="containsText" text="FALSE">
      <formula>NOT(ISERROR(SEARCH("FALSE",AY335)))</formula>
    </cfRule>
  </conditionalFormatting>
  <conditionalFormatting sqref="AY239">
    <cfRule type="containsText" dxfId="1579" priority="2038" stopIfTrue="1" operator="containsText" text="FALSE">
      <formula>NOT(ISERROR(SEARCH("FALSE",AY239)))</formula>
    </cfRule>
  </conditionalFormatting>
  <conditionalFormatting sqref="AY124">
    <cfRule type="containsText" dxfId="1578" priority="2067" stopIfTrue="1" operator="containsText" text="FALSE">
      <formula>NOT(ISERROR(SEARCH("FALSE",AY124)))</formula>
    </cfRule>
  </conditionalFormatting>
  <conditionalFormatting sqref="AY218:AY219">
    <cfRule type="containsText" dxfId="1577" priority="2041" stopIfTrue="1" operator="containsText" text="FALSE">
      <formula>NOT(ISERROR(SEARCH("FALSE",AY218)))</formula>
    </cfRule>
  </conditionalFormatting>
  <conditionalFormatting sqref="AY226:AY227">
    <cfRule type="containsText" dxfId="1576" priority="2040" stopIfTrue="1" operator="containsText" text="FALSE">
      <formula>NOT(ISERROR(SEARCH("FALSE",AY226)))</formula>
    </cfRule>
  </conditionalFormatting>
  <conditionalFormatting sqref="AY168">
    <cfRule type="containsText" dxfId="1575" priority="2016" stopIfTrue="1" operator="containsText" text="FALSE">
      <formula>NOT(ISERROR(SEARCH("FALSE",AY168)))</formula>
    </cfRule>
  </conditionalFormatting>
  <conditionalFormatting sqref="AY153">
    <cfRule type="containsText" dxfId="1574" priority="2023" stopIfTrue="1" operator="containsText" text="FALSE">
      <formula>NOT(ISERROR(SEARCH("FALSE",AY153)))</formula>
    </cfRule>
  </conditionalFormatting>
  <conditionalFormatting sqref="AY92">
    <cfRule type="containsText" dxfId="1573" priority="1993" stopIfTrue="1" operator="containsText" text="FALSE">
      <formula>NOT(ISERROR(SEARCH("FALSE",AY92)))</formula>
    </cfRule>
  </conditionalFormatting>
  <conditionalFormatting sqref="AY259">
    <cfRule type="containsText" dxfId="1572" priority="2034" stopIfTrue="1" operator="containsText" text="FALSE">
      <formula>NOT(ISERROR(SEARCH("FALSE",AY259)))</formula>
    </cfRule>
  </conditionalFormatting>
  <conditionalFormatting sqref="AY33">
    <cfRule type="containsText" dxfId="1571" priority="2057" stopIfTrue="1" operator="containsText" text="FALSE">
      <formula>NOT(ISERROR(SEARCH("FALSE",AY33)))</formula>
    </cfRule>
  </conditionalFormatting>
  <conditionalFormatting sqref="AY305">
    <cfRule type="containsText" dxfId="1570" priority="2053" stopIfTrue="1" operator="containsText" text="FALSE">
      <formula>NOT(ISERROR(SEARCH("FALSE",AY305)))</formula>
    </cfRule>
  </conditionalFormatting>
  <conditionalFormatting sqref="AY314">
    <cfRule type="containsText" dxfId="1569" priority="2052" stopIfTrue="1" operator="containsText" text="FALSE">
      <formula>NOT(ISERROR(SEARCH("FALSE",AY314)))</formula>
    </cfRule>
  </conditionalFormatting>
  <conditionalFormatting sqref="AY319">
    <cfRule type="containsText" dxfId="1568" priority="2051" stopIfTrue="1" operator="containsText" text="FALSE">
      <formula>NOT(ISERROR(SEARCH("FALSE",AY319)))</formula>
    </cfRule>
  </conditionalFormatting>
  <conditionalFormatting sqref="AY329">
    <cfRule type="containsText" dxfId="1567" priority="2049" stopIfTrue="1" operator="containsText" text="FALSE">
      <formula>NOT(ISERROR(SEARCH("FALSE",AY329)))</formula>
    </cfRule>
  </conditionalFormatting>
  <conditionalFormatting sqref="AY345">
    <cfRule type="containsText" dxfId="1566" priority="2047" stopIfTrue="1" operator="containsText" text="FALSE">
      <formula>NOT(ISERROR(SEARCH("FALSE",AY345)))</formula>
    </cfRule>
  </conditionalFormatting>
  <conditionalFormatting sqref="AY228">
    <cfRule type="containsText" dxfId="1565" priority="2036" stopIfTrue="1" operator="containsText" text="FALSE">
      <formula>NOT(ISERROR(SEARCH("FALSE",AY228)))</formula>
    </cfRule>
  </conditionalFormatting>
  <conditionalFormatting sqref="AY233:AY234">
    <cfRule type="containsText" dxfId="1564" priority="2039" stopIfTrue="1" operator="containsText" text="FALSE">
      <formula>NOT(ISERROR(SEARCH("FALSE",AY233)))</formula>
    </cfRule>
  </conditionalFormatting>
  <conditionalFormatting sqref="AY220">
    <cfRule type="containsText" dxfId="1563" priority="2037" stopIfTrue="1" operator="containsText" text="FALSE">
      <formula>NOT(ISERROR(SEARCH("FALSE",AY220)))</formula>
    </cfRule>
  </conditionalFormatting>
  <conditionalFormatting sqref="AY235">
    <cfRule type="containsText" dxfId="1562" priority="2035" stopIfTrue="1" operator="containsText" text="FALSE">
      <formula>NOT(ISERROR(SEARCH("FALSE",AY235)))</formula>
    </cfRule>
  </conditionalFormatting>
  <conditionalFormatting sqref="AY247">
    <cfRule type="containsText" dxfId="1561" priority="2046" stopIfTrue="1" operator="containsText" text="FALSE">
      <formula>NOT(ISERROR(SEARCH("FALSE",AY247)))</formula>
    </cfRule>
  </conditionalFormatting>
  <conditionalFormatting sqref="AY258">
    <cfRule type="containsText" dxfId="1560" priority="2044" stopIfTrue="1" operator="containsText" text="FALSE">
      <formula>NOT(ISERROR(SEARCH("FALSE",AY258)))</formula>
    </cfRule>
  </conditionalFormatting>
  <conditionalFormatting sqref="AY213">
    <cfRule type="containsText" dxfId="1559" priority="2043" stopIfTrue="1" operator="containsText" text="FALSE">
      <formula>NOT(ISERROR(SEARCH("FALSE",AY213)))</formula>
    </cfRule>
  </conditionalFormatting>
  <conditionalFormatting sqref="AY221:AY222 AY229:AY230 AY236:AY237 AY240">
    <cfRule type="containsText" dxfId="1558" priority="2042" stopIfTrue="1" operator="containsText" text="FALSE">
      <formula>NOT(ISERROR(SEARCH("FALSE",AY221)))</formula>
    </cfRule>
  </conditionalFormatting>
  <conditionalFormatting sqref="AY125">
    <cfRule type="containsText" dxfId="1557" priority="2033" stopIfTrue="1" operator="containsText" text="FALSE">
      <formula>NOT(ISERROR(SEARCH("FALSE",AY125)))</formula>
    </cfRule>
  </conditionalFormatting>
  <conditionalFormatting sqref="AY126">
    <cfRule type="containsText" dxfId="1556" priority="2032" stopIfTrue="1" operator="containsText" text="FALSE">
      <formula>NOT(ISERROR(SEARCH("FALSE",AY126)))</formula>
    </cfRule>
  </conditionalFormatting>
  <conditionalFormatting sqref="AY133">
    <cfRule type="containsText" dxfId="1555" priority="2029" stopIfTrue="1" operator="containsText" text="FALSE">
      <formula>NOT(ISERROR(SEARCH("FALSE",AY133)))</formula>
    </cfRule>
  </conditionalFormatting>
  <conditionalFormatting sqref="AY223">
    <cfRule type="containsText" dxfId="1554" priority="2000" stopIfTrue="1" operator="containsText" text="FALSE">
      <formula>NOT(ISERROR(SEARCH("FALSE",AY223)))</formula>
    </cfRule>
  </conditionalFormatting>
  <conditionalFormatting sqref="AY135">
    <cfRule type="containsText" dxfId="1553" priority="2027" stopIfTrue="1" operator="containsText" text="FALSE">
      <formula>NOT(ISERROR(SEARCH("FALSE",AY135)))</formula>
    </cfRule>
  </conditionalFormatting>
  <conditionalFormatting sqref="AY81">
    <cfRule type="containsText" dxfId="1552" priority="1989" stopIfTrue="1" operator="containsText" text="FALSE">
      <formula>NOT(ISERROR(SEARCH("FALSE",AY81)))</formula>
    </cfRule>
  </conditionalFormatting>
  <conditionalFormatting sqref="AY151">
    <cfRule type="containsText" dxfId="1551" priority="2025" stopIfTrue="1" operator="containsText" text="FALSE">
      <formula>NOT(ISERROR(SEARCH("FALSE",AY151)))</formula>
    </cfRule>
  </conditionalFormatting>
  <conditionalFormatting sqref="AY156:AY157">
    <cfRule type="containsText" dxfId="1550" priority="2022" stopIfTrue="1" operator="containsText" text="FALSE">
      <formula>NOT(ISERROR(SEARCH("FALSE",AY156)))</formula>
    </cfRule>
  </conditionalFormatting>
  <conditionalFormatting sqref="AY160">
    <cfRule type="containsText" dxfId="1549" priority="2021" stopIfTrue="1" operator="containsText" text="FALSE">
      <formula>NOT(ISERROR(SEARCH("FALSE",AY160)))</formula>
    </cfRule>
  </conditionalFormatting>
  <conditionalFormatting sqref="AY169">
    <cfRule type="containsText" dxfId="1548" priority="2019" stopIfTrue="1" operator="containsText" text="FALSE">
      <formula>NOT(ISERROR(SEARCH("FALSE",AY169)))</formula>
    </cfRule>
  </conditionalFormatting>
  <conditionalFormatting sqref="AY166">
    <cfRule type="containsText" dxfId="1547" priority="2018" stopIfTrue="1" operator="containsText" text="FALSE">
      <formula>NOT(ISERROR(SEARCH("FALSE",AY166)))</formula>
    </cfRule>
  </conditionalFormatting>
  <conditionalFormatting sqref="AY167">
    <cfRule type="containsText" dxfId="1546" priority="2017" stopIfTrue="1" operator="containsText" text="FALSE">
      <formula>NOT(ISERROR(SEARCH("FALSE",AY167)))</formula>
    </cfRule>
  </conditionalFormatting>
  <conditionalFormatting sqref="AY2:AY4">
    <cfRule type="containsText" dxfId="1545" priority="2012" stopIfTrue="1" operator="containsText" text="FALSE">
      <formula>NOT(ISERROR(SEARCH("FALSE",AY2)))</formula>
    </cfRule>
  </conditionalFormatting>
  <conditionalFormatting sqref="AY73">
    <cfRule type="containsText" dxfId="1544" priority="1987" stopIfTrue="1" operator="containsText" text="FALSE">
      <formula>NOT(ISERROR(SEARCH("FALSE",AY73)))</formula>
    </cfRule>
  </conditionalFormatting>
  <conditionalFormatting sqref="AY215:AY216">
    <cfRule type="containsText" dxfId="1543" priority="2010" stopIfTrue="1" operator="containsText" text="FALSE">
      <formula>NOT(ISERROR(SEARCH("FALSE",AY215)))</formula>
    </cfRule>
  </conditionalFormatting>
  <conditionalFormatting sqref="AY238">
    <cfRule type="containsText" dxfId="1542" priority="2009" stopIfTrue="1" operator="containsText" text="FALSE">
      <formula>NOT(ISERROR(SEARCH("FALSE",AY238)))</formula>
    </cfRule>
  </conditionalFormatting>
  <conditionalFormatting sqref="AY217">
    <cfRule type="containsText" dxfId="1541" priority="2008" stopIfTrue="1" operator="containsText" text="FALSE">
      <formula>NOT(ISERROR(SEARCH("FALSE",AY217)))</formula>
    </cfRule>
  </conditionalFormatting>
  <conditionalFormatting sqref="AY225">
    <cfRule type="containsText" dxfId="1540" priority="2007" stopIfTrue="1" operator="containsText" text="FALSE">
      <formula>NOT(ISERROR(SEARCH("FALSE",AY225)))</formula>
    </cfRule>
  </conditionalFormatting>
  <conditionalFormatting sqref="AY232">
    <cfRule type="containsText" dxfId="1539" priority="2006" stopIfTrue="1" operator="containsText" text="FALSE">
      <formula>NOT(ISERROR(SEARCH("FALSE",AY232)))</formula>
    </cfRule>
  </conditionalFormatting>
  <conditionalFormatting sqref="AY224">
    <cfRule type="containsText" dxfId="1538" priority="2005" stopIfTrue="1" operator="containsText" text="FALSE">
      <formula>NOT(ISERROR(SEARCH("FALSE",AY224)))</formula>
    </cfRule>
  </conditionalFormatting>
  <conditionalFormatting sqref="AY241">
    <cfRule type="containsText" dxfId="1537" priority="2004" stopIfTrue="1" operator="containsText" text="FALSE">
      <formula>NOT(ISERROR(SEARCH("FALSE",AY241)))</formula>
    </cfRule>
  </conditionalFormatting>
  <conditionalFormatting sqref="AY242">
    <cfRule type="containsText" dxfId="1536" priority="2003" stopIfTrue="1" operator="containsText" text="FALSE">
      <formula>NOT(ISERROR(SEARCH("FALSE",AY242)))</formula>
    </cfRule>
  </conditionalFormatting>
  <conditionalFormatting sqref="AY231">
    <cfRule type="containsText" dxfId="1535" priority="1999" stopIfTrue="1" operator="containsText" text="FALSE">
      <formula>NOT(ISERROR(SEARCH("FALSE",AY231)))</formula>
    </cfRule>
  </conditionalFormatting>
  <conditionalFormatting sqref="AY248:AY252">
    <cfRule type="containsText" dxfId="1534" priority="1998" stopIfTrue="1" operator="containsText" text="FALSE">
      <formula>NOT(ISERROR(SEARCH("FALSE",AY248)))</formula>
    </cfRule>
  </conditionalFormatting>
  <conditionalFormatting sqref="AY75">
    <cfRule type="containsText" dxfId="1533" priority="1988" stopIfTrue="1" operator="containsText" text="FALSE">
      <formula>NOT(ISERROR(SEARCH("FALSE",AY75)))</formula>
    </cfRule>
  </conditionalFormatting>
  <conditionalFormatting sqref="AY48">
    <cfRule type="containsText" dxfId="1532" priority="1986" stopIfTrue="1" operator="containsText" text="FALSE">
      <formula>NOT(ISERROR(SEARCH("FALSE",AY48)))</formula>
    </cfRule>
  </conditionalFormatting>
  <conditionalFormatting sqref="AY78">
    <cfRule type="containsText" dxfId="1531" priority="1992" stopIfTrue="1" operator="containsText" text="FALSE">
      <formula>NOT(ISERROR(SEARCH("FALSE",AY78)))</formula>
    </cfRule>
  </conditionalFormatting>
  <conditionalFormatting sqref="AY76">
    <cfRule type="containsText" dxfId="1530" priority="1991" stopIfTrue="1" operator="containsText" text="FALSE">
      <formula>NOT(ISERROR(SEARCH("FALSE",AY76)))</formula>
    </cfRule>
  </conditionalFormatting>
  <conditionalFormatting sqref="AY79">
    <cfRule type="containsText" dxfId="1529" priority="1990" stopIfTrue="1" operator="containsText" text="FALSE">
      <formula>NOT(ISERROR(SEARCH("FALSE",AY79)))</formula>
    </cfRule>
  </conditionalFormatting>
  <conditionalFormatting sqref="AY56:AY57">
    <cfRule type="containsText" dxfId="1528" priority="1982" stopIfTrue="1" operator="containsText" text="FALSE">
      <formula>NOT(ISERROR(SEARCH("FALSE",AY56)))</formula>
    </cfRule>
  </conditionalFormatting>
  <conditionalFormatting sqref="AY41 AY54">
    <cfRule type="containsText" dxfId="1527" priority="1985" stopIfTrue="1" operator="containsText" text="FALSE">
      <formula>NOT(ISERROR(SEARCH("FALSE",AY41)))</formula>
    </cfRule>
  </conditionalFormatting>
  <conditionalFormatting sqref="AY42">
    <cfRule type="containsText" dxfId="1526" priority="1984" stopIfTrue="1" operator="containsText" text="FALSE">
      <formula>NOT(ISERROR(SEARCH("FALSE",AY42)))</formula>
    </cfRule>
  </conditionalFormatting>
  <conditionalFormatting sqref="AY55">
    <cfRule type="containsText" dxfId="1525" priority="1983" stopIfTrue="1" operator="containsText" text="FALSE">
      <formula>NOT(ISERROR(SEARCH("FALSE",AY55)))</formula>
    </cfRule>
  </conditionalFormatting>
  <conditionalFormatting sqref="AY43">
    <cfRule type="containsText" dxfId="1524" priority="1981" stopIfTrue="1" operator="containsText" text="FALSE">
      <formula>NOT(ISERROR(SEARCH("FALSE",AY43)))</formula>
    </cfRule>
  </conditionalFormatting>
  <conditionalFormatting sqref="AY47">
    <cfRule type="containsText" dxfId="1523" priority="1980" stopIfTrue="1" operator="containsText" text="FALSE">
      <formula>NOT(ISERROR(SEARCH("FALSE",AY47)))</formula>
    </cfRule>
  </conditionalFormatting>
  <conditionalFormatting sqref="AY46">
    <cfRule type="containsText" dxfId="1522" priority="1979" stopIfTrue="1" operator="containsText" text="FALSE">
      <formula>NOT(ISERROR(SEARCH("FALSE",AY46)))</formula>
    </cfRule>
  </conditionalFormatting>
  <conditionalFormatting sqref="AY141">
    <cfRule type="containsText" dxfId="1521" priority="1924" stopIfTrue="1" operator="containsText" text="FALSE">
      <formula>NOT(ISERROR(SEARCH("FALSE",AY141)))</formula>
    </cfRule>
  </conditionalFormatting>
  <conditionalFormatting sqref="AY19:AY21">
    <cfRule type="containsText" dxfId="1520" priority="1978" stopIfTrue="1" operator="containsText" text="FALSE">
      <formula>NOT(ISERROR(SEARCH("FALSE",AY19)))</formula>
    </cfRule>
  </conditionalFormatting>
  <conditionalFormatting sqref="AY201">
    <cfRule type="containsText" dxfId="1519" priority="1916" stopIfTrue="1" operator="containsText" text="FALSE">
      <formula>NOT(ISERROR(SEARCH("FALSE",AY201)))</formula>
    </cfRule>
  </conditionalFormatting>
  <conditionalFormatting sqref="AY175:AY178">
    <cfRule type="containsText" dxfId="1518" priority="1922" stopIfTrue="1" operator="containsText" text="FALSE">
      <formula>NOT(ISERROR(SEARCH("FALSE",AY175)))</formula>
    </cfRule>
  </conditionalFormatting>
  <conditionalFormatting sqref="AY198">
    <cfRule type="containsText" dxfId="1517" priority="1914" stopIfTrue="1" operator="containsText" text="FALSE">
      <formula>NOT(ISERROR(SEARCH("FALSE",AY198)))</formula>
    </cfRule>
  </conditionalFormatting>
  <conditionalFormatting sqref="AY202 AY209">
    <cfRule type="containsText" dxfId="1516" priority="1913" stopIfTrue="1" operator="containsText" text="FALSE">
      <formula>NOT(ISERROR(SEARCH("FALSE",AY202)))</formula>
    </cfRule>
  </conditionalFormatting>
  <conditionalFormatting sqref="AY211:AY212">
    <cfRule type="containsText" dxfId="1515" priority="1912" stopIfTrue="1" operator="containsText" text="FALSE">
      <formula>NOT(ISERROR(SEARCH("FALSE",AY211)))</formula>
    </cfRule>
  </conditionalFormatting>
  <conditionalFormatting sqref="AY206:AY208">
    <cfRule type="containsText" dxfId="1514" priority="1911" stopIfTrue="1" operator="containsText" text="FALSE">
      <formula>NOT(ISERROR(SEARCH("FALSE",AY206)))</formula>
    </cfRule>
  </conditionalFormatting>
  <conditionalFormatting sqref="AY195">
    <cfRule type="containsText" dxfId="1513" priority="1917" stopIfTrue="1" operator="containsText" text="FALSE">
      <formula>NOT(ISERROR(SEARCH("FALSE",AY195)))</formula>
    </cfRule>
  </conditionalFormatting>
  <conditionalFormatting sqref="AZ22">
    <cfRule type="containsText" dxfId="1512" priority="1800" stopIfTrue="1" operator="containsText" text="FALSE">
      <formula>NOT(ISERROR(SEARCH("FALSE",AZ22)))</formula>
    </cfRule>
  </conditionalFormatting>
  <conditionalFormatting sqref="AY199:AY200">
    <cfRule type="containsText" dxfId="1511" priority="1915" stopIfTrue="1" operator="containsText" text="FALSE">
      <formula>NOT(ISERROR(SEARCH("FALSE",AY199)))</formula>
    </cfRule>
  </conditionalFormatting>
  <conditionalFormatting sqref="AY266 AY262:AY264">
    <cfRule type="containsText" dxfId="1510" priority="1906" stopIfTrue="1" operator="containsText" text="FALSE">
      <formula>NOT(ISERROR(SEARCH("FALSE",AY262)))</formula>
    </cfRule>
  </conditionalFormatting>
  <conditionalFormatting sqref="AY44">
    <cfRule type="containsText" dxfId="1509" priority="1965" stopIfTrue="1" operator="containsText" text="FALSE">
      <formula>NOT(ISERROR(SEARCH("FALSE",AY44)))</formula>
    </cfRule>
  </conditionalFormatting>
  <conditionalFormatting sqref="AY119">
    <cfRule type="containsText" dxfId="1508" priority="1927" stopIfTrue="1" operator="containsText" text="FALSE">
      <formula>NOT(ISERROR(SEARCH("FALSE",AY119)))</formula>
    </cfRule>
  </conditionalFormatting>
  <conditionalFormatting sqref="AY148">
    <cfRule type="containsText" dxfId="1507" priority="1926" stopIfTrue="1" operator="containsText" text="FALSE">
      <formula>NOT(ISERROR(SEARCH("FALSE",AY148)))</formula>
    </cfRule>
  </conditionalFormatting>
  <conditionalFormatting sqref="AY138">
    <cfRule type="containsText" dxfId="1506" priority="1925" stopIfTrue="1" operator="containsText" text="FALSE">
      <formula>NOT(ISERROR(SEARCH("FALSE",AY138)))</formula>
    </cfRule>
  </conditionalFormatting>
  <conditionalFormatting sqref="AY144">
    <cfRule type="containsText" dxfId="1505" priority="1923" stopIfTrue="1" operator="containsText" text="FALSE">
      <formula>NOT(ISERROR(SEARCH("FALSE",AY144)))</formula>
    </cfRule>
  </conditionalFormatting>
  <conditionalFormatting sqref="AY7:AY12">
    <cfRule type="containsText" dxfId="1504" priority="1958" stopIfTrue="1" operator="containsText" text="FALSE">
      <formula>NOT(ISERROR(SEARCH("FALSE",AY7)))</formula>
    </cfRule>
  </conditionalFormatting>
  <conditionalFormatting sqref="AY18">
    <cfRule type="containsText" dxfId="1503" priority="1957" stopIfTrue="1" operator="containsText" text="FALSE">
      <formula>NOT(ISERROR(SEARCH("FALSE",AY18)))</formula>
    </cfRule>
  </conditionalFormatting>
  <conditionalFormatting sqref="AY14">
    <cfRule type="containsText" dxfId="1502" priority="1956" stopIfTrue="1" operator="containsText" text="FALSE">
      <formula>NOT(ISERROR(SEARCH("FALSE",AY14)))</formula>
    </cfRule>
  </conditionalFormatting>
  <conditionalFormatting sqref="AY17">
    <cfRule type="containsText" dxfId="1501" priority="1955" stopIfTrue="1" operator="containsText" text="FALSE">
      <formula>NOT(ISERROR(SEARCH("FALSE",AY17)))</formula>
    </cfRule>
  </conditionalFormatting>
  <conditionalFormatting sqref="AY13">
    <cfRule type="containsText" dxfId="1500" priority="1954" stopIfTrue="1" operator="containsText" text="FALSE">
      <formula>NOT(ISERROR(SEARCH("FALSE",AY13)))</formula>
    </cfRule>
  </conditionalFormatting>
  <conditionalFormatting sqref="AY15:AY16 AZ15">
    <cfRule type="containsText" dxfId="1499" priority="1953" stopIfTrue="1" operator="containsText" text="FALSE">
      <formula>NOT(ISERROR(SEARCH("FALSE",AY15)))</formula>
    </cfRule>
  </conditionalFormatting>
  <conditionalFormatting sqref="AY6">
    <cfRule type="containsText" dxfId="1498" priority="1952" stopIfTrue="1" operator="containsText" text="FALSE">
      <formula>NOT(ISERROR(SEARCH("FALSE",AY6)))</formula>
    </cfRule>
  </conditionalFormatting>
  <conditionalFormatting sqref="AY23:AY24">
    <cfRule type="containsText" dxfId="1497" priority="1950" stopIfTrue="1" operator="containsText" text="FALSE">
      <formula>NOT(ISERROR(SEARCH("FALSE",AY23)))</formula>
    </cfRule>
  </conditionalFormatting>
  <conditionalFormatting sqref="AY32 AY25:AY28">
    <cfRule type="containsText" dxfId="1496" priority="1951" stopIfTrue="1" operator="containsText" text="FALSE">
      <formula>NOT(ISERROR(SEARCH("FALSE",AY25)))</formula>
    </cfRule>
  </conditionalFormatting>
  <conditionalFormatting sqref="AY30">
    <cfRule type="containsText" dxfId="1495" priority="1949" stopIfTrue="1" operator="containsText" text="FALSE">
      <formula>NOT(ISERROR(SEARCH("FALSE",AY30)))</formula>
    </cfRule>
  </conditionalFormatting>
  <conditionalFormatting sqref="AY31">
    <cfRule type="containsText" dxfId="1494" priority="1948" stopIfTrue="1" operator="containsText" text="FALSE">
      <formula>NOT(ISERROR(SEARCH("FALSE",AY31)))</formula>
    </cfRule>
  </conditionalFormatting>
  <conditionalFormatting sqref="AY22">
    <cfRule type="containsText" dxfId="1493" priority="1947" stopIfTrue="1" operator="containsText" text="FALSE">
      <formula>NOT(ISERROR(SEARCH("FALSE",AY22)))</formula>
    </cfRule>
  </conditionalFormatting>
  <conditionalFormatting sqref="AY36:AY39">
    <cfRule type="containsText" dxfId="1492" priority="1946" stopIfTrue="1" operator="containsText" text="FALSE">
      <formula>NOT(ISERROR(SEARCH("FALSE",AY36)))</formula>
    </cfRule>
  </conditionalFormatting>
  <conditionalFormatting sqref="AY49:AY52">
    <cfRule type="containsText" dxfId="1491" priority="1945" stopIfTrue="1" operator="containsText" text="FALSE">
      <formula>NOT(ISERROR(SEARCH("FALSE",AY49)))</formula>
    </cfRule>
  </conditionalFormatting>
  <conditionalFormatting sqref="AY72">
    <cfRule type="containsText" dxfId="1490" priority="1941" stopIfTrue="1" operator="containsText" text="FALSE">
      <formula>NOT(ISERROR(SEARCH("FALSE",AY72)))</formula>
    </cfRule>
  </conditionalFormatting>
  <conditionalFormatting sqref="AY68:AY69">
    <cfRule type="containsText" dxfId="1489" priority="1944" stopIfTrue="1" operator="containsText" text="FALSE">
      <formula>NOT(ISERROR(SEARCH("FALSE",AY68)))</formula>
    </cfRule>
  </conditionalFormatting>
  <conditionalFormatting sqref="AY71">
    <cfRule type="containsText" dxfId="1488" priority="1943" stopIfTrue="1" operator="containsText" text="FALSE">
      <formula>NOT(ISERROR(SEARCH("FALSE",AY71)))</formula>
    </cfRule>
  </conditionalFormatting>
  <conditionalFormatting sqref="AY70">
    <cfRule type="containsText" dxfId="1487" priority="1942" stopIfTrue="1" operator="containsText" text="FALSE">
      <formula>NOT(ISERROR(SEARCH("FALSE",AY70)))</formula>
    </cfRule>
  </conditionalFormatting>
  <conditionalFormatting sqref="AY66:AY67">
    <cfRule type="containsText" dxfId="1486" priority="1940" stopIfTrue="1" operator="containsText" text="FALSE">
      <formula>NOT(ISERROR(SEARCH("FALSE",AY66)))</formula>
    </cfRule>
  </conditionalFormatting>
  <conditionalFormatting sqref="AY64:AY65">
    <cfRule type="containsText" dxfId="1485" priority="1939" stopIfTrue="1" operator="containsText" text="FALSE">
      <formula>NOT(ISERROR(SEARCH("FALSE",AY64)))</formula>
    </cfRule>
  </conditionalFormatting>
  <conditionalFormatting sqref="AY62:AY63">
    <cfRule type="containsText" dxfId="1484" priority="1938" stopIfTrue="1" operator="containsText" text="FALSE">
      <formula>NOT(ISERROR(SEARCH("FALSE",AY62)))</formula>
    </cfRule>
  </conditionalFormatting>
  <conditionalFormatting sqref="AY85">
    <cfRule type="containsText" dxfId="1483" priority="1937" stopIfTrue="1" operator="containsText" text="FALSE">
      <formula>NOT(ISERROR(SEARCH("FALSE",AY85)))</formula>
    </cfRule>
  </conditionalFormatting>
  <conditionalFormatting sqref="AY86:AY87">
    <cfRule type="containsText" dxfId="1482" priority="1936" stopIfTrue="1" operator="containsText" text="FALSE">
      <formula>NOT(ISERROR(SEARCH("FALSE",AY86)))</formula>
    </cfRule>
  </conditionalFormatting>
  <conditionalFormatting sqref="AY98">
    <cfRule type="containsText" dxfId="1481" priority="1934" stopIfTrue="1" operator="containsText" text="FALSE">
      <formula>NOT(ISERROR(SEARCH("FALSE",AY98)))</formula>
    </cfRule>
  </conditionalFormatting>
  <conditionalFormatting sqref="AY99:AY101">
    <cfRule type="containsText" dxfId="1480" priority="1933" stopIfTrue="1" operator="containsText" text="FALSE">
      <formula>NOT(ISERROR(SEARCH("FALSE",AY99)))</formula>
    </cfRule>
  </conditionalFormatting>
  <conditionalFormatting sqref="AY102:AY109 AY111:AY114 AY117">
    <cfRule type="containsText" dxfId="1479" priority="1935" stopIfTrue="1" operator="containsText" text="FALSE">
      <formula>NOT(ISERROR(SEARCH("FALSE",AY102)))</formula>
    </cfRule>
  </conditionalFormatting>
  <conditionalFormatting sqref="AY118 AY121">
    <cfRule type="containsText" dxfId="1478" priority="1931" stopIfTrue="1" operator="containsText" text="FALSE">
      <formula>NOT(ISERROR(SEARCH("FALSE",AY118)))</formula>
    </cfRule>
  </conditionalFormatting>
  <conditionalFormatting sqref="AY122">
    <cfRule type="containsText" dxfId="1477" priority="1932" stopIfTrue="1" operator="containsText" text="FALSE">
      <formula>NOT(ISERROR(SEARCH("FALSE",AY122)))</formula>
    </cfRule>
  </conditionalFormatting>
  <conditionalFormatting sqref="AY115:AY116">
    <cfRule type="containsText" dxfId="1476" priority="1930" stopIfTrue="1" operator="containsText" text="FALSE">
      <formula>NOT(ISERROR(SEARCH("FALSE",AY115)))</formula>
    </cfRule>
  </conditionalFormatting>
  <conditionalFormatting sqref="AY110">
    <cfRule type="containsText" dxfId="1475" priority="1929" stopIfTrue="1" operator="containsText" text="FALSE">
      <formula>NOT(ISERROR(SEARCH("FALSE",AY110)))</formula>
    </cfRule>
  </conditionalFormatting>
  <conditionalFormatting sqref="AY120">
    <cfRule type="containsText" dxfId="1474" priority="1928" stopIfTrue="1" operator="containsText" text="FALSE">
      <formula>NOT(ISERROR(SEARCH("FALSE",AY120)))</formula>
    </cfRule>
  </conditionalFormatting>
  <conditionalFormatting sqref="AY196:AY197 AY194 AY185:AY188 AY181:AY183 AY191:AY192">
    <cfRule type="containsText" dxfId="1473" priority="1921" stopIfTrue="1" operator="containsText" text="FALSE">
      <formula>NOT(ISERROR(SEARCH("FALSE",AY181)))</formula>
    </cfRule>
  </conditionalFormatting>
  <conditionalFormatting sqref="AY181">
    <cfRule type="containsText" dxfId="1472" priority="1920" stopIfTrue="1" operator="containsText" text="FALSE">
      <formula>NOT(ISERROR(SEARCH("FALSE",AY181)))</formula>
    </cfRule>
  </conditionalFormatting>
  <conditionalFormatting sqref="AY184">
    <cfRule type="containsText" dxfId="1471" priority="1919" stopIfTrue="1" operator="containsText" text="FALSE">
      <formula>NOT(ISERROR(SEARCH("FALSE",AY184)))</formula>
    </cfRule>
  </conditionalFormatting>
  <conditionalFormatting sqref="AY189:AY190">
    <cfRule type="containsText" dxfId="1470" priority="1918" stopIfTrue="1" operator="containsText" text="FALSE">
      <formula>NOT(ISERROR(SEARCH("FALSE",AY189)))</formula>
    </cfRule>
  </conditionalFormatting>
  <conditionalFormatting sqref="AY204:AY205">
    <cfRule type="containsText" dxfId="1469" priority="1910" stopIfTrue="1" operator="containsText" text="FALSE">
      <formula>NOT(ISERROR(SEARCH("FALSE",AY204)))</formula>
    </cfRule>
  </conditionalFormatting>
  <conditionalFormatting sqref="AY255 AY253">
    <cfRule type="containsText" dxfId="1468" priority="1909" stopIfTrue="1" operator="containsText" text="FALSE">
      <formula>NOT(ISERROR(SEARCH("FALSE",AY253)))</formula>
    </cfRule>
  </conditionalFormatting>
  <conditionalFormatting sqref="AY256">
    <cfRule type="containsText" dxfId="1467" priority="1908" stopIfTrue="1" operator="containsText" text="FALSE">
      <formula>NOT(ISERROR(SEARCH("FALSE",AY256)))</formula>
    </cfRule>
  </conditionalFormatting>
  <conditionalFormatting sqref="AY254">
    <cfRule type="containsText" dxfId="1466" priority="1907" stopIfTrue="1" operator="containsText" text="FALSE">
      <formula>NOT(ISERROR(SEARCH("FALSE",AY254)))</formula>
    </cfRule>
  </conditionalFormatting>
  <conditionalFormatting sqref="AY267:AY286">
    <cfRule type="containsText" dxfId="1465" priority="1905" stopIfTrue="1" operator="containsText" text="FALSE">
      <formula>NOT(ISERROR(SEARCH("FALSE",AY267)))</formula>
    </cfRule>
  </conditionalFormatting>
  <conditionalFormatting sqref="AY287">
    <cfRule type="containsText" dxfId="1464" priority="1904" stopIfTrue="1" operator="containsText" text="FALSE">
      <formula>NOT(ISERROR(SEARCH("FALSE",AY287)))</formula>
    </cfRule>
  </conditionalFormatting>
  <conditionalFormatting sqref="AY260:AY261">
    <cfRule type="containsText" dxfId="1463" priority="1903" stopIfTrue="1" operator="containsText" text="FALSE">
      <formula>NOT(ISERROR(SEARCH("FALSE",AY260)))</formula>
    </cfRule>
  </conditionalFormatting>
  <conditionalFormatting sqref="AY243">
    <cfRule type="containsText" dxfId="1462" priority="1898" stopIfTrue="1" operator="containsText" text="FALSE">
      <formula>NOT(ISERROR(SEARCH("FALSE",AY243)))</formula>
    </cfRule>
  </conditionalFormatting>
  <conditionalFormatting sqref="AY244">
    <cfRule type="containsText" dxfId="1461" priority="1896" stopIfTrue="1" operator="containsText" text="FALSE">
      <formula>NOT(ISERROR(SEARCH("FALSE",AY244)))</formula>
    </cfRule>
  </conditionalFormatting>
  <conditionalFormatting sqref="AE66:AE67 AE68:AG68">
    <cfRule type="containsText" dxfId="1460" priority="1895" stopIfTrue="1" operator="containsText" text="FALSE">
      <formula>NOT(ISERROR(SEARCH("FALSE",AE66)))</formula>
    </cfRule>
  </conditionalFormatting>
  <conditionalFormatting sqref="AH68">
    <cfRule type="containsText" dxfId="1459" priority="1894" stopIfTrue="1" operator="containsText" text="FALSE">
      <formula>NOT(ISERROR(SEARCH("FALSE",AH68)))</formula>
    </cfRule>
  </conditionalFormatting>
  <conditionalFormatting sqref="AF66:AH67">
    <cfRule type="containsText" dxfId="1458" priority="1893" stopIfTrue="1" operator="containsText" text="FALSE">
      <formula>NOT(ISERROR(SEARCH("FALSE",AF66)))</formula>
    </cfRule>
  </conditionalFormatting>
  <conditionalFormatting sqref="AE62:AE63 AE64:AG65">
    <cfRule type="containsText" dxfId="1457" priority="1892" stopIfTrue="1" operator="containsText" text="FALSE">
      <formula>NOT(ISERROR(SEARCH("FALSE",AE62)))</formula>
    </cfRule>
  </conditionalFormatting>
  <conditionalFormatting sqref="AH64:AH65">
    <cfRule type="containsText" dxfId="1456" priority="1891" stopIfTrue="1" operator="containsText" text="FALSE">
      <formula>NOT(ISERROR(SEARCH("FALSE",AH64)))</formula>
    </cfRule>
  </conditionalFormatting>
  <conditionalFormatting sqref="AF62:AH63">
    <cfRule type="containsText" dxfId="1455" priority="1890" stopIfTrue="1" operator="containsText" text="FALSE">
      <formula>NOT(ISERROR(SEARCH("FALSE",AF62)))</formula>
    </cfRule>
  </conditionalFormatting>
  <conditionalFormatting sqref="AA66:AA67 AA68:AC68">
    <cfRule type="containsText" dxfId="1454" priority="1889" stopIfTrue="1" operator="containsText" text="FALSE">
      <formula>NOT(ISERROR(SEARCH("FALSE",AA66)))</formula>
    </cfRule>
  </conditionalFormatting>
  <conditionalFormatting sqref="AD68">
    <cfRule type="containsText" dxfId="1453" priority="1888" stopIfTrue="1" operator="containsText" text="FALSE">
      <formula>NOT(ISERROR(SEARCH("FALSE",AD68)))</formula>
    </cfRule>
  </conditionalFormatting>
  <conditionalFormatting sqref="AB66:AD67">
    <cfRule type="containsText" dxfId="1452" priority="1887" stopIfTrue="1" operator="containsText" text="FALSE">
      <formula>NOT(ISERROR(SEARCH("FALSE",AB66)))</formula>
    </cfRule>
  </conditionalFormatting>
  <conditionalFormatting sqref="AA62:AA63 AA64:AC65">
    <cfRule type="containsText" dxfId="1451" priority="1886" stopIfTrue="1" operator="containsText" text="FALSE">
      <formula>NOT(ISERROR(SEARCH("FALSE",AA62)))</formula>
    </cfRule>
  </conditionalFormatting>
  <conditionalFormatting sqref="AD64:AD65">
    <cfRule type="containsText" dxfId="1450" priority="1885" stopIfTrue="1" operator="containsText" text="FALSE">
      <formula>NOT(ISERROR(SEARCH("FALSE",AD64)))</formula>
    </cfRule>
  </conditionalFormatting>
  <conditionalFormatting sqref="AB62:AD63">
    <cfRule type="containsText" dxfId="1449" priority="1884" stopIfTrue="1" operator="containsText" text="FALSE">
      <formula>NOT(ISERROR(SEARCH("FALSE",AB62)))</formula>
    </cfRule>
  </conditionalFormatting>
  <conditionalFormatting sqref="W66:W67 W68:Y68">
    <cfRule type="containsText" dxfId="1448" priority="1883" stopIfTrue="1" operator="containsText" text="FALSE">
      <formula>NOT(ISERROR(SEARCH("FALSE",W66)))</formula>
    </cfRule>
  </conditionalFormatting>
  <conditionalFormatting sqref="Z68">
    <cfRule type="containsText" dxfId="1447" priority="1882" stopIfTrue="1" operator="containsText" text="FALSE">
      <formula>NOT(ISERROR(SEARCH("FALSE",Z68)))</formula>
    </cfRule>
  </conditionalFormatting>
  <conditionalFormatting sqref="X66:Z67">
    <cfRule type="containsText" dxfId="1446" priority="1881" stopIfTrue="1" operator="containsText" text="FALSE">
      <formula>NOT(ISERROR(SEARCH("FALSE",X66)))</formula>
    </cfRule>
  </conditionalFormatting>
  <conditionalFormatting sqref="W62:W63 W64:Y65">
    <cfRule type="containsText" dxfId="1445" priority="1880" stopIfTrue="1" operator="containsText" text="FALSE">
      <formula>NOT(ISERROR(SEARCH("FALSE",W62)))</formula>
    </cfRule>
  </conditionalFormatting>
  <conditionalFormatting sqref="Z64:Z65">
    <cfRule type="containsText" dxfId="1444" priority="1879" stopIfTrue="1" operator="containsText" text="FALSE">
      <formula>NOT(ISERROR(SEARCH("FALSE",Z64)))</formula>
    </cfRule>
  </conditionalFormatting>
  <conditionalFormatting sqref="X62:Z63">
    <cfRule type="containsText" dxfId="1443" priority="1878" stopIfTrue="1" operator="containsText" text="FALSE">
      <formula>NOT(ISERROR(SEARCH("FALSE",X62)))</formula>
    </cfRule>
  </conditionalFormatting>
  <conditionalFormatting sqref="BU62:BX62">
    <cfRule type="containsText" dxfId="1442" priority="1877" stopIfTrue="1" operator="containsText" text="FALSE">
      <formula>NOT(ISERROR(SEARCH("FALSE",BU62)))</formula>
    </cfRule>
  </conditionalFormatting>
  <conditionalFormatting sqref="BU66:BX66">
    <cfRule type="containsText" dxfId="1441" priority="1876" stopIfTrue="1" operator="containsText" text="FALSE">
      <formula>NOT(ISERROR(SEARCH("FALSE",BU66)))</formula>
    </cfRule>
  </conditionalFormatting>
  <conditionalFormatting sqref="BV67:BX67">
    <cfRule type="containsText" dxfId="1440" priority="1875" stopIfTrue="1" operator="containsText" text="FALSE">
      <formula>NOT(ISERROR(SEARCH("FALSE",BV67)))</formula>
    </cfRule>
  </conditionalFormatting>
  <conditionalFormatting sqref="AX246">
    <cfRule type="containsText" dxfId="1439" priority="1873" stopIfTrue="1" operator="containsText" text="FALSE">
      <formula>NOT(ISERROR(SEARCH("FALSE",AX246)))</formula>
    </cfRule>
  </conditionalFormatting>
  <conditionalFormatting sqref="AW246">
    <cfRule type="containsText" dxfId="1438" priority="1872" stopIfTrue="1" operator="containsText" text="FALSE">
      <formula>NOT(ISERROR(SEARCH("FALSE",AW246)))</formula>
    </cfRule>
  </conditionalFormatting>
  <conditionalFormatting sqref="AV246">
    <cfRule type="containsText" dxfId="1437" priority="1871" stopIfTrue="1" operator="containsText" text="FALSE">
      <formula>NOT(ISERROR(SEARCH("FALSE",AV246)))</formula>
    </cfRule>
  </conditionalFormatting>
  <conditionalFormatting sqref="AU246">
    <cfRule type="containsText" dxfId="1436" priority="1870" stopIfTrue="1" operator="containsText" text="FALSE">
      <formula>NOT(ISERROR(SEARCH("FALSE",AU246)))</formula>
    </cfRule>
  </conditionalFormatting>
  <conditionalFormatting sqref="AT246">
    <cfRule type="containsText" dxfId="1435" priority="1869" stopIfTrue="1" operator="containsText" text="FALSE">
      <formula>NOT(ISERROR(SEARCH("FALSE",AT246)))</formula>
    </cfRule>
  </conditionalFormatting>
  <conditionalFormatting sqref="AS246">
    <cfRule type="containsText" dxfId="1434" priority="1868" stopIfTrue="1" operator="containsText" text="FALSE">
      <formula>NOT(ISERROR(SEARCH("FALSE",AS246)))</formula>
    </cfRule>
  </conditionalFormatting>
  <conditionalFormatting sqref="AZ158:AZ159 AZ175:AZ178 AZ1">
    <cfRule type="containsText" dxfId="1433" priority="1867" stopIfTrue="1" operator="containsText" text="FALSE">
      <formula>NOT(ISERROR(SEARCH("FALSE",AZ1)))</formula>
    </cfRule>
  </conditionalFormatting>
  <conditionalFormatting sqref="AZ48:AZ52 AZ82 AZ84 AZ257">
    <cfRule type="containsText" dxfId="1432" priority="1866" stopIfTrue="1" operator="containsText" text="FALSE">
      <formula>NOT(ISERROR(SEARCH("FALSE",AZ48)))</formula>
    </cfRule>
  </conditionalFormatting>
  <conditionalFormatting sqref="AZ97:AZ98">
    <cfRule type="containsText" dxfId="1431" priority="1864" stopIfTrue="1" operator="containsText" text="FALSE">
      <formula>NOT(ISERROR(SEARCH("FALSE",AZ97)))</formula>
    </cfRule>
  </conditionalFormatting>
  <conditionalFormatting sqref="AZ99:AZ101">
    <cfRule type="containsText" dxfId="1430" priority="1860" stopIfTrue="1" operator="containsText" text="FALSE">
      <formula>NOT(ISERROR(SEARCH("FALSE",AZ99)))</formula>
    </cfRule>
  </conditionalFormatting>
  <conditionalFormatting sqref="AZ72">
    <cfRule type="containsText" dxfId="1429" priority="1852" stopIfTrue="1" operator="containsText" text="FALSE">
      <formula>NOT(ISERROR(SEARCH("FALSE",AZ72)))</formula>
    </cfRule>
  </conditionalFormatting>
  <conditionalFormatting sqref="AZ324">
    <cfRule type="containsText" dxfId="1428" priority="1842" stopIfTrue="1" operator="containsText" text="FALSE">
      <formula>NOT(ISERROR(SEARCH("FALSE",AZ324)))</formula>
    </cfRule>
  </conditionalFormatting>
  <conditionalFormatting sqref="AZ329">
    <cfRule type="containsText" dxfId="1427" priority="1841" stopIfTrue="1" operator="containsText" text="FALSE">
      <formula>NOT(ISERROR(SEARCH("FALSE",AZ329)))</formula>
    </cfRule>
  </conditionalFormatting>
  <conditionalFormatting sqref="AZ335">
    <cfRule type="containsText" dxfId="1426" priority="1840" stopIfTrue="1" operator="containsText" text="FALSE">
      <formula>NOT(ISERROR(SEARCH("FALSE",AZ335)))</formula>
    </cfRule>
  </conditionalFormatting>
  <conditionalFormatting sqref="AZ345">
    <cfRule type="containsText" dxfId="1425" priority="1839" stopIfTrue="1" operator="containsText" text="FALSE">
      <formula>NOT(ISERROR(SEARCH("FALSE",AZ345)))</formula>
    </cfRule>
  </conditionalFormatting>
  <conditionalFormatting sqref="AZ56">
    <cfRule type="containsText" dxfId="1424" priority="1838" stopIfTrue="1" operator="containsText" text="FALSE">
      <formula>NOT(ISERROR(SEARCH("FALSE",AZ56)))</formula>
    </cfRule>
  </conditionalFormatting>
  <conditionalFormatting sqref="AZ73 AZ149:AZ150 AZ130 AZ154:AZ155 AZ202 AZ46 AZ164:AZ165 AZ123 AZ181:AZ183 AZ306:AZ313 AZ315:AZ318 AZ320:AZ323 AZ325:AZ328 AZ330:AZ334 AZ336:AZ344 AZ346:AZ353 AZ19:AZ21 AZ2:AZ5 AZ102:AZ109 AZ296:AZ304 AZ34 AZ43:AZ44 AZ59:AZ61 AZ170 AZ66:AZ69 AZ88:AZ89 AZ7:AZ12 AZ36:AZ39 AZ41 AZ54 AZ111:AZ114 AZ117">
    <cfRule type="containsText" dxfId="1423" priority="1865" stopIfTrue="1" operator="containsText" text="FALSE">
      <formula>NOT(ISERROR(SEARCH("FALSE",AZ2)))</formula>
    </cfRule>
  </conditionalFormatting>
  <conditionalFormatting sqref="AZ42">
    <cfRule type="containsText" dxfId="1422" priority="1863" stopIfTrue="1" operator="containsText" text="FALSE">
      <formula>NOT(ISERROR(SEARCH("FALSE",AZ42)))</formula>
    </cfRule>
  </conditionalFormatting>
  <conditionalFormatting sqref="AZ71">
    <cfRule type="containsText" dxfId="1421" priority="1862" stopIfTrue="1" operator="containsText" text="FALSE">
      <formula>NOT(ISERROR(SEARCH("FALSE",AZ71)))</formula>
    </cfRule>
  </conditionalFormatting>
  <conditionalFormatting sqref="AZ181">
    <cfRule type="containsText" dxfId="1420" priority="1861" stopIfTrue="1" operator="containsText" text="FALSE">
      <formula>NOT(ISERROR(SEARCH("FALSE",AZ181)))</formula>
    </cfRule>
  </conditionalFormatting>
  <conditionalFormatting sqref="AZ92">
    <cfRule type="containsText" dxfId="1419" priority="1859" stopIfTrue="1" operator="containsText" text="FALSE">
      <formula>NOT(ISERROR(SEARCH("FALSE",AZ92)))</formula>
    </cfRule>
  </conditionalFormatting>
  <conditionalFormatting sqref="AZ55">
    <cfRule type="containsText" dxfId="1418" priority="1858" stopIfTrue="1" operator="containsText" text="FALSE">
      <formula>NOT(ISERROR(SEARCH("FALSE",AZ55)))</formula>
    </cfRule>
  </conditionalFormatting>
  <conditionalFormatting sqref="AZ124">
    <cfRule type="containsText" dxfId="1417" priority="1857" stopIfTrue="1" operator="containsText" text="FALSE">
      <formula>NOT(ISERROR(SEARCH("FALSE",AZ124)))</formula>
    </cfRule>
  </conditionalFormatting>
  <conditionalFormatting sqref="AZ75">
    <cfRule type="containsText" dxfId="1416" priority="1856" stopIfTrue="1" operator="containsText" text="FALSE">
      <formula>NOT(ISERROR(SEARCH("FALSE",AZ75)))</formula>
    </cfRule>
  </conditionalFormatting>
  <conditionalFormatting sqref="AZ78">
    <cfRule type="containsText" dxfId="1415" priority="1855" stopIfTrue="1" operator="containsText" text="FALSE">
      <formula>NOT(ISERROR(SEARCH("FALSE",AZ78)))</formula>
    </cfRule>
  </conditionalFormatting>
  <conditionalFormatting sqref="AZ70">
    <cfRule type="containsText" dxfId="1414" priority="1853" stopIfTrue="1" operator="containsText" text="FALSE">
      <formula>NOT(ISERROR(SEARCH("FALSE",AZ70)))</formula>
    </cfRule>
  </conditionalFormatting>
  <conditionalFormatting sqref="AZ79">
    <cfRule type="containsText" dxfId="1413" priority="1854" stopIfTrue="1" operator="containsText" text="FALSE">
      <formula>NOT(ISERROR(SEARCH("FALSE",AZ79)))</formula>
    </cfRule>
  </conditionalFormatting>
  <conditionalFormatting sqref="AZ118 AZ120:AZ121">
    <cfRule type="containsText" dxfId="1412" priority="1851" stopIfTrue="1" operator="containsText" text="FALSE">
      <formula>NOT(ISERROR(SEARCH("FALSE",AZ118)))</formula>
    </cfRule>
  </conditionalFormatting>
  <conditionalFormatting sqref="AZ18">
    <cfRule type="containsText" dxfId="1411" priority="1850" stopIfTrue="1" operator="containsText" text="FALSE">
      <formula>NOT(ISERROR(SEARCH("FALSE",AZ18)))</formula>
    </cfRule>
  </conditionalFormatting>
  <conditionalFormatting sqref="AZ115:AZ116">
    <cfRule type="containsText" dxfId="1410" priority="1849" stopIfTrue="1" operator="containsText" text="FALSE">
      <formula>NOT(ISERROR(SEARCH("FALSE",AZ115)))</formula>
    </cfRule>
  </conditionalFormatting>
  <conditionalFormatting sqref="AZ33">
    <cfRule type="containsText" dxfId="1409" priority="1848" stopIfTrue="1" operator="containsText" text="FALSE">
      <formula>NOT(ISERROR(SEARCH("FALSE",AZ33)))</formula>
    </cfRule>
  </conditionalFormatting>
  <conditionalFormatting sqref="AZ148">
    <cfRule type="containsText" dxfId="1408" priority="1847" stopIfTrue="1" operator="containsText" text="FALSE">
      <formula>NOT(ISERROR(SEARCH("FALSE",AZ148)))</formula>
    </cfRule>
  </conditionalFormatting>
  <conditionalFormatting sqref="AZ201">
    <cfRule type="containsText" dxfId="1407" priority="1846" stopIfTrue="1" operator="containsText" text="FALSE">
      <formula>NOT(ISERROR(SEARCH("FALSE",AZ201)))</formula>
    </cfRule>
  </conditionalFormatting>
  <conditionalFormatting sqref="AZ305">
    <cfRule type="containsText" dxfId="1406" priority="1845" stopIfTrue="1" operator="containsText" text="FALSE">
      <formula>NOT(ISERROR(SEARCH("FALSE",AZ305)))</formula>
    </cfRule>
  </conditionalFormatting>
  <conditionalFormatting sqref="AZ314">
    <cfRule type="containsText" dxfId="1405" priority="1844" stopIfTrue="1" operator="containsText" text="FALSE">
      <formula>NOT(ISERROR(SEARCH("FALSE",AZ314)))</formula>
    </cfRule>
  </conditionalFormatting>
  <conditionalFormatting sqref="AZ319">
    <cfRule type="containsText" dxfId="1404" priority="1843" stopIfTrue="1" operator="containsText" text="FALSE">
      <formula>NOT(ISERROR(SEARCH("FALSE",AZ319)))</formula>
    </cfRule>
  </conditionalFormatting>
  <conditionalFormatting sqref="AZ247">
    <cfRule type="containsText" dxfId="1403" priority="1837" stopIfTrue="1" operator="containsText" text="FALSE">
      <formula>NOT(ISERROR(SEARCH("FALSE",AZ247)))</formula>
    </cfRule>
  </conditionalFormatting>
  <conditionalFormatting sqref="AZ290:AZ295">
    <cfRule type="containsText" dxfId="1402" priority="1836" stopIfTrue="1" operator="containsText" text="FALSE">
      <formula>NOT(ISERROR(SEARCH("FALSE",AZ290)))</formula>
    </cfRule>
  </conditionalFormatting>
  <conditionalFormatting sqref="AZ258">
    <cfRule type="containsText" dxfId="1401" priority="1835" stopIfTrue="1" operator="containsText" text="FALSE">
      <formula>NOT(ISERROR(SEARCH("FALSE",AZ258)))</formula>
    </cfRule>
  </conditionalFormatting>
  <conditionalFormatting sqref="AZ213">
    <cfRule type="containsText" dxfId="1400" priority="1834" stopIfTrue="1" operator="containsText" text="FALSE">
      <formula>NOT(ISERROR(SEARCH("FALSE",AZ213)))</formula>
    </cfRule>
  </conditionalFormatting>
  <conditionalFormatting sqref="AZ259">
    <cfRule type="containsText" dxfId="1399" priority="1833" stopIfTrue="1" operator="containsText" text="FALSE">
      <formula>NOT(ISERROR(SEARCH("FALSE",AZ259)))</formula>
    </cfRule>
  </conditionalFormatting>
  <conditionalFormatting sqref="AZ119">
    <cfRule type="containsText" dxfId="1398" priority="1827" stopIfTrue="1" operator="containsText" text="FALSE">
      <formula>NOT(ISERROR(SEARCH("FALSE",AZ119)))</formula>
    </cfRule>
  </conditionalFormatting>
  <conditionalFormatting sqref="AZ47">
    <cfRule type="containsText" dxfId="1397" priority="1832" stopIfTrue="1" operator="containsText" text="FALSE">
      <formula>NOT(ISERROR(SEARCH("FALSE",AZ47)))</formula>
    </cfRule>
  </conditionalFormatting>
  <conditionalFormatting sqref="AZ57">
    <cfRule type="containsText" dxfId="1396" priority="1831" stopIfTrue="1" operator="containsText" text="FALSE">
      <formula>NOT(ISERROR(SEARCH("FALSE",AZ57)))</formula>
    </cfRule>
  </conditionalFormatting>
  <conditionalFormatting sqref="AZ17">
    <cfRule type="containsText" dxfId="1395" priority="1830" stopIfTrue="1" operator="containsText" text="FALSE">
      <formula>NOT(ISERROR(SEARCH("FALSE",AZ17)))</formula>
    </cfRule>
  </conditionalFormatting>
  <conditionalFormatting sqref="AZ86:AZ87">
    <cfRule type="containsText" dxfId="1394" priority="1829" stopIfTrue="1" operator="containsText" text="FALSE">
      <formula>NOT(ISERROR(SEARCH("FALSE",AZ86)))</formula>
    </cfRule>
  </conditionalFormatting>
  <conditionalFormatting sqref="AZ85">
    <cfRule type="containsText" dxfId="1393" priority="1828" stopIfTrue="1" operator="containsText" text="FALSE">
      <formula>NOT(ISERROR(SEARCH("FALSE",AZ85)))</formula>
    </cfRule>
  </conditionalFormatting>
  <conditionalFormatting sqref="AZ244">
    <cfRule type="containsText" dxfId="1392" priority="1826" stopIfTrue="1" operator="containsText" text="FALSE">
      <formula>NOT(ISERROR(SEARCH("FALSE",AZ244)))</formula>
    </cfRule>
  </conditionalFormatting>
  <conditionalFormatting sqref="AZ81">
    <cfRule type="containsText" dxfId="1391" priority="1825" stopIfTrue="1" operator="containsText" text="FALSE">
      <formula>NOT(ISERROR(SEARCH("FALSE",AZ81)))</formula>
    </cfRule>
  </conditionalFormatting>
  <conditionalFormatting sqref="AZ125">
    <cfRule type="containsText" dxfId="1390" priority="1824" stopIfTrue="1" operator="containsText" text="FALSE">
      <formula>NOT(ISERROR(SEARCH("FALSE",AZ125)))</formula>
    </cfRule>
  </conditionalFormatting>
  <conditionalFormatting sqref="AZ126">
    <cfRule type="containsText" dxfId="1389" priority="1823" stopIfTrue="1" operator="containsText" text="FALSE">
      <formula>NOT(ISERROR(SEARCH("FALSE",AZ126)))</formula>
    </cfRule>
  </conditionalFormatting>
  <conditionalFormatting sqref="AZ131:AZ132 AZ137">
    <cfRule type="containsText" dxfId="1388" priority="1822" stopIfTrue="1" operator="containsText" text="FALSE">
      <formula>NOT(ISERROR(SEARCH("FALSE",AZ131)))</formula>
    </cfRule>
  </conditionalFormatting>
  <conditionalFormatting sqref="AZ141">
    <cfRule type="containsText" dxfId="1387" priority="1821" stopIfTrue="1" operator="containsText" text="FALSE">
      <formula>NOT(ISERROR(SEARCH("FALSE",AZ141)))</formula>
    </cfRule>
  </conditionalFormatting>
  <conditionalFormatting sqref="AZ133">
    <cfRule type="containsText" dxfId="1386" priority="1820" stopIfTrue="1" operator="containsText" text="FALSE">
      <formula>NOT(ISERROR(SEARCH("FALSE",AZ133)))</formula>
    </cfRule>
  </conditionalFormatting>
  <conditionalFormatting sqref="AZ144">
    <cfRule type="containsText" dxfId="1385" priority="1819" stopIfTrue="1" operator="containsText" text="FALSE">
      <formula>NOT(ISERROR(SEARCH("FALSE",AZ144)))</formula>
    </cfRule>
  </conditionalFormatting>
  <conditionalFormatting sqref="AZ135">
    <cfRule type="containsText" dxfId="1384" priority="1818" stopIfTrue="1" operator="containsText" text="FALSE">
      <formula>NOT(ISERROR(SEARCH("FALSE",AZ135)))</formula>
    </cfRule>
  </conditionalFormatting>
  <conditionalFormatting sqref="AZ122">
    <cfRule type="containsText" dxfId="1383" priority="1817" stopIfTrue="1" operator="containsText" text="FALSE">
      <formula>NOT(ISERROR(SEARCH("FALSE",AZ122)))</formula>
    </cfRule>
  </conditionalFormatting>
  <conditionalFormatting sqref="AZ151">
    <cfRule type="containsText" dxfId="1382" priority="1816" stopIfTrue="1" operator="containsText" text="FALSE">
      <formula>NOT(ISERROR(SEARCH("FALSE",AZ151)))</formula>
    </cfRule>
  </conditionalFormatting>
  <conditionalFormatting sqref="AZ152">
    <cfRule type="containsText" dxfId="1381" priority="1815" stopIfTrue="1" operator="containsText" text="FALSE">
      <formula>NOT(ISERROR(SEARCH("FALSE",AZ152)))</formula>
    </cfRule>
  </conditionalFormatting>
  <conditionalFormatting sqref="AZ153">
    <cfRule type="containsText" dxfId="1380" priority="1814" stopIfTrue="1" operator="containsText" text="FALSE">
      <formula>NOT(ISERROR(SEARCH("FALSE",AZ153)))</formula>
    </cfRule>
  </conditionalFormatting>
  <conditionalFormatting sqref="AZ156:AZ157">
    <cfRule type="containsText" dxfId="1379" priority="1813" stopIfTrue="1" operator="containsText" text="FALSE">
      <formula>NOT(ISERROR(SEARCH("FALSE",AZ156)))</formula>
    </cfRule>
  </conditionalFormatting>
  <conditionalFormatting sqref="AZ160">
    <cfRule type="containsText" dxfId="1378" priority="1812" stopIfTrue="1" operator="containsText" text="FALSE">
      <formula>NOT(ISERROR(SEARCH("FALSE",AZ160)))</formula>
    </cfRule>
  </conditionalFormatting>
  <conditionalFormatting sqref="AZ169">
    <cfRule type="containsText" dxfId="1377" priority="1811" stopIfTrue="1" operator="containsText" text="FALSE">
      <formula>NOT(ISERROR(SEARCH("FALSE",AZ169)))</formula>
    </cfRule>
  </conditionalFormatting>
  <conditionalFormatting sqref="AZ166">
    <cfRule type="containsText" dxfId="1376" priority="1810" stopIfTrue="1" operator="containsText" text="FALSE">
      <formula>NOT(ISERROR(SEARCH("FALSE",AZ166)))</formula>
    </cfRule>
  </conditionalFormatting>
  <conditionalFormatting sqref="AZ167">
    <cfRule type="containsText" dxfId="1375" priority="1809" stopIfTrue="1" operator="containsText" text="FALSE">
      <formula>NOT(ISERROR(SEARCH("FALSE",AZ167)))</formula>
    </cfRule>
  </conditionalFormatting>
  <conditionalFormatting sqref="AZ168">
    <cfRule type="containsText" dxfId="1374" priority="1808" stopIfTrue="1" operator="containsText" text="FALSE">
      <formula>NOT(ISERROR(SEARCH("FALSE",AZ168)))</formula>
    </cfRule>
  </conditionalFormatting>
  <conditionalFormatting sqref="AZ171:AZ174">
    <cfRule type="containsText" dxfId="1373" priority="1807" stopIfTrue="1" operator="containsText" text="FALSE">
      <formula>NOT(ISERROR(SEARCH("FALSE",AZ171)))</formula>
    </cfRule>
  </conditionalFormatting>
  <conditionalFormatting sqref="AZ35">
    <cfRule type="containsText" dxfId="1372" priority="1806" stopIfTrue="1" operator="containsText" text="FALSE">
      <formula>NOT(ISERROR(SEARCH("FALSE",AZ35)))</formula>
    </cfRule>
  </conditionalFormatting>
  <conditionalFormatting sqref="AZ62:AZ65">
    <cfRule type="containsText" dxfId="1371" priority="1805" stopIfTrue="1" operator="containsText" text="FALSE">
      <formula>NOT(ISERROR(SEARCH("FALSE",AZ62)))</formula>
    </cfRule>
  </conditionalFormatting>
  <conditionalFormatting sqref="AZ6">
    <cfRule type="containsText" dxfId="1370" priority="1804" stopIfTrue="1" operator="containsText" text="FALSE">
      <formula>NOT(ISERROR(SEARCH("FALSE",AZ6)))</formula>
    </cfRule>
  </conditionalFormatting>
  <conditionalFormatting sqref="AZ14">
    <cfRule type="containsText" dxfId="1369" priority="1803" stopIfTrue="1" operator="containsText" text="FALSE">
      <formula>NOT(ISERROR(SEARCH("FALSE",AZ14)))</formula>
    </cfRule>
  </conditionalFormatting>
  <conditionalFormatting sqref="AZ13 BC13:BN13">
    <cfRule type="containsText" dxfId="1368" priority="1802" stopIfTrue="1" operator="containsText" text="FALSE">
      <formula>NOT(ISERROR(SEARCH("FALSE",AZ13)))</formula>
    </cfRule>
  </conditionalFormatting>
  <conditionalFormatting sqref="AZ16">
    <cfRule type="containsText" dxfId="1367" priority="1801" stopIfTrue="1" operator="containsText" text="FALSE">
      <formula>NOT(ISERROR(SEARCH("FALSE",AZ16)))</formula>
    </cfRule>
  </conditionalFormatting>
  <conditionalFormatting sqref="AZ23:AZ24">
    <cfRule type="containsText" dxfId="1366" priority="1798" stopIfTrue="1" operator="containsText" text="FALSE">
      <formula>NOT(ISERROR(SEARCH("FALSE",AZ23)))</formula>
    </cfRule>
  </conditionalFormatting>
  <conditionalFormatting sqref="AZ32 AZ25:AZ28">
    <cfRule type="containsText" dxfId="1365" priority="1799" stopIfTrue="1" operator="containsText" text="FALSE">
      <formula>NOT(ISERROR(SEARCH("FALSE",AZ25)))</formula>
    </cfRule>
  </conditionalFormatting>
  <conditionalFormatting sqref="AZ30">
    <cfRule type="containsText" dxfId="1364" priority="1797" stopIfTrue="1" operator="containsText" text="FALSE">
      <formula>NOT(ISERROR(SEARCH("FALSE",AZ30)))</formula>
    </cfRule>
  </conditionalFormatting>
  <conditionalFormatting sqref="AZ31:BA31">
    <cfRule type="containsText" dxfId="1363" priority="1796" stopIfTrue="1" operator="containsText" text="FALSE">
      <formula>NOT(ISERROR(SEARCH("FALSE",AZ31)))</formula>
    </cfRule>
  </conditionalFormatting>
  <conditionalFormatting sqref="AZ245">
    <cfRule type="containsText" dxfId="1362" priority="1795" stopIfTrue="1" operator="containsText" text="FALSE">
      <formula>NOT(ISERROR(SEARCH("FALSE",AZ245)))</formula>
    </cfRule>
  </conditionalFormatting>
  <conditionalFormatting sqref="AZ221:AZ223 AZ225:AZ239 AZ241 AZ243">
    <cfRule type="containsText" dxfId="1361" priority="1794" stopIfTrue="1" operator="containsText" text="FALSE">
      <formula>NOT(ISERROR(SEARCH("FALSE",AZ221)))</formula>
    </cfRule>
  </conditionalFormatting>
  <conditionalFormatting sqref="AZ215 AZ218:AZ219">
    <cfRule type="containsText" dxfId="1360" priority="1793" stopIfTrue="1" operator="containsText" text="FALSE">
      <formula>NOT(ISERROR(SEARCH("FALSE",AZ215)))</formula>
    </cfRule>
  </conditionalFormatting>
  <conditionalFormatting sqref="AZ216">
    <cfRule type="containsText" dxfId="1359" priority="1792" stopIfTrue="1" operator="containsText" text="FALSE">
      <formula>NOT(ISERROR(SEARCH("FALSE",AZ216)))</formula>
    </cfRule>
  </conditionalFormatting>
  <conditionalFormatting sqref="AZ224">
    <cfRule type="containsText" dxfId="1358" priority="1791" stopIfTrue="1" operator="containsText" text="FALSE">
      <formula>NOT(ISERROR(SEARCH("FALSE",AZ224)))</formula>
    </cfRule>
  </conditionalFormatting>
  <conditionalFormatting sqref="AZ217">
    <cfRule type="containsText" dxfId="1357" priority="1790" stopIfTrue="1" operator="containsText" text="FALSE">
      <formula>NOT(ISERROR(SEARCH("FALSE",AZ217)))</formula>
    </cfRule>
  </conditionalFormatting>
  <conditionalFormatting sqref="AZ256">
    <cfRule type="containsText" dxfId="1356" priority="1789" stopIfTrue="1" operator="containsText" text="FALSE">
      <formula>NOT(ISERROR(SEARCH("FALSE",AZ256)))</formula>
    </cfRule>
  </conditionalFormatting>
  <conditionalFormatting sqref="AZ248">
    <cfRule type="containsText" dxfId="1355" priority="1788" stopIfTrue="1" operator="containsText" text="FALSE">
      <formula>NOT(ISERROR(SEARCH("FALSE",AZ248)))</formula>
    </cfRule>
  </conditionalFormatting>
  <conditionalFormatting sqref="AZ249:AZ252">
    <cfRule type="containsText" dxfId="1354" priority="1787" stopIfTrue="1" operator="containsText" text="FALSE">
      <formula>NOT(ISERROR(SEARCH("FALSE",AZ249)))</formula>
    </cfRule>
  </conditionalFormatting>
  <conditionalFormatting sqref="AZ260:AZ264">
    <cfRule type="containsText" dxfId="1353" priority="1786" stopIfTrue="1" operator="containsText" text="FALSE">
      <formula>NOT(ISERROR(SEARCH("FALSE",AZ260)))</formula>
    </cfRule>
  </conditionalFormatting>
  <conditionalFormatting sqref="AZ253">
    <cfRule type="containsText" dxfId="1352" priority="1785" stopIfTrue="1" operator="containsText" text="FALSE">
      <formula>NOT(ISERROR(SEARCH("FALSE",AZ253)))</formula>
    </cfRule>
  </conditionalFormatting>
  <conditionalFormatting sqref="AZ254">
    <cfRule type="containsText" dxfId="1351" priority="1784" stopIfTrue="1" operator="containsText" text="FALSE">
      <formula>NOT(ISERROR(SEARCH("FALSE",AZ254)))</formula>
    </cfRule>
  </conditionalFormatting>
  <conditionalFormatting sqref="AZ255">
    <cfRule type="containsText" dxfId="1350" priority="1783" stopIfTrue="1" operator="containsText" text="FALSE">
      <formula>NOT(ISERROR(SEARCH("FALSE",AZ255)))</formula>
    </cfRule>
  </conditionalFormatting>
  <conditionalFormatting sqref="AZ266">
    <cfRule type="containsText" dxfId="1349" priority="1782" stopIfTrue="1" operator="containsText" text="FALSE">
      <formula>NOT(ISERROR(SEARCH("FALSE",AZ266)))</formula>
    </cfRule>
  </conditionalFormatting>
  <conditionalFormatting sqref="AZ288:AZ289 AZ275:AZ286">
    <cfRule type="containsText" dxfId="1348" priority="1781" stopIfTrue="1" operator="containsText" text="FALSE">
      <formula>NOT(ISERROR(SEARCH("FALSE",AZ275)))</formula>
    </cfRule>
  </conditionalFormatting>
  <conditionalFormatting sqref="AZ267:AZ274">
    <cfRule type="containsText" dxfId="1347" priority="1780" stopIfTrue="1" operator="containsText" text="FALSE">
      <formula>NOT(ISERROR(SEARCH("FALSE",AZ267)))</formula>
    </cfRule>
  </conditionalFormatting>
  <conditionalFormatting sqref="AZ287">
    <cfRule type="containsText" dxfId="1346" priority="1779" stopIfTrue="1" operator="containsText" text="FALSE">
      <formula>NOT(ISERROR(SEARCH("FALSE",AZ287)))</formula>
    </cfRule>
  </conditionalFormatting>
  <conditionalFormatting sqref="AZ138">
    <cfRule type="containsText" dxfId="1345" priority="1778" stopIfTrue="1" operator="containsText" text="FALSE">
      <formula>NOT(ISERROR(SEARCH("FALSE",AZ138)))</formula>
    </cfRule>
  </conditionalFormatting>
  <conditionalFormatting sqref="AZ196:AZ197 AZ194 AZ185:AZ188 AZ191:AZ192 AZ199:AZ200">
    <cfRule type="containsText" dxfId="1344" priority="1777" stopIfTrue="1" operator="containsText" text="FALSE">
      <formula>NOT(ISERROR(SEARCH("FALSE",AZ185)))</formula>
    </cfRule>
  </conditionalFormatting>
  <conditionalFormatting sqref="AZ184">
    <cfRule type="containsText" dxfId="1343" priority="1776" stopIfTrue="1" operator="containsText" text="FALSE">
      <formula>NOT(ISERROR(SEARCH("FALSE",AZ184)))</formula>
    </cfRule>
  </conditionalFormatting>
  <conditionalFormatting sqref="AZ198">
    <cfRule type="containsText" dxfId="1342" priority="1775" stopIfTrue="1" operator="containsText" text="FALSE">
      <formula>NOT(ISERROR(SEARCH("FALSE",AZ198)))</formula>
    </cfRule>
  </conditionalFormatting>
  <conditionalFormatting sqref="AZ189:AZ190">
    <cfRule type="containsText" dxfId="1341" priority="1774" stopIfTrue="1" operator="containsText" text="FALSE">
      <formula>NOT(ISERROR(SEARCH("FALSE",AZ189)))</formula>
    </cfRule>
  </conditionalFormatting>
  <conditionalFormatting sqref="AZ195">
    <cfRule type="containsText" dxfId="1340" priority="1773" stopIfTrue="1" operator="containsText" text="FALSE">
      <formula>NOT(ISERROR(SEARCH("FALSE",AZ195)))</formula>
    </cfRule>
  </conditionalFormatting>
  <conditionalFormatting sqref="AZ204:AZ205">
    <cfRule type="containsText" dxfId="1339" priority="1770" stopIfTrue="1" operator="containsText" text="FALSE">
      <formula>NOT(ISERROR(SEARCH("FALSE",AZ204)))</formula>
    </cfRule>
  </conditionalFormatting>
  <conditionalFormatting sqref="AZ206:AZ209">
    <cfRule type="containsText" dxfId="1338" priority="1772" stopIfTrue="1" operator="containsText" text="FALSE">
      <formula>NOT(ISERROR(SEARCH("FALSE",AZ206)))</formula>
    </cfRule>
  </conditionalFormatting>
  <conditionalFormatting sqref="AZ211:AZ212">
    <cfRule type="containsText" dxfId="1337" priority="1771" stopIfTrue="1" operator="containsText" text="FALSE">
      <formula>NOT(ISERROR(SEARCH("FALSE",AZ211)))</formula>
    </cfRule>
  </conditionalFormatting>
  <conditionalFormatting sqref="AZ161">
    <cfRule type="containsText" dxfId="1336" priority="1769" stopIfTrue="1" operator="containsText" text="FALSE">
      <formula>NOT(ISERROR(SEARCH("FALSE",AZ161)))</formula>
    </cfRule>
  </conditionalFormatting>
  <conditionalFormatting sqref="AZ76">
    <cfRule type="containsText" dxfId="1335" priority="1768" stopIfTrue="1" operator="containsText" text="FALSE">
      <formula>NOT(ISERROR(SEARCH("FALSE",AZ76)))</formula>
    </cfRule>
  </conditionalFormatting>
  <conditionalFormatting sqref="AZ246">
    <cfRule type="containsText" dxfId="1334" priority="1767" stopIfTrue="1" operator="containsText" text="FALSE">
      <formula>NOT(ISERROR(SEARCH("FALSE",AZ246)))</formula>
    </cfRule>
  </conditionalFormatting>
  <conditionalFormatting sqref="AZ220">
    <cfRule type="containsText" dxfId="1333" priority="1766" stopIfTrue="1" operator="containsText" text="FALSE">
      <formula>NOT(ISERROR(SEARCH("FALSE",AZ220)))</formula>
    </cfRule>
  </conditionalFormatting>
  <conditionalFormatting sqref="AZ240">
    <cfRule type="containsText" dxfId="1332" priority="1765" stopIfTrue="1" operator="containsText" text="FALSE">
      <formula>NOT(ISERROR(SEARCH("FALSE",AZ240)))</formula>
    </cfRule>
  </conditionalFormatting>
  <conditionalFormatting sqref="AZ242">
    <cfRule type="containsText" dxfId="1331" priority="1764" stopIfTrue="1" operator="containsText" text="FALSE">
      <formula>NOT(ISERROR(SEARCH("FALSE",AZ242)))</formula>
    </cfRule>
  </conditionalFormatting>
  <conditionalFormatting sqref="W74">
    <cfRule type="containsText" dxfId="1330" priority="1763" stopIfTrue="1" operator="containsText" text="FALSE">
      <formula>NOT(ISERROR(SEARCH("FALSE",W74)))</formula>
    </cfRule>
  </conditionalFormatting>
  <conditionalFormatting sqref="X74:Z74">
    <cfRule type="containsText" dxfId="1329" priority="1762" stopIfTrue="1" operator="containsText" text="FALSE">
      <formula>NOT(ISERROR(SEARCH("FALSE",X74)))</formula>
    </cfRule>
  </conditionalFormatting>
  <conditionalFormatting sqref="W77">
    <cfRule type="containsText" dxfId="1328" priority="1761" stopIfTrue="1" operator="containsText" text="FALSE">
      <formula>NOT(ISERROR(SEARCH("FALSE",W77)))</formula>
    </cfRule>
  </conditionalFormatting>
  <conditionalFormatting sqref="X77:Z77">
    <cfRule type="containsText" dxfId="1327" priority="1760" stopIfTrue="1" operator="containsText" text="FALSE">
      <formula>NOT(ISERROR(SEARCH("FALSE",X77)))</formula>
    </cfRule>
  </conditionalFormatting>
  <conditionalFormatting sqref="AA77">
    <cfRule type="containsText" dxfId="1326" priority="1759" stopIfTrue="1" operator="containsText" text="FALSE">
      <formula>NOT(ISERROR(SEARCH("FALSE",AA77)))</formula>
    </cfRule>
  </conditionalFormatting>
  <conditionalFormatting sqref="AB77:AD77">
    <cfRule type="containsText" dxfId="1325" priority="1758" stopIfTrue="1" operator="containsText" text="FALSE">
      <formula>NOT(ISERROR(SEARCH("FALSE",AB77)))</formula>
    </cfRule>
  </conditionalFormatting>
  <conditionalFormatting sqref="AE77">
    <cfRule type="containsText" dxfId="1324" priority="1757" stopIfTrue="1" operator="containsText" text="FALSE">
      <formula>NOT(ISERROR(SEARCH("FALSE",AE77)))</formula>
    </cfRule>
  </conditionalFormatting>
  <conditionalFormatting sqref="AF77:AH77">
    <cfRule type="containsText" dxfId="1323" priority="1756" stopIfTrue="1" operator="containsText" text="FALSE">
      <formula>NOT(ISERROR(SEARCH("FALSE",AF77)))</formula>
    </cfRule>
  </conditionalFormatting>
  <conditionalFormatting sqref="AE74">
    <cfRule type="containsText" dxfId="1322" priority="1755" stopIfTrue="1" operator="containsText" text="FALSE">
      <formula>NOT(ISERROR(SEARCH("FALSE",AE74)))</formula>
    </cfRule>
  </conditionalFormatting>
  <conditionalFormatting sqref="AF74:AH74">
    <cfRule type="containsText" dxfId="1321" priority="1754" stopIfTrue="1" operator="containsText" text="FALSE">
      <formula>NOT(ISERROR(SEARCH("FALSE",AF74)))</formula>
    </cfRule>
  </conditionalFormatting>
  <conditionalFormatting sqref="AA74">
    <cfRule type="containsText" dxfId="1320" priority="1753" stopIfTrue="1" operator="containsText" text="FALSE">
      <formula>NOT(ISERROR(SEARCH("FALSE",AA74)))</formula>
    </cfRule>
  </conditionalFormatting>
  <conditionalFormatting sqref="AB74:AD74">
    <cfRule type="containsText" dxfId="1319" priority="1752" stopIfTrue="1" operator="containsText" text="FALSE">
      <formula>NOT(ISERROR(SEARCH("FALSE",AB74)))</formula>
    </cfRule>
  </conditionalFormatting>
  <conditionalFormatting sqref="AI74">
    <cfRule type="containsText" dxfId="1318" priority="1751" stopIfTrue="1" operator="containsText" text="FALSE">
      <formula>NOT(ISERROR(SEARCH("FALSE",AI74)))</formula>
    </cfRule>
  </conditionalFormatting>
  <conditionalFormatting sqref="AJ74:AL74">
    <cfRule type="containsText" dxfId="1317" priority="1750" stopIfTrue="1" operator="containsText" text="FALSE">
      <formula>NOT(ISERROR(SEARCH("FALSE",AJ74)))</formula>
    </cfRule>
  </conditionalFormatting>
  <conditionalFormatting sqref="AI77">
    <cfRule type="containsText" dxfId="1316" priority="1749" stopIfTrue="1" operator="containsText" text="FALSE">
      <formula>NOT(ISERROR(SEARCH("FALSE",AI77)))</formula>
    </cfRule>
  </conditionalFormatting>
  <conditionalFormatting sqref="AJ77:AL77">
    <cfRule type="containsText" dxfId="1315" priority="1748" stopIfTrue="1" operator="containsText" text="FALSE">
      <formula>NOT(ISERROR(SEARCH("FALSE",AJ77)))</formula>
    </cfRule>
  </conditionalFormatting>
  <conditionalFormatting sqref="AM74">
    <cfRule type="containsText" dxfId="1314" priority="1747" stopIfTrue="1" operator="containsText" text="FALSE">
      <formula>NOT(ISERROR(SEARCH("FALSE",AM74)))</formula>
    </cfRule>
  </conditionalFormatting>
  <conditionalFormatting sqref="AN74:AP74">
    <cfRule type="containsText" dxfId="1313" priority="1746" stopIfTrue="1" operator="containsText" text="FALSE">
      <formula>NOT(ISERROR(SEARCH("FALSE",AN74)))</formula>
    </cfRule>
  </conditionalFormatting>
  <conditionalFormatting sqref="AM77">
    <cfRule type="containsText" dxfId="1312" priority="1745" stopIfTrue="1" operator="containsText" text="FALSE">
      <formula>NOT(ISERROR(SEARCH("FALSE",AM77)))</formula>
    </cfRule>
  </conditionalFormatting>
  <conditionalFormatting sqref="AN77:AP77">
    <cfRule type="containsText" dxfId="1311" priority="1744" stopIfTrue="1" operator="containsText" text="FALSE">
      <formula>NOT(ISERROR(SEARCH("FALSE",AN77)))</formula>
    </cfRule>
  </conditionalFormatting>
  <conditionalFormatting sqref="AM80">
    <cfRule type="containsText" dxfId="1310" priority="1743" stopIfTrue="1" operator="containsText" text="FALSE">
      <formula>NOT(ISERROR(SEARCH("FALSE",AM80)))</formula>
    </cfRule>
  </conditionalFormatting>
  <conditionalFormatting sqref="AN80:AP80">
    <cfRule type="containsText" dxfId="1309" priority="1742" stopIfTrue="1" operator="containsText" text="FALSE">
      <formula>NOT(ISERROR(SEARCH("FALSE",AN80)))</formula>
    </cfRule>
  </conditionalFormatting>
  <conditionalFormatting sqref="AQ74">
    <cfRule type="containsText" dxfId="1308" priority="1741" stopIfTrue="1" operator="containsText" text="FALSE">
      <formula>NOT(ISERROR(SEARCH("FALSE",AQ74)))</formula>
    </cfRule>
  </conditionalFormatting>
  <conditionalFormatting sqref="AR74:AT74">
    <cfRule type="containsText" dxfId="1307" priority="1740" stopIfTrue="1" operator="containsText" text="FALSE">
      <formula>NOT(ISERROR(SEARCH("FALSE",AR74)))</formula>
    </cfRule>
  </conditionalFormatting>
  <conditionalFormatting sqref="AQ77">
    <cfRule type="containsText" dxfId="1306" priority="1739" stopIfTrue="1" operator="containsText" text="FALSE">
      <formula>NOT(ISERROR(SEARCH("FALSE",AQ77)))</formula>
    </cfRule>
  </conditionalFormatting>
  <conditionalFormatting sqref="AR77:AT77">
    <cfRule type="containsText" dxfId="1305" priority="1738" stopIfTrue="1" operator="containsText" text="FALSE">
      <formula>NOT(ISERROR(SEARCH("FALSE",AR77)))</formula>
    </cfRule>
  </conditionalFormatting>
  <conditionalFormatting sqref="AQ80">
    <cfRule type="containsText" dxfId="1304" priority="1737" stopIfTrue="1" operator="containsText" text="FALSE">
      <formula>NOT(ISERROR(SEARCH("FALSE",AQ80)))</formula>
    </cfRule>
  </conditionalFormatting>
  <conditionalFormatting sqref="AR80:AT80">
    <cfRule type="containsText" dxfId="1303" priority="1736" stopIfTrue="1" operator="containsText" text="FALSE">
      <formula>NOT(ISERROR(SEARCH("FALSE",AR80)))</formula>
    </cfRule>
  </conditionalFormatting>
  <conditionalFormatting sqref="AU74">
    <cfRule type="containsText" dxfId="1302" priority="1735" stopIfTrue="1" operator="containsText" text="FALSE">
      <formula>NOT(ISERROR(SEARCH("FALSE",AU74)))</formula>
    </cfRule>
  </conditionalFormatting>
  <conditionalFormatting sqref="AV74:AX74">
    <cfRule type="containsText" dxfId="1301" priority="1734" stopIfTrue="1" operator="containsText" text="FALSE">
      <formula>NOT(ISERROR(SEARCH("FALSE",AV74)))</formula>
    </cfRule>
  </conditionalFormatting>
  <conditionalFormatting sqref="AY74">
    <cfRule type="containsText" dxfId="1300" priority="1733" stopIfTrue="1" operator="containsText" text="FALSE">
      <formula>NOT(ISERROR(SEARCH("FALSE",AY74)))</formula>
    </cfRule>
  </conditionalFormatting>
  <conditionalFormatting sqref="AZ74">
    <cfRule type="containsText" dxfId="1299" priority="1732" stopIfTrue="1" operator="containsText" text="FALSE">
      <formula>NOT(ISERROR(SEARCH("FALSE",AZ74)))</formula>
    </cfRule>
  </conditionalFormatting>
  <conditionalFormatting sqref="AU77">
    <cfRule type="containsText" dxfId="1298" priority="1731" stopIfTrue="1" operator="containsText" text="FALSE">
      <formula>NOT(ISERROR(SEARCH("FALSE",AU77)))</formula>
    </cfRule>
  </conditionalFormatting>
  <conditionalFormatting sqref="AV77:AX77">
    <cfRule type="containsText" dxfId="1297" priority="1730" stopIfTrue="1" operator="containsText" text="FALSE">
      <formula>NOT(ISERROR(SEARCH("FALSE",AV77)))</formula>
    </cfRule>
  </conditionalFormatting>
  <conditionalFormatting sqref="AU80">
    <cfRule type="containsText" dxfId="1296" priority="1729" stopIfTrue="1" operator="containsText" text="FALSE">
      <formula>NOT(ISERROR(SEARCH("FALSE",AU80)))</formula>
    </cfRule>
  </conditionalFormatting>
  <conditionalFormatting sqref="AV80:AX80">
    <cfRule type="containsText" dxfId="1295" priority="1728" stopIfTrue="1" operator="containsText" text="FALSE">
      <formula>NOT(ISERROR(SEARCH("FALSE",AV80)))</formula>
    </cfRule>
  </conditionalFormatting>
  <conditionalFormatting sqref="AY80">
    <cfRule type="containsText" dxfId="1294" priority="1727" stopIfTrue="1" operator="containsText" text="FALSE">
      <formula>NOT(ISERROR(SEARCH("FALSE",AY80)))</formula>
    </cfRule>
  </conditionalFormatting>
  <conditionalFormatting sqref="AZ80">
    <cfRule type="containsText" dxfId="1293" priority="1726" stopIfTrue="1" operator="containsText" text="FALSE">
      <formula>NOT(ISERROR(SEARCH("FALSE",AZ80)))</formula>
    </cfRule>
  </conditionalFormatting>
  <conditionalFormatting sqref="AY77">
    <cfRule type="containsText" dxfId="1292" priority="1725" stopIfTrue="1" operator="containsText" text="FALSE">
      <formula>NOT(ISERROR(SEARCH("FALSE",AY77)))</formula>
    </cfRule>
  </conditionalFormatting>
  <conditionalFormatting sqref="AZ77">
    <cfRule type="containsText" dxfId="1291" priority="1724" stopIfTrue="1" operator="containsText" text="FALSE">
      <formula>NOT(ISERROR(SEARCH("FALSE",AZ77)))</formula>
    </cfRule>
  </conditionalFormatting>
  <conditionalFormatting sqref="BU74:CB74">
    <cfRule type="containsText" dxfId="1290" priority="1723" stopIfTrue="1" operator="containsText" text="FALSE">
      <formula>NOT(ISERROR(SEARCH("FALSE",BU74)))</formula>
    </cfRule>
  </conditionalFormatting>
  <conditionalFormatting sqref="BU77:CB77">
    <cfRule type="containsText" dxfId="1289" priority="1722" stopIfTrue="1" operator="containsText" text="FALSE">
      <formula>NOT(ISERROR(SEARCH("FALSE",BU77)))</formula>
    </cfRule>
  </conditionalFormatting>
  <conditionalFormatting sqref="BY80:CB80">
    <cfRule type="containsText" dxfId="1288" priority="1721" stopIfTrue="1" operator="containsText" text="FALSE">
      <formula>NOT(ISERROR(SEARCH("FALSE",BY80)))</formula>
    </cfRule>
  </conditionalFormatting>
  <conditionalFormatting sqref="BE217:BF217">
    <cfRule type="containsText" dxfId="1287" priority="1648" stopIfTrue="1" operator="containsText" text="FALSE">
      <formula>NOT(ISERROR(SEARCH("FALSE",BE217)))</formula>
    </cfRule>
  </conditionalFormatting>
  <conditionalFormatting sqref="BE220:BF220">
    <cfRule type="containsText" dxfId="1286" priority="1647" stopIfTrue="1" operator="containsText" text="FALSE">
      <formula>NOT(ISERROR(SEARCH("FALSE",BE220)))</formula>
    </cfRule>
  </conditionalFormatting>
  <conditionalFormatting sqref="BE225:BF225">
    <cfRule type="containsText" dxfId="1285" priority="1646" stopIfTrue="1" operator="containsText" text="FALSE">
      <formula>NOT(ISERROR(SEARCH("FALSE",BE225)))</formula>
    </cfRule>
  </conditionalFormatting>
  <conditionalFormatting sqref="BE228:BF228">
    <cfRule type="containsText" dxfId="1284" priority="1645" stopIfTrue="1" operator="containsText" text="FALSE">
      <formula>NOT(ISERROR(SEARCH("FALSE",BE228)))</formula>
    </cfRule>
  </conditionalFormatting>
  <conditionalFormatting sqref="BE235:BF235">
    <cfRule type="containsText" dxfId="1283" priority="1643" stopIfTrue="1" operator="containsText" text="FALSE">
      <formula>NOT(ISERROR(SEARCH("FALSE",BE235)))</formula>
    </cfRule>
  </conditionalFormatting>
  <conditionalFormatting sqref="BE57:BF57">
    <cfRule type="containsText" dxfId="1282" priority="1640" stopIfTrue="1" operator="containsText" text="FALSE">
      <formula>NOT(ISERROR(SEARCH("FALSE",BE57)))</formula>
    </cfRule>
  </conditionalFormatting>
  <conditionalFormatting sqref="BE248:BF248">
    <cfRule type="containsText" dxfId="1281" priority="1639" stopIfTrue="1" operator="containsText" text="FALSE">
      <formula>NOT(ISERROR(SEARCH("FALSE",BE248)))</formula>
    </cfRule>
  </conditionalFormatting>
  <conditionalFormatting sqref="BE253:BF253">
    <cfRule type="containsText" dxfId="1280" priority="1638" stopIfTrue="1" operator="containsText" text="FALSE">
      <formula>NOT(ISERROR(SEARCH("FALSE",BE253)))</formula>
    </cfRule>
  </conditionalFormatting>
  <conditionalFormatting sqref="BG74">
    <cfRule type="containsText" dxfId="1279" priority="1035" stopIfTrue="1" operator="containsText" text="FALSE">
      <formula>NOT(ISERROR(SEARCH("FALSE",BG74)))</formula>
    </cfRule>
  </conditionalFormatting>
  <conditionalFormatting sqref="BH74:BJ74">
    <cfRule type="containsText" dxfId="1278" priority="1034" stopIfTrue="1" operator="containsText" text="FALSE">
      <formula>NOT(ISERROR(SEARCH("FALSE",BH74)))</formula>
    </cfRule>
  </conditionalFormatting>
  <conditionalFormatting sqref="BG80">
    <cfRule type="containsText" dxfId="1277" priority="1033" stopIfTrue="1" operator="containsText" text="FALSE">
      <formula>NOT(ISERROR(SEARCH("FALSE",BG80)))</formula>
    </cfRule>
  </conditionalFormatting>
  <conditionalFormatting sqref="BD80:BF80">
    <cfRule type="containsText" dxfId="1276" priority="1369" stopIfTrue="1" operator="containsText" text="FALSE">
      <formula>NOT(ISERROR(SEARCH("FALSE",BD80)))</formula>
    </cfRule>
  </conditionalFormatting>
  <conditionalFormatting sqref="BC77">
    <cfRule type="containsText" dxfId="1275" priority="1368" stopIfTrue="1" operator="containsText" text="FALSE">
      <formula>NOT(ISERROR(SEARCH("FALSE",BC77)))</formula>
    </cfRule>
  </conditionalFormatting>
  <conditionalFormatting sqref="BD77:BF77">
    <cfRule type="containsText" dxfId="1274" priority="1367" stopIfTrue="1" operator="containsText" text="FALSE">
      <formula>NOT(ISERROR(SEARCH("FALSE",BD77)))</formula>
    </cfRule>
  </conditionalFormatting>
  <conditionalFormatting sqref="BE175:BF178 BE158:BF159">
    <cfRule type="containsText" dxfId="1273" priority="1703" stopIfTrue="1" operator="containsText" text="FALSE">
      <formula>NOT(ISERROR(SEARCH("FALSE",BE158)))</formula>
    </cfRule>
  </conditionalFormatting>
  <conditionalFormatting sqref="BE43:BF44 BE260:BF264 BE266:BF266 BE245:BF245 BE257:BF257 BE48:BF52 BE82:BF89">
    <cfRule type="containsText" dxfId="1272" priority="1702" stopIfTrue="1" operator="containsText" text="FALSE">
      <formula>NOT(ISERROR(SEARCH("FALSE",BE43)))</formula>
    </cfRule>
  </conditionalFormatting>
  <conditionalFormatting sqref="BE149:BF150 BE130:BF130 BE154:BF155 BE202:BF202 BE41:BF41 BE54:BF54 BE46:BF46 BE31:BF32 BE164:BF165 BE196:BF197 BE194:BF194 BE206:BF209 BE123:BF123 BE185:BF188 BE181:BF183 BE191:BF192 BE25:BF28 BE111:BF114 BE117:BF117 BE199:BF200 BE246:BF246 BE19:BF22 BE102:BF109 BE59:BF61 BE170:BF170 BE36:BF39 BE66:BF69 BE34:BF34 BE296:BF304 BE346:BF353 BE336:BF344 BE330:BF334 BE325:BF328 BE320:BF323 BE315:BF318 BE306:BF313 BE6:BF12 BE14:BF17">
    <cfRule type="containsText" dxfId="1271" priority="1701" stopIfTrue="1" operator="containsText" text="FALSE">
      <formula>NOT(ISERROR(SEARCH("FALSE",BE6)))</formula>
    </cfRule>
  </conditionalFormatting>
  <conditionalFormatting sqref="BE97:BF98">
    <cfRule type="containsText" dxfId="1270" priority="1700" stopIfTrue="1" operator="containsText" text="FALSE">
      <formula>NOT(ISERROR(SEARCH("FALSE",BE97)))</formula>
    </cfRule>
  </conditionalFormatting>
  <conditionalFormatting sqref="BE211:BF212">
    <cfRule type="containsText" dxfId="1269" priority="1699" stopIfTrue="1" operator="containsText" text="FALSE">
      <formula>NOT(ISERROR(SEARCH("FALSE",BE211)))</formula>
    </cfRule>
  </conditionalFormatting>
  <conditionalFormatting sqref="BE42:BF42">
    <cfRule type="containsText" dxfId="1268" priority="1698" stopIfTrue="1" operator="containsText" text="FALSE">
      <formula>NOT(ISERROR(SEARCH("FALSE",BE42)))</formula>
    </cfRule>
  </conditionalFormatting>
  <conditionalFormatting sqref="BE71:BF71">
    <cfRule type="containsText" dxfId="1267" priority="1697" stopIfTrue="1" operator="containsText" text="FALSE">
      <formula>NOT(ISERROR(SEARCH("FALSE",BE71)))</formula>
    </cfRule>
  </conditionalFormatting>
  <conditionalFormatting sqref="BE23:BF24">
    <cfRule type="containsText" dxfId="1266" priority="1696" stopIfTrue="1" operator="containsText" text="FALSE">
      <formula>NOT(ISERROR(SEARCH("FALSE",BE23)))</formula>
    </cfRule>
  </conditionalFormatting>
  <conditionalFormatting sqref="BE181:BF181">
    <cfRule type="containsText" dxfId="1265" priority="1695" stopIfTrue="1" operator="containsText" text="FALSE">
      <formula>NOT(ISERROR(SEARCH("FALSE",BE181)))</formula>
    </cfRule>
  </conditionalFormatting>
  <conditionalFormatting sqref="BE99:BF101">
    <cfRule type="containsText" dxfId="1264" priority="1694" stopIfTrue="1" operator="containsText" text="FALSE">
      <formula>NOT(ISERROR(SEARCH("FALSE",BE99)))</formula>
    </cfRule>
  </conditionalFormatting>
  <conditionalFormatting sqref="BE92:BF92">
    <cfRule type="containsText" dxfId="1263" priority="1693" stopIfTrue="1" operator="containsText" text="FALSE">
      <formula>NOT(ISERROR(SEARCH("FALSE",BE92)))</formula>
    </cfRule>
  </conditionalFormatting>
  <conditionalFormatting sqref="BE238:BF238">
    <cfRule type="containsText" dxfId="1262" priority="1650" stopIfTrue="1" operator="containsText" text="FALSE">
      <formula>NOT(ISERROR(SEARCH("FALSE",BE238)))</formula>
    </cfRule>
  </conditionalFormatting>
  <conditionalFormatting sqref="BE324:BF324">
    <cfRule type="containsText" dxfId="1261" priority="1667" stopIfTrue="1" operator="containsText" text="FALSE">
      <formula>NOT(ISERROR(SEARCH("FALSE",BE324)))</formula>
    </cfRule>
  </conditionalFormatting>
  <conditionalFormatting sqref="BE78:BF78">
    <cfRule type="containsText" dxfId="1260" priority="1685" stopIfTrue="1" operator="containsText" text="FALSE">
      <formula>NOT(ISERROR(SEARCH("FALSE",BE78)))</formula>
    </cfRule>
  </conditionalFormatting>
  <conditionalFormatting sqref="BE335:BF335">
    <cfRule type="containsText" dxfId="1259" priority="1665" stopIfTrue="1" operator="containsText" text="FALSE">
      <formula>NOT(ISERROR(SEARCH("FALSE",BE335)))</formula>
    </cfRule>
  </conditionalFormatting>
  <conditionalFormatting sqref="BE221:BF222 BE229:BF230 BE236:BF237 BE240:BF240">
    <cfRule type="containsText" dxfId="1258" priority="1656" stopIfTrue="1" operator="containsText" text="FALSE">
      <formula>NOT(ISERROR(SEARCH("FALSE",BE221)))</formula>
    </cfRule>
  </conditionalFormatting>
  <conditionalFormatting sqref="BE56:BF56">
    <cfRule type="containsText" dxfId="1257" priority="1663" stopIfTrue="1" operator="containsText" text="FALSE">
      <formula>NOT(ISERROR(SEARCH("FALSE",BE56)))</formula>
    </cfRule>
  </conditionalFormatting>
  <conditionalFormatting sqref="BE124:BF124">
    <cfRule type="containsText" dxfId="1256" priority="1691" stopIfTrue="1" operator="containsText" text="FALSE">
      <formula>NOT(ISERROR(SEARCH("FALSE",BE124)))</formula>
    </cfRule>
  </conditionalFormatting>
  <conditionalFormatting sqref="BE184:BF184">
    <cfRule type="containsText" dxfId="1255" priority="1689" stopIfTrue="1" operator="containsText" text="FALSE">
      <formula>NOT(ISERROR(SEARCH("FALSE",BE184)))</formula>
    </cfRule>
  </conditionalFormatting>
  <conditionalFormatting sqref="BE198:BF198">
    <cfRule type="containsText" dxfId="1254" priority="1688" stopIfTrue="1" operator="containsText" text="FALSE">
      <formula>NOT(ISERROR(SEARCH("FALSE",BE198)))</formula>
    </cfRule>
  </conditionalFormatting>
  <conditionalFormatting sqref="BE204:BF205">
    <cfRule type="containsText" dxfId="1253" priority="1687" stopIfTrue="1" operator="containsText" text="FALSE">
      <formula>NOT(ISERROR(SEARCH("FALSE",BE204)))</formula>
    </cfRule>
  </conditionalFormatting>
  <conditionalFormatting sqref="BE75:BF75">
    <cfRule type="containsText" dxfId="1252" priority="1686" stopIfTrue="1" operator="containsText" text="FALSE">
      <formula>NOT(ISERROR(SEARCH("FALSE",BE75)))</formula>
    </cfRule>
  </conditionalFormatting>
  <conditionalFormatting sqref="BE72:BF72">
    <cfRule type="containsText" dxfId="1251" priority="1681" stopIfTrue="1" operator="containsText" text="FALSE">
      <formula>NOT(ISERROR(SEARCH("FALSE",BE72)))</formula>
    </cfRule>
  </conditionalFormatting>
  <conditionalFormatting sqref="BE81:BF81">
    <cfRule type="containsText" dxfId="1250" priority="1683" stopIfTrue="1" operator="containsText" text="FALSE">
      <formula>NOT(ISERROR(SEARCH("FALSE",BE81)))</formula>
    </cfRule>
  </conditionalFormatting>
  <conditionalFormatting sqref="BE70:BF70">
    <cfRule type="containsText" dxfId="1249" priority="1682" stopIfTrue="1" operator="containsText" text="FALSE">
      <formula>NOT(ISERROR(SEARCH("FALSE",BE70)))</formula>
    </cfRule>
  </conditionalFormatting>
  <conditionalFormatting sqref="BE118:BF121">
    <cfRule type="containsText" dxfId="1248" priority="1679" stopIfTrue="1" operator="containsText" text="FALSE">
      <formula>NOT(ISERROR(SEARCH("FALSE",BE118)))</formula>
    </cfRule>
  </conditionalFormatting>
  <conditionalFormatting sqref="BE96:BF96">
    <cfRule type="containsText" dxfId="1247" priority="1680" stopIfTrue="1" operator="containsText" text="FALSE">
      <formula>NOT(ISERROR(SEARCH("FALSE",BE96)))</formula>
    </cfRule>
  </conditionalFormatting>
  <conditionalFormatting sqref="BE18:BF18">
    <cfRule type="containsText" dxfId="1246" priority="1678" stopIfTrue="1" operator="containsText" text="FALSE">
      <formula>NOT(ISERROR(SEARCH("FALSE",BE18)))</formula>
    </cfRule>
  </conditionalFormatting>
  <conditionalFormatting sqref="BE115:BF116">
    <cfRule type="containsText" dxfId="1245" priority="1677" stopIfTrue="1" operator="containsText" text="FALSE">
      <formula>NOT(ISERROR(SEARCH("FALSE",BE115)))</formula>
    </cfRule>
  </conditionalFormatting>
  <conditionalFormatting sqref="BE189:BF190">
    <cfRule type="containsText" dxfId="1244" priority="1676" stopIfTrue="1" operator="containsText" text="FALSE">
      <formula>NOT(ISERROR(SEARCH("FALSE",BE189)))</formula>
    </cfRule>
  </conditionalFormatting>
  <conditionalFormatting sqref="BE33:BF33">
    <cfRule type="containsText" dxfId="1243" priority="1675" stopIfTrue="1" operator="containsText" text="FALSE">
      <formula>NOT(ISERROR(SEARCH("FALSE",BE33)))</formula>
    </cfRule>
  </conditionalFormatting>
  <conditionalFormatting sqref="BE30:BF30">
    <cfRule type="containsText" dxfId="1242" priority="1674" stopIfTrue="1" operator="containsText" text="FALSE">
      <formula>NOT(ISERROR(SEARCH("FALSE",BE30)))</formula>
    </cfRule>
  </conditionalFormatting>
  <conditionalFormatting sqref="BE148:BF148">
    <cfRule type="containsText" dxfId="1241" priority="1673" stopIfTrue="1" operator="containsText" text="FALSE">
      <formula>NOT(ISERROR(SEARCH("FALSE",BE148)))</formula>
    </cfRule>
  </conditionalFormatting>
  <conditionalFormatting sqref="BE195:BF195">
    <cfRule type="containsText" dxfId="1240" priority="1672" stopIfTrue="1" operator="containsText" text="FALSE">
      <formula>NOT(ISERROR(SEARCH("FALSE",BE195)))</formula>
    </cfRule>
  </conditionalFormatting>
  <conditionalFormatting sqref="BE201:BF201">
    <cfRule type="containsText" dxfId="1239" priority="1671" stopIfTrue="1" operator="containsText" text="FALSE">
      <formula>NOT(ISERROR(SEARCH("FALSE",BE201)))</formula>
    </cfRule>
  </conditionalFormatting>
  <conditionalFormatting sqref="BE305:BF305">
    <cfRule type="containsText" dxfId="1238" priority="1670" stopIfTrue="1" operator="containsText" text="FALSE">
      <formula>NOT(ISERROR(SEARCH("FALSE",BE305)))</formula>
    </cfRule>
  </conditionalFormatting>
  <conditionalFormatting sqref="BE314:BF314">
    <cfRule type="containsText" dxfId="1237" priority="1669" stopIfTrue="1" operator="containsText" text="FALSE">
      <formula>NOT(ISERROR(SEARCH("FALSE",BE314)))</formula>
    </cfRule>
  </conditionalFormatting>
  <conditionalFormatting sqref="BE319:BF319">
    <cfRule type="containsText" dxfId="1236" priority="1668" stopIfTrue="1" operator="containsText" text="FALSE">
      <formula>NOT(ISERROR(SEARCH("FALSE",BE319)))</formula>
    </cfRule>
  </conditionalFormatting>
  <conditionalFormatting sqref="BE329:BF329">
    <cfRule type="containsText" dxfId="1235" priority="1666" stopIfTrue="1" operator="containsText" text="FALSE">
      <formula>NOT(ISERROR(SEARCH("FALSE",BE329)))</formula>
    </cfRule>
  </conditionalFormatting>
  <conditionalFormatting sqref="BE345:BF345">
    <cfRule type="containsText" dxfId="1234" priority="1664" stopIfTrue="1" operator="containsText" text="FALSE">
      <formula>NOT(ISERROR(SEARCH("FALSE",BE345)))</formula>
    </cfRule>
  </conditionalFormatting>
  <conditionalFormatting sqref="BE95:BF95">
    <cfRule type="containsText" dxfId="1233" priority="1662" stopIfTrue="1" operator="containsText" text="FALSE">
      <formula>NOT(ISERROR(SEARCH("FALSE",BE95)))</formula>
    </cfRule>
  </conditionalFormatting>
  <conditionalFormatting sqref="BE223:BF224">
    <cfRule type="containsText" dxfId="1232" priority="1654" stopIfTrue="1" operator="containsText" text="FALSE">
      <formula>NOT(ISERROR(SEARCH("FALSE",BE223)))</formula>
    </cfRule>
  </conditionalFormatting>
  <conditionalFormatting sqref="BE226:BF227">
    <cfRule type="containsText" dxfId="1231" priority="1653" stopIfTrue="1" operator="containsText" text="FALSE">
      <formula>NOT(ISERROR(SEARCH("FALSE",BE226)))</formula>
    </cfRule>
  </conditionalFormatting>
  <conditionalFormatting sqref="BE231:BF231">
    <cfRule type="containsText" dxfId="1230" priority="1652" stopIfTrue="1" operator="containsText" text="FALSE">
      <formula>NOT(ISERROR(SEARCH("FALSE",BE231)))</formula>
    </cfRule>
  </conditionalFormatting>
  <conditionalFormatting sqref="BE233:BF234">
    <cfRule type="containsText" dxfId="1229" priority="1651" stopIfTrue="1" operator="containsText" text="FALSE">
      <formula>NOT(ISERROR(SEARCH("FALSE",BE233)))</formula>
    </cfRule>
  </conditionalFormatting>
  <conditionalFormatting sqref="BE239:BF239">
    <cfRule type="containsText" dxfId="1228" priority="1649" stopIfTrue="1" operator="containsText" text="FALSE">
      <formula>NOT(ISERROR(SEARCH("FALSE",BE239)))</formula>
    </cfRule>
  </conditionalFormatting>
  <conditionalFormatting sqref="BE232:BF232">
    <cfRule type="containsText" dxfId="1227" priority="1644" stopIfTrue="1" operator="containsText" text="FALSE">
      <formula>NOT(ISERROR(SEARCH("FALSE",BE232)))</formula>
    </cfRule>
  </conditionalFormatting>
  <conditionalFormatting sqref="BE247:BF247">
    <cfRule type="containsText" dxfId="1226" priority="1661" stopIfTrue="1" operator="containsText" text="FALSE">
      <formula>NOT(ISERROR(SEARCH("FALSE",BE247)))</formula>
    </cfRule>
  </conditionalFormatting>
  <conditionalFormatting sqref="BE275:BF286 BE288:BF295">
    <cfRule type="containsText" dxfId="1225" priority="1660" stopIfTrue="1" operator="containsText" text="FALSE">
      <formula>NOT(ISERROR(SEARCH("FALSE",BE275)))</formula>
    </cfRule>
  </conditionalFormatting>
  <conditionalFormatting sqref="BE256:BF256 BE258:BF258">
    <cfRule type="containsText" dxfId="1224" priority="1659" stopIfTrue="1" operator="containsText" text="FALSE">
      <formula>NOT(ISERROR(SEARCH("FALSE",BE256)))</formula>
    </cfRule>
  </conditionalFormatting>
  <conditionalFormatting sqref="BE267:BF274">
    <cfRule type="containsText" dxfId="1223" priority="1658" stopIfTrue="1" operator="containsText" text="FALSE">
      <formula>NOT(ISERROR(SEARCH("FALSE",BE267)))</formula>
    </cfRule>
  </conditionalFormatting>
  <conditionalFormatting sqref="BE213:BF213">
    <cfRule type="containsText" dxfId="1222" priority="1657" stopIfTrue="1" operator="containsText" text="FALSE">
      <formula>NOT(ISERROR(SEARCH("FALSE",BE213)))</formula>
    </cfRule>
  </conditionalFormatting>
  <conditionalFormatting sqref="BE215:BF216 BE218:BF219">
    <cfRule type="containsText" dxfId="1221" priority="1655" stopIfTrue="1" operator="containsText" text="FALSE">
      <formula>NOT(ISERROR(SEARCH("FALSE",BE215)))</formula>
    </cfRule>
  </conditionalFormatting>
  <conditionalFormatting sqref="BE259:BF259">
    <cfRule type="containsText" dxfId="1220" priority="1642" stopIfTrue="1" operator="containsText" text="FALSE">
      <formula>NOT(ISERROR(SEARCH("FALSE",BE259)))</formula>
    </cfRule>
  </conditionalFormatting>
  <conditionalFormatting sqref="BE249:BF252">
    <cfRule type="containsText" dxfId="1219" priority="1636" stopIfTrue="1" operator="containsText" text="FALSE">
      <formula>NOT(ISERROR(SEARCH("FALSE",BE249)))</formula>
    </cfRule>
  </conditionalFormatting>
  <conditionalFormatting sqref="BE47:BF47">
    <cfRule type="containsText" dxfId="1218" priority="1641" stopIfTrue="1" operator="containsText" text="FALSE">
      <formula>NOT(ISERROR(SEARCH("FALSE",BE47)))</formula>
    </cfRule>
  </conditionalFormatting>
  <conditionalFormatting sqref="BE254:BF255">
    <cfRule type="containsText" dxfId="1217" priority="1637" stopIfTrue="1" operator="containsText" text="FALSE">
      <formula>NOT(ISERROR(SEARCH("FALSE",BE254)))</formula>
    </cfRule>
  </conditionalFormatting>
  <conditionalFormatting sqref="BE287:BF287">
    <cfRule type="containsText" dxfId="1216" priority="1635" stopIfTrue="1" operator="containsText" text="FALSE">
      <formula>NOT(ISERROR(SEARCH("FALSE",BE287)))</formula>
    </cfRule>
  </conditionalFormatting>
  <conditionalFormatting sqref="BE125:BF125">
    <cfRule type="containsText" dxfId="1215" priority="1634" stopIfTrue="1" operator="containsText" text="FALSE">
      <formula>NOT(ISERROR(SEARCH("FALSE",BE125)))</formula>
    </cfRule>
  </conditionalFormatting>
  <conditionalFormatting sqref="BE126:BF126">
    <cfRule type="containsText" dxfId="1214" priority="1633" stopIfTrue="1" operator="containsText" text="FALSE">
      <formula>NOT(ISERROR(SEARCH("FALSE",BE126)))</formula>
    </cfRule>
  </conditionalFormatting>
  <conditionalFormatting sqref="BE131:BF132 BE137:BF137">
    <cfRule type="containsText" dxfId="1213" priority="1632" stopIfTrue="1" operator="containsText" text="FALSE">
      <formula>NOT(ISERROR(SEARCH("FALSE",BE131)))</formula>
    </cfRule>
  </conditionalFormatting>
  <conditionalFormatting sqref="BE141:BF141">
    <cfRule type="containsText" dxfId="1212" priority="1631" stopIfTrue="1" operator="containsText" text="FALSE">
      <formula>NOT(ISERROR(SEARCH("FALSE",BE141)))</formula>
    </cfRule>
  </conditionalFormatting>
  <conditionalFormatting sqref="BE133:BF133">
    <cfRule type="containsText" dxfId="1211" priority="1630" stopIfTrue="1" operator="containsText" text="FALSE">
      <formula>NOT(ISERROR(SEARCH("FALSE",BE133)))</formula>
    </cfRule>
  </conditionalFormatting>
  <conditionalFormatting sqref="BE135:BF135">
    <cfRule type="containsText" dxfId="1210" priority="1628" stopIfTrue="1" operator="containsText" text="FALSE">
      <formula>NOT(ISERROR(SEARCH("FALSE",BE135)))</formula>
    </cfRule>
  </conditionalFormatting>
  <conditionalFormatting sqref="BE122:BF122">
    <cfRule type="containsText" dxfId="1209" priority="1627" stopIfTrue="1" operator="containsText" text="FALSE">
      <formula>NOT(ISERROR(SEARCH("FALSE",BE122)))</formula>
    </cfRule>
  </conditionalFormatting>
  <conditionalFormatting sqref="BE151:BF151">
    <cfRule type="containsText" dxfId="1208" priority="1626" stopIfTrue="1" operator="containsText" text="FALSE">
      <formula>NOT(ISERROR(SEARCH("FALSE",BE151)))</formula>
    </cfRule>
  </conditionalFormatting>
  <conditionalFormatting sqref="BE152:BF152">
    <cfRule type="containsText" dxfId="1207" priority="1625" stopIfTrue="1" operator="containsText" text="FALSE">
      <formula>NOT(ISERROR(SEARCH("FALSE",BE152)))</formula>
    </cfRule>
  </conditionalFormatting>
  <conditionalFormatting sqref="BE153:BF153">
    <cfRule type="containsText" dxfId="1206" priority="1624" stopIfTrue="1" operator="containsText" text="FALSE">
      <formula>NOT(ISERROR(SEARCH("FALSE",BE153)))</formula>
    </cfRule>
  </conditionalFormatting>
  <conditionalFormatting sqref="BE156:BF157">
    <cfRule type="containsText" dxfId="1205" priority="1623" stopIfTrue="1" operator="containsText" text="FALSE">
      <formula>NOT(ISERROR(SEARCH("FALSE",BE156)))</formula>
    </cfRule>
  </conditionalFormatting>
  <conditionalFormatting sqref="BE160:BF160">
    <cfRule type="containsText" dxfId="1204" priority="1622" stopIfTrue="1" operator="containsText" text="FALSE">
      <formula>NOT(ISERROR(SEARCH("FALSE",BE160)))</formula>
    </cfRule>
  </conditionalFormatting>
  <conditionalFormatting sqref="BE169:BF169">
    <cfRule type="containsText" dxfId="1203" priority="1621" stopIfTrue="1" operator="containsText" text="FALSE">
      <formula>NOT(ISERROR(SEARCH("FALSE",BE169)))</formula>
    </cfRule>
  </conditionalFormatting>
  <conditionalFormatting sqref="BE166:BF166">
    <cfRule type="containsText" dxfId="1202" priority="1620" stopIfTrue="1" operator="containsText" text="FALSE">
      <formula>NOT(ISERROR(SEARCH("FALSE",BE166)))</formula>
    </cfRule>
  </conditionalFormatting>
  <conditionalFormatting sqref="BE167:BF167">
    <cfRule type="containsText" dxfId="1201" priority="1619" stopIfTrue="1" operator="containsText" text="FALSE">
      <formula>NOT(ISERROR(SEARCH("FALSE",BE167)))</formula>
    </cfRule>
  </conditionalFormatting>
  <conditionalFormatting sqref="BE168:BF168">
    <cfRule type="containsText" dxfId="1200" priority="1618" stopIfTrue="1" operator="containsText" text="FALSE">
      <formula>NOT(ISERROR(SEARCH("FALSE",BE168)))</formula>
    </cfRule>
  </conditionalFormatting>
  <conditionalFormatting sqref="BE171:BF174">
    <cfRule type="containsText" dxfId="1199" priority="1617" stopIfTrue="1" operator="containsText" text="FALSE">
      <formula>NOT(ISERROR(SEARCH("FALSE",BE171)))</formula>
    </cfRule>
  </conditionalFormatting>
  <conditionalFormatting sqref="BE35:BF35">
    <cfRule type="containsText" dxfId="1198" priority="1616" stopIfTrue="1" operator="containsText" text="FALSE">
      <formula>NOT(ISERROR(SEARCH("FALSE",BE35)))</formula>
    </cfRule>
  </conditionalFormatting>
  <conditionalFormatting sqref="BE62:BF65">
    <cfRule type="containsText" dxfId="1197" priority="1615" stopIfTrue="1" operator="containsText" text="FALSE">
      <formula>NOT(ISERROR(SEARCH("FALSE",BE62)))</formula>
    </cfRule>
  </conditionalFormatting>
  <conditionalFormatting sqref="BE2:BF4">
    <cfRule type="containsText" dxfId="1196" priority="1614" stopIfTrue="1" operator="containsText" text="FALSE">
      <formula>NOT(ISERROR(SEARCH("FALSE",BE2)))</formula>
    </cfRule>
  </conditionalFormatting>
  <conditionalFormatting sqref="BE93:BF93">
    <cfRule type="containsText" dxfId="1195" priority="1613" stopIfTrue="1" operator="containsText" text="FALSE">
      <formula>NOT(ISERROR(SEARCH("FALSE",BE93)))</formula>
    </cfRule>
  </conditionalFormatting>
  <conditionalFormatting sqref="BE241:BF241">
    <cfRule type="containsText" dxfId="1194" priority="1612" stopIfTrue="1" operator="containsText" text="FALSE">
      <formula>NOT(ISERROR(SEARCH("FALSE",BE241)))</formula>
    </cfRule>
  </conditionalFormatting>
  <conditionalFormatting sqref="BE242:BF242">
    <cfRule type="containsText" dxfId="1193" priority="1611" stopIfTrue="1" operator="containsText" text="FALSE">
      <formula>NOT(ISERROR(SEARCH("FALSE",BE242)))</formula>
    </cfRule>
  </conditionalFormatting>
  <conditionalFormatting sqref="BE243:BF243">
    <cfRule type="containsText" dxfId="1192" priority="1610" stopIfTrue="1" operator="containsText" text="FALSE">
      <formula>NOT(ISERROR(SEARCH("FALSE",BE243)))</formula>
    </cfRule>
  </conditionalFormatting>
  <conditionalFormatting sqref="BE244:BF244">
    <cfRule type="containsText" dxfId="1191" priority="1609" stopIfTrue="1" operator="containsText" text="FALSE">
      <formula>NOT(ISERROR(SEARCH("FALSE",BE244)))</formula>
    </cfRule>
  </conditionalFormatting>
  <conditionalFormatting sqref="BC158:BC159 BC1:BN1">
    <cfRule type="containsText" dxfId="1190" priority="1608" stopIfTrue="1" operator="containsText" text="FALSE">
      <formula>NOT(ISERROR(SEARCH("FALSE",BC1)))</formula>
    </cfRule>
  </conditionalFormatting>
  <conditionalFormatting sqref="BC245 BC257 BC82:BC84 BC88:BC89">
    <cfRule type="containsText" dxfId="1189" priority="1607" stopIfTrue="1" operator="containsText" text="FALSE">
      <formula>NOT(ISERROR(SEARCH("FALSE",BC82)))</formula>
    </cfRule>
  </conditionalFormatting>
  <conditionalFormatting sqref="BC149:BC150 BC130 BC154:BC155 BC164:BC165 BC123 BC246 BC5 BC59:BC61 BC170 BC34 BC296:BC304 BC346:BC353 BC336:BC344 BC330:BC334 BC325:BC328 BC320:BC323 BC315:BC318 BC306:BC313">
    <cfRule type="containsText" dxfId="1188" priority="1606" stopIfTrue="1" operator="containsText" text="FALSE">
      <formula>NOT(ISERROR(SEARCH("FALSE",BC5)))</formula>
    </cfRule>
  </conditionalFormatting>
  <conditionalFormatting sqref="BC97">
    <cfRule type="containsText" dxfId="1187" priority="1605" stopIfTrue="1" operator="containsText" text="FALSE">
      <formula>NOT(ISERROR(SEARCH("FALSE",BC97)))</formula>
    </cfRule>
  </conditionalFormatting>
  <conditionalFormatting sqref="BC152">
    <cfRule type="containsText" dxfId="1186" priority="1576" stopIfTrue="1" operator="containsText" text="FALSE">
      <formula>NOT(ISERROR(SEARCH("FALSE",BC152)))</formula>
    </cfRule>
  </conditionalFormatting>
  <conditionalFormatting sqref="BC288:BC295">
    <cfRule type="containsText" dxfId="1185" priority="1594" stopIfTrue="1" operator="containsText" text="FALSE">
      <formula>NOT(ISERROR(SEARCH("FALSE",BC288)))</formula>
    </cfRule>
  </conditionalFormatting>
  <conditionalFormatting sqref="BC131:BC132 BC137">
    <cfRule type="containsText" dxfId="1184" priority="1580" stopIfTrue="1" operator="containsText" text="FALSE">
      <formula>NOT(ISERROR(SEARCH("FALSE",BC131)))</formula>
    </cfRule>
  </conditionalFormatting>
  <conditionalFormatting sqref="BC324">
    <cfRule type="containsText" dxfId="1183" priority="1599" stopIfTrue="1" operator="containsText" text="FALSE">
      <formula>NOT(ISERROR(SEARCH("FALSE",BC324)))</formula>
    </cfRule>
  </conditionalFormatting>
  <conditionalFormatting sqref="BC335">
    <cfRule type="containsText" dxfId="1182" priority="1597" stopIfTrue="1" operator="containsText" text="FALSE">
      <formula>NOT(ISERROR(SEARCH("FALSE",BC335)))</formula>
    </cfRule>
  </conditionalFormatting>
  <conditionalFormatting sqref="BC239">
    <cfRule type="containsText" dxfId="1181" priority="1587" stopIfTrue="1" operator="containsText" text="FALSE">
      <formula>NOT(ISERROR(SEARCH("FALSE",BC239)))</formula>
    </cfRule>
  </conditionalFormatting>
  <conditionalFormatting sqref="BC124">
    <cfRule type="containsText" dxfId="1180" priority="1604" stopIfTrue="1" operator="containsText" text="FALSE">
      <formula>NOT(ISERROR(SEARCH("FALSE",BC124)))</formula>
    </cfRule>
  </conditionalFormatting>
  <conditionalFormatting sqref="BC218:BC219">
    <cfRule type="containsText" dxfId="1179" priority="1590" stopIfTrue="1" operator="containsText" text="FALSE">
      <formula>NOT(ISERROR(SEARCH("FALSE",BC218)))</formula>
    </cfRule>
  </conditionalFormatting>
  <conditionalFormatting sqref="BC226:BC227">
    <cfRule type="containsText" dxfId="1178" priority="1589" stopIfTrue="1" operator="containsText" text="FALSE">
      <formula>NOT(ISERROR(SEARCH("FALSE",BC226)))</formula>
    </cfRule>
  </conditionalFormatting>
  <conditionalFormatting sqref="BC171:BC174">
    <cfRule type="containsText" dxfId="1177" priority="1568" stopIfTrue="1" operator="containsText" text="FALSE">
      <formula>NOT(ISERROR(SEARCH("FALSE",BC171)))</formula>
    </cfRule>
  </conditionalFormatting>
  <conditionalFormatting sqref="BC168">
    <cfRule type="containsText" dxfId="1176" priority="1569" stopIfTrue="1" operator="containsText" text="FALSE">
      <formula>NOT(ISERROR(SEARCH("FALSE",BC168)))</formula>
    </cfRule>
  </conditionalFormatting>
  <conditionalFormatting sqref="BC153">
    <cfRule type="containsText" dxfId="1175" priority="1575" stopIfTrue="1" operator="containsText" text="FALSE">
      <formula>NOT(ISERROR(SEARCH("FALSE",BC153)))</formula>
    </cfRule>
  </conditionalFormatting>
  <conditionalFormatting sqref="BC92">
    <cfRule type="containsText" dxfId="1174" priority="1554" stopIfTrue="1" operator="containsText" text="FALSE">
      <formula>NOT(ISERROR(SEARCH("FALSE",BC92)))</formula>
    </cfRule>
  </conditionalFormatting>
  <conditionalFormatting sqref="BC259">
    <cfRule type="containsText" dxfId="1173" priority="1583" stopIfTrue="1" operator="containsText" text="FALSE">
      <formula>NOT(ISERROR(SEARCH("FALSE",BC259)))</formula>
    </cfRule>
  </conditionalFormatting>
  <conditionalFormatting sqref="BC33">
    <cfRule type="containsText" dxfId="1172" priority="1603" stopIfTrue="1" operator="containsText" text="FALSE">
      <formula>NOT(ISERROR(SEARCH("FALSE",BC33)))</formula>
    </cfRule>
  </conditionalFormatting>
  <conditionalFormatting sqref="BC305">
    <cfRule type="containsText" dxfId="1171" priority="1602" stopIfTrue="1" operator="containsText" text="FALSE">
      <formula>NOT(ISERROR(SEARCH("FALSE",BC305)))</formula>
    </cfRule>
  </conditionalFormatting>
  <conditionalFormatting sqref="BC314">
    <cfRule type="containsText" dxfId="1170" priority="1601" stopIfTrue="1" operator="containsText" text="FALSE">
      <formula>NOT(ISERROR(SEARCH("FALSE",BC314)))</formula>
    </cfRule>
  </conditionalFormatting>
  <conditionalFormatting sqref="BC319">
    <cfRule type="containsText" dxfId="1169" priority="1600" stopIfTrue="1" operator="containsText" text="FALSE">
      <formula>NOT(ISERROR(SEARCH("FALSE",BC319)))</formula>
    </cfRule>
  </conditionalFormatting>
  <conditionalFormatting sqref="BC329">
    <cfRule type="containsText" dxfId="1168" priority="1598" stopIfTrue="1" operator="containsText" text="FALSE">
      <formula>NOT(ISERROR(SEARCH("FALSE",BC329)))</formula>
    </cfRule>
  </conditionalFormatting>
  <conditionalFormatting sqref="BC345">
    <cfRule type="containsText" dxfId="1167" priority="1596" stopIfTrue="1" operator="containsText" text="FALSE">
      <formula>NOT(ISERROR(SEARCH("FALSE",BC345)))</formula>
    </cfRule>
  </conditionalFormatting>
  <conditionalFormatting sqref="BC228">
    <cfRule type="containsText" dxfId="1166" priority="1585" stopIfTrue="1" operator="containsText" text="FALSE">
      <formula>NOT(ISERROR(SEARCH("FALSE",BC228)))</formula>
    </cfRule>
  </conditionalFormatting>
  <conditionalFormatting sqref="BC233:BC234">
    <cfRule type="containsText" dxfId="1165" priority="1588" stopIfTrue="1" operator="containsText" text="FALSE">
      <formula>NOT(ISERROR(SEARCH("FALSE",BC233)))</formula>
    </cfRule>
  </conditionalFormatting>
  <conditionalFormatting sqref="BC220">
    <cfRule type="containsText" dxfId="1164" priority="1586" stopIfTrue="1" operator="containsText" text="FALSE">
      <formula>NOT(ISERROR(SEARCH("FALSE",BC220)))</formula>
    </cfRule>
  </conditionalFormatting>
  <conditionalFormatting sqref="BC235">
    <cfRule type="containsText" dxfId="1163" priority="1584" stopIfTrue="1" operator="containsText" text="FALSE">
      <formula>NOT(ISERROR(SEARCH("FALSE",BC235)))</formula>
    </cfRule>
  </conditionalFormatting>
  <conditionalFormatting sqref="BC247">
    <cfRule type="containsText" dxfId="1162" priority="1595" stopIfTrue="1" operator="containsText" text="FALSE">
      <formula>NOT(ISERROR(SEARCH("FALSE",BC247)))</formula>
    </cfRule>
  </conditionalFormatting>
  <conditionalFormatting sqref="BC258">
    <cfRule type="containsText" dxfId="1161" priority="1593" stopIfTrue="1" operator="containsText" text="FALSE">
      <formula>NOT(ISERROR(SEARCH("FALSE",BC258)))</formula>
    </cfRule>
  </conditionalFormatting>
  <conditionalFormatting sqref="BC213">
    <cfRule type="containsText" dxfId="1160" priority="1592" stopIfTrue="1" operator="containsText" text="FALSE">
      <formula>NOT(ISERROR(SEARCH("FALSE",BC213)))</formula>
    </cfRule>
  </conditionalFormatting>
  <conditionalFormatting sqref="BC221:BC222 BC229:BC230 BC236:BC237 BC240">
    <cfRule type="containsText" dxfId="1159" priority="1591" stopIfTrue="1" operator="containsText" text="FALSE">
      <formula>NOT(ISERROR(SEARCH("FALSE",BC221)))</formula>
    </cfRule>
  </conditionalFormatting>
  <conditionalFormatting sqref="BC125">
    <cfRule type="containsText" dxfId="1158" priority="1582" stopIfTrue="1" operator="containsText" text="FALSE">
      <formula>NOT(ISERROR(SEARCH("FALSE",BC125)))</formula>
    </cfRule>
  </conditionalFormatting>
  <conditionalFormatting sqref="BC126">
    <cfRule type="containsText" dxfId="1157" priority="1581" stopIfTrue="1" operator="containsText" text="FALSE">
      <formula>NOT(ISERROR(SEARCH("FALSE",BC126)))</formula>
    </cfRule>
  </conditionalFormatting>
  <conditionalFormatting sqref="BC133">
    <cfRule type="containsText" dxfId="1156" priority="1579" stopIfTrue="1" operator="containsText" text="FALSE">
      <formula>NOT(ISERROR(SEARCH("FALSE",BC133)))</formula>
    </cfRule>
  </conditionalFormatting>
  <conditionalFormatting sqref="BC223">
    <cfRule type="containsText" dxfId="1155" priority="1557" stopIfTrue="1" operator="containsText" text="FALSE">
      <formula>NOT(ISERROR(SEARCH("FALSE",BC223)))</formula>
    </cfRule>
  </conditionalFormatting>
  <conditionalFormatting sqref="BC135">
    <cfRule type="containsText" dxfId="1154" priority="1578" stopIfTrue="1" operator="containsText" text="FALSE">
      <formula>NOT(ISERROR(SEARCH("FALSE",BC135)))</formula>
    </cfRule>
  </conditionalFormatting>
  <conditionalFormatting sqref="BC81">
    <cfRule type="containsText" dxfId="1153" priority="1550" stopIfTrue="1" operator="containsText" text="FALSE">
      <formula>NOT(ISERROR(SEARCH("FALSE",BC81)))</formula>
    </cfRule>
  </conditionalFormatting>
  <conditionalFormatting sqref="BC151">
    <cfRule type="containsText" dxfId="1152" priority="1577" stopIfTrue="1" operator="containsText" text="FALSE">
      <formula>NOT(ISERROR(SEARCH("FALSE",BC151)))</formula>
    </cfRule>
  </conditionalFormatting>
  <conditionalFormatting sqref="BC156:BC157">
    <cfRule type="containsText" dxfId="1151" priority="1574" stopIfTrue="1" operator="containsText" text="FALSE">
      <formula>NOT(ISERROR(SEARCH("FALSE",BC156)))</formula>
    </cfRule>
  </conditionalFormatting>
  <conditionalFormatting sqref="BC160">
    <cfRule type="containsText" dxfId="1150" priority="1573" stopIfTrue="1" operator="containsText" text="FALSE">
      <formula>NOT(ISERROR(SEARCH("FALSE",BC160)))</formula>
    </cfRule>
  </conditionalFormatting>
  <conditionalFormatting sqref="BC169">
    <cfRule type="containsText" dxfId="1149" priority="1572" stopIfTrue="1" operator="containsText" text="FALSE">
      <formula>NOT(ISERROR(SEARCH("FALSE",BC169)))</formula>
    </cfRule>
  </conditionalFormatting>
  <conditionalFormatting sqref="BC166">
    <cfRule type="containsText" dxfId="1148" priority="1571" stopIfTrue="1" operator="containsText" text="FALSE">
      <formula>NOT(ISERROR(SEARCH("FALSE",BC166)))</formula>
    </cfRule>
  </conditionalFormatting>
  <conditionalFormatting sqref="BC167">
    <cfRule type="containsText" dxfId="1147" priority="1570" stopIfTrue="1" operator="containsText" text="FALSE">
      <formula>NOT(ISERROR(SEARCH("FALSE",BC167)))</formula>
    </cfRule>
  </conditionalFormatting>
  <conditionalFormatting sqref="BC35">
    <cfRule type="containsText" dxfId="1146" priority="1567" stopIfTrue="1" operator="containsText" text="FALSE">
      <formula>NOT(ISERROR(SEARCH("FALSE",BC35)))</formula>
    </cfRule>
  </conditionalFormatting>
  <conditionalFormatting sqref="BC2:BC4">
    <cfRule type="containsText" dxfId="1145" priority="1566" stopIfTrue="1" operator="containsText" text="FALSE">
      <formula>NOT(ISERROR(SEARCH("FALSE",BC2)))</formula>
    </cfRule>
  </conditionalFormatting>
  <conditionalFormatting sqref="BC120">
    <cfRule type="containsText" dxfId="1144" priority="1507" stopIfTrue="1" operator="containsText" text="FALSE">
      <formula>NOT(ISERROR(SEARCH("FALSE",BC120)))</formula>
    </cfRule>
  </conditionalFormatting>
  <conditionalFormatting sqref="BC215:BC216">
    <cfRule type="containsText" dxfId="1143" priority="1565" stopIfTrue="1" operator="containsText" text="FALSE">
      <formula>NOT(ISERROR(SEARCH("FALSE",BC215)))</formula>
    </cfRule>
  </conditionalFormatting>
  <conditionalFormatting sqref="BC238">
    <cfRule type="containsText" dxfId="1142" priority="1564" stopIfTrue="1" operator="containsText" text="FALSE">
      <formula>NOT(ISERROR(SEARCH("FALSE",BC238)))</formula>
    </cfRule>
  </conditionalFormatting>
  <conditionalFormatting sqref="BC217">
    <cfRule type="containsText" dxfId="1141" priority="1563" stopIfTrue="1" operator="containsText" text="FALSE">
      <formula>NOT(ISERROR(SEARCH("FALSE",BC217)))</formula>
    </cfRule>
  </conditionalFormatting>
  <conditionalFormatting sqref="BC225">
    <cfRule type="containsText" dxfId="1140" priority="1562" stopIfTrue="1" operator="containsText" text="FALSE">
      <formula>NOT(ISERROR(SEARCH("FALSE",BC225)))</formula>
    </cfRule>
  </conditionalFormatting>
  <conditionalFormatting sqref="BC232">
    <cfRule type="containsText" dxfId="1139" priority="1561" stopIfTrue="1" operator="containsText" text="FALSE">
      <formula>NOT(ISERROR(SEARCH("FALSE",BC232)))</formula>
    </cfRule>
  </conditionalFormatting>
  <conditionalFormatting sqref="BC224">
    <cfRule type="containsText" dxfId="1138" priority="1560" stopIfTrue="1" operator="containsText" text="FALSE">
      <formula>NOT(ISERROR(SEARCH("FALSE",BC224)))</formula>
    </cfRule>
  </conditionalFormatting>
  <conditionalFormatting sqref="BC241">
    <cfRule type="containsText" dxfId="1137" priority="1559" stopIfTrue="1" operator="containsText" text="FALSE">
      <formula>NOT(ISERROR(SEARCH("FALSE",BC241)))</formula>
    </cfRule>
  </conditionalFormatting>
  <conditionalFormatting sqref="BC242">
    <cfRule type="containsText" dxfId="1136" priority="1558" stopIfTrue="1" operator="containsText" text="FALSE">
      <formula>NOT(ISERROR(SEARCH("FALSE",BC242)))</formula>
    </cfRule>
  </conditionalFormatting>
  <conditionalFormatting sqref="BC231">
    <cfRule type="containsText" dxfId="1135" priority="1556" stopIfTrue="1" operator="containsText" text="FALSE">
      <formula>NOT(ISERROR(SEARCH("FALSE",BC231)))</formula>
    </cfRule>
  </conditionalFormatting>
  <conditionalFormatting sqref="BC248:BC252">
    <cfRule type="containsText" dxfId="1134" priority="1555" stopIfTrue="1" operator="containsText" text="FALSE">
      <formula>NOT(ISERROR(SEARCH("FALSE",BC248)))</formula>
    </cfRule>
  </conditionalFormatting>
  <conditionalFormatting sqref="BC75">
    <cfRule type="containsText" dxfId="1133" priority="1549" stopIfTrue="1" operator="containsText" text="FALSE">
      <formula>NOT(ISERROR(SEARCH("FALSE",BC75)))</formula>
    </cfRule>
  </conditionalFormatting>
  <conditionalFormatting sqref="BC48">
    <cfRule type="containsText" dxfId="1132" priority="1547" stopIfTrue="1" operator="containsText" text="FALSE">
      <formula>NOT(ISERROR(SEARCH("FALSE",BC48)))</formula>
    </cfRule>
  </conditionalFormatting>
  <conditionalFormatting sqref="BC78">
    <cfRule type="containsText" dxfId="1131" priority="1553" stopIfTrue="1" operator="containsText" text="FALSE">
      <formula>NOT(ISERROR(SEARCH("FALSE",BC78)))</formula>
    </cfRule>
  </conditionalFormatting>
  <conditionalFormatting sqref="BC76:BF76">
    <cfRule type="containsText" dxfId="1130" priority="1552" stopIfTrue="1" operator="containsText" text="FALSE">
      <formula>NOT(ISERROR(SEARCH("FALSE",BC76)))</formula>
    </cfRule>
  </conditionalFormatting>
  <conditionalFormatting sqref="BC79:BF79">
    <cfRule type="containsText" dxfId="1129" priority="1551" stopIfTrue="1" operator="containsText" text="FALSE">
      <formula>NOT(ISERROR(SEARCH("FALSE",BC79)))</formula>
    </cfRule>
  </conditionalFormatting>
  <conditionalFormatting sqref="BC56:BC57">
    <cfRule type="containsText" dxfId="1128" priority="1543" stopIfTrue="1" operator="containsText" text="FALSE">
      <formula>NOT(ISERROR(SEARCH("FALSE",BC56)))</formula>
    </cfRule>
  </conditionalFormatting>
  <conditionalFormatting sqref="BC41 BC54">
    <cfRule type="containsText" dxfId="1127" priority="1546" stopIfTrue="1" operator="containsText" text="FALSE">
      <formula>NOT(ISERROR(SEARCH("FALSE",BC41)))</formula>
    </cfRule>
  </conditionalFormatting>
  <conditionalFormatting sqref="BC42">
    <cfRule type="containsText" dxfId="1126" priority="1545" stopIfTrue="1" operator="containsText" text="FALSE">
      <formula>NOT(ISERROR(SEARCH("FALSE",BC42)))</formula>
    </cfRule>
  </conditionalFormatting>
  <conditionalFormatting sqref="BC98">
    <cfRule type="containsText" dxfId="1125" priority="1513" stopIfTrue="1" operator="containsText" text="FALSE">
      <formula>NOT(ISERROR(SEARCH("FALSE",BC98)))</formula>
    </cfRule>
  </conditionalFormatting>
  <conditionalFormatting sqref="BC43">
    <cfRule type="containsText" dxfId="1124" priority="1542" stopIfTrue="1" operator="containsText" text="FALSE">
      <formula>NOT(ISERROR(SEARCH("FALSE",BC43)))</formula>
    </cfRule>
  </conditionalFormatting>
  <conditionalFormatting sqref="BC47">
    <cfRule type="containsText" dxfId="1123" priority="1541" stopIfTrue="1" operator="containsText" text="FALSE">
      <formula>NOT(ISERROR(SEARCH("FALSE",BC47)))</formula>
    </cfRule>
  </conditionalFormatting>
  <conditionalFormatting sqref="BC46">
    <cfRule type="containsText" dxfId="1122" priority="1540" stopIfTrue="1" operator="containsText" text="FALSE">
      <formula>NOT(ISERROR(SEARCH("FALSE",BC46)))</formula>
    </cfRule>
  </conditionalFormatting>
  <conditionalFormatting sqref="BC141">
    <cfRule type="containsText" dxfId="1121" priority="1503" stopIfTrue="1" operator="containsText" text="FALSE">
      <formula>NOT(ISERROR(SEARCH("FALSE",BC141)))</formula>
    </cfRule>
  </conditionalFormatting>
  <conditionalFormatting sqref="BC19:BC21">
    <cfRule type="containsText" dxfId="1120" priority="1539" stopIfTrue="1" operator="containsText" text="FALSE">
      <formula>NOT(ISERROR(SEARCH("FALSE",BC19)))</formula>
    </cfRule>
  </conditionalFormatting>
  <conditionalFormatting sqref="BC201">
    <cfRule type="containsText" dxfId="1119" priority="1495" stopIfTrue="1" operator="containsText" text="FALSE">
      <formula>NOT(ISERROR(SEARCH("FALSE",BC201)))</formula>
    </cfRule>
  </conditionalFormatting>
  <conditionalFormatting sqref="BC175:BC178">
    <cfRule type="containsText" dxfId="1118" priority="1501" stopIfTrue="1" operator="containsText" text="FALSE">
      <formula>NOT(ISERROR(SEARCH("FALSE",BC175)))</formula>
    </cfRule>
  </conditionalFormatting>
  <conditionalFormatting sqref="BC198">
    <cfRule type="containsText" dxfId="1117" priority="1493" stopIfTrue="1" operator="containsText" text="FALSE">
      <formula>NOT(ISERROR(SEARCH("FALSE",BC198)))</formula>
    </cfRule>
  </conditionalFormatting>
  <conditionalFormatting sqref="BC202 BC209">
    <cfRule type="containsText" dxfId="1116" priority="1492" stopIfTrue="1" operator="containsText" text="FALSE">
      <formula>NOT(ISERROR(SEARCH("FALSE",BC202)))</formula>
    </cfRule>
  </conditionalFormatting>
  <conditionalFormatting sqref="BC211:BC212">
    <cfRule type="containsText" dxfId="1115" priority="1491" stopIfTrue="1" operator="containsText" text="FALSE">
      <formula>NOT(ISERROR(SEARCH("FALSE",BC211)))</formula>
    </cfRule>
  </conditionalFormatting>
  <conditionalFormatting sqref="BC206:BC208">
    <cfRule type="containsText" dxfId="1114" priority="1490" stopIfTrue="1" operator="containsText" text="FALSE">
      <formula>NOT(ISERROR(SEARCH("FALSE",BC206)))</formula>
    </cfRule>
  </conditionalFormatting>
  <conditionalFormatting sqref="BC195">
    <cfRule type="containsText" dxfId="1113" priority="1496" stopIfTrue="1" operator="containsText" text="FALSE">
      <formula>NOT(ISERROR(SEARCH("FALSE",BC195)))</formula>
    </cfRule>
  </conditionalFormatting>
  <conditionalFormatting sqref="BD22">
    <cfRule type="containsText" dxfId="1112" priority="1409" stopIfTrue="1" operator="containsText" text="FALSE">
      <formula>NOT(ISERROR(SEARCH("FALSE",BD22)))</formula>
    </cfRule>
  </conditionalFormatting>
  <conditionalFormatting sqref="BC199:BC200">
    <cfRule type="containsText" dxfId="1111" priority="1494" stopIfTrue="1" operator="containsText" text="FALSE">
      <formula>NOT(ISERROR(SEARCH("FALSE",BC199)))</formula>
    </cfRule>
  </conditionalFormatting>
  <conditionalFormatting sqref="BC266 BC262:BC264">
    <cfRule type="containsText" dxfId="1110" priority="1485" stopIfTrue="1" operator="containsText" text="FALSE">
      <formula>NOT(ISERROR(SEARCH("FALSE",BC262)))</formula>
    </cfRule>
  </conditionalFormatting>
  <conditionalFormatting sqref="BC44">
    <cfRule type="containsText" dxfId="1109" priority="1538" stopIfTrue="1" operator="containsText" text="FALSE">
      <formula>NOT(ISERROR(SEARCH("FALSE",BC44)))</formula>
    </cfRule>
  </conditionalFormatting>
  <conditionalFormatting sqref="BC119">
    <cfRule type="containsText" dxfId="1108" priority="1506" stopIfTrue="1" operator="containsText" text="FALSE">
      <formula>NOT(ISERROR(SEARCH("FALSE",BC119)))</formula>
    </cfRule>
  </conditionalFormatting>
  <conditionalFormatting sqref="BC148">
    <cfRule type="containsText" dxfId="1107" priority="1505" stopIfTrue="1" operator="containsText" text="FALSE">
      <formula>NOT(ISERROR(SEARCH("FALSE",BC148)))</formula>
    </cfRule>
  </conditionalFormatting>
  <conditionalFormatting sqref="BC138:BF138">
    <cfRule type="containsText" dxfId="1106" priority="1504" stopIfTrue="1" operator="containsText" text="FALSE">
      <formula>NOT(ISERROR(SEARCH("FALSE",BC138)))</formula>
    </cfRule>
  </conditionalFormatting>
  <conditionalFormatting sqref="BC144:BF144">
    <cfRule type="containsText" dxfId="1105" priority="1502" stopIfTrue="1" operator="containsText" text="FALSE">
      <formula>NOT(ISERROR(SEARCH("FALSE",BC144)))</formula>
    </cfRule>
  </conditionalFormatting>
  <conditionalFormatting sqref="BC7:BC12">
    <cfRule type="containsText" dxfId="1104" priority="1537" stopIfTrue="1" operator="containsText" text="FALSE">
      <formula>NOT(ISERROR(SEARCH("FALSE",BC7)))</formula>
    </cfRule>
  </conditionalFormatting>
  <conditionalFormatting sqref="BC18">
    <cfRule type="containsText" dxfId="1103" priority="1536" stopIfTrue="1" operator="containsText" text="FALSE">
      <formula>NOT(ISERROR(SEARCH("FALSE",BC18)))</formula>
    </cfRule>
  </conditionalFormatting>
  <conditionalFormatting sqref="BC14">
    <cfRule type="containsText" dxfId="1102" priority="1535" stopIfTrue="1" operator="containsText" text="FALSE">
      <formula>NOT(ISERROR(SEARCH("FALSE",BC14)))</formula>
    </cfRule>
  </conditionalFormatting>
  <conditionalFormatting sqref="BC17">
    <cfRule type="containsText" dxfId="1101" priority="1534" stopIfTrue="1" operator="containsText" text="FALSE">
      <formula>NOT(ISERROR(SEARCH("FALSE",BC17)))</formula>
    </cfRule>
  </conditionalFormatting>
  <conditionalFormatting sqref="BC15:BC16">
    <cfRule type="containsText" dxfId="1100" priority="1532" stopIfTrue="1" operator="containsText" text="FALSE">
      <formula>NOT(ISERROR(SEARCH("FALSE",BC15)))</formula>
    </cfRule>
  </conditionalFormatting>
  <conditionalFormatting sqref="BC6">
    <cfRule type="containsText" dxfId="1099" priority="1531" stopIfTrue="1" operator="containsText" text="FALSE">
      <formula>NOT(ISERROR(SEARCH("FALSE",BC6)))</formula>
    </cfRule>
  </conditionalFormatting>
  <conditionalFormatting sqref="BC23:BC24">
    <cfRule type="containsText" dxfId="1098" priority="1529" stopIfTrue="1" operator="containsText" text="FALSE">
      <formula>NOT(ISERROR(SEARCH("FALSE",BC23)))</formula>
    </cfRule>
  </conditionalFormatting>
  <conditionalFormatting sqref="BC32 BC25:BC28">
    <cfRule type="containsText" dxfId="1097" priority="1530" stopIfTrue="1" operator="containsText" text="FALSE">
      <formula>NOT(ISERROR(SEARCH("FALSE",BC25)))</formula>
    </cfRule>
  </conditionalFormatting>
  <conditionalFormatting sqref="BC30">
    <cfRule type="containsText" dxfId="1096" priority="1528" stopIfTrue="1" operator="containsText" text="FALSE">
      <formula>NOT(ISERROR(SEARCH("FALSE",BC30)))</formula>
    </cfRule>
  </conditionalFormatting>
  <conditionalFormatting sqref="BC31">
    <cfRule type="containsText" dxfId="1095" priority="1527" stopIfTrue="1" operator="containsText" text="FALSE">
      <formula>NOT(ISERROR(SEARCH("FALSE",BC31)))</formula>
    </cfRule>
  </conditionalFormatting>
  <conditionalFormatting sqref="BC22">
    <cfRule type="containsText" dxfId="1094" priority="1526" stopIfTrue="1" operator="containsText" text="FALSE">
      <formula>NOT(ISERROR(SEARCH("FALSE",BC22)))</formula>
    </cfRule>
  </conditionalFormatting>
  <conditionalFormatting sqref="BC36:BC39">
    <cfRule type="containsText" dxfId="1093" priority="1525" stopIfTrue="1" operator="containsText" text="FALSE">
      <formula>NOT(ISERROR(SEARCH("FALSE",BC36)))</formula>
    </cfRule>
  </conditionalFormatting>
  <conditionalFormatting sqref="BC49:BC52">
    <cfRule type="containsText" dxfId="1092" priority="1524" stopIfTrue="1" operator="containsText" text="FALSE">
      <formula>NOT(ISERROR(SEARCH("FALSE",BC49)))</formula>
    </cfRule>
  </conditionalFormatting>
  <conditionalFormatting sqref="BC72">
    <cfRule type="containsText" dxfId="1091" priority="1520" stopIfTrue="1" operator="containsText" text="FALSE">
      <formula>NOT(ISERROR(SEARCH("FALSE",BC72)))</formula>
    </cfRule>
  </conditionalFormatting>
  <conditionalFormatting sqref="BC68:BC69">
    <cfRule type="containsText" dxfId="1090" priority="1523" stopIfTrue="1" operator="containsText" text="FALSE">
      <formula>NOT(ISERROR(SEARCH("FALSE",BC68)))</formula>
    </cfRule>
  </conditionalFormatting>
  <conditionalFormatting sqref="BC71">
    <cfRule type="containsText" dxfId="1089" priority="1522" stopIfTrue="1" operator="containsText" text="FALSE">
      <formula>NOT(ISERROR(SEARCH("FALSE",BC71)))</formula>
    </cfRule>
  </conditionalFormatting>
  <conditionalFormatting sqref="BC70">
    <cfRule type="containsText" dxfId="1088" priority="1521" stopIfTrue="1" operator="containsText" text="FALSE">
      <formula>NOT(ISERROR(SEARCH("FALSE",BC70)))</formula>
    </cfRule>
  </conditionalFormatting>
  <conditionalFormatting sqref="BC66:BC67">
    <cfRule type="containsText" dxfId="1087" priority="1519" stopIfTrue="1" operator="containsText" text="FALSE">
      <formula>NOT(ISERROR(SEARCH("FALSE",BC66)))</formula>
    </cfRule>
  </conditionalFormatting>
  <conditionalFormatting sqref="BC64:BC65">
    <cfRule type="containsText" dxfId="1086" priority="1518" stopIfTrue="1" operator="containsText" text="FALSE">
      <formula>NOT(ISERROR(SEARCH("FALSE",BC64)))</formula>
    </cfRule>
  </conditionalFormatting>
  <conditionalFormatting sqref="BC62:BC63">
    <cfRule type="containsText" dxfId="1085" priority="1517" stopIfTrue="1" operator="containsText" text="FALSE">
      <formula>NOT(ISERROR(SEARCH("FALSE",BC62)))</formula>
    </cfRule>
  </conditionalFormatting>
  <conditionalFormatting sqref="BC85">
    <cfRule type="containsText" dxfId="1084" priority="1516" stopIfTrue="1" operator="containsText" text="FALSE">
      <formula>NOT(ISERROR(SEARCH("FALSE",BC85)))</formula>
    </cfRule>
  </conditionalFormatting>
  <conditionalFormatting sqref="BC86:BC87">
    <cfRule type="containsText" dxfId="1083" priority="1515" stopIfTrue="1" operator="containsText" text="FALSE">
      <formula>NOT(ISERROR(SEARCH("FALSE",BC86)))</formula>
    </cfRule>
  </conditionalFormatting>
  <conditionalFormatting sqref="BC99:BC101">
    <cfRule type="containsText" dxfId="1082" priority="1512" stopIfTrue="1" operator="containsText" text="FALSE">
      <formula>NOT(ISERROR(SEARCH("FALSE",BC99)))</formula>
    </cfRule>
  </conditionalFormatting>
  <conditionalFormatting sqref="BC102:BC109 BC111:BC114 BC117">
    <cfRule type="containsText" dxfId="1081" priority="1514" stopIfTrue="1" operator="containsText" text="FALSE">
      <formula>NOT(ISERROR(SEARCH("FALSE",BC102)))</formula>
    </cfRule>
  </conditionalFormatting>
  <conditionalFormatting sqref="BC118 BC121">
    <cfRule type="containsText" dxfId="1080" priority="1510" stopIfTrue="1" operator="containsText" text="FALSE">
      <formula>NOT(ISERROR(SEARCH("FALSE",BC118)))</formula>
    </cfRule>
  </conditionalFormatting>
  <conditionalFormatting sqref="BC122">
    <cfRule type="containsText" dxfId="1079" priority="1511" stopIfTrue="1" operator="containsText" text="FALSE">
      <formula>NOT(ISERROR(SEARCH("FALSE",BC122)))</formula>
    </cfRule>
  </conditionalFormatting>
  <conditionalFormatting sqref="BC115:BC116">
    <cfRule type="containsText" dxfId="1078" priority="1509" stopIfTrue="1" operator="containsText" text="FALSE">
      <formula>NOT(ISERROR(SEARCH("FALSE",BC115)))</formula>
    </cfRule>
  </conditionalFormatting>
  <conditionalFormatting sqref="BC110">
    <cfRule type="containsText" dxfId="1077" priority="1508" stopIfTrue="1" operator="containsText" text="FALSE">
      <formula>NOT(ISERROR(SEARCH("FALSE",BC110)))</formula>
    </cfRule>
  </conditionalFormatting>
  <conditionalFormatting sqref="BF161">
    <cfRule type="containsText" dxfId="1076" priority="1480" stopIfTrue="1" operator="containsText" text="FALSE">
      <formula>NOT(ISERROR(SEARCH("FALSE",BF161)))</formula>
    </cfRule>
  </conditionalFormatting>
  <conditionalFormatting sqref="BC196:BC197 BC194 BC185:BC188 BC181:BC183 BC191:BC192">
    <cfRule type="containsText" dxfId="1075" priority="1500" stopIfTrue="1" operator="containsText" text="FALSE">
      <formula>NOT(ISERROR(SEARCH("FALSE",BC181)))</formula>
    </cfRule>
  </conditionalFormatting>
  <conditionalFormatting sqref="BC181">
    <cfRule type="containsText" dxfId="1074" priority="1499" stopIfTrue="1" operator="containsText" text="FALSE">
      <formula>NOT(ISERROR(SEARCH("FALSE",BC181)))</formula>
    </cfRule>
  </conditionalFormatting>
  <conditionalFormatting sqref="BC184">
    <cfRule type="containsText" dxfId="1073" priority="1498" stopIfTrue="1" operator="containsText" text="FALSE">
      <formula>NOT(ISERROR(SEARCH("FALSE",BC184)))</formula>
    </cfRule>
  </conditionalFormatting>
  <conditionalFormatting sqref="BC189:BC190">
    <cfRule type="containsText" dxfId="1072" priority="1497" stopIfTrue="1" operator="containsText" text="FALSE">
      <formula>NOT(ISERROR(SEARCH("FALSE",BC189)))</formula>
    </cfRule>
  </conditionalFormatting>
  <conditionalFormatting sqref="BC204:BC205">
    <cfRule type="containsText" dxfId="1071" priority="1489" stopIfTrue="1" operator="containsText" text="FALSE">
      <formula>NOT(ISERROR(SEARCH("FALSE",BC204)))</formula>
    </cfRule>
  </conditionalFormatting>
  <conditionalFormatting sqref="BC255 BC253">
    <cfRule type="containsText" dxfId="1070" priority="1488" stopIfTrue="1" operator="containsText" text="FALSE">
      <formula>NOT(ISERROR(SEARCH("FALSE",BC253)))</formula>
    </cfRule>
  </conditionalFormatting>
  <conditionalFormatting sqref="BC256">
    <cfRule type="containsText" dxfId="1069" priority="1487" stopIfTrue="1" operator="containsText" text="FALSE">
      <formula>NOT(ISERROR(SEARCH("FALSE",BC256)))</formula>
    </cfRule>
  </conditionalFormatting>
  <conditionalFormatting sqref="BC254">
    <cfRule type="containsText" dxfId="1068" priority="1486" stopIfTrue="1" operator="containsText" text="FALSE">
      <formula>NOT(ISERROR(SEARCH("FALSE",BC254)))</formula>
    </cfRule>
  </conditionalFormatting>
  <conditionalFormatting sqref="BC267:BC286">
    <cfRule type="containsText" dxfId="1067" priority="1484" stopIfTrue="1" operator="containsText" text="FALSE">
      <formula>NOT(ISERROR(SEARCH("FALSE",BC267)))</formula>
    </cfRule>
  </conditionalFormatting>
  <conditionalFormatting sqref="BC287">
    <cfRule type="containsText" dxfId="1066" priority="1483" stopIfTrue="1" operator="containsText" text="FALSE">
      <formula>NOT(ISERROR(SEARCH("FALSE",BC287)))</formula>
    </cfRule>
  </conditionalFormatting>
  <conditionalFormatting sqref="BC260:BC261">
    <cfRule type="containsText" dxfId="1065" priority="1482" stopIfTrue="1" operator="containsText" text="FALSE">
      <formula>NOT(ISERROR(SEARCH("FALSE",BC260)))</formula>
    </cfRule>
  </conditionalFormatting>
  <conditionalFormatting sqref="BF162:BF163">
    <cfRule type="containsText" dxfId="1064" priority="1481" stopIfTrue="1" operator="containsText" text="FALSE">
      <formula>NOT(ISERROR(SEARCH("FALSE",BF162)))</formula>
    </cfRule>
  </conditionalFormatting>
  <conditionalFormatting sqref="BC243">
    <cfRule type="containsText" dxfId="1063" priority="1479" stopIfTrue="1" operator="containsText" text="FALSE">
      <formula>NOT(ISERROR(SEARCH("FALSE",BC243)))</formula>
    </cfRule>
  </conditionalFormatting>
  <conditionalFormatting sqref="BC244">
    <cfRule type="containsText" dxfId="1062" priority="1478" stopIfTrue="1" operator="containsText" text="FALSE">
      <formula>NOT(ISERROR(SEARCH("FALSE",BC244)))</formula>
    </cfRule>
  </conditionalFormatting>
  <conditionalFormatting sqref="BF55">
    <cfRule type="containsText" dxfId="1061" priority="1477" stopIfTrue="1" operator="containsText" text="FALSE">
      <formula>NOT(ISERROR(SEARCH("FALSE",BF55)))</formula>
    </cfRule>
  </conditionalFormatting>
  <conditionalFormatting sqref="BD158:BD159 BD175:BD178">
    <cfRule type="containsText" dxfId="1060" priority="1476" stopIfTrue="1" operator="containsText" text="FALSE">
      <formula>NOT(ISERROR(SEARCH("FALSE",BD158)))</formula>
    </cfRule>
  </conditionalFormatting>
  <conditionalFormatting sqref="BD48:BD52 BD82 BD84 BD257">
    <cfRule type="containsText" dxfId="1059" priority="1475" stopIfTrue="1" operator="containsText" text="FALSE">
      <formula>NOT(ISERROR(SEARCH("FALSE",BD48)))</formula>
    </cfRule>
  </conditionalFormatting>
  <conditionalFormatting sqref="BD97:BD98">
    <cfRule type="containsText" dxfId="1058" priority="1473" stopIfTrue="1" operator="containsText" text="FALSE">
      <formula>NOT(ISERROR(SEARCH("FALSE",BD97)))</formula>
    </cfRule>
  </conditionalFormatting>
  <conditionalFormatting sqref="BD99:BD101">
    <cfRule type="containsText" dxfId="1057" priority="1469" stopIfTrue="1" operator="containsText" text="FALSE">
      <formula>NOT(ISERROR(SEARCH("FALSE",BD99)))</formula>
    </cfRule>
  </conditionalFormatting>
  <conditionalFormatting sqref="BD72">
    <cfRule type="containsText" dxfId="1056" priority="1461" stopIfTrue="1" operator="containsText" text="FALSE">
      <formula>NOT(ISERROR(SEARCH("FALSE",BD72)))</formula>
    </cfRule>
  </conditionalFormatting>
  <conditionalFormatting sqref="BD324">
    <cfRule type="containsText" dxfId="1055" priority="1451" stopIfTrue="1" operator="containsText" text="FALSE">
      <formula>NOT(ISERROR(SEARCH("FALSE",BD324)))</formula>
    </cfRule>
  </conditionalFormatting>
  <conditionalFormatting sqref="BD329">
    <cfRule type="containsText" dxfId="1054" priority="1450" stopIfTrue="1" operator="containsText" text="FALSE">
      <formula>NOT(ISERROR(SEARCH("FALSE",BD329)))</formula>
    </cfRule>
  </conditionalFormatting>
  <conditionalFormatting sqref="BD335">
    <cfRule type="containsText" dxfId="1053" priority="1449" stopIfTrue="1" operator="containsText" text="FALSE">
      <formula>NOT(ISERROR(SEARCH("FALSE",BD335)))</formula>
    </cfRule>
  </conditionalFormatting>
  <conditionalFormatting sqref="BD345">
    <cfRule type="containsText" dxfId="1052" priority="1448" stopIfTrue="1" operator="containsText" text="FALSE">
      <formula>NOT(ISERROR(SEARCH("FALSE",BD345)))</formula>
    </cfRule>
  </conditionalFormatting>
  <conditionalFormatting sqref="BD56">
    <cfRule type="containsText" dxfId="1051" priority="1447" stopIfTrue="1" operator="containsText" text="FALSE">
      <formula>NOT(ISERROR(SEARCH("FALSE",BD56)))</formula>
    </cfRule>
  </conditionalFormatting>
  <conditionalFormatting sqref="BD149:BD150 BD130 BD154:BD155 BD202 BD46 BD164:BD165 BD123 BD181:BD183 BD306:BD313 BD315:BD318 BD320:BD323 BD325:BD328 BD330:BD334 BD336:BD344 BD346:BD353 BD19:BD21 BD2:BD5 BD102:BD109 BD296:BD304 BD34 BD43:BD44 BD59:BD61 BD170 BD66:BD69 BD88:BD89 BD7:BD12 BD36:BD39 BD41 BD54 BD111:BD114 BD117">
    <cfRule type="containsText" dxfId="1050" priority="1474" stopIfTrue="1" operator="containsText" text="FALSE">
      <formula>NOT(ISERROR(SEARCH("FALSE",BD2)))</formula>
    </cfRule>
  </conditionalFormatting>
  <conditionalFormatting sqref="BD42">
    <cfRule type="containsText" dxfId="1049" priority="1472" stopIfTrue="1" operator="containsText" text="FALSE">
      <formula>NOT(ISERROR(SEARCH("FALSE",BD42)))</formula>
    </cfRule>
  </conditionalFormatting>
  <conditionalFormatting sqref="BD71">
    <cfRule type="containsText" dxfId="1048" priority="1471" stopIfTrue="1" operator="containsText" text="FALSE">
      <formula>NOT(ISERROR(SEARCH("FALSE",BD71)))</formula>
    </cfRule>
  </conditionalFormatting>
  <conditionalFormatting sqref="BD181">
    <cfRule type="containsText" dxfId="1047" priority="1470" stopIfTrue="1" operator="containsText" text="FALSE">
      <formula>NOT(ISERROR(SEARCH("FALSE",BD181)))</formula>
    </cfRule>
  </conditionalFormatting>
  <conditionalFormatting sqref="BD92">
    <cfRule type="containsText" dxfId="1046" priority="1468" stopIfTrue="1" operator="containsText" text="FALSE">
      <formula>NOT(ISERROR(SEARCH("FALSE",BD92)))</formula>
    </cfRule>
  </conditionalFormatting>
  <conditionalFormatting sqref="BD17">
    <cfRule type="containsText" dxfId="1045" priority="1439" stopIfTrue="1" operator="containsText" text="FALSE">
      <formula>NOT(ISERROR(SEARCH("FALSE",BD17)))</formula>
    </cfRule>
  </conditionalFormatting>
  <conditionalFormatting sqref="BD124">
    <cfRule type="containsText" dxfId="1044" priority="1466" stopIfTrue="1" operator="containsText" text="FALSE">
      <formula>NOT(ISERROR(SEARCH("FALSE",BD124)))</formula>
    </cfRule>
  </conditionalFormatting>
  <conditionalFormatting sqref="BD75">
    <cfRule type="containsText" dxfId="1043" priority="1465" stopIfTrue="1" operator="containsText" text="FALSE">
      <formula>NOT(ISERROR(SEARCH("FALSE",BD75)))</formula>
    </cfRule>
  </conditionalFormatting>
  <conditionalFormatting sqref="BD78">
    <cfRule type="containsText" dxfId="1042" priority="1464" stopIfTrue="1" operator="containsText" text="FALSE">
      <formula>NOT(ISERROR(SEARCH("FALSE",BD78)))</formula>
    </cfRule>
  </conditionalFormatting>
  <conditionalFormatting sqref="BD70">
    <cfRule type="containsText" dxfId="1041" priority="1462" stopIfTrue="1" operator="containsText" text="FALSE">
      <formula>NOT(ISERROR(SEARCH("FALSE",BD70)))</formula>
    </cfRule>
  </conditionalFormatting>
  <conditionalFormatting sqref="BD122">
    <cfRule type="containsText" dxfId="1040" priority="1426" stopIfTrue="1" operator="containsText" text="FALSE">
      <formula>NOT(ISERROR(SEARCH("FALSE",BD122)))</formula>
    </cfRule>
  </conditionalFormatting>
  <conditionalFormatting sqref="BD118 BD120:BD121">
    <cfRule type="containsText" dxfId="1039" priority="1460" stopIfTrue="1" operator="containsText" text="FALSE">
      <formula>NOT(ISERROR(SEARCH("FALSE",BD118)))</formula>
    </cfRule>
  </conditionalFormatting>
  <conditionalFormatting sqref="BD18">
    <cfRule type="containsText" dxfId="1038" priority="1459" stopIfTrue="1" operator="containsText" text="FALSE">
      <formula>NOT(ISERROR(SEARCH("FALSE",BD18)))</formula>
    </cfRule>
  </conditionalFormatting>
  <conditionalFormatting sqref="BD115:BD116">
    <cfRule type="containsText" dxfId="1037" priority="1458" stopIfTrue="1" operator="containsText" text="FALSE">
      <formula>NOT(ISERROR(SEARCH("FALSE",BD115)))</formula>
    </cfRule>
  </conditionalFormatting>
  <conditionalFormatting sqref="BD33">
    <cfRule type="containsText" dxfId="1036" priority="1457" stopIfTrue="1" operator="containsText" text="FALSE">
      <formula>NOT(ISERROR(SEARCH("FALSE",BD33)))</formula>
    </cfRule>
  </conditionalFormatting>
  <conditionalFormatting sqref="BD148">
    <cfRule type="containsText" dxfId="1035" priority="1456" stopIfTrue="1" operator="containsText" text="FALSE">
      <formula>NOT(ISERROR(SEARCH("FALSE",BD148)))</formula>
    </cfRule>
  </conditionalFormatting>
  <conditionalFormatting sqref="BD201">
    <cfRule type="containsText" dxfId="1034" priority="1455" stopIfTrue="1" operator="containsText" text="FALSE">
      <formula>NOT(ISERROR(SEARCH("FALSE",BD201)))</formula>
    </cfRule>
  </conditionalFormatting>
  <conditionalFormatting sqref="BD305">
    <cfRule type="containsText" dxfId="1033" priority="1454" stopIfTrue="1" operator="containsText" text="FALSE">
      <formula>NOT(ISERROR(SEARCH("FALSE",BD305)))</formula>
    </cfRule>
  </conditionalFormatting>
  <conditionalFormatting sqref="BD314">
    <cfRule type="containsText" dxfId="1032" priority="1453" stopIfTrue="1" operator="containsText" text="FALSE">
      <formula>NOT(ISERROR(SEARCH("FALSE",BD314)))</formula>
    </cfRule>
  </conditionalFormatting>
  <conditionalFormatting sqref="BD319">
    <cfRule type="containsText" dxfId="1031" priority="1452" stopIfTrue="1" operator="containsText" text="FALSE">
      <formula>NOT(ISERROR(SEARCH("FALSE",BD319)))</formula>
    </cfRule>
  </conditionalFormatting>
  <conditionalFormatting sqref="BD247">
    <cfRule type="containsText" dxfId="1030" priority="1446" stopIfTrue="1" operator="containsText" text="FALSE">
      <formula>NOT(ISERROR(SEARCH("FALSE",BD247)))</formula>
    </cfRule>
  </conditionalFormatting>
  <conditionalFormatting sqref="BD290:BD295">
    <cfRule type="containsText" dxfId="1029" priority="1445" stopIfTrue="1" operator="containsText" text="FALSE">
      <formula>NOT(ISERROR(SEARCH("FALSE",BD290)))</formula>
    </cfRule>
  </conditionalFormatting>
  <conditionalFormatting sqref="BD258">
    <cfRule type="containsText" dxfId="1028" priority="1444" stopIfTrue="1" operator="containsText" text="FALSE">
      <formula>NOT(ISERROR(SEARCH("FALSE",BD258)))</formula>
    </cfRule>
  </conditionalFormatting>
  <conditionalFormatting sqref="BD213">
    <cfRule type="containsText" dxfId="1027" priority="1443" stopIfTrue="1" operator="containsText" text="FALSE">
      <formula>NOT(ISERROR(SEARCH("FALSE",BD213)))</formula>
    </cfRule>
  </conditionalFormatting>
  <conditionalFormatting sqref="BD259">
    <cfRule type="containsText" dxfId="1026" priority="1442" stopIfTrue="1" operator="containsText" text="FALSE">
      <formula>NOT(ISERROR(SEARCH("FALSE",BD259)))</formula>
    </cfRule>
  </conditionalFormatting>
  <conditionalFormatting sqref="BD119">
    <cfRule type="containsText" dxfId="1025" priority="1436" stopIfTrue="1" operator="containsText" text="FALSE">
      <formula>NOT(ISERROR(SEARCH("FALSE",BD119)))</formula>
    </cfRule>
  </conditionalFormatting>
  <conditionalFormatting sqref="BD47">
    <cfRule type="containsText" dxfId="1024" priority="1441" stopIfTrue="1" operator="containsText" text="FALSE">
      <formula>NOT(ISERROR(SEARCH("FALSE",BD47)))</formula>
    </cfRule>
  </conditionalFormatting>
  <conditionalFormatting sqref="BD57">
    <cfRule type="containsText" dxfId="1023" priority="1440" stopIfTrue="1" operator="containsText" text="FALSE">
      <formula>NOT(ISERROR(SEARCH("FALSE",BD57)))</formula>
    </cfRule>
  </conditionalFormatting>
  <conditionalFormatting sqref="BD86:BD87">
    <cfRule type="containsText" dxfId="1022" priority="1438" stopIfTrue="1" operator="containsText" text="FALSE">
      <formula>NOT(ISERROR(SEARCH("FALSE",BD86)))</formula>
    </cfRule>
  </conditionalFormatting>
  <conditionalFormatting sqref="BD85">
    <cfRule type="containsText" dxfId="1021" priority="1437" stopIfTrue="1" operator="containsText" text="FALSE">
      <formula>NOT(ISERROR(SEARCH("FALSE",BD85)))</formula>
    </cfRule>
  </conditionalFormatting>
  <conditionalFormatting sqref="BD244">
    <cfRule type="containsText" dxfId="1020" priority="1435" stopIfTrue="1" operator="containsText" text="FALSE">
      <formula>NOT(ISERROR(SEARCH("FALSE",BD244)))</formula>
    </cfRule>
  </conditionalFormatting>
  <conditionalFormatting sqref="BD81">
    <cfRule type="containsText" dxfId="1019" priority="1434" stopIfTrue="1" operator="containsText" text="FALSE">
      <formula>NOT(ISERROR(SEARCH("FALSE",BD81)))</formula>
    </cfRule>
  </conditionalFormatting>
  <conditionalFormatting sqref="BD125">
    <cfRule type="containsText" dxfId="1018" priority="1433" stopIfTrue="1" operator="containsText" text="FALSE">
      <formula>NOT(ISERROR(SEARCH("FALSE",BD125)))</formula>
    </cfRule>
  </conditionalFormatting>
  <conditionalFormatting sqref="BD126">
    <cfRule type="containsText" dxfId="1017" priority="1432" stopIfTrue="1" operator="containsText" text="FALSE">
      <formula>NOT(ISERROR(SEARCH("FALSE",BD126)))</formula>
    </cfRule>
  </conditionalFormatting>
  <conditionalFormatting sqref="BD131:BD132 BD137">
    <cfRule type="containsText" dxfId="1016" priority="1431" stopIfTrue="1" operator="containsText" text="FALSE">
      <formula>NOT(ISERROR(SEARCH("FALSE",BD131)))</formula>
    </cfRule>
  </conditionalFormatting>
  <conditionalFormatting sqref="BD141">
    <cfRule type="containsText" dxfId="1015" priority="1430" stopIfTrue="1" operator="containsText" text="FALSE">
      <formula>NOT(ISERROR(SEARCH("FALSE",BD141)))</formula>
    </cfRule>
  </conditionalFormatting>
  <conditionalFormatting sqref="BD133">
    <cfRule type="containsText" dxfId="1014" priority="1429" stopIfTrue="1" operator="containsText" text="FALSE">
      <formula>NOT(ISERROR(SEARCH("FALSE",BD133)))</formula>
    </cfRule>
  </conditionalFormatting>
  <conditionalFormatting sqref="BD151">
    <cfRule type="containsText" dxfId="1013" priority="1425" stopIfTrue="1" operator="containsText" text="FALSE">
      <formula>NOT(ISERROR(SEARCH("FALSE",BD151)))</formula>
    </cfRule>
  </conditionalFormatting>
  <conditionalFormatting sqref="BD135">
    <cfRule type="containsText" dxfId="1012" priority="1427" stopIfTrue="1" operator="containsText" text="FALSE">
      <formula>NOT(ISERROR(SEARCH("FALSE",BD135)))</formula>
    </cfRule>
  </conditionalFormatting>
  <conditionalFormatting sqref="BD152">
    <cfRule type="containsText" dxfId="1011" priority="1424" stopIfTrue="1" operator="containsText" text="FALSE">
      <formula>NOT(ISERROR(SEARCH("FALSE",BD152)))</formula>
    </cfRule>
  </conditionalFormatting>
  <conditionalFormatting sqref="BD153">
    <cfRule type="containsText" dxfId="1010" priority="1423" stopIfTrue="1" operator="containsText" text="FALSE">
      <formula>NOT(ISERROR(SEARCH("FALSE",BD153)))</formula>
    </cfRule>
  </conditionalFormatting>
  <conditionalFormatting sqref="BD156:BD157">
    <cfRule type="containsText" dxfId="1009" priority="1422" stopIfTrue="1" operator="containsText" text="FALSE">
      <formula>NOT(ISERROR(SEARCH("FALSE",BD156)))</formula>
    </cfRule>
  </conditionalFormatting>
  <conditionalFormatting sqref="BD160">
    <cfRule type="containsText" dxfId="1008" priority="1421" stopIfTrue="1" operator="containsText" text="FALSE">
      <formula>NOT(ISERROR(SEARCH("FALSE",BD160)))</formula>
    </cfRule>
  </conditionalFormatting>
  <conditionalFormatting sqref="BD169">
    <cfRule type="containsText" dxfId="1007" priority="1420" stopIfTrue="1" operator="containsText" text="FALSE">
      <formula>NOT(ISERROR(SEARCH("FALSE",BD169)))</formula>
    </cfRule>
  </conditionalFormatting>
  <conditionalFormatting sqref="BD166">
    <cfRule type="containsText" dxfId="1006" priority="1419" stopIfTrue="1" operator="containsText" text="FALSE">
      <formula>NOT(ISERROR(SEARCH("FALSE",BD166)))</formula>
    </cfRule>
  </conditionalFormatting>
  <conditionalFormatting sqref="BD167">
    <cfRule type="containsText" dxfId="1005" priority="1418" stopIfTrue="1" operator="containsText" text="FALSE">
      <formula>NOT(ISERROR(SEARCH("FALSE",BD167)))</formula>
    </cfRule>
  </conditionalFormatting>
  <conditionalFormatting sqref="BD168">
    <cfRule type="containsText" dxfId="1004" priority="1417" stopIfTrue="1" operator="containsText" text="FALSE">
      <formula>NOT(ISERROR(SEARCH("FALSE",BD168)))</formula>
    </cfRule>
  </conditionalFormatting>
  <conditionalFormatting sqref="BD171:BD174">
    <cfRule type="containsText" dxfId="1003" priority="1416" stopIfTrue="1" operator="containsText" text="FALSE">
      <formula>NOT(ISERROR(SEARCH("FALSE",BD171)))</formula>
    </cfRule>
  </conditionalFormatting>
  <conditionalFormatting sqref="BD35">
    <cfRule type="containsText" dxfId="1002" priority="1415" stopIfTrue="1" operator="containsText" text="FALSE">
      <formula>NOT(ISERROR(SEARCH("FALSE",BD35)))</formula>
    </cfRule>
  </conditionalFormatting>
  <conditionalFormatting sqref="BD62:BD65">
    <cfRule type="containsText" dxfId="1001" priority="1414" stopIfTrue="1" operator="containsText" text="FALSE">
      <formula>NOT(ISERROR(SEARCH("FALSE",BD62)))</formula>
    </cfRule>
  </conditionalFormatting>
  <conditionalFormatting sqref="BD6">
    <cfRule type="containsText" dxfId="1000" priority="1413" stopIfTrue="1" operator="containsText" text="FALSE">
      <formula>NOT(ISERROR(SEARCH("FALSE",BD6)))</formula>
    </cfRule>
  </conditionalFormatting>
  <conditionalFormatting sqref="BD14">
    <cfRule type="containsText" dxfId="999" priority="1412" stopIfTrue="1" operator="containsText" text="FALSE">
      <formula>NOT(ISERROR(SEARCH("FALSE",BD14)))</formula>
    </cfRule>
  </conditionalFormatting>
  <conditionalFormatting sqref="BD15:BD16">
    <cfRule type="containsText" dxfId="998" priority="1410" stopIfTrue="1" operator="containsText" text="FALSE">
      <formula>NOT(ISERROR(SEARCH("FALSE",BD15)))</formula>
    </cfRule>
  </conditionalFormatting>
  <conditionalFormatting sqref="BD23:BD24">
    <cfRule type="containsText" dxfId="997" priority="1407" stopIfTrue="1" operator="containsText" text="FALSE">
      <formula>NOT(ISERROR(SEARCH("FALSE",BD23)))</formula>
    </cfRule>
  </conditionalFormatting>
  <conditionalFormatting sqref="BD32 BD25:BD28">
    <cfRule type="containsText" dxfId="996" priority="1408" stopIfTrue="1" operator="containsText" text="FALSE">
      <formula>NOT(ISERROR(SEARCH("FALSE",BD25)))</formula>
    </cfRule>
  </conditionalFormatting>
  <conditionalFormatting sqref="BD30">
    <cfRule type="containsText" dxfId="995" priority="1406" stopIfTrue="1" operator="containsText" text="FALSE">
      <formula>NOT(ISERROR(SEARCH("FALSE",BD30)))</formula>
    </cfRule>
  </conditionalFormatting>
  <conditionalFormatting sqref="BD31">
    <cfRule type="containsText" dxfId="994" priority="1405" stopIfTrue="1" operator="containsText" text="FALSE">
      <formula>NOT(ISERROR(SEARCH("FALSE",BD31)))</formula>
    </cfRule>
  </conditionalFormatting>
  <conditionalFormatting sqref="BD245">
    <cfRule type="containsText" dxfId="993" priority="1404" stopIfTrue="1" operator="containsText" text="FALSE">
      <formula>NOT(ISERROR(SEARCH("FALSE",BD245)))</formula>
    </cfRule>
  </conditionalFormatting>
  <conditionalFormatting sqref="BD221:BD223 BD225:BD239 BD241 BD243">
    <cfRule type="containsText" dxfId="992" priority="1403" stopIfTrue="1" operator="containsText" text="FALSE">
      <formula>NOT(ISERROR(SEARCH("FALSE",BD221)))</formula>
    </cfRule>
  </conditionalFormatting>
  <conditionalFormatting sqref="BD215 BD218:BD219">
    <cfRule type="containsText" dxfId="991" priority="1402" stopIfTrue="1" operator="containsText" text="FALSE">
      <formula>NOT(ISERROR(SEARCH("FALSE",BD215)))</formula>
    </cfRule>
  </conditionalFormatting>
  <conditionalFormatting sqref="BD216">
    <cfRule type="containsText" dxfId="990" priority="1401" stopIfTrue="1" operator="containsText" text="FALSE">
      <formula>NOT(ISERROR(SEARCH("FALSE",BD216)))</formula>
    </cfRule>
  </conditionalFormatting>
  <conditionalFormatting sqref="BD224">
    <cfRule type="containsText" dxfId="989" priority="1400" stopIfTrue="1" operator="containsText" text="FALSE">
      <formula>NOT(ISERROR(SEARCH("FALSE",BD224)))</formula>
    </cfRule>
  </conditionalFormatting>
  <conditionalFormatting sqref="BD217">
    <cfRule type="containsText" dxfId="988" priority="1399" stopIfTrue="1" operator="containsText" text="FALSE">
      <formula>NOT(ISERROR(SEARCH("FALSE",BD217)))</formula>
    </cfRule>
  </conditionalFormatting>
  <conditionalFormatting sqref="BD256">
    <cfRule type="containsText" dxfId="987" priority="1398" stopIfTrue="1" operator="containsText" text="FALSE">
      <formula>NOT(ISERROR(SEARCH("FALSE",BD256)))</formula>
    </cfRule>
  </conditionalFormatting>
  <conditionalFormatting sqref="BD248">
    <cfRule type="containsText" dxfId="986" priority="1397" stopIfTrue="1" operator="containsText" text="FALSE">
      <formula>NOT(ISERROR(SEARCH("FALSE",BD248)))</formula>
    </cfRule>
  </conditionalFormatting>
  <conditionalFormatting sqref="BD249:BD252">
    <cfRule type="containsText" dxfId="985" priority="1396" stopIfTrue="1" operator="containsText" text="FALSE">
      <formula>NOT(ISERROR(SEARCH("FALSE",BD249)))</formula>
    </cfRule>
  </conditionalFormatting>
  <conditionalFormatting sqref="BD260:BD264">
    <cfRule type="containsText" dxfId="984" priority="1395" stopIfTrue="1" operator="containsText" text="FALSE">
      <formula>NOT(ISERROR(SEARCH("FALSE",BD260)))</formula>
    </cfRule>
  </conditionalFormatting>
  <conditionalFormatting sqref="BD253">
    <cfRule type="containsText" dxfId="983" priority="1394" stopIfTrue="1" operator="containsText" text="FALSE">
      <formula>NOT(ISERROR(SEARCH("FALSE",BD253)))</formula>
    </cfRule>
  </conditionalFormatting>
  <conditionalFormatting sqref="BD254">
    <cfRule type="containsText" dxfId="982" priority="1393" stopIfTrue="1" operator="containsText" text="FALSE">
      <formula>NOT(ISERROR(SEARCH("FALSE",BD254)))</formula>
    </cfRule>
  </conditionalFormatting>
  <conditionalFormatting sqref="BD255">
    <cfRule type="containsText" dxfId="981" priority="1392" stopIfTrue="1" operator="containsText" text="FALSE">
      <formula>NOT(ISERROR(SEARCH("FALSE",BD255)))</formula>
    </cfRule>
  </conditionalFormatting>
  <conditionalFormatting sqref="BD266">
    <cfRule type="containsText" dxfId="980" priority="1391" stopIfTrue="1" operator="containsText" text="FALSE">
      <formula>NOT(ISERROR(SEARCH("FALSE",BD266)))</formula>
    </cfRule>
  </conditionalFormatting>
  <conditionalFormatting sqref="BD288:BD289 BD275:BD286">
    <cfRule type="containsText" dxfId="979" priority="1390" stopIfTrue="1" operator="containsText" text="FALSE">
      <formula>NOT(ISERROR(SEARCH("FALSE",BD275)))</formula>
    </cfRule>
  </conditionalFormatting>
  <conditionalFormatting sqref="BD267:BD274">
    <cfRule type="containsText" dxfId="978" priority="1389" stopIfTrue="1" operator="containsText" text="FALSE">
      <formula>NOT(ISERROR(SEARCH("FALSE",BD267)))</formula>
    </cfRule>
  </conditionalFormatting>
  <conditionalFormatting sqref="BD287">
    <cfRule type="containsText" dxfId="977" priority="1388" stopIfTrue="1" operator="containsText" text="FALSE">
      <formula>NOT(ISERROR(SEARCH("FALSE",BD287)))</formula>
    </cfRule>
  </conditionalFormatting>
  <conditionalFormatting sqref="BD196:BD197 BD194 BD185:BD188 BD191:BD192 BD199:BD200">
    <cfRule type="containsText" dxfId="976" priority="1386" stopIfTrue="1" operator="containsText" text="FALSE">
      <formula>NOT(ISERROR(SEARCH("FALSE",BD185)))</formula>
    </cfRule>
  </conditionalFormatting>
  <conditionalFormatting sqref="BD184">
    <cfRule type="containsText" dxfId="975" priority="1385" stopIfTrue="1" operator="containsText" text="FALSE">
      <formula>NOT(ISERROR(SEARCH("FALSE",BD184)))</formula>
    </cfRule>
  </conditionalFormatting>
  <conditionalFormatting sqref="BD198">
    <cfRule type="containsText" dxfId="974" priority="1384" stopIfTrue="1" operator="containsText" text="FALSE">
      <formula>NOT(ISERROR(SEARCH("FALSE",BD198)))</formula>
    </cfRule>
  </conditionalFormatting>
  <conditionalFormatting sqref="BD189:BD190">
    <cfRule type="containsText" dxfId="973" priority="1383" stopIfTrue="1" operator="containsText" text="FALSE">
      <formula>NOT(ISERROR(SEARCH("FALSE",BD189)))</formula>
    </cfRule>
  </conditionalFormatting>
  <conditionalFormatting sqref="BD195">
    <cfRule type="containsText" dxfId="972" priority="1382" stopIfTrue="1" operator="containsText" text="FALSE">
      <formula>NOT(ISERROR(SEARCH("FALSE",BD195)))</formula>
    </cfRule>
  </conditionalFormatting>
  <conditionalFormatting sqref="BD204:BD205">
    <cfRule type="containsText" dxfId="971" priority="1379" stopIfTrue="1" operator="containsText" text="FALSE">
      <formula>NOT(ISERROR(SEARCH("FALSE",BD204)))</formula>
    </cfRule>
  </conditionalFormatting>
  <conditionalFormatting sqref="BD206:BD209">
    <cfRule type="containsText" dxfId="970" priority="1381" stopIfTrue="1" operator="containsText" text="FALSE">
      <formula>NOT(ISERROR(SEARCH("FALSE",BD206)))</formula>
    </cfRule>
  </conditionalFormatting>
  <conditionalFormatting sqref="BD211:BD212">
    <cfRule type="containsText" dxfId="969" priority="1380" stopIfTrue="1" operator="containsText" text="FALSE">
      <formula>NOT(ISERROR(SEARCH("FALSE",BD211)))</formula>
    </cfRule>
  </conditionalFormatting>
  <conditionalFormatting sqref="BD161">
    <cfRule type="containsText" dxfId="968" priority="1378" stopIfTrue="1" operator="containsText" text="FALSE">
      <formula>NOT(ISERROR(SEARCH("FALSE",BD161)))</formula>
    </cfRule>
  </conditionalFormatting>
  <conditionalFormatting sqref="BI33:BJ33">
    <cfRule type="containsText" dxfId="967" priority="1338" stopIfTrue="1" operator="containsText" text="FALSE">
      <formula>NOT(ISERROR(SEARCH("FALSE",BI33)))</formula>
    </cfRule>
  </conditionalFormatting>
  <conditionalFormatting sqref="BD246">
    <cfRule type="containsText" dxfId="966" priority="1376" stopIfTrue="1" operator="containsText" text="FALSE">
      <formula>NOT(ISERROR(SEARCH("FALSE",BD246)))</formula>
    </cfRule>
  </conditionalFormatting>
  <conditionalFormatting sqref="BD220">
    <cfRule type="containsText" dxfId="965" priority="1375" stopIfTrue="1" operator="containsText" text="FALSE">
      <formula>NOT(ISERROR(SEARCH("FALSE",BD220)))</formula>
    </cfRule>
  </conditionalFormatting>
  <conditionalFormatting sqref="BD240">
    <cfRule type="containsText" dxfId="964" priority="1374" stopIfTrue="1" operator="containsText" text="FALSE">
      <formula>NOT(ISERROR(SEARCH("FALSE",BD240)))</formula>
    </cfRule>
  </conditionalFormatting>
  <conditionalFormatting sqref="BD242">
    <cfRule type="containsText" dxfId="963" priority="1373" stopIfTrue="1" operator="containsText" text="FALSE">
      <formula>NOT(ISERROR(SEARCH("FALSE",BD242)))</formula>
    </cfRule>
  </conditionalFormatting>
  <conditionalFormatting sqref="BC74">
    <cfRule type="containsText" dxfId="962" priority="1372" stopIfTrue="1" operator="containsText" text="FALSE">
      <formula>NOT(ISERROR(SEARCH("FALSE",BC74)))</formula>
    </cfRule>
  </conditionalFormatting>
  <conditionalFormatting sqref="BD74:BF74">
    <cfRule type="containsText" dxfId="961" priority="1371" stopIfTrue="1" operator="containsText" text="FALSE">
      <formula>NOT(ISERROR(SEARCH("FALSE",BD74)))</formula>
    </cfRule>
  </conditionalFormatting>
  <conditionalFormatting sqref="BC80">
    <cfRule type="containsText" dxfId="960" priority="1370" stopIfTrue="1" operator="containsText" text="FALSE">
      <formula>NOT(ISERROR(SEARCH("FALSE",BC80)))</formula>
    </cfRule>
  </conditionalFormatting>
  <conditionalFormatting sqref="BI175:BJ178 BI158:BJ159">
    <cfRule type="containsText" dxfId="959" priority="1366" stopIfTrue="1" operator="containsText" text="FALSE">
      <formula>NOT(ISERROR(SEARCH("FALSE",BI158)))</formula>
    </cfRule>
  </conditionalFormatting>
  <conditionalFormatting sqref="BI43:BJ43 BI260:BJ264 BI266:BJ266 BI245:BJ245 BI257:BJ257 BI48:BJ52 BI82:BJ89">
    <cfRule type="containsText" dxfId="958" priority="1365" stopIfTrue="1" operator="containsText" text="FALSE">
      <formula>NOT(ISERROR(SEARCH("FALSE",BI43)))</formula>
    </cfRule>
  </conditionalFormatting>
  <conditionalFormatting sqref="BI149:BJ150 BI130:BJ130 BI154:BJ155 BI202:BJ202 BI41:BJ41 BI54:BJ54 BI46:BJ46 BI31:BJ32 BI164:BJ165 BI196:BJ197 BI194:BJ194 BI206:BJ209 BI123:BJ123 BI185:BJ188 BI181:BJ183 BI191:BJ192 BI25:BJ28 BI111:BJ114 BI117:BJ117 BI199:BJ200 BI246:BJ246 BI19:BJ22 BI102:BJ109 BI59:BJ61 BI170:BJ170 BI36:BJ39 BI66:BJ69 BI34:BJ34 BI296:BJ304 BI346:BJ353 BI336:BJ344 BI330:BJ334 BI325:BJ328 BI320:BJ323 BI315:BJ318 BI306:BJ313 BI6:BJ12 BI14:BJ17">
    <cfRule type="containsText" dxfId="957" priority="1364" stopIfTrue="1" operator="containsText" text="FALSE">
      <formula>NOT(ISERROR(SEARCH("FALSE",BI6)))</formula>
    </cfRule>
  </conditionalFormatting>
  <conditionalFormatting sqref="BI97:BJ98">
    <cfRule type="containsText" dxfId="956" priority="1363" stopIfTrue="1" operator="containsText" text="FALSE">
      <formula>NOT(ISERROR(SEARCH("FALSE",BI97)))</formula>
    </cfRule>
  </conditionalFormatting>
  <conditionalFormatting sqref="BI211:BJ212">
    <cfRule type="containsText" dxfId="955" priority="1362" stopIfTrue="1" operator="containsText" text="FALSE">
      <formula>NOT(ISERROR(SEARCH("FALSE",BI211)))</formula>
    </cfRule>
  </conditionalFormatting>
  <conditionalFormatting sqref="BI195:BJ195">
    <cfRule type="containsText" dxfId="954" priority="1335" stopIfTrue="1" operator="containsText" text="FALSE">
      <formula>NOT(ISERROR(SEARCH("FALSE",BI195)))</formula>
    </cfRule>
  </conditionalFormatting>
  <conditionalFormatting sqref="BI71:BJ71">
    <cfRule type="containsText" dxfId="953" priority="1360" stopIfTrue="1" operator="containsText" text="FALSE">
      <formula>NOT(ISERROR(SEARCH("FALSE",BI71)))</formula>
    </cfRule>
  </conditionalFormatting>
  <conditionalFormatting sqref="BI23:BJ24">
    <cfRule type="containsText" dxfId="952" priority="1359" stopIfTrue="1" operator="containsText" text="FALSE">
      <formula>NOT(ISERROR(SEARCH("FALSE",BI23)))</formula>
    </cfRule>
  </conditionalFormatting>
  <conditionalFormatting sqref="BI181:BJ181">
    <cfRule type="containsText" dxfId="951" priority="1358" stopIfTrue="1" operator="containsText" text="FALSE">
      <formula>NOT(ISERROR(SEARCH("FALSE",BI181)))</formula>
    </cfRule>
  </conditionalFormatting>
  <conditionalFormatting sqref="BI99:BJ101">
    <cfRule type="containsText" dxfId="950" priority="1357" stopIfTrue="1" operator="containsText" text="FALSE">
      <formula>NOT(ISERROR(SEARCH("FALSE",BI99)))</formula>
    </cfRule>
  </conditionalFormatting>
  <conditionalFormatting sqref="BI92:BJ92">
    <cfRule type="containsText" dxfId="949" priority="1356" stopIfTrue="1" operator="containsText" text="FALSE">
      <formula>NOT(ISERROR(SEARCH("FALSE",BI92)))</formula>
    </cfRule>
  </conditionalFormatting>
  <conditionalFormatting sqref="BI238:BJ238">
    <cfRule type="containsText" dxfId="948" priority="1313" stopIfTrue="1" operator="containsText" text="FALSE">
      <formula>NOT(ISERROR(SEARCH("FALSE",BI238)))</formula>
    </cfRule>
  </conditionalFormatting>
  <conditionalFormatting sqref="BI324:BJ324">
    <cfRule type="containsText" dxfId="947" priority="1330" stopIfTrue="1" operator="containsText" text="FALSE">
      <formula>NOT(ISERROR(SEARCH("FALSE",BI324)))</formula>
    </cfRule>
  </conditionalFormatting>
  <conditionalFormatting sqref="BI78:BJ78">
    <cfRule type="containsText" dxfId="946" priority="1348" stopIfTrue="1" operator="containsText" text="FALSE">
      <formula>NOT(ISERROR(SEARCH("FALSE",BI78)))</formula>
    </cfRule>
  </conditionalFormatting>
  <conditionalFormatting sqref="BI335:BJ335">
    <cfRule type="containsText" dxfId="945" priority="1328" stopIfTrue="1" operator="containsText" text="FALSE">
      <formula>NOT(ISERROR(SEARCH("FALSE",BI335)))</formula>
    </cfRule>
  </conditionalFormatting>
  <conditionalFormatting sqref="BI221:BJ222 BI229:BJ230 BI236:BJ237 BI240:BJ240">
    <cfRule type="containsText" dxfId="944" priority="1319" stopIfTrue="1" operator="containsText" text="FALSE">
      <formula>NOT(ISERROR(SEARCH("FALSE",BI221)))</formula>
    </cfRule>
  </conditionalFormatting>
  <conditionalFormatting sqref="BI56:BJ56">
    <cfRule type="containsText" dxfId="943" priority="1326" stopIfTrue="1" operator="containsText" text="FALSE">
      <formula>NOT(ISERROR(SEARCH("FALSE",BI56)))</formula>
    </cfRule>
  </conditionalFormatting>
  <conditionalFormatting sqref="BI124:BJ124">
    <cfRule type="containsText" dxfId="942" priority="1354" stopIfTrue="1" operator="containsText" text="FALSE">
      <formula>NOT(ISERROR(SEARCH("FALSE",BI124)))</formula>
    </cfRule>
  </conditionalFormatting>
  <conditionalFormatting sqref="BI184:BJ184">
    <cfRule type="containsText" dxfId="941" priority="1352" stopIfTrue="1" operator="containsText" text="FALSE">
      <formula>NOT(ISERROR(SEARCH("FALSE",BI184)))</formula>
    </cfRule>
  </conditionalFormatting>
  <conditionalFormatting sqref="BI198:BJ198">
    <cfRule type="containsText" dxfId="940" priority="1351" stopIfTrue="1" operator="containsText" text="FALSE">
      <formula>NOT(ISERROR(SEARCH("FALSE",BI198)))</formula>
    </cfRule>
  </conditionalFormatting>
  <conditionalFormatting sqref="BI204:BJ205">
    <cfRule type="containsText" dxfId="939" priority="1350" stopIfTrue="1" operator="containsText" text="FALSE">
      <formula>NOT(ISERROR(SEARCH("FALSE",BI204)))</formula>
    </cfRule>
  </conditionalFormatting>
  <conditionalFormatting sqref="BI75:BJ75">
    <cfRule type="containsText" dxfId="938" priority="1349" stopIfTrue="1" operator="containsText" text="FALSE">
      <formula>NOT(ISERROR(SEARCH("FALSE",BI75)))</formula>
    </cfRule>
  </conditionalFormatting>
  <conditionalFormatting sqref="BI72:BJ72">
    <cfRule type="containsText" dxfId="937" priority="1344" stopIfTrue="1" operator="containsText" text="FALSE">
      <formula>NOT(ISERROR(SEARCH("FALSE",BI72)))</formula>
    </cfRule>
  </conditionalFormatting>
  <conditionalFormatting sqref="BI81:BJ81">
    <cfRule type="containsText" dxfId="936" priority="1346" stopIfTrue="1" operator="containsText" text="FALSE">
      <formula>NOT(ISERROR(SEARCH("FALSE",BI81)))</formula>
    </cfRule>
  </conditionalFormatting>
  <conditionalFormatting sqref="BI70:BJ70">
    <cfRule type="containsText" dxfId="935" priority="1345" stopIfTrue="1" operator="containsText" text="FALSE">
      <formula>NOT(ISERROR(SEARCH("FALSE",BI70)))</formula>
    </cfRule>
  </conditionalFormatting>
  <conditionalFormatting sqref="BI220:BJ220">
    <cfRule type="containsText" dxfId="934" priority="1310" stopIfTrue="1" operator="containsText" text="FALSE">
      <formula>NOT(ISERROR(SEARCH("FALSE",BI220)))</formula>
    </cfRule>
  </conditionalFormatting>
  <conditionalFormatting sqref="BI118:BJ121">
    <cfRule type="containsText" dxfId="933" priority="1342" stopIfTrue="1" operator="containsText" text="FALSE">
      <formula>NOT(ISERROR(SEARCH("FALSE",BI118)))</formula>
    </cfRule>
  </conditionalFormatting>
  <conditionalFormatting sqref="BI96:BJ96">
    <cfRule type="containsText" dxfId="932" priority="1343" stopIfTrue="1" operator="containsText" text="FALSE">
      <formula>NOT(ISERROR(SEARCH("FALSE",BI96)))</formula>
    </cfRule>
  </conditionalFormatting>
  <conditionalFormatting sqref="BI18:BJ18">
    <cfRule type="containsText" dxfId="931" priority="1341" stopIfTrue="1" operator="containsText" text="FALSE">
      <formula>NOT(ISERROR(SEARCH("FALSE",BI18)))</formula>
    </cfRule>
  </conditionalFormatting>
  <conditionalFormatting sqref="BI115:BJ116">
    <cfRule type="containsText" dxfId="930" priority="1340" stopIfTrue="1" operator="containsText" text="FALSE">
      <formula>NOT(ISERROR(SEARCH("FALSE",BI115)))</formula>
    </cfRule>
  </conditionalFormatting>
  <conditionalFormatting sqref="BI189:BJ190">
    <cfRule type="containsText" dxfId="929" priority="1339" stopIfTrue="1" operator="containsText" text="FALSE">
      <formula>NOT(ISERROR(SEARCH("FALSE",BI189)))</formula>
    </cfRule>
  </conditionalFormatting>
  <conditionalFormatting sqref="BI30:BJ30">
    <cfRule type="containsText" dxfId="928" priority="1337" stopIfTrue="1" operator="containsText" text="FALSE">
      <formula>NOT(ISERROR(SEARCH("FALSE",BI30)))</formula>
    </cfRule>
  </conditionalFormatting>
  <conditionalFormatting sqref="BI148:BJ148">
    <cfRule type="containsText" dxfId="927" priority="1336" stopIfTrue="1" operator="containsText" text="FALSE">
      <formula>NOT(ISERROR(SEARCH("FALSE",BI148)))</formula>
    </cfRule>
  </conditionalFormatting>
  <conditionalFormatting sqref="BI201:BJ201">
    <cfRule type="containsText" dxfId="926" priority="1334" stopIfTrue="1" operator="containsText" text="FALSE">
      <formula>NOT(ISERROR(SEARCH("FALSE",BI201)))</formula>
    </cfRule>
  </conditionalFormatting>
  <conditionalFormatting sqref="BI305:BJ305">
    <cfRule type="containsText" dxfId="925" priority="1333" stopIfTrue="1" operator="containsText" text="FALSE">
      <formula>NOT(ISERROR(SEARCH("FALSE",BI305)))</formula>
    </cfRule>
  </conditionalFormatting>
  <conditionalFormatting sqref="BI314:BJ314">
    <cfRule type="containsText" dxfId="924" priority="1332" stopIfTrue="1" operator="containsText" text="FALSE">
      <formula>NOT(ISERROR(SEARCH("FALSE",BI314)))</formula>
    </cfRule>
  </conditionalFormatting>
  <conditionalFormatting sqref="BI319:BJ319">
    <cfRule type="containsText" dxfId="923" priority="1331" stopIfTrue="1" operator="containsText" text="FALSE">
      <formula>NOT(ISERROR(SEARCH("FALSE",BI319)))</formula>
    </cfRule>
  </conditionalFormatting>
  <conditionalFormatting sqref="BI329:BJ329">
    <cfRule type="containsText" dxfId="922" priority="1329" stopIfTrue="1" operator="containsText" text="FALSE">
      <formula>NOT(ISERROR(SEARCH("FALSE",BI329)))</formula>
    </cfRule>
  </conditionalFormatting>
  <conditionalFormatting sqref="BI345:BJ345">
    <cfRule type="containsText" dxfId="921" priority="1327" stopIfTrue="1" operator="containsText" text="FALSE">
      <formula>NOT(ISERROR(SEARCH("FALSE",BI345)))</formula>
    </cfRule>
  </conditionalFormatting>
  <conditionalFormatting sqref="BI95:BJ95">
    <cfRule type="containsText" dxfId="920" priority="1325" stopIfTrue="1" operator="containsText" text="FALSE">
      <formula>NOT(ISERROR(SEARCH("FALSE",BI95)))</formula>
    </cfRule>
  </conditionalFormatting>
  <conditionalFormatting sqref="BI228:BJ228">
    <cfRule type="containsText" dxfId="919" priority="1308" stopIfTrue="1" operator="containsText" text="FALSE">
      <formula>NOT(ISERROR(SEARCH("FALSE",BI228)))</formula>
    </cfRule>
  </conditionalFormatting>
  <conditionalFormatting sqref="BI223:BJ224">
    <cfRule type="containsText" dxfId="918" priority="1317" stopIfTrue="1" operator="containsText" text="FALSE">
      <formula>NOT(ISERROR(SEARCH("FALSE",BI223)))</formula>
    </cfRule>
  </conditionalFormatting>
  <conditionalFormatting sqref="BI226:BJ227">
    <cfRule type="containsText" dxfId="917" priority="1316" stopIfTrue="1" operator="containsText" text="FALSE">
      <formula>NOT(ISERROR(SEARCH("FALSE",BI226)))</formula>
    </cfRule>
  </conditionalFormatting>
  <conditionalFormatting sqref="BI231:BJ231">
    <cfRule type="containsText" dxfId="916" priority="1315" stopIfTrue="1" operator="containsText" text="FALSE">
      <formula>NOT(ISERROR(SEARCH("FALSE",BI231)))</formula>
    </cfRule>
  </conditionalFormatting>
  <conditionalFormatting sqref="BI233:BJ234">
    <cfRule type="containsText" dxfId="915" priority="1314" stopIfTrue="1" operator="containsText" text="FALSE">
      <formula>NOT(ISERROR(SEARCH("FALSE",BI233)))</formula>
    </cfRule>
  </conditionalFormatting>
  <conditionalFormatting sqref="BI239:BJ239">
    <cfRule type="containsText" dxfId="914" priority="1312" stopIfTrue="1" operator="containsText" text="FALSE">
      <formula>NOT(ISERROR(SEARCH("FALSE",BI239)))</formula>
    </cfRule>
  </conditionalFormatting>
  <conditionalFormatting sqref="BI232:BJ232">
    <cfRule type="containsText" dxfId="913" priority="1307" stopIfTrue="1" operator="containsText" text="FALSE">
      <formula>NOT(ISERROR(SEARCH("FALSE",BI232)))</formula>
    </cfRule>
  </conditionalFormatting>
  <conditionalFormatting sqref="BI225:BJ225">
    <cfRule type="containsText" dxfId="912" priority="1309" stopIfTrue="1" operator="containsText" text="FALSE">
      <formula>NOT(ISERROR(SEARCH("FALSE",BI225)))</formula>
    </cfRule>
  </conditionalFormatting>
  <conditionalFormatting sqref="BI235:BJ235">
    <cfRule type="containsText" dxfId="911" priority="1306" stopIfTrue="1" operator="containsText" text="FALSE">
      <formula>NOT(ISERROR(SEARCH("FALSE",BI235)))</formula>
    </cfRule>
  </conditionalFormatting>
  <conditionalFormatting sqref="BI247:BJ247">
    <cfRule type="containsText" dxfId="910" priority="1324" stopIfTrue="1" operator="containsText" text="FALSE">
      <formula>NOT(ISERROR(SEARCH("FALSE",BI247)))</formula>
    </cfRule>
  </conditionalFormatting>
  <conditionalFormatting sqref="BI275:BJ286 BI288:BJ295">
    <cfRule type="containsText" dxfId="909" priority="1323" stopIfTrue="1" operator="containsText" text="FALSE">
      <formula>NOT(ISERROR(SEARCH("FALSE",BI275)))</formula>
    </cfRule>
  </conditionalFormatting>
  <conditionalFormatting sqref="BI256:BJ256 BI258:BJ258">
    <cfRule type="containsText" dxfId="908" priority="1322" stopIfTrue="1" operator="containsText" text="FALSE">
      <formula>NOT(ISERROR(SEARCH("FALSE",BI256)))</formula>
    </cfRule>
  </conditionalFormatting>
  <conditionalFormatting sqref="BI267:BJ274">
    <cfRule type="containsText" dxfId="907" priority="1321" stopIfTrue="1" operator="containsText" text="FALSE">
      <formula>NOT(ISERROR(SEARCH("FALSE",BI267)))</formula>
    </cfRule>
  </conditionalFormatting>
  <conditionalFormatting sqref="BI213:BJ213">
    <cfRule type="containsText" dxfId="906" priority="1320" stopIfTrue="1" operator="containsText" text="FALSE">
      <formula>NOT(ISERROR(SEARCH("FALSE",BI213)))</formula>
    </cfRule>
  </conditionalFormatting>
  <conditionalFormatting sqref="BI215:BJ216 BI218:BJ219">
    <cfRule type="containsText" dxfId="905" priority="1318" stopIfTrue="1" operator="containsText" text="FALSE">
      <formula>NOT(ISERROR(SEARCH("FALSE",BI215)))</formula>
    </cfRule>
  </conditionalFormatting>
  <conditionalFormatting sqref="BI217:BJ217">
    <cfRule type="containsText" dxfId="904" priority="1311" stopIfTrue="1" operator="containsText" text="FALSE">
      <formula>NOT(ISERROR(SEARCH("FALSE",BI217)))</formula>
    </cfRule>
  </conditionalFormatting>
  <conditionalFormatting sqref="BI259:BJ259">
    <cfRule type="containsText" dxfId="903" priority="1305" stopIfTrue="1" operator="containsText" text="FALSE">
      <formula>NOT(ISERROR(SEARCH("FALSE",BI259)))</formula>
    </cfRule>
  </conditionalFormatting>
  <conditionalFormatting sqref="BI249:BJ252">
    <cfRule type="containsText" dxfId="902" priority="1299" stopIfTrue="1" operator="containsText" text="FALSE">
      <formula>NOT(ISERROR(SEARCH("FALSE",BI249)))</formula>
    </cfRule>
  </conditionalFormatting>
  <conditionalFormatting sqref="BI47:BJ47">
    <cfRule type="containsText" dxfId="901" priority="1304" stopIfTrue="1" operator="containsText" text="FALSE">
      <formula>NOT(ISERROR(SEARCH("FALSE",BI47)))</formula>
    </cfRule>
  </conditionalFormatting>
  <conditionalFormatting sqref="BI166:BJ166">
    <cfRule type="containsText" dxfId="900" priority="1283" stopIfTrue="1" operator="containsText" text="FALSE">
      <formula>NOT(ISERROR(SEARCH("FALSE",BI166)))</formula>
    </cfRule>
  </conditionalFormatting>
  <conditionalFormatting sqref="BI248:BJ248">
    <cfRule type="containsText" dxfId="899" priority="1302" stopIfTrue="1" operator="containsText" text="FALSE">
      <formula>NOT(ISERROR(SEARCH("FALSE",BI248)))</formula>
    </cfRule>
  </conditionalFormatting>
  <conditionalFormatting sqref="BI253:BJ253">
    <cfRule type="containsText" dxfId="898" priority="1301" stopIfTrue="1" operator="containsText" text="FALSE">
      <formula>NOT(ISERROR(SEARCH("FALSE",BI253)))</formula>
    </cfRule>
  </conditionalFormatting>
  <conditionalFormatting sqref="BI254:BJ255">
    <cfRule type="containsText" dxfId="897" priority="1300" stopIfTrue="1" operator="containsText" text="FALSE">
      <formula>NOT(ISERROR(SEARCH("FALSE",BI254)))</formula>
    </cfRule>
  </conditionalFormatting>
  <conditionalFormatting sqref="BI287:BJ287">
    <cfRule type="containsText" dxfId="896" priority="1298" stopIfTrue="1" operator="containsText" text="FALSE">
      <formula>NOT(ISERROR(SEARCH("FALSE",BI287)))</formula>
    </cfRule>
  </conditionalFormatting>
  <conditionalFormatting sqref="BI125:BJ125">
    <cfRule type="containsText" dxfId="895" priority="1297" stopIfTrue="1" operator="containsText" text="FALSE">
      <formula>NOT(ISERROR(SEARCH("FALSE",BI125)))</formula>
    </cfRule>
  </conditionalFormatting>
  <conditionalFormatting sqref="BI126:BJ126">
    <cfRule type="containsText" dxfId="894" priority="1296" stopIfTrue="1" operator="containsText" text="FALSE">
      <formula>NOT(ISERROR(SEARCH("FALSE",BI126)))</formula>
    </cfRule>
  </conditionalFormatting>
  <conditionalFormatting sqref="BI131:BJ132 BI137:BJ137">
    <cfRule type="containsText" dxfId="893" priority="1295" stopIfTrue="1" operator="containsText" text="FALSE">
      <formula>NOT(ISERROR(SEARCH("FALSE",BI131)))</formula>
    </cfRule>
  </conditionalFormatting>
  <conditionalFormatting sqref="BG345">
    <cfRule type="containsText" dxfId="892" priority="1259" stopIfTrue="1" operator="containsText" text="FALSE">
      <formula>NOT(ISERROR(SEARCH("FALSE",BG345)))</formula>
    </cfRule>
  </conditionalFormatting>
  <conditionalFormatting sqref="BI133:BJ133">
    <cfRule type="containsText" dxfId="891" priority="1293" stopIfTrue="1" operator="containsText" text="FALSE">
      <formula>NOT(ISERROR(SEARCH("FALSE",BI133)))</formula>
    </cfRule>
  </conditionalFormatting>
  <conditionalFormatting sqref="BI135:BJ135">
    <cfRule type="containsText" dxfId="890" priority="1291" stopIfTrue="1" operator="containsText" text="FALSE">
      <formula>NOT(ISERROR(SEARCH("FALSE",BI135)))</formula>
    </cfRule>
  </conditionalFormatting>
  <conditionalFormatting sqref="BI122:BJ122">
    <cfRule type="containsText" dxfId="889" priority="1290" stopIfTrue="1" operator="containsText" text="FALSE">
      <formula>NOT(ISERROR(SEARCH("FALSE",BI122)))</formula>
    </cfRule>
  </conditionalFormatting>
  <conditionalFormatting sqref="BI151:BJ151">
    <cfRule type="containsText" dxfId="888" priority="1289" stopIfTrue="1" operator="containsText" text="FALSE">
      <formula>NOT(ISERROR(SEARCH("FALSE",BI151)))</formula>
    </cfRule>
  </conditionalFormatting>
  <conditionalFormatting sqref="BI152:BJ152">
    <cfRule type="containsText" dxfId="887" priority="1288" stopIfTrue="1" operator="containsText" text="FALSE">
      <formula>NOT(ISERROR(SEARCH("FALSE",BI152)))</formula>
    </cfRule>
  </conditionalFormatting>
  <conditionalFormatting sqref="BI153:BJ153">
    <cfRule type="containsText" dxfId="886" priority="1287" stopIfTrue="1" operator="containsText" text="FALSE">
      <formula>NOT(ISERROR(SEARCH("FALSE",BI153)))</formula>
    </cfRule>
  </conditionalFormatting>
  <conditionalFormatting sqref="BI156:BJ157">
    <cfRule type="containsText" dxfId="885" priority="1286" stopIfTrue="1" operator="containsText" text="FALSE">
      <formula>NOT(ISERROR(SEARCH("FALSE",BI156)))</formula>
    </cfRule>
  </conditionalFormatting>
  <conditionalFormatting sqref="BI160:BJ160">
    <cfRule type="containsText" dxfId="884" priority="1285" stopIfTrue="1" operator="containsText" text="FALSE">
      <formula>NOT(ISERROR(SEARCH("FALSE",BI160)))</formula>
    </cfRule>
  </conditionalFormatting>
  <conditionalFormatting sqref="BI169:BJ169">
    <cfRule type="containsText" dxfId="883" priority="1284" stopIfTrue="1" operator="containsText" text="FALSE">
      <formula>NOT(ISERROR(SEARCH("FALSE",BI169)))</formula>
    </cfRule>
  </conditionalFormatting>
  <conditionalFormatting sqref="BI167:BJ167">
    <cfRule type="containsText" dxfId="882" priority="1282" stopIfTrue="1" operator="containsText" text="FALSE">
      <formula>NOT(ISERROR(SEARCH("FALSE",BI167)))</formula>
    </cfRule>
  </conditionalFormatting>
  <conditionalFormatting sqref="BI168:BJ168">
    <cfRule type="containsText" dxfId="881" priority="1281" stopIfTrue="1" operator="containsText" text="FALSE">
      <formula>NOT(ISERROR(SEARCH("FALSE",BI168)))</formula>
    </cfRule>
  </conditionalFormatting>
  <conditionalFormatting sqref="BI171:BJ174">
    <cfRule type="containsText" dxfId="880" priority="1280" stopIfTrue="1" operator="containsText" text="FALSE">
      <formula>NOT(ISERROR(SEARCH("FALSE",BI171)))</formula>
    </cfRule>
  </conditionalFormatting>
  <conditionalFormatting sqref="BI35:BJ35">
    <cfRule type="containsText" dxfId="879" priority="1279" stopIfTrue="1" operator="containsText" text="FALSE">
      <formula>NOT(ISERROR(SEARCH("FALSE",BI35)))</formula>
    </cfRule>
  </conditionalFormatting>
  <conditionalFormatting sqref="BI62:BJ65">
    <cfRule type="containsText" dxfId="878" priority="1278" stopIfTrue="1" operator="containsText" text="FALSE">
      <formula>NOT(ISERROR(SEARCH("FALSE",BI62)))</formula>
    </cfRule>
  </conditionalFormatting>
  <conditionalFormatting sqref="BI2:BJ4">
    <cfRule type="containsText" dxfId="877" priority="1277" stopIfTrue="1" operator="containsText" text="FALSE">
      <formula>NOT(ISERROR(SEARCH("FALSE",BI2)))</formula>
    </cfRule>
  </conditionalFormatting>
  <conditionalFormatting sqref="BI93:BJ93">
    <cfRule type="containsText" dxfId="876" priority="1276" stopIfTrue="1" operator="containsText" text="FALSE">
      <formula>NOT(ISERROR(SEARCH("FALSE",BI93)))</formula>
    </cfRule>
  </conditionalFormatting>
  <conditionalFormatting sqref="BI241:BJ241">
    <cfRule type="containsText" dxfId="875" priority="1275" stopIfTrue="1" operator="containsText" text="FALSE">
      <formula>NOT(ISERROR(SEARCH("FALSE",BI241)))</formula>
    </cfRule>
  </conditionalFormatting>
  <conditionalFormatting sqref="BI242:BJ242">
    <cfRule type="containsText" dxfId="874" priority="1274" stopIfTrue="1" operator="containsText" text="FALSE">
      <formula>NOT(ISERROR(SEARCH("FALSE",BI242)))</formula>
    </cfRule>
  </conditionalFormatting>
  <conditionalFormatting sqref="BI243:BJ243">
    <cfRule type="containsText" dxfId="873" priority="1273" stopIfTrue="1" operator="containsText" text="FALSE">
      <formula>NOT(ISERROR(SEARCH("FALSE",BI243)))</formula>
    </cfRule>
  </conditionalFormatting>
  <conditionalFormatting sqref="BI244:BJ244">
    <cfRule type="containsText" dxfId="872" priority="1272" stopIfTrue="1" operator="containsText" text="FALSE">
      <formula>NOT(ISERROR(SEARCH("FALSE",BI244)))</formula>
    </cfRule>
  </conditionalFormatting>
  <conditionalFormatting sqref="BG158:BG159">
    <cfRule type="containsText" dxfId="871" priority="1271" stopIfTrue="1" operator="containsText" text="FALSE">
      <formula>NOT(ISERROR(SEARCH("FALSE",BG158)))</formula>
    </cfRule>
  </conditionalFormatting>
  <conditionalFormatting sqref="BG245 BG257 BG82:BG84 BG88:BG89">
    <cfRule type="containsText" dxfId="870" priority="1270" stopIfTrue="1" operator="containsText" text="FALSE">
      <formula>NOT(ISERROR(SEARCH("FALSE",BG82)))</formula>
    </cfRule>
  </conditionalFormatting>
  <conditionalFormatting sqref="BG149:BG150 BG130 BG154:BG155 BG164:BG165 BG123 BG246 BG5 BG59:BG61 BG170 BG34 BG296:BG304 BG346:BG353 BG336:BG344 BG330:BG334 BG325:BG328 BG320:BG323 BG315:BG318 BG306:BG313">
    <cfRule type="containsText" dxfId="869" priority="1269" stopIfTrue="1" operator="containsText" text="FALSE">
      <formula>NOT(ISERROR(SEARCH("FALSE",BG5)))</formula>
    </cfRule>
  </conditionalFormatting>
  <conditionalFormatting sqref="BG97">
    <cfRule type="containsText" dxfId="868" priority="1268" stopIfTrue="1" operator="containsText" text="FALSE">
      <formula>NOT(ISERROR(SEARCH("FALSE",BG97)))</formula>
    </cfRule>
  </conditionalFormatting>
  <conditionalFormatting sqref="BG152">
    <cfRule type="containsText" dxfId="867" priority="1239" stopIfTrue="1" operator="containsText" text="FALSE">
      <formula>NOT(ISERROR(SEARCH("FALSE",BG152)))</formula>
    </cfRule>
  </conditionalFormatting>
  <conditionalFormatting sqref="BG288:BG295">
    <cfRule type="containsText" dxfId="866" priority="1257" stopIfTrue="1" operator="containsText" text="FALSE">
      <formula>NOT(ISERROR(SEARCH("FALSE",BG288)))</formula>
    </cfRule>
  </conditionalFormatting>
  <conditionalFormatting sqref="BG131:BG132 BG137">
    <cfRule type="containsText" dxfId="865" priority="1243" stopIfTrue="1" operator="containsText" text="FALSE">
      <formula>NOT(ISERROR(SEARCH("FALSE",BG131)))</formula>
    </cfRule>
  </conditionalFormatting>
  <conditionalFormatting sqref="BG324">
    <cfRule type="containsText" dxfId="864" priority="1262" stopIfTrue="1" operator="containsText" text="FALSE">
      <formula>NOT(ISERROR(SEARCH("FALSE",BG324)))</formula>
    </cfRule>
  </conditionalFormatting>
  <conditionalFormatting sqref="BG335">
    <cfRule type="containsText" dxfId="863" priority="1260" stopIfTrue="1" operator="containsText" text="FALSE">
      <formula>NOT(ISERROR(SEARCH("FALSE",BG335)))</formula>
    </cfRule>
  </conditionalFormatting>
  <conditionalFormatting sqref="BG239">
    <cfRule type="containsText" dxfId="862" priority="1250" stopIfTrue="1" operator="containsText" text="FALSE">
      <formula>NOT(ISERROR(SEARCH("FALSE",BG239)))</formula>
    </cfRule>
  </conditionalFormatting>
  <conditionalFormatting sqref="BG124">
    <cfRule type="containsText" dxfId="861" priority="1267" stopIfTrue="1" operator="containsText" text="FALSE">
      <formula>NOT(ISERROR(SEARCH("FALSE",BG124)))</formula>
    </cfRule>
  </conditionalFormatting>
  <conditionalFormatting sqref="BG218:BG219">
    <cfRule type="containsText" dxfId="860" priority="1253" stopIfTrue="1" operator="containsText" text="FALSE">
      <formula>NOT(ISERROR(SEARCH("FALSE",BG218)))</formula>
    </cfRule>
  </conditionalFormatting>
  <conditionalFormatting sqref="BG226:BG227">
    <cfRule type="containsText" dxfId="859" priority="1252" stopIfTrue="1" operator="containsText" text="FALSE">
      <formula>NOT(ISERROR(SEARCH("FALSE",BG226)))</formula>
    </cfRule>
  </conditionalFormatting>
  <conditionalFormatting sqref="BG171:BG174">
    <cfRule type="containsText" dxfId="858" priority="1231" stopIfTrue="1" operator="containsText" text="FALSE">
      <formula>NOT(ISERROR(SEARCH("FALSE",BG171)))</formula>
    </cfRule>
  </conditionalFormatting>
  <conditionalFormatting sqref="BG168">
    <cfRule type="containsText" dxfId="857" priority="1232" stopIfTrue="1" operator="containsText" text="FALSE">
      <formula>NOT(ISERROR(SEARCH("FALSE",BG168)))</formula>
    </cfRule>
  </conditionalFormatting>
  <conditionalFormatting sqref="BG153">
    <cfRule type="containsText" dxfId="856" priority="1238" stopIfTrue="1" operator="containsText" text="FALSE">
      <formula>NOT(ISERROR(SEARCH("FALSE",BG153)))</formula>
    </cfRule>
  </conditionalFormatting>
  <conditionalFormatting sqref="BG92">
    <cfRule type="containsText" dxfId="855" priority="1217" stopIfTrue="1" operator="containsText" text="FALSE">
      <formula>NOT(ISERROR(SEARCH("FALSE",BG92)))</formula>
    </cfRule>
  </conditionalFormatting>
  <conditionalFormatting sqref="BG259">
    <cfRule type="containsText" dxfId="854" priority="1246" stopIfTrue="1" operator="containsText" text="FALSE">
      <formula>NOT(ISERROR(SEARCH("FALSE",BG259)))</formula>
    </cfRule>
  </conditionalFormatting>
  <conditionalFormatting sqref="BG33">
    <cfRule type="containsText" dxfId="853" priority="1266" stopIfTrue="1" operator="containsText" text="FALSE">
      <formula>NOT(ISERROR(SEARCH("FALSE",BG33)))</formula>
    </cfRule>
  </conditionalFormatting>
  <conditionalFormatting sqref="BG305">
    <cfRule type="containsText" dxfId="852" priority="1265" stopIfTrue="1" operator="containsText" text="FALSE">
      <formula>NOT(ISERROR(SEARCH("FALSE",BG305)))</formula>
    </cfRule>
  </conditionalFormatting>
  <conditionalFormatting sqref="BG314">
    <cfRule type="containsText" dxfId="851" priority="1264" stopIfTrue="1" operator="containsText" text="FALSE">
      <formula>NOT(ISERROR(SEARCH("FALSE",BG314)))</formula>
    </cfRule>
  </conditionalFormatting>
  <conditionalFormatting sqref="BG319">
    <cfRule type="containsText" dxfId="850" priority="1263" stopIfTrue="1" operator="containsText" text="FALSE">
      <formula>NOT(ISERROR(SEARCH("FALSE",BG319)))</formula>
    </cfRule>
  </conditionalFormatting>
  <conditionalFormatting sqref="BG329">
    <cfRule type="containsText" dxfId="849" priority="1261" stopIfTrue="1" operator="containsText" text="FALSE">
      <formula>NOT(ISERROR(SEARCH("FALSE",BG329)))</formula>
    </cfRule>
  </conditionalFormatting>
  <conditionalFormatting sqref="BG228">
    <cfRule type="containsText" dxfId="848" priority="1248" stopIfTrue="1" operator="containsText" text="FALSE">
      <formula>NOT(ISERROR(SEARCH("FALSE",BG228)))</formula>
    </cfRule>
  </conditionalFormatting>
  <conditionalFormatting sqref="BG233:BG234">
    <cfRule type="containsText" dxfId="847" priority="1251" stopIfTrue="1" operator="containsText" text="FALSE">
      <formula>NOT(ISERROR(SEARCH("FALSE",BG233)))</formula>
    </cfRule>
  </conditionalFormatting>
  <conditionalFormatting sqref="BG220">
    <cfRule type="containsText" dxfId="846" priority="1249" stopIfTrue="1" operator="containsText" text="FALSE">
      <formula>NOT(ISERROR(SEARCH("FALSE",BG220)))</formula>
    </cfRule>
  </conditionalFormatting>
  <conditionalFormatting sqref="BG235">
    <cfRule type="containsText" dxfId="845" priority="1247" stopIfTrue="1" operator="containsText" text="FALSE">
      <formula>NOT(ISERROR(SEARCH("FALSE",BG235)))</formula>
    </cfRule>
  </conditionalFormatting>
  <conditionalFormatting sqref="BG247">
    <cfRule type="containsText" dxfId="844" priority="1258" stopIfTrue="1" operator="containsText" text="FALSE">
      <formula>NOT(ISERROR(SEARCH("FALSE",BG247)))</formula>
    </cfRule>
  </conditionalFormatting>
  <conditionalFormatting sqref="BG258">
    <cfRule type="containsText" dxfId="843" priority="1256" stopIfTrue="1" operator="containsText" text="FALSE">
      <formula>NOT(ISERROR(SEARCH("FALSE",BG258)))</formula>
    </cfRule>
  </conditionalFormatting>
  <conditionalFormatting sqref="BG213">
    <cfRule type="containsText" dxfId="842" priority="1255" stopIfTrue="1" operator="containsText" text="FALSE">
      <formula>NOT(ISERROR(SEARCH("FALSE",BG213)))</formula>
    </cfRule>
  </conditionalFormatting>
  <conditionalFormatting sqref="BG221:BG222 BG229:BG230 BG236:BG237 BG240">
    <cfRule type="containsText" dxfId="841" priority="1254" stopIfTrue="1" operator="containsText" text="FALSE">
      <formula>NOT(ISERROR(SEARCH("FALSE",BG221)))</formula>
    </cfRule>
  </conditionalFormatting>
  <conditionalFormatting sqref="BG125">
    <cfRule type="containsText" dxfId="840" priority="1245" stopIfTrue="1" operator="containsText" text="FALSE">
      <formula>NOT(ISERROR(SEARCH("FALSE",BG125)))</formula>
    </cfRule>
  </conditionalFormatting>
  <conditionalFormatting sqref="BG126">
    <cfRule type="containsText" dxfId="839" priority="1244" stopIfTrue="1" operator="containsText" text="FALSE">
      <formula>NOT(ISERROR(SEARCH("FALSE",BG126)))</formula>
    </cfRule>
  </conditionalFormatting>
  <conditionalFormatting sqref="BG133">
    <cfRule type="containsText" dxfId="838" priority="1242" stopIfTrue="1" operator="containsText" text="FALSE">
      <formula>NOT(ISERROR(SEARCH("FALSE",BG133)))</formula>
    </cfRule>
  </conditionalFormatting>
  <conditionalFormatting sqref="BG223">
    <cfRule type="containsText" dxfId="837" priority="1220" stopIfTrue="1" operator="containsText" text="FALSE">
      <formula>NOT(ISERROR(SEARCH("FALSE",BG223)))</formula>
    </cfRule>
  </conditionalFormatting>
  <conditionalFormatting sqref="BG135">
    <cfRule type="containsText" dxfId="836" priority="1241" stopIfTrue="1" operator="containsText" text="FALSE">
      <formula>NOT(ISERROR(SEARCH("FALSE",BG135)))</formula>
    </cfRule>
  </conditionalFormatting>
  <conditionalFormatting sqref="BG81">
    <cfRule type="containsText" dxfId="835" priority="1213" stopIfTrue="1" operator="containsText" text="FALSE">
      <formula>NOT(ISERROR(SEARCH("FALSE",BG81)))</formula>
    </cfRule>
  </conditionalFormatting>
  <conditionalFormatting sqref="BG151">
    <cfRule type="containsText" dxfId="834" priority="1240" stopIfTrue="1" operator="containsText" text="FALSE">
      <formula>NOT(ISERROR(SEARCH("FALSE",BG151)))</formula>
    </cfRule>
  </conditionalFormatting>
  <conditionalFormatting sqref="BG156:BG157">
    <cfRule type="containsText" dxfId="833" priority="1237" stopIfTrue="1" operator="containsText" text="FALSE">
      <formula>NOT(ISERROR(SEARCH("FALSE",BG156)))</formula>
    </cfRule>
  </conditionalFormatting>
  <conditionalFormatting sqref="BG160">
    <cfRule type="containsText" dxfId="832" priority="1236" stopIfTrue="1" operator="containsText" text="FALSE">
      <formula>NOT(ISERROR(SEARCH("FALSE",BG160)))</formula>
    </cfRule>
  </conditionalFormatting>
  <conditionalFormatting sqref="BG169">
    <cfRule type="containsText" dxfId="831" priority="1235" stopIfTrue="1" operator="containsText" text="FALSE">
      <formula>NOT(ISERROR(SEARCH("FALSE",BG169)))</formula>
    </cfRule>
  </conditionalFormatting>
  <conditionalFormatting sqref="BG166">
    <cfRule type="containsText" dxfId="830" priority="1234" stopIfTrue="1" operator="containsText" text="FALSE">
      <formula>NOT(ISERROR(SEARCH("FALSE",BG166)))</formula>
    </cfRule>
  </conditionalFormatting>
  <conditionalFormatting sqref="BG167">
    <cfRule type="containsText" dxfId="829" priority="1233" stopIfTrue="1" operator="containsText" text="FALSE">
      <formula>NOT(ISERROR(SEARCH("FALSE",BG167)))</formula>
    </cfRule>
  </conditionalFormatting>
  <conditionalFormatting sqref="BG35">
    <cfRule type="containsText" dxfId="828" priority="1230" stopIfTrue="1" operator="containsText" text="FALSE">
      <formula>NOT(ISERROR(SEARCH("FALSE",BG35)))</formula>
    </cfRule>
  </conditionalFormatting>
  <conditionalFormatting sqref="BG2:BG4">
    <cfRule type="containsText" dxfId="827" priority="1229" stopIfTrue="1" operator="containsText" text="FALSE">
      <formula>NOT(ISERROR(SEARCH("FALSE",BG2)))</formula>
    </cfRule>
  </conditionalFormatting>
  <conditionalFormatting sqref="BG73:BJ73">
    <cfRule type="containsText" dxfId="826" priority="1211" stopIfTrue="1" operator="containsText" text="FALSE">
      <formula>NOT(ISERROR(SEARCH("FALSE",BG73)))</formula>
    </cfRule>
  </conditionalFormatting>
  <conditionalFormatting sqref="BG215:BG216">
    <cfRule type="containsText" dxfId="825" priority="1228" stopIfTrue="1" operator="containsText" text="FALSE">
      <formula>NOT(ISERROR(SEARCH("FALSE",BG215)))</formula>
    </cfRule>
  </conditionalFormatting>
  <conditionalFormatting sqref="BG238">
    <cfRule type="containsText" dxfId="824" priority="1227" stopIfTrue="1" operator="containsText" text="FALSE">
      <formula>NOT(ISERROR(SEARCH("FALSE",BG238)))</formula>
    </cfRule>
  </conditionalFormatting>
  <conditionalFormatting sqref="BG217">
    <cfRule type="containsText" dxfId="823" priority="1226" stopIfTrue="1" operator="containsText" text="FALSE">
      <formula>NOT(ISERROR(SEARCH("FALSE",BG217)))</formula>
    </cfRule>
  </conditionalFormatting>
  <conditionalFormatting sqref="BG225">
    <cfRule type="containsText" dxfId="822" priority="1225" stopIfTrue="1" operator="containsText" text="FALSE">
      <formula>NOT(ISERROR(SEARCH("FALSE",BG225)))</formula>
    </cfRule>
  </conditionalFormatting>
  <conditionalFormatting sqref="BG232">
    <cfRule type="containsText" dxfId="821" priority="1224" stopIfTrue="1" operator="containsText" text="FALSE">
      <formula>NOT(ISERROR(SEARCH("FALSE",BG232)))</formula>
    </cfRule>
  </conditionalFormatting>
  <conditionalFormatting sqref="BG224">
    <cfRule type="containsText" dxfId="820" priority="1223" stopIfTrue="1" operator="containsText" text="FALSE">
      <formula>NOT(ISERROR(SEARCH("FALSE",BG224)))</formula>
    </cfRule>
  </conditionalFormatting>
  <conditionalFormatting sqref="BG241">
    <cfRule type="containsText" dxfId="819" priority="1222" stopIfTrue="1" operator="containsText" text="FALSE">
      <formula>NOT(ISERROR(SEARCH("FALSE",BG241)))</formula>
    </cfRule>
  </conditionalFormatting>
  <conditionalFormatting sqref="BG242">
    <cfRule type="containsText" dxfId="818" priority="1221" stopIfTrue="1" operator="containsText" text="FALSE">
      <formula>NOT(ISERROR(SEARCH("FALSE",BG242)))</formula>
    </cfRule>
  </conditionalFormatting>
  <conditionalFormatting sqref="BG231">
    <cfRule type="containsText" dxfId="817" priority="1219" stopIfTrue="1" operator="containsText" text="FALSE">
      <formula>NOT(ISERROR(SEARCH("FALSE",BG231)))</formula>
    </cfRule>
  </conditionalFormatting>
  <conditionalFormatting sqref="BG248:BG252">
    <cfRule type="containsText" dxfId="816" priority="1218" stopIfTrue="1" operator="containsText" text="FALSE">
      <formula>NOT(ISERROR(SEARCH("FALSE",BG248)))</formula>
    </cfRule>
  </conditionalFormatting>
  <conditionalFormatting sqref="BG75">
    <cfRule type="containsText" dxfId="815" priority="1212" stopIfTrue="1" operator="containsText" text="FALSE">
      <formula>NOT(ISERROR(SEARCH("FALSE",BG75)))</formula>
    </cfRule>
  </conditionalFormatting>
  <conditionalFormatting sqref="BG48">
    <cfRule type="containsText" dxfId="814" priority="1210" stopIfTrue="1" operator="containsText" text="FALSE">
      <formula>NOT(ISERROR(SEARCH("FALSE",BG48)))</formula>
    </cfRule>
  </conditionalFormatting>
  <conditionalFormatting sqref="BG78">
    <cfRule type="containsText" dxfId="813" priority="1216" stopIfTrue="1" operator="containsText" text="FALSE">
      <formula>NOT(ISERROR(SEARCH("FALSE",BG78)))</formula>
    </cfRule>
  </conditionalFormatting>
  <conditionalFormatting sqref="BG98">
    <cfRule type="containsText" dxfId="812" priority="1176" stopIfTrue="1" operator="containsText" text="FALSE">
      <formula>NOT(ISERROR(SEARCH("FALSE",BG98)))</formula>
    </cfRule>
  </conditionalFormatting>
  <conditionalFormatting sqref="BG102:BG109 BG111:BG114 BG117">
    <cfRule type="containsText" dxfId="811" priority="1177" stopIfTrue="1" operator="containsText" text="FALSE">
      <formula>NOT(ISERROR(SEARCH("FALSE",BG102)))</formula>
    </cfRule>
  </conditionalFormatting>
  <conditionalFormatting sqref="BG56">
    <cfRule type="containsText" dxfId="810" priority="1206" stopIfTrue="1" operator="containsText" text="FALSE">
      <formula>NOT(ISERROR(SEARCH("FALSE",BG56)))</formula>
    </cfRule>
  </conditionalFormatting>
  <conditionalFormatting sqref="BG41 BG54">
    <cfRule type="containsText" dxfId="809" priority="1209" stopIfTrue="1" operator="containsText" text="FALSE">
      <formula>NOT(ISERROR(SEARCH("FALSE",BG41)))</formula>
    </cfRule>
  </conditionalFormatting>
  <conditionalFormatting sqref="BG85">
    <cfRule type="containsText" dxfId="808" priority="1179" stopIfTrue="1" operator="containsText" text="FALSE">
      <formula>NOT(ISERROR(SEARCH("FALSE",BG85)))</formula>
    </cfRule>
  </conditionalFormatting>
  <conditionalFormatting sqref="BG43">
    <cfRule type="containsText" dxfId="807" priority="1205" stopIfTrue="1" operator="containsText" text="FALSE">
      <formula>NOT(ISERROR(SEARCH("FALSE",BG43)))</formula>
    </cfRule>
  </conditionalFormatting>
  <conditionalFormatting sqref="BG47">
    <cfRule type="containsText" dxfId="806" priority="1204" stopIfTrue="1" operator="containsText" text="FALSE">
      <formula>NOT(ISERROR(SEARCH("FALSE",BG47)))</formula>
    </cfRule>
  </conditionalFormatting>
  <conditionalFormatting sqref="BG46">
    <cfRule type="containsText" dxfId="805" priority="1203" stopIfTrue="1" operator="containsText" text="FALSE">
      <formula>NOT(ISERROR(SEARCH("FALSE",BG46)))</formula>
    </cfRule>
  </conditionalFormatting>
  <conditionalFormatting sqref="BG141:BJ141">
    <cfRule type="containsText" dxfId="804" priority="1166" stopIfTrue="1" operator="containsText" text="FALSE">
      <formula>NOT(ISERROR(SEARCH("FALSE",BG141)))</formula>
    </cfRule>
  </conditionalFormatting>
  <conditionalFormatting sqref="BG19:BG21">
    <cfRule type="containsText" dxfId="803" priority="1202" stopIfTrue="1" operator="containsText" text="FALSE">
      <formula>NOT(ISERROR(SEARCH("FALSE",BG19)))</formula>
    </cfRule>
  </conditionalFormatting>
  <conditionalFormatting sqref="BG201">
    <cfRule type="containsText" dxfId="802" priority="1158" stopIfTrue="1" operator="containsText" text="FALSE">
      <formula>NOT(ISERROR(SEARCH("FALSE",BG201)))</formula>
    </cfRule>
  </conditionalFormatting>
  <conditionalFormatting sqref="BG175:BG178">
    <cfRule type="containsText" dxfId="801" priority="1164" stopIfTrue="1" operator="containsText" text="FALSE">
      <formula>NOT(ISERROR(SEARCH("FALSE",BG175)))</formula>
    </cfRule>
  </conditionalFormatting>
  <conditionalFormatting sqref="BG198">
    <cfRule type="containsText" dxfId="800" priority="1156" stopIfTrue="1" operator="containsText" text="FALSE">
      <formula>NOT(ISERROR(SEARCH("FALSE",BG198)))</formula>
    </cfRule>
  </conditionalFormatting>
  <conditionalFormatting sqref="BG202 BG209">
    <cfRule type="containsText" dxfId="799" priority="1155" stopIfTrue="1" operator="containsText" text="FALSE">
      <formula>NOT(ISERROR(SEARCH("FALSE",BG202)))</formula>
    </cfRule>
  </conditionalFormatting>
  <conditionalFormatting sqref="BG211:BG212">
    <cfRule type="containsText" dxfId="798" priority="1154" stopIfTrue="1" operator="containsText" text="FALSE">
      <formula>NOT(ISERROR(SEARCH("FALSE",BG211)))</formula>
    </cfRule>
  </conditionalFormatting>
  <conditionalFormatting sqref="BG206:BG208">
    <cfRule type="containsText" dxfId="797" priority="1153" stopIfTrue="1" operator="containsText" text="FALSE">
      <formula>NOT(ISERROR(SEARCH("FALSE",BG206)))</formula>
    </cfRule>
  </conditionalFormatting>
  <conditionalFormatting sqref="BG195">
    <cfRule type="containsText" dxfId="796" priority="1159" stopIfTrue="1" operator="containsText" text="FALSE">
      <formula>NOT(ISERROR(SEARCH("FALSE",BG195)))</formula>
    </cfRule>
  </conditionalFormatting>
  <conditionalFormatting sqref="BH22">
    <cfRule type="containsText" dxfId="795" priority="1072" stopIfTrue="1" operator="containsText" text="FALSE">
      <formula>NOT(ISERROR(SEARCH("FALSE",BH22)))</formula>
    </cfRule>
  </conditionalFormatting>
  <conditionalFormatting sqref="BG199:BG200">
    <cfRule type="containsText" dxfId="794" priority="1157" stopIfTrue="1" operator="containsText" text="FALSE">
      <formula>NOT(ISERROR(SEARCH("FALSE",BG199)))</formula>
    </cfRule>
  </conditionalFormatting>
  <conditionalFormatting sqref="BG266 BG262:BG264">
    <cfRule type="containsText" dxfId="793" priority="1148" stopIfTrue="1" operator="containsText" text="FALSE">
      <formula>NOT(ISERROR(SEARCH("FALSE",BG262)))</formula>
    </cfRule>
  </conditionalFormatting>
  <conditionalFormatting sqref="BG70">
    <cfRule type="containsText" dxfId="792" priority="1184" stopIfTrue="1" operator="containsText" text="FALSE">
      <formula>NOT(ISERROR(SEARCH("FALSE",BG70)))</formula>
    </cfRule>
  </conditionalFormatting>
  <conditionalFormatting sqref="BG119">
    <cfRule type="containsText" dxfId="791" priority="1169" stopIfTrue="1" operator="containsText" text="FALSE">
      <formula>NOT(ISERROR(SEARCH("FALSE",BG119)))</formula>
    </cfRule>
  </conditionalFormatting>
  <conditionalFormatting sqref="BG148">
    <cfRule type="containsText" dxfId="790" priority="1168" stopIfTrue="1" operator="containsText" text="FALSE">
      <formula>NOT(ISERROR(SEARCH("FALSE",BG148)))</formula>
    </cfRule>
  </conditionalFormatting>
  <conditionalFormatting sqref="BH181">
    <cfRule type="containsText" dxfId="789" priority="1133" stopIfTrue="1" operator="containsText" text="FALSE">
      <formula>NOT(ISERROR(SEARCH("FALSE",BH181)))</formula>
    </cfRule>
  </conditionalFormatting>
  <conditionalFormatting sqref="BG144:BJ144">
    <cfRule type="containsText" dxfId="788" priority="1165" stopIfTrue="1" operator="containsText" text="FALSE">
      <formula>NOT(ISERROR(SEARCH("FALSE",BG144)))</formula>
    </cfRule>
  </conditionalFormatting>
  <conditionalFormatting sqref="BG7:BG12">
    <cfRule type="containsText" dxfId="787" priority="1200" stopIfTrue="1" operator="containsText" text="FALSE">
      <formula>NOT(ISERROR(SEARCH("FALSE",BG7)))</formula>
    </cfRule>
  </conditionalFormatting>
  <conditionalFormatting sqref="BG18">
    <cfRule type="containsText" dxfId="786" priority="1199" stopIfTrue="1" operator="containsText" text="FALSE">
      <formula>NOT(ISERROR(SEARCH("FALSE",BG18)))</formula>
    </cfRule>
  </conditionalFormatting>
  <conditionalFormatting sqref="BG14">
    <cfRule type="containsText" dxfId="785" priority="1198" stopIfTrue="1" operator="containsText" text="FALSE">
      <formula>NOT(ISERROR(SEARCH("FALSE",BG14)))</formula>
    </cfRule>
  </conditionalFormatting>
  <conditionalFormatting sqref="BG17">
    <cfRule type="containsText" dxfId="784" priority="1197" stopIfTrue="1" operator="containsText" text="FALSE">
      <formula>NOT(ISERROR(SEARCH("FALSE",BG17)))</formula>
    </cfRule>
  </conditionalFormatting>
  <conditionalFormatting sqref="BG15:BG16">
    <cfRule type="containsText" dxfId="783" priority="1195" stopIfTrue="1" operator="containsText" text="FALSE">
      <formula>NOT(ISERROR(SEARCH("FALSE",BG15)))</formula>
    </cfRule>
  </conditionalFormatting>
  <conditionalFormatting sqref="BG6">
    <cfRule type="containsText" dxfId="782" priority="1194" stopIfTrue="1" operator="containsText" text="FALSE">
      <formula>NOT(ISERROR(SEARCH("FALSE",BG6)))</formula>
    </cfRule>
  </conditionalFormatting>
  <conditionalFormatting sqref="BG23:BG24">
    <cfRule type="containsText" dxfId="781" priority="1192" stopIfTrue="1" operator="containsText" text="FALSE">
      <formula>NOT(ISERROR(SEARCH("FALSE",BG23)))</formula>
    </cfRule>
  </conditionalFormatting>
  <conditionalFormatting sqref="BG32 BG25:BG28">
    <cfRule type="containsText" dxfId="780" priority="1193" stopIfTrue="1" operator="containsText" text="FALSE">
      <formula>NOT(ISERROR(SEARCH("FALSE",BG25)))</formula>
    </cfRule>
  </conditionalFormatting>
  <conditionalFormatting sqref="BG30">
    <cfRule type="containsText" dxfId="779" priority="1191" stopIfTrue="1" operator="containsText" text="FALSE">
      <formula>NOT(ISERROR(SEARCH("FALSE",BG30)))</formula>
    </cfRule>
  </conditionalFormatting>
  <conditionalFormatting sqref="BG31">
    <cfRule type="containsText" dxfId="778" priority="1190" stopIfTrue="1" operator="containsText" text="FALSE">
      <formula>NOT(ISERROR(SEARCH("FALSE",BG31)))</formula>
    </cfRule>
  </conditionalFormatting>
  <conditionalFormatting sqref="BG22">
    <cfRule type="containsText" dxfId="777" priority="1189" stopIfTrue="1" operator="containsText" text="FALSE">
      <formula>NOT(ISERROR(SEARCH("FALSE",BG22)))</formula>
    </cfRule>
  </conditionalFormatting>
  <conditionalFormatting sqref="BG36:BG39">
    <cfRule type="containsText" dxfId="776" priority="1188" stopIfTrue="1" operator="containsText" text="FALSE">
      <formula>NOT(ISERROR(SEARCH("FALSE",BG36)))</formula>
    </cfRule>
  </conditionalFormatting>
  <conditionalFormatting sqref="BG49:BG52">
    <cfRule type="containsText" dxfId="775" priority="1187" stopIfTrue="1" operator="containsText" text="FALSE">
      <formula>NOT(ISERROR(SEARCH("FALSE",BG49)))</formula>
    </cfRule>
  </conditionalFormatting>
  <conditionalFormatting sqref="BG72">
    <cfRule type="containsText" dxfId="774" priority="1183" stopIfTrue="1" operator="containsText" text="FALSE">
      <formula>NOT(ISERROR(SEARCH("FALSE",BG72)))</formula>
    </cfRule>
  </conditionalFormatting>
  <conditionalFormatting sqref="BG68:BG69">
    <cfRule type="containsText" dxfId="773" priority="1186" stopIfTrue="1" operator="containsText" text="FALSE">
      <formula>NOT(ISERROR(SEARCH("FALSE",BG68)))</formula>
    </cfRule>
  </conditionalFormatting>
  <conditionalFormatting sqref="BG71">
    <cfRule type="containsText" dxfId="772" priority="1185" stopIfTrue="1" operator="containsText" text="FALSE">
      <formula>NOT(ISERROR(SEARCH("FALSE",BG71)))</formula>
    </cfRule>
  </conditionalFormatting>
  <conditionalFormatting sqref="BG66:BG67">
    <cfRule type="containsText" dxfId="771" priority="1182" stopIfTrue="1" operator="containsText" text="FALSE">
      <formula>NOT(ISERROR(SEARCH("FALSE",BG66)))</formula>
    </cfRule>
  </conditionalFormatting>
  <conditionalFormatting sqref="BG64:BG65">
    <cfRule type="containsText" dxfId="770" priority="1181" stopIfTrue="1" operator="containsText" text="FALSE">
      <formula>NOT(ISERROR(SEARCH("FALSE",BG64)))</formula>
    </cfRule>
  </conditionalFormatting>
  <conditionalFormatting sqref="BG62:BG63">
    <cfRule type="containsText" dxfId="769" priority="1180" stopIfTrue="1" operator="containsText" text="FALSE">
      <formula>NOT(ISERROR(SEARCH("FALSE",BG62)))</formula>
    </cfRule>
  </conditionalFormatting>
  <conditionalFormatting sqref="BG86:BG87">
    <cfRule type="containsText" dxfId="768" priority="1178" stopIfTrue="1" operator="containsText" text="FALSE">
      <formula>NOT(ISERROR(SEARCH("FALSE",BG86)))</formula>
    </cfRule>
  </conditionalFormatting>
  <conditionalFormatting sqref="BG99:BG101">
    <cfRule type="containsText" dxfId="767" priority="1175" stopIfTrue="1" operator="containsText" text="FALSE">
      <formula>NOT(ISERROR(SEARCH("FALSE",BG99)))</formula>
    </cfRule>
  </conditionalFormatting>
  <conditionalFormatting sqref="BG118 BG121">
    <cfRule type="containsText" dxfId="766" priority="1173" stopIfTrue="1" operator="containsText" text="FALSE">
      <formula>NOT(ISERROR(SEARCH("FALSE",BG118)))</formula>
    </cfRule>
  </conditionalFormatting>
  <conditionalFormatting sqref="BG122">
    <cfRule type="containsText" dxfId="765" priority="1174" stopIfTrue="1" operator="containsText" text="FALSE">
      <formula>NOT(ISERROR(SEARCH("FALSE",BG122)))</formula>
    </cfRule>
  </conditionalFormatting>
  <conditionalFormatting sqref="BG115:BG116">
    <cfRule type="containsText" dxfId="764" priority="1172" stopIfTrue="1" operator="containsText" text="FALSE">
      <formula>NOT(ISERROR(SEARCH("FALSE",BG115)))</formula>
    </cfRule>
  </conditionalFormatting>
  <conditionalFormatting sqref="BG110">
    <cfRule type="containsText" dxfId="763" priority="1171" stopIfTrue="1" operator="containsText" text="FALSE">
      <formula>NOT(ISERROR(SEARCH("FALSE",BG110)))</formula>
    </cfRule>
  </conditionalFormatting>
  <conditionalFormatting sqref="BG120">
    <cfRule type="containsText" dxfId="762" priority="1170" stopIfTrue="1" operator="containsText" text="FALSE">
      <formula>NOT(ISERROR(SEARCH("FALSE",BG120)))</formula>
    </cfRule>
  </conditionalFormatting>
  <conditionalFormatting sqref="BJ161">
    <cfRule type="containsText" dxfId="761" priority="1143" stopIfTrue="1" operator="containsText" text="FALSE">
      <formula>NOT(ISERROR(SEARCH("FALSE",BJ161)))</formula>
    </cfRule>
  </conditionalFormatting>
  <conditionalFormatting sqref="BG196:BG197 BG194 BG185:BG188 BG181:BG183 BG191:BG192">
    <cfRule type="containsText" dxfId="760" priority="1163" stopIfTrue="1" operator="containsText" text="FALSE">
      <formula>NOT(ISERROR(SEARCH("FALSE",BG181)))</formula>
    </cfRule>
  </conditionalFormatting>
  <conditionalFormatting sqref="BG181">
    <cfRule type="containsText" dxfId="759" priority="1162" stopIfTrue="1" operator="containsText" text="FALSE">
      <formula>NOT(ISERROR(SEARCH("FALSE",BG181)))</formula>
    </cfRule>
  </conditionalFormatting>
  <conditionalFormatting sqref="BG184">
    <cfRule type="containsText" dxfId="758" priority="1161" stopIfTrue="1" operator="containsText" text="FALSE">
      <formula>NOT(ISERROR(SEARCH("FALSE",BG184)))</formula>
    </cfRule>
  </conditionalFormatting>
  <conditionalFormatting sqref="BG189:BG190">
    <cfRule type="containsText" dxfId="757" priority="1160" stopIfTrue="1" operator="containsText" text="FALSE">
      <formula>NOT(ISERROR(SEARCH("FALSE",BG189)))</formula>
    </cfRule>
  </conditionalFormatting>
  <conditionalFormatting sqref="BG204:BG205">
    <cfRule type="containsText" dxfId="756" priority="1152" stopIfTrue="1" operator="containsText" text="FALSE">
      <formula>NOT(ISERROR(SEARCH("FALSE",BG204)))</formula>
    </cfRule>
  </conditionalFormatting>
  <conditionalFormatting sqref="BG255 BG253">
    <cfRule type="containsText" dxfId="755" priority="1151" stopIfTrue="1" operator="containsText" text="FALSE">
      <formula>NOT(ISERROR(SEARCH("FALSE",BG253)))</formula>
    </cfRule>
  </conditionalFormatting>
  <conditionalFormatting sqref="BG256">
    <cfRule type="containsText" dxfId="754" priority="1150" stopIfTrue="1" operator="containsText" text="FALSE">
      <formula>NOT(ISERROR(SEARCH("FALSE",BG256)))</formula>
    </cfRule>
  </conditionalFormatting>
  <conditionalFormatting sqref="BG254">
    <cfRule type="containsText" dxfId="753" priority="1149" stopIfTrue="1" operator="containsText" text="FALSE">
      <formula>NOT(ISERROR(SEARCH("FALSE",BG254)))</formula>
    </cfRule>
  </conditionalFormatting>
  <conditionalFormatting sqref="BG267:BG286">
    <cfRule type="containsText" dxfId="752" priority="1147" stopIfTrue="1" operator="containsText" text="FALSE">
      <formula>NOT(ISERROR(SEARCH("FALSE",BG267)))</formula>
    </cfRule>
  </conditionalFormatting>
  <conditionalFormatting sqref="BG287">
    <cfRule type="containsText" dxfId="751" priority="1146" stopIfTrue="1" operator="containsText" text="FALSE">
      <formula>NOT(ISERROR(SEARCH("FALSE",BG287)))</formula>
    </cfRule>
  </conditionalFormatting>
  <conditionalFormatting sqref="BG260:BG261">
    <cfRule type="containsText" dxfId="750" priority="1145" stopIfTrue="1" operator="containsText" text="FALSE">
      <formula>NOT(ISERROR(SEARCH("FALSE",BG260)))</formula>
    </cfRule>
  </conditionalFormatting>
  <conditionalFormatting sqref="BJ162:BJ163">
    <cfRule type="containsText" dxfId="749" priority="1144" stopIfTrue="1" operator="containsText" text="FALSE">
      <formula>NOT(ISERROR(SEARCH("FALSE",BJ162)))</formula>
    </cfRule>
  </conditionalFormatting>
  <conditionalFormatting sqref="BG243">
    <cfRule type="containsText" dxfId="748" priority="1142" stopIfTrue="1" operator="containsText" text="FALSE">
      <formula>NOT(ISERROR(SEARCH("FALSE",BG243)))</formula>
    </cfRule>
  </conditionalFormatting>
  <conditionalFormatting sqref="BG244">
    <cfRule type="containsText" dxfId="747" priority="1141" stopIfTrue="1" operator="containsText" text="FALSE">
      <formula>NOT(ISERROR(SEARCH("FALSE",BG244)))</formula>
    </cfRule>
  </conditionalFormatting>
  <conditionalFormatting sqref="BH305">
    <cfRule type="containsText" dxfId="746" priority="1117" stopIfTrue="1" operator="containsText" text="FALSE">
      <formula>NOT(ISERROR(SEARCH("FALSE",BH305)))</formula>
    </cfRule>
  </conditionalFormatting>
  <conditionalFormatting sqref="BH158:BH159 BH175:BH178">
    <cfRule type="containsText" dxfId="745" priority="1139" stopIfTrue="1" operator="containsText" text="FALSE">
      <formula>NOT(ISERROR(SEARCH("FALSE",BH158)))</formula>
    </cfRule>
  </conditionalFormatting>
  <conditionalFormatting sqref="BH48:BH52 BH82 BH84 BH257">
    <cfRule type="containsText" dxfId="744" priority="1138" stopIfTrue="1" operator="containsText" text="FALSE">
      <formula>NOT(ISERROR(SEARCH("FALSE",BH48)))</formula>
    </cfRule>
  </conditionalFormatting>
  <conditionalFormatting sqref="BH97:BH98">
    <cfRule type="containsText" dxfId="743" priority="1136" stopIfTrue="1" operator="containsText" text="FALSE">
      <formula>NOT(ISERROR(SEARCH("FALSE",BH97)))</formula>
    </cfRule>
  </conditionalFormatting>
  <conditionalFormatting sqref="BH99:BH101">
    <cfRule type="containsText" dxfId="742" priority="1132" stopIfTrue="1" operator="containsText" text="FALSE">
      <formula>NOT(ISERROR(SEARCH("FALSE",BH99)))</formula>
    </cfRule>
  </conditionalFormatting>
  <conditionalFormatting sqref="BH72">
    <cfRule type="containsText" dxfId="741" priority="1124" stopIfTrue="1" operator="containsText" text="FALSE">
      <formula>NOT(ISERROR(SEARCH("FALSE",BH72)))</formula>
    </cfRule>
  </conditionalFormatting>
  <conditionalFormatting sqref="BH324">
    <cfRule type="containsText" dxfId="740" priority="1114" stopIfTrue="1" operator="containsText" text="FALSE">
      <formula>NOT(ISERROR(SEARCH("FALSE",BH324)))</formula>
    </cfRule>
  </conditionalFormatting>
  <conditionalFormatting sqref="BH329">
    <cfRule type="containsText" dxfId="739" priority="1113" stopIfTrue="1" operator="containsText" text="FALSE">
      <formula>NOT(ISERROR(SEARCH("FALSE",BH329)))</formula>
    </cfRule>
  </conditionalFormatting>
  <conditionalFormatting sqref="BH335">
    <cfRule type="containsText" dxfId="738" priority="1112" stopIfTrue="1" operator="containsText" text="FALSE">
      <formula>NOT(ISERROR(SEARCH("FALSE",BH335)))</formula>
    </cfRule>
  </conditionalFormatting>
  <conditionalFormatting sqref="BH345">
    <cfRule type="containsText" dxfId="737" priority="1111" stopIfTrue="1" operator="containsText" text="FALSE">
      <formula>NOT(ISERROR(SEARCH("FALSE",BH345)))</formula>
    </cfRule>
  </conditionalFormatting>
  <conditionalFormatting sqref="BH56">
    <cfRule type="containsText" dxfId="736" priority="1110" stopIfTrue="1" operator="containsText" text="FALSE">
      <formula>NOT(ISERROR(SEARCH("FALSE",BH56)))</formula>
    </cfRule>
  </conditionalFormatting>
  <conditionalFormatting sqref="BH149:BH150 BH130 BH154:BH155 BH202 BH46 BH164:BH165 BH123 BH181:BH183 BH306:BH313 BH315:BH318 BH320:BH323 BH325:BH328 BH330:BH334 BH336:BH344 BH346:BH353 BH19:BH21 BH2:BH5 BH102:BH109 BH296:BH304 BH34 BH43 BH59:BH61 BH170 BH66:BH69 BH88:BH89 BH7:BH12 BH36:BH39 BH41 BH54 BH111:BH114 BH117">
    <cfRule type="containsText" dxfId="735" priority="1137" stopIfTrue="1" operator="containsText" text="FALSE">
      <formula>NOT(ISERROR(SEARCH("FALSE",BH2)))</formula>
    </cfRule>
  </conditionalFormatting>
  <conditionalFormatting sqref="BH247">
    <cfRule type="containsText" dxfId="734" priority="1109" stopIfTrue="1" operator="containsText" text="FALSE">
      <formula>NOT(ISERROR(SEARCH("FALSE",BH247)))</formula>
    </cfRule>
  </conditionalFormatting>
  <conditionalFormatting sqref="BH71">
    <cfRule type="containsText" dxfId="733" priority="1134" stopIfTrue="1" operator="containsText" text="FALSE">
      <formula>NOT(ISERROR(SEARCH("FALSE",BH71)))</formula>
    </cfRule>
  </conditionalFormatting>
  <conditionalFormatting sqref="BH92">
    <cfRule type="containsText" dxfId="732" priority="1131" stopIfTrue="1" operator="containsText" text="FALSE">
      <formula>NOT(ISERROR(SEARCH("FALSE",BH92)))</formula>
    </cfRule>
  </conditionalFormatting>
  <conditionalFormatting sqref="BH258">
    <cfRule type="containsText" dxfId="731" priority="1107" stopIfTrue="1" operator="containsText" text="FALSE">
      <formula>NOT(ISERROR(SEARCH("FALSE",BH258)))</formula>
    </cfRule>
  </conditionalFormatting>
  <conditionalFormatting sqref="BH124">
    <cfRule type="containsText" dxfId="730" priority="1129" stopIfTrue="1" operator="containsText" text="FALSE">
      <formula>NOT(ISERROR(SEARCH("FALSE",BH124)))</formula>
    </cfRule>
  </conditionalFormatting>
  <conditionalFormatting sqref="BH75">
    <cfRule type="containsText" dxfId="729" priority="1128" stopIfTrue="1" operator="containsText" text="FALSE">
      <formula>NOT(ISERROR(SEARCH("FALSE",BH75)))</formula>
    </cfRule>
  </conditionalFormatting>
  <conditionalFormatting sqref="BH78">
    <cfRule type="containsText" dxfId="728" priority="1127" stopIfTrue="1" operator="containsText" text="FALSE">
      <formula>NOT(ISERROR(SEARCH("FALSE",BH78)))</formula>
    </cfRule>
  </conditionalFormatting>
  <conditionalFormatting sqref="BH70">
    <cfRule type="containsText" dxfId="727" priority="1125" stopIfTrue="1" operator="containsText" text="FALSE">
      <formula>NOT(ISERROR(SEARCH("FALSE",BH70)))</formula>
    </cfRule>
  </conditionalFormatting>
  <conditionalFormatting sqref="BH122">
    <cfRule type="containsText" dxfId="726" priority="1089" stopIfTrue="1" operator="containsText" text="FALSE">
      <formula>NOT(ISERROR(SEARCH("FALSE",BH122)))</formula>
    </cfRule>
  </conditionalFormatting>
  <conditionalFormatting sqref="BH118 BH120:BH121">
    <cfRule type="containsText" dxfId="725" priority="1123" stopIfTrue="1" operator="containsText" text="FALSE">
      <formula>NOT(ISERROR(SEARCH("FALSE",BH118)))</formula>
    </cfRule>
  </conditionalFormatting>
  <conditionalFormatting sqref="BH18">
    <cfRule type="containsText" dxfId="724" priority="1122" stopIfTrue="1" operator="containsText" text="FALSE">
      <formula>NOT(ISERROR(SEARCH("FALSE",BH18)))</formula>
    </cfRule>
  </conditionalFormatting>
  <conditionalFormatting sqref="BH115:BH116">
    <cfRule type="containsText" dxfId="723" priority="1121" stopIfTrue="1" operator="containsText" text="FALSE">
      <formula>NOT(ISERROR(SEARCH("FALSE",BH115)))</formula>
    </cfRule>
  </conditionalFormatting>
  <conditionalFormatting sqref="BH33">
    <cfRule type="containsText" dxfId="722" priority="1120" stopIfTrue="1" operator="containsText" text="FALSE">
      <formula>NOT(ISERROR(SEARCH("FALSE",BH33)))</formula>
    </cfRule>
  </conditionalFormatting>
  <conditionalFormatting sqref="BH148">
    <cfRule type="containsText" dxfId="721" priority="1119" stopIfTrue="1" operator="containsText" text="FALSE">
      <formula>NOT(ISERROR(SEARCH("FALSE",BH148)))</formula>
    </cfRule>
  </conditionalFormatting>
  <conditionalFormatting sqref="BH201">
    <cfRule type="containsText" dxfId="720" priority="1118" stopIfTrue="1" operator="containsText" text="FALSE">
      <formula>NOT(ISERROR(SEARCH("FALSE",BH201)))</formula>
    </cfRule>
  </conditionalFormatting>
  <conditionalFormatting sqref="BH314">
    <cfRule type="containsText" dxfId="719" priority="1116" stopIfTrue="1" operator="containsText" text="FALSE">
      <formula>NOT(ISERROR(SEARCH("FALSE",BH314)))</formula>
    </cfRule>
  </conditionalFormatting>
  <conditionalFormatting sqref="BH319">
    <cfRule type="containsText" dxfId="718" priority="1115" stopIfTrue="1" operator="containsText" text="FALSE">
      <formula>NOT(ISERROR(SEARCH("FALSE",BH319)))</formula>
    </cfRule>
  </conditionalFormatting>
  <conditionalFormatting sqref="BH290:BH295">
    <cfRule type="containsText" dxfId="717" priority="1108" stopIfTrue="1" operator="containsText" text="FALSE">
      <formula>NOT(ISERROR(SEARCH("FALSE",BH290)))</formula>
    </cfRule>
  </conditionalFormatting>
  <conditionalFormatting sqref="BH213">
    <cfRule type="containsText" dxfId="716" priority="1106" stopIfTrue="1" operator="containsText" text="FALSE">
      <formula>NOT(ISERROR(SEARCH("FALSE",BH213)))</formula>
    </cfRule>
  </conditionalFormatting>
  <conditionalFormatting sqref="BH259">
    <cfRule type="containsText" dxfId="715" priority="1105" stopIfTrue="1" operator="containsText" text="FALSE">
      <formula>NOT(ISERROR(SEARCH("FALSE",BH259)))</formula>
    </cfRule>
  </conditionalFormatting>
  <conditionalFormatting sqref="BH119">
    <cfRule type="containsText" dxfId="714" priority="1099" stopIfTrue="1" operator="containsText" text="FALSE">
      <formula>NOT(ISERROR(SEARCH("FALSE",BH119)))</formula>
    </cfRule>
  </conditionalFormatting>
  <conditionalFormatting sqref="BH47">
    <cfRule type="containsText" dxfId="713" priority="1104" stopIfTrue="1" operator="containsText" text="FALSE">
      <formula>NOT(ISERROR(SEARCH("FALSE",BH47)))</formula>
    </cfRule>
  </conditionalFormatting>
  <conditionalFormatting sqref="BH169">
    <cfRule type="containsText" dxfId="712" priority="1083" stopIfTrue="1" operator="containsText" text="FALSE">
      <formula>NOT(ISERROR(SEARCH("FALSE",BH169)))</formula>
    </cfRule>
  </conditionalFormatting>
  <conditionalFormatting sqref="BH17">
    <cfRule type="containsText" dxfId="711" priority="1102" stopIfTrue="1" operator="containsText" text="FALSE">
      <formula>NOT(ISERROR(SEARCH("FALSE",BH17)))</formula>
    </cfRule>
  </conditionalFormatting>
  <conditionalFormatting sqref="BH86:BH87">
    <cfRule type="containsText" dxfId="710" priority="1101" stopIfTrue="1" operator="containsText" text="FALSE">
      <formula>NOT(ISERROR(SEARCH("FALSE",BH86)))</formula>
    </cfRule>
  </conditionalFormatting>
  <conditionalFormatting sqref="BH85">
    <cfRule type="containsText" dxfId="709" priority="1100" stopIfTrue="1" operator="containsText" text="FALSE">
      <formula>NOT(ISERROR(SEARCH("FALSE",BH85)))</formula>
    </cfRule>
  </conditionalFormatting>
  <conditionalFormatting sqref="BH244">
    <cfRule type="containsText" dxfId="708" priority="1098" stopIfTrue="1" operator="containsText" text="FALSE">
      <formula>NOT(ISERROR(SEARCH("FALSE",BH244)))</formula>
    </cfRule>
  </conditionalFormatting>
  <conditionalFormatting sqref="BH81">
    <cfRule type="containsText" dxfId="707" priority="1097" stopIfTrue="1" operator="containsText" text="FALSE">
      <formula>NOT(ISERROR(SEARCH("FALSE",BH81)))</formula>
    </cfRule>
  </conditionalFormatting>
  <conditionalFormatting sqref="BH125">
    <cfRule type="containsText" dxfId="706" priority="1096" stopIfTrue="1" operator="containsText" text="FALSE">
      <formula>NOT(ISERROR(SEARCH("FALSE",BH125)))</formula>
    </cfRule>
  </conditionalFormatting>
  <conditionalFormatting sqref="BH126">
    <cfRule type="containsText" dxfId="705" priority="1095" stopIfTrue="1" operator="containsText" text="FALSE">
      <formula>NOT(ISERROR(SEARCH("FALSE",BH126)))</formula>
    </cfRule>
  </conditionalFormatting>
  <conditionalFormatting sqref="BH131:BH132 BH137">
    <cfRule type="containsText" dxfId="704" priority="1094" stopIfTrue="1" operator="containsText" text="FALSE">
      <formula>NOT(ISERROR(SEARCH("FALSE",BH131)))</formula>
    </cfRule>
  </conditionalFormatting>
  <conditionalFormatting sqref="BH260:BH264">
    <cfRule type="containsText" dxfId="703" priority="1058" stopIfTrue="1" operator="containsText" text="FALSE">
      <formula>NOT(ISERROR(SEARCH("FALSE",BH260)))</formula>
    </cfRule>
  </conditionalFormatting>
  <conditionalFormatting sqref="BH133">
    <cfRule type="containsText" dxfId="702" priority="1092" stopIfTrue="1" operator="containsText" text="FALSE">
      <formula>NOT(ISERROR(SEARCH("FALSE",BH133)))</formula>
    </cfRule>
  </conditionalFormatting>
  <conditionalFormatting sqref="BH135">
    <cfRule type="containsText" dxfId="701" priority="1090" stopIfTrue="1" operator="containsText" text="FALSE">
      <formula>NOT(ISERROR(SEARCH("FALSE",BH135)))</formula>
    </cfRule>
  </conditionalFormatting>
  <conditionalFormatting sqref="BH151">
    <cfRule type="containsText" dxfId="700" priority="1088" stopIfTrue="1" operator="containsText" text="FALSE">
      <formula>NOT(ISERROR(SEARCH("FALSE",BH151)))</formula>
    </cfRule>
  </conditionalFormatting>
  <conditionalFormatting sqref="BH152">
    <cfRule type="containsText" dxfId="699" priority="1087" stopIfTrue="1" operator="containsText" text="FALSE">
      <formula>NOT(ISERROR(SEARCH("FALSE",BH152)))</formula>
    </cfRule>
  </conditionalFormatting>
  <conditionalFormatting sqref="BH153">
    <cfRule type="containsText" dxfId="698" priority="1086" stopIfTrue="1" operator="containsText" text="FALSE">
      <formula>NOT(ISERROR(SEARCH("FALSE",BH153)))</formula>
    </cfRule>
  </conditionalFormatting>
  <conditionalFormatting sqref="BH156:BH157">
    <cfRule type="containsText" dxfId="697" priority="1085" stopIfTrue="1" operator="containsText" text="FALSE">
      <formula>NOT(ISERROR(SEARCH("FALSE",BH156)))</formula>
    </cfRule>
  </conditionalFormatting>
  <conditionalFormatting sqref="BH160">
    <cfRule type="containsText" dxfId="696" priority="1084" stopIfTrue="1" operator="containsText" text="FALSE">
      <formula>NOT(ISERROR(SEARCH("FALSE",BH160)))</formula>
    </cfRule>
  </conditionalFormatting>
  <conditionalFormatting sqref="BH166">
    <cfRule type="containsText" dxfId="695" priority="1082" stopIfTrue="1" operator="containsText" text="FALSE">
      <formula>NOT(ISERROR(SEARCH("FALSE",BH166)))</formula>
    </cfRule>
  </conditionalFormatting>
  <conditionalFormatting sqref="BH167">
    <cfRule type="containsText" dxfId="694" priority="1081" stopIfTrue="1" operator="containsText" text="FALSE">
      <formula>NOT(ISERROR(SEARCH("FALSE",BH167)))</formula>
    </cfRule>
  </conditionalFormatting>
  <conditionalFormatting sqref="BH168">
    <cfRule type="containsText" dxfId="693" priority="1080" stopIfTrue="1" operator="containsText" text="FALSE">
      <formula>NOT(ISERROR(SEARCH("FALSE",BH168)))</formula>
    </cfRule>
  </conditionalFormatting>
  <conditionalFormatting sqref="BH171:BH174">
    <cfRule type="containsText" dxfId="692" priority="1079" stopIfTrue="1" operator="containsText" text="FALSE">
      <formula>NOT(ISERROR(SEARCH("FALSE",BH171)))</formula>
    </cfRule>
  </conditionalFormatting>
  <conditionalFormatting sqref="BH35">
    <cfRule type="containsText" dxfId="691" priority="1078" stopIfTrue="1" operator="containsText" text="FALSE">
      <formula>NOT(ISERROR(SEARCH("FALSE",BH35)))</formula>
    </cfRule>
  </conditionalFormatting>
  <conditionalFormatting sqref="BH62:BH65">
    <cfRule type="containsText" dxfId="690" priority="1077" stopIfTrue="1" operator="containsText" text="FALSE">
      <formula>NOT(ISERROR(SEARCH("FALSE",BH62)))</formula>
    </cfRule>
  </conditionalFormatting>
  <conditionalFormatting sqref="BH6">
    <cfRule type="containsText" dxfId="689" priority="1076" stopIfTrue="1" operator="containsText" text="FALSE">
      <formula>NOT(ISERROR(SEARCH("FALSE",BH6)))</formula>
    </cfRule>
  </conditionalFormatting>
  <conditionalFormatting sqref="BH14">
    <cfRule type="containsText" dxfId="688" priority="1075" stopIfTrue="1" operator="containsText" text="FALSE">
      <formula>NOT(ISERROR(SEARCH("FALSE",BH14)))</formula>
    </cfRule>
  </conditionalFormatting>
  <conditionalFormatting sqref="BH15:BH16">
    <cfRule type="containsText" dxfId="687" priority="1073" stopIfTrue="1" operator="containsText" text="FALSE">
      <formula>NOT(ISERROR(SEARCH("FALSE",BH15)))</formula>
    </cfRule>
  </conditionalFormatting>
  <conditionalFormatting sqref="BH23:BH24">
    <cfRule type="containsText" dxfId="686" priority="1070" stopIfTrue="1" operator="containsText" text="FALSE">
      <formula>NOT(ISERROR(SEARCH("FALSE",BH23)))</formula>
    </cfRule>
  </conditionalFormatting>
  <conditionalFormatting sqref="BH32 BH25:BH28">
    <cfRule type="containsText" dxfId="685" priority="1071" stopIfTrue="1" operator="containsText" text="FALSE">
      <formula>NOT(ISERROR(SEARCH("FALSE",BH25)))</formula>
    </cfRule>
  </conditionalFormatting>
  <conditionalFormatting sqref="BH30">
    <cfRule type="containsText" dxfId="684" priority="1069" stopIfTrue="1" operator="containsText" text="FALSE">
      <formula>NOT(ISERROR(SEARCH("FALSE",BH30)))</formula>
    </cfRule>
  </conditionalFormatting>
  <conditionalFormatting sqref="BH31">
    <cfRule type="containsText" dxfId="683" priority="1068" stopIfTrue="1" operator="containsText" text="FALSE">
      <formula>NOT(ISERROR(SEARCH("FALSE",BH31)))</formula>
    </cfRule>
  </conditionalFormatting>
  <conditionalFormatting sqref="BH245">
    <cfRule type="containsText" dxfId="682" priority="1067" stopIfTrue="1" operator="containsText" text="FALSE">
      <formula>NOT(ISERROR(SEARCH("FALSE",BH245)))</formula>
    </cfRule>
  </conditionalFormatting>
  <conditionalFormatting sqref="BH221:BH223 BH225:BH239 BH241 BH243">
    <cfRule type="containsText" dxfId="681" priority="1066" stopIfTrue="1" operator="containsText" text="FALSE">
      <formula>NOT(ISERROR(SEARCH("FALSE",BH221)))</formula>
    </cfRule>
  </conditionalFormatting>
  <conditionalFormatting sqref="BH215 BH218:BH219">
    <cfRule type="containsText" dxfId="680" priority="1065" stopIfTrue="1" operator="containsText" text="FALSE">
      <formula>NOT(ISERROR(SEARCH("FALSE",BH215)))</formula>
    </cfRule>
  </conditionalFormatting>
  <conditionalFormatting sqref="BH216">
    <cfRule type="containsText" dxfId="679" priority="1064" stopIfTrue="1" operator="containsText" text="FALSE">
      <formula>NOT(ISERROR(SEARCH("FALSE",BH216)))</formula>
    </cfRule>
  </conditionalFormatting>
  <conditionalFormatting sqref="BH224">
    <cfRule type="containsText" dxfId="678" priority="1063" stopIfTrue="1" operator="containsText" text="FALSE">
      <formula>NOT(ISERROR(SEARCH("FALSE",BH224)))</formula>
    </cfRule>
  </conditionalFormatting>
  <conditionalFormatting sqref="BH217">
    <cfRule type="containsText" dxfId="677" priority="1062" stopIfTrue="1" operator="containsText" text="FALSE">
      <formula>NOT(ISERROR(SEARCH("FALSE",BH217)))</formula>
    </cfRule>
  </conditionalFormatting>
  <conditionalFormatting sqref="BH256">
    <cfRule type="containsText" dxfId="676" priority="1061" stopIfTrue="1" operator="containsText" text="FALSE">
      <formula>NOT(ISERROR(SEARCH("FALSE",BH256)))</formula>
    </cfRule>
  </conditionalFormatting>
  <conditionalFormatting sqref="BH248">
    <cfRule type="containsText" dxfId="675" priority="1060" stopIfTrue="1" operator="containsText" text="FALSE">
      <formula>NOT(ISERROR(SEARCH("FALSE",BH248)))</formula>
    </cfRule>
  </conditionalFormatting>
  <conditionalFormatting sqref="BH249:BH252">
    <cfRule type="containsText" dxfId="674" priority="1059" stopIfTrue="1" operator="containsText" text="FALSE">
      <formula>NOT(ISERROR(SEARCH("FALSE",BH249)))</formula>
    </cfRule>
  </conditionalFormatting>
  <conditionalFormatting sqref="BH253">
    <cfRule type="containsText" dxfId="673" priority="1057" stopIfTrue="1" operator="containsText" text="FALSE">
      <formula>NOT(ISERROR(SEARCH("FALSE",BH253)))</formula>
    </cfRule>
  </conditionalFormatting>
  <conditionalFormatting sqref="BH254">
    <cfRule type="containsText" dxfId="672" priority="1056" stopIfTrue="1" operator="containsText" text="FALSE">
      <formula>NOT(ISERROR(SEARCH("FALSE",BH254)))</formula>
    </cfRule>
  </conditionalFormatting>
  <conditionalFormatting sqref="BH255">
    <cfRule type="containsText" dxfId="671" priority="1055" stopIfTrue="1" operator="containsText" text="FALSE">
      <formula>NOT(ISERROR(SEARCH("FALSE",BH255)))</formula>
    </cfRule>
  </conditionalFormatting>
  <conditionalFormatting sqref="BH266">
    <cfRule type="containsText" dxfId="670" priority="1054" stopIfTrue="1" operator="containsText" text="FALSE">
      <formula>NOT(ISERROR(SEARCH("FALSE",BH266)))</formula>
    </cfRule>
  </conditionalFormatting>
  <conditionalFormatting sqref="BH288:BH289 BH275:BH286">
    <cfRule type="containsText" dxfId="669" priority="1053" stopIfTrue="1" operator="containsText" text="FALSE">
      <formula>NOT(ISERROR(SEARCH("FALSE",BH275)))</formula>
    </cfRule>
  </conditionalFormatting>
  <conditionalFormatting sqref="BH267:BH274">
    <cfRule type="containsText" dxfId="668" priority="1052" stopIfTrue="1" operator="containsText" text="FALSE">
      <formula>NOT(ISERROR(SEARCH("FALSE",BH267)))</formula>
    </cfRule>
  </conditionalFormatting>
  <conditionalFormatting sqref="BH287">
    <cfRule type="containsText" dxfId="667" priority="1051" stopIfTrue="1" operator="containsText" text="FALSE">
      <formula>NOT(ISERROR(SEARCH("FALSE",BH287)))</formula>
    </cfRule>
  </conditionalFormatting>
  <conditionalFormatting sqref="CC115:CD115">
    <cfRule type="containsText" dxfId="666" priority="1016" stopIfTrue="1" operator="containsText" text="FALSE">
      <formula>NOT(ISERROR(SEARCH("FALSE",CC115)))</formula>
    </cfRule>
  </conditionalFormatting>
  <conditionalFormatting sqref="BH196:BH197 BH194 BH185:BH188 BH191:BH192 BH199:BH200">
    <cfRule type="containsText" dxfId="665" priority="1049" stopIfTrue="1" operator="containsText" text="FALSE">
      <formula>NOT(ISERROR(SEARCH("FALSE",BH185)))</formula>
    </cfRule>
  </conditionalFormatting>
  <conditionalFormatting sqref="BH184">
    <cfRule type="containsText" dxfId="664" priority="1048" stopIfTrue="1" operator="containsText" text="FALSE">
      <formula>NOT(ISERROR(SEARCH("FALSE",BH184)))</formula>
    </cfRule>
  </conditionalFormatting>
  <conditionalFormatting sqref="BH198">
    <cfRule type="containsText" dxfId="663" priority="1047" stopIfTrue="1" operator="containsText" text="FALSE">
      <formula>NOT(ISERROR(SEARCH("FALSE",BH198)))</formula>
    </cfRule>
  </conditionalFormatting>
  <conditionalFormatting sqref="BH189:BH190">
    <cfRule type="containsText" dxfId="662" priority="1046" stopIfTrue="1" operator="containsText" text="FALSE">
      <formula>NOT(ISERROR(SEARCH("FALSE",BH189)))</formula>
    </cfRule>
  </conditionalFormatting>
  <conditionalFormatting sqref="BH195">
    <cfRule type="containsText" dxfId="661" priority="1045" stopIfTrue="1" operator="containsText" text="FALSE">
      <formula>NOT(ISERROR(SEARCH("FALSE",BH195)))</formula>
    </cfRule>
  </conditionalFormatting>
  <conditionalFormatting sqref="BH204:BH205">
    <cfRule type="containsText" dxfId="660" priority="1042" stopIfTrue="1" operator="containsText" text="FALSE">
      <formula>NOT(ISERROR(SEARCH("FALSE",BH204)))</formula>
    </cfRule>
  </conditionalFormatting>
  <conditionalFormatting sqref="BH206:BH209">
    <cfRule type="containsText" dxfId="659" priority="1044" stopIfTrue="1" operator="containsText" text="FALSE">
      <formula>NOT(ISERROR(SEARCH("FALSE",BH206)))</formula>
    </cfRule>
  </conditionalFormatting>
  <conditionalFormatting sqref="BH211:BH212">
    <cfRule type="containsText" dxfId="658" priority="1043" stopIfTrue="1" operator="containsText" text="FALSE">
      <formula>NOT(ISERROR(SEARCH("FALSE",BH211)))</formula>
    </cfRule>
  </conditionalFormatting>
  <conditionalFormatting sqref="BH161">
    <cfRule type="containsText" dxfId="657" priority="1041" stopIfTrue="1" operator="containsText" text="FALSE">
      <formula>NOT(ISERROR(SEARCH("FALSE",BH161)))</formula>
    </cfRule>
  </conditionalFormatting>
  <conditionalFormatting sqref="CC335:CD335">
    <cfRule type="containsText" dxfId="656" priority="1001" stopIfTrue="1" operator="containsText" text="FALSE">
      <formula>NOT(ISERROR(SEARCH("FALSE",CC335)))</formula>
    </cfRule>
  </conditionalFormatting>
  <conditionalFormatting sqref="BH246">
    <cfRule type="containsText" dxfId="655" priority="1039" stopIfTrue="1" operator="containsText" text="FALSE">
      <formula>NOT(ISERROR(SEARCH("FALSE",BH246)))</formula>
    </cfRule>
  </conditionalFormatting>
  <conditionalFormatting sqref="BH220">
    <cfRule type="containsText" dxfId="654" priority="1038" stopIfTrue="1" operator="containsText" text="FALSE">
      <formula>NOT(ISERROR(SEARCH("FALSE",BH220)))</formula>
    </cfRule>
  </conditionalFormatting>
  <conditionalFormatting sqref="BH240">
    <cfRule type="containsText" dxfId="653" priority="1037" stopIfTrue="1" operator="containsText" text="FALSE">
      <formula>NOT(ISERROR(SEARCH("FALSE",BH240)))</formula>
    </cfRule>
  </conditionalFormatting>
  <conditionalFormatting sqref="BH242">
    <cfRule type="containsText" dxfId="652" priority="1036" stopIfTrue="1" operator="containsText" text="FALSE">
      <formula>NOT(ISERROR(SEARCH("FALSE",BH242)))</formula>
    </cfRule>
  </conditionalFormatting>
  <conditionalFormatting sqref="BH80:BJ80">
    <cfRule type="containsText" dxfId="651" priority="1032" stopIfTrue="1" operator="containsText" text="FALSE">
      <formula>NOT(ISERROR(SEARCH("FALSE",BH80)))</formula>
    </cfRule>
  </conditionalFormatting>
  <conditionalFormatting sqref="BG77">
    <cfRule type="containsText" dxfId="650" priority="1031" stopIfTrue="1" operator="containsText" text="FALSE">
      <formula>NOT(ISERROR(SEARCH("FALSE",BG77)))</formula>
    </cfRule>
  </conditionalFormatting>
  <conditionalFormatting sqref="BH77:BJ77">
    <cfRule type="containsText" dxfId="649" priority="1030" stopIfTrue="1" operator="containsText" text="FALSE">
      <formula>NOT(ISERROR(SEARCH("FALSE",BH77)))</formula>
    </cfRule>
  </conditionalFormatting>
  <conditionalFormatting sqref="CC4:CD4 CC89:CD89 CC71:CD71 CC1:CD1">
    <cfRule type="containsText" dxfId="648" priority="1029" stopIfTrue="1" operator="containsText" text="FALSE">
      <formula>NOT(ISERROR(SEARCH("FALSE",CC1)))</formula>
    </cfRule>
  </conditionalFormatting>
  <conditionalFormatting sqref="CC112:CD112 CC306:CD313 CC330:CD334 CC346:CD353 CC325:CD328 CC320:CD323 CC315:CD318 CC117:CD117 CC191:CD192 CC187:CD188 CC196:CD197 CC182:CD183 CC108:CD109 CC336:CD344 CC202:CD209 CC122:CD123 CC114:CD114 CC90:CD96 CC98:CD105 CC243:CD246 CC277:CD286 CC19:CD22 CC38:CD42 CC44:CD44 CC46:CD48 CC50:CD52 CC60:CD61 CC67:CD69 CC72:CD73 CC86:CD87 CC24:CD27 CC211:CD212 CC266:CD266 CC128:CD128 CC288:CD304 CC54:CD56 CC34:CD35 CC221:CD227 CC229:CD234 CC236:CD241 CC137:CD138 CC149:CD161 CC164:CD178 CC31:CD32 CC260:CD264 CC248:CD258 CC6:CD12 CC75:CD76 CC78:CD79 CC81:CD81 CC14:CD17">
    <cfRule type="containsText" dxfId="647" priority="1028" stopIfTrue="1" operator="containsText" text="FALSE">
      <formula>NOT(ISERROR(SEARCH("FALSE",CC6)))</formula>
    </cfRule>
  </conditionalFormatting>
  <conditionalFormatting sqref="CC23:CD23">
    <cfRule type="containsText" dxfId="646" priority="1027" stopIfTrue="1" operator="containsText" text="FALSE">
      <formula>NOT(ISERROR(SEARCH("FALSE",CC23)))</formula>
    </cfRule>
  </conditionalFormatting>
  <conditionalFormatting sqref="CC110:CD110">
    <cfRule type="containsText" dxfId="645" priority="1026" stopIfTrue="1" operator="containsText" text="FALSE">
      <formula>NOT(ISERROR(SEARCH("FALSE",CC110)))</formula>
    </cfRule>
  </conditionalFormatting>
  <conditionalFormatting sqref="CC111:CD111">
    <cfRule type="containsText" dxfId="644" priority="1025" stopIfTrue="1" operator="containsText" text="FALSE">
      <formula>NOT(ISERROR(SEARCH("FALSE",CC111)))</formula>
    </cfRule>
  </conditionalFormatting>
  <conditionalFormatting sqref="CC118:CD121">
    <cfRule type="containsText" dxfId="643" priority="1024" stopIfTrue="1" operator="containsText" text="FALSE">
      <formula>NOT(ISERROR(SEARCH("FALSE",CC118)))</formula>
    </cfRule>
  </conditionalFormatting>
  <conditionalFormatting sqref="CC18:CD18">
    <cfRule type="containsText" dxfId="642" priority="1023" stopIfTrue="1" operator="containsText" text="FALSE">
      <formula>NOT(ISERROR(SEARCH("FALSE",CC18)))</formula>
    </cfRule>
  </conditionalFormatting>
  <conditionalFormatting sqref="CC193:CD194">
    <cfRule type="containsText" dxfId="641" priority="1020" stopIfTrue="1" operator="containsText" text="FALSE">
      <formula>NOT(ISERROR(SEARCH("FALSE",CC193)))</formula>
    </cfRule>
  </conditionalFormatting>
  <conditionalFormatting sqref="CC28:CD28">
    <cfRule type="containsText" dxfId="640" priority="1017" stopIfTrue="1" operator="containsText" text="FALSE">
      <formula>NOT(ISERROR(SEARCH("FALSE",CC28)))</formula>
    </cfRule>
  </conditionalFormatting>
  <conditionalFormatting sqref="CC184:CD184">
    <cfRule type="containsText" dxfId="639" priority="1022" stopIfTrue="1" operator="containsText" text="FALSE">
      <formula>NOT(ISERROR(SEARCH("FALSE",CC184)))</formula>
    </cfRule>
  </conditionalFormatting>
  <conditionalFormatting sqref="CC97:CD97">
    <cfRule type="containsText" dxfId="638" priority="1018" stopIfTrue="1" operator="containsText" text="FALSE">
      <formula>NOT(ISERROR(SEARCH("FALSE",CC97)))</formula>
    </cfRule>
  </conditionalFormatting>
  <conditionalFormatting sqref="CC185:CD185">
    <cfRule type="containsText" dxfId="637" priority="1021" stopIfTrue="1" operator="containsText" text="FALSE">
      <formula>NOT(ISERROR(SEARCH("FALSE",CC185)))</formula>
    </cfRule>
  </conditionalFormatting>
  <conditionalFormatting sqref="CC200:CD200">
    <cfRule type="containsText" dxfId="636" priority="1019" stopIfTrue="1" operator="containsText" text="FALSE">
      <formula>NOT(ISERROR(SEARCH("FALSE",CC200)))</formula>
    </cfRule>
  </conditionalFormatting>
  <conditionalFormatting sqref="CC116:CD116">
    <cfRule type="containsText" dxfId="635" priority="1015" stopIfTrue="1" operator="containsText" text="FALSE">
      <formula>NOT(ISERROR(SEARCH("FALSE",CC116)))</formula>
    </cfRule>
  </conditionalFormatting>
  <conditionalFormatting sqref="CC30:CD30">
    <cfRule type="containsText" dxfId="634" priority="1010" stopIfTrue="1" operator="containsText" text="FALSE">
      <formula>NOT(ISERROR(SEARCH("FALSE",CC30)))</formula>
    </cfRule>
  </conditionalFormatting>
  <conditionalFormatting sqref="CC189:CD189">
    <cfRule type="containsText" dxfId="633" priority="1014" stopIfTrue="1" operator="containsText" text="FALSE">
      <formula>NOT(ISERROR(SEARCH("FALSE",CC189)))</formula>
    </cfRule>
  </conditionalFormatting>
  <conditionalFormatting sqref="CC190:CD190">
    <cfRule type="containsText" dxfId="632" priority="1013" stopIfTrue="1" operator="containsText" text="FALSE">
      <formula>NOT(ISERROR(SEARCH("FALSE",CC190)))</formula>
    </cfRule>
  </conditionalFormatting>
  <conditionalFormatting sqref="CC218:CD219">
    <cfRule type="containsText" dxfId="631" priority="1012" stopIfTrue="1" operator="containsText" text="FALSE">
      <formula>NOT(ISERROR(SEARCH("FALSE",CC218)))</formula>
    </cfRule>
  </conditionalFormatting>
  <conditionalFormatting sqref="CC33:CD33">
    <cfRule type="containsText" dxfId="630" priority="1011" stopIfTrue="1" operator="containsText" text="FALSE">
      <formula>NOT(ISERROR(SEARCH("FALSE",CC33)))</formula>
    </cfRule>
  </conditionalFormatting>
  <conditionalFormatting sqref="CC148:CD148">
    <cfRule type="containsText" dxfId="629" priority="1009" stopIfTrue="1" operator="containsText" text="FALSE">
      <formula>NOT(ISERROR(SEARCH("FALSE",CC148)))</formula>
    </cfRule>
  </conditionalFormatting>
  <conditionalFormatting sqref="CC195:CD195">
    <cfRule type="containsText" dxfId="628" priority="1008" stopIfTrue="1" operator="containsText" text="FALSE">
      <formula>NOT(ISERROR(SEARCH("FALSE",CC195)))</formula>
    </cfRule>
  </conditionalFormatting>
  <conditionalFormatting sqref="CC201:CD201">
    <cfRule type="containsText" dxfId="627" priority="1007" stopIfTrue="1" operator="containsText" text="FALSE">
      <formula>NOT(ISERROR(SEARCH("FALSE",CC201)))</formula>
    </cfRule>
  </conditionalFormatting>
  <conditionalFormatting sqref="CC305:CD305">
    <cfRule type="containsText" dxfId="626" priority="1006" stopIfTrue="1" operator="containsText" text="FALSE">
      <formula>NOT(ISERROR(SEARCH("FALSE",CC305)))</formula>
    </cfRule>
  </conditionalFormatting>
  <conditionalFormatting sqref="CC314:CD314">
    <cfRule type="containsText" dxfId="625" priority="1005" stopIfTrue="1" operator="containsText" text="FALSE">
      <formula>NOT(ISERROR(SEARCH("FALSE",CC314)))</formula>
    </cfRule>
  </conditionalFormatting>
  <conditionalFormatting sqref="CC319:CD319">
    <cfRule type="containsText" dxfId="624" priority="1004" stopIfTrue="1" operator="containsText" text="FALSE">
      <formula>NOT(ISERROR(SEARCH("FALSE",CC319)))</formula>
    </cfRule>
  </conditionalFormatting>
  <conditionalFormatting sqref="CC324:CD324">
    <cfRule type="containsText" dxfId="623" priority="1003" stopIfTrue="1" operator="containsText" text="FALSE">
      <formula>NOT(ISERROR(SEARCH("FALSE",CC324)))</formula>
    </cfRule>
  </conditionalFormatting>
  <conditionalFormatting sqref="CC329:CD329">
    <cfRule type="containsText" dxfId="622" priority="1002" stopIfTrue="1" operator="containsText" text="FALSE">
      <formula>NOT(ISERROR(SEARCH("FALSE",CC329)))</formula>
    </cfRule>
  </conditionalFormatting>
  <conditionalFormatting sqref="CC345:CD345">
    <cfRule type="containsText" dxfId="621" priority="1000" stopIfTrue="1" operator="containsText" text="FALSE">
      <formula>NOT(ISERROR(SEARCH("FALSE",CC345)))</formula>
    </cfRule>
  </conditionalFormatting>
  <conditionalFormatting sqref="CC181:CD181">
    <cfRule type="containsText" dxfId="620" priority="999" stopIfTrue="1" operator="containsText" text="FALSE">
      <formula>NOT(ISERROR(SEARCH("FALSE",CC181)))</formula>
    </cfRule>
  </conditionalFormatting>
  <conditionalFormatting sqref="CC181:CD181">
    <cfRule type="containsText" dxfId="619" priority="998" stopIfTrue="1" operator="containsText" text="FALSE">
      <formula>NOT(ISERROR(SEARCH("FALSE",CC181)))</formula>
    </cfRule>
  </conditionalFormatting>
  <conditionalFormatting sqref="CC199:CD199">
    <cfRule type="containsText" dxfId="618" priority="997" stopIfTrue="1" operator="containsText" text="FALSE">
      <formula>NOT(ISERROR(SEARCH("FALSE",CC199)))</formula>
    </cfRule>
  </conditionalFormatting>
  <conditionalFormatting sqref="CC214:CD214">
    <cfRule type="containsText" dxfId="617" priority="996" stopIfTrue="1" operator="containsText" text="FALSE">
      <formula>NOT(ISERROR(SEARCH("FALSE",CC214)))</formula>
    </cfRule>
  </conditionalFormatting>
  <conditionalFormatting sqref="CC113:CD113">
    <cfRule type="containsText" dxfId="616" priority="995" stopIfTrue="1" operator="containsText" text="FALSE">
      <formula>NOT(ISERROR(SEARCH("FALSE",CC113)))</formula>
    </cfRule>
  </conditionalFormatting>
  <conditionalFormatting sqref="CC186:CD186">
    <cfRule type="containsText" dxfId="615" priority="994" stopIfTrue="1" operator="containsText" text="FALSE">
      <formula>NOT(ISERROR(SEARCH("FALSE",CC186)))</formula>
    </cfRule>
  </conditionalFormatting>
  <conditionalFormatting sqref="CC106:CD106">
    <cfRule type="containsText" dxfId="614" priority="993" stopIfTrue="1" operator="containsText" text="FALSE">
      <formula>NOT(ISERROR(SEARCH("FALSE",CC106)))</formula>
    </cfRule>
  </conditionalFormatting>
  <conditionalFormatting sqref="CC107:CD107">
    <cfRule type="containsText" dxfId="613" priority="992" stopIfTrue="1" operator="containsText" text="FALSE">
      <formula>NOT(ISERROR(SEARCH("FALSE",CC107)))</formula>
    </cfRule>
  </conditionalFormatting>
  <conditionalFormatting sqref="CC198:CD198">
    <cfRule type="containsText" dxfId="612" priority="991" stopIfTrue="1" operator="containsText" text="FALSE">
      <formula>NOT(ISERROR(SEARCH("FALSE",CC198)))</formula>
    </cfRule>
  </conditionalFormatting>
  <conditionalFormatting sqref="CC267:CD276">
    <cfRule type="containsText" dxfId="611" priority="990" stopIfTrue="1" operator="containsText" text="FALSE">
      <formula>NOT(ISERROR(SEARCH("FALSE",CC267)))</formula>
    </cfRule>
  </conditionalFormatting>
  <conditionalFormatting sqref="CC247:CD247">
    <cfRule type="containsText" dxfId="610" priority="989" stopIfTrue="1" operator="containsText" text="FALSE">
      <formula>NOT(ISERROR(SEARCH("FALSE",CC247)))</formula>
    </cfRule>
  </conditionalFormatting>
  <conditionalFormatting sqref="CC259:CD259">
    <cfRule type="containsText" dxfId="609" priority="988" stopIfTrue="1" operator="containsText" text="FALSE">
      <formula>NOT(ISERROR(SEARCH("FALSE",CC259)))</formula>
    </cfRule>
  </conditionalFormatting>
  <conditionalFormatting sqref="CC85:CD85">
    <cfRule type="containsText" dxfId="608" priority="987" stopIfTrue="1" operator="containsText" text="FALSE">
      <formula>NOT(ISERROR(SEARCH("FALSE",CC85)))</formula>
    </cfRule>
  </conditionalFormatting>
  <conditionalFormatting sqref="CC53:CD53">
    <cfRule type="containsText" dxfId="607" priority="982" stopIfTrue="1" operator="containsText" text="FALSE">
      <formula>NOT(ISERROR(SEARCH("FALSE",CC53)))</formula>
    </cfRule>
  </conditionalFormatting>
  <conditionalFormatting sqref="CC66:CD66">
    <cfRule type="containsText" dxfId="606" priority="979" stopIfTrue="1" operator="containsText" text="FALSE">
      <formula>NOT(ISERROR(SEARCH("FALSE",CC66)))</formula>
    </cfRule>
  </conditionalFormatting>
  <conditionalFormatting sqref="CC36:CD36">
    <cfRule type="containsText" dxfId="605" priority="986" stopIfTrue="1" operator="containsText" text="FALSE">
      <formula>NOT(ISERROR(SEARCH("FALSE",CC36)))</formula>
    </cfRule>
  </conditionalFormatting>
  <conditionalFormatting sqref="CC43:CD43">
    <cfRule type="containsText" dxfId="604" priority="985" stopIfTrue="1" operator="containsText" text="FALSE">
      <formula>NOT(ISERROR(SEARCH("FALSE",CC43)))</formula>
    </cfRule>
  </conditionalFormatting>
  <conditionalFormatting sqref="CC45:CD45">
    <cfRule type="containsText" dxfId="603" priority="984" stopIfTrue="1" operator="containsText" text="FALSE">
      <formula>NOT(ISERROR(SEARCH("FALSE",CC45)))</formula>
    </cfRule>
  </conditionalFormatting>
  <conditionalFormatting sqref="CC49:CD49">
    <cfRule type="containsText" dxfId="602" priority="983" stopIfTrue="1" operator="containsText" text="FALSE">
      <formula>NOT(ISERROR(SEARCH("FALSE",CC49)))</formula>
    </cfRule>
  </conditionalFormatting>
  <conditionalFormatting sqref="CC59:CD59">
    <cfRule type="containsText" dxfId="601" priority="981" stopIfTrue="1" operator="containsText" text="FALSE">
      <formula>NOT(ISERROR(SEARCH("FALSE",CC59)))</formula>
    </cfRule>
  </conditionalFormatting>
  <conditionalFormatting sqref="CC58:CD58">
    <cfRule type="containsText" dxfId="600" priority="980" stopIfTrue="1" operator="containsText" text="FALSE">
      <formula>NOT(ISERROR(SEARCH("FALSE",CC58)))</formula>
    </cfRule>
  </conditionalFormatting>
  <conditionalFormatting sqref="CC70:CD70">
    <cfRule type="containsText" dxfId="599" priority="978" stopIfTrue="1" operator="containsText" text="FALSE">
      <formula>NOT(ISERROR(SEARCH("FALSE",CC70)))</formula>
    </cfRule>
  </conditionalFormatting>
  <conditionalFormatting sqref="CC128:CD128 CC147:CD147 CC130:CD130">
    <cfRule type="containsText" dxfId="598" priority="977" stopIfTrue="1" operator="containsText" text="FALSE">
      <formula>NOT(ISERROR(SEARCH("FALSE",CC128)))</formula>
    </cfRule>
  </conditionalFormatting>
  <conditionalFormatting sqref="CC124:CD127">
    <cfRule type="containsText" dxfId="597" priority="976" stopIfTrue="1" operator="containsText" text="FALSE">
      <formula>NOT(ISERROR(SEARCH("FALSE",CC124)))</formula>
    </cfRule>
  </conditionalFormatting>
  <conditionalFormatting sqref="CC131:CD132">
    <cfRule type="containsText" dxfId="596" priority="975" stopIfTrue="1" operator="containsText" text="FALSE">
      <formula>NOT(ISERROR(SEARCH("FALSE",CC131)))</formula>
    </cfRule>
  </conditionalFormatting>
  <conditionalFormatting sqref="CC133:CD133">
    <cfRule type="containsText" dxfId="595" priority="974" stopIfTrue="1" operator="containsText" text="FALSE">
      <formula>NOT(ISERROR(SEARCH("FALSE",CC133)))</formula>
    </cfRule>
  </conditionalFormatting>
  <conditionalFormatting sqref="CC135:CD135">
    <cfRule type="containsText" dxfId="594" priority="973" stopIfTrue="1" operator="containsText" text="FALSE">
      <formula>NOT(ISERROR(SEARCH("FALSE",CC135)))</formula>
    </cfRule>
  </conditionalFormatting>
  <conditionalFormatting sqref="CC210:CD210">
    <cfRule type="containsText" dxfId="593" priority="972" stopIfTrue="1" operator="containsText" text="FALSE">
      <formula>NOT(ISERROR(SEARCH("FALSE",CC210)))</formula>
    </cfRule>
  </conditionalFormatting>
  <conditionalFormatting sqref="CC287:CD287">
    <cfRule type="containsText" dxfId="592" priority="971" stopIfTrue="1" operator="containsText" text="FALSE">
      <formula>NOT(ISERROR(SEARCH("FALSE",CC287)))</formula>
    </cfRule>
  </conditionalFormatting>
  <conditionalFormatting sqref="CC213:CD213">
    <cfRule type="containsText" dxfId="591" priority="970" stopIfTrue="1" operator="containsText" text="FALSE">
      <formula>NOT(ISERROR(SEARCH("FALSE",CC213)))</formula>
    </cfRule>
  </conditionalFormatting>
  <conditionalFormatting sqref="CC57:CD57">
    <cfRule type="containsText" dxfId="590" priority="969" stopIfTrue="1" operator="containsText" text="FALSE">
      <formula>NOT(ISERROR(SEARCH("FALSE",CC57)))</formula>
    </cfRule>
  </conditionalFormatting>
  <conditionalFormatting sqref="CC162:CD163">
    <cfRule type="containsText" dxfId="589" priority="968" stopIfTrue="1" operator="containsText" text="FALSE">
      <formula>NOT(ISERROR(SEARCH("FALSE",CC162)))</formula>
    </cfRule>
  </conditionalFormatting>
  <conditionalFormatting sqref="CC141:CD141">
    <cfRule type="containsText" dxfId="588" priority="967" stopIfTrue="1" operator="containsText" text="FALSE">
      <formula>NOT(ISERROR(SEARCH("FALSE",CC141)))</formula>
    </cfRule>
  </conditionalFormatting>
  <conditionalFormatting sqref="CC144:CD144">
    <cfRule type="containsText" dxfId="587" priority="966" stopIfTrue="1" operator="containsText" text="FALSE">
      <formula>NOT(ISERROR(SEARCH("FALSE",CC144)))</formula>
    </cfRule>
  </conditionalFormatting>
  <conditionalFormatting sqref="CC63:CD65">
    <cfRule type="containsText" dxfId="586" priority="965" stopIfTrue="1" operator="containsText" text="FALSE">
      <formula>NOT(ISERROR(SEARCH("FALSE",CC63)))</formula>
    </cfRule>
  </conditionalFormatting>
  <conditionalFormatting sqref="CC62:CD62">
    <cfRule type="containsText" dxfId="585" priority="964" stopIfTrue="1" operator="containsText" text="FALSE">
      <formula>NOT(ISERROR(SEARCH("FALSE",CC62)))</formula>
    </cfRule>
  </conditionalFormatting>
  <conditionalFormatting sqref="CC37:CD37">
    <cfRule type="containsText" dxfId="584" priority="963" stopIfTrue="1" operator="containsText" text="FALSE">
      <formula>NOT(ISERROR(SEARCH("FALSE",CC37)))</formula>
    </cfRule>
  </conditionalFormatting>
  <conditionalFormatting sqref="CC74:CD74">
    <cfRule type="containsText" dxfId="583" priority="962" stopIfTrue="1" operator="containsText" text="FALSE">
      <formula>NOT(ISERROR(SEARCH("FALSE",CC74)))</formula>
    </cfRule>
  </conditionalFormatting>
  <conditionalFormatting sqref="CC77:CD77">
    <cfRule type="containsText" dxfId="582" priority="961" stopIfTrue="1" operator="containsText" text="FALSE">
      <formula>NOT(ISERROR(SEARCH("FALSE",CC77)))</formula>
    </cfRule>
  </conditionalFormatting>
  <conditionalFormatting sqref="CC80:CD80">
    <cfRule type="containsText" dxfId="581" priority="960" stopIfTrue="1" operator="containsText" text="FALSE">
      <formula>NOT(ISERROR(SEARCH("FALSE",CC80)))</formula>
    </cfRule>
  </conditionalFormatting>
  <conditionalFormatting sqref="BF73">
    <cfRule type="containsText" dxfId="580" priority="958" stopIfTrue="1" operator="containsText" text="FALSE">
      <formula>NOT(ISERROR(SEARCH("FALSE",BF73)))</formula>
    </cfRule>
  </conditionalFormatting>
  <conditionalFormatting sqref="CE63:CE65">
    <cfRule type="containsText" dxfId="579" priority="220" stopIfTrue="1" operator="containsText" text="FALSE">
      <formula>NOT(ISERROR(SEARCH("FALSE",CE63)))</formula>
    </cfRule>
  </conditionalFormatting>
  <conditionalFormatting sqref="CE62">
    <cfRule type="containsText" dxfId="578" priority="219" stopIfTrue="1" operator="containsText" text="FALSE">
      <formula>NOT(ISERROR(SEARCH("FALSE",CE62)))</formula>
    </cfRule>
  </conditionalFormatting>
  <conditionalFormatting sqref="CE37">
    <cfRule type="containsText" dxfId="577" priority="218" stopIfTrue="1" operator="containsText" text="FALSE">
      <formula>NOT(ISERROR(SEARCH("FALSE",CE37)))</formula>
    </cfRule>
  </conditionalFormatting>
  <conditionalFormatting sqref="BM126:BN126">
    <cfRule type="containsText" dxfId="576" priority="550" stopIfTrue="1" operator="containsText" text="FALSE">
      <formula>NOT(ISERROR(SEARCH("FALSE",BM126)))</formula>
    </cfRule>
  </conditionalFormatting>
  <conditionalFormatting sqref="BM131:BN132 BM137:BN137">
    <cfRule type="containsText" dxfId="575" priority="549" stopIfTrue="1" operator="containsText" text="FALSE">
      <formula>NOT(ISERROR(SEARCH("FALSE",BM131)))</formula>
    </cfRule>
  </conditionalFormatting>
  <conditionalFormatting sqref="BK247">
    <cfRule type="containsText" dxfId="574" priority="513" stopIfTrue="1" operator="containsText" text="FALSE">
      <formula>NOT(ISERROR(SEARCH("FALSE",BK247)))</formula>
    </cfRule>
  </conditionalFormatting>
  <conditionalFormatting sqref="BM133:BN133">
    <cfRule type="containsText" dxfId="573" priority="547" stopIfTrue="1" operator="containsText" text="FALSE">
      <formula>NOT(ISERROR(SEARCH("FALSE",BM133)))</formula>
    </cfRule>
  </conditionalFormatting>
  <conditionalFormatting sqref="BM135:BN135">
    <cfRule type="containsText" dxfId="572" priority="545" stopIfTrue="1" operator="containsText" text="FALSE">
      <formula>NOT(ISERROR(SEARCH("FALSE",BM135)))</formula>
    </cfRule>
  </conditionalFormatting>
  <conditionalFormatting sqref="BM122:BN122">
    <cfRule type="containsText" dxfId="571" priority="544" stopIfTrue="1" operator="containsText" text="FALSE">
      <formula>NOT(ISERROR(SEARCH("FALSE",BM122)))</formula>
    </cfRule>
  </conditionalFormatting>
  <conditionalFormatting sqref="BM151:BN151">
    <cfRule type="containsText" dxfId="570" priority="543" stopIfTrue="1" operator="containsText" text="FALSE">
      <formula>NOT(ISERROR(SEARCH("FALSE",BM151)))</formula>
    </cfRule>
  </conditionalFormatting>
  <conditionalFormatting sqref="BM152:BN152">
    <cfRule type="containsText" dxfId="569" priority="542" stopIfTrue="1" operator="containsText" text="FALSE">
      <formula>NOT(ISERROR(SEARCH("FALSE",BM152)))</formula>
    </cfRule>
  </conditionalFormatting>
  <conditionalFormatting sqref="BM153:BN153">
    <cfRule type="containsText" dxfId="568" priority="541" stopIfTrue="1" operator="containsText" text="FALSE">
      <formula>NOT(ISERROR(SEARCH("FALSE",BM153)))</formula>
    </cfRule>
  </conditionalFormatting>
  <conditionalFormatting sqref="BK131:BK132 BK137">
    <cfRule type="containsText" dxfId="567" priority="498" stopIfTrue="1" operator="containsText" text="FALSE">
      <formula>NOT(ISERROR(SEARCH("FALSE",BK131)))</formula>
    </cfRule>
  </conditionalFormatting>
  <conditionalFormatting sqref="BK335">
    <cfRule type="containsText" dxfId="566" priority="515" stopIfTrue="1" operator="containsText" text="FALSE">
      <formula>NOT(ISERROR(SEARCH("FALSE",BK335)))</formula>
    </cfRule>
  </conditionalFormatting>
  <conditionalFormatting sqref="BM156:BN157">
    <cfRule type="containsText" dxfId="565" priority="540" stopIfTrue="1" operator="containsText" text="FALSE">
      <formula>NOT(ISERROR(SEARCH("FALSE",BM156)))</formula>
    </cfRule>
  </conditionalFormatting>
  <conditionalFormatting sqref="BM35:BN35">
    <cfRule type="containsText" dxfId="564" priority="533" stopIfTrue="1" operator="containsText" text="FALSE">
      <formula>NOT(ISERROR(SEARCH("FALSE",BM35)))</formula>
    </cfRule>
  </conditionalFormatting>
  <conditionalFormatting sqref="BM169:BN169">
    <cfRule type="containsText" dxfId="563" priority="538" stopIfTrue="1" operator="containsText" text="FALSE">
      <formula>NOT(ISERROR(SEARCH("FALSE",BM169)))</formula>
    </cfRule>
  </conditionalFormatting>
  <conditionalFormatting sqref="BK258">
    <cfRule type="containsText" dxfId="562" priority="511" stopIfTrue="1" operator="containsText" text="FALSE">
      <formula>NOT(ISERROR(SEARCH("FALSE",BK258)))</formula>
    </cfRule>
  </conditionalFormatting>
  <conditionalFormatting sqref="BM160:BN160">
    <cfRule type="containsText" dxfId="561" priority="539" stopIfTrue="1" operator="containsText" text="FALSE">
      <formula>NOT(ISERROR(SEARCH("FALSE",BM160)))</formula>
    </cfRule>
  </conditionalFormatting>
  <conditionalFormatting sqref="BM166:BN166">
    <cfRule type="containsText" dxfId="560" priority="537" stopIfTrue="1" operator="containsText" text="FALSE">
      <formula>NOT(ISERROR(SEARCH("FALSE",BM166)))</formula>
    </cfRule>
  </conditionalFormatting>
  <conditionalFormatting sqref="BM167:BN167">
    <cfRule type="containsText" dxfId="559" priority="536" stopIfTrue="1" operator="containsText" text="FALSE">
      <formula>NOT(ISERROR(SEARCH("FALSE",BM167)))</formula>
    </cfRule>
  </conditionalFormatting>
  <conditionalFormatting sqref="BM168:BN168">
    <cfRule type="containsText" dxfId="558" priority="535" stopIfTrue="1" operator="containsText" text="FALSE">
      <formula>NOT(ISERROR(SEARCH("FALSE",BM168)))</formula>
    </cfRule>
  </conditionalFormatting>
  <conditionalFormatting sqref="BM171:BN174">
    <cfRule type="containsText" dxfId="557" priority="534" stopIfTrue="1" operator="containsText" text="FALSE">
      <formula>NOT(ISERROR(SEARCH("FALSE",BM171)))</formula>
    </cfRule>
  </conditionalFormatting>
  <conditionalFormatting sqref="BM242:BN242">
    <cfRule type="containsText" dxfId="556" priority="529" stopIfTrue="1" operator="containsText" text="FALSE">
      <formula>NOT(ISERROR(SEARCH("FALSE",BM242)))</formula>
    </cfRule>
  </conditionalFormatting>
  <conditionalFormatting sqref="BM93:BN93">
    <cfRule type="containsText" dxfId="555" priority="531" stopIfTrue="1" operator="containsText" text="FALSE">
      <formula>NOT(ISERROR(SEARCH("FALSE",BM93)))</formula>
    </cfRule>
  </conditionalFormatting>
  <conditionalFormatting sqref="BM241:BN241">
    <cfRule type="containsText" dxfId="554" priority="530" stopIfTrue="1" operator="containsText" text="FALSE">
      <formula>NOT(ISERROR(SEARCH("FALSE",BM241)))</formula>
    </cfRule>
  </conditionalFormatting>
  <conditionalFormatting sqref="BM62:BN65">
    <cfRule type="containsText" dxfId="553" priority="532" stopIfTrue="1" operator="containsText" text="FALSE">
      <formula>NOT(ISERROR(SEARCH("FALSE",BM62)))</formula>
    </cfRule>
  </conditionalFormatting>
  <conditionalFormatting sqref="BM244:BN244">
    <cfRule type="containsText" dxfId="552" priority="527" stopIfTrue="1" operator="containsText" text="FALSE">
      <formula>NOT(ISERROR(SEARCH("FALSE",BM244)))</formula>
    </cfRule>
  </conditionalFormatting>
  <conditionalFormatting sqref="BM243:BN243">
    <cfRule type="containsText" dxfId="551" priority="528" stopIfTrue="1" operator="containsText" text="FALSE">
      <formula>NOT(ISERROR(SEARCH("FALSE",BM243)))</formula>
    </cfRule>
  </conditionalFormatting>
  <conditionalFormatting sqref="BK158:BK159">
    <cfRule type="containsText" dxfId="550" priority="526" stopIfTrue="1" operator="containsText" text="FALSE">
      <formula>NOT(ISERROR(SEARCH("FALSE",BK158)))</formula>
    </cfRule>
  </conditionalFormatting>
  <conditionalFormatting sqref="BK245 BK257 BK82:BK84 BK88:BK89">
    <cfRule type="containsText" dxfId="549" priority="525" stopIfTrue="1" operator="containsText" text="FALSE">
      <formula>NOT(ISERROR(SEARCH("FALSE",BK82)))</formula>
    </cfRule>
  </conditionalFormatting>
  <conditionalFormatting sqref="BK149:BK150 BK130 BK154:BK155 BK164:BK165 BK123 BK246 BK59:BK61 BK170 BK34 BK296:BK304 BK346:BK353 BK336:BK344 BK330:BK334 BK325:BK328 BK320:BK323 BK315:BK318 BK306:BK313">
    <cfRule type="containsText" dxfId="548" priority="524" stopIfTrue="1" operator="containsText" text="FALSE">
      <formula>NOT(ISERROR(SEARCH("FALSE",BK34)))</formula>
    </cfRule>
  </conditionalFormatting>
  <conditionalFormatting sqref="BK97">
    <cfRule type="containsText" dxfId="547" priority="523" stopIfTrue="1" operator="containsText" text="FALSE">
      <formula>NOT(ISERROR(SEARCH("FALSE",BK97)))</formula>
    </cfRule>
  </conditionalFormatting>
  <conditionalFormatting sqref="BK124">
    <cfRule type="containsText" dxfId="546" priority="522" stopIfTrue="1" operator="containsText" text="FALSE">
      <formula>NOT(ISERROR(SEARCH("FALSE",BK124)))</formula>
    </cfRule>
  </conditionalFormatting>
  <conditionalFormatting sqref="BK33">
    <cfRule type="containsText" dxfId="545" priority="521" stopIfTrue="1" operator="containsText" text="FALSE">
      <formula>NOT(ISERROR(SEARCH("FALSE",BK33)))</formula>
    </cfRule>
  </conditionalFormatting>
  <conditionalFormatting sqref="BK305">
    <cfRule type="containsText" dxfId="544" priority="520" stopIfTrue="1" operator="containsText" text="FALSE">
      <formula>NOT(ISERROR(SEARCH("FALSE",BK305)))</formula>
    </cfRule>
  </conditionalFormatting>
  <conditionalFormatting sqref="BK314">
    <cfRule type="containsText" dxfId="543" priority="519" stopIfTrue="1" operator="containsText" text="FALSE">
      <formula>NOT(ISERROR(SEARCH("FALSE",BK314)))</formula>
    </cfRule>
  </conditionalFormatting>
  <conditionalFormatting sqref="BK319">
    <cfRule type="containsText" dxfId="542" priority="518" stopIfTrue="1" operator="containsText" text="FALSE">
      <formula>NOT(ISERROR(SEARCH("FALSE",BK319)))</formula>
    </cfRule>
  </conditionalFormatting>
  <conditionalFormatting sqref="BK324">
    <cfRule type="containsText" dxfId="541" priority="517" stopIfTrue="1" operator="containsText" text="FALSE">
      <formula>NOT(ISERROR(SEARCH("FALSE",BK324)))</formula>
    </cfRule>
  </conditionalFormatting>
  <conditionalFormatting sqref="BK329">
    <cfRule type="containsText" dxfId="540" priority="516" stopIfTrue="1" operator="containsText" text="FALSE">
      <formula>NOT(ISERROR(SEARCH("FALSE",BK329)))</formula>
    </cfRule>
  </conditionalFormatting>
  <conditionalFormatting sqref="BK345">
    <cfRule type="containsText" dxfId="539" priority="514" stopIfTrue="1" operator="containsText" text="FALSE">
      <formula>NOT(ISERROR(SEARCH("FALSE",BK345)))</formula>
    </cfRule>
  </conditionalFormatting>
  <conditionalFormatting sqref="BK288:BK295">
    <cfRule type="containsText" dxfId="538" priority="512" stopIfTrue="1" operator="containsText" text="FALSE">
      <formula>NOT(ISERROR(SEARCH("FALSE",BK288)))</formula>
    </cfRule>
  </conditionalFormatting>
  <conditionalFormatting sqref="BK213">
    <cfRule type="containsText" dxfId="537" priority="510" stopIfTrue="1" operator="containsText" text="FALSE">
      <formula>NOT(ISERROR(SEARCH("FALSE",BK213)))</formula>
    </cfRule>
  </conditionalFormatting>
  <conditionalFormatting sqref="BK153">
    <cfRule type="containsText" dxfId="536" priority="493" stopIfTrue="1" operator="containsText" text="FALSE">
      <formula>NOT(ISERROR(SEARCH("FALSE",BK153)))</formula>
    </cfRule>
  </conditionalFormatting>
  <conditionalFormatting sqref="BK235">
    <cfRule type="containsText" dxfId="535" priority="502" stopIfTrue="1" operator="containsText" text="FALSE">
      <formula>NOT(ISERROR(SEARCH("FALSE",BK235)))</formula>
    </cfRule>
  </conditionalFormatting>
  <conditionalFormatting sqref="BK259">
    <cfRule type="containsText" dxfId="534" priority="501" stopIfTrue="1" operator="containsText" text="FALSE">
      <formula>NOT(ISERROR(SEARCH("FALSE",BK259)))</formula>
    </cfRule>
  </conditionalFormatting>
  <conditionalFormatting sqref="BK125">
    <cfRule type="containsText" dxfId="533" priority="500" stopIfTrue="1" operator="containsText" text="FALSE">
      <formula>NOT(ISERROR(SEARCH("FALSE",BK125)))</formula>
    </cfRule>
  </conditionalFormatting>
  <conditionalFormatting sqref="BK126">
    <cfRule type="containsText" dxfId="532" priority="499" stopIfTrue="1" operator="containsText" text="FALSE">
      <formula>NOT(ISERROR(SEARCH("FALSE",BK126)))</formula>
    </cfRule>
  </conditionalFormatting>
  <conditionalFormatting sqref="BK133">
    <cfRule type="containsText" dxfId="531" priority="497" stopIfTrue="1" operator="containsText" text="FALSE">
      <formula>NOT(ISERROR(SEARCH("FALSE",BK133)))</formula>
    </cfRule>
  </conditionalFormatting>
  <conditionalFormatting sqref="BK156:BK157">
    <cfRule type="containsText" dxfId="530" priority="492" stopIfTrue="1" operator="containsText" text="FALSE">
      <formula>NOT(ISERROR(SEARCH("FALSE",BK156)))</formula>
    </cfRule>
  </conditionalFormatting>
  <conditionalFormatting sqref="BK151">
    <cfRule type="containsText" dxfId="529" priority="495" stopIfTrue="1" operator="containsText" text="FALSE">
      <formula>NOT(ISERROR(SEARCH("FALSE",BK151)))</formula>
    </cfRule>
  </conditionalFormatting>
  <conditionalFormatting sqref="BK152">
    <cfRule type="containsText" dxfId="528" priority="494" stopIfTrue="1" operator="containsText" text="FALSE">
      <formula>NOT(ISERROR(SEARCH("FALSE",BK152)))</formula>
    </cfRule>
  </conditionalFormatting>
  <conditionalFormatting sqref="BK160">
    <cfRule type="containsText" dxfId="527" priority="491" stopIfTrue="1" operator="containsText" text="FALSE">
      <formula>NOT(ISERROR(SEARCH("FALSE",BK160)))</formula>
    </cfRule>
  </conditionalFormatting>
  <conditionalFormatting sqref="BK221:BK222 BK229:BK230 BK236:BK237 BK240">
    <cfRule type="containsText" dxfId="526" priority="509" stopIfTrue="1" operator="containsText" text="FALSE">
      <formula>NOT(ISERROR(SEARCH("FALSE",BK221)))</formula>
    </cfRule>
  </conditionalFormatting>
  <conditionalFormatting sqref="BK218:BK219">
    <cfRule type="containsText" dxfId="525" priority="508" stopIfTrue="1" operator="containsText" text="FALSE">
      <formula>NOT(ISERROR(SEARCH("FALSE",BK218)))</formula>
    </cfRule>
  </conditionalFormatting>
  <conditionalFormatting sqref="BK226:BK227">
    <cfRule type="containsText" dxfId="524" priority="507" stopIfTrue="1" operator="containsText" text="FALSE">
      <formula>NOT(ISERROR(SEARCH("FALSE",BK226)))</formula>
    </cfRule>
  </conditionalFormatting>
  <conditionalFormatting sqref="BK233:BK234">
    <cfRule type="containsText" dxfId="523" priority="506" stopIfTrue="1" operator="containsText" text="FALSE">
      <formula>NOT(ISERROR(SEARCH("FALSE",BK233)))</formula>
    </cfRule>
  </conditionalFormatting>
  <conditionalFormatting sqref="BK239">
    <cfRule type="containsText" dxfId="522" priority="505" stopIfTrue="1" operator="containsText" text="FALSE">
      <formula>NOT(ISERROR(SEARCH("FALSE",BK239)))</formula>
    </cfRule>
  </conditionalFormatting>
  <conditionalFormatting sqref="BK220">
    <cfRule type="containsText" dxfId="521" priority="504" stopIfTrue="1" operator="containsText" text="FALSE">
      <formula>NOT(ISERROR(SEARCH("FALSE",BK220)))</formula>
    </cfRule>
  </conditionalFormatting>
  <conditionalFormatting sqref="BK228">
    <cfRule type="containsText" dxfId="520" priority="503" stopIfTrue="1" operator="containsText" text="FALSE">
      <formula>NOT(ISERROR(SEARCH("FALSE",BK228)))</formula>
    </cfRule>
  </conditionalFormatting>
  <conditionalFormatting sqref="BK135">
    <cfRule type="containsText" dxfId="519" priority="496" stopIfTrue="1" operator="containsText" text="FALSE">
      <formula>NOT(ISERROR(SEARCH("FALSE",BK135)))</formula>
    </cfRule>
  </conditionalFormatting>
  <conditionalFormatting sqref="BK169">
    <cfRule type="containsText" dxfId="518" priority="490" stopIfTrue="1" operator="containsText" text="FALSE">
      <formula>NOT(ISERROR(SEARCH("FALSE",BK169)))</formula>
    </cfRule>
  </conditionalFormatting>
  <conditionalFormatting sqref="BK215:BK216">
    <cfRule type="containsText" dxfId="517" priority="484" stopIfTrue="1" operator="containsText" text="FALSE">
      <formula>NOT(ISERROR(SEARCH("FALSE",BK215)))</formula>
    </cfRule>
  </conditionalFormatting>
  <conditionalFormatting sqref="BK166">
    <cfRule type="containsText" dxfId="516" priority="489" stopIfTrue="1" operator="containsText" text="FALSE">
      <formula>NOT(ISERROR(SEARCH("FALSE",BK166)))</formula>
    </cfRule>
  </conditionalFormatting>
  <conditionalFormatting sqref="BK167">
    <cfRule type="containsText" dxfId="515" priority="488" stopIfTrue="1" operator="containsText" text="FALSE">
      <formula>NOT(ISERROR(SEARCH("FALSE",BK167)))</formula>
    </cfRule>
  </conditionalFormatting>
  <conditionalFormatting sqref="BK168">
    <cfRule type="containsText" dxfId="514" priority="487" stopIfTrue="1" operator="containsText" text="FALSE">
      <formula>NOT(ISERROR(SEARCH("FALSE",BK168)))</formula>
    </cfRule>
  </conditionalFormatting>
  <conditionalFormatting sqref="BK171:BK174">
    <cfRule type="containsText" dxfId="513" priority="486" stopIfTrue="1" operator="containsText" text="FALSE">
      <formula>NOT(ISERROR(SEARCH("FALSE",BK171)))</formula>
    </cfRule>
  </conditionalFormatting>
  <conditionalFormatting sqref="BK35">
    <cfRule type="containsText" dxfId="512" priority="485" stopIfTrue="1" operator="containsText" text="FALSE">
      <formula>NOT(ISERROR(SEARCH("FALSE",BK35)))</formula>
    </cfRule>
  </conditionalFormatting>
  <conditionalFormatting sqref="BK238">
    <cfRule type="containsText" dxfId="511" priority="483" stopIfTrue="1" operator="containsText" text="FALSE">
      <formula>NOT(ISERROR(SEARCH("FALSE",BK238)))</formula>
    </cfRule>
  </conditionalFormatting>
  <conditionalFormatting sqref="BK217">
    <cfRule type="containsText" dxfId="510" priority="482" stopIfTrue="1" operator="containsText" text="FALSE">
      <formula>NOT(ISERROR(SEARCH("FALSE",BK217)))</formula>
    </cfRule>
  </conditionalFormatting>
  <conditionalFormatting sqref="BK225">
    <cfRule type="containsText" dxfId="509" priority="481" stopIfTrue="1" operator="containsText" text="FALSE">
      <formula>NOT(ISERROR(SEARCH("FALSE",BK225)))</formula>
    </cfRule>
  </conditionalFormatting>
  <conditionalFormatting sqref="BK232">
    <cfRule type="containsText" dxfId="508" priority="480" stopIfTrue="1" operator="containsText" text="FALSE">
      <formula>NOT(ISERROR(SEARCH("FALSE",BK232)))</formula>
    </cfRule>
  </conditionalFormatting>
  <conditionalFormatting sqref="BK224">
    <cfRule type="containsText" dxfId="507" priority="479" stopIfTrue="1" operator="containsText" text="FALSE">
      <formula>NOT(ISERROR(SEARCH("FALSE",BK224)))</formula>
    </cfRule>
  </conditionalFormatting>
  <conditionalFormatting sqref="BK241">
    <cfRule type="containsText" dxfId="506" priority="478" stopIfTrue="1" operator="containsText" text="FALSE">
      <formula>NOT(ISERROR(SEARCH("FALSE",BK241)))</formula>
    </cfRule>
  </conditionalFormatting>
  <conditionalFormatting sqref="BK242">
    <cfRule type="containsText" dxfId="505" priority="477" stopIfTrue="1" operator="containsText" text="FALSE">
      <formula>NOT(ISERROR(SEARCH("FALSE",BK242)))</formula>
    </cfRule>
  </conditionalFormatting>
  <conditionalFormatting sqref="BK223">
    <cfRule type="containsText" dxfId="504" priority="476" stopIfTrue="1" operator="containsText" text="FALSE">
      <formula>NOT(ISERROR(SEARCH("FALSE",BK223)))</formula>
    </cfRule>
  </conditionalFormatting>
  <conditionalFormatting sqref="BK231">
    <cfRule type="containsText" dxfId="503" priority="475" stopIfTrue="1" operator="containsText" text="FALSE">
      <formula>NOT(ISERROR(SEARCH("FALSE",BK231)))</formula>
    </cfRule>
  </conditionalFormatting>
  <conditionalFormatting sqref="BK248:BK252">
    <cfRule type="containsText" dxfId="502" priority="474" stopIfTrue="1" operator="containsText" text="FALSE">
      <formula>NOT(ISERROR(SEARCH("FALSE",BK248)))</formula>
    </cfRule>
  </conditionalFormatting>
  <conditionalFormatting sqref="BK92">
    <cfRule type="containsText" dxfId="501" priority="473" stopIfTrue="1" operator="containsText" text="FALSE">
      <formula>NOT(ISERROR(SEARCH("FALSE",BK92)))</formula>
    </cfRule>
  </conditionalFormatting>
  <conditionalFormatting sqref="BK78">
    <cfRule type="containsText" dxfId="500" priority="472" stopIfTrue="1" operator="containsText" text="FALSE">
      <formula>NOT(ISERROR(SEARCH("FALSE",BK78)))</formula>
    </cfRule>
  </conditionalFormatting>
  <conditionalFormatting sqref="BK102:BK109 BK111:BK114 BK117">
    <cfRule type="containsText" dxfId="499" priority="433" stopIfTrue="1" operator="containsText" text="FALSE">
      <formula>NOT(ISERROR(SEARCH("FALSE",BK102)))</formula>
    </cfRule>
  </conditionalFormatting>
  <conditionalFormatting sqref="BK86:BK87">
    <cfRule type="containsText" dxfId="498" priority="434" stopIfTrue="1" operator="containsText" text="FALSE">
      <formula>NOT(ISERROR(SEARCH("FALSE",BK86)))</formula>
    </cfRule>
  </conditionalFormatting>
  <conditionalFormatting sqref="BK81">
    <cfRule type="containsText" dxfId="497" priority="469" stopIfTrue="1" operator="containsText" text="FALSE">
      <formula>NOT(ISERROR(SEARCH("FALSE",BK81)))</formula>
    </cfRule>
  </conditionalFormatting>
  <conditionalFormatting sqref="BK75">
    <cfRule type="containsText" dxfId="496" priority="468" stopIfTrue="1" operator="containsText" text="FALSE">
      <formula>NOT(ISERROR(SEARCH("FALSE",BK75)))</formula>
    </cfRule>
  </conditionalFormatting>
  <conditionalFormatting sqref="BK110">
    <cfRule type="containsText" dxfId="495" priority="427" stopIfTrue="1" operator="containsText" text="FALSE">
      <formula>NOT(ISERROR(SEARCH("FALSE",BK110)))</formula>
    </cfRule>
  </conditionalFormatting>
  <conditionalFormatting sqref="BK48">
    <cfRule type="containsText" dxfId="494" priority="466" stopIfTrue="1" operator="containsText" text="FALSE">
      <formula>NOT(ISERROR(SEARCH("FALSE",BK48)))</formula>
    </cfRule>
  </conditionalFormatting>
  <conditionalFormatting sqref="BK41 BK54">
    <cfRule type="containsText" dxfId="493" priority="465" stopIfTrue="1" operator="containsText" text="FALSE">
      <formula>NOT(ISERROR(SEARCH("FALSE",BK41)))</formula>
    </cfRule>
  </conditionalFormatting>
  <conditionalFormatting sqref="BK15:BK16">
    <cfRule type="containsText" dxfId="492" priority="451" stopIfTrue="1" operator="containsText" text="FALSE">
      <formula>NOT(ISERROR(SEARCH("FALSE",BK15)))</formula>
    </cfRule>
  </conditionalFormatting>
  <conditionalFormatting sqref="BK17">
    <cfRule type="containsText" dxfId="491" priority="453" stopIfTrue="1" operator="containsText" text="FALSE">
      <formula>NOT(ISERROR(SEARCH("FALSE",BK17)))</formula>
    </cfRule>
  </conditionalFormatting>
  <conditionalFormatting sqref="BM2:BN4">
    <cfRule type="containsText" dxfId="490" priority="868" stopIfTrue="1" operator="containsText" text="FALSE">
      <formula>NOT(ISERROR(SEARCH("FALSE",BM2)))</formula>
    </cfRule>
  </conditionalFormatting>
  <conditionalFormatting sqref="BK43">
    <cfRule type="containsText" dxfId="489" priority="461" stopIfTrue="1" operator="containsText" text="FALSE">
      <formula>NOT(ISERROR(SEARCH("FALSE",BK43)))</formula>
    </cfRule>
  </conditionalFormatting>
  <conditionalFormatting sqref="BK47">
    <cfRule type="containsText" dxfId="488" priority="460" stopIfTrue="1" operator="containsText" text="FALSE">
      <formula>NOT(ISERROR(SEARCH("FALSE",BK47)))</formula>
    </cfRule>
  </conditionalFormatting>
  <conditionalFormatting sqref="BK46">
    <cfRule type="containsText" dxfId="487" priority="459" stopIfTrue="1" operator="containsText" text="FALSE">
      <formula>NOT(ISERROR(SEARCH("FALSE",BK46)))</formula>
    </cfRule>
  </conditionalFormatting>
  <conditionalFormatting sqref="BK19:BK21">
    <cfRule type="containsText" dxfId="486" priority="458" stopIfTrue="1" operator="containsText" text="FALSE">
      <formula>NOT(ISERROR(SEARCH("FALSE",BK19)))</formula>
    </cfRule>
  </conditionalFormatting>
  <conditionalFormatting sqref="BK6">
    <cfRule type="containsText" dxfId="485" priority="450" stopIfTrue="1" operator="containsText" text="FALSE">
      <formula>NOT(ISERROR(SEARCH("FALSE",BK6)))</formula>
    </cfRule>
  </conditionalFormatting>
  <conditionalFormatting sqref="BK18">
    <cfRule type="containsText" dxfId="484" priority="455" stopIfTrue="1" operator="containsText" text="FALSE">
      <formula>NOT(ISERROR(SEARCH("FALSE",BK18)))</formula>
    </cfRule>
  </conditionalFormatting>
  <conditionalFormatting sqref="BK5">
    <cfRule type="containsText" dxfId="483" priority="860" stopIfTrue="1" operator="containsText" text="FALSE">
      <formula>NOT(ISERROR(SEARCH("FALSE",BK5)))</formula>
    </cfRule>
  </conditionalFormatting>
  <conditionalFormatting sqref="BK148">
    <cfRule type="containsText" dxfId="482" priority="424" stopIfTrue="1" operator="containsText" text="FALSE">
      <formula>NOT(ISERROR(SEARCH("FALSE",BK148)))</formula>
    </cfRule>
  </conditionalFormatting>
  <conditionalFormatting sqref="BK68:BK69">
    <cfRule type="containsText" dxfId="481" priority="442" stopIfTrue="1" operator="containsText" text="FALSE">
      <formula>NOT(ISERROR(SEARCH("FALSE",BK68)))</formula>
    </cfRule>
  </conditionalFormatting>
  <conditionalFormatting sqref="BK115:BK116">
    <cfRule type="containsText" dxfId="480" priority="428" stopIfTrue="1" operator="containsText" text="FALSE">
      <formula>NOT(ISERROR(SEARCH("FALSE",BK115)))</formula>
    </cfRule>
  </conditionalFormatting>
  <conditionalFormatting sqref="BK30">
    <cfRule type="containsText" dxfId="479" priority="447" stopIfTrue="1" operator="containsText" text="FALSE">
      <formula>NOT(ISERROR(SEARCH("FALSE",BK30)))</formula>
    </cfRule>
  </conditionalFormatting>
  <conditionalFormatting sqref="BK22">
    <cfRule type="containsText" dxfId="478" priority="445" stopIfTrue="1" operator="containsText" text="FALSE">
      <formula>NOT(ISERROR(SEARCH("FALSE",BK22)))</formula>
    </cfRule>
  </conditionalFormatting>
  <conditionalFormatting sqref="BK85">
    <cfRule type="containsText" dxfId="477" priority="435" stopIfTrue="1" operator="containsText" text="FALSE">
      <formula>NOT(ISERROR(SEARCH("FALSE",BK85)))</formula>
    </cfRule>
  </conditionalFormatting>
  <conditionalFormatting sqref="BK66:BK67">
    <cfRule type="containsText" dxfId="476" priority="438" stopIfTrue="1" operator="containsText" text="FALSE">
      <formula>NOT(ISERROR(SEARCH("FALSE",BK66)))</formula>
    </cfRule>
  </conditionalFormatting>
  <conditionalFormatting sqref="BK64:BK65">
    <cfRule type="containsText" dxfId="475" priority="437" stopIfTrue="1" operator="containsText" text="FALSE">
      <formula>NOT(ISERROR(SEARCH("FALSE",BK64)))</formula>
    </cfRule>
  </conditionalFormatting>
  <conditionalFormatting sqref="BK189:BK190">
    <cfRule type="containsText" dxfId="474" priority="416" stopIfTrue="1" operator="containsText" text="FALSE">
      <formula>NOT(ISERROR(SEARCH("FALSE",BK189)))</formula>
    </cfRule>
  </conditionalFormatting>
  <conditionalFormatting sqref="BK184">
    <cfRule type="containsText" dxfId="473" priority="417" stopIfTrue="1" operator="containsText" text="FALSE">
      <formula>NOT(ISERROR(SEARCH("FALSE",BK184)))</formula>
    </cfRule>
  </conditionalFormatting>
  <conditionalFormatting sqref="BL71">
    <cfRule type="containsText" dxfId="472" priority="390" stopIfTrue="1" operator="containsText" text="FALSE">
      <formula>NOT(ISERROR(SEARCH("FALSE",BL71)))</formula>
    </cfRule>
  </conditionalFormatting>
  <conditionalFormatting sqref="BK287">
    <cfRule type="containsText" dxfId="471" priority="402" stopIfTrue="1" operator="containsText" text="FALSE">
      <formula>NOT(ISERROR(SEARCH("FALSE",BK287)))</formula>
    </cfRule>
  </conditionalFormatting>
  <conditionalFormatting sqref="BK99:BK101">
    <cfRule type="containsText" dxfId="470" priority="431" stopIfTrue="1" operator="containsText" text="FALSE">
      <formula>NOT(ISERROR(SEARCH("FALSE",BK99)))</formula>
    </cfRule>
  </conditionalFormatting>
  <conditionalFormatting sqref="BK32 BK25:BK28">
    <cfRule type="containsText" dxfId="469" priority="449" stopIfTrue="1" operator="containsText" text="FALSE">
      <formula>NOT(ISERROR(SEARCH("FALSE",BK25)))</formula>
    </cfRule>
  </conditionalFormatting>
  <conditionalFormatting sqref="BK23:BK24">
    <cfRule type="containsText" dxfId="468" priority="448" stopIfTrue="1" operator="containsText" text="FALSE">
      <formula>NOT(ISERROR(SEARCH("FALSE",BK23)))</formula>
    </cfRule>
  </conditionalFormatting>
  <conditionalFormatting sqref="BK31">
    <cfRule type="containsText" dxfId="467" priority="446" stopIfTrue="1" operator="containsText" text="FALSE">
      <formula>NOT(ISERROR(SEARCH("FALSE",BK31)))</formula>
    </cfRule>
  </conditionalFormatting>
  <conditionalFormatting sqref="BK36:BK39">
    <cfRule type="containsText" dxfId="466" priority="444" stopIfTrue="1" operator="containsText" text="FALSE">
      <formula>NOT(ISERROR(SEARCH("FALSE",BK36)))</formula>
    </cfRule>
  </conditionalFormatting>
  <conditionalFormatting sqref="BK62:BK63">
    <cfRule type="containsText" dxfId="465" priority="436" stopIfTrue="1" operator="containsText" text="FALSE">
      <formula>NOT(ISERROR(SEARCH("FALSE",BK62)))</formula>
    </cfRule>
  </conditionalFormatting>
  <conditionalFormatting sqref="BK98">
    <cfRule type="containsText" dxfId="464" priority="432" stopIfTrue="1" operator="containsText" text="FALSE">
      <formula>NOT(ISERROR(SEARCH("FALSE",BK98)))</formula>
    </cfRule>
  </conditionalFormatting>
  <conditionalFormatting sqref="BK49:BK52">
    <cfRule type="containsText" dxfId="463" priority="443" stopIfTrue="1" operator="containsText" text="FALSE">
      <formula>NOT(ISERROR(SEARCH("FALSE",BK49)))</formula>
    </cfRule>
  </conditionalFormatting>
  <conditionalFormatting sqref="BK71">
    <cfRule type="containsText" dxfId="462" priority="441" stopIfTrue="1" operator="containsText" text="FALSE">
      <formula>NOT(ISERROR(SEARCH("FALSE",BK71)))</formula>
    </cfRule>
  </conditionalFormatting>
  <conditionalFormatting sqref="BK70">
    <cfRule type="containsText" dxfId="461" priority="440" stopIfTrue="1" operator="containsText" text="FALSE">
      <formula>NOT(ISERROR(SEARCH("FALSE",BK70)))</formula>
    </cfRule>
  </conditionalFormatting>
  <conditionalFormatting sqref="BK72">
    <cfRule type="containsText" dxfId="460" priority="439" stopIfTrue="1" operator="containsText" text="FALSE">
      <formula>NOT(ISERROR(SEARCH("FALSE",BK72)))</formula>
    </cfRule>
  </conditionalFormatting>
  <conditionalFormatting sqref="BK122">
    <cfRule type="containsText" dxfId="459" priority="430" stopIfTrue="1" operator="containsText" text="FALSE">
      <formula>NOT(ISERROR(SEARCH("FALSE",BK122)))</formula>
    </cfRule>
  </conditionalFormatting>
  <conditionalFormatting sqref="BK118 BK121">
    <cfRule type="containsText" dxfId="458" priority="429" stopIfTrue="1" operator="containsText" text="FALSE">
      <formula>NOT(ISERROR(SEARCH("FALSE",BK118)))</formula>
    </cfRule>
  </conditionalFormatting>
  <conditionalFormatting sqref="BK254">
    <cfRule type="containsText" dxfId="457" priority="405" stopIfTrue="1" operator="containsText" text="FALSE">
      <formula>NOT(ISERROR(SEARCH("FALSE",BK254)))</formula>
    </cfRule>
  </conditionalFormatting>
  <conditionalFormatting sqref="BK120">
    <cfRule type="containsText" dxfId="456" priority="426" stopIfTrue="1" operator="containsText" text="FALSE">
      <formula>NOT(ISERROR(SEARCH("FALSE",BK120)))</formula>
    </cfRule>
  </conditionalFormatting>
  <conditionalFormatting sqref="BK243">
    <cfRule type="containsText" dxfId="455" priority="398" stopIfTrue="1" operator="containsText" text="FALSE">
      <formula>NOT(ISERROR(SEARCH("FALSE",BK243)))</formula>
    </cfRule>
  </conditionalFormatting>
  <conditionalFormatting sqref="BK119">
    <cfRule type="containsText" dxfId="454" priority="425" stopIfTrue="1" operator="containsText" text="FALSE">
      <formula>NOT(ISERROR(SEARCH("FALSE",BK119)))</formula>
    </cfRule>
  </conditionalFormatting>
  <conditionalFormatting sqref="BL92">
    <cfRule type="containsText" dxfId="453" priority="387" stopIfTrue="1" operator="containsText" text="FALSE">
      <formula>NOT(ISERROR(SEARCH("FALSE",BL92)))</formula>
    </cfRule>
  </conditionalFormatting>
  <conditionalFormatting sqref="BK144:BN144">
    <cfRule type="containsText" dxfId="452" priority="421" stopIfTrue="1" operator="containsText" text="FALSE">
      <formula>NOT(ISERROR(SEARCH("FALSE",BK144)))</formula>
    </cfRule>
  </conditionalFormatting>
  <conditionalFormatting sqref="BK175:BK178">
    <cfRule type="containsText" dxfId="451" priority="420" stopIfTrue="1" operator="containsText" text="FALSE">
      <formula>NOT(ISERROR(SEARCH("FALSE",BK175)))</formula>
    </cfRule>
  </conditionalFormatting>
  <conditionalFormatting sqref="BK196:BK197 BK194 BK185:BK188 BK181:BK183 BK191:BK192">
    <cfRule type="containsText" dxfId="450" priority="419" stopIfTrue="1" operator="containsText" text="FALSE">
      <formula>NOT(ISERROR(SEARCH("FALSE",BK181)))</formula>
    </cfRule>
  </conditionalFormatting>
  <conditionalFormatting sqref="BK181">
    <cfRule type="containsText" dxfId="449" priority="418" stopIfTrue="1" operator="containsText" text="FALSE">
      <formula>NOT(ISERROR(SEARCH("FALSE",BK181)))</formula>
    </cfRule>
  </conditionalFormatting>
  <conditionalFormatting sqref="BK195">
    <cfRule type="containsText" dxfId="448" priority="415" stopIfTrue="1" operator="containsText" text="FALSE">
      <formula>NOT(ISERROR(SEARCH("FALSE",BK195)))</formula>
    </cfRule>
  </conditionalFormatting>
  <conditionalFormatting sqref="BK2:BK4">
    <cfRule type="containsText" dxfId="447" priority="820" stopIfTrue="1" operator="containsText" text="FALSE">
      <formula>NOT(ISERROR(SEARCH("FALSE",BK2)))</formula>
    </cfRule>
  </conditionalFormatting>
  <conditionalFormatting sqref="BK199:BK200">
    <cfRule type="containsText" dxfId="446" priority="413" stopIfTrue="1" operator="containsText" text="FALSE">
      <formula>NOT(ISERROR(SEARCH("FALSE",BK199)))</formula>
    </cfRule>
  </conditionalFormatting>
  <conditionalFormatting sqref="BK198">
    <cfRule type="containsText" dxfId="445" priority="412" stopIfTrue="1" operator="containsText" text="FALSE">
      <formula>NOT(ISERROR(SEARCH("FALSE",BK198)))</formula>
    </cfRule>
  </conditionalFormatting>
  <conditionalFormatting sqref="BK202 BK209">
    <cfRule type="containsText" dxfId="444" priority="411" stopIfTrue="1" operator="containsText" text="FALSE">
      <formula>NOT(ISERROR(SEARCH("FALSE",BK202)))</formula>
    </cfRule>
  </conditionalFormatting>
  <conditionalFormatting sqref="BK211:BK212">
    <cfRule type="containsText" dxfId="443" priority="410" stopIfTrue="1" operator="containsText" text="FALSE">
      <formula>NOT(ISERROR(SEARCH("FALSE",BK211)))</formula>
    </cfRule>
  </conditionalFormatting>
  <conditionalFormatting sqref="BK206:BK208">
    <cfRule type="containsText" dxfId="442" priority="409" stopIfTrue="1" operator="containsText" text="FALSE">
      <formula>NOT(ISERROR(SEARCH("FALSE",BK206)))</formula>
    </cfRule>
  </conditionalFormatting>
  <conditionalFormatting sqref="BK204:BK205">
    <cfRule type="containsText" dxfId="441" priority="408" stopIfTrue="1" operator="containsText" text="FALSE">
      <formula>NOT(ISERROR(SEARCH("FALSE",BK204)))</formula>
    </cfRule>
  </conditionalFormatting>
  <conditionalFormatting sqref="BK255 BK253">
    <cfRule type="containsText" dxfId="440" priority="407" stopIfTrue="1" operator="containsText" text="FALSE">
      <formula>NOT(ISERROR(SEARCH("FALSE",BK253)))</formula>
    </cfRule>
  </conditionalFormatting>
  <conditionalFormatting sqref="BK256">
    <cfRule type="containsText" dxfId="439" priority="406" stopIfTrue="1" operator="containsText" text="FALSE">
      <formula>NOT(ISERROR(SEARCH("FALSE",BK256)))</formula>
    </cfRule>
  </conditionalFormatting>
  <conditionalFormatting sqref="BK266 BK262:BK264">
    <cfRule type="containsText" dxfId="438" priority="404" stopIfTrue="1" operator="containsText" text="FALSE">
      <formula>NOT(ISERROR(SEARCH("FALSE",BK262)))</formula>
    </cfRule>
  </conditionalFormatting>
  <conditionalFormatting sqref="BK267:BK286">
    <cfRule type="containsText" dxfId="437" priority="403" stopIfTrue="1" operator="containsText" text="FALSE">
      <formula>NOT(ISERROR(SEARCH("FALSE",BK267)))</formula>
    </cfRule>
  </conditionalFormatting>
  <conditionalFormatting sqref="BK244">
    <cfRule type="containsText" dxfId="436" priority="397" stopIfTrue="1" operator="containsText" text="FALSE">
      <formula>NOT(ISERROR(SEARCH("FALSE",BK244)))</formula>
    </cfRule>
  </conditionalFormatting>
  <conditionalFormatting sqref="BL158:BL159 BL175:BL178">
    <cfRule type="containsText" dxfId="435" priority="395" stopIfTrue="1" operator="containsText" text="FALSE">
      <formula>NOT(ISERROR(SEARCH("FALSE",BL158)))</formula>
    </cfRule>
  </conditionalFormatting>
  <conditionalFormatting sqref="BK260:BK261">
    <cfRule type="containsText" dxfId="434" priority="401" stopIfTrue="1" operator="containsText" text="FALSE">
      <formula>NOT(ISERROR(SEARCH("FALSE",BK260)))</formula>
    </cfRule>
  </conditionalFormatting>
  <conditionalFormatting sqref="BN162:BN163">
    <cfRule type="containsText" dxfId="433" priority="400" stopIfTrue="1" operator="containsText" text="FALSE">
      <formula>NOT(ISERROR(SEARCH("FALSE",BN162)))</formula>
    </cfRule>
  </conditionalFormatting>
  <conditionalFormatting sqref="BN161">
    <cfRule type="containsText" dxfId="432" priority="399" stopIfTrue="1" operator="containsText" text="FALSE">
      <formula>NOT(ISERROR(SEARCH("FALSE",BN161)))</formula>
    </cfRule>
  </conditionalFormatting>
  <conditionalFormatting sqref="BL18">
    <cfRule type="containsText" dxfId="431" priority="378" stopIfTrue="1" operator="containsText" text="FALSE">
      <formula>NOT(ISERROR(SEARCH("FALSE",BL18)))</formula>
    </cfRule>
  </conditionalFormatting>
  <conditionalFormatting sqref="BL48:BL52 BL82 BL84 BL257">
    <cfRule type="containsText" dxfId="430" priority="394" stopIfTrue="1" operator="containsText" text="FALSE">
      <formula>NOT(ISERROR(SEARCH("FALSE",BL48)))</formula>
    </cfRule>
  </conditionalFormatting>
  <conditionalFormatting sqref="BL149:BL150 BL130 BL154:BL155 BL202 BL46 BL164:BL165 BL123 BL181:BL183 BL306:BL313 BL315:BL318 BL320:BL323 BL325:BL328 BL330:BL334 BL336:BL344 BL346:BL353 BL19:BL21 BL102:BL109 BL296:BL304 BL34 BL43 BL59:BL61 BL170 BL66:BL69 BL88:BL89 BL7:BL12 BL36:BL39 BL41 BL54 BL111:BL114 BL117">
    <cfRule type="containsText" dxfId="429" priority="393" stopIfTrue="1" operator="containsText" text="FALSE">
      <formula>NOT(ISERROR(SEARCH("FALSE",BL7)))</formula>
    </cfRule>
  </conditionalFormatting>
  <conditionalFormatting sqref="BL97:BL98">
    <cfRule type="containsText" dxfId="428" priority="392" stopIfTrue="1" operator="containsText" text="FALSE">
      <formula>NOT(ISERROR(SEARCH("FALSE",BL97)))</formula>
    </cfRule>
  </conditionalFormatting>
  <conditionalFormatting sqref="BL181">
    <cfRule type="containsText" dxfId="427" priority="389" stopIfTrue="1" operator="containsText" text="FALSE">
      <formula>NOT(ISERROR(SEARCH("FALSE",BL181)))</formula>
    </cfRule>
  </conditionalFormatting>
  <conditionalFormatting sqref="BL99:BL101">
    <cfRule type="containsText" dxfId="426" priority="388" stopIfTrue="1" operator="containsText" text="FALSE">
      <formula>NOT(ISERROR(SEARCH("FALSE",BL99)))</formula>
    </cfRule>
  </conditionalFormatting>
  <conditionalFormatting sqref="BL126">
    <cfRule type="containsText" dxfId="425" priority="351" stopIfTrue="1" operator="containsText" text="FALSE">
      <formula>NOT(ISERROR(SEARCH("FALSE",BL126)))</formula>
    </cfRule>
  </conditionalFormatting>
  <conditionalFormatting sqref="BL152">
    <cfRule type="containsText" dxfId="424" priority="343" stopIfTrue="1" operator="containsText" text="FALSE">
      <formula>NOT(ISERROR(SEARCH("FALSE",BL152)))</formula>
    </cfRule>
  </conditionalFormatting>
  <conditionalFormatting sqref="BL260:BL264">
    <cfRule type="containsText" dxfId="423" priority="314" stopIfTrue="1" operator="containsText" text="FALSE">
      <formula>NOT(ISERROR(SEARCH("FALSE",BL260)))</formula>
    </cfRule>
  </conditionalFormatting>
  <conditionalFormatting sqref="BL156:BL157">
    <cfRule type="containsText" dxfId="422" priority="341" stopIfTrue="1" operator="containsText" text="FALSE">
      <formula>NOT(ISERROR(SEARCH("FALSE",BL156)))</formula>
    </cfRule>
  </conditionalFormatting>
  <conditionalFormatting sqref="BL160">
    <cfRule type="containsText" dxfId="421" priority="340" stopIfTrue="1" operator="containsText" text="FALSE">
      <formula>NOT(ISERROR(SEARCH("FALSE",BL160)))</formula>
    </cfRule>
  </conditionalFormatting>
  <conditionalFormatting sqref="BL169">
    <cfRule type="containsText" dxfId="420" priority="339" stopIfTrue="1" operator="containsText" text="FALSE">
      <formula>NOT(ISERROR(SEARCH("FALSE",BL169)))</formula>
    </cfRule>
  </conditionalFormatting>
  <conditionalFormatting sqref="BL166">
    <cfRule type="containsText" dxfId="419" priority="338" stopIfTrue="1" operator="containsText" text="FALSE">
      <formula>NOT(ISERROR(SEARCH("FALSE",BL166)))</formula>
    </cfRule>
  </conditionalFormatting>
  <conditionalFormatting sqref="BL151">
    <cfRule type="containsText" dxfId="418" priority="344" stopIfTrue="1" operator="containsText" text="FALSE">
      <formula>NOT(ISERROR(SEARCH("FALSE",BL151)))</formula>
    </cfRule>
  </conditionalFormatting>
  <conditionalFormatting sqref="CE329">
    <cfRule type="containsText" dxfId="417" priority="257" stopIfTrue="1" operator="containsText" text="FALSE">
      <formula>NOT(ISERROR(SEARCH("FALSE",CE329)))</formula>
    </cfRule>
  </conditionalFormatting>
  <conditionalFormatting sqref="BL153">
    <cfRule type="containsText" dxfId="416" priority="342" stopIfTrue="1" operator="containsText" text="FALSE">
      <formula>NOT(ISERROR(SEARCH("FALSE",BL153)))</formula>
    </cfRule>
  </conditionalFormatting>
  <conditionalFormatting sqref="BL62:BL65">
    <cfRule type="containsText" dxfId="415" priority="333" stopIfTrue="1" operator="containsText" text="FALSE">
      <formula>NOT(ISERROR(SEARCH("FALSE",BL62)))</formula>
    </cfRule>
  </conditionalFormatting>
  <conditionalFormatting sqref="BL33">
    <cfRule type="containsText" dxfId="414" priority="376" stopIfTrue="1" operator="containsText" text="FALSE">
      <formula>NOT(ISERROR(SEARCH("FALSE",BL33)))</formula>
    </cfRule>
  </conditionalFormatting>
  <conditionalFormatting sqref="BL244">
    <cfRule type="containsText" dxfId="413" priority="354" stopIfTrue="1" operator="containsText" text="FALSE">
      <formula>NOT(ISERROR(SEARCH("FALSE",BL244)))</formula>
    </cfRule>
  </conditionalFormatting>
  <conditionalFormatting sqref="BL81">
    <cfRule type="containsText" dxfId="412" priority="353" stopIfTrue="1" operator="containsText" text="FALSE">
      <formula>NOT(ISERROR(SEARCH("FALSE",BL81)))</formula>
    </cfRule>
  </conditionalFormatting>
  <conditionalFormatting sqref="BL125">
    <cfRule type="containsText" dxfId="411" priority="352" stopIfTrue="1" operator="containsText" text="FALSE">
      <formula>NOT(ISERROR(SEARCH("FALSE",BL125)))</formula>
    </cfRule>
  </conditionalFormatting>
  <conditionalFormatting sqref="BL131:BL132 BL137">
    <cfRule type="containsText" dxfId="410" priority="350" stopIfTrue="1" operator="containsText" text="FALSE">
      <formula>NOT(ISERROR(SEARCH("FALSE",BL131)))</formula>
    </cfRule>
  </conditionalFormatting>
  <conditionalFormatting sqref="BL124">
    <cfRule type="containsText" dxfId="409" priority="385" stopIfTrue="1" operator="containsText" text="FALSE">
      <formula>NOT(ISERROR(SEARCH("FALSE",BL124)))</formula>
    </cfRule>
  </conditionalFormatting>
  <conditionalFormatting sqref="BL75">
    <cfRule type="containsText" dxfId="408" priority="384" stopIfTrue="1" operator="containsText" text="FALSE">
      <formula>NOT(ISERROR(SEARCH("FALSE",BL75)))</formula>
    </cfRule>
  </conditionalFormatting>
  <conditionalFormatting sqref="BL78">
    <cfRule type="containsText" dxfId="407" priority="383" stopIfTrue="1" operator="containsText" text="FALSE">
      <formula>NOT(ISERROR(SEARCH("FALSE",BL78)))</formula>
    </cfRule>
  </conditionalFormatting>
  <conditionalFormatting sqref="BL135">
    <cfRule type="containsText" dxfId="406" priority="346" stopIfTrue="1" operator="containsText" text="FALSE">
      <formula>NOT(ISERROR(SEARCH("FALSE",BL135)))</formula>
    </cfRule>
  </conditionalFormatting>
  <conditionalFormatting sqref="BL70">
    <cfRule type="containsText" dxfId="405" priority="381" stopIfTrue="1" operator="containsText" text="FALSE">
      <formula>NOT(ISERROR(SEARCH("FALSE",BL70)))</formula>
    </cfRule>
  </conditionalFormatting>
  <conditionalFormatting sqref="BL72">
    <cfRule type="containsText" dxfId="404" priority="380" stopIfTrue="1" operator="containsText" text="FALSE">
      <formula>NOT(ISERROR(SEARCH("FALSE",BL72)))</formula>
    </cfRule>
  </conditionalFormatting>
  <conditionalFormatting sqref="BL118 BL120:BL121">
    <cfRule type="containsText" dxfId="403" priority="379" stopIfTrue="1" operator="containsText" text="FALSE">
      <formula>NOT(ISERROR(SEARCH("FALSE",BL118)))</formula>
    </cfRule>
  </conditionalFormatting>
  <conditionalFormatting sqref="BL115:BL116">
    <cfRule type="containsText" dxfId="402" priority="377" stopIfTrue="1" operator="containsText" text="FALSE">
      <formula>NOT(ISERROR(SEARCH("FALSE",BL115)))</formula>
    </cfRule>
  </conditionalFormatting>
  <conditionalFormatting sqref="BL148">
    <cfRule type="containsText" dxfId="401" priority="375" stopIfTrue="1" operator="containsText" text="FALSE">
      <formula>NOT(ISERROR(SEARCH("FALSE",BL148)))</formula>
    </cfRule>
  </conditionalFormatting>
  <conditionalFormatting sqref="BL201">
    <cfRule type="containsText" dxfId="400" priority="374" stopIfTrue="1" operator="containsText" text="FALSE">
      <formula>NOT(ISERROR(SEARCH("FALSE",BL201)))</formula>
    </cfRule>
  </conditionalFormatting>
  <conditionalFormatting sqref="BL305">
    <cfRule type="containsText" dxfId="399" priority="373" stopIfTrue="1" operator="containsText" text="FALSE">
      <formula>NOT(ISERROR(SEARCH("FALSE",BL305)))</formula>
    </cfRule>
  </conditionalFormatting>
  <conditionalFormatting sqref="BL314">
    <cfRule type="containsText" dxfId="398" priority="372" stopIfTrue="1" operator="containsText" text="FALSE">
      <formula>NOT(ISERROR(SEARCH("FALSE",BL314)))</formula>
    </cfRule>
  </conditionalFormatting>
  <conditionalFormatting sqref="BL335">
    <cfRule type="containsText" dxfId="397" priority="368" stopIfTrue="1" operator="containsText" text="FALSE">
      <formula>NOT(ISERROR(SEARCH("FALSE",BL335)))</formula>
    </cfRule>
  </conditionalFormatting>
  <conditionalFormatting sqref="BL319">
    <cfRule type="containsText" dxfId="396" priority="371" stopIfTrue="1" operator="containsText" text="FALSE">
      <formula>NOT(ISERROR(SEARCH("FALSE",BL319)))</formula>
    </cfRule>
  </conditionalFormatting>
  <conditionalFormatting sqref="BL324">
    <cfRule type="containsText" dxfId="395" priority="370" stopIfTrue="1" operator="containsText" text="FALSE">
      <formula>NOT(ISERROR(SEARCH("FALSE",BL324)))</formula>
    </cfRule>
  </conditionalFormatting>
  <conditionalFormatting sqref="BL329">
    <cfRule type="containsText" dxfId="394" priority="369" stopIfTrue="1" operator="containsText" text="FALSE">
      <formula>NOT(ISERROR(SEARCH("FALSE",BL329)))</formula>
    </cfRule>
  </conditionalFormatting>
  <conditionalFormatting sqref="BL345">
    <cfRule type="containsText" dxfId="393" priority="367" stopIfTrue="1" operator="containsText" text="FALSE">
      <formula>NOT(ISERROR(SEARCH("FALSE",BL345)))</formula>
    </cfRule>
  </conditionalFormatting>
  <conditionalFormatting sqref="BL56">
    <cfRule type="containsText" dxfId="392" priority="366" stopIfTrue="1" operator="containsText" text="FALSE">
      <formula>NOT(ISERROR(SEARCH("FALSE",BL56)))</formula>
    </cfRule>
  </conditionalFormatting>
  <conditionalFormatting sqref="BL247">
    <cfRule type="containsText" dxfId="391" priority="365" stopIfTrue="1" operator="containsText" text="FALSE">
      <formula>NOT(ISERROR(SEARCH("FALSE",BL247)))</formula>
    </cfRule>
  </conditionalFormatting>
  <conditionalFormatting sqref="BL290:BL295">
    <cfRule type="containsText" dxfId="390" priority="364" stopIfTrue="1" operator="containsText" text="FALSE">
      <formula>NOT(ISERROR(SEARCH("FALSE",BL290)))</formula>
    </cfRule>
  </conditionalFormatting>
  <conditionalFormatting sqref="BL258">
    <cfRule type="containsText" dxfId="389" priority="363" stopIfTrue="1" operator="containsText" text="FALSE">
      <formula>NOT(ISERROR(SEARCH("FALSE",BL258)))</formula>
    </cfRule>
  </conditionalFormatting>
  <conditionalFormatting sqref="BL259">
    <cfRule type="containsText" dxfId="388" priority="361" stopIfTrue="1" operator="containsText" text="FALSE">
      <formula>NOT(ISERROR(SEARCH("FALSE",BL259)))</formula>
    </cfRule>
  </conditionalFormatting>
  <conditionalFormatting sqref="BL47">
    <cfRule type="containsText" dxfId="387" priority="360" stopIfTrue="1" operator="containsText" text="FALSE">
      <formula>NOT(ISERROR(SEARCH("FALSE",BL47)))</formula>
    </cfRule>
  </conditionalFormatting>
  <conditionalFormatting sqref="BL213">
    <cfRule type="containsText" dxfId="386" priority="362" stopIfTrue="1" operator="containsText" text="FALSE">
      <formula>NOT(ISERROR(SEARCH("FALSE",BL213)))</formula>
    </cfRule>
  </conditionalFormatting>
  <conditionalFormatting sqref="BL17">
    <cfRule type="containsText" dxfId="385" priority="358" stopIfTrue="1" operator="containsText" text="FALSE">
      <formula>NOT(ISERROR(SEARCH("FALSE",BL17)))</formula>
    </cfRule>
  </conditionalFormatting>
  <conditionalFormatting sqref="BL119">
    <cfRule type="containsText" dxfId="384" priority="355" stopIfTrue="1" operator="containsText" text="FALSE">
      <formula>NOT(ISERROR(SEARCH("FALSE",BL119)))</formula>
    </cfRule>
  </conditionalFormatting>
  <conditionalFormatting sqref="BL86:BL87">
    <cfRule type="containsText" dxfId="383" priority="357" stopIfTrue="1" operator="containsText" text="FALSE">
      <formula>NOT(ISERROR(SEARCH("FALSE",BL86)))</formula>
    </cfRule>
  </conditionalFormatting>
  <conditionalFormatting sqref="BL85">
    <cfRule type="containsText" dxfId="382" priority="356" stopIfTrue="1" operator="containsText" text="FALSE">
      <formula>NOT(ISERROR(SEARCH("FALSE",BL85)))</formula>
    </cfRule>
  </conditionalFormatting>
  <conditionalFormatting sqref="BL22">
    <cfRule type="containsText" dxfId="381" priority="328" stopIfTrue="1" operator="containsText" text="FALSE">
      <formula>NOT(ISERROR(SEARCH("FALSE",BL22)))</formula>
    </cfRule>
  </conditionalFormatting>
  <conditionalFormatting sqref="BL133">
    <cfRule type="containsText" dxfId="380" priority="348" stopIfTrue="1" operator="containsText" text="FALSE">
      <formula>NOT(ISERROR(SEARCH("FALSE",BL133)))</formula>
    </cfRule>
  </conditionalFormatting>
  <conditionalFormatting sqref="BL122">
    <cfRule type="containsText" dxfId="379" priority="345" stopIfTrue="1" operator="containsText" text="FALSE">
      <formula>NOT(ISERROR(SEARCH("FALSE",BL122)))</formula>
    </cfRule>
  </conditionalFormatting>
  <conditionalFormatting sqref="BL167">
    <cfRule type="containsText" dxfId="378" priority="337" stopIfTrue="1" operator="containsText" text="FALSE">
      <formula>NOT(ISERROR(SEARCH("FALSE",BL167)))</formula>
    </cfRule>
  </conditionalFormatting>
  <conditionalFormatting sqref="BL168">
    <cfRule type="containsText" dxfId="377" priority="336" stopIfTrue="1" operator="containsText" text="FALSE">
      <formula>NOT(ISERROR(SEARCH("FALSE",BL168)))</formula>
    </cfRule>
  </conditionalFormatting>
  <conditionalFormatting sqref="BL171:BL174">
    <cfRule type="containsText" dxfId="376" priority="335" stopIfTrue="1" operator="containsText" text="FALSE">
      <formula>NOT(ISERROR(SEARCH("FALSE",BL171)))</formula>
    </cfRule>
  </conditionalFormatting>
  <conditionalFormatting sqref="BL35">
    <cfRule type="containsText" dxfId="375" priority="334" stopIfTrue="1" operator="containsText" text="FALSE">
      <formula>NOT(ISERROR(SEARCH("FALSE",BL35)))</formula>
    </cfRule>
  </conditionalFormatting>
  <conditionalFormatting sqref="BL6">
    <cfRule type="containsText" dxfId="374" priority="332" stopIfTrue="1" operator="containsText" text="FALSE">
      <formula>NOT(ISERROR(SEARCH("FALSE",BL6)))</formula>
    </cfRule>
  </conditionalFormatting>
  <conditionalFormatting sqref="BL14">
    <cfRule type="containsText" dxfId="373" priority="331" stopIfTrue="1" operator="containsText" text="FALSE">
      <formula>NOT(ISERROR(SEARCH("FALSE",BL14)))</formula>
    </cfRule>
  </conditionalFormatting>
  <conditionalFormatting sqref="BL15:BL16">
    <cfRule type="containsText" dxfId="372" priority="329" stopIfTrue="1" operator="containsText" text="FALSE">
      <formula>NOT(ISERROR(SEARCH("FALSE",BL15)))</formula>
    </cfRule>
  </conditionalFormatting>
  <conditionalFormatting sqref="BL32 BL25:BL28">
    <cfRule type="containsText" dxfId="371" priority="327" stopIfTrue="1" operator="containsText" text="FALSE">
      <formula>NOT(ISERROR(SEARCH("FALSE",BL25)))</formula>
    </cfRule>
  </conditionalFormatting>
  <conditionalFormatting sqref="BL23:BL24">
    <cfRule type="containsText" dxfId="370" priority="326" stopIfTrue="1" operator="containsText" text="FALSE">
      <formula>NOT(ISERROR(SEARCH("FALSE",BL23)))</formula>
    </cfRule>
  </conditionalFormatting>
  <conditionalFormatting sqref="BL30">
    <cfRule type="containsText" dxfId="369" priority="325" stopIfTrue="1" operator="containsText" text="FALSE">
      <formula>NOT(ISERROR(SEARCH("FALSE",BL30)))</formula>
    </cfRule>
  </conditionalFormatting>
  <conditionalFormatting sqref="BL245">
    <cfRule type="containsText" dxfId="368" priority="323" stopIfTrue="1" operator="containsText" text="FALSE">
      <formula>NOT(ISERROR(SEARCH("FALSE",BL245)))</formula>
    </cfRule>
  </conditionalFormatting>
  <conditionalFormatting sqref="BL215 BL218:BL219">
    <cfRule type="containsText" dxfId="367" priority="321" stopIfTrue="1" operator="containsText" text="FALSE">
      <formula>NOT(ISERROR(SEARCH("FALSE",BL215)))</formula>
    </cfRule>
  </conditionalFormatting>
  <conditionalFormatting sqref="BL256">
    <cfRule type="containsText" dxfId="366" priority="317" stopIfTrue="1" operator="containsText" text="FALSE">
      <formula>NOT(ISERROR(SEARCH("FALSE",BL256)))</formula>
    </cfRule>
  </conditionalFormatting>
  <conditionalFormatting sqref="BL288:BL289 BL275:BL286">
    <cfRule type="containsText" dxfId="365" priority="309" stopIfTrue="1" operator="containsText" text="FALSE">
      <formula>NOT(ISERROR(SEARCH("FALSE",BL275)))</formula>
    </cfRule>
  </conditionalFormatting>
  <conditionalFormatting sqref="BL211:BL212">
    <cfRule type="containsText" dxfId="364" priority="299" stopIfTrue="1" operator="containsText" text="FALSE">
      <formula>NOT(ISERROR(SEARCH("FALSE",BL211)))</formula>
    </cfRule>
  </conditionalFormatting>
  <conditionalFormatting sqref="BL204:BL205">
    <cfRule type="containsText" dxfId="363" priority="298" stopIfTrue="1" operator="containsText" text="FALSE">
      <formula>NOT(ISERROR(SEARCH("FALSE",BL204)))</formula>
    </cfRule>
  </conditionalFormatting>
  <conditionalFormatting sqref="BL161">
    <cfRule type="containsText" dxfId="362" priority="297" stopIfTrue="1" operator="containsText" text="FALSE">
      <formula>NOT(ISERROR(SEARCH("FALSE",BL161)))</formula>
    </cfRule>
  </conditionalFormatting>
  <conditionalFormatting sqref="CE324">
    <cfRule type="containsText" dxfId="361" priority="258" stopIfTrue="1" operator="containsText" text="FALSE">
      <formula>NOT(ISERROR(SEARCH("FALSE",CE324)))</formula>
    </cfRule>
  </conditionalFormatting>
  <conditionalFormatting sqref="BL246">
    <cfRule type="containsText" dxfId="360" priority="295" stopIfTrue="1" operator="containsText" text="FALSE">
      <formula>NOT(ISERROR(SEARCH("FALSE",BL246)))</formula>
    </cfRule>
  </conditionalFormatting>
  <conditionalFormatting sqref="BL2:BL5">
    <cfRule type="containsText" dxfId="359" priority="728" stopIfTrue="1" operator="containsText" text="FALSE">
      <formula>NOT(ISERROR(SEARCH("FALSE",BL2)))</formula>
    </cfRule>
  </conditionalFormatting>
  <conditionalFormatting sqref="BL216">
    <cfRule type="containsText" dxfId="358" priority="320" stopIfTrue="1" operator="containsText" text="FALSE">
      <formula>NOT(ISERROR(SEARCH("FALSE",BL216)))</formula>
    </cfRule>
  </conditionalFormatting>
  <conditionalFormatting sqref="BL224">
    <cfRule type="containsText" dxfId="357" priority="319" stopIfTrue="1" operator="containsText" text="FALSE">
      <formula>NOT(ISERROR(SEARCH("FALSE",BL224)))</formula>
    </cfRule>
  </conditionalFormatting>
  <conditionalFormatting sqref="BL217">
    <cfRule type="containsText" dxfId="356" priority="318" stopIfTrue="1" operator="containsText" text="FALSE">
      <formula>NOT(ISERROR(SEARCH("FALSE",BL217)))</formula>
    </cfRule>
  </conditionalFormatting>
  <conditionalFormatting sqref="BL248">
    <cfRule type="containsText" dxfId="355" priority="316" stopIfTrue="1" operator="containsText" text="FALSE">
      <formula>NOT(ISERROR(SEARCH("FALSE",BL248)))</formula>
    </cfRule>
  </conditionalFormatting>
  <conditionalFormatting sqref="BL249:BL252">
    <cfRule type="containsText" dxfId="354" priority="315" stopIfTrue="1" operator="containsText" text="FALSE">
      <formula>NOT(ISERROR(SEARCH("FALSE",BL249)))</formula>
    </cfRule>
  </conditionalFormatting>
  <conditionalFormatting sqref="BL253">
    <cfRule type="containsText" dxfId="353" priority="313" stopIfTrue="1" operator="containsText" text="FALSE">
      <formula>NOT(ISERROR(SEARCH("FALSE",BL253)))</formula>
    </cfRule>
  </conditionalFormatting>
  <conditionalFormatting sqref="BL254">
    <cfRule type="containsText" dxfId="352" priority="312" stopIfTrue="1" operator="containsText" text="FALSE">
      <formula>NOT(ISERROR(SEARCH("FALSE",BL254)))</formula>
    </cfRule>
  </conditionalFormatting>
  <conditionalFormatting sqref="BL266">
    <cfRule type="containsText" dxfId="351" priority="310" stopIfTrue="1" operator="containsText" text="FALSE">
      <formula>NOT(ISERROR(SEARCH("FALSE",BL266)))</formula>
    </cfRule>
  </conditionalFormatting>
  <conditionalFormatting sqref="BL255">
    <cfRule type="containsText" dxfId="350" priority="311" stopIfTrue="1" operator="containsText" text="FALSE">
      <formula>NOT(ISERROR(SEARCH("FALSE",BL255)))</formula>
    </cfRule>
  </conditionalFormatting>
  <conditionalFormatting sqref="BL267:BL274">
    <cfRule type="containsText" dxfId="349" priority="308" stopIfTrue="1" operator="containsText" text="FALSE">
      <formula>NOT(ISERROR(SEARCH("FALSE",BL267)))</formula>
    </cfRule>
  </conditionalFormatting>
  <conditionalFormatting sqref="BL287">
    <cfRule type="containsText" dxfId="348" priority="307" stopIfTrue="1" operator="containsText" text="FALSE">
      <formula>NOT(ISERROR(SEARCH("FALSE",BL287)))</formula>
    </cfRule>
  </conditionalFormatting>
  <conditionalFormatting sqref="CE97">
    <cfRule type="containsText" dxfId="347" priority="273" stopIfTrue="1" operator="containsText" text="FALSE">
      <formula>NOT(ISERROR(SEARCH("FALSE",CE97)))</formula>
    </cfRule>
  </conditionalFormatting>
  <conditionalFormatting sqref="BL196:BL197 BL194 BL185:BL188 BL191:BL192 BL199:BL200">
    <cfRule type="containsText" dxfId="346" priority="305" stopIfTrue="1" operator="containsText" text="FALSE">
      <formula>NOT(ISERROR(SEARCH("FALSE",BL185)))</formula>
    </cfRule>
  </conditionalFormatting>
  <conditionalFormatting sqref="BL184">
    <cfRule type="containsText" dxfId="345" priority="304" stopIfTrue="1" operator="containsText" text="FALSE">
      <formula>NOT(ISERROR(SEARCH("FALSE",BL184)))</formula>
    </cfRule>
  </conditionalFormatting>
  <conditionalFormatting sqref="BL198">
    <cfRule type="containsText" dxfId="344" priority="303" stopIfTrue="1" operator="containsText" text="FALSE">
      <formula>NOT(ISERROR(SEARCH("FALSE",BL198)))</formula>
    </cfRule>
  </conditionalFormatting>
  <conditionalFormatting sqref="BL189:BL190">
    <cfRule type="containsText" dxfId="343" priority="302" stopIfTrue="1" operator="containsText" text="FALSE">
      <formula>NOT(ISERROR(SEARCH("FALSE",BL189)))</formula>
    </cfRule>
  </conditionalFormatting>
  <conditionalFormatting sqref="BL195">
    <cfRule type="containsText" dxfId="342" priority="301" stopIfTrue="1" operator="containsText" text="FALSE">
      <formula>NOT(ISERROR(SEARCH("FALSE",BL195)))</formula>
    </cfRule>
  </conditionalFormatting>
  <conditionalFormatting sqref="BL206:BL209">
    <cfRule type="containsText" dxfId="341" priority="300" stopIfTrue="1" operator="containsText" text="FALSE">
      <formula>NOT(ISERROR(SEARCH("FALSE",BL206)))</formula>
    </cfRule>
  </conditionalFormatting>
  <conditionalFormatting sqref="BL220">
    <cfRule type="containsText" dxfId="340" priority="294" stopIfTrue="1" operator="containsText" text="FALSE">
      <formula>NOT(ISERROR(SEARCH("FALSE",BL220)))</formula>
    </cfRule>
  </conditionalFormatting>
  <conditionalFormatting sqref="BL240">
    <cfRule type="containsText" dxfId="339" priority="293" stopIfTrue="1" operator="containsText" text="FALSE">
      <formula>NOT(ISERROR(SEARCH("FALSE",BL240)))</formula>
    </cfRule>
  </conditionalFormatting>
  <conditionalFormatting sqref="BL242">
    <cfRule type="containsText" dxfId="338" priority="292" stopIfTrue="1" operator="containsText" text="FALSE">
      <formula>NOT(ISERROR(SEARCH("FALSE",BL242)))</formula>
    </cfRule>
  </conditionalFormatting>
  <conditionalFormatting sqref="BK74">
    <cfRule type="containsText" dxfId="337" priority="291" stopIfTrue="1" operator="containsText" text="FALSE">
      <formula>NOT(ISERROR(SEARCH("FALSE",BK74)))</formula>
    </cfRule>
  </conditionalFormatting>
  <conditionalFormatting sqref="BL74:BN74">
    <cfRule type="containsText" dxfId="336" priority="290" stopIfTrue="1" operator="containsText" text="FALSE">
      <formula>NOT(ISERROR(SEARCH("FALSE",BL74)))</formula>
    </cfRule>
  </conditionalFormatting>
  <conditionalFormatting sqref="CE89 CE71">
    <cfRule type="containsText" dxfId="335" priority="284" stopIfTrue="1" operator="containsText" text="FALSE">
      <formula>NOT(ISERROR(SEARCH("FALSE",CE71)))</formula>
    </cfRule>
  </conditionalFormatting>
  <conditionalFormatting sqref="BK80">
    <cfRule type="containsText" dxfId="334" priority="289" stopIfTrue="1" operator="containsText" text="FALSE">
      <formula>NOT(ISERROR(SEARCH("FALSE",BK80)))</formula>
    </cfRule>
  </conditionalFormatting>
  <conditionalFormatting sqref="BL80:BN80">
    <cfRule type="containsText" dxfId="333" priority="288" stopIfTrue="1" operator="containsText" text="FALSE">
      <formula>NOT(ISERROR(SEARCH("FALSE",BL80)))</formula>
    </cfRule>
  </conditionalFormatting>
  <conditionalFormatting sqref="BK77">
    <cfRule type="containsText" dxfId="332" priority="287" stopIfTrue="1" operator="containsText" text="FALSE">
      <formula>NOT(ISERROR(SEARCH("FALSE",BK77)))</formula>
    </cfRule>
  </conditionalFormatting>
  <conditionalFormatting sqref="BL77:BN77">
    <cfRule type="containsText" dxfId="331" priority="286" stopIfTrue="1" operator="containsText" text="FALSE">
      <formula>NOT(ISERROR(SEARCH("FALSE",BL77)))</formula>
    </cfRule>
  </conditionalFormatting>
  <conditionalFormatting sqref="CE4">
    <cfRule type="containsText" dxfId="330" priority="285" stopIfTrue="1" operator="containsText" text="FALSE">
      <formula>NOT(ISERROR(SEARCH("FALSE",CE4)))</formula>
    </cfRule>
  </conditionalFormatting>
  <conditionalFormatting sqref="CE112 CE306:CE313 CE330:CE334 CE346:CE353 CE325:CE328 CE320:CE323 CE315:CE318 CE117 CE191:CE192 CE187:CE188 CE196:CE197 CE182:CE183 CE108:CE109 CE336:CE344 CE202:CE209 CE122:CE123 CE114 CE90:CE96 CE98:CE105 CE243:CE246 CE277:CE286 CE19:CE22 CE38:CE42 CE44 CE46:CE48 CE50:CE52 CE60:CE61 CE67:CE69 CE72:CE73 CE86:CE87 CE24:CE27 CE211:CE212 CE266 CE128 CE288:CE304 CE54:CE56 CE34:CE35 CE221:CE227 CE229:CE234 CE236:CE241 CE137:CE138 CE149:CE161 CE164:CE178 CE31:CE32 CE260:CE264 CE248:CE258 CE6:CE12 CE75:CE76 CE78:CE79 CE81 CE14:CE17">
    <cfRule type="containsText" dxfId="329" priority="283" stopIfTrue="1" operator="containsText" text="FALSE">
      <formula>NOT(ISERROR(SEARCH("FALSE",CE6)))</formula>
    </cfRule>
  </conditionalFormatting>
  <conditionalFormatting sqref="CE23">
    <cfRule type="containsText" dxfId="328" priority="282" stopIfTrue="1" operator="containsText" text="FALSE">
      <formula>NOT(ISERROR(SEARCH("FALSE",CE23)))</formula>
    </cfRule>
  </conditionalFormatting>
  <conditionalFormatting sqref="CE110">
    <cfRule type="containsText" dxfId="327" priority="281" stopIfTrue="1" operator="containsText" text="FALSE">
      <formula>NOT(ISERROR(SEARCH("FALSE",CE110)))</formula>
    </cfRule>
  </conditionalFormatting>
  <conditionalFormatting sqref="CE111">
    <cfRule type="containsText" dxfId="326" priority="280" stopIfTrue="1" operator="containsText" text="FALSE">
      <formula>NOT(ISERROR(SEARCH("FALSE",CE111)))</formula>
    </cfRule>
  </conditionalFormatting>
  <conditionalFormatting sqref="CE118:CE121">
    <cfRule type="containsText" dxfId="325" priority="279" stopIfTrue="1" operator="containsText" text="FALSE">
      <formula>NOT(ISERROR(SEARCH("FALSE",CE118)))</formula>
    </cfRule>
  </conditionalFormatting>
  <conditionalFormatting sqref="CE18">
    <cfRule type="containsText" dxfId="324" priority="278" stopIfTrue="1" operator="containsText" text="FALSE">
      <formula>NOT(ISERROR(SEARCH("FALSE",CE18)))</formula>
    </cfRule>
  </conditionalFormatting>
  <conditionalFormatting sqref="CE184">
    <cfRule type="containsText" dxfId="323" priority="277" stopIfTrue="1" operator="containsText" text="FALSE">
      <formula>NOT(ISERROR(SEARCH("FALSE",CE184)))</formula>
    </cfRule>
  </conditionalFormatting>
  <conditionalFormatting sqref="CE185">
    <cfRule type="containsText" dxfId="322" priority="276" stopIfTrue="1" operator="containsText" text="FALSE">
      <formula>NOT(ISERROR(SEARCH("FALSE",CE185)))</formula>
    </cfRule>
  </conditionalFormatting>
  <conditionalFormatting sqref="CE193:CE194">
    <cfRule type="containsText" dxfId="321" priority="275" stopIfTrue="1" operator="containsText" text="FALSE">
      <formula>NOT(ISERROR(SEARCH("FALSE",CE193)))</formula>
    </cfRule>
  </conditionalFormatting>
  <conditionalFormatting sqref="CE200">
    <cfRule type="containsText" dxfId="320" priority="274" stopIfTrue="1" operator="containsText" text="FALSE">
      <formula>NOT(ISERROR(SEARCH("FALSE",CE200)))</formula>
    </cfRule>
  </conditionalFormatting>
  <conditionalFormatting sqref="CE28">
    <cfRule type="containsText" dxfId="319" priority="272" stopIfTrue="1" operator="containsText" text="FALSE">
      <formula>NOT(ISERROR(SEARCH("FALSE",CE28)))</formula>
    </cfRule>
  </conditionalFormatting>
  <conditionalFormatting sqref="CE115">
    <cfRule type="containsText" dxfId="318" priority="271" stopIfTrue="1" operator="containsText" text="FALSE">
      <formula>NOT(ISERROR(SEARCH("FALSE",CE115)))</formula>
    </cfRule>
  </conditionalFormatting>
  <conditionalFormatting sqref="CE116">
    <cfRule type="containsText" dxfId="317" priority="270" stopIfTrue="1" operator="containsText" text="FALSE">
      <formula>NOT(ISERROR(SEARCH("FALSE",CE116)))</formula>
    </cfRule>
  </conditionalFormatting>
  <conditionalFormatting sqref="CE189">
    <cfRule type="containsText" dxfId="316" priority="269" stopIfTrue="1" operator="containsText" text="FALSE">
      <formula>NOT(ISERROR(SEARCH("FALSE",CE189)))</formula>
    </cfRule>
  </conditionalFormatting>
  <conditionalFormatting sqref="CE190">
    <cfRule type="containsText" dxfId="315" priority="268" stopIfTrue="1" operator="containsText" text="FALSE">
      <formula>NOT(ISERROR(SEARCH("FALSE",CE190)))</formula>
    </cfRule>
  </conditionalFormatting>
  <conditionalFormatting sqref="CE218:CE219">
    <cfRule type="containsText" dxfId="314" priority="267" stopIfTrue="1" operator="containsText" text="FALSE">
      <formula>NOT(ISERROR(SEARCH("FALSE",CE218)))</formula>
    </cfRule>
  </conditionalFormatting>
  <conditionalFormatting sqref="CE33">
    <cfRule type="containsText" dxfId="313" priority="266" stopIfTrue="1" operator="containsText" text="FALSE">
      <formula>NOT(ISERROR(SEARCH("FALSE",CE33)))</formula>
    </cfRule>
  </conditionalFormatting>
  <conditionalFormatting sqref="CE30">
    <cfRule type="containsText" dxfId="312" priority="265" stopIfTrue="1" operator="containsText" text="FALSE">
      <formula>NOT(ISERROR(SEARCH("FALSE",CE30)))</formula>
    </cfRule>
  </conditionalFormatting>
  <conditionalFormatting sqref="CE148">
    <cfRule type="containsText" dxfId="311" priority="264" stopIfTrue="1" operator="containsText" text="FALSE">
      <formula>NOT(ISERROR(SEARCH("FALSE",CE148)))</formula>
    </cfRule>
  </conditionalFormatting>
  <conditionalFormatting sqref="CE195">
    <cfRule type="containsText" dxfId="310" priority="263" stopIfTrue="1" operator="containsText" text="FALSE">
      <formula>NOT(ISERROR(SEARCH("FALSE",CE195)))</formula>
    </cfRule>
  </conditionalFormatting>
  <conditionalFormatting sqref="CE201">
    <cfRule type="containsText" dxfId="309" priority="262" stopIfTrue="1" operator="containsText" text="FALSE">
      <formula>NOT(ISERROR(SEARCH("FALSE",CE201)))</formula>
    </cfRule>
  </conditionalFormatting>
  <conditionalFormatting sqref="CE305">
    <cfRule type="containsText" dxfId="308" priority="261" stopIfTrue="1" operator="containsText" text="FALSE">
      <formula>NOT(ISERROR(SEARCH("FALSE",CE305)))</formula>
    </cfRule>
  </conditionalFormatting>
  <conditionalFormatting sqref="CE314">
    <cfRule type="containsText" dxfId="307" priority="260" stopIfTrue="1" operator="containsText" text="FALSE">
      <formula>NOT(ISERROR(SEARCH("FALSE",CE314)))</formula>
    </cfRule>
  </conditionalFormatting>
  <conditionalFormatting sqref="CE319">
    <cfRule type="containsText" dxfId="306" priority="259" stopIfTrue="1" operator="containsText" text="FALSE">
      <formula>NOT(ISERROR(SEARCH("FALSE",CE319)))</formula>
    </cfRule>
  </conditionalFormatting>
  <conditionalFormatting sqref="CE345">
    <cfRule type="containsText" dxfId="305" priority="255" stopIfTrue="1" operator="containsText" text="FALSE">
      <formula>NOT(ISERROR(SEARCH("FALSE",CE345)))</formula>
    </cfRule>
  </conditionalFormatting>
  <conditionalFormatting sqref="CE335">
    <cfRule type="containsText" dxfId="304" priority="256" stopIfTrue="1" operator="containsText" text="FALSE">
      <formula>NOT(ISERROR(SEARCH("FALSE",CE335)))</formula>
    </cfRule>
  </conditionalFormatting>
  <conditionalFormatting sqref="CE181">
    <cfRule type="containsText" dxfId="303" priority="254" stopIfTrue="1" operator="containsText" text="FALSE">
      <formula>NOT(ISERROR(SEARCH("FALSE",CE181)))</formula>
    </cfRule>
  </conditionalFormatting>
  <conditionalFormatting sqref="CE181">
    <cfRule type="containsText" dxfId="302" priority="253" stopIfTrue="1" operator="containsText" text="FALSE">
      <formula>NOT(ISERROR(SEARCH("FALSE",CE181)))</formula>
    </cfRule>
  </conditionalFormatting>
  <conditionalFormatting sqref="CE199">
    <cfRule type="containsText" dxfId="301" priority="252" stopIfTrue="1" operator="containsText" text="FALSE">
      <formula>NOT(ISERROR(SEARCH("FALSE",CE199)))</formula>
    </cfRule>
  </conditionalFormatting>
  <conditionalFormatting sqref="CE214">
    <cfRule type="containsText" dxfId="300" priority="251" stopIfTrue="1" operator="containsText" text="FALSE">
      <formula>NOT(ISERROR(SEARCH("FALSE",CE214)))</formula>
    </cfRule>
  </conditionalFormatting>
  <conditionalFormatting sqref="CE113">
    <cfRule type="containsText" dxfId="299" priority="250" stopIfTrue="1" operator="containsText" text="FALSE">
      <formula>NOT(ISERROR(SEARCH("FALSE",CE113)))</formula>
    </cfRule>
  </conditionalFormatting>
  <conditionalFormatting sqref="CE186">
    <cfRule type="containsText" dxfId="298" priority="249" stopIfTrue="1" operator="containsText" text="FALSE">
      <formula>NOT(ISERROR(SEARCH("FALSE",CE186)))</formula>
    </cfRule>
  </conditionalFormatting>
  <conditionalFormatting sqref="CE106">
    <cfRule type="containsText" dxfId="297" priority="248" stopIfTrue="1" operator="containsText" text="FALSE">
      <formula>NOT(ISERROR(SEARCH("FALSE",CE106)))</formula>
    </cfRule>
  </conditionalFormatting>
  <conditionalFormatting sqref="CE107">
    <cfRule type="containsText" dxfId="296" priority="247" stopIfTrue="1" operator="containsText" text="FALSE">
      <formula>NOT(ISERROR(SEARCH("FALSE",CE107)))</formula>
    </cfRule>
  </conditionalFormatting>
  <conditionalFormatting sqref="CE198">
    <cfRule type="containsText" dxfId="295" priority="246" stopIfTrue="1" operator="containsText" text="FALSE">
      <formula>NOT(ISERROR(SEARCH("FALSE",CE198)))</formula>
    </cfRule>
  </conditionalFormatting>
  <conditionalFormatting sqref="CE267:CE276">
    <cfRule type="containsText" dxfId="294" priority="245" stopIfTrue="1" operator="containsText" text="FALSE">
      <formula>NOT(ISERROR(SEARCH("FALSE",CE267)))</formula>
    </cfRule>
  </conditionalFormatting>
  <conditionalFormatting sqref="CE247">
    <cfRule type="containsText" dxfId="293" priority="244" stopIfTrue="1" operator="containsText" text="FALSE">
      <formula>NOT(ISERROR(SEARCH("FALSE",CE247)))</formula>
    </cfRule>
  </conditionalFormatting>
  <conditionalFormatting sqref="CE259">
    <cfRule type="containsText" dxfId="292" priority="243" stopIfTrue="1" operator="containsText" text="FALSE">
      <formula>NOT(ISERROR(SEARCH("FALSE",CE259)))</formula>
    </cfRule>
  </conditionalFormatting>
  <conditionalFormatting sqref="CE85">
    <cfRule type="containsText" dxfId="291" priority="242" stopIfTrue="1" operator="containsText" text="FALSE">
      <formula>NOT(ISERROR(SEARCH("FALSE",CE85)))</formula>
    </cfRule>
  </conditionalFormatting>
  <conditionalFormatting sqref="CE36">
    <cfRule type="containsText" dxfId="290" priority="241" stopIfTrue="1" operator="containsText" text="FALSE">
      <formula>NOT(ISERROR(SEARCH("FALSE",CE36)))</formula>
    </cfRule>
  </conditionalFormatting>
  <conditionalFormatting sqref="CE43">
    <cfRule type="containsText" dxfId="289" priority="240" stopIfTrue="1" operator="containsText" text="FALSE">
      <formula>NOT(ISERROR(SEARCH("FALSE",CE43)))</formula>
    </cfRule>
  </conditionalFormatting>
  <conditionalFormatting sqref="CE45">
    <cfRule type="containsText" dxfId="288" priority="239" stopIfTrue="1" operator="containsText" text="FALSE">
      <formula>NOT(ISERROR(SEARCH("FALSE",CE45)))</formula>
    </cfRule>
  </conditionalFormatting>
  <conditionalFormatting sqref="CE49">
    <cfRule type="containsText" dxfId="287" priority="238" stopIfTrue="1" operator="containsText" text="FALSE">
      <formula>NOT(ISERROR(SEARCH("FALSE",CE49)))</formula>
    </cfRule>
  </conditionalFormatting>
  <conditionalFormatting sqref="CE53">
    <cfRule type="containsText" dxfId="286" priority="237" stopIfTrue="1" operator="containsText" text="FALSE">
      <formula>NOT(ISERROR(SEARCH("FALSE",CE53)))</formula>
    </cfRule>
  </conditionalFormatting>
  <conditionalFormatting sqref="CE59">
    <cfRule type="containsText" dxfId="285" priority="236" stopIfTrue="1" operator="containsText" text="FALSE">
      <formula>NOT(ISERROR(SEARCH("FALSE",CE59)))</formula>
    </cfRule>
  </conditionalFormatting>
  <conditionalFormatting sqref="CE58">
    <cfRule type="containsText" dxfId="284" priority="235" stopIfTrue="1" operator="containsText" text="FALSE">
      <formula>NOT(ISERROR(SEARCH("FALSE",CE58)))</formula>
    </cfRule>
  </conditionalFormatting>
  <conditionalFormatting sqref="CE66">
    <cfRule type="containsText" dxfId="283" priority="234" stopIfTrue="1" operator="containsText" text="FALSE">
      <formula>NOT(ISERROR(SEARCH("FALSE",CE66)))</formula>
    </cfRule>
  </conditionalFormatting>
  <conditionalFormatting sqref="CE70">
    <cfRule type="containsText" dxfId="282" priority="233" stopIfTrue="1" operator="containsText" text="FALSE">
      <formula>NOT(ISERROR(SEARCH("FALSE",CE70)))</formula>
    </cfRule>
  </conditionalFormatting>
  <conditionalFormatting sqref="CE128 CE147 CE130">
    <cfRule type="containsText" dxfId="281" priority="232" stopIfTrue="1" operator="containsText" text="FALSE">
      <formula>NOT(ISERROR(SEARCH("FALSE",CE128)))</formula>
    </cfRule>
  </conditionalFormatting>
  <conditionalFormatting sqref="CE124:CE127">
    <cfRule type="containsText" dxfId="280" priority="231" stopIfTrue="1" operator="containsText" text="FALSE">
      <formula>NOT(ISERROR(SEARCH("FALSE",CE124)))</formula>
    </cfRule>
  </conditionalFormatting>
  <conditionalFormatting sqref="CE131:CE132">
    <cfRule type="containsText" dxfId="279" priority="230" stopIfTrue="1" operator="containsText" text="FALSE">
      <formula>NOT(ISERROR(SEARCH("FALSE",CE131)))</formula>
    </cfRule>
  </conditionalFormatting>
  <conditionalFormatting sqref="CE210">
    <cfRule type="containsText" dxfId="278" priority="227" stopIfTrue="1" operator="containsText" text="FALSE">
      <formula>NOT(ISERROR(SEARCH("FALSE",CE210)))</formula>
    </cfRule>
  </conditionalFormatting>
  <conditionalFormatting sqref="CE133">
    <cfRule type="containsText" dxfId="277" priority="229" stopIfTrue="1" operator="containsText" text="FALSE">
      <formula>NOT(ISERROR(SEARCH("FALSE",CE133)))</formula>
    </cfRule>
  </conditionalFormatting>
  <conditionalFormatting sqref="CE135">
    <cfRule type="containsText" dxfId="276" priority="228" stopIfTrue="1" operator="containsText" text="FALSE">
      <formula>NOT(ISERROR(SEARCH("FALSE",CE135)))</formula>
    </cfRule>
  </conditionalFormatting>
  <conditionalFormatting sqref="CE287">
    <cfRule type="containsText" dxfId="275" priority="226" stopIfTrue="1" operator="containsText" text="FALSE">
      <formula>NOT(ISERROR(SEARCH("FALSE",CE287)))</formula>
    </cfRule>
  </conditionalFormatting>
  <conditionalFormatting sqref="CE213">
    <cfRule type="containsText" dxfId="274" priority="225" stopIfTrue="1" operator="containsText" text="FALSE">
      <formula>NOT(ISERROR(SEARCH("FALSE",CE213)))</formula>
    </cfRule>
  </conditionalFormatting>
  <conditionalFormatting sqref="CE57">
    <cfRule type="containsText" dxfId="273" priority="224" stopIfTrue="1" operator="containsText" text="FALSE">
      <formula>NOT(ISERROR(SEARCH("FALSE",CE57)))</formula>
    </cfRule>
  </conditionalFormatting>
  <conditionalFormatting sqref="CE162:CE163">
    <cfRule type="containsText" dxfId="272" priority="223" stopIfTrue="1" operator="containsText" text="FALSE">
      <formula>NOT(ISERROR(SEARCH("FALSE",CE162)))</formula>
    </cfRule>
  </conditionalFormatting>
  <conditionalFormatting sqref="CE141">
    <cfRule type="containsText" dxfId="271" priority="222" stopIfTrue="1" operator="containsText" text="FALSE">
      <formula>NOT(ISERROR(SEARCH("FALSE",CE141)))</formula>
    </cfRule>
  </conditionalFormatting>
  <conditionalFormatting sqref="CE144">
    <cfRule type="containsText" dxfId="270" priority="221" stopIfTrue="1" operator="containsText" text="FALSE">
      <formula>NOT(ISERROR(SEARCH("FALSE",CE144)))</formula>
    </cfRule>
  </conditionalFormatting>
  <conditionalFormatting sqref="CE74">
    <cfRule type="containsText" dxfId="269" priority="217" stopIfTrue="1" operator="containsText" text="FALSE">
      <formula>NOT(ISERROR(SEARCH("FALSE",CE74)))</formula>
    </cfRule>
  </conditionalFormatting>
  <conditionalFormatting sqref="CE77">
    <cfRule type="containsText" dxfId="268" priority="216" stopIfTrue="1" operator="containsText" text="FALSE">
      <formula>NOT(ISERROR(SEARCH("FALSE",CE77)))</formula>
    </cfRule>
  </conditionalFormatting>
  <conditionalFormatting sqref="CE80">
    <cfRule type="containsText" dxfId="267" priority="215" stopIfTrue="1" operator="containsText" text="FALSE">
      <formula>NOT(ISERROR(SEARCH("FALSE",CE80)))</formula>
    </cfRule>
  </conditionalFormatting>
  <conditionalFormatting sqref="BM175:BN178 BM158:BN159">
    <cfRule type="containsText" dxfId="266" priority="620" stopIfTrue="1" operator="containsText" text="FALSE">
      <formula>NOT(ISERROR(SEARCH("FALSE",BM158)))</formula>
    </cfRule>
  </conditionalFormatting>
  <conditionalFormatting sqref="BM43:BN43 BM260:BN264 BM266:BN266 BM245:BN245 BM257:BN257 BM48:BN52 BM82:BN89">
    <cfRule type="containsText" dxfId="265" priority="619" stopIfTrue="1" operator="containsText" text="FALSE">
      <formula>NOT(ISERROR(SEARCH("FALSE",BM43)))</formula>
    </cfRule>
  </conditionalFormatting>
  <conditionalFormatting sqref="BM149:BN150 BM130:BN130 BM154:BN155 BM202:BN202 BM41:BN41 BM54:BN54 BM46:BN46 BM31:BN32 BM164:BN165 BM196:BN197 BM194:BN194 BM206:BN209 BM123:BN123 BM185:BN188 BM181:BN183 BM191:BN192 BM25:BN28 BM111:BN114 BM117:BN117 BM199:BN200 BM246:BN246 BM19:BN22 BM102:BN109 BM59:BN61 BM170:BN170 BM36:BN39 BM66:BN69 BM34:BN34 BM296:BN304 BM346:BN353 BM336:BN344 BM330:BN334 BM325:BN328 BM320:BN323 BM315:BN318 BM306:BN313 BM6:BN12 BM14:BN17">
    <cfRule type="containsText" dxfId="264" priority="618" stopIfTrue="1" operator="containsText" text="FALSE">
      <formula>NOT(ISERROR(SEARCH("FALSE",BM6)))</formula>
    </cfRule>
  </conditionalFormatting>
  <conditionalFormatting sqref="BM97:BN98">
    <cfRule type="containsText" dxfId="263" priority="617" stopIfTrue="1" operator="containsText" text="FALSE">
      <formula>NOT(ISERROR(SEARCH("FALSE",BM97)))</formula>
    </cfRule>
  </conditionalFormatting>
  <conditionalFormatting sqref="BM211:BN212">
    <cfRule type="containsText" dxfId="262" priority="616" stopIfTrue="1" operator="containsText" text="FALSE">
      <formula>NOT(ISERROR(SEARCH("FALSE",BM211)))</formula>
    </cfRule>
  </conditionalFormatting>
  <conditionalFormatting sqref="BM78:BN78">
    <cfRule type="containsText" dxfId="261" priority="602" stopIfTrue="1" operator="containsText" text="FALSE">
      <formula>NOT(ISERROR(SEARCH("FALSE",BM78)))</formula>
    </cfRule>
  </conditionalFormatting>
  <conditionalFormatting sqref="BM71:BN71">
    <cfRule type="containsText" dxfId="260" priority="614" stopIfTrue="1" operator="containsText" text="FALSE">
      <formula>NOT(ISERROR(SEARCH("FALSE",BM71)))</formula>
    </cfRule>
  </conditionalFormatting>
  <conditionalFormatting sqref="BM23:BN24">
    <cfRule type="containsText" dxfId="259" priority="613" stopIfTrue="1" operator="containsText" text="FALSE">
      <formula>NOT(ISERROR(SEARCH("FALSE",BM23)))</formula>
    </cfRule>
  </conditionalFormatting>
  <conditionalFormatting sqref="BM181:BN181">
    <cfRule type="containsText" dxfId="258" priority="612" stopIfTrue="1" operator="containsText" text="FALSE">
      <formula>NOT(ISERROR(SEARCH("FALSE",BM181)))</formula>
    </cfRule>
  </conditionalFormatting>
  <conditionalFormatting sqref="BM99:BN101">
    <cfRule type="containsText" dxfId="257" priority="611" stopIfTrue="1" operator="containsText" text="FALSE">
      <formula>NOT(ISERROR(SEARCH("FALSE",BM99)))</formula>
    </cfRule>
  </conditionalFormatting>
  <conditionalFormatting sqref="BM92:BN92">
    <cfRule type="containsText" dxfId="256" priority="610" stopIfTrue="1" operator="containsText" text="FALSE">
      <formula>NOT(ISERROR(SEARCH("FALSE",BM92)))</formula>
    </cfRule>
  </conditionalFormatting>
  <conditionalFormatting sqref="BM238:BN238">
    <cfRule type="containsText" dxfId="255" priority="567" stopIfTrue="1" operator="containsText" text="FALSE">
      <formula>NOT(ISERROR(SEARCH("FALSE",BM238)))</formula>
    </cfRule>
  </conditionalFormatting>
  <conditionalFormatting sqref="BM324:BN324">
    <cfRule type="containsText" dxfId="254" priority="584" stopIfTrue="1" operator="containsText" text="FALSE">
      <formula>NOT(ISERROR(SEARCH("FALSE",BM324)))</formula>
    </cfRule>
  </conditionalFormatting>
  <conditionalFormatting sqref="BM335:BN335">
    <cfRule type="containsText" dxfId="253" priority="582" stopIfTrue="1" operator="containsText" text="FALSE">
      <formula>NOT(ISERROR(SEARCH("FALSE",BM335)))</formula>
    </cfRule>
  </conditionalFormatting>
  <conditionalFormatting sqref="BM213:BN213">
    <cfRule type="containsText" dxfId="252" priority="574" stopIfTrue="1" operator="containsText" text="FALSE">
      <formula>NOT(ISERROR(SEARCH("FALSE",BM213)))</formula>
    </cfRule>
  </conditionalFormatting>
  <conditionalFormatting sqref="BM56:BN56">
    <cfRule type="containsText" dxfId="251" priority="580" stopIfTrue="1" operator="containsText" text="FALSE">
      <formula>NOT(ISERROR(SEARCH("FALSE",BM56)))</formula>
    </cfRule>
  </conditionalFormatting>
  <conditionalFormatting sqref="BM124:BN124">
    <cfRule type="containsText" dxfId="250" priority="608" stopIfTrue="1" operator="containsText" text="FALSE">
      <formula>NOT(ISERROR(SEARCH("FALSE",BM124)))</formula>
    </cfRule>
  </conditionalFormatting>
  <conditionalFormatting sqref="BM184:BN184">
    <cfRule type="containsText" dxfId="249" priority="606" stopIfTrue="1" operator="containsText" text="FALSE">
      <formula>NOT(ISERROR(SEARCH("FALSE",BM184)))</formula>
    </cfRule>
  </conditionalFormatting>
  <conditionalFormatting sqref="BM198:BN198">
    <cfRule type="containsText" dxfId="248" priority="605" stopIfTrue="1" operator="containsText" text="FALSE">
      <formula>NOT(ISERROR(SEARCH("FALSE",BM198)))</formula>
    </cfRule>
  </conditionalFormatting>
  <conditionalFormatting sqref="BM204:BN205">
    <cfRule type="containsText" dxfId="247" priority="604" stopIfTrue="1" operator="containsText" text="FALSE">
      <formula>NOT(ISERROR(SEARCH("FALSE",BM204)))</formula>
    </cfRule>
  </conditionalFormatting>
  <conditionalFormatting sqref="BM75:BN75">
    <cfRule type="containsText" dxfId="246" priority="603" stopIfTrue="1" operator="containsText" text="FALSE">
      <formula>NOT(ISERROR(SEARCH("FALSE",BM75)))</formula>
    </cfRule>
  </conditionalFormatting>
  <conditionalFormatting sqref="BM72:BN72">
    <cfRule type="containsText" dxfId="245" priority="598" stopIfTrue="1" operator="containsText" text="FALSE">
      <formula>NOT(ISERROR(SEARCH("FALSE",BM72)))</formula>
    </cfRule>
  </conditionalFormatting>
  <conditionalFormatting sqref="BM81:BN81">
    <cfRule type="containsText" dxfId="244" priority="600" stopIfTrue="1" operator="containsText" text="FALSE">
      <formula>NOT(ISERROR(SEARCH("FALSE",BM81)))</formula>
    </cfRule>
  </conditionalFormatting>
  <conditionalFormatting sqref="BM70:BN70">
    <cfRule type="containsText" dxfId="243" priority="599" stopIfTrue="1" operator="containsText" text="FALSE">
      <formula>NOT(ISERROR(SEARCH("FALSE",BM70)))</formula>
    </cfRule>
  </conditionalFormatting>
  <conditionalFormatting sqref="BM217:BN217">
    <cfRule type="containsText" dxfId="242" priority="565" stopIfTrue="1" operator="containsText" text="FALSE">
      <formula>NOT(ISERROR(SEARCH("FALSE",BM217)))</formula>
    </cfRule>
  </conditionalFormatting>
  <conditionalFormatting sqref="BM118:BN121">
    <cfRule type="containsText" dxfId="241" priority="596" stopIfTrue="1" operator="containsText" text="FALSE">
      <formula>NOT(ISERROR(SEARCH("FALSE",BM118)))</formula>
    </cfRule>
  </conditionalFormatting>
  <conditionalFormatting sqref="BM96:BN96">
    <cfRule type="containsText" dxfId="240" priority="597" stopIfTrue="1" operator="containsText" text="FALSE">
      <formula>NOT(ISERROR(SEARCH("FALSE",BM96)))</formula>
    </cfRule>
  </conditionalFormatting>
  <conditionalFormatting sqref="BM18:BN18">
    <cfRule type="containsText" dxfId="239" priority="595" stopIfTrue="1" operator="containsText" text="FALSE">
      <formula>NOT(ISERROR(SEARCH("FALSE",BM18)))</formula>
    </cfRule>
  </conditionalFormatting>
  <conditionalFormatting sqref="BM115:BN116">
    <cfRule type="containsText" dxfId="238" priority="594" stopIfTrue="1" operator="containsText" text="FALSE">
      <formula>NOT(ISERROR(SEARCH("FALSE",BM115)))</formula>
    </cfRule>
  </conditionalFormatting>
  <conditionalFormatting sqref="BM189:BN190">
    <cfRule type="containsText" dxfId="237" priority="593" stopIfTrue="1" operator="containsText" text="FALSE">
      <formula>NOT(ISERROR(SEARCH("FALSE",BM189)))</formula>
    </cfRule>
  </conditionalFormatting>
  <conditionalFormatting sqref="BM33:BN33">
    <cfRule type="containsText" dxfId="236" priority="592" stopIfTrue="1" operator="containsText" text="FALSE">
      <formula>NOT(ISERROR(SEARCH("FALSE",BM33)))</formula>
    </cfRule>
  </conditionalFormatting>
  <conditionalFormatting sqref="BM30:BN30">
    <cfRule type="containsText" dxfId="235" priority="591" stopIfTrue="1" operator="containsText" text="FALSE">
      <formula>NOT(ISERROR(SEARCH("FALSE",BM30)))</formula>
    </cfRule>
  </conditionalFormatting>
  <conditionalFormatting sqref="BM148:BN148">
    <cfRule type="containsText" dxfId="234" priority="590" stopIfTrue="1" operator="containsText" text="FALSE">
      <formula>NOT(ISERROR(SEARCH("FALSE",BM148)))</formula>
    </cfRule>
  </conditionalFormatting>
  <conditionalFormatting sqref="BM195:BN195">
    <cfRule type="containsText" dxfId="233" priority="589" stopIfTrue="1" operator="containsText" text="FALSE">
      <formula>NOT(ISERROR(SEARCH("FALSE",BM195)))</formula>
    </cfRule>
  </conditionalFormatting>
  <conditionalFormatting sqref="BM201:BN201">
    <cfRule type="containsText" dxfId="232" priority="588" stopIfTrue="1" operator="containsText" text="FALSE">
      <formula>NOT(ISERROR(SEARCH("FALSE",BM201)))</formula>
    </cfRule>
  </conditionalFormatting>
  <conditionalFormatting sqref="BM305:BN305">
    <cfRule type="containsText" dxfId="231" priority="587" stopIfTrue="1" operator="containsText" text="FALSE">
      <formula>NOT(ISERROR(SEARCH("FALSE",BM305)))</formula>
    </cfRule>
  </conditionalFormatting>
  <conditionalFormatting sqref="BM314:BN314">
    <cfRule type="containsText" dxfId="230" priority="586" stopIfTrue="1" operator="containsText" text="FALSE">
      <formula>NOT(ISERROR(SEARCH("FALSE",BM314)))</formula>
    </cfRule>
  </conditionalFormatting>
  <conditionalFormatting sqref="BM319:BN319">
    <cfRule type="containsText" dxfId="229" priority="585" stopIfTrue="1" operator="containsText" text="FALSE">
      <formula>NOT(ISERROR(SEARCH("FALSE",BM319)))</formula>
    </cfRule>
  </conditionalFormatting>
  <conditionalFormatting sqref="BM329:BN329">
    <cfRule type="containsText" dxfId="228" priority="583" stopIfTrue="1" operator="containsText" text="FALSE">
      <formula>NOT(ISERROR(SEARCH("FALSE",BM329)))</formula>
    </cfRule>
  </conditionalFormatting>
  <conditionalFormatting sqref="BM345:BN345">
    <cfRule type="containsText" dxfId="227" priority="581" stopIfTrue="1" operator="containsText" text="FALSE">
      <formula>NOT(ISERROR(SEARCH("FALSE",BM345)))</formula>
    </cfRule>
  </conditionalFormatting>
  <conditionalFormatting sqref="BM95:BN95">
    <cfRule type="containsText" dxfId="226" priority="579" stopIfTrue="1" operator="containsText" text="FALSE">
      <formula>NOT(ISERROR(SEARCH("FALSE",BM95)))</formula>
    </cfRule>
  </conditionalFormatting>
  <conditionalFormatting sqref="BM228:BN228">
    <cfRule type="containsText" dxfId="225" priority="562" stopIfTrue="1" operator="containsText" text="FALSE">
      <formula>NOT(ISERROR(SEARCH("FALSE",BM228)))</formula>
    </cfRule>
  </conditionalFormatting>
  <conditionalFormatting sqref="BM223:BN224">
    <cfRule type="containsText" dxfId="224" priority="571" stopIfTrue="1" operator="containsText" text="FALSE">
      <formula>NOT(ISERROR(SEARCH("FALSE",BM223)))</formula>
    </cfRule>
  </conditionalFormatting>
  <conditionalFormatting sqref="BM226:BN227">
    <cfRule type="containsText" dxfId="223" priority="570" stopIfTrue="1" operator="containsText" text="FALSE">
      <formula>NOT(ISERROR(SEARCH("FALSE",BM226)))</formula>
    </cfRule>
  </conditionalFormatting>
  <conditionalFormatting sqref="BM231:BN231">
    <cfRule type="containsText" dxfId="222" priority="569" stopIfTrue="1" operator="containsText" text="FALSE">
      <formula>NOT(ISERROR(SEARCH("FALSE",BM231)))</formula>
    </cfRule>
  </conditionalFormatting>
  <conditionalFormatting sqref="BM233:BN234">
    <cfRule type="containsText" dxfId="221" priority="568" stopIfTrue="1" operator="containsText" text="FALSE">
      <formula>NOT(ISERROR(SEARCH("FALSE",BM233)))</formula>
    </cfRule>
  </conditionalFormatting>
  <conditionalFormatting sqref="BM239:BN239">
    <cfRule type="containsText" dxfId="220" priority="566" stopIfTrue="1" operator="containsText" text="FALSE">
      <formula>NOT(ISERROR(SEARCH("FALSE",BM239)))</formula>
    </cfRule>
  </conditionalFormatting>
  <conditionalFormatting sqref="BM232:BN232">
    <cfRule type="containsText" dxfId="219" priority="561" stopIfTrue="1" operator="containsText" text="FALSE">
      <formula>NOT(ISERROR(SEARCH("FALSE",BM232)))</formula>
    </cfRule>
  </conditionalFormatting>
  <conditionalFormatting sqref="BM220:BN220">
    <cfRule type="containsText" dxfId="218" priority="564" stopIfTrue="1" operator="containsText" text="FALSE">
      <formula>NOT(ISERROR(SEARCH("FALSE",BM220)))</formula>
    </cfRule>
  </conditionalFormatting>
  <conditionalFormatting sqref="BM225:BN225">
    <cfRule type="containsText" dxfId="217" priority="563" stopIfTrue="1" operator="containsText" text="FALSE">
      <formula>NOT(ISERROR(SEARCH("FALSE",BM225)))</formula>
    </cfRule>
  </conditionalFormatting>
  <conditionalFormatting sqref="BM235:BN235">
    <cfRule type="containsText" dxfId="216" priority="560" stopIfTrue="1" operator="containsText" text="FALSE">
      <formula>NOT(ISERROR(SEARCH("FALSE",BM235)))</formula>
    </cfRule>
  </conditionalFormatting>
  <conditionalFormatting sqref="BM247:BN247">
    <cfRule type="containsText" dxfId="215" priority="578" stopIfTrue="1" operator="containsText" text="FALSE">
      <formula>NOT(ISERROR(SEARCH("FALSE",BM247)))</formula>
    </cfRule>
  </conditionalFormatting>
  <conditionalFormatting sqref="BM275:BN286 BM288:BN295">
    <cfRule type="containsText" dxfId="214" priority="577" stopIfTrue="1" operator="containsText" text="FALSE">
      <formula>NOT(ISERROR(SEARCH("FALSE",BM275)))</formula>
    </cfRule>
  </conditionalFormatting>
  <conditionalFormatting sqref="BM256:BN256 BM258:BN258">
    <cfRule type="containsText" dxfId="213" priority="576" stopIfTrue="1" operator="containsText" text="FALSE">
      <formula>NOT(ISERROR(SEARCH("FALSE",BM256)))</formula>
    </cfRule>
  </conditionalFormatting>
  <conditionalFormatting sqref="BM267:BN274">
    <cfRule type="containsText" dxfId="212" priority="575" stopIfTrue="1" operator="containsText" text="FALSE">
      <formula>NOT(ISERROR(SEARCH("FALSE",BM267)))</formula>
    </cfRule>
  </conditionalFormatting>
  <conditionalFormatting sqref="BM221:BN222 BM229:BN230 BM236:BN237 BM240:BN240">
    <cfRule type="containsText" dxfId="211" priority="573" stopIfTrue="1" operator="containsText" text="FALSE">
      <formula>NOT(ISERROR(SEARCH("FALSE",BM221)))</formula>
    </cfRule>
  </conditionalFormatting>
  <conditionalFormatting sqref="BM215:BN216 BM218:BN219">
    <cfRule type="containsText" dxfId="210" priority="572" stopIfTrue="1" operator="containsText" text="FALSE">
      <formula>NOT(ISERROR(SEARCH("FALSE",BM215)))</formula>
    </cfRule>
  </conditionalFormatting>
  <conditionalFormatting sqref="BM259:BN259">
    <cfRule type="containsText" dxfId="209" priority="559" stopIfTrue="1" operator="containsText" text="FALSE">
      <formula>NOT(ISERROR(SEARCH("FALSE",BM259)))</formula>
    </cfRule>
  </conditionalFormatting>
  <conditionalFormatting sqref="BM249:BN252">
    <cfRule type="containsText" dxfId="208" priority="553" stopIfTrue="1" operator="containsText" text="FALSE">
      <formula>NOT(ISERROR(SEARCH("FALSE",BM249)))</formula>
    </cfRule>
  </conditionalFormatting>
  <conditionalFormatting sqref="BM47:BN47">
    <cfRule type="containsText" dxfId="207" priority="558" stopIfTrue="1" operator="containsText" text="FALSE">
      <formula>NOT(ISERROR(SEARCH("FALSE",BM47)))</formula>
    </cfRule>
  </conditionalFormatting>
  <conditionalFormatting sqref="BM248:BN248">
    <cfRule type="containsText" dxfId="206" priority="556" stopIfTrue="1" operator="containsText" text="FALSE">
      <formula>NOT(ISERROR(SEARCH("FALSE",BM248)))</formula>
    </cfRule>
  </conditionalFormatting>
  <conditionalFormatting sqref="BM253:BN253">
    <cfRule type="containsText" dxfId="205" priority="555" stopIfTrue="1" operator="containsText" text="FALSE">
      <formula>NOT(ISERROR(SEARCH("FALSE",BM253)))</formula>
    </cfRule>
  </conditionalFormatting>
  <conditionalFormatting sqref="BM254:BN255">
    <cfRule type="containsText" dxfId="204" priority="554" stopIfTrue="1" operator="containsText" text="FALSE">
      <formula>NOT(ISERROR(SEARCH("FALSE",BM254)))</formula>
    </cfRule>
  </conditionalFormatting>
  <conditionalFormatting sqref="BM287:BN287">
    <cfRule type="containsText" dxfId="203" priority="552" stopIfTrue="1" operator="containsText" text="FALSE">
      <formula>NOT(ISERROR(SEARCH("FALSE",BM287)))</formula>
    </cfRule>
  </conditionalFormatting>
  <conditionalFormatting sqref="BM125:BN125">
    <cfRule type="containsText" dxfId="202" priority="551" stopIfTrue="1" operator="containsText" text="FALSE">
      <formula>NOT(ISERROR(SEARCH("FALSE",BM125)))</formula>
    </cfRule>
  </conditionalFormatting>
  <conditionalFormatting sqref="BK56">
    <cfRule type="containsText" dxfId="201" priority="462" stopIfTrue="1" operator="containsText" text="FALSE">
      <formula>NOT(ISERROR(SEARCH("FALSE",BK56)))</formula>
    </cfRule>
  </conditionalFormatting>
  <conditionalFormatting sqref="BK201">
    <cfRule type="containsText" dxfId="200" priority="414" stopIfTrue="1" operator="containsText" text="FALSE">
      <formula>NOT(ISERROR(SEARCH("FALSE",BK201)))</formula>
    </cfRule>
  </conditionalFormatting>
  <conditionalFormatting sqref="BK7:BK12">
    <cfRule type="containsText" dxfId="199" priority="456" stopIfTrue="1" operator="containsText" text="FALSE">
      <formula>NOT(ISERROR(SEARCH("FALSE",BK7)))</formula>
    </cfRule>
  </conditionalFormatting>
  <conditionalFormatting sqref="BK14">
    <cfRule type="containsText" dxfId="198" priority="454" stopIfTrue="1" operator="containsText" text="FALSE">
      <formula>NOT(ISERROR(SEARCH("FALSE",BK14)))</formula>
    </cfRule>
  </conditionalFormatting>
  <conditionalFormatting sqref="BL31">
    <cfRule type="containsText" dxfId="197" priority="324" stopIfTrue="1" operator="containsText" text="FALSE">
      <formula>NOT(ISERROR(SEARCH("FALSE",BL31)))</formula>
    </cfRule>
  </conditionalFormatting>
  <conditionalFormatting sqref="BL221:BL223 BL225:BL239 BL241 BL243">
    <cfRule type="containsText" dxfId="196" priority="322" stopIfTrue="1" operator="containsText" text="FALSE">
      <formula>NOT(ISERROR(SEARCH("FALSE",BL221)))</formula>
    </cfRule>
  </conditionalFormatting>
  <conditionalFormatting sqref="BC73:BE73">
    <cfRule type="containsText" dxfId="195" priority="211" stopIfTrue="1" operator="containsText" text="FALSE">
      <formula>NOT(ISERROR(SEARCH("FALSE",BC73)))</formula>
    </cfRule>
  </conditionalFormatting>
  <conditionalFormatting sqref="BK73:BN73">
    <cfRule type="containsText" dxfId="194" priority="210" stopIfTrue="1" operator="containsText" text="FALSE">
      <formula>NOT(ISERROR(SEARCH("FALSE",BK73)))</formula>
    </cfRule>
  </conditionalFormatting>
  <conditionalFormatting sqref="BG76:BJ76">
    <cfRule type="containsText" dxfId="193" priority="209" stopIfTrue="1" operator="containsText" text="FALSE">
      <formula>NOT(ISERROR(SEARCH("FALSE",BG76)))</formula>
    </cfRule>
  </conditionalFormatting>
  <conditionalFormatting sqref="BK76:BN76">
    <cfRule type="containsText" dxfId="192" priority="208" stopIfTrue="1" operator="containsText" text="FALSE">
      <formula>NOT(ISERROR(SEARCH("FALSE",BK76)))</formula>
    </cfRule>
  </conditionalFormatting>
  <conditionalFormatting sqref="BG79:BJ79">
    <cfRule type="containsText" dxfId="191" priority="207" stopIfTrue="1" operator="containsText" text="FALSE">
      <formula>NOT(ISERROR(SEARCH("FALSE",BG79)))</formula>
    </cfRule>
  </conditionalFormatting>
  <conditionalFormatting sqref="BK79:BN79">
    <cfRule type="containsText" dxfId="190" priority="206" stopIfTrue="1" operator="containsText" text="FALSE">
      <formula>NOT(ISERROR(SEARCH("FALSE",BK79)))</formula>
    </cfRule>
  </conditionalFormatting>
  <conditionalFormatting sqref="BK141:BN141">
    <cfRule type="containsText" dxfId="189" priority="205" stopIfTrue="1" operator="containsText" text="FALSE">
      <formula>NOT(ISERROR(SEARCH("FALSE",BK141)))</formula>
    </cfRule>
  </conditionalFormatting>
  <conditionalFormatting sqref="BG138:BJ138">
    <cfRule type="containsText" dxfId="188" priority="204" stopIfTrue="1" operator="containsText" text="FALSE">
      <formula>NOT(ISERROR(SEARCH("FALSE",BG138)))</formula>
    </cfRule>
  </conditionalFormatting>
  <conditionalFormatting sqref="BK42">
    <cfRule type="containsText" dxfId="187" priority="171" stopIfTrue="1" operator="containsText" text="FALSE">
      <formula>NOT(ISERROR(SEARCH("FALSE",BK42)))</formula>
    </cfRule>
  </conditionalFormatting>
  <conditionalFormatting sqref="BK138:BN138">
    <cfRule type="containsText" dxfId="186" priority="202" stopIfTrue="1" operator="containsText" text="FALSE">
      <formula>NOT(ISERROR(SEARCH("FALSE",BK138)))</formula>
    </cfRule>
  </conditionalFormatting>
  <conditionalFormatting sqref="BC55">
    <cfRule type="containsText" dxfId="185" priority="201" stopIfTrue="1" operator="containsText" text="FALSE">
      <formula>NOT(ISERROR(SEARCH("FALSE",BC55)))</formula>
    </cfRule>
  </conditionalFormatting>
  <conditionalFormatting sqref="BM44:BN44">
    <cfRule type="containsText" dxfId="184" priority="177" stopIfTrue="1" operator="containsText" text="FALSE">
      <formula>NOT(ISERROR(SEARCH("FALSE",BM44)))</formula>
    </cfRule>
  </conditionalFormatting>
  <conditionalFormatting sqref="BK57">
    <cfRule type="containsText" dxfId="183" priority="173" stopIfTrue="1" operator="containsText" text="FALSE">
      <formula>NOT(ISERROR(SEARCH("FALSE",BK57)))</formula>
    </cfRule>
  </conditionalFormatting>
  <conditionalFormatting sqref="BE55">
    <cfRule type="containsText" dxfId="182" priority="198" stopIfTrue="1" operator="containsText" text="FALSE">
      <formula>NOT(ISERROR(SEARCH("FALSE",BE55)))</formula>
    </cfRule>
  </conditionalFormatting>
  <conditionalFormatting sqref="BD55">
    <cfRule type="containsText" dxfId="181" priority="197" stopIfTrue="1" operator="containsText" text="FALSE">
      <formula>NOT(ISERROR(SEARCH("FALSE",BD55)))</formula>
    </cfRule>
  </conditionalFormatting>
  <conditionalFormatting sqref="BI42:BJ42">
    <cfRule type="containsText" dxfId="180" priority="196" stopIfTrue="1" operator="containsText" text="FALSE">
      <formula>NOT(ISERROR(SEARCH("FALSE",BI42)))</formula>
    </cfRule>
  </conditionalFormatting>
  <conditionalFormatting sqref="BH42">
    <cfRule type="containsText" dxfId="179" priority="194" stopIfTrue="1" operator="containsText" text="FALSE">
      <formula>NOT(ISERROR(SEARCH("FALSE",BH42)))</formula>
    </cfRule>
  </conditionalFormatting>
  <conditionalFormatting sqref="BI55:BJ55">
    <cfRule type="containsText" dxfId="178" priority="193" stopIfTrue="1" operator="containsText" text="FALSE">
      <formula>NOT(ISERROR(SEARCH("FALSE",BI55)))</formula>
    </cfRule>
  </conditionalFormatting>
  <conditionalFormatting sqref="BG55">
    <cfRule type="containsText" dxfId="177" priority="192" stopIfTrue="1" operator="containsText" text="FALSE">
      <formula>NOT(ISERROR(SEARCH("FALSE",BG55)))</formula>
    </cfRule>
  </conditionalFormatting>
  <conditionalFormatting sqref="BH55">
    <cfRule type="containsText" dxfId="176" priority="191" stopIfTrue="1" operator="containsText" text="FALSE">
      <formula>NOT(ISERROR(SEARCH("FALSE",BH55)))</formula>
    </cfRule>
  </conditionalFormatting>
  <conditionalFormatting sqref="BI57:BJ57">
    <cfRule type="containsText" dxfId="175" priority="190" stopIfTrue="1" operator="containsText" text="FALSE">
      <formula>NOT(ISERROR(SEARCH("FALSE",BI57)))</formula>
    </cfRule>
  </conditionalFormatting>
  <conditionalFormatting sqref="BG57">
    <cfRule type="containsText" dxfId="174" priority="189" stopIfTrue="1" operator="containsText" text="FALSE">
      <formula>NOT(ISERROR(SEARCH("FALSE",BG57)))</formula>
    </cfRule>
  </conditionalFormatting>
  <conditionalFormatting sqref="BH57">
    <cfRule type="containsText" dxfId="173" priority="188" stopIfTrue="1" operator="containsText" text="FALSE">
      <formula>NOT(ISERROR(SEARCH("FALSE",BH57)))</formula>
    </cfRule>
  </conditionalFormatting>
  <conditionalFormatting sqref="BI44:BJ44">
    <cfRule type="containsText" dxfId="172" priority="187" stopIfTrue="1" operator="containsText" text="FALSE">
      <formula>NOT(ISERROR(SEARCH("FALSE",BI44)))</formula>
    </cfRule>
  </conditionalFormatting>
  <conditionalFormatting sqref="BG44">
    <cfRule type="containsText" dxfId="171" priority="186" stopIfTrue="1" operator="containsText" text="FALSE">
      <formula>NOT(ISERROR(SEARCH("FALSE",BG44)))</formula>
    </cfRule>
  </conditionalFormatting>
  <conditionalFormatting sqref="BH44">
    <cfRule type="containsText" dxfId="170" priority="185" stopIfTrue="1" operator="containsText" text="FALSE">
      <formula>NOT(ISERROR(SEARCH("FALSE",BH44)))</formula>
    </cfRule>
  </conditionalFormatting>
  <conditionalFormatting sqref="BG42">
    <cfRule type="containsText" dxfId="169" priority="184" stopIfTrue="1" operator="containsText" text="FALSE">
      <formula>NOT(ISERROR(SEARCH("FALSE",BG42)))</formula>
    </cfRule>
  </conditionalFormatting>
  <conditionalFormatting sqref="BM42:BN42">
    <cfRule type="containsText" dxfId="168" priority="183" stopIfTrue="1" operator="containsText" text="FALSE">
      <formula>NOT(ISERROR(SEARCH("FALSE",BM42)))</formula>
    </cfRule>
  </conditionalFormatting>
  <conditionalFormatting sqref="BM55:BN55">
    <cfRule type="containsText" dxfId="167" priority="180" stopIfTrue="1" operator="containsText" text="FALSE">
      <formula>NOT(ISERROR(SEARCH("FALSE",BM55)))</formula>
    </cfRule>
  </conditionalFormatting>
  <conditionalFormatting sqref="BK55">
    <cfRule type="containsText" dxfId="166" priority="178" stopIfTrue="1" operator="containsText" text="FALSE">
      <formula>NOT(ISERROR(SEARCH("FALSE",BK55)))</formula>
    </cfRule>
  </conditionalFormatting>
  <conditionalFormatting sqref="BK44">
    <cfRule type="containsText" dxfId="165" priority="176" stopIfTrue="1" operator="containsText" text="FALSE">
      <formula>NOT(ISERROR(SEARCH("FALSE",BK44)))</formula>
    </cfRule>
  </conditionalFormatting>
  <conditionalFormatting sqref="BL44">
    <cfRule type="containsText" dxfId="164" priority="175" stopIfTrue="1" operator="containsText" text="FALSE">
      <formula>NOT(ISERROR(SEARCH("FALSE",BL44)))</formula>
    </cfRule>
  </conditionalFormatting>
  <conditionalFormatting sqref="BM57:BN57">
    <cfRule type="containsText" dxfId="163" priority="174" stopIfTrue="1" operator="containsText" text="FALSE">
      <formula>NOT(ISERROR(SEARCH("FALSE",BM57)))</formula>
    </cfRule>
  </conditionalFormatting>
  <conditionalFormatting sqref="BL57">
    <cfRule type="containsText" dxfId="162" priority="172" stopIfTrue="1" operator="containsText" text="FALSE">
      <formula>NOT(ISERROR(SEARCH("FALSE",BL57)))</formula>
    </cfRule>
  </conditionalFormatting>
  <conditionalFormatting sqref="CA13:CE13">
    <cfRule type="containsText" dxfId="161" priority="170" stopIfTrue="1" operator="containsText" text="FALSE">
      <formula>NOT(ISERROR(SEARCH("FALSE",CA13)))</formula>
    </cfRule>
  </conditionalFormatting>
  <conditionalFormatting sqref="BA248">
    <cfRule type="containsText" dxfId="160" priority="169" stopIfTrue="1" operator="containsText" text="FALSE">
      <formula>NOT(ISERROR(SEARCH("FALSE",BA248)))</formula>
    </cfRule>
  </conditionalFormatting>
  <conditionalFormatting sqref="BA249:BA252">
    <cfRule type="containsText" dxfId="159" priority="168" stopIfTrue="1" operator="containsText" text="FALSE">
      <formula>NOT(ISERROR(SEARCH("FALSE",BA249)))</formula>
    </cfRule>
  </conditionalFormatting>
  <conditionalFormatting sqref="BA221:BA223 BA229:BA239 BA241 BA243 BB232">
    <cfRule type="containsText" dxfId="158" priority="167" stopIfTrue="1" operator="containsText" text="FALSE">
      <formula>NOT(ISERROR(SEARCH("FALSE",BA221)))</formula>
    </cfRule>
  </conditionalFormatting>
  <conditionalFormatting sqref="BA215">
    <cfRule type="containsText" dxfId="157" priority="166" stopIfTrue="1" operator="containsText" text="FALSE">
      <formula>NOT(ISERROR(SEARCH("FALSE",BA215)))</formula>
    </cfRule>
  </conditionalFormatting>
  <conditionalFormatting sqref="BA240">
    <cfRule type="containsText" dxfId="156" priority="161" stopIfTrue="1" operator="containsText" text="FALSE">
      <formula>NOT(ISERROR(SEARCH("FALSE",BA240)))</formula>
    </cfRule>
  </conditionalFormatting>
  <conditionalFormatting sqref="BA242">
    <cfRule type="containsText" dxfId="155" priority="160" stopIfTrue="1" operator="containsText" text="FALSE">
      <formula>NOT(ISERROR(SEARCH("FALSE",BA242)))</formula>
    </cfRule>
  </conditionalFormatting>
  <conditionalFormatting sqref="BA138">
    <cfRule type="containsText" dxfId="154" priority="159" stopIfTrue="1" operator="containsText" text="FALSE">
      <formula>NOT(ISERROR(SEARCH("FALSE",BA138)))</formula>
    </cfRule>
  </conditionalFormatting>
  <conditionalFormatting sqref="BA141">
    <cfRule type="containsText" dxfId="153" priority="158" stopIfTrue="1" operator="containsText" text="FALSE">
      <formula>NOT(ISERROR(SEARCH("FALSE",BA141)))</formula>
    </cfRule>
  </conditionalFormatting>
  <conditionalFormatting sqref="BA144">
    <cfRule type="containsText" dxfId="152" priority="157" stopIfTrue="1" operator="containsText" text="FALSE">
      <formula>NOT(ISERROR(SEARCH("FALSE",BA144)))</formula>
    </cfRule>
  </conditionalFormatting>
  <conditionalFormatting sqref="BA79">
    <cfRule type="containsText" dxfId="151" priority="156" stopIfTrue="1" operator="containsText" text="FALSE">
      <formula>NOT(ISERROR(SEARCH("FALSE",BA79)))</formula>
    </cfRule>
  </conditionalFormatting>
  <conditionalFormatting sqref="BA81">
    <cfRule type="containsText" dxfId="150" priority="155" stopIfTrue="1" operator="containsText" text="FALSE">
      <formula>NOT(ISERROR(SEARCH("FALSE",BA81)))</formula>
    </cfRule>
  </conditionalFormatting>
  <conditionalFormatting sqref="BA80">
    <cfRule type="containsText" dxfId="149" priority="154" stopIfTrue="1" operator="containsText" text="FALSE">
      <formula>NOT(ISERROR(SEARCH("FALSE",BA80)))</formula>
    </cfRule>
  </conditionalFormatting>
  <conditionalFormatting sqref="BA78">
    <cfRule type="containsText" dxfId="148" priority="153" stopIfTrue="1" operator="containsText" text="FALSE">
      <formula>NOT(ISERROR(SEARCH("FALSE",BA78)))</formula>
    </cfRule>
  </conditionalFormatting>
  <conditionalFormatting sqref="BA76">
    <cfRule type="containsText" dxfId="147" priority="152" stopIfTrue="1" operator="containsText" text="FALSE">
      <formula>NOT(ISERROR(SEARCH("FALSE",BA76)))</formula>
    </cfRule>
  </conditionalFormatting>
  <conditionalFormatting sqref="BA77">
    <cfRule type="containsText" dxfId="146" priority="151" stopIfTrue="1" operator="containsText" text="FALSE">
      <formula>NOT(ISERROR(SEARCH("FALSE",BA77)))</formula>
    </cfRule>
  </conditionalFormatting>
  <conditionalFormatting sqref="BA73">
    <cfRule type="containsText" dxfId="145" priority="150" stopIfTrue="1" operator="containsText" text="FALSE">
      <formula>NOT(ISERROR(SEARCH("FALSE",BA73)))</formula>
    </cfRule>
  </conditionalFormatting>
  <conditionalFormatting sqref="BA75">
    <cfRule type="containsText" dxfId="144" priority="149" stopIfTrue="1" operator="containsText" text="FALSE">
      <formula>NOT(ISERROR(SEARCH("FALSE",BA75)))</formula>
    </cfRule>
  </conditionalFormatting>
  <conditionalFormatting sqref="BA74">
    <cfRule type="containsText" dxfId="143" priority="148" stopIfTrue="1" operator="containsText" text="FALSE">
      <formula>NOT(ISERROR(SEARCH("FALSE",BA74)))</formula>
    </cfRule>
  </conditionalFormatting>
  <conditionalFormatting sqref="BA92">
    <cfRule type="containsText" dxfId="142" priority="147" stopIfTrue="1" operator="containsText" text="FALSE">
      <formula>NOT(ISERROR(SEARCH("FALSE",BA92)))</formula>
    </cfRule>
  </conditionalFormatting>
  <conditionalFormatting sqref="BA202">
    <cfRule type="containsText" dxfId="141" priority="146" stopIfTrue="1" operator="containsText" text="FALSE">
      <formula>NOT(ISERROR(SEARCH("FALSE",BA202)))</formula>
    </cfRule>
  </conditionalFormatting>
  <conditionalFormatting sqref="BA201">
    <cfRule type="containsText" dxfId="140" priority="145" stopIfTrue="1" operator="containsText" text="FALSE">
      <formula>NOT(ISERROR(SEARCH("FALSE",BA201)))</formula>
    </cfRule>
  </conditionalFormatting>
  <conditionalFormatting sqref="BA199:BA200">
    <cfRule type="containsText" dxfId="139" priority="144" stopIfTrue="1" operator="containsText" text="FALSE">
      <formula>NOT(ISERROR(SEARCH("FALSE",BA199)))</formula>
    </cfRule>
  </conditionalFormatting>
  <conditionalFormatting sqref="BA198">
    <cfRule type="containsText" dxfId="138" priority="143" stopIfTrue="1" operator="containsText" text="FALSE">
      <formula>NOT(ISERROR(SEARCH("FALSE",BA198)))</formula>
    </cfRule>
  </conditionalFormatting>
  <conditionalFormatting sqref="BA204:BA205">
    <cfRule type="containsText" dxfId="137" priority="140" stopIfTrue="1" operator="containsText" text="FALSE">
      <formula>NOT(ISERROR(SEARCH("FALSE",BA204)))</formula>
    </cfRule>
  </conditionalFormatting>
  <conditionalFormatting sqref="BA206:BA209">
    <cfRule type="containsText" dxfId="136" priority="142" stopIfTrue="1" operator="containsText" text="FALSE">
      <formula>NOT(ISERROR(SEARCH("FALSE",BA206)))</formula>
    </cfRule>
  </conditionalFormatting>
  <conditionalFormatting sqref="BA211">
    <cfRule type="containsText" dxfId="135" priority="141" stopIfTrue="1" operator="containsText" text="FALSE">
      <formula>NOT(ISERROR(SEARCH("FALSE",BA211)))</formula>
    </cfRule>
  </conditionalFormatting>
  <conditionalFormatting sqref="BA43:BA44 BA36:BA39 BA41">
    <cfRule type="containsText" dxfId="134" priority="139" stopIfTrue="1" operator="containsText" text="FALSE">
      <formula>NOT(ISERROR(SEARCH("FALSE",BA36)))</formula>
    </cfRule>
  </conditionalFormatting>
  <conditionalFormatting sqref="BA42">
    <cfRule type="containsText" dxfId="133" priority="138" stopIfTrue="1" operator="containsText" text="FALSE">
      <formula>NOT(ISERROR(SEARCH("FALSE",BA42)))</formula>
    </cfRule>
  </conditionalFormatting>
  <conditionalFormatting sqref="BA49:BA52">
    <cfRule type="containsText" dxfId="132" priority="137" stopIfTrue="1" operator="containsText" text="FALSE">
      <formula>NOT(ISERROR(SEARCH("FALSE",BA49)))</formula>
    </cfRule>
  </conditionalFormatting>
  <conditionalFormatting sqref="BA56">
    <cfRule type="containsText" dxfId="131" priority="134" stopIfTrue="1" operator="containsText" text="FALSE">
      <formula>NOT(ISERROR(SEARCH("FALSE",BA56)))</formula>
    </cfRule>
  </conditionalFormatting>
  <conditionalFormatting sqref="BA54">
    <cfRule type="containsText" dxfId="130" priority="136" stopIfTrue="1" operator="containsText" text="FALSE">
      <formula>NOT(ISERROR(SEARCH("FALSE",BA54)))</formula>
    </cfRule>
  </conditionalFormatting>
  <conditionalFormatting sqref="BA57">
    <cfRule type="containsText" dxfId="129" priority="133" stopIfTrue="1" operator="containsText" text="FALSE">
      <formula>NOT(ISERROR(SEARCH("FALSE",BA57)))</formula>
    </cfRule>
  </conditionalFormatting>
  <conditionalFormatting sqref="BA55">
    <cfRule type="containsText" dxfId="128" priority="131" stopIfTrue="1" operator="containsText" text="FALSE">
      <formula>NOT(ISERROR(SEARCH("FALSE",BA55)))</formula>
    </cfRule>
  </conditionalFormatting>
  <conditionalFormatting sqref="BL42">
    <cfRule type="containsText" dxfId="127" priority="130" stopIfTrue="1" operator="containsText" text="FALSE">
      <formula>NOT(ISERROR(SEARCH("FALSE",BL42)))</formula>
    </cfRule>
  </conditionalFormatting>
  <conditionalFormatting sqref="BL55">
    <cfRule type="containsText" dxfId="126" priority="129" stopIfTrue="1" operator="containsText" text="FALSE">
      <formula>NOT(ISERROR(SEARCH("FALSE",BL55)))</formula>
    </cfRule>
  </conditionalFormatting>
  <conditionalFormatting sqref="BA218:BA219">
    <cfRule type="containsText" dxfId="125" priority="128" stopIfTrue="1" operator="containsText" text="FALSE">
      <formula>NOT(ISERROR(SEARCH("FALSE",BA218)))</formula>
    </cfRule>
  </conditionalFormatting>
  <conditionalFormatting sqref="BA216">
    <cfRule type="containsText" dxfId="124" priority="127" stopIfTrue="1" operator="containsText" text="FALSE">
      <formula>NOT(ISERROR(SEARCH("FALSE",BA216)))</formula>
    </cfRule>
  </conditionalFormatting>
  <conditionalFormatting sqref="BA217">
    <cfRule type="containsText" dxfId="123" priority="126" stopIfTrue="1" operator="containsText" text="FALSE">
      <formula>NOT(ISERROR(SEARCH("FALSE",BA217)))</formula>
    </cfRule>
  </conditionalFormatting>
  <conditionalFormatting sqref="BA220">
    <cfRule type="containsText" dxfId="122" priority="125" stopIfTrue="1" operator="containsText" text="FALSE">
      <formula>NOT(ISERROR(SEARCH("FALSE",BA220)))</formula>
    </cfRule>
  </conditionalFormatting>
  <conditionalFormatting sqref="BA225:BA228">
    <cfRule type="containsText" dxfId="121" priority="124" stopIfTrue="1" operator="containsText" text="FALSE">
      <formula>NOT(ISERROR(SEARCH("FALSE",BA225)))</formula>
    </cfRule>
  </conditionalFormatting>
  <conditionalFormatting sqref="BA224">
    <cfRule type="containsText" dxfId="120" priority="123" stopIfTrue="1" operator="containsText" text="FALSE">
      <formula>NOT(ISERROR(SEARCH("FALSE",BA224)))</formula>
    </cfRule>
  </conditionalFormatting>
  <conditionalFormatting sqref="BA7:BA12">
    <cfRule type="containsText" dxfId="119" priority="122" stopIfTrue="1" operator="containsText" text="FALSE">
      <formula>NOT(ISERROR(SEARCH("FALSE",BA7)))</formula>
    </cfRule>
  </conditionalFormatting>
  <conditionalFormatting sqref="BA6">
    <cfRule type="containsText" dxfId="118" priority="121" stopIfTrue="1" operator="containsText" text="FALSE">
      <formula>NOT(ISERROR(SEARCH("FALSE",BA6)))</formula>
    </cfRule>
  </conditionalFormatting>
  <conditionalFormatting sqref="BA14">
    <cfRule type="containsText" dxfId="117" priority="120" stopIfTrue="1" operator="containsText" text="FALSE">
      <formula>NOT(ISERROR(SEARCH("FALSE",BA14)))</formula>
    </cfRule>
  </conditionalFormatting>
  <conditionalFormatting sqref="BA13">
    <cfRule type="containsText" dxfId="116" priority="119" stopIfTrue="1" operator="containsText" text="FALSE">
      <formula>NOT(ISERROR(SEARCH("FALSE",BA13)))</formula>
    </cfRule>
  </conditionalFormatting>
  <conditionalFormatting sqref="BA15:BA16">
    <cfRule type="containsText" dxfId="115" priority="118" stopIfTrue="1" operator="containsText" text="FALSE">
      <formula>NOT(ISERROR(SEARCH("FALSE",BA15)))</formula>
    </cfRule>
  </conditionalFormatting>
  <conditionalFormatting sqref="BA18">
    <cfRule type="containsText" dxfId="114" priority="116" stopIfTrue="1" operator="containsText" text="FALSE">
      <formula>NOT(ISERROR(SEARCH("FALSE",BA18)))</formula>
    </cfRule>
  </conditionalFormatting>
  <conditionalFormatting sqref="BA260:BA264">
    <cfRule type="containsText" dxfId="113" priority="115" stopIfTrue="1" operator="containsText" text="FALSE">
      <formula>NOT(ISERROR(SEARCH("FALSE",BA260)))</formula>
    </cfRule>
  </conditionalFormatting>
  <conditionalFormatting sqref="BA266">
    <cfRule type="containsText" dxfId="112" priority="114" stopIfTrue="1" operator="containsText" text="FALSE">
      <formula>NOT(ISERROR(SEARCH("FALSE",BA266)))</formula>
    </cfRule>
  </conditionalFormatting>
  <conditionalFormatting sqref="BA275:BA276">
    <cfRule type="containsText" dxfId="111" priority="113" stopIfTrue="1" operator="containsText" text="FALSE">
      <formula>NOT(ISERROR(SEARCH("FALSE",BA275)))</formula>
    </cfRule>
  </conditionalFormatting>
  <conditionalFormatting sqref="BA267:BA274">
    <cfRule type="containsText" dxfId="110" priority="112" stopIfTrue="1" operator="containsText" text="FALSE">
      <formula>NOT(ISERROR(SEARCH("FALSE",BA267)))</formula>
    </cfRule>
  </conditionalFormatting>
  <conditionalFormatting sqref="BA253">
    <cfRule type="containsText" dxfId="109" priority="111" stopIfTrue="1" operator="containsText" text="FALSE">
      <formula>NOT(ISERROR(SEARCH("FALSE",BA253)))</formula>
    </cfRule>
  </conditionalFormatting>
  <conditionalFormatting sqref="BA254">
    <cfRule type="containsText" dxfId="108" priority="110" stopIfTrue="1" operator="containsText" text="FALSE">
      <formula>NOT(ISERROR(SEARCH("FALSE",BA254)))</formula>
    </cfRule>
  </conditionalFormatting>
  <conditionalFormatting sqref="BA255">
    <cfRule type="containsText" dxfId="107" priority="109" stopIfTrue="1" operator="containsText" text="FALSE">
      <formula>NOT(ISERROR(SEARCH("FALSE",BA255)))</formula>
    </cfRule>
  </conditionalFormatting>
  <conditionalFormatting sqref="BA244">
    <cfRule type="containsText" dxfId="106" priority="108" stopIfTrue="1" operator="containsText" text="FALSE">
      <formula>NOT(ISERROR(SEARCH("FALSE",BA244)))</formula>
    </cfRule>
  </conditionalFormatting>
  <conditionalFormatting sqref="BB1">
    <cfRule type="containsText" dxfId="105" priority="107" stopIfTrue="1" operator="containsText" text="FALSE">
      <formula>NOT(ISERROR(SEARCH("FALSE",BB1)))</formula>
    </cfRule>
  </conditionalFormatting>
  <conditionalFormatting sqref="BB2:BB5">
    <cfRule type="containsText" dxfId="104" priority="106" stopIfTrue="1" operator="containsText" text="FALSE">
      <formula>NOT(ISERROR(SEARCH("FALSE",BB2)))</formula>
    </cfRule>
  </conditionalFormatting>
  <conditionalFormatting sqref="BB120:BB121">
    <cfRule type="containsText" dxfId="103" priority="105" stopIfTrue="1" operator="containsText" text="FALSE">
      <formula>NOT(ISERROR(SEARCH("FALSE",BB120)))</formula>
    </cfRule>
  </conditionalFormatting>
  <conditionalFormatting sqref="BB33">
    <cfRule type="containsText" dxfId="102" priority="104" stopIfTrue="1" operator="containsText" text="FALSE">
      <formula>NOT(ISERROR(SEARCH("FALSE",BB33)))</formula>
    </cfRule>
  </conditionalFormatting>
  <conditionalFormatting sqref="BB62:BB65">
    <cfRule type="containsText" dxfId="101" priority="36" stopIfTrue="1" operator="containsText" text="FALSE">
      <formula>NOT(ISERROR(SEARCH("FALSE",BB62)))</formula>
    </cfRule>
  </conditionalFormatting>
  <conditionalFormatting sqref="BB243">
    <cfRule type="containsText" dxfId="100" priority="35" stopIfTrue="1" operator="containsText" text="FALSE">
      <formula>NOT(ISERROR(SEARCH("FALSE",BB243)))</formula>
    </cfRule>
  </conditionalFormatting>
  <conditionalFormatting sqref="BB18">
    <cfRule type="containsText" dxfId="99" priority="33" stopIfTrue="1" operator="containsText" text="FALSE">
      <formula>NOT(ISERROR(SEARCH("FALSE",BB18)))</formula>
    </cfRule>
  </conditionalFormatting>
  <conditionalFormatting sqref="BB31:BB32 BB22:BB28">
    <cfRule type="containsText" dxfId="98" priority="32" stopIfTrue="1" operator="containsText" text="FALSE">
      <formula>NOT(ISERROR(SEARCH("FALSE",BB22)))</formula>
    </cfRule>
  </conditionalFormatting>
  <conditionalFormatting sqref="BB175:BB176 BB158:BB159 BB162:BB163">
    <cfRule type="containsText" dxfId="97" priority="103" stopIfTrue="1" operator="containsText" text="FALSE">
      <formula>NOT(ISERROR(SEARCH("FALSE",BB158)))</formula>
    </cfRule>
  </conditionalFormatting>
  <conditionalFormatting sqref="BB43:BB44 BB245 BB257 BB48:BB52 BB82:BB89">
    <cfRule type="containsText" dxfId="96" priority="102" stopIfTrue="1" operator="containsText" text="FALSE">
      <formula>NOT(ISERROR(SEARCH("FALSE",BB43)))</formula>
    </cfRule>
  </conditionalFormatting>
  <conditionalFormatting sqref="BB73 BB149:BB150 BB130 BB154:BB155 BB202 BB41 BB54 BB76 BB46 BB164:BB165 BB196:BB197 BB194 BB206:BB209 BB123 BB185:BB188 BB181:BB183 BB191:BB192 BB111:BB114 BB117 BB199:BB200 BB306:BB313 BB315:BB318 BB320:BB323 BB325:BB328 BB330:BB334 BB336:BB344 BB346:BB353 BB19:BB21 BB102:BB109 BB296:BB304 BB59:BB61 BB170 BB66:BB69 BB34">
    <cfRule type="containsText" dxfId="95" priority="101" stopIfTrue="1" operator="containsText" text="FALSE">
      <formula>NOT(ISERROR(SEARCH("FALSE",BB19)))</formula>
    </cfRule>
  </conditionalFormatting>
  <conditionalFormatting sqref="BB97:BB98">
    <cfRule type="containsText" dxfId="94" priority="100" stopIfTrue="1" operator="containsText" text="FALSE">
      <formula>NOT(ISERROR(SEARCH("FALSE",BB97)))</formula>
    </cfRule>
  </conditionalFormatting>
  <conditionalFormatting sqref="BB211:BB212">
    <cfRule type="containsText" dxfId="93" priority="99" stopIfTrue="1" operator="containsText" text="FALSE">
      <formula>NOT(ISERROR(SEARCH("FALSE",BB211)))</formula>
    </cfRule>
  </conditionalFormatting>
  <conditionalFormatting sqref="BB42">
    <cfRule type="containsText" dxfId="92" priority="98" stopIfTrue="1" operator="containsText" text="FALSE">
      <formula>NOT(ISERROR(SEARCH("FALSE",BB42)))</formula>
    </cfRule>
  </conditionalFormatting>
  <conditionalFormatting sqref="BB71">
    <cfRule type="containsText" dxfId="91" priority="97" stopIfTrue="1" operator="containsText" text="FALSE">
      <formula>NOT(ISERROR(SEARCH("FALSE",BB71)))</formula>
    </cfRule>
  </conditionalFormatting>
  <conditionalFormatting sqref="BB181">
    <cfRule type="containsText" dxfId="90" priority="96" stopIfTrue="1" operator="containsText" text="FALSE">
      <formula>NOT(ISERROR(SEARCH("FALSE",BB181)))</formula>
    </cfRule>
  </conditionalFormatting>
  <conditionalFormatting sqref="BB99:BB101">
    <cfRule type="containsText" dxfId="89" priority="95" stopIfTrue="1" operator="containsText" text="FALSE">
      <formula>NOT(ISERROR(SEARCH("FALSE",BB99)))</formula>
    </cfRule>
  </conditionalFormatting>
  <conditionalFormatting sqref="BB92">
    <cfRule type="containsText" dxfId="88" priority="94" stopIfTrue="1" operator="containsText" text="FALSE">
      <formula>NOT(ISERROR(SEARCH("FALSE",BB92)))</formula>
    </cfRule>
  </conditionalFormatting>
  <conditionalFormatting sqref="BB55">
    <cfRule type="containsText" dxfId="87" priority="93" stopIfTrue="1" operator="containsText" text="FALSE">
      <formula>NOT(ISERROR(SEARCH("FALSE",BB55)))</formula>
    </cfRule>
  </conditionalFormatting>
  <conditionalFormatting sqref="BB324">
    <cfRule type="containsText" dxfId="86" priority="70" stopIfTrue="1" operator="containsText" text="FALSE">
      <formula>NOT(ISERROR(SEARCH("FALSE",BB324)))</formula>
    </cfRule>
  </conditionalFormatting>
  <conditionalFormatting sqref="BB90:BB91">
    <cfRule type="containsText" dxfId="85" priority="92" stopIfTrue="1" operator="containsText" text="FALSE">
      <formula>NOT(ISERROR(SEARCH("FALSE",BB90)))</formula>
    </cfRule>
  </conditionalFormatting>
  <conditionalFormatting sqref="BB78">
    <cfRule type="containsText" dxfId="84" priority="85" stopIfTrue="1" operator="containsText" text="FALSE">
      <formula>NOT(ISERROR(SEARCH("FALSE",BB78)))</formula>
    </cfRule>
  </conditionalFormatting>
  <conditionalFormatting sqref="BB335">
    <cfRule type="containsText" dxfId="83" priority="68" stopIfTrue="1" operator="containsText" text="FALSE">
      <formula>NOT(ISERROR(SEARCH("FALSE",BB335)))</formula>
    </cfRule>
  </conditionalFormatting>
  <conditionalFormatting sqref="BB138">
    <cfRule type="containsText" dxfId="82" priority="90" stopIfTrue="1" operator="containsText" text="FALSE">
      <formula>NOT(ISERROR(SEARCH("FALSE",BB138)))</formula>
    </cfRule>
  </conditionalFormatting>
  <conditionalFormatting sqref="BB56">
    <cfRule type="containsText" dxfId="81" priority="66" stopIfTrue="1" operator="containsText" text="FALSE">
      <formula>NOT(ISERROR(SEARCH("FALSE",BB56)))</formula>
    </cfRule>
  </conditionalFormatting>
  <conditionalFormatting sqref="BB124">
    <cfRule type="containsText" dxfId="80" priority="91" stopIfTrue="1" operator="containsText" text="FALSE">
      <formula>NOT(ISERROR(SEARCH("FALSE",BB124)))</formula>
    </cfRule>
  </conditionalFormatting>
  <conditionalFormatting sqref="BB184">
    <cfRule type="containsText" dxfId="79" priority="89" stopIfTrue="1" operator="containsText" text="FALSE">
      <formula>NOT(ISERROR(SEARCH("FALSE",BB184)))</formula>
    </cfRule>
  </conditionalFormatting>
  <conditionalFormatting sqref="BB198">
    <cfRule type="containsText" dxfId="78" priority="88" stopIfTrue="1" operator="containsText" text="FALSE">
      <formula>NOT(ISERROR(SEARCH("FALSE",BB198)))</formula>
    </cfRule>
  </conditionalFormatting>
  <conditionalFormatting sqref="BB204:BB205">
    <cfRule type="containsText" dxfId="77" priority="87" stopIfTrue="1" operator="containsText" text="FALSE">
      <formula>NOT(ISERROR(SEARCH("FALSE",BB204)))</formula>
    </cfRule>
  </conditionalFormatting>
  <conditionalFormatting sqref="BB75">
    <cfRule type="containsText" dxfId="76" priority="86" stopIfTrue="1" operator="containsText" text="FALSE">
      <formula>NOT(ISERROR(SEARCH("FALSE",BB75)))</formula>
    </cfRule>
  </conditionalFormatting>
  <conditionalFormatting sqref="BB72">
    <cfRule type="containsText" dxfId="75" priority="81" stopIfTrue="1" operator="containsText" text="FALSE">
      <formula>NOT(ISERROR(SEARCH("FALSE",BB72)))</formula>
    </cfRule>
  </conditionalFormatting>
  <conditionalFormatting sqref="BB81">
    <cfRule type="containsText" dxfId="74" priority="83" stopIfTrue="1" operator="containsText" text="FALSE">
      <formula>NOT(ISERROR(SEARCH("FALSE",BB81)))</formula>
    </cfRule>
  </conditionalFormatting>
  <conditionalFormatting sqref="BB70">
    <cfRule type="containsText" dxfId="73" priority="82" stopIfTrue="1" operator="containsText" text="FALSE">
      <formula>NOT(ISERROR(SEARCH("FALSE",BB70)))</formula>
    </cfRule>
  </conditionalFormatting>
  <conditionalFormatting sqref="BB79">
    <cfRule type="containsText" dxfId="72" priority="84" stopIfTrue="1" operator="containsText" text="FALSE">
      <formula>NOT(ISERROR(SEARCH("FALSE",BB79)))</formula>
    </cfRule>
  </conditionalFormatting>
  <conditionalFormatting sqref="BB118:BB119">
    <cfRule type="containsText" dxfId="71" priority="79" stopIfTrue="1" operator="containsText" text="FALSE">
      <formula>NOT(ISERROR(SEARCH("FALSE",BB118)))</formula>
    </cfRule>
  </conditionalFormatting>
  <conditionalFormatting sqref="BB96">
    <cfRule type="containsText" dxfId="70" priority="80" stopIfTrue="1" operator="containsText" text="FALSE">
      <formula>NOT(ISERROR(SEARCH("FALSE",BB96)))</formula>
    </cfRule>
  </conditionalFormatting>
  <conditionalFormatting sqref="BB115:BB116">
    <cfRule type="containsText" dxfId="69" priority="78" stopIfTrue="1" operator="containsText" text="FALSE">
      <formula>NOT(ISERROR(SEARCH("FALSE",BB115)))</formula>
    </cfRule>
  </conditionalFormatting>
  <conditionalFormatting sqref="BB189:BB190">
    <cfRule type="containsText" dxfId="68" priority="77" stopIfTrue="1" operator="containsText" text="FALSE">
      <formula>NOT(ISERROR(SEARCH("FALSE",BB189)))</formula>
    </cfRule>
  </conditionalFormatting>
  <conditionalFormatting sqref="BB148">
    <cfRule type="containsText" dxfId="67" priority="76" stopIfTrue="1" operator="containsText" text="FALSE">
      <formula>NOT(ISERROR(SEARCH("FALSE",BB148)))</formula>
    </cfRule>
  </conditionalFormatting>
  <conditionalFormatting sqref="BB195">
    <cfRule type="containsText" dxfId="66" priority="75" stopIfTrue="1" operator="containsText" text="FALSE">
      <formula>NOT(ISERROR(SEARCH("FALSE",BB195)))</formula>
    </cfRule>
  </conditionalFormatting>
  <conditionalFormatting sqref="BB201">
    <cfRule type="containsText" dxfId="65" priority="74" stopIfTrue="1" operator="containsText" text="FALSE">
      <formula>NOT(ISERROR(SEARCH("FALSE",BB201)))</formula>
    </cfRule>
  </conditionalFormatting>
  <conditionalFormatting sqref="BB305">
    <cfRule type="containsText" dxfId="64" priority="73" stopIfTrue="1" operator="containsText" text="FALSE">
      <formula>NOT(ISERROR(SEARCH("FALSE",BB305)))</formula>
    </cfRule>
  </conditionalFormatting>
  <conditionalFormatting sqref="BB314">
    <cfRule type="containsText" dxfId="63" priority="72" stopIfTrue="1" operator="containsText" text="FALSE">
      <formula>NOT(ISERROR(SEARCH("FALSE",BB314)))</formula>
    </cfRule>
  </conditionalFormatting>
  <conditionalFormatting sqref="BB319">
    <cfRule type="containsText" dxfId="62" priority="71" stopIfTrue="1" operator="containsText" text="FALSE">
      <formula>NOT(ISERROR(SEARCH("FALSE",BB319)))</formula>
    </cfRule>
  </conditionalFormatting>
  <conditionalFormatting sqref="BB329">
    <cfRule type="containsText" dxfId="61" priority="69" stopIfTrue="1" operator="containsText" text="FALSE">
      <formula>NOT(ISERROR(SEARCH("FALSE",BB329)))</formula>
    </cfRule>
  </conditionalFormatting>
  <conditionalFormatting sqref="BB345">
    <cfRule type="containsText" dxfId="60" priority="67" stopIfTrue="1" operator="containsText" text="FALSE">
      <formula>NOT(ISERROR(SEARCH("FALSE",BB345)))</formula>
    </cfRule>
  </conditionalFormatting>
  <conditionalFormatting sqref="BB95">
    <cfRule type="containsText" dxfId="59" priority="65" stopIfTrue="1" operator="containsText" text="FALSE">
      <formula>NOT(ISERROR(SEARCH("FALSE",BB95)))</formula>
    </cfRule>
  </conditionalFormatting>
  <conditionalFormatting sqref="BB247">
    <cfRule type="containsText" dxfId="58" priority="64" stopIfTrue="1" operator="containsText" text="FALSE">
      <formula>NOT(ISERROR(SEARCH("FALSE",BB247)))</formula>
    </cfRule>
  </conditionalFormatting>
  <conditionalFormatting sqref="BB288:BB295">
    <cfRule type="containsText" dxfId="57" priority="63" stopIfTrue="1" operator="containsText" text="FALSE">
      <formula>NOT(ISERROR(SEARCH("FALSE",BB288)))</formula>
    </cfRule>
  </conditionalFormatting>
  <conditionalFormatting sqref="BB258">
    <cfRule type="containsText" dxfId="56" priority="62" stopIfTrue="1" operator="containsText" text="FALSE">
      <formula>NOT(ISERROR(SEARCH("FALSE",BB258)))</formula>
    </cfRule>
  </conditionalFormatting>
  <conditionalFormatting sqref="BB213">
    <cfRule type="containsText" dxfId="55" priority="61" stopIfTrue="1" operator="containsText" text="FALSE">
      <formula>NOT(ISERROR(SEARCH("FALSE",BB213)))</formula>
    </cfRule>
  </conditionalFormatting>
  <conditionalFormatting sqref="BB259">
    <cfRule type="containsText" dxfId="54" priority="60" stopIfTrue="1" operator="containsText" text="FALSE">
      <formula>NOT(ISERROR(SEARCH("FALSE",BB259)))</formula>
    </cfRule>
  </conditionalFormatting>
  <conditionalFormatting sqref="BB47">
    <cfRule type="containsText" dxfId="53" priority="59" stopIfTrue="1" operator="containsText" text="FALSE">
      <formula>NOT(ISERROR(SEARCH("FALSE",BB47)))</formula>
    </cfRule>
  </conditionalFormatting>
  <conditionalFormatting sqref="BB57">
    <cfRule type="containsText" dxfId="52" priority="58" stopIfTrue="1" operator="containsText" text="FALSE">
      <formula>NOT(ISERROR(SEARCH("FALSE",BB57)))</formula>
    </cfRule>
  </conditionalFormatting>
  <conditionalFormatting sqref="BB244">
    <cfRule type="containsText" dxfId="51" priority="57" stopIfTrue="1" operator="containsText" text="FALSE">
      <formula>NOT(ISERROR(SEARCH("FALSE",BB244)))</formula>
    </cfRule>
  </conditionalFormatting>
  <conditionalFormatting sqref="BB125">
    <cfRule type="containsText" dxfId="50" priority="56" stopIfTrue="1" operator="containsText" text="FALSE">
      <formula>NOT(ISERROR(SEARCH("FALSE",BB125)))</formula>
    </cfRule>
  </conditionalFormatting>
  <conditionalFormatting sqref="BB126">
    <cfRule type="containsText" dxfId="49" priority="55" stopIfTrue="1" operator="containsText" text="FALSE">
      <formula>NOT(ISERROR(SEARCH("FALSE",BB126)))</formula>
    </cfRule>
  </conditionalFormatting>
  <conditionalFormatting sqref="BB131:BB132 BB137">
    <cfRule type="containsText" dxfId="48" priority="54" stopIfTrue="1" operator="containsText" text="FALSE">
      <formula>NOT(ISERROR(SEARCH("FALSE",BB131)))</formula>
    </cfRule>
  </conditionalFormatting>
  <conditionalFormatting sqref="BB141">
    <cfRule type="containsText" dxfId="47" priority="53" stopIfTrue="1" operator="containsText" text="FALSE">
      <formula>NOT(ISERROR(SEARCH("FALSE",BB141)))</formula>
    </cfRule>
  </conditionalFormatting>
  <conditionalFormatting sqref="BB133">
    <cfRule type="containsText" dxfId="46" priority="52" stopIfTrue="1" operator="containsText" text="FALSE">
      <formula>NOT(ISERROR(SEARCH("FALSE",BB133)))</formula>
    </cfRule>
  </conditionalFormatting>
  <conditionalFormatting sqref="BB144">
    <cfRule type="containsText" dxfId="45" priority="51" stopIfTrue="1" operator="containsText" text="FALSE">
      <formula>NOT(ISERROR(SEARCH("FALSE",BB144)))</formula>
    </cfRule>
  </conditionalFormatting>
  <conditionalFormatting sqref="BB135">
    <cfRule type="containsText" dxfId="44" priority="50" stopIfTrue="1" operator="containsText" text="FALSE">
      <formula>NOT(ISERROR(SEARCH("FALSE",BB135)))</formula>
    </cfRule>
  </conditionalFormatting>
  <conditionalFormatting sqref="BB122">
    <cfRule type="containsText" dxfId="43" priority="49" stopIfTrue="1" operator="containsText" text="FALSE">
      <formula>NOT(ISERROR(SEARCH("FALSE",BB122)))</formula>
    </cfRule>
  </conditionalFormatting>
  <conditionalFormatting sqref="BB151">
    <cfRule type="containsText" dxfId="42" priority="48" stopIfTrue="1" operator="containsText" text="FALSE">
      <formula>NOT(ISERROR(SEARCH("FALSE",BB151)))</formula>
    </cfRule>
  </conditionalFormatting>
  <conditionalFormatting sqref="BB152">
    <cfRule type="containsText" dxfId="41" priority="47" stopIfTrue="1" operator="containsText" text="FALSE">
      <formula>NOT(ISERROR(SEARCH("FALSE",BB152)))</formula>
    </cfRule>
  </conditionalFormatting>
  <conditionalFormatting sqref="BB153">
    <cfRule type="containsText" dxfId="40" priority="46" stopIfTrue="1" operator="containsText" text="FALSE">
      <formula>NOT(ISERROR(SEARCH("FALSE",BB153)))</formula>
    </cfRule>
  </conditionalFormatting>
  <conditionalFormatting sqref="BB156:BB157">
    <cfRule type="containsText" dxfId="39" priority="45" stopIfTrue="1" operator="containsText" text="FALSE">
      <formula>NOT(ISERROR(SEARCH("FALSE",BB156)))</formula>
    </cfRule>
  </conditionalFormatting>
  <conditionalFormatting sqref="BB160">
    <cfRule type="containsText" dxfId="38" priority="44" stopIfTrue="1" operator="containsText" text="FALSE">
      <formula>NOT(ISERROR(SEARCH("FALSE",BB160)))</formula>
    </cfRule>
  </conditionalFormatting>
  <conditionalFormatting sqref="BB161">
    <cfRule type="containsText" dxfId="37" priority="43" stopIfTrue="1" operator="containsText" text="FALSE">
      <formula>NOT(ISERROR(SEARCH("FALSE",BB161)))</formula>
    </cfRule>
  </conditionalFormatting>
  <conditionalFormatting sqref="BB169">
    <cfRule type="containsText" dxfId="36" priority="42" stopIfTrue="1" operator="containsText" text="FALSE">
      <formula>NOT(ISERROR(SEARCH("FALSE",BB169)))</formula>
    </cfRule>
  </conditionalFormatting>
  <conditionalFormatting sqref="BB166">
    <cfRule type="containsText" dxfId="35" priority="41" stopIfTrue="1" operator="containsText" text="FALSE">
      <formula>NOT(ISERROR(SEARCH("FALSE",BB166)))</formula>
    </cfRule>
  </conditionalFormatting>
  <conditionalFormatting sqref="BB167">
    <cfRule type="containsText" dxfId="34" priority="40" stopIfTrue="1" operator="containsText" text="FALSE">
      <formula>NOT(ISERROR(SEARCH("FALSE",BB167)))</formula>
    </cfRule>
  </conditionalFormatting>
  <conditionalFormatting sqref="BB168">
    <cfRule type="containsText" dxfId="33" priority="39" stopIfTrue="1" operator="containsText" text="FALSE">
      <formula>NOT(ISERROR(SEARCH("FALSE",BB168)))</formula>
    </cfRule>
  </conditionalFormatting>
  <conditionalFormatting sqref="BB171:BB174">
    <cfRule type="containsText" dxfId="32" priority="38" stopIfTrue="1" operator="containsText" text="FALSE">
      <formula>NOT(ISERROR(SEARCH("FALSE",BB171)))</formula>
    </cfRule>
  </conditionalFormatting>
  <conditionalFormatting sqref="BB35">
    <cfRule type="containsText" dxfId="31" priority="37" stopIfTrue="1" operator="containsText" text="FALSE">
      <formula>NOT(ISERROR(SEARCH("FALSE",BB35)))</formula>
    </cfRule>
  </conditionalFormatting>
  <conditionalFormatting sqref="BB6:BB17">
    <cfRule type="containsText" dxfId="30" priority="34" stopIfTrue="1" operator="containsText" text="FALSE">
      <formula>NOT(ISERROR(SEARCH("FALSE",BB6)))</formula>
    </cfRule>
  </conditionalFormatting>
  <conditionalFormatting sqref="BB30">
    <cfRule type="containsText" dxfId="29" priority="31" stopIfTrue="1" operator="containsText" text="FALSE">
      <formula>NOT(ISERROR(SEARCH("FALSE",BB30)))</formula>
    </cfRule>
  </conditionalFormatting>
  <conditionalFormatting sqref="BB36:BB39">
    <cfRule type="containsText" dxfId="28" priority="30" stopIfTrue="1" operator="containsText" text="FALSE">
      <formula>NOT(ISERROR(SEARCH("FALSE",BB36)))</formula>
    </cfRule>
  </conditionalFormatting>
  <conditionalFormatting sqref="BB221:BB222 BB229:BB230 BB236:BB237">
    <cfRule type="containsText" dxfId="27" priority="29" stopIfTrue="1" operator="containsText" text="FALSE">
      <formula>NOT(ISERROR(SEARCH("FALSE",BB221)))</formula>
    </cfRule>
  </conditionalFormatting>
  <conditionalFormatting sqref="BB215:BB216 BB218:BB219">
    <cfRule type="containsText" dxfId="26" priority="28" stopIfTrue="1" operator="containsText" text="FALSE">
      <formula>NOT(ISERROR(SEARCH("FALSE",BB215)))</formula>
    </cfRule>
  </conditionalFormatting>
  <conditionalFormatting sqref="BB238">
    <cfRule type="containsText" dxfId="25" priority="27" stopIfTrue="1" operator="containsText" text="FALSE">
      <formula>NOT(ISERROR(SEARCH("FALSE",BB238)))</formula>
    </cfRule>
  </conditionalFormatting>
  <conditionalFormatting sqref="BB217">
    <cfRule type="containsText" dxfId="24" priority="26" stopIfTrue="1" operator="containsText" text="FALSE">
      <formula>NOT(ISERROR(SEARCH("FALSE",BB217)))</formula>
    </cfRule>
  </conditionalFormatting>
  <conditionalFormatting sqref="BB225">
    <cfRule type="containsText" dxfId="23" priority="25" stopIfTrue="1" operator="containsText" text="FALSE">
      <formula>NOT(ISERROR(SEARCH("FALSE",BB225)))</formula>
    </cfRule>
  </conditionalFormatting>
  <conditionalFormatting sqref="BB224">
    <cfRule type="containsText" dxfId="22" priority="23" stopIfTrue="1" operator="containsText" text="FALSE">
      <formula>NOT(ISERROR(SEARCH("FALSE",BB224)))</formula>
    </cfRule>
  </conditionalFormatting>
  <conditionalFormatting sqref="BB220">
    <cfRule type="containsText" dxfId="21" priority="22" stopIfTrue="1" operator="containsText" text="FALSE">
      <formula>NOT(ISERROR(SEARCH("FALSE",BB220)))</formula>
    </cfRule>
  </conditionalFormatting>
  <conditionalFormatting sqref="BB228">
    <cfRule type="containsText" dxfId="20" priority="21" stopIfTrue="1" operator="containsText" text="FALSE">
      <formula>NOT(ISERROR(SEARCH("FALSE",BB228)))</formula>
    </cfRule>
  </conditionalFormatting>
  <conditionalFormatting sqref="BB235">
    <cfRule type="containsText" dxfId="19" priority="20" stopIfTrue="1" operator="containsText" text="FALSE">
      <formula>NOT(ISERROR(SEARCH("FALSE",BB235)))</formula>
    </cfRule>
  </conditionalFormatting>
  <conditionalFormatting sqref="BB240">
    <cfRule type="containsText" dxfId="18" priority="19" stopIfTrue="1" operator="containsText" text="FALSE">
      <formula>NOT(ISERROR(SEARCH("FALSE",BB240)))</formula>
    </cfRule>
  </conditionalFormatting>
  <conditionalFormatting sqref="BB242">
    <cfRule type="containsText" dxfId="17" priority="18" stopIfTrue="1" operator="containsText" text="FALSE">
      <formula>NOT(ISERROR(SEARCH("FALSE",BB242)))</formula>
    </cfRule>
  </conditionalFormatting>
  <conditionalFormatting sqref="BB260:BB264">
    <cfRule type="containsText" dxfId="16" priority="17" stopIfTrue="1" operator="containsText" text="FALSE">
      <formula>NOT(ISERROR(SEARCH("FALSE",BB260)))</formula>
    </cfRule>
  </conditionalFormatting>
  <conditionalFormatting sqref="BB277:BB286">
    <cfRule type="containsText" dxfId="15" priority="16" stopIfTrue="1" operator="containsText" text="FALSE">
      <formula>NOT(ISERROR(SEARCH("FALSE",BB277)))</formula>
    </cfRule>
  </conditionalFormatting>
  <conditionalFormatting sqref="BB266">
    <cfRule type="containsText" dxfId="14" priority="15" stopIfTrue="1" operator="containsText" text="FALSE">
      <formula>NOT(ISERROR(SEARCH("FALSE",BB266)))</formula>
    </cfRule>
  </conditionalFormatting>
  <conditionalFormatting sqref="BB267:BB274">
    <cfRule type="containsText" dxfId="13" priority="14" stopIfTrue="1" operator="containsText" text="FALSE">
      <formula>NOT(ISERROR(SEARCH("FALSE",BB267)))</formula>
    </cfRule>
  </conditionalFormatting>
  <conditionalFormatting sqref="BB287">
    <cfRule type="containsText" dxfId="12" priority="13" stopIfTrue="1" operator="containsText" text="FALSE">
      <formula>NOT(ISERROR(SEARCH("FALSE",BB287)))</formula>
    </cfRule>
  </conditionalFormatting>
  <conditionalFormatting sqref="BB275:BB276">
    <cfRule type="containsText" dxfId="11" priority="12" stopIfTrue="1" operator="containsText" text="FALSE">
      <formula>NOT(ISERROR(SEARCH("FALSE",BB275)))</formula>
    </cfRule>
  </conditionalFormatting>
  <conditionalFormatting sqref="BB248:BB256">
    <cfRule type="containsText" dxfId="10" priority="11" stopIfTrue="1" operator="containsText" text="FALSE">
      <formula>NOT(ISERROR(SEARCH("FALSE",BB248)))</formula>
    </cfRule>
  </conditionalFormatting>
  <conditionalFormatting sqref="BB223">
    <cfRule type="containsText" dxfId="9" priority="10" stopIfTrue="1" operator="containsText" text="FALSE">
      <formula>NOT(ISERROR(SEARCH("FALSE",BB223)))</formula>
    </cfRule>
  </conditionalFormatting>
  <conditionalFormatting sqref="BB226:BB227">
    <cfRule type="containsText" dxfId="8" priority="9" stopIfTrue="1" operator="containsText" text="FALSE">
      <formula>NOT(ISERROR(SEARCH("FALSE",BB226)))</formula>
    </cfRule>
  </conditionalFormatting>
  <conditionalFormatting sqref="BB231">
    <cfRule type="containsText" dxfId="7" priority="8" stopIfTrue="1" operator="containsText" text="FALSE">
      <formula>NOT(ISERROR(SEARCH("FALSE",BB231)))</formula>
    </cfRule>
  </conditionalFormatting>
  <conditionalFormatting sqref="BB233:BB234">
    <cfRule type="containsText" dxfId="6" priority="7" stopIfTrue="1" operator="containsText" text="FALSE">
      <formula>NOT(ISERROR(SEARCH("FALSE",BB233)))</formula>
    </cfRule>
  </conditionalFormatting>
  <conditionalFormatting sqref="BB239">
    <cfRule type="containsText" dxfId="5" priority="6" stopIfTrue="1" operator="containsText" text="FALSE">
      <formula>NOT(ISERROR(SEARCH("FALSE",BB239)))</formula>
    </cfRule>
  </conditionalFormatting>
  <conditionalFormatting sqref="BB241">
    <cfRule type="containsText" dxfId="4" priority="5" stopIfTrue="1" operator="containsText" text="FALSE">
      <formula>NOT(ISERROR(SEARCH("FALSE",BB241)))</formula>
    </cfRule>
  </conditionalFormatting>
  <conditionalFormatting sqref="BB246">
    <cfRule type="containsText" dxfId="3" priority="4" stopIfTrue="1" operator="containsText" text="FALSE">
      <formula>NOT(ISERROR(SEARCH("FALSE",BB246)))</formula>
    </cfRule>
  </conditionalFormatting>
  <conditionalFormatting sqref="BB74">
    <cfRule type="containsText" dxfId="2" priority="3" stopIfTrue="1" operator="containsText" text="FALSE">
      <formula>NOT(ISERROR(SEARCH("FALSE",BB74)))</formula>
    </cfRule>
  </conditionalFormatting>
  <conditionalFormatting sqref="BB77">
    <cfRule type="containsText" dxfId="1" priority="2" stopIfTrue="1" operator="containsText" text="FALSE">
      <formula>NOT(ISERROR(SEARCH("FALSE",BB77)))</formula>
    </cfRule>
  </conditionalFormatting>
  <conditionalFormatting sqref="BB80">
    <cfRule type="containsText" dxfId="0" priority="1" stopIfTrue="1" operator="containsText" text="FALSE">
      <formula>NOT(ISERROR(SEARCH("FALSE",BB80)))</formula>
    </cfRule>
  </conditionalFormatting>
  <pageMargins left="0" right="0" top="0" bottom="0" header="0" footer="0"/>
  <pageSetup paperSize="5" scale="1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973" bestFit="1" customWidth="1"/>
    <col min="2" max="2" width="19.85546875" style="1032" customWidth="1"/>
    <col min="3" max="3" width="12" style="973" bestFit="1" customWidth="1"/>
    <col min="4" max="256" width="9.140625" style="973"/>
    <col min="257" max="257" width="29.5703125" style="973" bestFit="1" customWidth="1"/>
    <col min="258" max="258" width="19.85546875" style="973" customWidth="1"/>
    <col min="259" max="259" width="12" style="973" bestFit="1" customWidth="1"/>
    <col min="260" max="512" width="9.140625" style="973"/>
    <col min="513" max="513" width="29.5703125" style="973" bestFit="1" customWidth="1"/>
    <col min="514" max="514" width="19.85546875" style="973" customWidth="1"/>
    <col min="515" max="515" width="12" style="973" bestFit="1" customWidth="1"/>
    <col min="516" max="768" width="9.140625" style="973"/>
    <col min="769" max="769" width="29.5703125" style="973" bestFit="1" customWidth="1"/>
    <col min="770" max="770" width="19.85546875" style="973" customWidth="1"/>
    <col min="771" max="771" width="12" style="973" bestFit="1" customWidth="1"/>
    <col min="772" max="1024" width="9.140625" style="973"/>
    <col min="1025" max="1025" width="29.5703125" style="973" bestFit="1" customWidth="1"/>
    <col min="1026" max="1026" width="19.85546875" style="973" customWidth="1"/>
    <col min="1027" max="1027" width="12" style="973" bestFit="1" customWidth="1"/>
    <col min="1028" max="1280" width="9.140625" style="973"/>
    <col min="1281" max="1281" width="29.5703125" style="973" bestFit="1" customWidth="1"/>
    <col min="1282" max="1282" width="19.85546875" style="973" customWidth="1"/>
    <col min="1283" max="1283" width="12" style="973" bestFit="1" customWidth="1"/>
    <col min="1284" max="1536" width="9.140625" style="973"/>
    <col min="1537" max="1537" width="29.5703125" style="973" bestFit="1" customWidth="1"/>
    <col min="1538" max="1538" width="19.85546875" style="973" customWidth="1"/>
    <col min="1539" max="1539" width="12" style="973" bestFit="1" customWidth="1"/>
    <col min="1540" max="1792" width="9.140625" style="973"/>
    <col min="1793" max="1793" width="29.5703125" style="973" bestFit="1" customWidth="1"/>
    <col min="1794" max="1794" width="19.85546875" style="973" customWidth="1"/>
    <col min="1795" max="1795" width="12" style="973" bestFit="1" customWidth="1"/>
    <col min="1796" max="2048" width="9.140625" style="973"/>
    <col min="2049" max="2049" width="29.5703125" style="973" bestFit="1" customWidth="1"/>
    <col min="2050" max="2050" width="19.85546875" style="973" customWidth="1"/>
    <col min="2051" max="2051" width="12" style="973" bestFit="1" customWidth="1"/>
    <col min="2052" max="2304" width="9.140625" style="973"/>
    <col min="2305" max="2305" width="29.5703125" style="973" bestFit="1" customWidth="1"/>
    <col min="2306" max="2306" width="19.85546875" style="973" customWidth="1"/>
    <col min="2307" max="2307" width="12" style="973" bestFit="1" customWidth="1"/>
    <col min="2308" max="2560" width="9.140625" style="973"/>
    <col min="2561" max="2561" width="29.5703125" style="973" bestFit="1" customWidth="1"/>
    <col min="2562" max="2562" width="19.85546875" style="973" customWidth="1"/>
    <col min="2563" max="2563" width="12" style="973" bestFit="1" customWidth="1"/>
    <col min="2564" max="2816" width="9.140625" style="973"/>
    <col min="2817" max="2817" width="29.5703125" style="973" bestFit="1" customWidth="1"/>
    <col min="2818" max="2818" width="19.85546875" style="973" customWidth="1"/>
    <col min="2819" max="2819" width="12" style="973" bestFit="1" customWidth="1"/>
    <col min="2820" max="3072" width="9.140625" style="973"/>
    <col min="3073" max="3073" width="29.5703125" style="973" bestFit="1" customWidth="1"/>
    <col min="3074" max="3074" width="19.85546875" style="973" customWidth="1"/>
    <col min="3075" max="3075" width="12" style="973" bestFit="1" customWidth="1"/>
    <col min="3076" max="3328" width="9.140625" style="973"/>
    <col min="3329" max="3329" width="29.5703125" style="973" bestFit="1" customWidth="1"/>
    <col min="3330" max="3330" width="19.85546875" style="973" customWidth="1"/>
    <col min="3331" max="3331" width="12" style="973" bestFit="1" customWidth="1"/>
    <col min="3332" max="3584" width="9.140625" style="973"/>
    <col min="3585" max="3585" width="29.5703125" style="973" bestFit="1" customWidth="1"/>
    <col min="3586" max="3586" width="19.85546875" style="973" customWidth="1"/>
    <col min="3587" max="3587" width="12" style="973" bestFit="1" customWidth="1"/>
    <col min="3588" max="3840" width="9.140625" style="973"/>
    <col min="3841" max="3841" width="29.5703125" style="973" bestFit="1" customWidth="1"/>
    <col min="3842" max="3842" width="19.85546875" style="973" customWidth="1"/>
    <col min="3843" max="3843" width="12" style="973" bestFit="1" customWidth="1"/>
    <col min="3844" max="4096" width="9.140625" style="973"/>
    <col min="4097" max="4097" width="29.5703125" style="973" bestFit="1" customWidth="1"/>
    <col min="4098" max="4098" width="19.85546875" style="973" customWidth="1"/>
    <col min="4099" max="4099" width="12" style="973" bestFit="1" customWidth="1"/>
    <col min="4100" max="4352" width="9.140625" style="973"/>
    <col min="4353" max="4353" width="29.5703125" style="973" bestFit="1" customWidth="1"/>
    <col min="4354" max="4354" width="19.85546875" style="973" customWidth="1"/>
    <col min="4355" max="4355" width="12" style="973" bestFit="1" customWidth="1"/>
    <col min="4356" max="4608" width="9.140625" style="973"/>
    <col min="4609" max="4609" width="29.5703125" style="973" bestFit="1" customWidth="1"/>
    <col min="4610" max="4610" width="19.85546875" style="973" customWidth="1"/>
    <col min="4611" max="4611" width="12" style="973" bestFit="1" customWidth="1"/>
    <col min="4612" max="4864" width="9.140625" style="973"/>
    <col min="4865" max="4865" width="29.5703125" style="973" bestFit="1" customWidth="1"/>
    <col min="4866" max="4866" width="19.85546875" style="973" customWidth="1"/>
    <col min="4867" max="4867" width="12" style="973" bestFit="1" customWidth="1"/>
    <col min="4868" max="5120" width="9.140625" style="973"/>
    <col min="5121" max="5121" width="29.5703125" style="973" bestFit="1" customWidth="1"/>
    <col min="5122" max="5122" width="19.85546875" style="973" customWidth="1"/>
    <col min="5123" max="5123" width="12" style="973" bestFit="1" customWidth="1"/>
    <col min="5124" max="5376" width="9.140625" style="973"/>
    <col min="5377" max="5377" width="29.5703125" style="973" bestFit="1" customWidth="1"/>
    <col min="5378" max="5378" width="19.85546875" style="973" customWidth="1"/>
    <col min="5379" max="5379" width="12" style="973" bestFit="1" customWidth="1"/>
    <col min="5380" max="5632" width="9.140625" style="973"/>
    <col min="5633" max="5633" width="29.5703125" style="973" bestFit="1" customWidth="1"/>
    <col min="5634" max="5634" width="19.85546875" style="973" customWidth="1"/>
    <col min="5635" max="5635" width="12" style="973" bestFit="1" customWidth="1"/>
    <col min="5636" max="5888" width="9.140625" style="973"/>
    <col min="5889" max="5889" width="29.5703125" style="973" bestFit="1" customWidth="1"/>
    <col min="5890" max="5890" width="19.85546875" style="973" customWidth="1"/>
    <col min="5891" max="5891" width="12" style="973" bestFit="1" customWidth="1"/>
    <col min="5892" max="6144" width="9.140625" style="973"/>
    <col min="6145" max="6145" width="29.5703125" style="973" bestFit="1" customWidth="1"/>
    <col min="6146" max="6146" width="19.85546875" style="973" customWidth="1"/>
    <col min="6147" max="6147" width="12" style="973" bestFit="1" customWidth="1"/>
    <col min="6148" max="6400" width="9.140625" style="973"/>
    <col min="6401" max="6401" width="29.5703125" style="973" bestFit="1" customWidth="1"/>
    <col min="6402" max="6402" width="19.85546875" style="973" customWidth="1"/>
    <col min="6403" max="6403" width="12" style="973" bestFit="1" customWidth="1"/>
    <col min="6404" max="6656" width="9.140625" style="973"/>
    <col min="6657" max="6657" width="29.5703125" style="973" bestFit="1" customWidth="1"/>
    <col min="6658" max="6658" width="19.85546875" style="973" customWidth="1"/>
    <col min="6659" max="6659" width="12" style="973" bestFit="1" customWidth="1"/>
    <col min="6660" max="6912" width="9.140625" style="973"/>
    <col min="6913" max="6913" width="29.5703125" style="973" bestFit="1" customWidth="1"/>
    <col min="6914" max="6914" width="19.85546875" style="973" customWidth="1"/>
    <col min="6915" max="6915" width="12" style="973" bestFit="1" customWidth="1"/>
    <col min="6916" max="7168" width="9.140625" style="973"/>
    <col min="7169" max="7169" width="29.5703125" style="973" bestFit="1" customWidth="1"/>
    <col min="7170" max="7170" width="19.85546875" style="973" customWidth="1"/>
    <col min="7171" max="7171" width="12" style="973" bestFit="1" customWidth="1"/>
    <col min="7172" max="7424" width="9.140625" style="973"/>
    <col min="7425" max="7425" width="29.5703125" style="973" bestFit="1" customWidth="1"/>
    <col min="7426" max="7426" width="19.85546875" style="973" customWidth="1"/>
    <col min="7427" max="7427" width="12" style="973" bestFit="1" customWidth="1"/>
    <col min="7428" max="7680" width="9.140625" style="973"/>
    <col min="7681" max="7681" width="29.5703125" style="973" bestFit="1" customWidth="1"/>
    <col min="7682" max="7682" width="19.85546875" style="973" customWidth="1"/>
    <col min="7683" max="7683" width="12" style="973" bestFit="1" customWidth="1"/>
    <col min="7684" max="7936" width="9.140625" style="973"/>
    <col min="7937" max="7937" width="29.5703125" style="973" bestFit="1" customWidth="1"/>
    <col min="7938" max="7938" width="19.85546875" style="973" customWidth="1"/>
    <col min="7939" max="7939" width="12" style="973" bestFit="1" customWidth="1"/>
    <col min="7940" max="8192" width="9.140625" style="973"/>
    <col min="8193" max="8193" width="29.5703125" style="973" bestFit="1" customWidth="1"/>
    <col min="8194" max="8194" width="19.85546875" style="973" customWidth="1"/>
    <col min="8195" max="8195" width="12" style="973" bestFit="1" customWidth="1"/>
    <col min="8196" max="8448" width="9.140625" style="973"/>
    <col min="8449" max="8449" width="29.5703125" style="973" bestFit="1" customWidth="1"/>
    <col min="8450" max="8450" width="19.85546875" style="973" customWidth="1"/>
    <col min="8451" max="8451" width="12" style="973" bestFit="1" customWidth="1"/>
    <col min="8452" max="8704" width="9.140625" style="973"/>
    <col min="8705" max="8705" width="29.5703125" style="973" bestFit="1" customWidth="1"/>
    <col min="8706" max="8706" width="19.85546875" style="973" customWidth="1"/>
    <col min="8707" max="8707" width="12" style="973" bestFit="1" customWidth="1"/>
    <col min="8708" max="8960" width="9.140625" style="973"/>
    <col min="8961" max="8961" width="29.5703125" style="973" bestFit="1" customWidth="1"/>
    <col min="8962" max="8962" width="19.85546875" style="973" customWidth="1"/>
    <col min="8963" max="8963" width="12" style="973" bestFit="1" customWidth="1"/>
    <col min="8964" max="9216" width="9.140625" style="973"/>
    <col min="9217" max="9217" width="29.5703125" style="973" bestFit="1" customWidth="1"/>
    <col min="9218" max="9218" width="19.85546875" style="973" customWidth="1"/>
    <col min="9219" max="9219" width="12" style="973" bestFit="1" customWidth="1"/>
    <col min="9220" max="9472" width="9.140625" style="973"/>
    <col min="9473" max="9473" width="29.5703125" style="973" bestFit="1" customWidth="1"/>
    <col min="9474" max="9474" width="19.85546875" style="973" customWidth="1"/>
    <col min="9475" max="9475" width="12" style="973" bestFit="1" customWidth="1"/>
    <col min="9476" max="9728" width="9.140625" style="973"/>
    <col min="9729" max="9729" width="29.5703125" style="973" bestFit="1" customWidth="1"/>
    <col min="9730" max="9730" width="19.85546875" style="973" customWidth="1"/>
    <col min="9731" max="9731" width="12" style="973" bestFit="1" customWidth="1"/>
    <col min="9732" max="9984" width="9.140625" style="973"/>
    <col min="9985" max="9985" width="29.5703125" style="973" bestFit="1" customWidth="1"/>
    <col min="9986" max="9986" width="19.85546875" style="973" customWidth="1"/>
    <col min="9987" max="9987" width="12" style="973" bestFit="1" customWidth="1"/>
    <col min="9988" max="10240" width="9.140625" style="973"/>
    <col min="10241" max="10241" width="29.5703125" style="973" bestFit="1" customWidth="1"/>
    <col min="10242" max="10242" width="19.85546875" style="973" customWidth="1"/>
    <col min="10243" max="10243" width="12" style="973" bestFit="1" customWidth="1"/>
    <col min="10244" max="10496" width="9.140625" style="973"/>
    <col min="10497" max="10497" width="29.5703125" style="973" bestFit="1" customWidth="1"/>
    <col min="10498" max="10498" width="19.85546875" style="973" customWidth="1"/>
    <col min="10499" max="10499" width="12" style="973" bestFit="1" customWidth="1"/>
    <col min="10500" max="10752" width="9.140625" style="973"/>
    <col min="10753" max="10753" width="29.5703125" style="973" bestFit="1" customWidth="1"/>
    <col min="10754" max="10754" width="19.85546875" style="973" customWidth="1"/>
    <col min="10755" max="10755" width="12" style="973" bestFit="1" customWidth="1"/>
    <col min="10756" max="11008" width="9.140625" style="973"/>
    <col min="11009" max="11009" width="29.5703125" style="973" bestFit="1" customWidth="1"/>
    <col min="11010" max="11010" width="19.85546875" style="973" customWidth="1"/>
    <col min="11011" max="11011" width="12" style="973" bestFit="1" customWidth="1"/>
    <col min="11012" max="11264" width="9.140625" style="973"/>
    <col min="11265" max="11265" width="29.5703125" style="973" bestFit="1" customWidth="1"/>
    <col min="11266" max="11266" width="19.85546875" style="973" customWidth="1"/>
    <col min="11267" max="11267" width="12" style="973" bestFit="1" customWidth="1"/>
    <col min="11268" max="11520" width="9.140625" style="973"/>
    <col min="11521" max="11521" width="29.5703125" style="973" bestFit="1" customWidth="1"/>
    <col min="11522" max="11522" width="19.85546875" style="973" customWidth="1"/>
    <col min="11523" max="11523" width="12" style="973" bestFit="1" customWidth="1"/>
    <col min="11524" max="11776" width="9.140625" style="973"/>
    <col min="11777" max="11777" width="29.5703125" style="973" bestFit="1" customWidth="1"/>
    <col min="11778" max="11778" width="19.85546875" style="973" customWidth="1"/>
    <col min="11779" max="11779" width="12" style="973" bestFit="1" customWidth="1"/>
    <col min="11780" max="12032" width="9.140625" style="973"/>
    <col min="12033" max="12033" width="29.5703125" style="973" bestFit="1" customWidth="1"/>
    <col min="12034" max="12034" width="19.85546875" style="973" customWidth="1"/>
    <col min="12035" max="12035" width="12" style="973" bestFit="1" customWidth="1"/>
    <col min="12036" max="12288" width="9.140625" style="973"/>
    <col min="12289" max="12289" width="29.5703125" style="973" bestFit="1" customWidth="1"/>
    <col min="12290" max="12290" width="19.85546875" style="973" customWidth="1"/>
    <col min="12291" max="12291" width="12" style="973" bestFit="1" customWidth="1"/>
    <col min="12292" max="12544" width="9.140625" style="973"/>
    <col min="12545" max="12545" width="29.5703125" style="973" bestFit="1" customWidth="1"/>
    <col min="12546" max="12546" width="19.85546875" style="973" customWidth="1"/>
    <col min="12547" max="12547" width="12" style="973" bestFit="1" customWidth="1"/>
    <col min="12548" max="12800" width="9.140625" style="973"/>
    <col min="12801" max="12801" width="29.5703125" style="973" bestFit="1" customWidth="1"/>
    <col min="12802" max="12802" width="19.85546875" style="973" customWidth="1"/>
    <col min="12803" max="12803" width="12" style="973" bestFit="1" customWidth="1"/>
    <col min="12804" max="13056" width="9.140625" style="973"/>
    <col min="13057" max="13057" width="29.5703125" style="973" bestFit="1" customWidth="1"/>
    <col min="13058" max="13058" width="19.85546875" style="973" customWidth="1"/>
    <col min="13059" max="13059" width="12" style="973" bestFit="1" customWidth="1"/>
    <col min="13060" max="13312" width="9.140625" style="973"/>
    <col min="13313" max="13313" width="29.5703125" style="973" bestFit="1" customWidth="1"/>
    <col min="13314" max="13314" width="19.85546875" style="973" customWidth="1"/>
    <col min="13315" max="13315" width="12" style="973" bestFit="1" customWidth="1"/>
    <col min="13316" max="13568" width="9.140625" style="973"/>
    <col min="13569" max="13569" width="29.5703125" style="973" bestFit="1" customWidth="1"/>
    <col min="13570" max="13570" width="19.85546875" style="973" customWidth="1"/>
    <col min="13571" max="13571" width="12" style="973" bestFit="1" customWidth="1"/>
    <col min="13572" max="13824" width="9.140625" style="973"/>
    <col min="13825" max="13825" width="29.5703125" style="973" bestFit="1" customWidth="1"/>
    <col min="13826" max="13826" width="19.85546875" style="973" customWidth="1"/>
    <col min="13827" max="13827" width="12" style="973" bestFit="1" customWidth="1"/>
    <col min="13828" max="14080" width="9.140625" style="973"/>
    <col min="14081" max="14081" width="29.5703125" style="973" bestFit="1" customWidth="1"/>
    <col min="14082" max="14082" width="19.85546875" style="973" customWidth="1"/>
    <col min="14083" max="14083" width="12" style="973" bestFit="1" customWidth="1"/>
    <col min="14084" max="14336" width="9.140625" style="973"/>
    <col min="14337" max="14337" width="29.5703125" style="973" bestFit="1" customWidth="1"/>
    <col min="14338" max="14338" width="19.85546875" style="973" customWidth="1"/>
    <col min="14339" max="14339" width="12" style="973" bestFit="1" customWidth="1"/>
    <col min="14340" max="14592" width="9.140625" style="973"/>
    <col min="14593" max="14593" width="29.5703125" style="973" bestFit="1" customWidth="1"/>
    <col min="14594" max="14594" width="19.85546875" style="973" customWidth="1"/>
    <col min="14595" max="14595" width="12" style="973" bestFit="1" customWidth="1"/>
    <col min="14596" max="14848" width="9.140625" style="973"/>
    <col min="14849" max="14849" width="29.5703125" style="973" bestFit="1" customWidth="1"/>
    <col min="14850" max="14850" width="19.85546875" style="973" customWidth="1"/>
    <col min="14851" max="14851" width="12" style="973" bestFit="1" customWidth="1"/>
    <col min="14852" max="15104" width="9.140625" style="973"/>
    <col min="15105" max="15105" width="29.5703125" style="973" bestFit="1" customWidth="1"/>
    <col min="15106" max="15106" width="19.85546875" style="973" customWidth="1"/>
    <col min="15107" max="15107" width="12" style="973" bestFit="1" customWidth="1"/>
    <col min="15108" max="15360" width="9.140625" style="973"/>
    <col min="15361" max="15361" width="29.5703125" style="973" bestFit="1" customWidth="1"/>
    <col min="15362" max="15362" width="19.85546875" style="973" customWidth="1"/>
    <col min="15363" max="15363" width="12" style="973" bestFit="1" customWidth="1"/>
    <col min="15364" max="15616" width="9.140625" style="973"/>
    <col min="15617" max="15617" width="29.5703125" style="973" bestFit="1" customWidth="1"/>
    <col min="15618" max="15618" width="19.85546875" style="973" customWidth="1"/>
    <col min="15619" max="15619" width="12" style="973" bestFit="1" customWidth="1"/>
    <col min="15620" max="15872" width="9.140625" style="973"/>
    <col min="15873" max="15873" width="29.5703125" style="973" bestFit="1" customWidth="1"/>
    <col min="15874" max="15874" width="19.85546875" style="973" customWidth="1"/>
    <col min="15875" max="15875" width="12" style="973" bestFit="1" customWidth="1"/>
    <col min="15876" max="16128" width="9.140625" style="973"/>
    <col min="16129" max="16129" width="29.5703125" style="973" bestFit="1" customWidth="1"/>
    <col min="16130" max="16130" width="19.85546875" style="973" customWidth="1"/>
    <col min="16131" max="16131" width="12" style="973" bestFit="1" customWidth="1"/>
    <col min="16132" max="16384" width="9.140625" style="973"/>
  </cols>
  <sheetData>
    <row r="1" spans="1:2">
      <c r="A1" s="973" t="s">
        <v>796</v>
      </c>
      <c r="B1" s="1031">
        <v>6.1</v>
      </c>
    </row>
    <row r="2" spans="1:2">
      <c r="A2" s="973" t="s">
        <v>797</v>
      </c>
      <c r="B2" s="1035">
        <v>43201.749178240738</v>
      </c>
    </row>
    <row r="3" spans="1:2">
      <c r="A3" s="973" t="s">
        <v>798</v>
      </c>
      <c r="B3" s="1032" t="s">
        <v>496</v>
      </c>
    </row>
    <row r="4" spans="1:2">
      <c r="A4" s="973" t="s">
        <v>799</v>
      </c>
      <c r="B4" s="1032" t="s">
        <v>365</v>
      </c>
    </row>
    <row r="5" spans="1:2">
      <c r="A5" s="973" t="s">
        <v>800</v>
      </c>
      <c r="B5" s="1032" t="s">
        <v>801</v>
      </c>
    </row>
    <row r="6" spans="1:2">
      <c r="A6" s="973" t="s">
        <v>802</v>
      </c>
    </row>
    <row r="7" spans="1:2">
      <c r="A7" s="973" t="s">
        <v>803</v>
      </c>
      <c r="B7" s="1032" t="s">
        <v>337</v>
      </c>
    </row>
    <row r="8" spans="1:2">
      <c r="A8" s="973" t="s">
        <v>804</v>
      </c>
      <c r="B8" s="1032" t="s">
        <v>805</v>
      </c>
    </row>
    <row r="9" spans="1:2">
      <c r="A9" s="973" t="s">
        <v>806</v>
      </c>
      <c r="B9" s="1032" t="s">
        <v>843</v>
      </c>
    </row>
    <row r="10" spans="1:2">
      <c r="A10" s="973" t="s">
        <v>807</v>
      </c>
    </row>
    <row r="11" spans="1:2">
      <c r="A11" s="973" t="s">
        <v>808</v>
      </c>
    </row>
    <row r="12" spans="1:2">
      <c r="A12" s="973" t="s">
        <v>809</v>
      </c>
    </row>
    <row r="13" spans="1:2">
      <c r="A13" s="973" t="s">
        <v>810</v>
      </c>
    </row>
    <row r="14" spans="1:2">
      <c r="A14" s="973" t="s">
        <v>811</v>
      </c>
    </row>
    <row r="15" spans="1:2">
      <c r="A15" s="973" t="s">
        <v>812</v>
      </c>
    </row>
    <row r="16" spans="1:2">
      <c r="A16" s="973" t="s">
        <v>813</v>
      </c>
    </row>
    <row r="17" spans="1:4">
      <c r="A17" s="973" t="s">
        <v>814</v>
      </c>
      <c r="B17" s="1032" t="s">
        <v>844</v>
      </c>
    </row>
    <row r="18" spans="1:4">
      <c r="A18" s="973" t="s">
        <v>815</v>
      </c>
      <c r="B18" s="1032" t="s">
        <v>847</v>
      </c>
    </row>
    <row r="19" spans="1:4">
      <c r="A19" s="973" t="s">
        <v>816</v>
      </c>
      <c r="B19" s="1032" t="s">
        <v>336</v>
      </c>
    </row>
    <row r="20" spans="1:4">
      <c r="A20" s="973" t="s">
        <v>817</v>
      </c>
      <c r="B20" s="1033" t="s">
        <v>848</v>
      </c>
    </row>
    <row r="21" spans="1:4">
      <c r="A21" s="973" t="s">
        <v>818</v>
      </c>
      <c r="B21" s="1032" t="s">
        <v>336</v>
      </c>
    </row>
    <row r="22" spans="1:4">
      <c r="A22" s="973" t="s">
        <v>819</v>
      </c>
      <c r="B22" s="1033">
        <v>2379504</v>
      </c>
    </row>
    <row r="23" spans="1:4">
      <c r="A23" s="973" t="s">
        <v>349</v>
      </c>
      <c r="B23" s="1031">
        <v>226</v>
      </c>
    </row>
    <row r="24" spans="1:4">
      <c r="A24" s="973" t="s">
        <v>348</v>
      </c>
      <c r="B24" s="1032" t="s">
        <v>335</v>
      </c>
      <c r="D24" s="973" t="s">
        <v>383</v>
      </c>
    </row>
    <row r="25" spans="1:4">
      <c r="A25" s="973" t="s">
        <v>820</v>
      </c>
      <c r="B25" s="1032" t="s">
        <v>849</v>
      </c>
    </row>
    <row r="26" spans="1:4">
      <c r="A26" s="973" t="s">
        <v>821</v>
      </c>
      <c r="B26" s="1032">
        <v>0</v>
      </c>
    </row>
    <row r="27" spans="1:4">
      <c r="A27" s="973" t="s">
        <v>822</v>
      </c>
      <c r="B27" s="1032" t="s">
        <v>823</v>
      </c>
    </row>
    <row r="28" spans="1:4">
      <c r="A28" s="973" t="s">
        <v>824</v>
      </c>
      <c r="B28" s="1032" t="s">
        <v>825</v>
      </c>
    </row>
    <row r="29" spans="1:4">
      <c r="A29" s="973" t="s">
        <v>826</v>
      </c>
    </row>
    <row r="30" spans="1:4">
      <c r="A30" s="973" t="s">
        <v>827</v>
      </c>
    </row>
    <row r="31" spans="1:4">
      <c r="A31" s="973" t="s">
        <v>828</v>
      </c>
    </row>
    <row r="32" spans="1:4">
      <c r="A32" s="973" t="s">
        <v>829</v>
      </c>
      <c r="B32" s="1031"/>
    </row>
    <row r="33" spans="1:2">
      <c r="A33" s="973" t="s">
        <v>830</v>
      </c>
      <c r="B33" s="1031"/>
    </row>
    <row r="34" spans="1:2">
      <c r="A34" s="973" t="s">
        <v>831</v>
      </c>
      <c r="B34" s="1031"/>
    </row>
    <row r="35" spans="1:2">
      <c r="A35" s="973" t="s">
        <v>832</v>
      </c>
      <c r="B35" s="1032">
        <v>1000000</v>
      </c>
    </row>
    <row r="36" spans="1:2">
      <c r="A36" s="973" t="s">
        <v>833</v>
      </c>
      <c r="B36" s="1032" t="s">
        <v>845</v>
      </c>
    </row>
    <row r="37" spans="1:2">
      <c r="A37" s="973" t="s">
        <v>834</v>
      </c>
      <c r="B37" s="1032" t="s">
        <v>835</v>
      </c>
    </row>
    <row r="38" spans="1:2">
      <c r="A38" s="973" t="s">
        <v>836</v>
      </c>
      <c r="B38" s="1032" t="s">
        <v>837</v>
      </c>
    </row>
    <row r="39" spans="1:2">
      <c r="A39" s="973" t="s">
        <v>838</v>
      </c>
      <c r="B39" s="1032" t="s">
        <v>846</v>
      </c>
    </row>
    <row r="40" spans="1:2">
      <c r="A40" s="973" t="s">
        <v>839</v>
      </c>
      <c r="B40" s="1032">
        <v>1500000092</v>
      </c>
    </row>
    <row r="41" spans="1:2">
      <c r="A41" s="973" t="s">
        <v>840</v>
      </c>
      <c r="B41" s="1032">
        <v>1</v>
      </c>
    </row>
    <row r="42" spans="1:2">
      <c r="A42" s="1034" t="s">
        <v>841</v>
      </c>
    </row>
    <row r="43" spans="1:2">
      <c r="A43" s="973" t="s">
        <v>842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973" bestFit="1" customWidth="1"/>
    <col min="2" max="256" width="9.140625" style="973"/>
    <col min="257" max="257" width="28.5703125" style="973" bestFit="1" customWidth="1"/>
    <col min="258" max="512" width="9.140625" style="973"/>
    <col min="513" max="513" width="28.5703125" style="973" bestFit="1" customWidth="1"/>
    <col min="514" max="768" width="9.140625" style="973"/>
    <col min="769" max="769" width="28.5703125" style="973" bestFit="1" customWidth="1"/>
    <col min="770" max="1024" width="9.140625" style="973"/>
    <col min="1025" max="1025" width="28.5703125" style="973" bestFit="1" customWidth="1"/>
    <col min="1026" max="1280" width="9.140625" style="973"/>
    <col min="1281" max="1281" width="28.5703125" style="973" bestFit="1" customWidth="1"/>
    <col min="1282" max="1536" width="9.140625" style="973"/>
    <col min="1537" max="1537" width="28.5703125" style="973" bestFit="1" customWidth="1"/>
    <col min="1538" max="1792" width="9.140625" style="973"/>
    <col min="1793" max="1793" width="28.5703125" style="973" bestFit="1" customWidth="1"/>
    <col min="1794" max="2048" width="9.140625" style="973"/>
    <col min="2049" max="2049" width="28.5703125" style="973" bestFit="1" customWidth="1"/>
    <col min="2050" max="2304" width="9.140625" style="973"/>
    <col min="2305" max="2305" width="28.5703125" style="973" bestFit="1" customWidth="1"/>
    <col min="2306" max="2560" width="9.140625" style="973"/>
    <col min="2561" max="2561" width="28.5703125" style="973" bestFit="1" customWidth="1"/>
    <col min="2562" max="2816" width="9.140625" style="973"/>
    <col min="2817" max="2817" width="28.5703125" style="973" bestFit="1" customWidth="1"/>
    <col min="2818" max="3072" width="9.140625" style="973"/>
    <col min="3073" max="3073" width="28.5703125" style="973" bestFit="1" customWidth="1"/>
    <col min="3074" max="3328" width="9.140625" style="973"/>
    <col min="3329" max="3329" width="28.5703125" style="973" bestFit="1" customWidth="1"/>
    <col min="3330" max="3584" width="9.140625" style="973"/>
    <col min="3585" max="3585" width="28.5703125" style="973" bestFit="1" customWidth="1"/>
    <col min="3586" max="3840" width="9.140625" style="973"/>
    <col min="3841" max="3841" width="28.5703125" style="973" bestFit="1" customWidth="1"/>
    <col min="3842" max="4096" width="9.140625" style="973"/>
    <col min="4097" max="4097" width="28.5703125" style="973" bestFit="1" customWidth="1"/>
    <col min="4098" max="4352" width="9.140625" style="973"/>
    <col min="4353" max="4353" width="28.5703125" style="973" bestFit="1" customWidth="1"/>
    <col min="4354" max="4608" width="9.140625" style="973"/>
    <col min="4609" max="4609" width="28.5703125" style="973" bestFit="1" customWidth="1"/>
    <col min="4610" max="4864" width="9.140625" style="973"/>
    <col min="4865" max="4865" width="28.5703125" style="973" bestFit="1" customWidth="1"/>
    <col min="4866" max="5120" width="9.140625" style="973"/>
    <col min="5121" max="5121" width="28.5703125" style="973" bestFit="1" customWidth="1"/>
    <col min="5122" max="5376" width="9.140625" style="973"/>
    <col min="5377" max="5377" width="28.5703125" style="973" bestFit="1" customWidth="1"/>
    <col min="5378" max="5632" width="9.140625" style="973"/>
    <col min="5633" max="5633" width="28.5703125" style="973" bestFit="1" customWidth="1"/>
    <col min="5634" max="5888" width="9.140625" style="973"/>
    <col min="5889" max="5889" width="28.5703125" style="973" bestFit="1" customWidth="1"/>
    <col min="5890" max="6144" width="9.140625" style="973"/>
    <col min="6145" max="6145" width="28.5703125" style="973" bestFit="1" customWidth="1"/>
    <col min="6146" max="6400" width="9.140625" style="973"/>
    <col min="6401" max="6401" width="28.5703125" style="973" bestFit="1" customWidth="1"/>
    <col min="6402" max="6656" width="9.140625" style="973"/>
    <col min="6657" max="6657" width="28.5703125" style="973" bestFit="1" customWidth="1"/>
    <col min="6658" max="6912" width="9.140625" style="973"/>
    <col min="6913" max="6913" width="28.5703125" style="973" bestFit="1" customWidth="1"/>
    <col min="6914" max="7168" width="9.140625" style="973"/>
    <col min="7169" max="7169" width="28.5703125" style="973" bestFit="1" customWidth="1"/>
    <col min="7170" max="7424" width="9.140625" style="973"/>
    <col min="7425" max="7425" width="28.5703125" style="973" bestFit="1" customWidth="1"/>
    <col min="7426" max="7680" width="9.140625" style="973"/>
    <col min="7681" max="7681" width="28.5703125" style="973" bestFit="1" customWidth="1"/>
    <col min="7682" max="7936" width="9.140625" style="973"/>
    <col min="7937" max="7937" width="28.5703125" style="973" bestFit="1" customWidth="1"/>
    <col min="7938" max="8192" width="9.140625" style="973"/>
    <col min="8193" max="8193" width="28.5703125" style="973" bestFit="1" customWidth="1"/>
    <col min="8194" max="8448" width="9.140625" style="973"/>
    <col min="8449" max="8449" width="28.5703125" style="973" bestFit="1" customWidth="1"/>
    <col min="8450" max="8704" width="9.140625" style="973"/>
    <col min="8705" max="8705" width="28.5703125" style="973" bestFit="1" customWidth="1"/>
    <col min="8706" max="8960" width="9.140625" style="973"/>
    <col min="8961" max="8961" width="28.5703125" style="973" bestFit="1" customWidth="1"/>
    <col min="8962" max="9216" width="9.140625" style="973"/>
    <col min="9217" max="9217" width="28.5703125" style="973" bestFit="1" customWidth="1"/>
    <col min="9218" max="9472" width="9.140625" style="973"/>
    <col min="9473" max="9473" width="28.5703125" style="973" bestFit="1" customWidth="1"/>
    <col min="9474" max="9728" width="9.140625" style="973"/>
    <col min="9729" max="9729" width="28.5703125" style="973" bestFit="1" customWidth="1"/>
    <col min="9730" max="9984" width="9.140625" style="973"/>
    <col min="9985" max="9985" width="28.5703125" style="973" bestFit="1" customWidth="1"/>
    <col min="9986" max="10240" width="9.140625" style="973"/>
    <col min="10241" max="10241" width="28.5703125" style="973" bestFit="1" customWidth="1"/>
    <col min="10242" max="10496" width="9.140625" style="973"/>
    <col min="10497" max="10497" width="28.5703125" style="973" bestFit="1" customWidth="1"/>
    <col min="10498" max="10752" width="9.140625" style="973"/>
    <col min="10753" max="10753" width="28.5703125" style="973" bestFit="1" customWidth="1"/>
    <col min="10754" max="11008" width="9.140625" style="973"/>
    <col min="11009" max="11009" width="28.5703125" style="973" bestFit="1" customWidth="1"/>
    <col min="11010" max="11264" width="9.140625" style="973"/>
    <col min="11265" max="11265" width="28.5703125" style="973" bestFit="1" customWidth="1"/>
    <col min="11266" max="11520" width="9.140625" style="973"/>
    <col min="11521" max="11521" width="28.5703125" style="973" bestFit="1" customWidth="1"/>
    <col min="11522" max="11776" width="9.140625" style="973"/>
    <col min="11777" max="11777" width="28.5703125" style="973" bestFit="1" customWidth="1"/>
    <col min="11778" max="12032" width="9.140625" style="973"/>
    <col min="12033" max="12033" width="28.5703125" style="973" bestFit="1" customWidth="1"/>
    <col min="12034" max="12288" width="9.140625" style="973"/>
    <col min="12289" max="12289" width="28.5703125" style="973" bestFit="1" customWidth="1"/>
    <col min="12290" max="12544" width="9.140625" style="973"/>
    <col min="12545" max="12545" width="28.5703125" style="973" bestFit="1" customWidth="1"/>
    <col min="12546" max="12800" width="9.140625" style="973"/>
    <col min="12801" max="12801" width="28.5703125" style="973" bestFit="1" customWidth="1"/>
    <col min="12802" max="13056" width="9.140625" style="973"/>
    <col min="13057" max="13057" width="28.5703125" style="973" bestFit="1" customWidth="1"/>
    <col min="13058" max="13312" width="9.140625" style="973"/>
    <col min="13313" max="13313" width="28.5703125" style="973" bestFit="1" customWidth="1"/>
    <col min="13314" max="13568" width="9.140625" style="973"/>
    <col min="13569" max="13569" width="28.5703125" style="973" bestFit="1" customWidth="1"/>
    <col min="13570" max="13824" width="9.140625" style="973"/>
    <col min="13825" max="13825" width="28.5703125" style="973" bestFit="1" customWidth="1"/>
    <col min="13826" max="14080" width="9.140625" style="973"/>
    <col min="14081" max="14081" width="28.5703125" style="973" bestFit="1" customWidth="1"/>
    <col min="14082" max="14336" width="9.140625" style="973"/>
    <col min="14337" max="14337" width="28.5703125" style="973" bestFit="1" customWidth="1"/>
    <col min="14338" max="14592" width="9.140625" style="973"/>
    <col min="14593" max="14593" width="28.5703125" style="973" bestFit="1" customWidth="1"/>
    <col min="14594" max="14848" width="9.140625" style="973"/>
    <col min="14849" max="14849" width="28.5703125" style="973" bestFit="1" customWidth="1"/>
    <col min="14850" max="15104" width="9.140625" style="973"/>
    <col min="15105" max="15105" width="28.5703125" style="973" bestFit="1" customWidth="1"/>
    <col min="15106" max="15360" width="9.140625" style="973"/>
    <col min="15361" max="15361" width="28.5703125" style="973" bestFit="1" customWidth="1"/>
    <col min="15362" max="15616" width="9.140625" style="973"/>
    <col min="15617" max="15617" width="28.5703125" style="973" bestFit="1" customWidth="1"/>
    <col min="15618" max="15872" width="9.140625" style="973"/>
    <col min="15873" max="15873" width="28.5703125" style="973" bestFit="1" customWidth="1"/>
    <col min="15874" max="16128" width="9.140625" style="973"/>
    <col min="16129" max="16129" width="28.5703125" style="973" bestFit="1" customWidth="1"/>
    <col min="16130" max="16384" width="9.140625" style="973"/>
  </cols>
  <sheetData>
    <row r="1" spans="1:1">
      <c r="A1" s="1036" t="s">
        <v>850</v>
      </c>
    </row>
    <row r="2" spans="1:1">
      <c r="A2" s="1036" t="s">
        <v>855</v>
      </c>
    </row>
    <row r="3" spans="1:1">
      <c r="A3" s="1036" t="s">
        <v>856</v>
      </c>
    </row>
    <row r="4" spans="1:1">
      <c r="A4" s="1036" t="s">
        <v>857</v>
      </c>
    </row>
    <row r="5" spans="1:1">
      <c r="A5" s="1036" t="s">
        <v>858</v>
      </c>
    </row>
    <row r="6" spans="1:1">
      <c r="A6" s="1036" t="s">
        <v>851</v>
      </c>
    </row>
    <row r="7" spans="1:1">
      <c r="A7" s="1036" t="s">
        <v>859</v>
      </c>
    </row>
    <row r="8" spans="1:1">
      <c r="A8" s="1036" t="s">
        <v>860</v>
      </c>
    </row>
    <row r="9" spans="1:1">
      <c r="A9" s="1036" t="s">
        <v>861</v>
      </c>
    </row>
    <row r="10" spans="1:1">
      <c r="A10" s="1036" t="s">
        <v>852</v>
      </c>
    </row>
    <row r="11" spans="1:1">
      <c r="A11" s="1036" t="s">
        <v>862</v>
      </c>
    </row>
    <row r="12" spans="1:1">
      <c r="A12" s="1036" t="s">
        <v>853</v>
      </c>
    </row>
    <row r="13" spans="1:1">
      <c r="A13" s="1036" t="s">
        <v>854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1</MetadataChanged>
</lkmtd:Metadata>
</file>

<file path=customXml/item2.xml><?xml version="1.0" encoding="utf-8"?>
<lk:Links xmlns:lk="thomsonreuters.linking.metadata">
  <Link>
    <GUID>c77b7917-db33-41b7-9ee0-101c7862fe4b</GUID>
    <SOURCETYPE>Chart</SOURCETYPE>
    <SOURCE_OBJECTNAME>Chart 1</SOURCE_OBJECTNAME>
    <SOURCE_SHEETCODE>Sheet17</SOURCE_SHEETCODE>
    <SOURCE_SHEETNAME>PC gaming growth</SOURCE_SHEETNAME>
    <OBJECTTYPE>Native</OBJECTTYPE>
    <SOURCEAPPLICATION>EXCEL_SOURCE</SOURCEAPPLICATION>
    <UPDATEDAT>5/18/2015 12:36:20 PM</UPDATEDAT>
    <SOURCE_ISOUTOFDATE>False</SOURCE_ISOUTOFDATE>
    <SOURCE_WORKBOOKNAME>Nvidia_WIP.xlsm</SOURCE_WORKBOOKNAME>
    <SOURCE_WORKBOOKPATH>\\MSAD\ROOT\NA\NY\LIB\ER\SEMI CAP\Joe Files\Companies\NVDA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/MSResearch/Content/ExternalAssets/2015-05/Images/eRK-KcRaBUuNcqVTHM_erA--.png</TARGET_BINARYFULLNAME>
    <TARGET_STORYFULLNAME>/MSResearch/Content/ExternalAssets/2015-05/Sections/20150518_123433_Chart1.xml</TARGET_STORYFULLNAME>
    <TARGET_UUID>c3da906c-fd7b-11e4-816b-9b441484c75b</TARGET_UUID>
    <HIDEGRIDLINES>False</HIDEGRIDLINES>
  </Link>
  <Link>
    <GUID>d036a2e8-b9fc-44eb-8673-ccc3dc073baa</GUID>
    <SOURCETYPE>Chart</SOURCETYPE>
    <SOURCE_OBJECTNAME>Chart 1</SOURCE_OBJECTNAME>
    <SOURCE_SHEETCODE>Sheet17</SOURCE_SHEETCODE>
    <SOURCE_SHEETNAME>PC Gaming</SOURCE_SHEETNAME>
    <OBJECTTYPE>Native</OBJECTTYPE>
    <SOURCEAPPLICATION>EXCEL_SOURCE</SOURCEAPPLICATION>
    <UPDATEDAT>5/18/2015 2:15:18 PM</UPDATEDAT>
    <SOURCE_ISOUTOFDATE>False</SOURCE_ISOUTOFDATE>
    <SOURCE_WORKBOOKNAME>Nvidia_WIP.xlsm</SOURCE_WORKBOOKNAME>
    <SOURCE_WORKBOOKPATH>\\MSAD\ROOT\NA\NY\LIB\ER\SEMI CAP\Joe Files\Companies\NVDA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/MSResearch/Content/ExternalAssets/2015-05/Images/hyQnOXm0cEaT-K3oLPzRCg--.png</TARGET_BINARYFULLNAME>
    <TARGET_STORYFULLNAME>/MSResearch/Content/ExternalAssets/2015-05/Sections/20150518_021516_Chart1.xml</TARGET_STORYFULLNAME>
    <TARGET_UUID>d5d49886-fd89-11e4-816b-9b441484c75b</TARGET_UUID>
  </Link>
  <Link>
    <GUID>869b7189-1d26-4f2c-a377-2dc95573f0fc</GUID>
    <SOURCETYPE>Chart</SOURCETYPE>
    <SOURCE_OBJECTNAME>Chart 1.3</SOURCE_OBJECTNAME>
    <SOURCE_SHEETCODE>Sheet16</SOURCE_SHEETCODE>
    <SOURCE_SHEETNAME>GPU Market</SOURCE_SHEETNAME>
    <OBJECTTYPE>Native</OBJECTTYPE>
    <SOURCEAPPLICATION>EXCEL_SOURCE</SOURCEAPPLICATION>
    <UPDATEDAT>5/18/2015 2:16:08 PM</UPDATEDAT>
    <SOURCE_ISOUTOFDATE>False</SOURCE_ISOUTOFDATE>
    <SOURCE_WORKBOOKNAME>Nvidia_WIP.xlsm</SOURCE_WORKBOOKNAME>
    <SOURCE_WORKBOOKPATH>\\MSAD\ROOT\NA\NY\LIB\ER\SEMI CAP\Joe Files\Companies\NVDA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/MSResearch/Content/ExternalAssets/2015-05/Images/3-DiE7SEj0_jIc76kgu9_w--.png</TARGET_BINARYFULLNAME>
    <TARGET_STORYFULLNAME>/MSResearch/Content/ExternalAssets/2015-05/Sections/20150518_021606_Chart1.3.xml</TARGET_STORYFULLNAME>
    <TARGET_UUID>f3534664-fd89-11e4-816b-9b441484c75b</TARGET_UUID>
  </Link>
  <Link>
    <GUID>a0829cdd-9d04-4cf6-ad2c-8f937deb1a29</GUID>
    <SOURCE_ALTADDRESS>$T$66:$AA$81</SOURCE_ALTADDRESS>
    <SOURCETYPE>Table</SOURCETYPE>
    <SOURCE_OBJECTNAME>Linking_Range_19</SOURCE_OBJECTNAME>
    <OBJECTTYPE>Native</OBJECTTYPE>
    <SOURCE_SHEETCODE>Sheet16</SOURCE_SHEETCODE>
    <SOURCE_SHEETNAME>GPU Market</SOURCE_SHEETNAME>
    <SOURCEAPPLICATION>EXCEL_SOURCE</SOURCEAPPLICATION>
    <UPDATEDAT>5/18/2015 3:34:18 PM</UPDATEDAT>
    <SOURCE_ISOUTOFDATE>False</SOURCE_ISOUTOFDATE>
    <SOURCE_WORKBOOKNAME>Nvidia_WIP.xlsm</SOURCE_WORKBOOKNAME>
    <SOURCE_WORKBOOKPATH>\\MSAD\ROOT\NA\NY\LIB\ER\SEMI CAP\Joe Files\Companies\NVDA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/MSResearch/Content/ExternalAssets/2015-05/Images/mhiOeMPOa0_jO53q_bcO_Q--.png</TARGET_BINARYFULLNAME>
    <TARGET_STORYFULLNAME>/MSResearch/Content/ExternalAssets/2015-05/Sections/20150518_033109_Linking_Range_19.xml</TARGET_STORYFULLNAME>
    <TARGET_UUID>6f593f0c-fd94-11e4-816b-9b441484c75b</TARGET_UUID>
    <TRANSPARENTBACKGROUND>False</TRANSPARENTBACKGROUND>
    <TRANSPARENTPLOTAREA>False</TRANSPARENTPLOTAREA>
    <LINKSTATUS>Unknown</LINKSTATUS>
  </Link>
  <Link>
    <GUID>80261294-4e26-4576-ad56-e3879b06d4ed</GUID>
    <SOURCE_ALTADDRESS>$B$224:$BF$239</SOURCE_ALTADDRESS>
    <SOURCETYPE>Table</SOURCETYPE>
    <SOURCE_OBJECTNAME>Linking_Range_20</SOURCE_OBJECTNAME>
    <OBJECTTYPE>Native</OBJECTTYPE>
    <SOURCE_SHEETCODE>Sheet8</SOURCE_SHEETCODE>
    <SOURCE_SHEETNAME>BU-Segment</SOURCE_SHEETNAME>
    <SOURCEAPPLICATION>EXCEL_SOURCE</SOURCEAPPLICATION>
    <UPDATEDAT>5/18/2015 4:49:06 PM</UPDATEDAT>
    <SOURCE_ISOUTOFDATE>False</SOURCE_ISOUTOFDATE>
    <SOURCE_WORKBOOKNAME>Nvidia_WIP.xlsm</SOURCE_WORKBOOKNAME>
    <SOURCE_WORKBOOKPATH>\\MSAD\ROOT\NA\NY\LIB\ER\SEMI CAP\Joe Files\Companies\NVDA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/MSResearch/Content/ExternalAssets/2015-05/Images/iahyXiBwYkyboTRUhhHXnA--.png</TARGET_BINARYFULLNAME>
    <TARGET_STORYFULLNAME>/MSResearch/Content/ExternalAssets/2015-05/Sections/20150518_044904_Linking_Range_20.xml</TARGET_STORYFULLNAME>
    <TARGET_UUID>51fa5c60-fd9f-11e4-816b-9b441484c75b</TARGET_UUID>
  </Link>
  <Link>
    <GUID>fad0eb12-156b-4792-bed8-16dee2093298</GUID>
    <SOURCE_ALTADDRESS>$B$224:$BF$253</SOURCE_ALTADDRESS>
    <SOURCETYPE>Table</SOURCETYPE>
    <SOURCE_OBJECTNAME>Linking_Range_21</SOURCE_OBJECTNAME>
    <OBJECTTYPE>Native</OBJECTTYPE>
    <SOURCE_SHEETCODE>Sheet8</SOURCE_SHEETCODE>
    <SOURCE_SHEETNAME>BU-Segment</SOURCE_SHEETNAME>
    <SOURCEAPPLICATION>EXCEL_SOURCE</SOURCEAPPLICATION>
    <UPDATEDAT>5/18/2015 4:54:05 PM</UPDATEDAT>
    <SOURCE_ISOUTOFDATE>False</SOURCE_ISOUTOFDATE>
    <SOURCE_WORKBOOKNAME>Nvidia_WIP.xlsm</SOURCE_WORKBOOKNAME>
    <SOURCE_WORKBOOKPATH>\\MSAD\ROOT\NA\NY\LIB\ER\SEMI CAP\Joe Files\Companies\NVDA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/MSResearch/Content/ExternalAssets/2015-05/Images/qIXles1mJEumn09YBCIfdA--.png</TARGET_BINARYFULLNAME>
    <TARGET_STORYFULLNAME>/MSResearch/Content/ExternalAssets/2015-05/Sections/20150518_045046_Linking_Range_21.xml</TARGET_STORYFULLNAME>
    <TARGET_UUID>8ee953a6-fd9f-11e4-816b-9b441484c75b</TARGET_UUID>
    <TRANSPARENTBACKGROUND>False</TRANSPARENTBACKGROUND>
    <TRANSPARENTPLOTAREA>False</TRANSPARENTPLOTAREA>
  </Link>
  <Link>
    <GUID>cdceb352-587c-4021-b92e-6b923f58b8a5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5/18/2015 5:24:29 PM</UPDATEDAT>
    <SOURCE_ISOUTOFDATE>False</SOURCE_ISOUTOFDATE>
    <SOURCE_WORKBOOKNAME>Nvidia_WIP.xlsm</SOURCE_WORKBOOKNAME>
    <SOURCE_WORKBOOKPATH>\\MSAD\ROOT\NA\NY\LIB\ER\SEMI CAP\Joe Files\Companies\NVDA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/MSResearch/Content/ExternalAssets/2015-05/Images/s7cKd9CSk06CJy-zgXXTUg--.png</TARGET_BINARYFULLNAME>
    <TARGET_STORYFULLNAME>/MSResearch/Content/ExternalAssets/2015-05/Sections/20150518_035606_MWA_Risk_Reward.xml</TARGET_STORYFULLNAME>
    <TARGET_UUID>ebfa6f1a-fd97-11e4-816b-9b441484c75b</TARGET_UUID>
    <HIDEGRIDLINES>False</HIDEGRIDLINES>
  </Link>
</lk:Links>
</file>

<file path=customXml/itemProps1.xml><?xml version="1.0" encoding="utf-8"?>
<ds:datastoreItem xmlns:ds="http://schemas.openxmlformats.org/officeDocument/2006/customXml" ds:itemID="{F85F4634-422B-4ACE-8D6F-5AB9A02F1E5B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21EC61AA-C401-4C35-BA34-91D38FDCA820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107</vt:i4>
      </vt:variant>
    </vt:vector>
  </HeadingPairs>
  <TitlesOfParts>
    <vt:vector size="114" baseType="lpstr">
      <vt:lpstr>ImportantDisclosures</vt:lpstr>
      <vt:lpstr>IS</vt:lpstr>
      <vt:lpstr>BS</vt:lpstr>
      <vt:lpstr>CF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Linking_14</vt:lpstr>
      <vt:lpstr>Linking_15</vt:lpstr>
      <vt:lpstr>Linking_16</vt:lpstr>
      <vt:lpstr>Linking_17</vt:lpstr>
      <vt:lpstr>Linking_18</vt:lpstr>
      <vt:lpstr>Linking_19</vt:lpstr>
      <vt:lpstr>Linking_20</vt:lpstr>
      <vt:lpstr>Linking_21</vt:lpstr>
      <vt:lpstr>Linking_22</vt:lpstr>
      <vt:lpstr>Linking_24</vt:lpstr>
      <vt:lpstr>Linking_25</vt:lpstr>
      <vt:lpstr>Linking_27</vt:lpstr>
      <vt:lpstr>Linking_28</vt:lpstr>
      <vt:lpstr>Linking_29</vt:lpstr>
      <vt:lpstr>Linking_31</vt:lpstr>
      <vt:lpstr>Linking_32</vt:lpstr>
      <vt:lpstr>Linking_33</vt:lpstr>
      <vt:lpstr>Linking_34</vt:lpstr>
      <vt:lpstr>Linking_35</vt:lpstr>
      <vt:lpstr>Linking_37</vt:lpstr>
      <vt:lpstr>Linking_38</vt:lpstr>
      <vt:lpstr>Linking_4</vt:lpstr>
      <vt:lpstr>Linking_40</vt:lpstr>
      <vt:lpstr>Linking_41</vt:lpstr>
      <vt:lpstr>Linking_7</vt:lpstr>
      <vt:lpstr>Linking_8</vt:lpstr>
      <vt:lpstr>Linking_9</vt:lpstr>
      <vt:lpstr>Linking_Range_11</vt:lpstr>
      <vt:lpstr>Linking_Range_12</vt:lpstr>
      <vt:lpstr>Linking_Range_13</vt:lpstr>
      <vt:lpstr>Linking_Range_14</vt:lpstr>
      <vt:lpstr>Linking_Range_17</vt:lpstr>
      <vt:lpstr>Linking_Range_20</vt:lpstr>
      <vt:lpstr>Linking_Range_21</vt:lpstr>
      <vt:lpstr>Linking_Range_5</vt:lpstr>
      <vt:lpstr>Linking_Range_6</vt:lpstr>
      <vt:lpstr>Linking_Range_7</vt:lpstr>
      <vt:lpstr>Linking_Text_1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2014-08-08T14:51:18Z</dcterms:created>
  <dc:creator>Lim, Alvin (Research)</dc:creator>
  <cp:lastModifiedBy>Linden, Sarah (Research)</cp:lastModifiedBy>
  <cp:lastPrinted>2018-02-11T03:28:22Z</cp:lastPrinted>
  <dcterms:modified xsi:type="dcterms:W3CDTF">2018-04-11T21:58:52Z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1</vt:lpwstr>
  </property>
  <property fmtid="{D5CDD505-2E9C-101B-9397-08002B2CF9AE}" name="LinkingAutoNameNumberLinking_Range_" pid="3">
    <vt:lpwstr>21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761118</vt:lpwstr>
  </property>
  <property fmtid="{D5CDD505-2E9C-101B-9397-08002B2CF9AE}" name="ERModPubCompanyName" pid="7">
    <vt:lpwstr>NVIDIA Corp.</vt:lpwstr>
  </property>
  <property fmtid="{D5CDD505-2E9C-101B-9397-08002B2CF9AE}" name="MSDH34TAG" pid="8">
    <vt:lpwstr>.TEZUF76X5TAHATHESADREYAK-00-INB160+*94600-06=8984a16e/-3dd3/-11e8/-b3f7/-7a79cfe26848,MD=20180411180823/-0400,ZZ=000Z-7871.</vt:lpwstr>
  </property>
</Properties>
</file>